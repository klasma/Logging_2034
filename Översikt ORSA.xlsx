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45640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45640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45640</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45640</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45640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45640</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45640</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45640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45640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45640</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45640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45640</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45640</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45640</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45640</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45640</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45640</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45640</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45640</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45640</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45640</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45640</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45640</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45640</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45640</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45640</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45640</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45640</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45640</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45640</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45640</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45640</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45640</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45640</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45640</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45640</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45640</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45640</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45640</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45640</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45640</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45640</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45640</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45640</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45640</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45640</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45640</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45640</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45640</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32094-2019</t>
        </is>
      </c>
      <c r="B51" s="1" t="n">
        <v>43643</v>
      </c>
      <c r="C51" s="1" t="n">
        <v>45640</v>
      </c>
      <c r="D51" t="inlineStr">
        <is>
          <t>DALARNAS LÄN</t>
        </is>
      </c>
      <c r="E51" t="inlineStr">
        <is>
          <t>ORSA</t>
        </is>
      </c>
      <c r="F51" t="inlineStr">
        <is>
          <t>Bergvik skog väst AB</t>
        </is>
      </c>
      <c r="G51" t="n">
        <v>19.2</v>
      </c>
      <c r="H51" t="n">
        <v>1</v>
      </c>
      <c r="I51" t="n">
        <v>0</v>
      </c>
      <c r="J51" t="n">
        <v>0</v>
      </c>
      <c r="K51" t="n">
        <v>0</v>
      </c>
      <c r="L51" t="n">
        <v>0</v>
      </c>
      <c r="M51" t="n">
        <v>0</v>
      </c>
      <c r="N51" t="n">
        <v>0</v>
      </c>
      <c r="O51" t="n">
        <v>0</v>
      </c>
      <c r="P51" t="n">
        <v>0</v>
      </c>
      <c r="Q51" t="n">
        <v>1</v>
      </c>
      <c r="R51" s="2" t="inlineStr">
        <is>
          <t>Revlummer</t>
        </is>
      </c>
      <c r="S51">
        <f>HYPERLINK("https://klasma.github.io/Logging_2034/artfynd/A 32094-2019 artfynd.xlsx", "A 32094-2019")</f>
        <v/>
      </c>
      <c r="T51">
        <f>HYPERLINK("https://klasma.github.io/Logging_2034/kartor/A 32094-2019 karta.png", "A 32094-2019")</f>
        <v/>
      </c>
      <c r="V51">
        <f>HYPERLINK("https://klasma.github.io/Logging_2034/klagomål/A 32094-2019 FSC-klagomål.docx", "A 32094-2019")</f>
        <v/>
      </c>
      <c r="W51">
        <f>HYPERLINK("https://klasma.github.io/Logging_2034/klagomålsmail/A 32094-2019 FSC-klagomål mail.docx", "A 32094-2019")</f>
        <v/>
      </c>
      <c r="X51">
        <f>HYPERLINK("https://klasma.github.io/Logging_2034/tillsyn/A 32094-2019 tillsynsbegäran.docx", "A 32094-2019")</f>
        <v/>
      </c>
      <c r="Y51">
        <f>HYPERLINK("https://klasma.github.io/Logging_2034/tillsynsmail/A 32094-2019 tillsynsbegäran mail.docx", "A 32094-2019")</f>
        <v/>
      </c>
    </row>
    <row r="52" ht="15" customHeight="1">
      <c r="A52" t="inlineStr">
        <is>
          <t>A 38211-2020</t>
        </is>
      </c>
      <c r="B52" s="1" t="n">
        <v>44060</v>
      </c>
      <c r="C52" s="1" t="n">
        <v>45640</v>
      </c>
      <c r="D52" t="inlineStr">
        <is>
          <t>DALARNAS LÄN</t>
        </is>
      </c>
      <c r="E52" t="inlineStr">
        <is>
          <t>ORSA</t>
        </is>
      </c>
      <c r="G52" t="n">
        <v>1.2</v>
      </c>
      <c r="H52" t="n">
        <v>1</v>
      </c>
      <c r="I52" t="n">
        <v>0</v>
      </c>
      <c r="J52" t="n">
        <v>1</v>
      </c>
      <c r="K52" t="n">
        <v>0</v>
      </c>
      <c r="L52" t="n">
        <v>0</v>
      </c>
      <c r="M52" t="n">
        <v>0</v>
      </c>
      <c r="N52" t="n">
        <v>0</v>
      </c>
      <c r="O52" t="n">
        <v>1</v>
      </c>
      <c r="P52" t="n">
        <v>0</v>
      </c>
      <c r="Q52" t="n">
        <v>1</v>
      </c>
      <c r="R52" s="2" t="inlineStr">
        <is>
          <t>Utter</t>
        </is>
      </c>
      <c r="S52">
        <f>HYPERLINK("https://klasma.github.io/Logging_2034/artfynd/A 38211-2020 artfynd.xlsx", "A 38211-2020")</f>
        <v/>
      </c>
      <c r="T52">
        <f>HYPERLINK("https://klasma.github.io/Logging_2034/kartor/A 38211-2020 karta.png", "A 38211-2020")</f>
        <v/>
      </c>
      <c r="V52">
        <f>HYPERLINK("https://klasma.github.io/Logging_2034/klagomål/A 38211-2020 FSC-klagomål.docx", "A 38211-2020")</f>
        <v/>
      </c>
      <c r="W52">
        <f>HYPERLINK("https://klasma.github.io/Logging_2034/klagomålsmail/A 38211-2020 FSC-klagomål mail.docx", "A 38211-2020")</f>
        <v/>
      </c>
      <c r="X52">
        <f>HYPERLINK("https://klasma.github.io/Logging_2034/tillsyn/A 38211-2020 tillsynsbegäran.docx", "A 38211-2020")</f>
        <v/>
      </c>
      <c r="Y52">
        <f>HYPERLINK("https://klasma.github.io/Logging_2034/tillsynsmail/A 38211-2020 tillsynsbegäran mail.docx", "A 38211-2020")</f>
        <v/>
      </c>
    </row>
    <row r="53" ht="15" customHeight="1">
      <c r="A53" t="inlineStr">
        <is>
          <t>A 4144-2022</t>
        </is>
      </c>
      <c r="B53" s="1" t="n">
        <v>44588</v>
      </c>
      <c r="C53" s="1" t="n">
        <v>45640</v>
      </c>
      <c r="D53" t="inlineStr">
        <is>
          <t>DALARNAS LÄN</t>
        </is>
      </c>
      <c r="E53" t="inlineStr">
        <is>
          <t>ORSA</t>
        </is>
      </c>
      <c r="G53" t="n">
        <v>1</v>
      </c>
      <c r="H53" t="n">
        <v>0</v>
      </c>
      <c r="I53" t="n">
        <v>1</v>
      </c>
      <c r="J53" t="n">
        <v>0</v>
      </c>
      <c r="K53" t="n">
        <v>0</v>
      </c>
      <c r="L53" t="n">
        <v>0</v>
      </c>
      <c r="M53" t="n">
        <v>0</v>
      </c>
      <c r="N53" t="n">
        <v>0</v>
      </c>
      <c r="O53" t="n">
        <v>0</v>
      </c>
      <c r="P53" t="n">
        <v>0</v>
      </c>
      <c r="Q53" t="n">
        <v>1</v>
      </c>
      <c r="R53" s="2" t="inlineStr">
        <is>
          <t>Svart trolldruva</t>
        </is>
      </c>
      <c r="S53">
        <f>HYPERLINK("https://klasma.github.io/Logging_2034/artfynd/A 4144-2022 artfynd.xlsx", "A 4144-2022")</f>
        <v/>
      </c>
      <c r="T53">
        <f>HYPERLINK("https://klasma.github.io/Logging_2034/kartor/A 4144-2022 karta.png", "A 4144-2022")</f>
        <v/>
      </c>
      <c r="V53">
        <f>HYPERLINK("https://klasma.github.io/Logging_2034/klagomål/A 4144-2022 FSC-klagomål.docx", "A 4144-2022")</f>
        <v/>
      </c>
      <c r="W53">
        <f>HYPERLINK("https://klasma.github.io/Logging_2034/klagomålsmail/A 4144-2022 FSC-klagomål mail.docx", "A 4144-2022")</f>
        <v/>
      </c>
      <c r="X53">
        <f>HYPERLINK("https://klasma.github.io/Logging_2034/tillsyn/A 4144-2022 tillsynsbegäran.docx", "A 4144-2022")</f>
        <v/>
      </c>
      <c r="Y53">
        <f>HYPERLINK("https://klasma.github.io/Logging_2034/tillsynsmail/A 4144-2022 tillsynsbegäran mail.docx", "A 4144-2022")</f>
        <v/>
      </c>
    </row>
    <row r="54" ht="15" customHeight="1">
      <c r="A54" t="inlineStr">
        <is>
          <t>A 48766-2022</t>
        </is>
      </c>
      <c r="B54" s="1" t="n">
        <v>44859</v>
      </c>
      <c r="C54" s="1" t="n">
        <v>45640</v>
      </c>
      <c r="D54" t="inlineStr">
        <is>
          <t>DALARNAS LÄN</t>
        </is>
      </c>
      <c r="E54" t="inlineStr">
        <is>
          <t>ORSA</t>
        </is>
      </c>
      <c r="F54" t="inlineStr">
        <is>
          <t>Allmännings- och besparingsskogar</t>
        </is>
      </c>
      <c r="G54" t="n">
        <v>3.1</v>
      </c>
      <c r="H54" t="n">
        <v>0</v>
      </c>
      <c r="I54" t="n">
        <v>0</v>
      </c>
      <c r="J54" t="n">
        <v>1</v>
      </c>
      <c r="K54" t="n">
        <v>0</v>
      </c>
      <c r="L54" t="n">
        <v>0</v>
      </c>
      <c r="M54" t="n">
        <v>0</v>
      </c>
      <c r="N54" t="n">
        <v>0</v>
      </c>
      <c r="O54" t="n">
        <v>1</v>
      </c>
      <c r="P54" t="n">
        <v>0</v>
      </c>
      <c r="Q54" t="n">
        <v>1</v>
      </c>
      <c r="R54" s="2" t="inlineStr">
        <is>
          <t>Garnlav</t>
        </is>
      </c>
      <c r="S54">
        <f>HYPERLINK("https://klasma.github.io/Logging_2034/artfynd/A 48766-2022 artfynd.xlsx", "A 48766-2022")</f>
        <v/>
      </c>
      <c r="T54">
        <f>HYPERLINK("https://klasma.github.io/Logging_2034/kartor/A 48766-2022 karta.png", "A 48766-2022")</f>
        <v/>
      </c>
      <c r="V54">
        <f>HYPERLINK("https://klasma.github.io/Logging_2034/klagomål/A 48766-2022 FSC-klagomål.docx", "A 48766-2022")</f>
        <v/>
      </c>
      <c r="W54">
        <f>HYPERLINK("https://klasma.github.io/Logging_2034/klagomålsmail/A 48766-2022 FSC-klagomål mail.docx", "A 48766-2022")</f>
        <v/>
      </c>
      <c r="X54">
        <f>HYPERLINK("https://klasma.github.io/Logging_2034/tillsyn/A 48766-2022 tillsynsbegäran.docx", "A 48766-2022")</f>
        <v/>
      </c>
      <c r="Y54">
        <f>HYPERLINK("https://klasma.github.io/Logging_2034/tillsynsmail/A 48766-2022 tillsynsbegäran mail.docx", "A 48766-2022")</f>
        <v/>
      </c>
    </row>
    <row r="55" ht="15" customHeight="1">
      <c r="A55" t="inlineStr">
        <is>
          <t>A 29044-2023</t>
        </is>
      </c>
      <c r="B55" s="1" t="n">
        <v>45104</v>
      </c>
      <c r="C55" s="1" t="n">
        <v>45640</v>
      </c>
      <c r="D55" t="inlineStr">
        <is>
          <t>DALARNAS LÄN</t>
        </is>
      </c>
      <c r="E55" t="inlineStr">
        <is>
          <t>ORSA</t>
        </is>
      </c>
      <c r="G55" t="n">
        <v>1.8</v>
      </c>
      <c r="H55" t="n">
        <v>0</v>
      </c>
      <c r="I55" t="n">
        <v>1</v>
      </c>
      <c r="J55" t="n">
        <v>0</v>
      </c>
      <c r="K55" t="n">
        <v>0</v>
      </c>
      <c r="L55" t="n">
        <v>0</v>
      </c>
      <c r="M55" t="n">
        <v>0</v>
      </c>
      <c r="N55" t="n">
        <v>0</v>
      </c>
      <c r="O55" t="n">
        <v>0</v>
      </c>
      <c r="P55" t="n">
        <v>0</v>
      </c>
      <c r="Q55" t="n">
        <v>1</v>
      </c>
      <c r="R55" s="2" t="inlineStr">
        <is>
          <t>Korallblylav</t>
        </is>
      </c>
      <c r="S55">
        <f>HYPERLINK("https://klasma.github.io/Logging_2034/artfynd/A 29044-2023 artfynd.xlsx", "A 29044-2023")</f>
        <v/>
      </c>
      <c r="T55">
        <f>HYPERLINK("https://klasma.github.io/Logging_2034/kartor/A 29044-2023 karta.png", "A 29044-2023")</f>
        <v/>
      </c>
      <c r="V55">
        <f>HYPERLINK("https://klasma.github.io/Logging_2034/klagomål/A 29044-2023 FSC-klagomål.docx", "A 29044-2023")</f>
        <v/>
      </c>
      <c r="W55">
        <f>HYPERLINK("https://klasma.github.io/Logging_2034/klagomålsmail/A 29044-2023 FSC-klagomål mail.docx", "A 29044-2023")</f>
        <v/>
      </c>
      <c r="X55">
        <f>HYPERLINK("https://klasma.github.io/Logging_2034/tillsyn/A 29044-2023 tillsynsbegäran.docx", "A 29044-2023")</f>
        <v/>
      </c>
      <c r="Y55">
        <f>HYPERLINK("https://klasma.github.io/Logging_2034/tillsynsmail/A 29044-2023 tillsynsbegäran mail.docx", "A 29044-2023")</f>
        <v/>
      </c>
    </row>
    <row r="56" ht="15" customHeight="1">
      <c r="A56" t="inlineStr">
        <is>
          <t>A 35112-2023</t>
        </is>
      </c>
      <c r="B56" s="1" t="n">
        <v>45145</v>
      </c>
      <c r="C56" s="1" t="n">
        <v>45640</v>
      </c>
      <c r="D56" t="inlineStr">
        <is>
          <t>DALARNAS LÄN</t>
        </is>
      </c>
      <c r="E56" t="inlineStr">
        <is>
          <t>ORSA</t>
        </is>
      </c>
      <c r="F56" t="inlineStr">
        <is>
          <t>Allmännings- och besparingsskogar</t>
        </is>
      </c>
      <c r="G56" t="n">
        <v>6.9</v>
      </c>
      <c r="H56" t="n">
        <v>0</v>
      </c>
      <c r="I56" t="n">
        <v>0</v>
      </c>
      <c r="J56" t="n">
        <v>1</v>
      </c>
      <c r="K56" t="n">
        <v>0</v>
      </c>
      <c r="L56" t="n">
        <v>0</v>
      </c>
      <c r="M56" t="n">
        <v>0</v>
      </c>
      <c r="N56" t="n">
        <v>0</v>
      </c>
      <c r="O56" t="n">
        <v>1</v>
      </c>
      <c r="P56" t="n">
        <v>0</v>
      </c>
      <c r="Q56" t="n">
        <v>1</v>
      </c>
      <c r="R56" s="2" t="inlineStr">
        <is>
          <t>Skrovellav</t>
        </is>
      </c>
      <c r="S56">
        <f>HYPERLINK("https://klasma.github.io/Logging_2034/artfynd/A 35112-2023 artfynd.xlsx", "A 35112-2023")</f>
        <v/>
      </c>
      <c r="T56">
        <f>HYPERLINK("https://klasma.github.io/Logging_2034/kartor/A 35112-2023 karta.png", "A 35112-2023")</f>
        <v/>
      </c>
      <c r="V56">
        <f>HYPERLINK("https://klasma.github.io/Logging_2034/klagomål/A 35112-2023 FSC-klagomål.docx", "A 35112-2023")</f>
        <v/>
      </c>
      <c r="W56">
        <f>HYPERLINK("https://klasma.github.io/Logging_2034/klagomålsmail/A 35112-2023 FSC-klagomål mail.docx", "A 35112-2023")</f>
        <v/>
      </c>
      <c r="X56">
        <f>HYPERLINK("https://klasma.github.io/Logging_2034/tillsyn/A 35112-2023 tillsynsbegäran.docx", "A 35112-2023")</f>
        <v/>
      </c>
      <c r="Y56">
        <f>HYPERLINK("https://klasma.github.io/Logging_2034/tillsynsmail/A 35112-2023 tillsynsbegäran mail.docx", "A 35112-2023")</f>
        <v/>
      </c>
    </row>
    <row r="57" ht="15" customHeight="1">
      <c r="A57" t="inlineStr">
        <is>
          <t>A 37887-2023</t>
        </is>
      </c>
      <c r="B57" s="1" t="n">
        <v>45160</v>
      </c>
      <c r="C57" s="1" t="n">
        <v>45640</v>
      </c>
      <c r="D57" t="inlineStr">
        <is>
          <t>DALARNAS LÄN</t>
        </is>
      </c>
      <c r="E57" t="inlineStr">
        <is>
          <t>ORSA</t>
        </is>
      </c>
      <c r="F57" t="inlineStr">
        <is>
          <t>Allmännings- och besparingsskogar</t>
        </is>
      </c>
      <c r="G57" t="n">
        <v>20.5</v>
      </c>
      <c r="H57" t="n">
        <v>1</v>
      </c>
      <c r="I57" t="n">
        <v>0</v>
      </c>
      <c r="J57" t="n">
        <v>1</v>
      </c>
      <c r="K57" t="n">
        <v>0</v>
      </c>
      <c r="L57" t="n">
        <v>0</v>
      </c>
      <c r="M57" t="n">
        <v>0</v>
      </c>
      <c r="N57" t="n">
        <v>0</v>
      </c>
      <c r="O57" t="n">
        <v>1</v>
      </c>
      <c r="P57" t="n">
        <v>0</v>
      </c>
      <c r="Q57" t="n">
        <v>1</v>
      </c>
      <c r="R57" s="2" t="inlineStr">
        <is>
          <t>Varglav</t>
        </is>
      </c>
      <c r="S57">
        <f>HYPERLINK("https://klasma.github.io/Logging_2034/artfynd/A 37887-2023 artfynd.xlsx", "A 37887-2023")</f>
        <v/>
      </c>
      <c r="T57">
        <f>HYPERLINK("https://klasma.github.io/Logging_2034/kartor/A 37887-2023 karta.png", "A 37887-2023")</f>
        <v/>
      </c>
      <c r="V57">
        <f>HYPERLINK("https://klasma.github.io/Logging_2034/klagomål/A 37887-2023 FSC-klagomål.docx", "A 37887-2023")</f>
        <v/>
      </c>
      <c r="W57">
        <f>HYPERLINK("https://klasma.github.io/Logging_2034/klagomålsmail/A 37887-2023 FSC-klagomål mail.docx", "A 37887-2023")</f>
        <v/>
      </c>
      <c r="X57">
        <f>HYPERLINK("https://klasma.github.io/Logging_2034/tillsyn/A 37887-2023 tillsynsbegäran.docx", "A 37887-2023")</f>
        <v/>
      </c>
      <c r="Y57">
        <f>HYPERLINK("https://klasma.github.io/Logging_2034/tillsynsmail/A 37887-2023 tillsynsbegäran mail.docx", "A 37887-2023")</f>
        <v/>
      </c>
    </row>
    <row r="58" ht="15" customHeight="1">
      <c r="A58" t="inlineStr">
        <is>
          <t>A 40288-2023</t>
        </is>
      </c>
      <c r="B58" s="1" t="n">
        <v>45169</v>
      </c>
      <c r="C58" s="1" t="n">
        <v>45640</v>
      </c>
      <c r="D58" t="inlineStr">
        <is>
          <t>DALARNAS LÄN</t>
        </is>
      </c>
      <c r="E58" t="inlineStr">
        <is>
          <t>ORSA</t>
        </is>
      </c>
      <c r="F58" t="inlineStr">
        <is>
          <t>Allmännings- och besparingsskogar</t>
        </is>
      </c>
      <c r="G58" t="n">
        <v>4.2</v>
      </c>
      <c r="H58" t="n">
        <v>0</v>
      </c>
      <c r="I58" t="n">
        <v>0</v>
      </c>
      <c r="J58" t="n">
        <v>1</v>
      </c>
      <c r="K58" t="n">
        <v>0</v>
      </c>
      <c r="L58" t="n">
        <v>0</v>
      </c>
      <c r="M58" t="n">
        <v>0</v>
      </c>
      <c r="N58" t="n">
        <v>0</v>
      </c>
      <c r="O58" t="n">
        <v>1</v>
      </c>
      <c r="P58" t="n">
        <v>0</v>
      </c>
      <c r="Q58" t="n">
        <v>1</v>
      </c>
      <c r="R58" s="2" t="inlineStr">
        <is>
          <t>Vedflamlav</t>
        </is>
      </c>
      <c r="S58">
        <f>HYPERLINK("https://klasma.github.io/Logging_2034/artfynd/A 40288-2023 artfynd.xlsx", "A 40288-2023")</f>
        <v/>
      </c>
      <c r="T58">
        <f>HYPERLINK("https://klasma.github.io/Logging_2034/kartor/A 40288-2023 karta.png", "A 40288-2023")</f>
        <v/>
      </c>
      <c r="V58">
        <f>HYPERLINK("https://klasma.github.io/Logging_2034/klagomål/A 40288-2023 FSC-klagomål.docx", "A 40288-2023")</f>
        <v/>
      </c>
      <c r="W58">
        <f>HYPERLINK("https://klasma.github.io/Logging_2034/klagomålsmail/A 40288-2023 FSC-klagomål mail.docx", "A 40288-2023")</f>
        <v/>
      </c>
      <c r="X58">
        <f>HYPERLINK("https://klasma.github.io/Logging_2034/tillsyn/A 40288-2023 tillsynsbegäran.docx", "A 40288-2023")</f>
        <v/>
      </c>
      <c r="Y58">
        <f>HYPERLINK("https://klasma.github.io/Logging_2034/tillsynsmail/A 40288-2023 tillsynsbegäran mail.docx", "A 40288-2023")</f>
        <v/>
      </c>
    </row>
    <row r="59" ht="15" customHeight="1">
      <c r="A59" t="inlineStr">
        <is>
          <t>A 46179-2023</t>
        </is>
      </c>
      <c r="B59" s="1" t="n">
        <v>45196</v>
      </c>
      <c r="C59" s="1" t="n">
        <v>45640</v>
      </c>
      <c r="D59" t="inlineStr">
        <is>
          <t>DALARNAS LÄN</t>
        </is>
      </c>
      <c r="E59" t="inlineStr">
        <is>
          <t>ORSA</t>
        </is>
      </c>
      <c r="G59" t="n">
        <v>4.1</v>
      </c>
      <c r="H59" t="n">
        <v>0</v>
      </c>
      <c r="I59" t="n">
        <v>1</v>
      </c>
      <c r="J59" t="n">
        <v>0</v>
      </c>
      <c r="K59" t="n">
        <v>0</v>
      </c>
      <c r="L59" t="n">
        <v>0</v>
      </c>
      <c r="M59" t="n">
        <v>0</v>
      </c>
      <c r="N59" t="n">
        <v>0</v>
      </c>
      <c r="O59" t="n">
        <v>0</v>
      </c>
      <c r="P59" t="n">
        <v>0</v>
      </c>
      <c r="Q59" t="n">
        <v>1</v>
      </c>
      <c r="R59" s="2" t="inlineStr">
        <is>
          <t>Dropptaggsvamp</t>
        </is>
      </c>
      <c r="S59">
        <f>HYPERLINK("https://klasma.github.io/Logging_2034/artfynd/A 46179-2023 artfynd.xlsx", "A 46179-2023")</f>
        <v/>
      </c>
      <c r="T59">
        <f>HYPERLINK("https://klasma.github.io/Logging_2034/kartor/A 46179-2023 karta.png", "A 46179-2023")</f>
        <v/>
      </c>
      <c r="V59">
        <f>HYPERLINK("https://klasma.github.io/Logging_2034/klagomål/A 46179-2023 FSC-klagomål.docx", "A 46179-2023")</f>
        <v/>
      </c>
      <c r="W59">
        <f>HYPERLINK("https://klasma.github.io/Logging_2034/klagomålsmail/A 46179-2023 FSC-klagomål mail.docx", "A 46179-2023")</f>
        <v/>
      </c>
      <c r="X59">
        <f>HYPERLINK("https://klasma.github.io/Logging_2034/tillsyn/A 46179-2023 tillsynsbegäran.docx", "A 46179-2023")</f>
        <v/>
      </c>
      <c r="Y59">
        <f>HYPERLINK("https://klasma.github.io/Logging_2034/tillsynsmail/A 46179-2023 tillsynsbegäran mail.docx", "A 46179-2023")</f>
        <v/>
      </c>
    </row>
    <row r="60" ht="15" customHeight="1">
      <c r="A60" t="inlineStr">
        <is>
          <t>A 48452-2023</t>
        </is>
      </c>
      <c r="B60" s="1" t="n">
        <v>45206</v>
      </c>
      <c r="C60" s="1" t="n">
        <v>45640</v>
      </c>
      <c r="D60" t="inlineStr">
        <is>
          <t>DALARNAS LÄN</t>
        </is>
      </c>
      <c r="E60" t="inlineStr">
        <is>
          <t>ORSA</t>
        </is>
      </c>
      <c r="G60" t="n">
        <v>1.5</v>
      </c>
      <c r="H60" t="n">
        <v>0</v>
      </c>
      <c r="I60" t="n">
        <v>0</v>
      </c>
      <c r="J60" t="n">
        <v>1</v>
      </c>
      <c r="K60" t="n">
        <v>0</v>
      </c>
      <c r="L60" t="n">
        <v>0</v>
      </c>
      <c r="M60" t="n">
        <v>0</v>
      </c>
      <c r="N60" t="n">
        <v>0</v>
      </c>
      <c r="O60" t="n">
        <v>1</v>
      </c>
      <c r="P60" t="n">
        <v>0</v>
      </c>
      <c r="Q60" t="n">
        <v>1</v>
      </c>
      <c r="R60" s="2" t="inlineStr">
        <is>
          <t>Motaggsvamp</t>
        </is>
      </c>
      <c r="S60">
        <f>HYPERLINK("https://klasma.github.io/Logging_2034/artfynd/A 48452-2023 artfynd.xlsx", "A 48452-2023")</f>
        <v/>
      </c>
      <c r="T60">
        <f>HYPERLINK("https://klasma.github.io/Logging_2034/kartor/A 48452-2023 karta.png", "A 48452-2023")</f>
        <v/>
      </c>
      <c r="V60">
        <f>HYPERLINK("https://klasma.github.io/Logging_2034/klagomål/A 48452-2023 FSC-klagomål.docx", "A 48452-2023")</f>
        <v/>
      </c>
      <c r="W60">
        <f>HYPERLINK("https://klasma.github.io/Logging_2034/klagomålsmail/A 48452-2023 FSC-klagomål mail.docx", "A 48452-2023")</f>
        <v/>
      </c>
      <c r="X60">
        <f>HYPERLINK("https://klasma.github.io/Logging_2034/tillsyn/A 48452-2023 tillsynsbegäran.docx", "A 48452-2023")</f>
        <v/>
      </c>
      <c r="Y60">
        <f>HYPERLINK("https://klasma.github.io/Logging_2034/tillsynsmail/A 48452-2023 tillsynsbegäran mail.docx", "A 48452-2023")</f>
        <v/>
      </c>
    </row>
    <row r="61" ht="15" customHeight="1">
      <c r="A61" t="inlineStr">
        <is>
          <t>A 49515-2023</t>
        </is>
      </c>
      <c r="B61" s="1" t="n">
        <v>45211</v>
      </c>
      <c r="C61" s="1" t="n">
        <v>45640</v>
      </c>
      <c r="D61" t="inlineStr">
        <is>
          <t>DALARNAS LÄN</t>
        </is>
      </c>
      <c r="E61" t="inlineStr">
        <is>
          <t>ORSA</t>
        </is>
      </c>
      <c r="F61" t="inlineStr">
        <is>
          <t>Allmännings- och besparingsskogar</t>
        </is>
      </c>
      <c r="G61" t="n">
        <v>17.5</v>
      </c>
      <c r="H61" t="n">
        <v>0</v>
      </c>
      <c r="I61" t="n">
        <v>1</v>
      </c>
      <c r="J61" t="n">
        <v>0</v>
      </c>
      <c r="K61" t="n">
        <v>0</v>
      </c>
      <c r="L61" t="n">
        <v>0</v>
      </c>
      <c r="M61" t="n">
        <v>0</v>
      </c>
      <c r="N61" t="n">
        <v>0</v>
      </c>
      <c r="O61" t="n">
        <v>0</v>
      </c>
      <c r="P61" t="n">
        <v>0</v>
      </c>
      <c r="Q61" t="n">
        <v>1</v>
      </c>
      <c r="R61" s="2" t="inlineStr">
        <is>
          <t>Skarp dropptaggsvamp</t>
        </is>
      </c>
      <c r="S61">
        <f>HYPERLINK("https://klasma.github.io/Logging_2034/artfynd/A 49515-2023 artfynd.xlsx", "A 49515-2023")</f>
        <v/>
      </c>
      <c r="T61">
        <f>HYPERLINK("https://klasma.github.io/Logging_2034/kartor/A 49515-2023 karta.png", "A 49515-2023")</f>
        <v/>
      </c>
      <c r="V61">
        <f>HYPERLINK("https://klasma.github.io/Logging_2034/klagomål/A 49515-2023 FSC-klagomål.docx", "A 49515-2023")</f>
        <v/>
      </c>
      <c r="W61">
        <f>HYPERLINK("https://klasma.github.io/Logging_2034/klagomålsmail/A 49515-2023 FSC-klagomål mail.docx", "A 49515-2023")</f>
        <v/>
      </c>
      <c r="X61">
        <f>HYPERLINK("https://klasma.github.io/Logging_2034/tillsyn/A 49515-2023 tillsynsbegäran.docx", "A 49515-2023")</f>
        <v/>
      </c>
      <c r="Y61">
        <f>HYPERLINK("https://klasma.github.io/Logging_2034/tillsynsmail/A 49515-2023 tillsynsbegäran mail.docx", "A 49515-2023")</f>
        <v/>
      </c>
    </row>
    <row r="62" ht="15" customHeight="1">
      <c r="A62" t="inlineStr">
        <is>
          <t>A 30493-2024</t>
        </is>
      </c>
      <c r="B62" s="1" t="n">
        <v>45492</v>
      </c>
      <c r="C62" s="1" t="n">
        <v>45640</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26119-2019</t>
        </is>
      </c>
      <c r="B63" s="1" t="n">
        <v>43609</v>
      </c>
      <c r="C63" s="1" t="n">
        <v>45640</v>
      </c>
      <c r="D63" t="inlineStr">
        <is>
          <t>DALARNAS LÄN</t>
        </is>
      </c>
      <c r="E63" t="inlineStr">
        <is>
          <t>ORSA</t>
        </is>
      </c>
      <c r="F63" t="inlineStr">
        <is>
          <t>Allmännings- och besparingsskogar</t>
        </is>
      </c>
      <c r="G63" t="n">
        <v>4.7</v>
      </c>
      <c r="H63" t="n">
        <v>0</v>
      </c>
      <c r="I63" t="n">
        <v>0</v>
      </c>
      <c r="J63" t="n">
        <v>0</v>
      </c>
      <c r="K63" t="n">
        <v>0</v>
      </c>
      <c r="L63" t="n">
        <v>0</v>
      </c>
      <c r="M63" t="n">
        <v>0</v>
      </c>
      <c r="N63" t="n">
        <v>0</v>
      </c>
      <c r="O63" t="n">
        <v>0</v>
      </c>
      <c r="P63" t="n">
        <v>0</v>
      </c>
      <c r="Q63" t="n">
        <v>0</v>
      </c>
      <c r="R63" s="2" t="inlineStr"/>
    </row>
    <row r="64" ht="15" customHeight="1">
      <c r="A64" t="inlineStr">
        <is>
          <t>A 28464-2019</t>
        </is>
      </c>
      <c r="B64" s="1" t="n">
        <v>43626</v>
      </c>
      <c r="C64" s="1" t="n">
        <v>45640</v>
      </c>
      <c r="D64" t="inlineStr">
        <is>
          <t>DALARNAS LÄN</t>
        </is>
      </c>
      <c r="E64" t="inlineStr">
        <is>
          <t>ORSA</t>
        </is>
      </c>
      <c r="F64" t="inlineStr">
        <is>
          <t>Bergvik skog öst AB</t>
        </is>
      </c>
      <c r="G64" t="n">
        <v>0.8</v>
      </c>
      <c r="H64" t="n">
        <v>0</v>
      </c>
      <c r="I64" t="n">
        <v>0</v>
      </c>
      <c r="J64" t="n">
        <v>0</v>
      </c>
      <c r="K64" t="n">
        <v>0</v>
      </c>
      <c r="L64" t="n">
        <v>0</v>
      </c>
      <c r="M64" t="n">
        <v>0</v>
      </c>
      <c r="N64" t="n">
        <v>0</v>
      </c>
      <c r="O64" t="n">
        <v>0</v>
      </c>
      <c r="P64" t="n">
        <v>0</v>
      </c>
      <c r="Q64" t="n">
        <v>0</v>
      </c>
      <c r="R64" s="2" t="inlineStr"/>
    </row>
    <row r="65" ht="15" customHeight="1">
      <c r="A65" t="inlineStr">
        <is>
          <t>A 31099-2019</t>
        </is>
      </c>
      <c r="B65" s="1" t="n">
        <v>43640</v>
      </c>
      <c r="C65" s="1" t="n">
        <v>45640</v>
      </c>
      <c r="D65" t="inlineStr">
        <is>
          <t>DALARNAS LÄN</t>
        </is>
      </c>
      <c r="E65" t="inlineStr">
        <is>
          <t>ORSA</t>
        </is>
      </c>
      <c r="F65" t="inlineStr">
        <is>
          <t>Allmännings- och besparingsskogar</t>
        </is>
      </c>
      <c r="G65" t="n">
        <v>5</v>
      </c>
      <c r="H65" t="n">
        <v>0</v>
      </c>
      <c r="I65" t="n">
        <v>0</v>
      </c>
      <c r="J65" t="n">
        <v>0</v>
      </c>
      <c r="K65" t="n">
        <v>0</v>
      </c>
      <c r="L65" t="n">
        <v>0</v>
      </c>
      <c r="M65" t="n">
        <v>0</v>
      </c>
      <c r="N65" t="n">
        <v>0</v>
      </c>
      <c r="O65" t="n">
        <v>0</v>
      </c>
      <c r="P65" t="n">
        <v>0</v>
      </c>
      <c r="Q65" t="n">
        <v>0</v>
      </c>
      <c r="R65" s="2" t="inlineStr"/>
    </row>
    <row r="66" ht="15" customHeight="1">
      <c r="A66" t="inlineStr">
        <is>
          <t>A 31956-2019</t>
        </is>
      </c>
      <c r="B66" s="1" t="n">
        <v>43643</v>
      </c>
      <c r="C66" s="1" t="n">
        <v>45640</v>
      </c>
      <c r="D66" t="inlineStr">
        <is>
          <t>DALARNAS LÄN</t>
        </is>
      </c>
      <c r="E66" t="inlineStr">
        <is>
          <t>ORSA</t>
        </is>
      </c>
      <c r="F66" t="inlineStr">
        <is>
          <t>Bergvik skog öst AB</t>
        </is>
      </c>
      <c r="G66" t="n">
        <v>1.3</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45640</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45640</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45640</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45640</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45640</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45640</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45640</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45640</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45640</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45640</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45640</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45640</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45640</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45640</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45640</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45640</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45640</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45640</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45640</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45640</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45640</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45640</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45640</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45640</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45640</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45640</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45640</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45640</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45640</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45640</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45640</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45640</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45640</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45640</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45640</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45640</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45640</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45640</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45640</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45640</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45640</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45640</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45640</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45640</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45640</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45640</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45640</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45640</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45640</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45640</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45640</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45640</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45640</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45640</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45640</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45640</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45640</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45640</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45640</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45640</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45640</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45640</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45640</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45640</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45640</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45640</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45640</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45640</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45640</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45640</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45640</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45640</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45640</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45640</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45640</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45640</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45640</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45640</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45640</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45640</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45640</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45640</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45640</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45640</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45640</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45640</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45640</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45640</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45640</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45640</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45640</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45640</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45640</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45640</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45640</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45640</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45640</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45640</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45640</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45640</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45640</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45640</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45640</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45640</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45640</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45640</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45640</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45640</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45640</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45640</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45640</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45640</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45640</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45640</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45640</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45640</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45640</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45640</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45640</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45640</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45640</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45640</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45640</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45640</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45640</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45640</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45640</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45640</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45640</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45640</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45640</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45640</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45640</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45640</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45640</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45640</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45640</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45640</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45640</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45640</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45640</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45640</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45640</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45640</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45640</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45640</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45640</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45640</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45640</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45640</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45640</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45640</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45640</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45640</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45640</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45640</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45640</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45640</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45640</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45640</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45640</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45640</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45640</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45640</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45640</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45640</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45640</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45640</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45640</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45640</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45640</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45640</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45640</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45640</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45640</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45640</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45640</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45640</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45640</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45640</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45640</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45640</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45640</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45640</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45640</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45640</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45640</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45640</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45640</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45640</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45640</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45640</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45640</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45640</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45640</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45640</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45640</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45640</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45640</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45640</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45640</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45640</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45640</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45640</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45640</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45640</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45640</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45640</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45640</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45640</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45640</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45640</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45640</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45640</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45640</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45640</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45640</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45640</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45640</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45640</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45640</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45640</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45640</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45640</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45640</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45640</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45640</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45640</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45640</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45640</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45640</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45640</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45640</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45640</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45640</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45640</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45640</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45640</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45640</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45640</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45640</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45640</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45640</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45640</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45640</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45640</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45640</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45640</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45640</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45640</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45640</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45640</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45640</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45640</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45640</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45640</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45640</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45640</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45640</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45640</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45640</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45640</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45640</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45640</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45640</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45640</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45640</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45640</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45640</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45640</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45640</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45640</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45640</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45640</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45640</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45640</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45640</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45640</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45640</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45640</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45640</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45640</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45640</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45640</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45640</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45640</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45640</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45640</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45640</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45640</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45640</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45640</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45640</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45640</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45640</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45640</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45640</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45640</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45640</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45640</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45640</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45640</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45640</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45640</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45640</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45640</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45640</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45640</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45640</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45640</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45640</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45640</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45640</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45640</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45640</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45640</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45640</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45640</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45640</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45640</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45640</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45640</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45640</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45640</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45640</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45640</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45640</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45640</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45640</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45640</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45640</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45640</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45640</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45640</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45640</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45640</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45640</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45640</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45640</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45640</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45640</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45640</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45640</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45640</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45640</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45640</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45640</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45640</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45640</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45640</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45640</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45640</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45640</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45640</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45640</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45640</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45640</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45640</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45640</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45640</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45640</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45640</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45640</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45640</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45640</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45640</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45640</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45640</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45640</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45640</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45640</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45640</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45640</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45640</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45640</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45640</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45640</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45640</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45640</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45640</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45640</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45640</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45640</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45640</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45640</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45640</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45640</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45640</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45640</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45640</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45640</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45640</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45640</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45640</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45640</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45640</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45640</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45640</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45640</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45640</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45640</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45640</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45640</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45640</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45640</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45640</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45640</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45640</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45640</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45640</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45640</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45640</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45640</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45640</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45640</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45640</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45640</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45640</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45640</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45640</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45640</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45640</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45640</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45640</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45640</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45640</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45640</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45640</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45640</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45640</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45640</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45640</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45640</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45640</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45640</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45640</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45640</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45640</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45640</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45640</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45640</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45640</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45640</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45640</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45640</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45640</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45640</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45640</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45640</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45640</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45640</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45640</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45640</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45640</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45640</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45640</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45640</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45640</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45640</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45640</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45640</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45640</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45640</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45640</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45640</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45640</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45640</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45640</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45640</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45640</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45640</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45640</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45640</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45640</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45640</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45640</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45640</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45640</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45640</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45640</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45640</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45640</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45640</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45640</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45640</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45640</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45640</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45640</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45640</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45640</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45640</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45640</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45640</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45640</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45640</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45640</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45640</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45640</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45640</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45640</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45640</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45640</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45640</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45640</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45640</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45640</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45640</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45640</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45640</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45640</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45640</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45640</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45640</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45640</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45640</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45640</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45640</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45640</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45640</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45640</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45640</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45640</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45640</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45640</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45640</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45640</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45640</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45640</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45640</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45640</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45640</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45640</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45640</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45640</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45640</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45640</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45640</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45640</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45640</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45640</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45640</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45640</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45640</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45640</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45640</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45640</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45640</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45640</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45640</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45640</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45640</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45640</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45640</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45640</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45640</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45640</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45640</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45640</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45640</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45640</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45640</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45640</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45640</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45640</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45640</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45640</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45640</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45640</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45640</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45640</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45640</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45640</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45640</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45640</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45640</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45640</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45640</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45640</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45640</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45640</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45640</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45640</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45640</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45640</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45640</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45640</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45640</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45640</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45640</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45640</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45640</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45640</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45640</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45640</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45640</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45640</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45640</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45640</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45640</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45640</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45640</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45640</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45640</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45640</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45640</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45640</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45640</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45640</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45640</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45640</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45640</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45640</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45640</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45640</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45640</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45640</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45640</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45640</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45640</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45640</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45640</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45640</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45640</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45640</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45640</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45640</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51862-2024</t>
        </is>
      </c>
      <c r="B693" s="1" t="n">
        <v>45607</v>
      </c>
      <c r="C693" s="1" t="n">
        <v>45640</v>
      </c>
      <c r="D693" t="inlineStr">
        <is>
          <t>DALARNAS LÄN</t>
        </is>
      </c>
      <c r="E693" t="inlineStr">
        <is>
          <t>ORSA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51764-2024</t>
        </is>
      </c>
      <c r="B694" s="1" t="n">
        <v>45607</v>
      </c>
      <c r="C694" s="1" t="n">
        <v>45640</v>
      </c>
      <c r="D694" t="inlineStr">
        <is>
          <t>DALARNAS LÄN</t>
        </is>
      </c>
      <c r="E694" t="inlineStr">
        <is>
          <t>ORSA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45640</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45640</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52640-2024</t>
        </is>
      </c>
      <c r="B697" s="1" t="n">
        <v>45610</v>
      </c>
      <c r="C697" s="1" t="n">
        <v>45640</v>
      </c>
      <c r="D697" t="inlineStr">
        <is>
          <t>DALARNAS LÄN</t>
        </is>
      </c>
      <c r="E697" t="inlineStr">
        <is>
          <t>ORSA</t>
        </is>
      </c>
      <c r="G697" t="n">
        <v>1.2</v>
      </c>
      <c r="H697" t="n">
        <v>0</v>
      </c>
      <c r="I697" t="n">
        <v>0</v>
      </c>
      <c r="J697" t="n">
        <v>0</v>
      </c>
      <c r="K697" t="n">
        <v>0</v>
      </c>
      <c r="L697" t="n">
        <v>0</v>
      </c>
      <c r="M697" t="n">
        <v>0</v>
      </c>
      <c r="N697" t="n">
        <v>0</v>
      </c>
      <c r="O697" t="n">
        <v>0</v>
      </c>
      <c r="P697" t="n">
        <v>0</v>
      </c>
      <c r="Q697" t="n">
        <v>0</v>
      </c>
      <c r="R697" s="2" t="inlineStr"/>
    </row>
    <row r="698" ht="15" customHeight="1">
      <c r="A698" t="inlineStr">
        <is>
          <t>A 52925-2024</t>
        </is>
      </c>
      <c r="B698" s="1" t="n">
        <v>45610</v>
      </c>
      <c r="C698" s="1" t="n">
        <v>45640</v>
      </c>
      <c r="D698" t="inlineStr">
        <is>
          <t>DALARNAS LÄN</t>
        </is>
      </c>
      <c r="E698" t="inlineStr">
        <is>
          <t>ORSA</t>
        </is>
      </c>
      <c r="F698" t="inlineStr">
        <is>
          <t>Allmännings- och besparingsskogar</t>
        </is>
      </c>
      <c r="G698" t="n">
        <v>2.5</v>
      </c>
      <c r="H698" t="n">
        <v>0</v>
      </c>
      <c r="I698" t="n">
        <v>0</v>
      </c>
      <c r="J698" t="n">
        <v>0</v>
      </c>
      <c r="K698" t="n">
        <v>0</v>
      </c>
      <c r="L698" t="n">
        <v>0</v>
      </c>
      <c r="M698" t="n">
        <v>0</v>
      </c>
      <c r="N698" t="n">
        <v>0</v>
      </c>
      <c r="O698" t="n">
        <v>0</v>
      </c>
      <c r="P698" t="n">
        <v>0</v>
      </c>
      <c r="Q698" t="n">
        <v>0</v>
      </c>
      <c r="R698" s="2" t="inlineStr"/>
    </row>
    <row r="699" ht="15" customHeight="1">
      <c r="A699" t="inlineStr">
        <is>
          <t>A 52816-2024</t>
        </is>
      </c>
      <c r="B699" s="1" t="n">
        <v>45610</v>
      </c>
      <c r="C699" s="1" t="n">
        <v>45640</v>
      </c>
      <c r="D699" t="inlineStr">
        <is>
          <t>DALARNAS LÄN</t>
        </is>
      </c>
      <c r="E699" t="inlineStr">
        <is>
          <t>ORSA</t>
        </is>
      </c>
      <c r="F699" t="inlineStr">
        <is>
          <t>Bergvik skog öst AB</t>
        </is>
      </c>
      <c r="G699" t="n">
        <v>2.2</v>
      </c>
      <c r="H699" t="n">
        <v>0</v>
      </c>
      <c r="I699" t="n">
        <v>0</v>
      </c>
      <c r="J699" t="n">
        <v>0</v>
      </c>
      <c r="K699" t="n">
        <v>0</v>
      </c>
      <c r="L699" t="n">
        <v>0</v>
      </c>
      <c r="M699" t="n">
        <v>0</v>
      </c>
      <c r="N699" t="n">
        <v>0</v>
      </c>
      <c r="O699" t="n">
        <v>0</v>
      </c>
      <c r="P699" t="n">
        <v>0</v>
      </c>
      <c r="Q699" t="n">
        <v>0</v>
      </c>
      <c r="R699" s="2" t="inlineStr"/>
    </row>
    <row r="700" ht="15" customHeight="1">
      <c r="A700" t="inlineStr">
        <is>
          <t>A 52643-2024</t>
        </is>
      </c>
      <c r="B700" s="1" t="n">
        <v>45610</v>
      </c>
      <c r="C700" s="1" t="n">
        <v>45640</v>
      </c>
      <c r="D700" t="inlineStr">
        <is>
          <t>DALARNAS LÄN</t>
        </is>
      </c>
      <c r="E700" t="inlineStr">
        <is>
          <t>ORSA</t>
        </is>
      </c>
      <c r="G700" t="n">
        <v>1.5</v>
      </c>
      <c r="H700" t="n">
        <v>0</v>
      </c>
      <c r="I700" t="n">
        <v>0</v>
      </c>
      <c r="J700" t="n">
        <v>0</v>
      </c>
      <c r="K700" t="n">
        <v>0</v>
      </c>
      <c r="L700" t="n">
        <v>0</v>
      </c>
      <c r="M700" t="n">
        <v>0</v>
      </c>
      <c r="N700" t="n">
        <v>0</v>
      </c>
      <c r="O700" t="n">
        <v>0</v>
      </c>
      <c r="P700" t="n">
        <v>0</v>
      </c>
      <c r="Q700" t="n">
        <v>0</v>
      </c>
      <c r="R700" s="2" t="inlineStr"/>
    </row>
    <row r="701" ht="15" customHeight="1">
      <c r="A701" t="inlineStr">
        <is>
          <t>A 52903-2024</t>
        </is>
      </c>
      <c r="B701" s="1" t="n">
        <v>45610</v>
      </c>
      <c r="C701" s="1" t="n">
        <v>45640</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52923-2024</t>
        </is>
      </c>
      <c r="B702" s="1" t="n">
        <v>45610</v>
      </c>
      <c r="C702" s="1" t="n">
        <v>45640</v>
      </c>
      <c r="D702" t="inlineStr">
        <is>
          <t>DALARNAS LÄN</t>
        </is>
      </c>
      <c r="E702" t="inlineStr">
        <is>
          <t>ORSA</t>
        </is>
      </c>
      <c r="F702" t="inlineStr">
        <is>
          <t>Allmännings- och besparingsskogar</t>
        </is>
      </c>
      <c r="G702" t="n">
        <v>1.4</v>
      </c>
      <c r="H702" t="n">
        <v>0</v>
      </c>
      <c r="I702" t="n">
        <v>0</v>
      </c>
      <c r="J702" t="n">
        <v>0</v>
      </c>
      <c r="K702" t="n">
        <v>0</v>
      </c>
      <c r="L702" t="n">
        <v>0</v>
      </c>
      <c r="M702" t="n">
        <v>0</v>
      </c>
      <c r="N702" t="n">
        <v>0</v>
      </c>
      <c r="O702" t="n">
        <v>0</v>
      </c>
      <c r="P702" t="n">
        <v>0</v>
      </c>
      <c r="Q702" t="n">
        <v>0</v>
      </c>
      <c r="R702" s="2" t="inlineStr"/>
    </row>
    <row r="703" ht="15" customHeight="1">
      <c r="A703" t="inlineStr">
        <is>
          <t>A 52927-2024</t>
        </is>
      </c>
      <c r="B703" s="1" t="n">
        <v>45610</v>
      </c>
      <c r="C703" s="1" t="n">
        <v>45640</v>
      </c>
      <c r="D703" t="inlineStr">
        <is>
          <t>DALARNAS LÄN</t>
        </is>
      </c>
      <c r="E703" t="inlineStr">
        <is>
          <t>ORSA</t>
        </is>
      </c>
      <c r="F703" t="inlineStr">
        <is>
          <t>Allmännings- och besparingsskogar</t>
        </is>
      </c>
      <c r="G703" t="n">
        <v>1.6</v>
      </c>
      <c r="H703" t="n">
        <v>0</v>
      </c>
      <c r="I703" t="n">
        <v>0</v>
      </c>
      <c r="J703" t="n">
        <v>0</v>
      </c>
      <c r="K703" t="n">
        <v>0</v>
      </c>
      <c r="L703" t="n">
        <v>0</v>
      </c>
      <c r="M703" t="n">
        <v>0</v>
      </c>
      <c r="N703" t="n">
        <v>0</v>
      </c>
      <c r="O703" t="n">
        <v>0</v>
      </c>
      <c r="P703" t="n">
        <v>0</v>
      </c>
      <c r="Q703" t="n">
        <v>0</v>
      </c>
      <c r="R703" s="2" t="inlineStr"/>
    </row>
    <row r="704" ht="15" customHeight="1">
      <c r="A704" t="inlineStr">
        <is>
          <t>A 52931-2024</t>
        </is>
      </c>
      <c r="B704" s="1" t="n">
        <v>45610</v>
      </c>
      <c r="C704" s="1" t="n">
        <v>45640</v>
      </c>
      <c r="D704" t="inlineStr">
        <is>
          <t>DALARNAS LÄN</t>
        </is>
      </c>
      <c r="E704" t="inlineStr">
        <is>
          <t>ORSA</t>
        </is>
      </c>
      <c r="F704" t="inlineStr">
        <is>
          <t>Allmännings- och besparingsskogar</t>
        </is>
      </c>
      <c r="G704" t="n">
        <v>27.5</v>
      </c>
      <c r="H704" t="n">
        <v>0</v>
      </c>
      <c r="I704" t="n">
        <v>0</v>
      </c>
      <c r="J704" t="n">
        <v>0</v>
      </c>
      <c r="K704" t="n">
        <v>0</v>
      </c>
      <c r="L704" t="n">
        <v>0</v>
      </c>
      <c r="M704" t="n">
        <v>0</v>
      </c>
      <c r="N704" t="n">
        <v>0</v>
      </c>
      <c r="O704" t="n">
        <v>0</v>
      </c>
      <c r="P704" t="n">
        <v>0</v>
      </c>
      <c r="Q704" t="n">
        <v>0</v>
      </c>
      <c r="R704" s="2" t="inlineStr"/>
    </row>
    <row r="705" ht="15" customHeight="1">
      <c r="A705" t="inlineStr">
        <is>
          <t>A 52926-2024</t>
        </is>
      </c>
      <c r="B705" s="1" t="n">
        <v>45610</v>
      </c>
      <c r="C705" s="1" t="n">
        <v>45640</v>
      </c>
      <c r="D705" t="inlineStr">
        <is>
          <t>DALARNAS LÄN</t>
        </is>
      </c>
      <c r="E705" t="inlineStr">
        <is>
          <t>ORSA</t>
        </is>
      </c>
      <c r="F705" t="inlineStr">
        <is>
          <t>Allmännings- och besparingsskogar</t>
        </is>
      </c>
      <c r="G705" t="n">
        <v>0.8</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45640</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53703-2024</t>
        </is>
      </c>
      <c r="B707" s="1" t="n">
        <v>45615</v>
      </c>
      <c r="C707" s="1" t="n">
        <v>45640</v>
      </c>
      <c r="D707" t="inlineStr">
        <is>
          <t>DALARNAS LÄN</t>
        </is>
      </c>
      <c r="E707" t="inlineStr">
        <is>
          <t>ORSA</t>
        </is>
      </c>
      <c r="G707" t="n">
        <v>1.4</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45640</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45640</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53717-2024</t>
        </is>
      </c>
      <c r="B710" s="1" t="n">
        <v>45615</v>
      </c>
      <c r="C710" s="1" t="n">
        <v>45640</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45640</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45640</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45640</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45640</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45640</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45640</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45640</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56803-2024</t>
        </is>
      </c>
      <c r="B718" s="1" t="n">
        <v>45628</v>
      </c>
      <c r="C718" s="1" t="n">
        <v>45640</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56807-2024</t>
        </is>
      </c>
      <c r="B719" s="1" t="n">
        <v>45628</v>
      </c>
      <c r="C719" s="1" t="n">
        <v>45640</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56811-2024</t>
        </is>
      </c>
      <c r="B720" s="1" t="n">
        <v>45628</v>
      </c>
      <c r="C720" s="1" t="n">
        <v>45640</v>
      </c>
      <c r="D720" t="inlineStr">
        <is>
          <t>DALARNAS LÄN</t>
        </is>
      </c>
      <c r="E720" t="inlineStr">
        <is>
          <t>ORSA</t>
        </is>
      </c>
      <c r="G720" t="n">
        <v>1.3</v>
      </c>
      <c r="H720" t="n">
        <v>0</v>
      </c>
      <c r="I720" t="n">
        <v>0</v>
      </c>
      <c r="J720" t="n">
        <v>0</v>
      </c>
      <c r="K720" t="n">
        <v>0</v>
      </c>
      <c r="L720" t="n">
        <v>0</v>
      </c>
      <c r="M720" t="n">
        <v>0</v>
      </c>
      <c r="N720" t="n">
        <v>0</v>
      </c>
      <c r="O720" t="n">
        <v>0</v>
      </c>
      <c r="P720" t="n">
        <v>0</v>
      </c>
      <c r="Q720" t="n">
        <v>0</v>
      </c>
      <c r="R720" s="2" t="inlineStr"/>
    </row>
    <row r="721" ht="15" customHeight="1">
      <c r="A721" t="inlineStr">
        <is>
          <t>A 56887-2024</t>
        </is>
      </c>
      <c r="B721" s="1" t="n">
        <v>45628</v>
      </c>
      <c r="C721" s="1" t="n">
        <v>45640</v>
      </c>
      <c r="D721" t="inlineStr">
        <is>
          <t>DALARNAS LÄN</t>
        </is>
      </c>
      <c r="E721" t="inlineStr">
        <is>
          <t>ORSA</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56810-2024</t>
        </is>
      </c>
      <c r="B722" s="1" t="n">
        <v>45628</v>
      </c>
      <c r="C722" s="1" t="n">
        <v>45640</v>
      </c>
      <c r="D722" t="inlineStr">
        <is>
          <t>DALARNAS LÄN</t>
        </is>
      </c>
      <c r="E722" t="inlineStr">
        <is>
          <t>ORSA</t>
        </is>
      </c>
      <c r="G722" t="n">
        <v>0.9</v>
      </c>
      <c r="H722" t="n">
        <v>0</v>
      </c>
      <c r="I722" t="n">
        <v>0</v>
      </c>
      <c r="J722" t="n">
        <v>0</v>
      </c>
      <c r="K722" t="n">
        <v>0</v>
      </c>
      <c r="L722" t="n">
        <v>0</v>
      </c>
      <c r="M722" t="n">
        <v>0</v>
      </c>
      <c r="N722" t="n">
        <v>0</v>
      </c>
      <c r="O722" t="n">
        <v>0</v>
      </c>
      <c r="P722" t="n">
        <v>0</v>
      </c>
      <c r="Q722" t="n">
        <v>0</v>
      </c>
      <c r="R722" s="2" t="inlineStr"/>
    </row>
    <row r="723" ht="15" customHeight="1">
      <c r="A723" t="inlineStr">
        <is>
          <t>A 56942-2024</t>
        </is>
      </c>
      <c r="B723" s="1" t="n">
        <v>45628</v>
      </c>
      <c r="C723" s="1" t="n">
        <v>45640</v>
      </c>
      <c r="D723" t="inlineStr">
        <is>
          <t>DALARNAS LÄN</t>
        </is>
      </c>
      <c r="E723" t="inlineStr">
        <is>
          <t>ORSA</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58088-2024</t>
        </is>
      </c>
      <c r="B724" s="1" t="n">
        <v>45632</v>
      </c>
      <c r="C724" s="1" t="n">
        <v>45640</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row r="725" ht="15" customHeight="1">
      <c r="A725" t="inlineStr">
        <is>
          <t>A 58842-2024</t>
        </is>
      </c>
      <c r="B725" s="1" t="n">
        <v>45636</v>
      </c>
      <c r="C725" s="1" t="n">
        <v>45640</v>
      </c>
      <c r="D725" t="inlineStr">
        <is>
          <t>DALARNAS LÄN</t>
        </is>
      </c>
      <c r="E725" t="inlineStr">
        <is>
          <t>ORSA</t>
        </is>
      </c>
      <c r="G725" t="n">
        <v>2.8</v>
      </c>
      <c r="H725" t="n">
        <v>0</v>
      </c>
      <c r="I725" t="n">
        <v>0</v>
      </c>
      <c r="J725" t="n">
        <v>0</v>
      </c>
      <c r="K725" t="n">
        <v>0</v>
      </c>
      <c r="L725" t="n">
        <v>0</v>
      </c>
      <c r="M725" t="n">
        <v>0</v>
      </c>
      <c r="N725" t="n">
        <v>0</v>
      </c>
      <c r="O725" t="n">
        <v>0</v>
      </c>
      <c r="P725" t="n">
        <v>0</v>
      </c>
      <c r="Q725" t="n">
        <v>0</v>
      </c>
      <c r="R725" s="2" t="inlineStr"/>
    </row>
    <row r="726" ht="15" customHeight="1">
      <c r="A726" t="inlineStr">
        <is>
          <t>A 59414-2024</t>
        </is>
      </c>
      <c r="B726" s="1" t="n">
        <v>45638</v>
      </c>
      <c r="C726" s="1" t="n">
        <v>45640</v>
      </c>
      <c r="D726" t="inlineStr">
        <is>
          <t>DALARNAS LÄN</t>
        </is>
      </c>
      <c r="E726" t="inlineStr">
        <is>
          <t>ORSA</t>
        </is>
      </c>
      <c r="G726" t="n">
        <v>0.8</v>
      </c>
      <c r="H726" t="n">
        <v>0</v>
      </c>
      <c r="I726" t="n">
        <v>0</v>
      </c>
      <c r="J726" t="n">
        <v>0</v>
      </c>
      <c r="K726" t="n">
        <v>0</v>
      </c>
      <c r="L726" t="n">
        <v>0</v>
      </c>
      <c r="M726" t="n">
        <v>0</v>
      </c>
      <c r="N726" t="n">
        <v>0</v>
      </c>
      <c r="O726" t="n">
        <v>0</v>
      </c>
      <c r="P726" t="n">
        <v>0</v>
      </c>
      <c r="Q726" t="n">
        <v>0</v>
      </c>
      <c r="R726" s="2" t="inlineStr"/>
    </row>
    <row r="727">
      <c r="A727" t="inlineStr">
        <is>
          <t>A 59411-2024</t>
        </is>
      </c>
      <c r="B727" s="1" t="n">
        <v>45638</v>
      </c>
      <c r="C727" s="1" t="n">
        <v>45640</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2024-12-14T15:56:01Z</dcterms:created>
  <dcterms:modified xmlns:dcterms="http://purl.org/dc/terms/" xmlns:xsi="http://www.w3.org/2001/XMLSchema-instance" xsi:type="dcterms:W3CDTF">2024-12-14T15:56:02Z</dcterms:modified>
</cp:coreProperties>
</file>