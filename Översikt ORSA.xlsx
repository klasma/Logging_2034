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45572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45572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45572</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45572</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45572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45572</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45572</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45572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45572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45572</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45572</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45572</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45572</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45572</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45572</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45572</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45572</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45572</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45572</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45572</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45572</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45572</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45572</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45572</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45572</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45572</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45572</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45572</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45572</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45572</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45572</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45572</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45572</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45572</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45572</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45572</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45572</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45572</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45572</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45572</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45572</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45572</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45572</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45572</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45572</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45572</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45572</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45572</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45572</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45572</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45572</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45572</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45572</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45572</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45572</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45572</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45572</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43588-2024</t>
        </is>
      </c>
      <c r="B59" s="1" t="n">
        <v>45569</v>
      </c>
      <c r="C59" s="1" t="n">
        <v>45572</v>
      </c>
      <c r="D59" t="inlineStr">
        <is>
          <t>DALARNAS LÄN</t>
        </is>
      </c>
      <c r="E59" t="inlineStr">
        <is>
          <t>ORSA</t>
        </is>
      </c>
      <c r="G59" t="n">
        <v>6.4</v>
      </c>
      <c r="H59" t="n">
        <v>0</v>
      </c>
      <c r="I59" t="n">
        <v>1</v>
      </c>
      <c r="J59" t="n">
        <v>0</v>
      </c>
      <c r="K59" t="n">
        <v>0</v>
      </c>
      <c r="L59" t="n">
        <v>0</v>
      </c>
      <c r="M59" t="n">
        <v>0</v>
      </c>
      <c r="N59" t="n">
        <v>0</v>
      </c>
      <c r="O59" t="n">
        <v>0</v>
      </c>
      <c r="P59" t="n">
        <v>0</v>
      </c>
      <c r="Q59" t="n">
        <v>1</v>
      </c>
      <c r="R59" s="2" t="inlineStr">
        <is>
          <t>Thymalus limbatus</t>
        </is>
      </c>
      <c r="S59">
        <f>HYPERLINK("https://klasma.github.io/Logging_2034/artfynd/A 43588-2024 artfynd.xlsx", "A 43588-2024")</f>
        <v/>
      </c>
      <c r="T59">
        <f>HYPERLINK("https://klasma.github.io/Logging_2034/kartor/A 43588-2024 karta.png", "A 43588-2024")</f>
        <v/>
      </c>
      <c r="V59">
        <f>HYPERLINK("https://klasma.github.io/Logging_2034/klagomål/A 43588-2024 FSC-klagomål.docx", "A 43588-2024")</f>
        <v/>
      </c>
      <c r="W59">
        <f>HYPERLINK("https://klasma.github.io/Logging_2034/klagomålsmail/A 43588-2024 FSC-klagomål mail.docx", "A 43588-2024")</f>
        <v/>
      </c>
      <c r="X59">
        <f>HYPERLINK("https://klasma.github.io/Logging_2034/tillsyn/A 43588-2024 tillsynsbegäran.docx", "A 43588-2024")</f>
        <v/>
      </c>
      <c r="Y59">
        <f>HYPERLINK("https://klasma.github.io/Logging_2034/tillsynsmail/A 43588-2024 tillsynsbegäran mail.docx", "A 43588-2024")</f>
        <v/>
      </c>
    </row>
    <row r="60" ht="15" customHeight="1">
      <c r="A60" t="inlineStr">
        <is>
          <t>A 26119-2019</t>
        </is>
      </c>
      <c r="B60" s="1" t="n">
        <v>43609</v>
      </c>
      <c r="C60" s="1" t="n">
        <v>45572</v>
      </c>
      <c r="D60" t="inlineStr">
        <is>
          <t>DALARNAS LÄN</t>
        </is>
      </c>
      <c r="E60" t="inlineStr">
        <is>
          <t>ORSA</t>
        </is>
      </c>
      <c r="F60" t="inlineStr">
        <is>
          <t>Allmännings- och besparingsskogar</t>
        </is>
      </c>
      <c r="G60" t="n">
        <v>4.7</v>
      </c>
      <c r="H60" t="n">
        <v>0</v>
      </c>
      <c r="I60" t="n">
        <v>0</v>
      </c>
      <c r="J60" t="n">
        <v>0</v>
      </c>
      <c r="K60" t="n">
        <v>0</v>
      </c>
      <c r="L60" t="n">
        <v>0</v>
      </c>
      <c r="M60" t="n">
        <v>0</v>
      </c>
      <c r="N60" t="n">
        <v>0</v>
      </c>
      <c r="O60" t="n">
        <v>0</v>
      </c>
      <c r="P60" t="n">
        <v>0</v>
      </c>
      <c r="Q60" t="n">
        <v>0</v>
      </c>
      <c r="R60" s="2" t="inlineStr"/>
    </row>
    <row r="61" ht="15" customHeight="1">
      <c r="A61" t="inlineStr">
        <is>
          <t>A 27655-2019</t>
        </is>
      </c>
      <c r="B61" s="1" t="n">
        <v>43619</v>
      </c>
      <c r="C61" s="1" t="n">
        <v>45572</v>
      </c>
      <c r="D61" t="inlineStr">
        <is>
          <t>DALARNAS LÄN</t>
        </is>
      </c>
      <c r="E61" t="inlineStr">
        <is>
          <t>ORSA</t>
        </is>
      </c>
      <c r="F61" t="inlineStr">
        <is>
          <t>Bergvik skog öst AB</t>
        </is>
      </c>
      <c r="G61" t="n">
        <v>26.9</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45572</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45572</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45572</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45572</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45572</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45572</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45572</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45572</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45572</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45572</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45572</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45572</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45572</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45572</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45572</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45572</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45572</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45572</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45572</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45572</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45572</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45572</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45572</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45572</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45572</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45572</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45572</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45572</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45572</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45572</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45572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45572</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45572</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45572</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45572</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45572</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45572</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45572</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45572</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45572</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45572</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45572</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45572</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45572</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45572</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45572</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45572</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45572</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45572</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45572</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45572</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45572</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45572</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45572</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45572</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45572</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45572</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45572</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45572</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45572</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45572</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45572</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45572</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45572</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45572</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45572</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45572</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45572</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45572</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45572</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45572</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45572</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45572</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45572</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45572</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45572</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45572</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45572</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45572</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45572</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45572</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45572</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45572</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45572</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45572</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45572</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45572</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45572</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45572</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45572</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45572</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45572</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45572</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45572</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45572</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45572</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45572</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45572</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45572</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45572</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45572</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45572</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45572</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45572</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45572</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45572</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45572</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45572</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45572</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45572</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45572</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45572</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45572</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45572</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45572</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45572</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45572</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45572</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45572</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45572</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45572</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45572</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45572</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45572</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45572</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45572</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45572</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45572</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45572</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45572</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45572</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45572</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45572</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45572</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45572</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45572</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45572</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45572</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45572</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45572</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45572</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45572</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45572</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45572</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45572</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45572</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45572</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45572</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45572</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45572</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45572</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45572</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45572</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45572</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45572</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45572</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45572</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45572</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45572</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45572</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45572</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45572</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45572</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45572</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45572</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45572</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45572</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45572</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45572</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45572</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45572</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45572</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45572</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45572</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45572</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45572</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45572</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45572</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45572</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45572</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45572</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45572</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45572</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45572</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45572</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45572</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45572</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45572</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45572</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45572</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45572</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45572</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45572</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45572</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45572</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45572</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45572</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45572</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45572</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45572</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45572</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45572</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45572</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45572</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45572</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45572</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45572</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45572</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45572</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45572</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45572</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45572</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45572</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45572</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45572</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45572</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45572</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45572</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45572</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45572</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45572</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45572</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45572</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45572</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45572</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45572</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45572</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45572</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45572</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45572</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45572</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45572</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45572</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45572</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45572</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45572</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45572</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45572</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45572</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45572</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45572</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45572</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45572</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45572</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45572</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45572</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45572</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45572</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45572</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45572</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45572</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45572</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45572</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45572</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45572</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45572</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45572</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45572</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45572</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45572</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45572</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45572</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45572</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45572</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45572</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45572</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45572</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45572</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45572</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45572</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45572</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45572</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45572</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45572</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45572</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45572</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45572</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45572</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45572</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45572</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45572</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45572</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45572</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45572</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45572</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45572</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45572</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45572</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45572</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45572</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45572</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45572</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45572</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45572</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45572</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45572</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45572</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45572</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45572</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45572</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45572</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45572</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45572</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45572</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45572</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45572</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45572</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45572</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45572</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45572</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45572</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45572</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45572</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45572</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45572</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45572</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45572</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45572</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45572</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45572</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45572</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45572</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45572</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45572</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45572</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45572</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45572</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45572</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45572</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45572</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45572</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45572</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45572</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45572</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45572</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45572</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45572</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45572</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45572</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45572</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45572</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45572</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45572</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45572</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45572</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45572</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45572</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45572</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45572</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45572</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45572</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45572</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45572</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45572</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45572</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45572</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45572</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45572</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45572</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45572</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45572</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45572</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45572</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45572</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45572</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45572</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45572</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45572</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45572</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45572</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45572</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45572</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45572</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45572</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45572</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45572</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45572</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45572</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45572</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45572</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45572</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45572</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45572</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45572</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45572</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45572</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45572</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45572</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45572</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45572</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45572</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45572</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45572</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45572</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45572</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45572</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45572</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45572</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45572</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45572</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45572</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45572</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45572</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45572</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45572</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45572</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45572</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45572</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45572</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45572</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45572</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45572</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45572</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45572</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45572</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45572</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45572</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45572</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45572</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45572</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45572</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45572</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45572</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45572</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45572</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45572</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45572</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45572</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45572</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45572</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45572</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45572</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45572</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45572</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45572</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45572</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45572</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45572</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45572</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45572</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45572</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45572</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45572</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45572</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45572</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45572</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45572</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45572</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45572</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45572</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45572</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45572</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45572</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45572</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45572</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45572</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45572</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45572</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45572</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45572</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45572</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45572</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45572</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45572</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45572</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45572</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45572</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45572</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45572</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45572</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45572</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45572</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45572</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45572</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45572</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45572</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45572</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45572</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45572</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45572</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45572</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45572</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45572</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45572</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45572</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45572</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45572</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45572</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45572</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45572</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45572</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45572</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45572</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45572</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45572</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45572</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45572</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45572</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45572</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45572</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45572</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45572</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45572</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45572</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45572</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45572</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45572</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45572</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45572</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45572</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45572</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45572</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45572</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45572</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45572</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45572</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45572</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45572</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45572</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45572</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45572</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45572</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45572</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45572</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45572</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45572</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45572</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45572</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45572</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45572</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45572</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45572</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45572</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45572</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45572</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45572</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45572</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45572</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45572</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45572</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45572</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45572</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45572</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45572</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45572</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45572</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45572</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45572</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45572</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45572</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45572</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45572</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45572</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45572</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45572</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45572</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45572</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45572</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45572</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45572</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45572</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45572</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45572</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45572</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45572</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45572</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45572</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45572</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45572</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45572</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45572</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45572</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45572</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45572</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45572</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45572</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45572</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45572</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45572</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45572</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45572</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45572</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45572</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45572</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37830-2024</t>
        </is>
      </c>
      <c r="B646" s="1" t="n">
        <v>45544</v>
      </c>
      <c r="C646" s="1" t="n">
        <v>45572</v>
      </c>
      <c r="D646" t="inlineStr">
        <is>
          <t>DALARNAS LÄN</t>
        </is>
      </c>
      <c r="E646" t="inlineStr">
        <is>
          <t>ORSA</t>
        </is>
      </c>
      <c r="G646" t="n">
        <v>0.8</v>
      </c>
      <c r="H646" t="n">
        <v>0</v>
      </c>
      <c r="I646" t="n">
        <v>0</v>
      </c>
      <c r="J646" t="n">
        <v>0</v>
      </c>
      <c r="K646" t="n">
        <v>0</v>
      </c>
      <c r="L646" t="n">
        <v>0</v>
      </c>
      <c r="M646" t="n">
        <v>0</v>
      </c>
      <c r="N646" t="n">
        <v>0</v>
      </c>
      <c r="O646" t="n">
        <v>0</v>
      </c>
      <c r="P646" t="n">
        <v>0</v>
      </c>
      <c r="Q646" t="n">
        <v>0</v>
      </c>
      <c r="R646" s="2" t="inlineStr"/>
    </row>
    <row r="647" ht="15" customHeight="1">
      <c r="A647" t="inlineStr">
        <is>
          <t>A 37838-2024</t>
        </is>
      </c>
      <c r="B647" s="1" t="n">
        <v>45544</v>
      </c>
      <c r="C647" s="1" t="n">
        <v>45572</v>
      </c>
      <c r="D647" t="inlineStr">
        <is>
          <t>DALARNAS LÄN</t>
        </is>
      </c>
      <c r="E647" t="inlineStr">
        <is>
          <t>ORSA</t>
        </is>
      </c>
      <c r="G647" t="n">
        <v>2.9</v>
      </c>
      <c r="H647" t="n">
        <v>0</v>
      </c>
      <c r="I647" t="n">
        <v>0</v>
      </c>
      <c r="J647" t="n">
        <v>0</v>
      </c>
      <c r="K647" t="n">
        <v>0</v>
      </c>
      <c r="L647" t="n">
        <v>0</v>
      </c>
      <c r="M647" t="n">
        <v>0</v>
      </c>
      <c r="N647" t="n">
        <v>0</v>
      </c>
      <c r="O647" t="n">
        <v>0</v>
      </c>
      <c r="P647" t="n">
        <v>0</v>
      </c>
      <c r="Q647" t="n">
        <v>0</v>
      </c>
      <c r="R647" s="2" t="inlineStr"/>
    </row>
    <row r="648" ht="15" customHeight="1">
      <c r="A648" t="inlineStr">
        <is>
          <t>A 37981-2024</t>
        </is>
      </c>
      <c r="B648" s="1" t="n">
        <v>45544</v>
      </c>
      <c r="C648" s="1" t="n">
        <v>45572</v>
      </c>
      <c r="D648" t="inlineStr">
        <is>
          <t>DALARNAS LÄN</t>
        </is>
      </c>
      <c r="E648" t="inlineStr">
        <is>
          <t>ORSA</t>
        </is>
      </c>
      <c r="F648" t="inlineStr">
        <is>
          <t>Allmännings- och besparingsskogar</t>
        </is>
      </c>
      <c r="G648" t="n">
        <v>1.2</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45572</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39475-2024</t>
        </is>
      </c>
      <c r="B650" s="1" t="n">
        <v>45551</v>
      </c>
      <c r="C650" s="1" t="n">
        <v>45572</v>
      </c>
      <c r="D650" t="inlineStr">
        <is>
          <t>DALARNAS LÄN</t>
        </is>
      </c>
      <c r="E650" t="inlineStr">
        <is>
          <t>ORSA</t>
        </is>
      </c>
      <c r="F650" t="inlineStr">
        <is>
          <t>Bergvik skog öst AB</t>
        </is>
      </c>
      <c r="G650" t="n">
        <v>11.4</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45572</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45572</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45572</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41835-2024</t>
        </is>
      </c>
      <c r="B654" s="1" t="n">
        <v>45561</v>
      </c>
      <c r="C654" s="1" t="n">
        <v>45572</v>
      </c>
      <c r="D654" t="inlineStr">
        <is>
          <t>DALARNAS LÄN</t>
        </is>
      </c>
      <c r="E654" t="inlineStr">
        <is>
          <t>ORSA</t>
        </is>
      </c>
      <c r="G654" t="n">
        <v>0.7</v>
      </c>
      <c r="H654" t="n">
        <v>0</v>
      </c>
      <c r="I654" t="n">
        <v>0</v>
      </c>
      <c r="J654" t="n">
        <v>0</v>
      </c>
      <c r="K654" t="n">
        <v>0</v>
      </c>
      <c r="L654" t="n">
        <v>0</v>
      </c>
      <c r="M654" t="n">
        <v>0</v>
      </c>
      <c r="N654" t="n">
        <v>0</v>
      </c>
      <c r="O654" t="n">
        <v>0</v>
      </c>
      <c r="P654" t="n">
        <v>0</v>
      </c>
      <c r="Q654" t="n">
        <v>0</v>
      </c>
      <c r="R654" s="2" t="inlineStr"/>
    </row>
    <row r="655" ht="15" customHeight="1">
      <c r="A655" t="inlineStr">
        <is>
          <t>A 41832-2024</t>
        </is>
      </c>
      <c r="B655" s="1" t="n">
        <v>45561</v>
      </c>
      <c r="C655" s="1" t="n">
        <v>45572</v>
      </c>
      <c r="D655" t="inlineStr">
        <is>
          <t>DALARNAS LÄN</t>
        </is>
      </c>
      <c r="E655" t="inlineStr">
        <is>
          <t>ORSA</t>
        </is>
      </c>
      <c r="G655" t="n">
        <v>0.5</v>
      </c>
      <c r="H655" t="n">
        <v>0</v>
      </c>
      <c r="I655" t="n">
        <v>0</v>
      </c>
      <c r="J655" t="n">
        <v>0</v>
      </c>
      <c r="K655" t="n">
        <v>0</v>
      </c>
      <c r="L655" t="n">
        <v>0</v>
      </c>
      <c r="M655" t="n">
        <v>0</v>
      </c>
      <c r="N655" t="n">
        <v>0</v>
      </c>
      <c r="O655" t="n">
        <v>0</v>
      </c>
      <c r="P655" t="n">
        <v>0</v>
      </c>
      <c r="Q655" t="n">
        <v>0</v>
      </c>
      <c r="R655" s="2" t="inlineStr"/>
    </row>
    <row r="656" ht="15" customHeight="1">
      <c r="A656" t="inlineStr">
        <is>
          <t>A 42517-2024</t>
        </is>
      </c>
      <c r="B656" s="1" t="n">
        <v>45565</v>
      </c>
      <c r="C656" s="1" t="n">
        <v>45572</v>
      </c>
      <c r="D656" t="inlineStr">
        <is>
          <t>DALARNAS LÄN</t>
        </is>
      </c>
      <c r="E656" t="inlineStr">
        <is>
          <t>ORSA</t>
        </is>
      </c>
      <c r="G656" t="n">
        <v>3</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45572</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42513-2024</t>
        </is>
      </c>
      <c r="B658" s="1" t="n">
        <v>45565</v>
      </c>
      <c r="C658" s="1" t="n">
        <v>45572</v>
      </c>
      <c r="D658" t="inlineStr">
        <is>
          <t>DALARNAS LÄN</t>
        </is>
      </c>
      <c r="E658" t="inlineStr">
        <is>
          <t>ORSA</t>
        </is>
      </c>
      <c r="G658" t="n">
        <v>1.6</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45572</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43757-2024</t>
        </is>
      </c>
      <c r="B660" s="1" t="n">
        <v>45569</v>
      </c>
      <c r="C660" s="1" t="n">
        <v>45572</v>
      </c>
      <c r="D660" t="inlineStr">
        <is>
          <t>DALARNAS LÄN</t>
        </is>
      </c>
      <c r="E660" t="inlineStr">
        <is>
          <t>ORSA</t>
        </is>
      </c>
      <c r="G660" t="n">
        <v>3.6</v>
      </c>
      <c r="H660" t="n">
        <v>0</v>
      </c>
      <c r="I660" t="n">
        <v>0</v>
      </c>
      <c r="J660" t="n">
        <v>0</v>
      </c>
      <c r="K660" t="n">
        <v>0</v>
      </c>
      <c r="L660" t="n">
        <v>0</v>
      </c>
      <c r="M660" t="n">
        <v>0</v>
      </c>
      <c r="N660" t="n">
        <v>0</v>
      </c>
      <c r="O660" t="n">
        <v>0</v>
      </c>
      <c r="P660" t="n">
        <v>0</v>
      </c>
      <c r="Q660" t="n">
        <v>0</v>
      </c>
      <c r="R660" s="2" t="inlineStr"/>
    </row>
    <row r="661">
      <c r="A661" t="inlineStr">
        <is>
          <t>A 43759-2024</t>
        </is>
      </c>
      <c r="B661" s="1" t="n">
        <v>45569</v>
      </c>
      <c r="C661" s="1" t="n">
        <v>45572</v>
      </c>
      <c r="D661" t="inlineStr">
        <is>
          <t>DALARNAS LÄN</t>
        </is>
      </c>
      <c r="E661" t="inlineStr">
        <is>
          <t>ORSA</t>
        </is>
      </c>
      <c r="G661" t="n">
        <v>2.1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2024-10-07T12:46:45Z</dcterms:created>
  <dcterms:modified xmlns:dcterms="http://purl.org/dc/terms/" xmlns:xsi="http://www.w3.org/2001/XMLSchema-instance" xsi:type="dcterms:W3CDTF">2024-10-07T12:46:46Z</dcterms:modified>
</cp:coreProperties>
</file>