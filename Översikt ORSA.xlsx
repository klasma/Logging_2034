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45737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45737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45737</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45737</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45737</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45737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45737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45737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45737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45737</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45737</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45737</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45737</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45737</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45737</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45737</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45737</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45737</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45737</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45737</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45737</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45737</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45737</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45737</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45737</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45737</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45737</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45737</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45737</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45737</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45737</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45737</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45737</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45737</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45737</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45737</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45737</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45737</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45737</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45737</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45737</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45737</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45737</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45737</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45737</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45737</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7619-2025</t>
        </is>
      </c>
      <c r="B48" s="1" t="n">
        <v>45705</v>
      </c>
      <c r="C48" s="1" t="n">
        <v>45737</v>
      </c>
      <c r="D48" t="inlineStr">
        <is>
          <t>DALARNAS LÄN</t>
        </is>
      </c>
      <c r="E48" t="inlineStr">
        <is>
          <t>ORSA</t>
        </is>
      </c>
      <c r="G48" t="n">
        <v>5.4</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7619-2025 artfynd.xlsx", "A 7619-2025")</f>
        <v/>
      </c>
      <c r="T48">
        <f>HYPERLINK("https://klasma.github.io/Logging_2034/kartor/A 7619-2025 karta.png", "A 7619-2025")</f>
        <v/>
      </c>
      <c r="V48">
        <f>HYPERLINK("https://klasma.github.io/Logging_2034/klagomål/A 7619-2025 FSC-klagomål.docx", "A 7619-2025")</f>
        <v/>
      </c>
      <c r="W48">
        <f>HYPERLINK("https://klasma.github.io/Logging_2034/klagomålsmail/A 7619-2025 FSC-klagomål mail.docx", "A 7619-2025")</f>
        <v/>
      </c>
      <c r="X48">
        <f>HYPERLINK("https://klasma.github.io/Logging_2034/tillsyn/A 7619-2025 tillsynsbegäran.docx", "A 7619-2025")</f>
        <v/>
      </c>
      <c r="Y48">
        <f>HYPERLINK("https://klasma.github.io/Logging_2034/tillsynsmail/A 7619-2025 tillsynsbegäran mail.docx", "A 7619-2025")</f>
        <v/>
      </c>
      <c r="Z48">
        <f>HYPERLINK("https://klasma.github.io/Logging_2034/fåglar/A 7619-2025 prioriterade fågelarter.docx", "A 7619-2025")</f>
        <v/>
      </c>
    </row>
    <row r="49" ht="15" customHeight="1">
      <c r="A49" t="inlineStr">
        <is>
          <t>A 42651-2020</t>
        </is>
      </c>
      <c r="B49" s="1" t="n">
        <v>44077</v>
      </c>
      <c r="C49" s="1" t="n">
        <v>45737</v>
      </c>
      <c r="D49" t="inlineStr">
        <is>
          <t>DALARNAS LÄN</t>
        </is>
      </c>
      <c r="E49" t="inlineStr">
        <is>
          <t>ORSA</t>
        </is>
      </c>
      <c r="G49" t="n">
        <v>3.9</v>
      </c>
      <c r="H49" t="n">
        <v>0</v>
      </c>
      <c r="I49" t="n">
        <v>0</v>
      </c>
      <c r="J49" t="n">
        <v>3</v>
      </c>
      <c r="K49" t="n">
        <v>0</v>
      </c>
      <c r="L49" t="n">
        <v>0</v>
      </c>
      <c r="M49" t="n">
        <v>0</v>
      </c>
      <c r="N49" t="n">
        <v>0</v>
      </c>
      <c r="O49" t="n">
        <v>3</v>
      </c>
      <c r="P49" t="n">
        <v>0</v>
      </c>
      <c r="Q49" t="n">
        <v>3</v>
      </c>
      <c r="R49" s="2" t="inlineStr">
        <is>
          <t>Skrovellav
Tallticka
Vedflamlav</t>
        </is>
      </c>
      <c r="S49">
        <f>HYPERLINK("https://klasma.github.io/Logging_2034/artfynd/A 42651-2020 artfynd.xlsx", "A 42651-2020")</f>
        <v/>
      </c>
      <c r="T49">
        <f>HYPERLINK("https://klasma.github.io/Logging_2034/kartor/A 42651-2020 karta.png", "A 42651-2020")</f>
        <v/>
      </c>
      <c r="V49">
        <f>HYPERLINK("https://klasma.github.io/Logging_2034/klagomål/A 42651-2020 FSC-klagomål.docx", "A 42651-2020")</f>
        <v/>
      </c>
      <c r="W49">
        <f>HYPERLINK("https://klasma.github.io/Logging_2034/klagomålsmail/A 42651-2020 FSC-klagomål mail.docx", "A 42651-2020")</f>
        <v/>
      </c>
      <c r="X49">
        <f>HYPERLINK("https://klasma.github.io/Logging_2034/tillsyn/A 42651-2020 tillsynsbegäran.docx", "A 42651-2020")</f>
        <v/>
      </c>
      <c r="Y49">
        <f>HYPERLINK("https://klasma.github.io/Logging_2034/tillsynsmail/A 42651-2020 tillsynsbegäran mail.docx", "A 42651-2020")</f>
        <v/>
      </c>
    </row>
    <row r="50" ht="15" customHeight="1">
      <c r="A50" t="inlineStr">
        <is>
          <t>A 30654-2024</t>
        </is>
      </c>
      <c r="B50" s="1" t="n">
        <v>45495</v>
      </c>
      <c r="C50" s="1" t="n">
        <v>45737</v>
      </c>
      <c r="D50" t="inlineStr">
        <is>
          <t>DALARNAS LÄN</t>
        </is>
      </c>
      <c r="E50" t="inlineStr">
        <is>
          <t>ORSA</t>
        </is>
      </c>
      <c r="F50" t="inlineStr">
        <is>
          <t>Allmännings- och besparingsskogar</t>
        </is>
      </c>
      <c r="G50" t="n">
        <v>1.9</v>
      </c>
      <c r="H50" t="n">
        <v>1</v>
      </c>
      <c r="I50" t="n">
        <v>0</v>
      </c>
      <c r="J50" t="n">
        <v>2</v>
      </c>
      <c r="K50" t="n">
        <v>1</v>
      </c>
      <c r="L50" t="n">
        <v>0</v>
      </c>
      <c r="M50" t="n">
        <v>0</v>
      </c>
      <c r="N50" t="n">
        <v>0</v>
      </c>
      <c r="O50" t="n">
        <v>3</v>
      </c>
      <c r="P50" t="n">
        <v>1</v>
      </c>
      <c r="Q50" t="n">
        <v>3</v>
      </c>
      <c r="R50" s="2" t="inlineStr">
        <is>
          <t>Knärot
Garnlav
Granticka</t>
        </is>
      </c>
      <c r="S50">
        <f>HYPERLINK("https://klasma.github.io/Logging_2034/artfynd/A 30654-2024 artfynd.xlsx", "A 30654-2024")</f>
        <v/>
      </c>
      <c r="T50">
        <f>HYPERLINK("https://klasma.github.io/Logging_2034/kartor/A 30654-2024 karta.png", "A 30654-2024")</f>
        <v/>
      </c>
      <c r="U50">
        <f>HYPERLINK("https://klasma.github.io/Logging_2034/knärot/A 30654-2024 karta knärot.png", "A 30654-2024")</f>
        <v/>
      </c>
      <c r="V50">
        <f>HYPERLINK("https://klasma.github.io/Logging_2034/klagomål/A 30654-2024 FSC-klagomål.docx", "A 30654-2024")</f>
        <v/>
      </c>
      <c r="W50">
        <f>HYPERLINK("https://klasma.github.io/Logging_2034/klagomålsmail/A 30654-2024 FSC-klagomål mail.docx", "A 30654-2024")</f>
        <v/>
      </c>
      <c r="X50">
        <f>HYPERLINK("https://klasma.github.io/Logging_2034/tillsyn/A 30654-2024 tillsynsbegäran.docx", "A 30654-2024")</f>
        <v/>
      </c>
      <c r="Y50">
        <f>HYPERLINK("https://klasma.github.io/Logging_2034/tillsynsmail/A 30654-2024 tillsynsbegäran mail.docx", "A 30654-2024")</f>
        <v/>
      </c>
    </row>
    <row r="51" ht="15" customHeight="1">
      <c r="A51" t="inlineStr">
        <is>
          <t>A 48499-2024</t>
        </is>
      </c>
      <c r="B51" s="1" t="n">
        <v>45592</v>
      </c>
      <c r="C51" s="1" t="n">
        <v>45737</v>
      </c>
      <c r="D51" t="inlineStr">
        <is>
          <t>DALARNAS LÄN</t>
        </is>
      </c>
      <c r="E51" t="inlineStr">
        <is>
          <t>ORSA</t>
        </is>
      </c>
      <c r="G51" t="n">
        <v>11.1</v>
      </c>
      <c r="H51" t="n">
        <v>1</v>
      </c>
      <c r="I51" t="n">
        <v>0</v>
      </c>
      <c r="J51" t="n">
        <v>3</v>
      </c>
      <c r="K51" t="n">
        <v>0</v>
      </c>
      <c r="L51" t="n">
        <v>0</v>
      </c>
      <c r="M51" t="n">
        <v>0</v>
      </c>
      <c r="N51" t="n">
        <v>0</v>
      </c>
      <c r="O51" t="n">
        <v>3</v>
      </c>
      <c r="P51" t="n">
        <v>0</v>
      </c>
      <c r="Q51" t="n">
        <v>3</v>
      </c>
      <c r="R51" s="2" t="inlineStr">
        <is>
          <t>Garnlav
Skogshare
Tretåig hackspett</t>
        </is>
      </c>
      <c r="S51">
        <f>HYPERLINK("https://klasma.github.io/Logging_2034/artfynd/A 48499-2024 artfynd.xlsx", "A 48499-2024")</f>
        <v/>
      </c>
      <c r="T51">
        <f>HYPERLINK("https://klasma.github.io/Logging_2034/kartor/A 48499-2024 karta.png", "A 48499-2024")</f>
        <v/>
      </c>
      <c r="V51">
        <f>HYPERLINK("https://klasma.github.io/Logging_2034/klagomål/A 48499-2024 FSC-klagomål.docx", "A 48499-2024")</f>
        <v/>
      </c>
      <c r="W51">
        <f>HYPERLINK("https://klasma.github.io/Logging_2034/klagomålsmail/A 48499-2024 FSC-klagomål mail.docx", "A 48499-2024")</f>
        <v/>
      </c>
      <c r="X51">
        <f>HYPERLINK("https://klasma.github.io/Logging_2034/tillsyn/A 48499-2024 tillsynsbegäran.docx", "A 48499-2024")</f>
        <v/>
      </c>
      <c r="Y51">
        <f>HYPERLINK("https://klasma.github.io/Logging_2034/tillsynsmail/A 48499-2024 tillsynsbegäran mail.docx", "A 48499-2024")</f>
        <v/>
      </c>
      <c r="Z51">
        <f>HYPERLINK("https://klasma.github.io/Logging_2034/fåglar/A 48499-2024 prioriterade fågelarter.docx", "A 48499-2024")</f>
        <v/>
      </c>
    </row>
    <row r="52" ht="15" customHeight="1">
      <c r="A52" t="inlineStr">
        <is>
          <t>A 7618-2025</t>
        </is>
      </c>
      <c r="B52" s="1" t="n">
        <v>45705</v>
      </c>
      <c r="C52" s="1" t="n">
        <v>45737</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45737</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45737</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45737</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45737</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45737</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45737</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45737</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45737</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45737</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45737</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45737</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45737</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45737</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45737</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45737</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45737</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45737</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45737</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45737</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45737</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45737</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45737</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45737</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45737</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45737</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45737</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45737</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45737</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45737</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45737</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45737</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45737</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45737</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45737</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45737</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45737</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45737</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45737</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45737</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45737</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45737</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45737</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45737</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45737</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45737</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45737</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45737</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45737</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45737</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45737</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45737</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45737</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45737</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45737</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45737</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45737</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45737</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45737</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45737</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45737</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45737</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45737</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45737</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45737</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45737</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45737</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45737</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45737</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45737</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45737</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45737</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45737</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45737</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45737</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45737</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45737</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45737</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45737</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45737</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45737</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45737</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45737</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45737</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45737</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45737</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45737</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45737</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45737</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45737</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45737</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45737</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45737</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45737</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45737</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45737</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45737</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45737</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45737</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45737</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45737</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45737</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45737</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45737</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45737</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45737</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45737</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45737</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45737</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45737</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45737</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45737</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45737</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45737</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45737</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45737</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45737</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45737</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45737</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45737</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45737</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45737</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45737</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45737</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45737</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45737</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45737</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45737</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45737</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45737</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45737</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45737</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45737</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45737</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45737</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45737</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45737</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45737</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45737</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45737</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45737</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45737</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45737</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45737</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45737</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45737</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45737</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45737</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45737</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45737</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45737</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45737</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45737</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45737</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45737</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45737</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45737</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45737</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45737</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45737</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45737</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45737</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45737</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45737</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45737</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45737</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45737</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45737</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45737</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45737</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45737</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45737</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45737</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45737</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45737</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45737</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45737</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45737</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45737</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45737</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45737</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45737</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45737</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45737</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45737</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45737</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45737</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45737</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45737</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45737</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45737</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45737</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45737</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45737</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45737</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45737</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45737</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45737</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45737</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45737</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45737</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45737</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45737</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45737</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45737</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45737</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45737</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45737</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45737</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45737</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45737</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45737</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45737</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45737</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45737</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45737</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45737</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45737</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45737</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45737</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45737</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45737</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45737</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45737</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45737</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45737</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45737</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45737</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45737</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45737</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45737</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45737</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45737</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45737</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45737</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45737</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45737</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45737</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45737</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45737</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45737</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45737</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45737</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45737</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45737</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45737</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45737</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45737</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45737</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45737</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45737</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45737</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45737</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45737</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45737</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45737</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45737</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45737</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45737</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45737</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45737</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45737</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45737</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45737</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45737</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45737</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45737</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45737</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45737</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45737</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45737</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45737</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45737</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45737</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45737</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45737</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45737</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45737</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45737</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45737</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45737</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45737</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45737</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45737</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45737</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45737</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45737</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45737</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45737</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45737</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45737</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45737</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45737</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45737</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45737</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45737</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45737</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45737</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45737</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45737</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45737</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45737</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45737</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45737</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45737</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45737</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45737</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45737</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45737</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45737</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45737</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45737</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45737</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45737</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45737</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45737</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45737</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45737</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45737</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45737</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45737</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45737</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45737</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45737</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45737</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45737</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45737</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45737</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45737</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45737</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45737</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45737</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45737</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45737</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45737</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45737</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45737</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45737</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45737</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45737</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45737</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45737</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45737</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45737</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45737</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45737</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45737</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45737</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45737</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45737</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45737</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45737</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45737</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45737</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45737</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45737</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45737</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45737</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45737</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45737</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45737</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45737</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45737</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45737</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45737</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45737</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45737</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45737</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45737</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45737</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45737</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45737</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45737</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45737</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45737</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45737</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45737</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45737</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45737</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45737</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45737</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45737</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45737</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45737</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45737</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45737</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45737</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45737</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45737</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45737</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45737</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45737</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45737</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45737</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45737</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45737</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45737</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45737</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45737</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45737</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45737</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45737</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45737</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45737</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45737</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45737</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45737</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45737</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45737</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45737</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45737</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45737</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45737</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45737</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45737</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45737</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45737</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45737</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45737</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45737</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45737</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45737</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45737</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45737</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45737</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45737</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45737</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45737</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45737</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45737</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45737</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45737</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45737</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45737</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45737</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45737</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45737</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45737</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45737</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45737</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45737</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45737</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45737</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45737</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45737</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45737</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45737</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45737</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45737</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45737</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45737</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45737</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45737</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45737</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45737</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45737</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45737</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45737</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45737</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45737</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45737</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45737</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45737</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45737</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45737</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45737</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45737</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45737</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45737</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45737</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45737</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45737</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45737</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45737</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45737</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45737</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45737</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45737</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45737</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45737</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45737</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45737</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45737</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45737</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45737</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45737</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45737</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45737</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45737</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45737</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45737</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45737</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45737</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45737</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45737</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45737</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45737</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45737</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45737</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45737</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45737</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45737</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45737</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45737</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45737</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45737</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45737</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45737</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45737</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45737</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45737</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45737</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45737</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45737</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45737</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45737</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45737</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45737</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45737</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45737</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45737</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45737</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45737</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45737</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45737</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45737</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45737</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45737</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45737</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45737</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45737</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45737</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45737</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45737</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45737</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45737</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45737</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45737</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45737</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45737</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45737</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45737</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45737</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45737</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45737</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45737</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45737</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45737</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45737</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45737</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45737</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45737</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45737</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45737</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45737</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45737</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45737</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45737</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45737</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45737</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45737</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45737</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45737</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45737</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45737</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45737</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45737</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45737</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45737</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45737</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45737</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45737</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45737</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45737</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45737</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45737</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45737</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45737</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45737</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45737</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45737</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45737</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45737</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45737</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45737</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45737</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45737</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45737</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45737</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45737</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45737</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45737</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45737</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45737</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45737</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45737</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45737</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45737</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45737</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45737</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45737</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45737</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45737</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45737</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45737</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45737</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45737</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45737</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45737</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45737</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45737</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45737</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45737</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45737</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45737</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45737</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45737</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45737</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45737</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45737</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45737</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45737</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45737</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45737</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45737</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45737</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45737</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45737</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45737</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45737</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45737</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45737</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45737</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45737</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45737</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45737</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45737</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45737</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45737</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45737</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45737</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45737</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45737</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45737</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45737</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45737</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45737</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45737</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45737</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45737</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45737</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45737</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45737</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45737</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45737</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45737</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45737</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45737</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45737</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45737</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45737</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45737</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45737</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45737</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45737</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45737</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45737</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45737</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45737</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45737</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45737</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45737</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45737</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45737</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45737</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45737</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45737</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45737</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45737</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45737</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45737</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45737</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45737</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45737</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45737</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45737</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45737</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45737</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45737</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45737</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45737</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45737</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45737</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45737</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45737</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45737</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45737</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45737</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45737</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45737</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45737</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45737</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45737</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45737</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45737</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45737</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45737</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45737</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45737</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45737</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45737</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45737</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45737</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45737</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45737</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45737</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45737</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45737</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45737</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45737</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45737</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45737</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45737</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45737</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c r="A776" t="inlineStr">
        <is>
          <t>A 13580-2025</t>
        </is>
      </c>
      <c r="B776" s="1" t="n">
        <v>45736</v>
      </c>
      <c r="C776" s="1" t="n">
        <v>45737</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2025-03-21T17:13:35Z</dcterms:created>
  <dcterms:modified xmlns:dcterms="http://purl.org/dc/terms/" xmlns:xsi="http://www.w3.org/2001/XMLSchema-instance" xsi:type="dcterms:W3CDTF">2025-03-21T17:13:35Z</dcterms:modified>
</cp:coreProperties>
</file>