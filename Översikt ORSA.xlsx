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46278</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46278</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46278</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46278</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46278</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46278</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46278</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46278</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46278</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46278</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46278</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46278</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50728-2022</t>
        </is>
      </c>
      <c r="B19" t="inlineStr">
        <is>
          <t>avverkningsanmälan</t>
        </is>
      </c>
      <c r="C19" t="inlineStr">
        <is>
          <t>Avverkning för annat ändamål</t>
        </is>
      </c>
      <c r="D19" s="1" t="n">
        <v>44867</v>
      </c>
      <c r="E19" s="1" t="n">
        <v>46278</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46278</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46278</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46278</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46278</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46278</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46278</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46278</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46278</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46278</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46278</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46278</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46278</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46278</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46278</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46278</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46278</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46278</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62761-2025</t>
        </is>
      </c>
      <c r="B37" t="inlineStr">
        <is>
          <t>avverkningsanmälan</t>
        </is>
      </c>
      <c r="C37" t="inlineStr">
        <is>
          <t>Föryngringsavverkning</t>
        </is>
      </c>
      <c r="D37" s="1" t="n">
        <v>46008</v>
      </c>
      <c r="E37" s="1" t="n">
        <v>46278</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21919-2026</t>
        </is>
      </c>
      <c r="B38" t="inlineStr">
        <is>
          <t>avverkningsanmälan</t>
        </is>
      </c>
      <c r="C38" t="inlineStr">
        <is>
          <t>Föryngringsavverkning</t>
        </is>
      </c>
      <c r="D38" s="1" t="n">
        <v>46150</v>
      </c>
      <c r="E38" s="1" t="n">
        <v>46278</v>
      </c>
      <c r="F38" t="inlineStr">
        <is>
          <t>DALARNAS LÄN</t>
        </is>
      </c>
      <c r="G38" t="inlineStr">
        <is>
          <t>ORSA</t>
        </is>
      </c>
      <c r="H38" t="inlineStr">
        <is>
          <t>Bergvik skog öst AB</t>
        </is>
      </c>
      <c r="I38" t="n">
        <v>12.4</v>
      </c>
      <c r="J38" t="n">
        <v>1</v>
      </c>
      <c r="K38" t="n">
        <v>1</v>
      </c>
      <c r="L38" t="n">
        <v>5</v>
      </c>
      <c r="M38" t="n">
        <v>1</v>
      </c>
      <c r="N38" t="n">
        <v>0</v>
      </c>
      <c r="O38" t="n">
        <v>0</v>
      </c>
      <c r="P38" t="n">
        <v>0</v>
      </c>
      <c r="Q38" t="n">
        <v>6</v>
      </c>
      <c r="R38" t="n">
        <v>1</v>
      </c>
      <c r="S38" t="n">
        <v>7</v>
      </c>
      <c r="T38" t="n">
        <v>15</v>
      </c>
      <c r="U38" t="n">
        <v>15</v>
      </c>
      <c r="V38" s="2" t="inlineStr">
        <is>
          <t>Garnlav
Blågrå svartspik
Kolflarnlav
Mörk kolflarnlav
Tretåig hackspett
Vedskivlav
Bronshjon</t>
        </is>
      </c>
      <c r="W38">
        <f>HYPERLINK("https://klasma.github.io/Logging_2034/artfynd/A 21919-2026 artfynd.xlsx", "A 21919-2026")</f>
        <v/>
      </c>
      <c r="X38">
        <f>HYPERLINK("https://klasma.github.io/Logging_2034/kartor/A 21919-2026 karta.png", "A 21919-2026")</f>
        <v/>
      </c>
      <c r="Y38">
        <f>HYPERLINK("https://klasma.github.io/Logging_2034/kartor_geotiff/A 21919-2026 georefererad karta.tif", "A 21919-2026")</f>
        <v/>
      </c>
      <c r="AA38">
        <f>HYPERLINK("https://klasma.github.io/Logging_2034/klagomål/A 21919-2026 FSC-klagomål.docx", "A 21919-2026")</f>
        <v/>
      </c>
      <c r="AB38">
        <f>HYPERLINK("https://klasma.github.io/Logging_2034/klagomålsmail/A 21919-2026 FSC-klagomål mail.docx", "A 21919-2026")</f>
        <v/>
      </c>
      <c r="AC38">
        <f>HYPERLINK("https://klasma.github.io/Logging_2034/tillsyn/A 21919-2026 tillsynsbegäran.docx", "A 21919-2026")</f>
        <v/>
      </c>
      <c r="AD38">
        <f>HYPERLINK("https://klasma.github.io/Logging_2034/tillsynsmail/A 21919-2026 tillsynsbegäran mail.docx", "A 21919-2026")</f>
        <v/>
      </c>
      <c r="AE38">
        <f>HYPERLINK("https://klasma.github.io/Logging_2034/fåglar/A 21919-2026 prioriterade fågelarter.docx", "A 21919-2026")</f>
        <v/>
      </c>
    </row>
    <row r="39" ht="15" customHeight="1">
      <c r="A39" t="inlineStr">
        <is>
          <t>A 8107-2024</t>
        </is>
      </c>
      <c r="B39" t="inlineStr">
        <is>
          <t>avverkningsanmälan</t>
        </is>
      </c>
      <c r="C39" t="inlineStr">
        <is>
          <t>Föryngringsavverkning</t>
        </is>
      </c>
      <c r="D39" s="1" t="n">
        <v>45351</v>
      </c>
      <c r="E39" s="1" t="n">
        <v>46278</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46278</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46278</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46278</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46278</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46278</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46278</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46278</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46278</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46278</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46278</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46278</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46278</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46278</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46278</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35570-2024</t>
        </is>
      </c>
      <c r="B54" t="inlineStr">
        <is>
          <t>avverkningsanmälan</t>
        </is>
      </c>
      <c r="C54" t="inlineStr">
        <is>
          <t>Föryngringsavverkning</t>
        </is>
      </c>
      <c r="D54" s="1" t="n">
        <v>45531</v>
      </c>
      <c r="E54" s="1" t="n">
        <v>46278</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62837-2025</t>
        </is>
      </c>
      <c r="B55" t="inlineStr">
        <is>
          <t>avverkningsanmälan</t>
        </is>
      </c>
      <c r="C55" t="inlineStr">
        <is>
          <t>Föryngringsavverkning</t>
        </is>
      </c>
      <c r="D55" s="1" t="n">
        <v>46008</v>
      </c>
      <c r="E55" s="1" t="n">
        <v>46278</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33834-2026</t>
        </is>
      </c>
      <c r="B56" t="inlineStr">
        <is>
          <t>avverkningsanmälan</t>
        </is>
      </c>
      <c r="C56" t="inlineStr">
        <is>
          <t>Föryngringsavverkning</t>
        </is>
      </c>
      <c r="D56" s="1" t="n">
        <v>46251</v>
      </c>
      <c r="E56" s="1" t="n">
        <v>46278</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46278</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46278</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46278</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37457-2025</t>
        </is>
      </c>
      <c r="B60" t="inlineStr">
        <is>
          <t>avverkningsanmälan</t>
        </is>
      </c>
      <c r="C60" t="inlineStr">
        <is>
          <t>Föryngringsavverkning</t>
        </is>
      </c>
      <c r="D60" s="1" t="n">
        <v>45877</v>
      </c>
      <c r="E60" s="1" t="n">
        <v>46278</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56344-2025</t>
        </is>
      </c>
      <c r="B61" t="inlineStr">
        <is>
          <t>avverkningsanmälan</t>
        </is>
      </c>
      <c r="C61" t="inlineStr">
        <is>
          <t>Föryngringsavverkning</t>
        </is>
      </c>
      <c r="D61" s="1" t="n">
        <v>45974</v>
      </c>
      <c r="E61" s="1" t="n">
        <v>46278</v>
      </c>
      <c r="F61" t="inlineStr">
        <is>
          <t>DALARNAS LÄN</t>
        </is>
      </c>
      <c r="G61" t="inlineStr">
        <is>
          <t>ORSA</t>
        </is>
      </c>
      <c r="I61" t="n">
        <v>5.5</v>
      </c>
      <c r="J61" t="n">
        <v>2</v>
      </c>
      <c r="K61" t="n">
        <v>2</v>
      </c>
      <c r="L61" t="n">
        <v>1</v>
      </c>
      <c r="M61" t="n">
        <v>0</v>
      </c>
      <c r="N61" t="n">
        <v>0</v>
      </c>
      <c r="O61" t="n">
        <v>0</v>
      </c>
      <c r="P61" t="n">
        <v>0</v>
      </c>
      <c r="Q61" t="n">
        <v>1</v>
      </c>
      <c r="R61" t="n">
        <v>0</v>
      </c>
      <c r="S61" t="n">
        <v>3</v>
      </c>
      <c r="T61" t="n">
        <v>8</v>
      </c>
      <c r="U61" t="n">
        <v>5</v>
      </c>
      <c r="V61" s="2" t="inlineStr">
        <is>
          <t>Backruta
Guckusko
Tvåblad</t>
        </is>
      </c>
      <c r="W61">
        <f>HYPERLINK("https://klasma.github.io/Logging_2034/artfynd/A 56344-2025 artfynd.xlsx", "A 56344-2025")</f>
        <v/>
      </c>
      <c r="X61">
        <f>HYPERLINK("https://klasma.github.io/Logging_2034/kartor/A 56344-2025 karta.png", "A 56344-2025")</f>
        <v/>
      </c>
      <c r="Y61">
        <f>HYPERLINK("https://klasma.github.io/Logging_2034/kartor_geotiff/A 56344-2025 georefererad karta.tif", "A 56344-2025")</f>
        <v/>
      </c>
      <c r="AA61">
        <f>HYPERLINK("https://klasma.github.io/Logging_2034/klagomål/A 56344-2025 FSC-klagomål.docx", "A 56344-2025")</f>
        <v/>
      </c>
      <c r="AB61">
        <f>HYPERLINK("https://klasma.github.io/Logging_2034/klagomålsmail/A 56344-2025 FSC-klagomål mail.docx", "A 56344-2025")</f>
        <v/>
      </c>
      <c r="AC61">
        <f>HYPERLINK("https://klasma.github.io/Logging_2034/tillsyn/A 56344-2025 tillsynsbegäran.docx", "A 56344-2025")</f>
        <v/>
      </c>
      <c r="AD61">
        <f>HYPERLINK("https://klasma.github.io/Logging_2034/tillsynsmail/A 56344-2025 tillsynsbegäran mail.docx", "A 56344-2025")</f>
        <v/>
      </c>
    </row>
    <row r="62" ht="15" customHeight="1">
      <c r="A62" t="inlineStr">
        <is>
          <t>A 31164-2025</t>
        </is>
      </c>
      <c r="B62" t="inlineStr">
        <is>
          <t>avverkningsanmälan</t>
        </is>
      </c>
      <c r="C62" t="inlineStr">
        <is>
          <t>Föryngringsavverkning</t>
        </is>
      </c>
      <c r="D62" s="1" t="n">
        <v>45832</v>
      </c>
      <c r="E62" s="1" t="n">
        <v>46278</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61163-2025</t>
        </is>
      </c>
      <c r="B63" t="inlineStr">
        <is>
          <t>avverkningsanmälan</t>
        </is>
      </c>
      <c r="C63" t="inlineStr">
        <is>
          <t>Föryngringsavverkning</t>
        </is>
      </c>
      <c r="D63" s="1" t="n">
        <v>46000</v>
      </c>
      <c r="E63" s="1" t="n">
        <v>46278</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64154-2025</t>
        </is>
      </c>
      <c r="B64" t="inlineStr">
        <is>
          <t>avverkningsanmälan</t>
        </is>
      </c>
      <c r="C64" t="inlineStr">
        <is>
          <t>Föryngringsavverkning</t>
        </is>
      </c>
      <c r="D64" s="1" t="n">
        <v>46022</v>
      </c>
      <c r="E64" s="1" t="n">
        <v>46278</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51303-2023</t>
        </is>
      </c>
      <c r="B65" t="inlineStr">
        <is>
          <t>avverkningsanmälan</t>
        </is>
      </c>
      <c r="C65" t="inlineStr">
        <is>
          <t>Föryngringsavverkning</t>
        </is>
      </c>
      <c r="D65" s="1" t="n">
        <v>45219</v>
      </c>
      <c r="E65" s="1" t="n">
        <v>46278</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29893-2026</t>
        </is>
      </c>
      <c r="B66" t="inlineStr">
        <is>
          <t>avverkningsanmälan</t>
        </is>
      </c>
      <c r="C66" t="inlineStr">
        <is>
          <t>Avverkning för annat ändamål</t>
        </is>
      </c>
      <c r="D66" s="1" t="n">
        <v>46205</v>
      </c>
      <c r="E66" s="1" t="n">
        <v>46278</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48343-2022</t>
        </is>
      </c>
      <c r="B67" t="inlineStr">
        <is>
          <t>avverkningsanmälan</t>
        </is>
      </c>
      <c r="C67" t="inlineStr">
        <is>
          <t>Avverkning för annat ändamål</t>
        </is>
      </c>
      <c r="D67" s="1" t="n">
        <v>44858</v>
      </c>
      <c r="E67" s="1" t="n">
        <v>46278</v>
      </c>
      <c r="F67" t="inlineStr">
        <is>
          <t>DALARNAS LÄN</t>
        </is>
      </c>
      <c r="G67" t="inlineStr">
        <is>
          <t>ORSA</t>
        </is>
      </c>
      <c r="I67" t="n">
        <v>1.6</v>
      </c>
      <c r="J67" t="n">
        <v>2</v>
      </c>
      <c r="K67" t="n">
        <v>0</v>
      </c>
      <c r="L67" t="n">
        <v>1</v>
      </c>
      <c r="M67" t="n">
        <v>1</v>
      </c>
      <c r="N67" t="n">
        <v>0</v>
      </c>
      <c r="O67" t="n">
        <v>0</v>
      </c>
      <c r="P67" t="n">
        <v>0</v>
      </c>
      <c r="Q67" t="n">
        <v>2</v>
      </c>
      <c r="R67" t="n">
        <v>1</v>
      </c>
      <c r="S67" t="n">
        <v>3</v>
      </c>
      <c r="T67" t="n">
        <v>7</v>
      </c>
      <c r="U67" t="n">
        <v>6</v>
      </c>
      <c r="V67" s="2" t="inlineStr">
        <is>
          <t>Igelkott
Nordfladdermus
Vattenfladdermus</t>
        </is>
      </c>
      <c r="W67">
        <f>HYPERLINK("https://klasma.github.io/Logging_2034/artfynd/A 48343-2022 artfynd.xlsx", "A 48343-2022")</f>
        <v/>
      </c>
      <c r="X67">
        <f>HYPERLINK("https://klasma.github.io/Logging_2034/kartor/A 48343-2022 karta.png", "A 48343-2022")</f>
        <v/>
      </c>
      <c r="Y67">
        <f>HYPERLINK("https://klasma.github.io/Logging_2034/kartor_geotiff/A 48343-2022 georefererad karta.tif", "A 48343-2022")</f>
        <v/>
      </c>
      <c r="AA67">
        <f>HYPERLINK("https://klasma.github.io/Logging_2034/klagomål/A 48343-2022 FSC-klagomål.docx", "A 48343-2022")</f>
        <v/>
      </c>
      <c r="AB67">
        <f>HYPERLINK("https://klasma.github.io/Logging_2034/klagomålsmail/A 48343-2022 FSC-klagomål mail.docx", "A 48343-2022")</f>
        <v/>
      </c>
      <c r="AC67">
        <f>HYPERLINK("https://klasma.github.io/Logging_2034/tillsyn/A 48343-2022 tillsynsbegäran.docx", "A 48343-2022")</f>
        <v/>
      </c>
      <c r="AD67">
        <f>HYPERLINK("https://klasma.github.io/Logging_2034/tillsynsmail/A 48343-2022 tillsynsbegäran mail.docx", "A 48343-2022")</f>
        <v/>
      </c>
    </row>
    <row r="68" ht="15" customHeight="1">
      <c r="A68" t="inlineStr">
        <is>
          <t>S 892-2024</t>
        </is>
      </c>
      <c r="B68" t="inlineStr">
        <is>
          <t>samrådsanmälan</t>
        </is>
      </c>
      <c r="C68" t="inlineStr">
        <is>
          <t>Skogsgödsling</t>
        </is>
      </c>
      <c r="D68" s="1" t="n">
        <v>45376</v>
      </c>
      <c r="E68" s="1" t="n">
        <v>46278</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46278</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46278</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42327-2025</t>
        </is>
      </c>
      <c r="B71" t="inlineStr">
        <is>
          <t>avverkningsanmälan</t>
        </is>
      </c>
      <c r="C71" t="inlineStr">
        <is>
          <t>Föryngringsavverkning</t>
        </is>
      </c>
      <c r="D71" s="1" t="n">
        <v>45904</v>
      </c>
      <c r="E71" s="1" t="n">
        <v>46278</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46278</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46278</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46278</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46278</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31336-2025</t>
        </is>
      </c>
      <c r="B76" t="inlineStr">
        <is>
          <t>avverkningsanmälan</t>
        </is>
      </c>
      <c r="C76" t="inlineStr">
        <is>
          <t>Föryngringsavverkning</t>
        </is>
      </c>
      <c r="D76" s="1" t="n">
        <v>45833</v>
      </c>
      <c r="E76" s="1" t="n">
        <v>46278</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22267-2026</t>
        </is>
      </c>
      <c r="B77" t="inlineStr">
        <is>
          <t>avverkningsanmälan</t>
        </is>
      </c>
      <c r="C77" t="inlineStr">
        <is>
          <t>Avverkning för annat ändamål</t>
        </is>
      </c>
      <c r="D77" s="1" t="n">
        <v>46154</v>
      </c>
      <c r="E77" s="1" t="n">
        <v>46278</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46278</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46278</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46278</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46278</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46278</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46278</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46278</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46278</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46278</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33951-2025</t>
        </is>
      </c>
      <c r="B87" t="inlineStr">
        <is>
          <t>avverkningsanmälan</t>
        </is>
      </c>
      <c r="C87" t="inlineStr">
        <is>
          <t>Föryngringsavverkning</t>
        </is>
      </c>
      <c r="D87" s="1" t="n">
        <v>45842</v>
      </c>
      <c r="E87" s="1" t="n">
        <v>46278</v>
      </c>
      <c r="F87" t="inlineStr">
        <is>
          <t>DALARNAS LÄN</t>
        </is>
      </c>
      <c r="G87" t="inlineStr">
        <is>
          <t>ORSA</t>
        </is>
      </c>
      <c r="I87" t="n">
        <v>1.2</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HYPERLINK("https://klasma.github.io/Logging_2034/artfynd/A 33951-2025 artfynd.xlsx", "A 33951-2025")</f>
        <v/>
      </c>
      <c r="X87">
        <f>HYPERLINK("https://klasma.github.io/Logging_2034/kartor/A 33951-2025 karta.png", "A 33951-2025")</f>
        <v/>
      </c>
      <c r="Y87">
        <f>HYPERLINK("https://klasma.github.io/Logging_2034/kartor_geotiff/A 33951-2025 georefererad karta.tif", "A 33951-2025")</f>
        <v/>
      </c>
      <c r="AA87">
        <f>HYPERLINK("https://klasma.github.io/Logging_2034/klagomål/A 33951-2025 FSC-klagomål.docx", "A 33951-2025")</f>
        <v/>
      </c>
      <c r="AB87">
        <f>HYPERLINK("https://klasma.github.io/Logging_2034/klagomålsmail/A 33951-2025 FSC-klagomål mail.docx", "A 33951-2025")</f>
        <v/>
      </c>
      <c r="AC87">
        <f>HYPERLINK("https://klasma.github.io/Logging_2034/tillsyn/A 33951-2025 tillsynsbegäran.docx", "A 33951-2025")</f>
        <v/>
      </c>
      <c r="AD87">
        <f>HYPERLINK("https://klasma.github.io/Logging_2034/tillsynsmail/A 33951-2025 tillsynsbegäran mail.docx", "A 33951-2025")</f>
        <v/>
      </c>
      <c r="AE87">
        <f>HYPERLINK("https://klasma.github.io/Logging_2034/fåglar/A 33951-2025 prioriterade fågelarter.docx", "A 33951-2025")</f>
        <v/>
      </c>
    </row>
    <row r="88" ht="15" customHeight="1">
      <c r="A88" t="inlineStr">
        <is>
          <t>A 41927-2025</t>
        </is>
      </c>
      <c r="B88" t="inlineStr">
        <is>
          <t>avverkningsanmälan</t>
        </is>
      </c>
      <c r="C88" t="inlineStr">
        <is>
          <t>Föryngringsavverkning</t>
        </is>
      </c>
      <c r="D88" s="1" t="n">
        <v>45903</v>
      </c>
      <c r="E88" s="1" t="n">
        <v>46278</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53573-2025</t>
        </is>
      </c>
      <c r="B89" t="inlineStr">
        <is>
          <t>avverkningsanmälan</t>
        </is>
      </c>
      <c r="C89" t="inlineStr">
        <is>
          <t>Föryngringsavverkning</t>
        </is>
      </c>
      <c r="D89" s="1" t="n">
        <v>45960</v>
      </c>
      <c r="E89" s="1" t="n">
        <v>46278</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46278</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46278</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46278</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11812-2026</t>
        </is>
      </c>
      <c r="B93" t="inlineStr">
        <is>
          <t>avverkningsanmälan</t>
        </is>
      </c>
      <c r="C93" t="inlineStr">
        <is>
          <t>Föryngringsavverkning</t>
        </is>
      </c>
      <c r="D93" s="1" t="n">
        <v>46085</v>
      </c>
      <c r="E93" s="1" t="n">
        <v>46278</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46278</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37887-2023</t>
        </is>
      </c>
      <c r="B95" t="inlineStr">
        <is>
          <t>avverkningsanmälan</t>
        </is>
      </c>
      <c r="C95" t="inlineStr">
        <is>
          <t>Föryngringsavverkning</t>
        </is>
      </c>
      <c r="D95" s="1" t="n">
        <v>45160</v>
      </c>
      <c r="E95" s="1" t="n">
        <v>46278</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593-2024</t>
        </is>
      </c>
      <c r="B96" t="inlineStr">
        <is>
          <t>avverkningsanmälan</t>
        </is>
      </c>
      <c r="C96" t="inlineStr">
        <is>
          <t>Föryngringsavverkning</t>
        </is>
      </c>
      <c r="D96" s="1" t="n">
        <v>45299</v>
      </c>
      <c r="E96" s="1" t="n">
        <v>46278</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46278</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28890-2026</t>
        </is>
      </c>
      <c r="B98" t="inlineStr">
        <is>
          <t>avverkningsanmälan</t>
        </is>
      </c>
      <c r="C98" t="inlineStr">
        <is>
          <t>Föryngringsavverkning</t>
        </is>
      </c>
      <c r="D98" s="1" t="n">
        <v>46199</v>
      </c>
      <c r="E98" s="1" t="n">
        <v>46278</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46278</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46278</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46278</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9466-2023</t>
        </is>
      </c>
      <c r="B102" t="inlineStr">
        <is>
          <t>avverkningsanmälan</t>
        </is>
      </c>
      <c r="C102" t="inlineStr">
        <is>
          <t>Avverkning för annat ändamål</t>
        </is>
      </c>
      <c r="D102" s="1" t="n">
        <v>44981</v>
      </c>
      <c r="E102" s="1" t="n">
        <v>46278</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31600-2026</t>
        </is>
      </c>
      <c r="B103" t="inlineStr">
        <is>
          <t>avverkningsanmälan</t>
        </is>
      </c>
      <c r="C103" t="inlineStr">
        <is>
          <t>Föryngringsavverkning</t>
        </is>
      </c>
      <c r="D103" s="1" t="n">
        <v>46224</v>
      </c>
      <c r="E103" s="1" t="n">
        <v>46278</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46278</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46278</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46278</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46278</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46278</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46278</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46278</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46278</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46278</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46278</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46278</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46278</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46278</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46278</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46278</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46278</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46278</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46278</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46278</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46278</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46278</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46278</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46278</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46278</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46278</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46278</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46278</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46278</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46278</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38611-2022</t>
        </is>
      </c>
      <c r="B133" t="inlineStr">
        <is>
          <t>avverkningsanmälan</t>
        </is>
      </c>
      <c r="C133" t="inlineStr">
        <is>
          <t>Föryngringsavverkning</t>
        </is>
      </c>
      <c r="D133" s="1" t="n">
        <v>44813</v>
      </c>
      <c r="E133" s="1" t="n">
        <v>46278</v>
      </c>
      <c r="F133" t="inlineStr">
        <is>
          <t>DALARNAS LÄN</t>
        </is>
      </c>
      <c r="G133" t="inlineStr">
        <is>
          <t>ORSA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46278</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6171-2025</t>
        </is>
      </c>
      <c r="B135" t="inlineStr">
        <is>
          <t>avverkningsanmälan</t>
        </is>
      </c>
      <c r="C135" t="inlineStr">
        <is>
          <t>Föryngringsavverkning</t>
        </is>
      </c>
      <c r="D135" s="1" t="n">
        <v>45698</v>
      </c>
      <c r="E135" s="1" t="n">
        <v>46278</v>
      </c>
      <c r="F135" t="inlineStr">
        <is>
          <t>DALARNAS LÄN</t>
        </is>
      </c>
      <c r="G135" t="inlineStr">
        <is>
          <t>ORSA</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48985-2023</t>
        </is>
      </c>
      <c r="B136" t="inlineStr">
        <is>
          <t>avverkningsanmälan</t>
        </is>
      </c>
      <c r="C136" t="inlineStr">
        <is>
          <t>Föryngringsavverkning</t>
        </is>
      </c>
      <c r="D136" s="1" t="n">
        <v>45209</v>
      </c>
      <c r="E136" s="1" t="n">
        <v>46278</v>
      </c>
      <c r="F136" t="inlineStr">
        <is>
          <t>DALARNAS LÄN</t>
        </is>
      </c>
      <c r="G136" t="inlineStr">
        <is>
          <t>ORSA</t>
        </is>
      </c>
      <c r="H136" t="inlineStr">
        <is>
          <t>Allmännings- och besparingsskogar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46278</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16392-2024</t>
        </is>
      </c>
      <c r="B138" t="inlineStr">
        <is>
          <t>avverkningsanmälan</t>
        </is>
      </c>
      <c r="C138" t="inlineStr">
        <is>
          <t>Föryngringsavverkning</t>
        </is>
      </c>
      <c r="D138" s="1" t="n">
        <v>45407</v>
      </c>
      <c r="E138" s="1" t="n">
        <v>46278</v>
      </c>
      <c r="F138" t="inlineStr">
        <is>
          <t>DALARNAS LÄN</t>
        </is>
      </c>
      <c r="G138" t="inlineStr">
        <is>
          <t>ORSA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18312-2024</t>
        </is>
      </c>
      <c r="B139" t="inlineStr">
        <is>
          <t>avverkningsanmälan</t>
        </is>
      </c>
      <c r="C139" t="inlineStr">
        <is>
          <t>Föryngringsavverkning</t>
        </is>
      </c>
      <c r="D139" s="1" t="n">
        <v>45422</v>
      </c>
      <c r="E139" s="1" t="n">
        <v>46278</v>
      </c>
      <c r="F139" t="inlineStr">
        <is>
          <t>DALARNAS LÄN</t>
        </is>
      </c>
      <c r="G139" t="inlineStr">
        <is>
          <t>ORSA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52044-2023</t>
        </is>
      </c>
      <c r="B140" t="inlineStr">
        <is>
          <t>avverkningsanmälan</t>
        </is>
      </c>
      <c r="C140" t="inlineStr">
        <is>
          <t>Föryngringsavverkning</t>
        </is>
      </c>
      <c r="D140" s="1" t="n">
        <v>45223</v>
      </c>
      <c r="E140" s="1" t="n">
        <v>46278</v>
      </c>
      <c r="F140" t="inlineStr">
        <is>
          <t>DALARNAS LÄN</t>
        </is>
      </c>
      <c r="G140" t="inlineStr">
        <is>
          <t>ORSA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37836-2024</t>
        </is>
      </c>
      <c r="B141" t="inlineStr">
        <is>
          <t>avverkningsanmälan</t>
        </is>
      </c>
      <c r="C141" t="inlineStr">
        <is>
          <t>Föryngringsavverkning</t>
        </is>
      </c>
      <c r="D141" s="1" t="n">
        <v>45544</v>
      </c>
      <c r="E141" s="1" t="n">
        <v>46278</v>
      </c>
      <c r="F141" t="inlineStr">
        <is>
          <t>DALARNAS LÄN</t>
        </is>
      </c>
      <c r="G141" t="inlineStr">
        <is>
          <t>ORSA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21446-2024</t>
        </is>
      </c>
      <c r="B142" t="inlineStr">
        <is>
          <t>avverkningsanmälan</t>
        </is>
      </c>
      <c r="C142" t="inlineStr">
        <is>
          <t>Föryngringsavverkning</t>
        </is>
      </c>
      <c r="D142" s="1" t="n">
        <v>45441</v>
      </c>
      <c r="E142" s="1" t="n">
        <v>46278</v>
      </c>
      <c r="F142" t="inlineStr">
        <is>
          <t>DALARNAS LÄN</t>
        </is>
      </c>
      <c r="G142" t="inlineStr">
        <is>
          <t>ORSA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46278</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50999-2021</t>
        </is>
      </c>
      <c r="B144" t="inlineStr">
        <is>
          <t>avverkningsanmälan</t>
        </is>
      </c>
      <c r="C144" t="inlineStr">
        <is>
          <t>Föryngringsavverkning</t>
        </is>
      </c>
      <c r="D144" s="1" t="n">
        <v>44460</v>
      </c>
      <c r="E144" s="1" t="n">
        <v>46278</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55338-2022</t>
        </is>
      </c>
      <c r="B145" t="inlineStr">
        <is>
          <t>avverkningsanmälan</t>
        </is>
      </c>
      <c r="C145" t="inlineStr">
        <is>
          <t>Föryngringsavverkning</t>
        </is>
      </c>
      <c r="D145" s="1" t="n">
        <v>44887</v>
      </c>
      <c r="E145" s="1" t="n">
        <v>46278</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34169-2023</t>
        </is>
      </c>
      <c r="B146" t="inlineStr">
        <is>
          <t>avverkningsanmälan</t>
        </is>
      </c>
      <c r="C146" t="inlineStr">
        <is>
          <t>Föryngringsavverkning</t>
        </is>
      </c>
      <c r="D146" s="1" t="n">
        <v>45138</v>
      </c>
      <c r="E146" s="1" t="n">
        <v>46278</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33488-2024</t>
        </is>
      </c>
      <c r="B147" t="inlineStr">
        <is>
          <t>avverkningsanmälan</t>
        </is>
      </c>
      <c r="C147" t="inlineStr">
        <is>
          <t>Föryngringsavverkning</t>
        </is>
      </c>
      <c r="D147" s="1" t="n">
        <v>45519</v>
      </c>
      <c r="E147" s="1" t="n">
        <v>46278</v>
      </c>
      <c r="F147" t="inlineStr">
        <is>
          <t>DALARNAS LÄN</t>
        </is>
      </c>
      <c r="G147" t="inlineStr">
        <is>
          <t>ORSA</t>
        </is>
      </c>
      <c r="H147" t="inlineStr">
        <is>
          <t>Övriga statliga verk och myndigheter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61685-2024</t>
        </is>
      </c>
      <c r="B148" t="inlineStr">
        <is>
          <t>avverkningsanmälan</t>
        </is>
      </c>
      <c r="C148" t="inlineStr">
        <is>
          <t>Föryngringsavverkning</t>
        </is>
      </c>
      <c r="D148" s="1" t="n">
        <v>45647</v>
      </c>
      <c r="E148" s="1" t="n">
        <v>46278</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890-2024</t>
        </is>
      </c>
      <c r="B149" t="inlineStr">
        <is>
          <t>avverkningsanmälan</t>
        </is>
      </c>
      <c r="C149" t="inlineStr">
        <is>
          <t>Föryngringsavverkning</t>
        </is>
      </c>
      <c r="D149" s="1" t="n">
        <v>45301</v>
      </c>
      <c r="E149" s="1" t="n">
        <v>46278</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36682-2024</t>
        </is>
      </c>
      <c r="B150" t="inlineStr">
        <is>
          <t>avverkningsanmälan</t>
        </is>
      </c>
      <c r="C150" t="inlineStr">
        <is>
          <t>Föryngringsavverkning</t>
        </is>
      </c>
      <c r="D150" s="1" t="n">
        <v>45537</v>
      </c>
      <c r="E150" s="1" t="n">
        <v>46278</v>
      </c>
      <c r="F150" t="inlineStr">
        <is>
          <t>DALARNAS LÄN</t>
        </is>
      </c>
      <c r="G150" t="inlineStr">
        <is>
          <t>ORSA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7970-2026</t>
        </is>
      </c>
      <c r="B151" t="inlineStr">
        <is>
          <t>avverkningsanmälan</t>
        </is>
      </c>
      <c r="C151" t="inlineStr">
        <is>
          <t>Föryngringsavverkning</t>
        </is>
      </c>
      <c r="D151" s="1" t="n">
        <v>46063</v>
      </c>
      <c r="E151" s="1" t="n">
        <v>46278</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51001-2021</t>
        </is>
      </c>
      <c r="B152" t="inlineStr">
        <is>
          <t>avverkningsanmälan</t>
        </is>
      </c>
      <c r="C152" t="inlineStr">
        <is>
          <t>Föryngringsavverkning</t>
        </is>
      </c>
      <c r="D152" s="1" t="n">
        <v>44460</v>
      </c>
      <c r="E152" s="1" t="n">
        <v>46278</v>
      </c>
      <c r="F152" t="inlineStr">
        <is>
          <t>DALARNAS LÄN</t>
        </is>
      </c>
      <c r="G152" t="inlineStr">
        <is>
          <t>ORSA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29933-2025</t>
        </is>
      </c>
      <c r="B153" t="inlineStr">
        <is>
          <t>avverkningsanmälan</t>
        </is>
      </c>
      <c r="C153" t="inlineStr">
        <is>
          <t>Föryngringsavverkning</t>
        </is>
      </c>
      <c r="D153" s="1" t="n">
        <v>45826</v>
      </c>
      <c r="E153" s="1" t="n">
        <v>46278</v>
      </c>
      <c r="F153" t="inlineStr">
        <is>
          <t>DALARNAS LÄN</t>
        </is>
      </c>
      <c r="G153" t="inlineStr">
        <is>
          <t>ORSA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61698-2022</t>
        </is>
      </c>
      <c r="B154" t="inlineStr">
        <is>
          <t>avverkningsanmälan</t>
        </is>
      </c>
      <c r="C154" t="inlineStr">
        <is>
          <t>Föryngringsavverkning</t>
        </is>
      </c>
      <c r="D154" s="1" t="n">
        <v>44917</v>
      </c>
      <c r="E154" s="1" t="n">
        <v>46278</v>
      </c>
      <c r="F154" t="inlineStr">
        <is>
          <t>DALARNAS LÄN</t>
        </is>
      </c>
      <c r="G154" t="inlineStr">
        <is>
          <t>ORSA</t>
        </is>
      </c>
      <c r="H154" t="inlineStr">
        <is>
          <t>Bergvik skog öst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56975-2023</t>
        </is>
      </c>
      <c r="B155" t="inlineStr">
        <is>
          <t>avverkningsanmälan</t>
        </is>
      </c>
      <c r="C155" t="inlineStr">
        <is>
          <t>Föryngringsavverkning</t>
        </is>
      </c>
      <c r="D155" s="1" t="n">
        <v>45244</v>
      </c>
      <c r="E155" s="1" t="n">
        <v>46278</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3720-2023</t>
        </is>
      </c>
      <c r="B156" t="inlineStr">
        <is>
          <t>avverkningsanmälan</t>
        </is>
      </c>
      <c r="C156" t="inlineStr">
        <is>
          <t>Föryngringsavverkning</t>
        </is>
      </c>
      <c r="D156" s="1" t="n">
        <v>44951</v>
      </c>
      <c r="E156" s="1" t="n">
        <v>46278</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9269-2026</t>
        </is>
      </c>
      <c r="B157" t="inlineStr">
        <is>
          <t>avverkningsanmälan</t>
        </is>
      </c>
      <c r="C157" t="inlineStr">
        <is>
          <t>Föryngringsavverkning</t>
        </is>
      </c>
      <c r="D157" s="1" t="n">
        <v>46070</v>
      </c>
      <c r="E157" s="1" t="n">
        <v>46278</v>
      </c>
      <c r="F157" t="inlineStr">
        <is>
          <t>DALARNAS LÄN</t>
        </is>
      </c>
      <c r="G157" t="inlineStr">
        <is>
          <t>ORSA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38844-2025</t>
        </is>
      </c>
      <c r="B158" t="inlineStr">
        <is>
          <t>avverkningsanmälan</t>
        </is>
      </c>
      <c r="C158" t="inlineStr">
        <is>
          <t>Föryngringsavverkning</t>
        </is>
      </c>
      <c r="D158" s="1" t="n">
        <v>45887</v>
      </c>
      <c r="E158" s="1" t="n">
        <v>46278</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38840-2025</t>
        </is>
      </c>
      <c r="B159" t="inlineStr">
        <is>
          <t>avverkningsanmälan</t>
        </is>
      </c>
      <c r="C159" t="inlineStr">
        <is>
          <t>Föryngringsavverkning</t>
        </is>
      </c>
      <c r="D159" s="1" t="n">
        <v>45887</v>
      </c>
      <c r="E159" s="1" t="n">
        <v>46278</v>
      </c>
      <c r="F159" t="inlineStr">
        <is>
          <t>DALARNAS LÄN</t>
        </is>
      </c>
      <c r="G159" t="inlineStr">
        <is>
          <t>ORSA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31659-2025</t>
        </is>
      </c>
      <c r="B160" t="inlineStr">
        <is>
          <t>avverkningsanmälan</t>
        </is>
      </c>
      <c r="C160" t="inlineStr">
        <is>
          <t>Föryngringsavverkning</t>
        </is>
      </c>
      <c r="D160" s="1" t="n">
        <v>45834</v>
      </c>
      <c r="E160" s="1" t="n">
        <v>46278</v>
      </c>
      <c r="F160" t="inlineStr">
        <is>
          <t>DALARNAS LÄN</t>
        </is>
      </c>
      <c r="G160" t="inlineStr">
        <is>
          <t>ORSA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32325-2025</t>
        </is>
      </c>
      <c r="B161" t="inlineStr">
        <is>
          <t>avverkningsanmälan</t>
        </is>
      </c>
      <c r="C161" t="inlineStr">
        <is>
          <t>Föryngringsavverkning</t>
        </is>
      </c>
      <c r="D161" s="1" t="n">
        <v>45836</v>
      </c>
      <c r="E161" s="1" t="n">
        <v>46278</v>
      </c>
      <c r="F161" t="inlineStr">
        <is>
          <t>DALARNAS LÄN</t>
        </is>
      </c>
      <c r="G161" t="inlineStr">
        <is>
          <t>ORSA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32985-2025</t>
        </is>
      </c>
      <c r="B162" t="inlineStr">
        <is>
          <t>avverkningsanmälan</t>
        </is>
      </c>
      <c r="C162" t="inlineStr">
        <is>
          <t>Föryngringsavverkning</t>
        </is>
      </c>
      <c r="D162" s="1" t="n">
        <v>45839</v>
      </c>
      <c r="E162" s="1" t="n">
        <v>46278</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37852-2024</t>
        </is>
      </c>
      <c r="B163" t="inlineStr">
        <is>
          <t>avverkningsanmälan</t>
        </is>
      </c>
      <c r="C163" t="inlineStr">
        <is>
          <t>Föryngringsavverkning</t>
        </is>
      </c>
      <c r="D163" s="1" t="n">
        <v>45544</v>
      </c>
      <c r="E163" s="1" t="n">
        <v>46278</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32984-2025</t>
        </is>
      </c>
      <c r="B164" t="inlineStr">
        <is>
          <t>avverkningsanmälan</t>
        </is>
      </c>
      <c r="C164" t="inlineStr">
        <is>
          <t>Föryngringsavverkning</t>
        </is>
      </c>
      <c r="D164" s="1" t="n">
        <v>45839</v>
      </c>
      <c r="E164" s="1" t="n">
        <v>46278</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40070-2025</t>
        </is>
      </c>
      <c r="B165" t="inlineStr">
        <is>
          <t>avverkningsanmälan</t>
        </is>
      </c>
      <c r="C165" t="inlineStr">
        <is>
          <t>Föryngringsavverkning</t>
        </is>
      </c>
      <c r="D165" s="1" t="n">
        <v>45894</v>
      </c>
      <c r="E165" s="1" t="n">
        <v>46278</v>
      </c>
      <c r="F165" t="inlineStr">
        <is>
          <t>DALARNAS LÄN</t>
        </is>
      </c>
      <c r="G165" t="inlineStr">
        <is>
          <t>ORSA</t>
        </is>
      </c>
      <c r="H165" t="inlineStr">
        <is>
          <t>Allmännings- och besparingsskogar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40091-2025</t>
        </is>
      </c>
      <c r="B166" t="inlineStr">
        <is>
          <t>avverkningsanmälan</t>
        </is>
      </c>
      <c r="C166" t="inlineStr">
        <is>
          <t>Föryngringsavverkning</t>
        </is>
      </c>
      <c r="D166" s="1" t="n">
        <v>45894</v>
      </c>
      <c r="E166" s="1" t="n">
        <v>46278</v>
      </c>
      <c r="F166" t="inlineStr">
        <is>
          <t>DALARNAS LÄN</t>
        </is>
      </c>
      <c r="G166" t="inlineStr">
        <is>
          <t>ORSA</t>
        </is>
      </c>
      <c r="H166" t="inlineStr">
        <is>
          <t>Allmännings- och besparingsskogar</t>
        </is>
      </c>
      <c r="I166" t="n">
        <v>20.4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33374-2025</t>
        </is>
      </c>
      <c r="B167" t="inlineStr">
        <is>
          <t>avverkningsanmälan</t>
        </is>
      </c>
      <c r="C167" t="inlineStr">
        <is>
          <t>Föryngringsavverkning</t>
        </is>
      </c>
      <c r="D167" s="1" t="n">
        <v>45841</v>
      </c>
      <c r="E167" s="1" t="n">
        <v>46278</v>
      </c>
      <c r="F167" t="inlineStr">
        <is>
          <t>DALARNAS LÄN</t>
        </is>
      </c>
      <c r="G167" t="inlineStr">
        <is>
          <t>ORSA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40577-2025</t>
        </is>
      </c>
      <c r="B168" t="inlineStr">
        <is>
          <t>avverkningsanmälan</t>
        </is>
      </c>
      <c r="C168" t="inlineStr">
        <is>
          <t>Föryngringsavverkning</t>
        </is>
      </c>
      <c r="D168" s="1" t="n">
        <v>45896</v>
      </c>
      <c r="E168" s="1" t="n">
        <v>46278</v>
      </c>
      <c r="F168" t="inlineStr">
        <is>
          <t>DALARNAS LÄN</t>
        </is>
      </c>
      <c r="G168" t="inlineStr">
        <is>
          <t>ORSA</t>
        </is>
      </c>
      <c r="H168" t="inlineStr">
        <is>
          <t>Allmännings- och besparingsskogar</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54519-2023</t>
        </is>
      </c>
      <c r="B169" t="inlineStr">
        <is>
          <t>avverkningsanmälan</t>
        </is>
      </c>
      <c r="C169" t="inlineStr">
        <is>
          <t>Föryngringsavverkning</t>
        </is>
      </c>
      <c r="D169" s="1" t="n">
        <v>45233</v>
      </c>
      <c r="E169" s="1" t="n">
        <v>46278</v>
      </c>
      <c r="F169" t="inlineStr">
        <is>
          <t>DALARNAS LÄN</t>
        </is>
      </c>
      <c r="G169" t="inlineStr">
        <is>
          <t>ORSA</t>
        </is>
      </c>
      <c r="H169" t="inlineStr">
        <is>
          <t>Allmännings- och besparingsskogar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10261-2022</t>
        </is>
      </c>
      <c r="B170" t="inlineStr">
        <is>
          <t>avverkningsanmälan</t>
        </is>
      </c>
      <c r="C170" t="inlineStr">
        <is>
          <t>Föryngringsavverkning</t>
        </is>
      </c>
      <c r="D170" s="1" t="n">
        <v>44622</v>
      </c>
      <c r="E170" s="1" t="n">
        <v>46278</v>
      </c>
      <c r="F170" t="inlineStr">
        <is>
          <t>DALARNAS LÄN</t>
        </is>
      </c>
      <c r="G170" t="inlineStr">
        <is>
          <t>ORSA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34779-2025</t>
        </is>
      </c>
      <c r="B171" t="inlineStr">
        <is>
          <t>avverkningsanmälan</t>
        </is>
      </c>
      <c r="C171" t="inlineStr">
        <is>
          <t>Föryngringsavverkning</t>
        </is>
      </c>
      <c r="D171" s="1" t="n">
        <v>45848</v>
      </c>
      <c r="E171" s="1" t="n">
        <v>46278</v>
      </c>
      <c r="F171" t="inlineStr">
        <is>
          <t>DALARNAS LÄN</t>
        </is>
      </c>
      <c r="G171" t="inlineStr">
        <is>
          <t>ORSA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34753-2025</t>
        </is>
      </c>
      <c r="B172" t="inlineStr">
        <is>
          <t>avverkningsanmälan</t>
        </is>
      </c>
      <c r="C172" t="inlineStr">
        <is>
          <t>Föryngringsavverkning</t>
        </is>
      </c>
      <c r="D172" s="1" t="n">
        <v>45848</v>
      </c>
      <c r="E172" s="1" t="n">
        <v>46278</v>
      </c>
      <c r="F172" t="inlineStr">
        <is>
          <t>DALARNAS LÄN</t>
        </is>
      </c>
      <c r="G172" t="inlineStr">
        <is>
          <t>ORSA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34781-2025</t>
        </is>
      </c>
      <c r="B173" t="inlineStr">
        <is>
          <t>avverkningsanmälan</t>
        </is>
      </c>
      <c r="C173" t="inlineStr">
        <is>
          <t>Föryngringsavverkning</t>
        </is>
      </c>
      <c r="D173" s="1" t="n">
        <v>45848</v>
      </c>
      <c r="E173" s="1" t="n">
        <v>46278</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34769-2025</t>
        </is>
      </c>
      <c r="B174" t="inlineStr">
        <is>
          <t>avverkningsanmälan</t>
        </is>
      </c>
      <c r="C174" t="inlineStr">
        <is>
          <t>Föryngringsavverkning</t>
        </is>
      </c>
      <c r="D174" s="1" t="n">
        <v>45848</v>
      </c>
      <c r="E174" s="1" t="n">
        <v>46278</v>
      </c>
      <c r="F174" t="inlineStr">
        <is>
          <t>DALARNAS LÄN</t>
        </is>
      </c>
      <c r="G174" t="inlineStr">
        <is>
          <t>ORSA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34777-2025</t>
        </is>
      </c>
      <c r="B175" t="inlineStr">
        <is>
          <t>avverkningsanmälan</t>
        </is>
      </c>
      <c r="C175" t="inlineStr">
        <is>
          <t>Föryngringsavverkning</t>
        </is>
      </c>
      <c r="D175" s="1" t="n">
        <v>45848</v>
      </c>
      <c r="E175" s="1" t="n">
        <v>46278</v>
      </c>
      <c r="F175" t="inlineStr">
        <is>
          <t>DALARNAS LÄN</t>
        </is>
      </c>
      <c r="G175" t="inlineStr">
        <is>
          <t>ORSA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34764-2025</t>
        </is>
      </c>
      <c r="B176" t="inlineStr">
        <is>
          <t>avverkningsanmälan</t>
        </is>
      </c>
      <c r="C176" t="inlineStr">
        <is>
          <t>Föryngringsavverkning</t>
        </is>
      </c>
      <c r="D176" s="1" t="n">
        <v>45848</v>
      </c>
      <c r="E176" s="1" t="n">
        <v>46278</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41666-2025</t>
        </is>
      </c>
      <c r="B177" t="inlineStr">
        <is>
          <t>avverkningsanmälan</t>
        </is>
      </c>
      <c r="C177" t="inlineStr">
        <is>
          <t>Föryngringsavverkning</t>
        </is>
      </c>
      <c r="D177" s="1" t="n">
        <v>45902</v>
      </c>
      <c r="E177" s="1" t="n">
        <v>46278</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41919-2025</t>
        </is>
      </c>
      <c r="B178" t="inlineStr">
        <is>
          <t>avverkningsanmälan</t>
        </is>
      </c>
      <c r="C178" t="inlineStr">
        <is>
          <t>Föryngringsavverkning</t>
        </is>
      </c>
      <c r="D178" s="1" t="n">
        <v>45903</v>
      </c>
      <c r="E178" s="1" t="n">
        <v>46278</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42226-2025</t>
        </is>
      </c>
      <c r="B179" t="inlineStr">
        <is>
          <t>avverkningsanmälan</t>
        </is>
      </c>
      <c r="C179" t="inlineStr">
        <is>
          <t>Föryngringsavverkning</t>
        </is>
      </c>
      <c r="D179" s="1" t="n">
        <v>45904</v>
      </c>
      <c r="E179" s="1" t="n">
        <v>46278</v>
      </c>
      <c r="F179" t="inlineStr">
        <is>
          <t>DALARNAS LÄN</t>
        </is>
      </c>
      <c r="G179" t="inlineStr">
        <is>
          <t>ORSA</t>
        </is>
      </c>
      <c r="H179" t="inlineStr">
        <is>
          <t>Allmännings- och besparingsskogar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23875-2025</t>
        </is>
      </c>
      <c r="B180" t="inlineStr">
        <is>
          <t>avverkningsanmälan</t>
        </is>
      </c>
      <c r="C180" t="inlineStr">
        <is>
          <t>Föryngringsavverkning</t>
        </is>
      </c>
      <c r="D180" s="1" t="n">
        <v>45793</v>
      </c>
      <c r="E180" s="1" t="n">
        <v>46278</v>
      </c>
      <c r="F180" t="inlineStr">
        <is>
          <t>DALARNAS LÄN</t>
        </is>
      </c>
      <c r="G180" t="inlineStr">
        <is>
          <t>ORSA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35619-2025</t>
        </is>
      </c>
      <c r="B181" t="inlineStr">
        <is>
          <t>avverkningsanmälan</t>
        </is>
      </c>
      <c r="C181" t="inlineStr">
        <is>
          <t>Föryngringsavverkning</t>
        </is>
      </c>
      <c r="D181" s="1" t="n">
        <v>45859</v>
      </c>
      <c r="E181" s="1" t="n">
        <v>46278</v>
      </c>
      <c r="F181" t="inlineStr">
        <is>
          <t>DALARNAS LÄN</t>
        </is>
      </c>
      <c r="G181" t="inlineStr">
        <is>
          <t>ORSA</t>
        </is>
      </c>
      <c r="H181" t="inlineStr">
        <is>
          <t>Bergvik skog öst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10195-2026</t>
        </is>
      </c>
      <c r="B182" t="inlineStr">
        <is>
          <t>avverkningsanmälan</t>
        </is>
      </c>
      <c r="C182" t="inlineStr">
        <is>
          <t>Föryngringsavverkning</t>
        </is>
      </c>
      <c r="D182" s="1" t="n">
        <v>46076</v>
      </c>
      <c r="E182" s="1" t="n">
        <v>46278</v>
      </c>
      <c r="F182" t="inlineStr">
        <is>
          <t>DALARNAS LÄN</t>
        </is>
      </c>
      <c r="G182" t="inlineStr">
        <is>
          <t>ORSA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50714-2023</t>
        </is>
      </c>
      <c r="B183" t="inlineStr">
        <is>
          <t>avverkningsanmälan</t>
        </is>
      </c>
      <c r="C183" t="inlineStr">
        <is>
          <t>Föryngringsavverkning</t>
        </is>
      </c>
      <c r="D183" s="1" t="n">
        <v>45217</v>
      </c>
      <c r="E183" s="1" t="n">
        <v>46278</v>
      </c>
      <c r="F183" t="inlineStr">
        <is>
          <t>DALARNAS LÄN</t>
        </is>
      </c>
      <c r="G183" t="inlineStr">
        <is>
          <t>ORSA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10205-2026</t>
        </is>
      </c>
      <c r="B184" t="inlineStr">
        <is>
          <t>avverkningsanmälan</t>
        </is>
      </c>
      <c r="C184" t="inlineStr">
        <is>
          <t>Föryngringsavverkning</t>
        </is>
      </c>
      <c r="D184" s="1" t="n">
        <v>46076</v>
      </c>
      <c r="E184" s="1" t="n">
        <v>46278</v>
      </c>
      <c r="F184" t="inlineStr">
        <is>
          <t>DALARNAS LÄN</t>
        </is>
      </c>
      <c r="G184" t="inlineStr">
        <is>
          <t>ORSA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10442-2026</t>
        </is>
      </c>
      <c r="B185" t="inlineStr">
        <is>
          <t>avverkningsanmälan</t>
        </is>
      </c>
      <c r="C185" t="inlineStr">
        <is>
          <t>Föryngringsavverkning</t>
        </is>
      </c>
      <c r="D185" s="1" t="n">
        <v>46077</v>
      </c>
      <c r="E185" s="1" t="n">
        <v>46278</v>
      </c>
      <c r="F185" t="inlineStr">
        <is>
          <t>DALARNAS LÄN</t>
        </is>
      </c>
      <c r="G185" t="inlineStr">
        <is>
          <t>ORSA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36570-2025</t>
        </is>
      </c>
      <c r="B186" t="inlineStr">
        <is>
          <t>avverkningsanmälan</t>
        </is>
      </c>
      <c r="C186" t="inlineStr">
        <is>
          <t>Föryngringsavverkning</t>
        </is>
      </c>
      <c r="D186" s="1" t="n">
        <v>45870</v>
      </c>
      <c r="E186" s="1" t="n">
        <v>46278</v>
      </c>
      <c r="F186" t="inlineStr">
        <is>
          <t>DALARNAS LÄN</t>
        </is>
      </c>
      <c r="G186" t="inlineStr">
        <is>
          <t>ORSA</t>
        </is>
      </c>
      <c r="H186" t="inlineStr">
        <is>
          <t>Bergvik skog öst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44119-2025</t>
        </is>
      </c>
      <c r="B187" t="inlineStr">
        <is>
          <t>avverkningsanmälan</t>
        </is>
      </c>
      <c r="C187" t="inlineStr">
        <is>
          <t>Föryngringsavverkning</t>
        </is>
      </c>
      <c r="D187" s="1" t="n">
        <v>45915</v>
      </c>
      <c r="E187" s="1" t="n">
        <v>46278</v>
      </c>
      <c r="F187" t="inlineStr">
        <is>
          <t>DALARNAS LÄN</t>
        </is>
      </c>
      <c r="G187" t="inlineStr">
        <is>
          <t>ORSA</t>
        </is>
      </c>
      <c r="H187" t="inlineStr">
        <is>
          <t>Allmännings- och besparingsskogar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44121-2025</t>
        </is>
      </c>
      <c r="B188" t="inlineStr">
        <is>
          <t>avverkningsanmälan</t>
        </is>
      </c>
      <c r="C188" t="inlineStr">
        <is>
          <t>Föryngringsavverkning</t>
        </is>
      </c>
      <c r="D188" s="1" t="n">
        <v>45915</v>
      </c>
      <c r="E188" s="1" t="n">
        <v>46278</v>
      </c>
      <c r="F188" t="inlineStr">
        <is>
          <t>DALARNAS LÄN</t>
        </is>
      </c>
      <c r="G188" t="inlineStr">
        <is>
          <t>ORSA</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52816-2024</t>
        </is>
      </c>
      <c r="B189" t="inlineStr">
        <is>
          <t>avverkningsanmälan</t>
        </is>
      </c>
      <c r="C189" t="inlineStr">
        <is>
          <t>Föryngringsavverkning</t>
        </is>
      </c>
      <c r="D189" s="1" t="n">
        <v>45610</v>
      </c>
      <c r="E189" s="1" t="n">
        <v>46278</v>
      </c>
      <c r="F189" t="inlineStr">
        <is>
          <t>DALARNAS LÄN</t>
        </is>
      </c>
      <c r="G189" t="inlineStr">
        <is>
          <t>ORSA</t>
        </is>
      </c>
      <c r="H189" t="inlineStr">
        <is>
          <t>Bergvik skog öst AB</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42517-2024</t>
        </is>
      </c>
      <c r="B190" t="inlineStr">
        <is>
          <t>avverkningsanmälan</t>
        </is>
      </c>
      <c r="C190" t="inlineStr">
        <is>
          <t>Föryngringsavverkning</t>
        </is>
      </c>
      <c r="D190" s="1" t="n">
        <v>45565</v>
      </c>
      <c r="E190" s="1" t="n">
        <v>46278</v>
      </c>
      <c r="F190" t="inlineStr">
        <is>
          <t>DALARNAS LÄN</t>
        </is>
      </c>
      <c r="G190" t="inlineStr">
        <is>
          <t>ORSA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10513-2026</t>
        </is>
      </c>
      <c r="B191" t="inlineStr">
        <is>
          <t>avverkningsanmälan</t>
        </is>
      </c>
      <c r="C191" t="inlineStr">
        <is>
          <t>Föryngringsavverkning</t>
        </is>
      </c>
      <c r="D191" s="1" t="n">
        <v>46077</v>
      </c>
      <c r="E191" s="1" t="n">
        <v>46278</v>
      </c>
      <c r="F191" t="inlineStr">
        <is>
          <t>DALARNAS LÄN</t>
        </is>
      </c>
      <c r="G191" t="inlineStr">
        <is>
          <t>ORSA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43967-2025</t>
        </is>
      </c>
      <c r="B192" t="inlineStr">
        <is>
          <t>avverkningsanmälan</t>
        </is>
      </c>
      <c r="C192" t="inlineStr">
        <is>
          <t>Föryngringsavverkning</t>
        </is>
      </c>
      <c r="D192" s="1" t="n">
        <v>45915</v>
      </c>
      <c r="E192" s="1" t="n">
        <v>46278</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44117-2025</t>
        </is>
      </c>
      <c r="B193" t="inlineStr">
        <is>
          <t>avverkningsanmälan</t>
        </is>
      </c>
      <c r="C193" t="inlineStr">
        <is>
          <t>Föryngringsavverkning</t>
        </is>
      </c>
      <c r="D193" s="1" t="n">
        <v>45915</v>
      </c>
      <c r="E193" s="1" t="n">
        <v>46278</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28082-2023</t>
        </is>
      </c>
      <c r="B194" t="inlineStr">
        <is>
          <t>avverkningsanmälan</t>
        </is>
      </c>
      <c r="C194" t="inlineStr">
        <is>
          <t>Avverkning för annat ändamål</t>
        </is>
      </c>
      <c r="D194" s="1" t="n">
        <v>45099</v>
      </c>
      <c r="E194" s="1" t="n">
        <v>46278</v>
      </c>
      <c r="F194" t="inlineStr">
        <is>
          <t>DALARNAS LÄN</t>
        </is>
      </c>
      <c r="G194" t="inlineStr">
        <is>
          <t>ORSA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43965-2025</t>
        </is>
      </c>
      <c r="B195" t="inlineStr">
        <is>
          <t>avverkningsanmälan</t>
        </is>
      </c>
      <c r="C195" t="inlineStr">
        <is>
          <t>Föryngringsavverkning</t>
        </is>
      </c>
      <c r="D195" s="1" t="n">
        <v>45915</v>
      </c>
      <c r="E195" s="1" t="n">
        <v>46278</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2717-2024</t>
        </is>
      </c>
      <c r="B196" t="inlineStr">
        <is>
          <t>avverkningsanmälan</t>
        </is>
      </c>
      <c r="C196" t="inlineStr">
        <is>
          <t>Avverkning för att bevara och utveckla /försöksver</t>
        </is>
      </c>
      <c r="D196" s="1" t="n">
        <v>45314</v>
      </c>
      <c r="E196" s="1" t="n">
        <v>46278</v>
      </c>
      <c r="F196" t="inlineStr">
        <is>
          <t>DALARNAS LÄN</t>
        </is>
      </c>
      <c r="G196" t="inlineStr">
        <is>
          <t>ORSA</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10202-2026</t>
        </is>
      </c>
      <c r="B197" t="inlineStr">
        <is>
          <t>avverkningsanmälan</t>
        </is>
      </c>
      <c r="C197" t="inlineStr">
        <is>
          <t>Föryngringsavverkning</t>
        </is>
      </c>
      <c r="D197" s="1" t="n">
        <v>46076</v>
      </c>
      <c r="E197" s="1" t="n">
        <v>46278</v>
      </c>
      <c r="F197" t="inlineStr">
        <is>
          <t>DALARNAS LÄN</t>
        </is>
      </c>
      <c r="G197" t="inlineStr">
        <is>
          <t>ORSA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10564-2026</t>
        </is>
      </c>
      <c r="B198" t="inlineStr">
        <is>
          <t>avverkningsanmälan</t>
        </is>
      </c>
      <c r="C198" t="inlineStr">
        <is>
          <t>Föryngringsavverkning</t>
        </is>
      </c>
      <c r="D198" s="1" t="n">
        <v>46077</v>
      </c>
      <c r="E198" s="1" t="n">
        <v>46278</v>
      </c>
      <c r="F198" t="inlineStr">
        <is>
          <t>DALARNAS LÄN</t>
        </is>
      </c>
      <c r="G198" t="inlineStr">
        <is>
          <t>ORSA</t>
        </is>
      </c>
      <c r="H198" t="inlineStr">
        <is>
          <t>Övriga Aktiebolag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56887-2024</t>
        </is>
      </c>
      <c r="B199" t="inlineStr">
        <is>
          <t>avverkningsanmälan</t>
        </is>
      </c>
      <c r="C199" t="inlineStr">
        <is>
          <t>Föryngringsavverkning</t>
        </is>
      </c>
      <c r="D199" s="1" t="n">
        <v>45628</v>
      </c>
      <c r="E199" s="1" t="n">
        <v>46278</v>
      </c>
      <c r="F199" t="inlineStr">
        <is>
          <t>DALARNAS LÄN</t>
        </is>
      </c>
      <c r="G199" t="inlineStr">
        <is>
          <t>ORSA</t>
        </is>
      </c>
      <c r="H199" t="inlineStr">
        <is>
          <t>Bergvik skog öst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42513-2024</t>
        </is>
      </c>
      <c r="B200" t="inlineStr">
        <is>
          <t>avverkningsanmälan</t>
        </is>
      </c>
      <c r="C200" t="inlineStr">
        <is>
          <t>Föryngringsavverkning</t>
        </is>
      </c>
      <c r="D200" s="1" t="n">
        <v>45565</v>
      </c>
      <c r="E200" s="1" t="n">
        <v>46278</v>
      </c>
      <c r="F200" t="inlineStr">
        <is>
          <t>DALARNAS LÄN</t>
        </is>
      </c>
      <c r="G200" t="inlineStr">
        <is>
          <t>ORSA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37181-2025</t>
        </is>
      </c>
      <c r="B201" t="inlineStr">
        <is>
          <t>avverkningsanmälan</t>
        </is>
      </c>
      <c r="C201" t="inlineStr">
        <is>
          <t>Föryngringsavverkning</t>
        </is>
      </c>
      <c r="D201" s="1" t="n">
        <v>45875</v>
      </c>
      <c r="E201" s="1" t="n">
        <v>46278</v>
      </c>
      <c r="F201" t="inlineStr">
        <is>
          <t>DALARNAS LÄN</t>
        </is>
      </c>
      <c r="G201" t="inlineStr">
        <is>
          <t>ORSA</t>
        </is>
      </c>
      <c r="H201" t="inlineStr">
        <is>
          <t>Bergvik skog öst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10206-2026</t>
        </is>
      </c>
      <c r="B202" t="inlineStr">
        <is>
          <t>avverkningsanmälan</t>
        </is>
      </c>
      <c r="C202" t="inlineStr">
        <is>
          <t>Föryngringsavverkning</t>
        </is>
      </c>
      <c r="D202" s="1" t="n">
        <v>46076</v>
      </c>
      <c r="E202" s="1" t="n">
        <v>46278</v>
      </c>
      <c r="F202" t="inlineStr">
        <is>
          <t>DALARNAS LÄN</t>
        </is>
      </c>
      <c r="G202" t="inlineStr">
        <is>
          <t>ORSA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10579-2026</t>
        </is>
      </c>
      <c r="B203" t="inlineStr">
        <is>
          <t>avverkningsanmälan</t>
        </is>
      </c>
      <c r="C203" t="inlineStr">
        <is>
          <t>Föryngringsavverkning</t>
        </is>
      </c>
      <c r="D203" s="1" t="n">
        <v>46077</v>
      </c>
      <c r="E203" s="1" t="n">
        <v>46278</v>
      </c>
      <c r="F203" t="inlineStr">
        <is>
          <t>DALARNAS LÄN</t>
        </is>
      </c>
      <c r="G203" t="inlineStr">
        <is>
          <t>ORSA</t>
        </is>
      </c>
      <c r="H203" t="inlineStr">
        <is>
          <t>Övriga Aktiebolag</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45803-2025</t>
        </is>
      </c>
      <c r="B204" t="inlineStr">
        <is>
          <t>avverkningsanmälan</t>
        </is>
      </c>
      <c r="C204" t="inlineStr">
        <is>
          <t>Föryngringsavverkning</t>
        </is>
      </c>
      <c r="D204" s="1" t="n">
        <v>45923</v>
      </c>
      <c r="E204" s="1" t="n">
        <v>46278</v>
      </c>
      <c r="F204" t="inlineStr">
        <is>
          <t>DALARNAS LÄN</t>
        </is>
      </c>
      <c r="G204" t="inlineStr">
        <is>
          <t>ORSA</t>
        </is>
      </c>
      <c r="H204" t="inlineStr">
        <is>
          <t>Allmännings- och besparingsskogar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37439-2025</t>
        </is>
      </c>
      <c r="B205" t="inlineStr">
        <is>
          <t>avverkningsanmälan</t>
        </is>
      </c>
      <c r="C205" t="inlineStr">
        <is>
          <t>Föryngringsavverkning</t>
        </is>
      </c>
      <c r="D205" s="1" t="n">
        <v>45877</v>
      </c>
      <c r="E205" s="1" t="n">
        <v>46278</v>
      </c>
      <c r="F205" t="inlineStr">
        <is>
          <t>DALARNAS LÄN</t>
        </is>
      </c>
      <c r="G205" t="inlineStr">
        <is>
          <t>ORSA</t>
        </is>
      </c>
      <c r="H205" t="inlineStr">
        <is>
          <t>Allmännings- och besparingsskogar</t>
        </is>
      </c>
      <c r="I205" t="n">
        <v>7.9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37906-2025</t>
        </is>
      </c>
      <c r="B206" t="inlineStr">
        <is>
          <t>avverkningsanmälan</t>
        </is>
      </c>
      <c r="C206" t="inlineStr">
        <is>
          <t>Föryngringsavverkning</t>
        </is>
      </c>
      <c r="D206" s="1" t="n">
        <v>45881</v>
      </c>
      <c r="E206" s="1" t="n">
        <v>46278</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10035-2026</t>
        </is>
      </c>
      <c r="B207" t="inlineStr">
        <is>
          <t>avverkningsanmälan</t>
        </is>
      </c>
      <c r="C207" t="inlineStr">
        <is>
          <t>Föryngringsavverkning</t>
        </is>
      </c>
      <c r="D207" s="1" t="n">
        <v>46073</v>
      </c>
      <c r="E207" s="1" t="n">
        <v>46278</v>
      </c>
      <c r="F207" t="inlineStr">
        <is>
          <t>DALARNAS LÄN</t>
        </is>
      </c>
      <c r="G207" t="inlineStr">
        <is>
          <t>ORSA</t>
        </is>
      </c>
      <c r="H207" t="inlineStr">
        <is>
          <t>Bergvik skog öst AB</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10784-2026</t>
        </is>
      </c>
      <c r="B208" t="inlineStr">
        <is>
          <t>avverkningsanmälan</t>
        </is>
      </c>
      <c r="C208" t="inlineStr">
        <is>
          <t>Föryngringsavverkning</t>
        </is>
      </c>
      <c r="D208" s="1" t="n">
        <v>46078</v>
      </c>
      <c r="E208" s="1" t="n">
        <v>46278</v>
      </c>
      <c r="F208" t="inlineStr">
        <is>
          <t>DALARNAS LÄN</t>
        </is>
      </c>
      <c r="G208" t="inlineStr">
        <is>
          <t>ORSA</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47953-2025</t>
        </is>
      </c>
      <c r="B209" t="inlineStr">
        <is>
          <t>avverkningsanmälan</t>
        </is>
      </c>
      <c r="C209" t="inlineStr">
        <is>
          <t>Föryngringsavverkning</t>
        </is>
      </c>
      <c r="D209" s="1" t="n">
        <v>45932</v>
      </c>
      <c r="E209" s="1" t="n">
        <v>46278</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42346-2022</t>
        </is>
      </c>
      <c r="B210" t="inlineStr">
        <is>
          <t>avverkningsanmälan</t>
        </is>
      </c>
      <c r="C210" t="inlineStr">
        <is>
          <t>Föryngringsavverkning</t>
        </is>
      </c>
      <c r="D210" s="1" t="n">
        <v>44831</v>
      </c>
      <c r="E210" s="1" t="n">
        <v>46278</v>
      </c>
      <c r="F210" t="inlineStr">
        <is>
          <t>DALARNAS LÄN</t>
        </is>
      </c>
      <c r="G210" t="inlineStr">
        <is>
          <t>ORSA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52925-2024</t>
        </is>
      </c>
      <c r="B211" t="inlineStr">
        <is>
          <t>avverkningsanmälan</t>
        </is>
      </c>
      <c r="C211" t="inlineStr">
        <is>
          <t>Föryngringsavverkning</t>
        </is>
      </c>
      <c r="D211" s="1" t="n">
        <v>45610</v>
      </c>
      <c r="E211" s="1" t="n">
        <v>46278</v>
      </c>
      <c r="F211" t="inlineStr">
        <is>
          <t>DALARNAS LÄN</t>
        </is>
      </c>
      <c r="G211" t="inlineStr">
        <is>
          <t>ORSA</t>
        </is>
      </c>
      <c r="H211" t="inlineStr">
        <is>
          <t>Allmännings- och besparingsskogar</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6097-2025</t>
        </is>
      </c>
      <c r="B212" t="inlineStr">
        <is>
          <t>avverkningsanmälan</t>
        </is>
      </c>
      <c r="C212" t="inlineStr">
        <is>
          <t>Föryngringsavverkning</t>
        </is>
      </c>
      <c r="D212" s="1" t="n">
        <v>45697</v>
      </c>
      <c r="E212" s="1" t="n">
        <v>46278</v>
      </c>
      <c r="F212" t="inlineStr">
        <is>
          <t>DALARNAS LÄN</t>
        </is>
      </c>
      <c r="G212" t="inlineStr">
        <is>
          <t>ORSA</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40101-2024</t>
        </is>
      </c>
      <c r="B213" t="inlineStr">
        <is>
          <t>avverkningsanmälan</t>
        </is>
      </c>
      <c r="C213" t="inlineStr">
        <is>
          <t>Föryngringsavverkning</t>
        </is>
      </c>
      <c r="D213" s="1" t="n">
        <v>45554</v>
      </c>
      <c r="E213" s="1" t="n">
        <v>46278</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12678-2026</t>
        </is>
      </c>
      <c r="B214" t="inlineStr">
        <is>
          <t>avverkningsanmälan</t>
        </is>
      </c>
      <c r="C214" t="inlineStr">
        <is>
          <t>Föryngringsavverkning</t>
        </is>
      </c>
      <c r="D214" s="1" t="n">
        <v>46091</v>
      </c>
      <c r="E214" s="1" t="n">
        <v>46278</v>
      </c>
      <c r="F214" t="inlineStr">
        <is>
          <t>DALARNAS LÄN</t>
        </is>
      </c>
      <c r="G214" t="inlineStr">
        <is>
          <t>ORSA</t>
        </is>
      </c>
      <c r="H214" t="inlineStr">
        <is>
          <t>Allmännings- och besparingsskogar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12404-2026</t>
        </is>
      </c>
      <c r="B215" t="inlineStr">
        <is>
          <t>avverkningsanmälan</t>
        </is>
      </c>
      <c r="C215" t="inlineStr">
        <is>
          <t>Föryngringsavverkning</t>
        </is>
      </c>
      <c r="D215" s="1" t="n">
        <v>46090</v>
      </c>
      <c r="E215" s="1" t="n">
        <v>46278</v>
      </c>
      <c r="F215" t="inlineStr">
        <is>
          <t>DALARNAS LÄN</t>
        </is>
      </c>
      <c r="G215" t="inlineStr">
        <is>
          <t>ORSA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12805-2026</t>
        </is>
      </c>
      <c r="B216" t="inlineStr">
        <is>
          <t>avverkningsanmälan</t>
        </is>
      </c>
      <c r="C216" t="inlineStr">
        <is>
          <t>Föryngringsavverkning</t>
        </is>
      </c>
      <c r="D216" s="1" t="n">
        <v>46092</v>
      </c>
      <c r="E216" s="1" t="n">
        <v>46278</v>
      </c>
      <c r="F216" t="inlineStr">
        <is>
          <t>DALARNAS LÄN</t>
        </is>
      </c>
      <c r="G216" t="inlineStr">
        <is>
          <t>ORSA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10045-2026</t>
        </is>
      </c>
      <c r="B217" t="inlineStr">
        <is>
          <t>avverkningsanmälan</t>
        </is>
      </c>
      <c r="C217" t="inlineStr">
        <is>
          <t>Föryngringsavverkning</t>
        </is>
      </c>
      <c r="D217" s="1" t="n">
        <v>46073</v>
      </c>
      <c r="E217" s="1" t="n">
        <v>46278</v>
      </c>
      <c r="F217" t="inlineStr">
        <is>
          <t>DALARNAS LÄN</t>
        </is>
      </c>
      <c r="G217" t="inlineStr">
        <is>
          <t>ORSA</t>
        </is>
      </c>
      <c r="H217" t="inlineStr">
        <is>
          <t>Bergvik skog öst AB</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9963-2026</t>
        </is>
      </c>
      <c r="B218" t="inlineStr">
        <is>
          <t>avverkningsanmälan</t>
        </is>
      </c>
      <c r="C218" t="inlineStr">
        <is>
          <t>Föryngringsavverkning</t>
        </is>
      </c>
      <c r="D218" s="1" t="n">
        <v>46073</v>
      </c>
      <c r="E218" s="1" t="n">
        <v>46278</v>
      </c>
      <c r="F218" t="inlineStr">
        <is>
          <t>DALARNAS LÄN</t>
        </is>
      </c>
      <c r="G218" t="inlineStr">
        <is>
          <t>ORSA</t>
        </is>
      </c>
      <c r="H218" t="inlineStr">
        <is>
          <t>Bergvik skog öst AB</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13242-2026</t>
        </is>
      </c>
      <c r="B219" t="inlineStr">
        <is>
          <t>avverkningsanmälan</t>
        </is>
      </c>
      <c r="C219" t="inlineStr">
        <is>
          <t>Föryngringsavverkning</t>
        </is>
      </c>
      <c r="D219" s="1" t="n">
        <v>46093</v>
      </c>
      <c r="E219" s="1" t="n">
        <v>46278</v>
      </c>
      <c r="F219" t="inlineStr">
        <is>
          <t>DALARNAS LÄN</t>
        </is>
      </c>
      <c r="G219" t="inlineStr">
        <is>
          <t>ORSA</t>
        </is>
      </c>
      <c r="H219" t="inlineStr">
        <is>
          <t>Bergvik skog öst AB</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51334-2025</t>
        </is>
      </c>
      <c r="B220" t="inlineStr">
        <is>
          <t>avverkningsanmälan</t>
        </is>
      </c>
      <c r="C220" t="inlineStr">
        <is>
          <t>Föryngringsavverkning</t>
        </is>
      </c>
      <c r="D220" s="1" t="n">
        <v>45950</v>
      </c>
      <c r="E220" s="1" t="n">
        <v>46278</v>
      </c>
      <c r="F220" t="inlineStr">
        <is>
          <t>DALARNAS LÄN</t>
        </is>
      </c>
      <c r="G220" t="inlineStr">
        <is>
          <t>ORSA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51064-2025</t>
        </is>
      </c>
      <c r="B221" t="inlineStr">
        <is>
          <t>avverkningsanmälan</t>
        </is>
      </c>
      <c r="C221" t="inlineStr">
        <is>
          <t>Föryngringsavverkning</t>
        </is>
      </c>
      <c r="D221" s="1" t="n">
        <v>45947</v>
      </c>
      <c r="E221" s="1" t="n">
        <v>46278</v>
      </c>
      <c r="F221" t="inlineStr">
        <is>
          <t>DALARNAS LÄN</t>
        </is>
      </c>
      <c r="G221" t="inlineStr">
        <is>
          <t>ORSA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10048-2023</t>
        </is>
      </c>
      <c r="B222" t="inlineStr">
        <is>
          <t>avverkningsanmälan</t>
        </is>
      </c>
      <c r="C222" t="inlineStr">
        <is>
          <t>Föryngringsavverkning</t>
        </is>
      </c>
      <c r="D222" s="1" t="n">
        <v>44985</v>
      </c>
      <c r="E222" s="1" t="n">
        <v>46278</v>
      </c>
      <c r="F222" t="inlineStr">
        <is>
          <t>DALARNAS LÄN</t>
        </is>
      </c>
      <c r="G222" t="inlineStr">
        <is>
          <t>ORSA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13995-2026</t>
        </is>
      </c>
      <c r="B223" t="inlineStr">
        <is>
          <t>avverkningsanmälan</t>
        </is>
      </c>
      <c r="C223" t="inlineStr">
        <is>
          <t>Föryngringsavverkning</t>
        </is>
      </c>
      <c r="D223" s="1" t="n">
        <v>46098</v>
      </c>
      <c r="E223" s="1" t="n">
        <v>46278</v>
      </c>
      <c r="F223" t="inlineStr">
        <is>
          <t>DALARNAS LÄN</t>
        </is>
      </c>
      <c r="G223" t="inlineStr">
        <is>
          <t>ORSA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14509-2026</t>
        </is>
      </c>
      <c r="B224" t="inlineStr">
        <is>
          <t>avverkningsanmälan</t>
        </is>
      </c>
      <c r="C224" t="inlineStr">
        <is>
          <t>Föryngringsavverkning</t>
        </is>
      </c>
      <c r="D224" s="1" t="n">
        <v>46100</v>
      </c>
      <c r="E224" s="1" t="n">
        <v>46278</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31031-2023</t>
        </is>
      </c>
      <c r="B225" t="inlineStr">
        <is>
          <t>avverkningsanmälan</t>
        </is>
      </c>
      <c r="C225" t="inlineStr">
        <is>
          <t>Föryngringsavverkning</t>
        </is>
      </c>
      <c r="D225" s="1" t="n">
        <v>45113</v>
      </c>
      <c r="E225" s="1" t="n">
        <v>46278</v>
      </c>
      <c r="F225" t="inlineStr">
        <is>
          <t>DALARNAS LÄN</t>
        </is>
      </c>
      <c r="G225" t="inlineStr">
        <is>
          <t>ORSA</t>
        </is>
      </c>
      <c r="H225" t="inlineStr">
        <is>
          <t>Bergvik skog öst AB</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28388-2024</t>
        </is>
      </c>
      <c r="B226" t="inlineStr">
        <is>
          <t>avverkningsanmälan</t>
        </is>
      </c>
      <c r="C226" t="inlineStr">
        <is>
          <t>Föryngringsavverkning</t>
        </is>
      </c>
      <c r="D226" s="1" t="n">
        <v>45477</v>
      </c>
      <c r="E226" s="1" t="n">
        <v>46278</v>
      </c>
      <c r="F226" t="inlineStr">
        <is>
          <t>DALARNAS LÄN</t>
        </is>
      </c>
      <c r="G226" t="inlineStr">
        <is>
          <t>ORSA</t>
        </is>
      </c>
      <c r="H226" t="inlineStr">
        <is>
          <t>Bergvik skog öst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10522-2026</t>
        </is>
      </c>
      <c r="B227" t="inlineStr">
        <is>
          <t>avverkningsanmälan</t>
        </is>
      </c>
      <c r="C227" t="inlineStr">
        <is>
          <t>Föryngringsavverkning</t>
        </is>
      </c>
      <c r="D227" s="1" t="n">
        <v>46077</v>
      </c>
      <c r="E227" s="1" t="n">
        <v>46278</v>
      </c>
      <c r="F227" t="inlineStr">
        <is>
          <t>DALARNAS LÄN</t>
        </is>
      </c>
      <c r="G227" t="inlineStr">
        <is>
          <t>ORSA</t>
        </is>
      </c>
      <c r="H227" t="inlineStr">
        <is>
          <t>Bergvik skog öst AB</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52702-2025</t>
        </is>
      </c>
      <c r="B228" t="inlineStr">
        <is>
          <t>avverkningsanmälan</t>
        </is>
      </c>
      <c r="C228" t="inlineStr">
        <is>
          <t>Föryngringsavverkning</t>
        </is>
      </c>
      <c r="D228" s="1" t="n">
        <v>45956</v>
      </c>
      <c r="E228" s="1" t="n">
        <v>46278</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52485-2025</t>
        </is>
      </c>
      <c r="B229" t="inlineStr">
        <is>
          <t>avverkningsanmälan</t>
        </is>
      </c>
      <c r="C229" t="inlineStr">
        <is>
          <t>Föryngringsavverkning</t>
        </is>
      </c>
      <c r="D229" s="1" t="n">
        <v>45954</v>
      </c>
      <c r="E229" s="1" t="n">
        <v>46278</v>
      </c>
      <c r="F229" t="inlineStr">
        <is>
          <t>DALARNAS LÄN</t>
        </is>
      </c>
      <c r="G229" t="inlineStr">
        <is>
          <t>ORSA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37830-2024</t>
        </is>
      </c>
      <c r="B230" t="inlineStr">
        <is>
          <t>avverkningsanmälan</t>
        </is>
      </c>
      <c r="C230" t="inlineStr">
        <is>
          <t>Föryngringsavverkning</t>
        </is>
      </c>
      <c r="D230" s="1" t="n">
        <v>45544</v>
      </c>
      <c r="E230" s="1" t="n">
        <v>46278</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45272-2022</t>
        </is>
      </c>
      <c r="B231" t="inlineStr">
        <is>
          <t>avverkningsanmälan</t>
        </is>
      </c>
      <c r="C231" t="inlineStr">
        <is>
          <t>Föryngringsavverkning</t>
        </is>
      </c>
      <c r="D231" s="1" t="n">
        <v>44844</v>
      </c>
      <c r="E231" s="1" t="n">
        <v>46278</v>
      </c>
      <c r="F231" t="inlineStr">
        <is>
          <t>DALARNAS LÄN</t>
        </is>
      </c>
      <c r="G231" t="inlineStr">
        <is>
          <t>ORSA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4202-2025</t>
        </is>
      </c>
      <c r="B232" t="inlineStr">
        <is>
          <t>avverkningsanmälan</t>
        </is>
      </c>
      <c r="C232" t="inlineStr">
        <is>
          <t>Föryngringsavverkning</t>
        </is>
      </c>
      <c r="D232" s="1" t="n">
        <v>45685</v>
      </c>
      <c r="E232" s="1" t="n">
        <v>46278</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4204-2025</t>
        </is>
      </c>
      <c r="B233" t="inlineStr">
        <is>
          <t>avverkningsanmälan</t>
        </is>
      </c>
      <c r="C233" t="inlineStr">
        <is>
          <t>Föryngringsavverkning</t>
        </is>
      </c>
      <c r="D233" s="1" t="n">
        <v>45685</v>
      </c>
      <c r="E233" s="1" t="n">
        <v>46278</v>
      </c>
      <c r="F233" t="inlineStr">
        <is>
          <t>DALARNAS LÄN</t>
        </is>
      </c>
      <c r="G233" t="inlineStr">
        <is>
          <t>ORSA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53572-2025</t>
        </is>
      </c>
      <c r="B234" t="inlineStr">
        <is>
          <t>avverkningsanmälan</t>
        </is>
      </c>
      <c r="C234" t="inlineStr">
        <is>
          <t>Föryngringsavverkning</t>
        </is>
      </c>
      <c r="D234" s="1" t="n">
        <v>45960</v>
      </c>
      <c r="E234" s="1" t="n">
        <v>46278</v>
      </c>
      <c r="F234" t="inlineStr">
        <is>
          <t>DALARNAS LÄN</t>
        </is>
      </c>
      <c r="G234" t="inlineStr">
        <is>
          <t>ORSA</t>
        </is>
      </c>
      <c r="H234" t="inlineStr">
        <is>
          <t>Bergvik skog öst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11510-2026</t>
        </is>
      </c>
      <c r="B235" t="inlineStr">
        <is>
          <t>avverkningsanmälan</t>
        </is>
      </c>
      <c r="C235" t="inlineStr">
        <is>
          <t>Föryngringsavverkning</t>
        </is>
      </c>
      <c r="D235" s="1" t="n">
        <v>46083</v>
      </c>
      <c r="E235" s="1" t="n">
        <v>46278</v>
      </c>
      <c r="F235" t="inlineStr">
        <is>
          <t>DALARNAS LÄN</t>
        </is>
      </c>
      <c r="G235" t="inlineStr">
        <is>
          <t>ORSA</t>
        </is>
      </c>
      <c r="H235" t="inlineStr">
        <is>
          <t>Bergvik skog öst AB</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5100-2026</t>
        </is>
      </c>
      <c r="B236" t="inlineStr">
        <is>
          <t>avverkningsanmälan</t>
        </is>
      </c>
      <c r="C236" t="inlineStr">
        <is>
          <t>Föryngringsavverkning</t>
        </is>
      </c>
      <c r="D236" s="1" t="n">
        <v>46049</v>
      </c>
      <c r="E236" s="1" t="n">
        <v>46278</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7628-2025</t>
        </is>
      </c>
      <c r="B237" t="inlineStr">
        <is>
          <t>avverkningsanmälan</t>
        </is>
      </c>
      <c r="C237" t="inlineStr">
        <is>
          <t>Föryngringsavverkning</t>
        </is>
      </c>
      <c r="D237" s="1" t="n">
        <v>45705</v>
      </c>
      <c r="E237" s="1" t="n">
        <v>46278</v>
      </c>
      <c r="F237" t="inlineStr">
        <is>
          <t>DALARNAS LÄN</t>
        </is>
      </c>
      <c r="G237" t="inlineStr">
        <is>
          <t>ORSA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15414-2026</t>
        </is>
      </c>
      <c r="B238" t="inlineStr">
        <is>
          <t>avverkningsanmälan</t>
        </is>
      </c>
      <c r="C238" t="inlineStr">
        <is>
          <t>Föryngringsavverkning</t>
        </is>
      </c>
      <c r="D238" s="1" t="n">
        <v>46106</v>
      </c>
      <c r="E238" s="1" t="n">
        <v>46278</v>
      </c>
      <c r="F238" t="inlineStr">
        <is>
          <t>DALARNAS LÄN</t>
        </is>
      </c>
      <c r="G238" t="inlineStr">
        <is>
          <t>ORSA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46278</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54676-2025</t>
        </is>
      </c>
      <c r="B240" t="inlineStr">
        <is>
          <t>avverkningsanmälan</t>
        </is>
      </c>
      <c r="C240" t="inlineStr">
        <is>
          <t>Föryngringsavverkning</t>
        </is>
      </c>
      <c r="D240" s="1" t="n">
        <v>45966</v>
      </c>
      <c r="E240" s="1" t="n">
        <v>46278</v>
      </c>
      <c r="F240" t="inlineStr">
        <is>
          <t>DALARNAS LÄN</t>
        </is>
      </c>
      <c r="G240" t="inlineStr">
        <is>
          <t>ORSA</t>
        </is>
      </c>
      <c r="H240" t="inlineStr">
        <is>
          <t>Allmännings- och besparingsskogar</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10151-2026</t>
        </is>
      </c>
      <c r="B241" t="inlineStr">
        <is>
          <t>avverkningsanmälan</t>
        </is>
      </c>
      <c r="C241" t="inlineStr">
        <is>
          <t>Föryngringsavverkning</t>
        </is>
      </c>
      <c r="D241" s="1" t="n">
        <v>46076</v>
      </c>
      <c r="E241" s="1" t="n">
        <v>46278</v>
      </c>
      <c r="F241" t="inlineStr">
        <is>
          <t>DALARNAS LÄN</t>
        </is>
      </c>
      <c r="G241" t="inlineStr">
        <is>
          <t>ORSA</t>
        </is>
      </c>
      <c r="H241" t="inlineStr">
        <is>
          <t>Bergvik skog öst AB</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9962-2026</t>
        </is>
      </c>
      <c r="B242" t="inlineStr">
        <is>
          <t>avverkningsanmälan</t>
        </is>
      </c>
      <c r="C242" t="inlineStr">
        <is>
          <t>Föryngringsavverkning</t>
        </is>
      </c>
      <c r="D242" s="1" t="n">
        <v>46073</v>
      </c>
      <c r="E242" s="1" t="n">
        <v>46278</v>
      </c>
      <c r="F242" t="inlineStr">
        <is>
          <t>DALARNAS LÄN</t>
        </is>
      </c>
      <c r="G242" t="inlineStr">
        <is>
          <t>ORSA</t>
        </is>
      </c>
      <c r="H242" t="inlineStr">
        <is>
          <t>Bergvik skog öst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12440-2026</t>
        </is>
      </c>
      <c r="B243" t="inlineStr">
        <is>
          <t>avverkningsanmälan</t>
        </is>
      </c>
      <c r="C243" t="inlineStr">
        <is>
          <t>Föryngringsavverkning</t>
        </is>
      </c>
      <c r="D243" s="1" t="n">
        <v>46090</v>
      </c>
      <c r="E243" s="1" t="n">
        <v>46278</v>
      </c>
      <c r="F243" t="inlineStr">
        <is>
          <t>DALARNAS LÄN</t>
        </is>
      </c>
      <c r="G243" t="inlineStr">
        <is>
          <t>ORSA</t>
        </is>
      </c>
      <c r="H243" t="inlineStr">
        <is>
          <t>Bergvik skog öst AB</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13316-2026</t>
        </is>
      </c>
      <c r="B244" t="inlineStr">
        <is>
          <t>avverkningsanmälan</t>
        </is>
      </c>
      <c r="C244" t="inlineStr">
        <is>
          <t>Föryngringsavverkning</t>
        </is>
      </c>
      <c r="D244" s="1" t="n">
        <v>46094</v>
      </c>
      <c r="E244" s="1" t="n">
        <v>46278</v>
      </c>
      <c r="F244" t="inlineStr">
        <is>
          <t>DALARNAS LÄN</t>
        </is>
      </c>
      <c r="G244" t="inlineStr">
        <is>
          <t>ORSA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26301-2023</t>
        </is>
      </c>
      <c r="B245" t="inlineStr">
        <is>
          <t>avverkningsanmälan</t>
        </is>
      </c>
      <c r="C245" t="inlineStr">
        <is>
          <t>Föryngringsavverkning</t>
        </is>
      </c>
      <c r="D245" s="1" t="n">
        <v>45091</v>
      </c>
      <c r="E245" s="1" t="n">
        <v>46278</v>
      </c>
      <c r="F245" t="inlineStr">
        <is>
          <t>DALARNAS LÄN</t>
        </is>
      </c>
      <c r="G245" t="inlineStr">
        <is>
          <t>ORSA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54782-2025</t>
        </is>
      </c>
      <c r="B246" t="inlineStr">
        <is>
          <t>avverkningsanmälan</t>
        </is>
      </c>
      <c r="C246" t="inlineStr">
        <is>
          <t>Föryngringsavverkning</t>
        </is>
      </c>
      <c r="D246" s="1" t="n">
        <v>45966</v>
      </c>
      <c r="E246" s="1" t="n">
        <v>46278</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16900-2026</t>
        </is>
      </c>
      <c r="B247" t="inlineStr">
        <is>
          <t>avverkningsanmälan</t>
        </is>
      </c>
      <c r="C247" t="inlineStr">
        <is>
          <t>Föryngringsavverkning</t>
        </is>
      </c>
      <c r="D247" s="1" t="n">
        <v>46113</v>
      </c>
      <c r="E247" s="1" t="n">
        <v>46278</v>
      </c>
      <c r="F247" t="inlineStr">
        <is>
          <t>DALARNAS LÄN</t>
        </is>
      </c>
      <c r="G247" t="inlineStr">
        <is>
          <t>ORSA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52033-2023</t>
        </is>
      </c>
      <c r="B248" t="inlineStr">
        <is>
          <t>avverkningsanmälan</t>
        </is>
      </c>
      <c r="C248" t="inlineStr">
        <is>
          <t>Föryngringsavverkning</t>
        </is>
      </c>
      <c r="D248" s="1" t="n">
        <v>45223</v>
      </c>
      <c r="E248" s="1" t="n">
        <v>46278</v>
      </c>
      <c r="F248" t="inlineStr">
        <is>
          <t>DALARNAS LÄN</t>
        </is>
      </c>
      <c r="G248" t="inlineStr">
        <is>
          <t>ORSA</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55105-2025</t>
        </is>
      </c>
      <c r="B249" t="inlineStr">
        <is>
          <t>avverkningsanmälan</t>
        </is>
      </c>
      <c r="C249" t="inlineStr">
        <is>
          <t>Föryngringsavverkning</t>
        </is>
      </c>
      <c r="D249" s="1" t="n">
        <v>45968</v>
      </c>
      <c r="E249" s="1" t="n">
        <v>46278</v>
      </c>
      <c r="F249" t="inlineStr">
        <is>
          <t>DALARNAS LÄN</t>
        </is>
      </c>
      <c r="G249" t="inlineStr">
        <is>
          <t>ORSA</t>
        </is>
      </c>
      <c r="H249" t="inlineStr">
        <is>
          <t>Allmännings- och besparingsskogar</t>
        </is>
      </c>
      <c r="I249" t="n">
        <v>31.5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49781-2023</t>
        </is>
      </c>
      <c r="B250" t="inlineStr">
        <is>
          <t>avverkningsanmälan</t>
        </is>
      </c>
      <c r="C250" t="inlineStr">
        <is>
          <t>Föryngringsavverkning</t>
        </is>
      </c>
      <c r="D250" s="1" t="n">
        <v>45212</v>
      </c>
      <c r="E250" s="1" t="n">
        <v>46278</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49814-2023</t>
        </is>
      </c>
      <c r="B251" t="inlineStr">
        <is>
          <t>avverkningsanmälan</t>
        </is>
      </c>
      <c r="C251" t="inlineStr">
        <is>
          <t>Föryngringsavverkning</t>
        </is>
      </c>
      <c r="D251" s="1" t="n">
        <v>45212</v>
      </c>
      <c r="E251" s="1" t="n">
        <v>46278</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55405-2025</t>
        </is>
      </c>
      <c r="B252" t="inlineStr">
        <is>
          <t>avverkningsanmälan</t>
        </is>
      </c>
      <c r="C252" t="inlineStr">
        <is>
          <t>Föryngringsavverkning</t>
        </is>
      </c>
      <c r="D252" s="1" t="n">
        <v>45971</v>
      </c>
      <c r="E252" s="1" t="n">
        <v>46278</v>
      </c>
      <c r="F252" t="inlineStr">
        <is>
          <t>DALARNAS LÄN</t>
        </is>
      </c>
      <c r="G252" t="inlineStr">
        <is>
          <t>ORSA</t>
        </is>
      </c>
      <c r="H252" t="inlineStr">
        <is>
          <t>Bergvik skog öst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46278</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17094-2026</t>
        </is>
      </c>
      <c r="B254" t="inlineStr">
        <is>
          <t>avverkningsanmälan</t>
        </is>
      </c>
      <c r="C254" t="inlineStr">
        <is>
          <t>Föryngringsavverkning</t>
        </is>
      </c>
      <c r="D254" s="1" t="n">
        <v>46114</v>
      </c>
      <c r="E254" s="1" t="n">
        <v>46278</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56295-2025</t>
        </is>
      </c>
      <c r="B255" t="inlineStr">
        <is>
          <t>avverkningsanmälan</t>
        </is>
      </c>
      <c r="C255" t="inlineStr">
        <is>
          <t>Föryngringsavverkning</t>
        </is>
      </c>
      <c r="D255" s="1" t="n">
        <v>45974</v>
      </c>
      <c r="E255" s="1" t="n">
        <v>46278</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56297-2025</t>
        </is>
      </c>
      <c r="B256" t="inlineStr">
        <is>
          <t>avverkningsanmälan</t>
        </is>
      </c>
      <c r="C256" t="inlineStr">
        <is>
          <t>Föryngringsavverkning</t>
        </is>
      </c>
      <c r="D256" s="1" t="n">
        <v>45974</v>
      </c>
      <c r="E256" s="1" t="n">
        <v>46278</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56471-2025</t>
        </is>
      </c>
      <c r="B257" t="inlineStr">
        <is>
          <t>avverkningsanmälan</t>
        </is>
      </c>
      <c r="C257" t="inlineStr">
        <is>
          <t>Föryngringsavverkning</t>
        </is>
      </c>
      <c r="D257" s="1" t="n">
        <v>45975</v>
      </c>
      <c r="E257" s="1" t="n">
        <v>46278</v>
      </c>
      <c r="F257" t="inlineStr">
        <is>
          <t>DALARNAS LÄN</t>
        </is>
      </c>
      <c r="G257" t="inlineStr">
        <is>
          <t>ORSA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56459-2025</t>
        </is>
      </c>
      <c r="B258" t="inlineStr">
        <is>
          <t>avverkningsanmälan</t>
        </is>
      </c>
      <c r="C258" t="inlineStr">
        <is>
          <t>Föryngringsavverkning</t>
        </is>
      </c>
      <c r="D258" s="1" t="n">
        <v>45975</v>
      </c>
      <c r="E258" s="1" t="n">
        <v>46278</v>
      </c>
      <c r="F258" t="inlineStr">
        <is>
          <t>DALARNAS LÄN</t>
        </is>
      </c>
      <c r="G258" t="inlineStr">
        <is>
          <t>ORSA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56473-2025</t>
        </is>
      </c>
      <c r="B259" t="inlineStr">
        <is>
          <t>avverkningsanmälan</t>
        </is>
      </c>
      <c r="C259" t="inlineStr">
        <is>
          <t>Föryngringsavverkning</t>
        </is>
      </c>
      <c r="D259" s="1" t="n">
        <v>45975</v>
      </c>
      <c r="E259" s="1" t="n">
        <v>46278</v>
      </c>
      <c r="F259" t="inlineStr">
        <is>
          <t>DALARNAS LÄN</t>
        </is>
      </c>
      <c r="G259" t="inlineStr">
        <is>
          <t>ORSA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18013-2026</t>
        </is>
      </c>
      <c r="B260" t="inlineStr">
        <is>
          <t>avverkningsanmälan</t>
        </is>
      </c>
      <c r="C260" t="inlineStr">
        <is>
          <t>Föryngringsavverkning</t>
        </is>
      </c>
      <c r="D260" s="1" t="n">
        <v>46125</v>
      </c>
      <c r="E260" s="1" t="n">
        <v>46278</v>
      </c>
      <c r="F260" t="inlineStr">
        <is>
          <t>DALARNAS LÄN</t>
        </is>
      </c>
      <c r="G260" t="inlineStr">
        <is>
          <t>ORSA</t>
        </is>
      </c>
      <c r="H260" t="inlineStr">
        <is>
          <t>Allmännings- och besparingsskogar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57383-2025</t>
        </is>
      </c>
      <c r="B261" t="inlineStr">
        <is>
          <t>avverkningsanmälan</t>
        </is>
      </c>
      <c r="C261" t="inlineStr">
        <is>
          <t>Föryngringsavverkning</t>
        </is>
      </c>
      <c r="D261" s="1" t="n">
        <v>45980</v>
      </c>
      <c r="E261" s="1" t="n">
        <v>46278</v>
      </c>
      <c r="F261" t="inlineStr">
        <is>
          <t>DALARNAS LÄN</t>
        </is>
      </c>
      <c r="G261" t="inlineStr">
        <is>
          <t>ORSA</t>
        </is>
      </c>
      <c r="H261" t="inlineStr">
        <is>
          <t>Kyrkan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60189-2022</t>
        </is>
      </c>
      <c r="B262" t="inlineStr">
        <is>
          <t>avverkningsanmälan</t>
        </is>
      </c>
      <c r="C262" t="inlineStr">
        <is>
          <t>Föryngringsavverkning</t>
        </is>
      </c>
      <c r="D262" s="1" t="n">
        <v>44910</v>
      </c>
      <c r="E262" s="1" t="n">
        <v>46278</v>
      </c>
      <c r="F262" t="inlineStr">
        <is>
          <t>DALARNAS LÄN</t>
        </is>
      </c>
      <c r="G262" t="inlineStr">
        <is>
          <t>ORSA</t>
        </is>
      </c>
      <c r="H262" t="inlineStr">
        <is>
          <t>Bergvik skog öst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58647-2025</t>
        </is>
      </c>
      <c r="B263" t="inlineStr">
        <is>
          <t>avverkningsanmälan</t>
        </is>
      </c>
      <c r="C263" t="inlineStr">
        <is>
          <t>Föryngringsavverkning</t>
        </is>
      </c>
      <c r="D263" s="1" t="n">
        <v>45986</v>
      </c>
      <c r="E263" s="1" t="n">
        <v>46278</v>
      </c>
      <c r="F263" t="inlineStr">
        <is>
          <t>DALARNAS LÄN</t>
        </is>
      </c>
      <c r="G263" t="inlineStr">
        <is>
          <t>ORSA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58657-2025</t>
        </is>
      </c>
      <c r="B264" t="inlineStr">
        <is>
          <t>avverkningsanmälan</t>
        </is>
      </c>
      <c r="C264" t="inlineStr">
        <is>
          <t>Föryngringsavverkning</t>
        </is>
      </c>
      <c r="D264" s="1" t="n">
        <v>45986</v>
      </c>
      <c r="E264" s="1" t="n">
        <v>46278</v>
      </c>
      <c r="F264" t="inlineStr">
        <is>
          <t>DALARNAS LÄN</t>
        </is>
      </c>
      <c r="G264" t="inlineStr">
        <is>
          <t>ORSA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55534-2023</t>
        </is>
      </c>
      <c r="B265" t="inlineStr">
        <is>
          <t>avverkningsanmälan</t>
        </is>
      </c>
      <c r="C265" t="inlineStr">
        <is>
          <t>Föryngringsavverkning</t>
        </is>
      </c>
      <c r="D265" s="1" t="n">
        <v>45238</v>
      </c>
      <c r="E265" s="1" t="n">
        <v>46278</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58683-2025</t>
        </is>
      </c>
      <c r="B266" t="inlineStr">
        <is>
          <t>avverkningsanmälan</t>
        </is>
      </c>
      <c r="C266" t="inlineStr">
        <is>
          <t>Föryngringsavverkning</t>
        </is>
      </c>
      <c r="D266" s="1" t="n">
        <v>45986</v>
      </c>
      <c r="E266" s="1" t="n">
        <v>46278</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58691-2025</t>
        </is>
      </c>
      <c r="B267" t="inlineStr">
        <is>
          <t>avverkningsanmälan</t>
        </is>
      </c>
      <c r="C267" t="inlineStr">
        <is>
          <t>Föryngringsavverkning</t>
        </is>
      </c>
      <c r="D267" s="1" t="n">
        <v>45986</v>
      </c>
      <c r="E267" s="1" t="n">
        <v>46278</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58681-2025</t>
        </is>
      </c>
      <c r="B268" t="inlineStr">
        <is>
          <t>avverkningsanmälan</t>
        </is>
      </c>
      <c r="C268" t="inlineStr">
        <is>
          <t>Föryngringsavverkning</t>
        </is>
      </c>
      <c r="D268" s="1" t="n">
        <v>45986</v>
      </c>
      <c r="E268" s="1" t="n">
        <v>46278</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18348-2026</t>
        </is>
      </c>
      <c r="B269" t="inlineStr">
        <is>
          <t>avverkningsanmälan</t>
        </is>
      </c>
      <c r="C269" t="inlineStr">
        <is>
          <t>Föryngringsavverkning</t>
        </is>
      </c>
      <c r="D269" s="1" t="n">
        <v>46126</v>
      </c>
      <c r="E269" s="1" t="n">
        <v>46278</v>
      </c>
      <c r="F269" t="inlineStr">
        <is>
          <t>DALARNAS LÄN</t>
        </is>
      </c>
      <c r="G269" t="inlineStr">
        <is>
          <t>ORSA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13575-2025</t>
        </is>
      </c>
      <c r="B270" t="inlineStr">
        <is>
          <t>avverkningsanmälan</t>
        </is>
      </c>
      <c r="C270" t="inlineStr">
        <is>
          <t>Föryngringsavverkning</t>
        </is>
      </c>
      <c r="D270" s="1" t="n">
        <v>45736</v>
      </c>
      <c r="E270" s="1" t="n">
        <v>46278</v>
      </c>
      <c r="F270" t="inlineStr">
        <is>
          <t>DALARNAS LÄN</t>
        </is>
      </c>
      <c r="G270" t="inlineStr">
        <is>
          <t>ORSA</t>
        </is>
      </c>
      <c r="H270" t="inlineStr">
        <is>
          <t>Bergvik skog öst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30382-2023</t>
        </is>
      </c>
      <c r="B271" t="inlineStr">
        <is>
          <t>avverkningsanmälan</t>
        </is>
      </c>
      <c r="C271" t="inlineStr">
        <is>
          <t>Föryngringsavverkning</t>
        </is>
      </c>
      <c r="D271" s="1" t="n">
        <v>45111</v>
      </c>
      <c r="E271" s="1" t="n">
        <v>46278</v>
      </c>
      <c r="F271" t="inlineStr">
        <is>
          <t>DALARNAS LÄN</t>
        </is>
      </c>
      <c r="G271" t="inlineStr">
        <is>
          <t>ORSA</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58886-2025</t>
        </is>
      </c>
      <c r="B272" t="inlineStr">
        <is>
          <t>avverkningsanmälan</t>
        </is>
      </c>
      <c r="C272" t="inlineStr">
        <is>
          <t>Föryngringsavverkning</t>
        </is>
      </c>
      <c r="D272" s="1" t="n">
        <v>45987</v>
      </c>
      <c r="E272" s="1" t="n">
        <v>46278</v>
      </c>
      <c r="F272" t="inlineStr">
        <is>
          <t>DALARNAS LÄN</t>
        </is>
      </c>
      <c r="G272" t="inlineStr">
        <is>
          <t>ORSA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59124-2025</t>
        </is>
      </c>
      <c r="B273" t="inlineStr">
        <is>
          <t>avverkningsanmälan</t>
        </is>
      </c>
      <c r="C273" t="inlineStr">
        <is>
          <t>Föryngringsavverkning</t>
        </is>
      </c>
      <c r="D273" s="1" t="n">
        <v>45988</v>
      </c>
      <c r="E273" s="1" t="n">
        <v>46278</v>
      </c>
      <c r="F273" t="inlineStr">
        <is>
          <t>DALARNAS LÄN</t>
        </is>
      </c>
      <c r="G273" t="inlineStr">
        <is>
          <t>ORSA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17503-2025</t>
        </is>
      </c>
      <c r="B274" t="inlineStr">
        <is>
          <t>avverkningsanmälan</t>
        </is>
      </c>
      <c r="C274" t="inlineStr">
        <is>
          <t>Föryngringsavverkning</t>
        </is>
      </c>
      <c r="D274" s="1" t="n">
        <v>45757</v>
      </c>
      <c r="E274" s="1" t="n">
        <v>46278</v>
      </c>
      <c r="F274" t="inlineStr">
        <is>
          <t>DALARNAS LÄN</t>
        </is>
      </c>
      <c r="G274" t="inlineStr">
        <is>
          <t>ORSA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19024-2026</t>
        </is>
      </c>
      <c r="B275" t="inlineStr">
        <is>
          <t>avverkningsanmälan</t>
        </is>
      </c>
      <c r="C275" t="inlineStr">
        <is>
          <t>Avverkning för annat ändamål</t>
        </is>
      </c>
      <c r="D275" s="1" t="n">
        <v>46131</v>
      </c>
      <c r="E275" s="1" t="n">
        <v>46278</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59114-2025</t>
        </is>
      </c>
      <c r="B276" t="inlineStr">
        <is>
          <t>avverkningsanmälan</t>
        </is>
      </c>
      <c r="C276" t="inlineStr">
        <is>
          <t>Föryngringsavverkning</t>
        </is>
      </c>
      <c r="D276" s="1" t="n">
        <v>45988</v>
      </c>
      <c r="E276" s="1" t="n">
        <v>46278</v>
      </c>
      <c r="F276" t="inlineStr">
        <is>
          <t>DALARNAS LÄN</t>
        </is>
      </c>
      <c r="G276" t="inlineStr">
        <is>
          <t>ORSA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58834-2025</t>
        </is>
      </c>
      <c r="B277" t="inlineStr">
        <is>
          <t>avverkningsanmälan</t>
        </is>
      </c>
      <c r="C277" t="inlineStr">
        <is>
          <t>Föryngringsavverkning</t>
        </is>
      </c>
      <c r="D277" s="1" t="n">
        <v>45987</v>
      </c>
      <c r="E277" s="1" t="n">
        <v>46278</v>
      </c>
      <c r="F277" t="inlineStr">
        <is>
          <t>DALARNAS LÄN</t>
        </is>
      </c>
      <c r="G277" t="inlineStr">
        <is>
          <t>ORSA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58904-2025</t>
        </is>
      </c>
      <c r="B278" t="inlineStr">
        <is>
          <t>avverkningsanmälan</t>
        </is>
      </c>
      <c r="C278" t="inlineStr">
        <is>
          <t>Föryngringsavverkning</t>
        </is>
      </c>
      <c r="D278" s="1" t="n">
        <v>45987</v>
      </c>
      <c r="E278" s="1" t="n">
        <v>46278</v>
      </c>
      <c r="F278" t="inlineStr">
        <is>
          <t>DALARNAS LÄN</t>
        </is>
      </c>
      <c r="G278" t="inlineStr">
        <is>
          <t>ORSA</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59149-2025</t>
        </is>
      </c>
      <c r="B279" t="inlineStr">
        <is>
          <t>avverkningsanmälan</t>
        </is>
      </c>
      <c r="C279" t="inlineStr">
        <is>
          <t>Föryngringsavverkning</t>
        </is>
      </c>
      <c r="D279" s="1" t="n">
        <v>45988</v>
      </c>
      <c r="E279" s="1" t="n">
        <v>46278</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18694-2026</t>
        </is>
      </c>
      <c r="B280" t="inlineStr">
        <is>
          <t>avverkningsanmälan</t>
        </is>
      </c>
      <c r="C280" t="inlineStr">
        <is>
          <t>Föryngringsavverkning</t>
        </is>
      </c>
      <c r="D280" s="1" t="n">
        <v>46128</v>
      </c>
      <c r="E280" s="1" t="n">
        <v>46278</v>
      </c>
      <c r="F280" t="inlineStr">
        <is>
          <t>DALARNAS LÄN</t>
        </is>
      </c>
      <c r="G280" t="inlineStr">
        <is>
          <t>ORSA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19089-2026</t>
        </is>
      </c>
      <c r="B281" t="inlineStr">
        <is>
          <t>avverkningsanmälan</t>
        </is>
      </c>
      <c r="C281" t="inlineStr">
        <is>
          <t>Föryngringsavverkning</t>
        </is>
      </c>
      <c r="D281" s="1" t="n">
        <v>46132</v>
      </c>
      <c r="E281" s="1" t="n">
        <v>46278</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60803-2022</t>
        </is>
      </c>
      <c r="B282" t="inlineStr">
        <is>
          <t>avverkningsanmälan</t>
        </is>
      </c>
      <c r="C282" t="inlineStr">
        <is>
          <t>Föryngringsavverkning</t>
        </is>
      </c>
      <c r="D282" s="1" t="n">
        <v>44914</v>
      </c>
      <c r="E282" s="1" t="n">
        <v>46278</v>
      </c>
      <c r="F282" t="inlineStr">
        <is>
          <t>DALARNAS LÄN</t>
        </is>
      </c>
      <c r="G282" t="inlineStr">
        <is>
          <t>ORSA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19026-2026</t>
        </is>
      </c>
      <c r="B283" t="inlineStr">
        <is>
          <t>avverkningsanmälan</t>
        </is>
      </c>
      <c r="C283" t="inlineStr">
        <is>
          <t>Avverkning för annat ändamål</t>
        </is>
      </c>
      <c r="D283" s="1" t="n">
        <v>46131</v>
      </c>
      <c r="E283" s="1" t="n">
        <v>46278</v>
      </c>
      <c r="F283" t="inlineStr">
        <is>
          <t>DALARNAS LÄN</t>
        </is>
      </c>
      <c r="G283" t="inlineStr">
        <is>
          <t>ORSA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8526-2026</t>
        </is>
      </c>
      <c r="B284" t="inlineStr">
        <is>
          <t>avverkningsanmälan</t>
        </is>
      </c>
      <c r="C284" t="inlineStr">
        <is>
          <t>Föryngringsavverkning</t>
        </is>
      </c>
      <c r="D284" s="1" t="n">
        <v>46065</v>
      </c>
      <c r="E284" s="1" t="n">
        <v>46278</v>
      </c>
      <c r="F284" t="inlineStr">
        <is>
          <t>DALARNAS LÄN</t>
        </is>
      </c>
      <c r="G284" t="inlineStr">
        <is>
          <t>ORSA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60162-2025</t>
        </is>
      </c>
      <c r="B285" t="inlineStr">
        <is>
          <t>avverkningsanmälan</t>
        </is>
      </c>
      <c r="C285" t="inlineStr">
        <is>
          <t>Föryngringsavverkning</t>
        </is>
      </c>
      <c r="D285" s="1" t="n">
        <v>45994</v>
      </c>
      <c r="E285" s="1" t="n">
        <v>46278</v>
      </c>
      <c r="F285" t="inlineStr">
        <is>
          <t>DALARNAS LÄN</t>
        </is>
      </c>
      <c r="G285" t="inlineStr">
        <is>
          <t>ORSA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51915-2022</t>
        </is>
      </c>
      <c r="B286" t="inlineStr">
        <is>
          <t>avverkningsanmälan</t>
        </is>
      </c>
      <c r="C286" t="inlineStr">
        <is>
          <t>Föryngringsavverkning</t>
        </is>
      </c>
      <c r="D286" s="1" t="n">
        <v>44872</v>
      </c>
      <c r="E286" s="1" t="n">
        <v>46278</v>
      </c>
      <c r="F286" t="inlineStr">
        <is>
          <t>DALARNAS LÄN</t>
        </is>
      </c>
      <c r="G286" t="inlineStr">
        <is>
          <t>ORSA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34125-2023</t>
        </is>
      </c>
      <c r="B287" t="inlineStr">
        <is>
          <t>avverkningsanmälan</t>
        </is>
      </c>
      <c r="C287" t="inlineStr">
        <is>
          <t>Föryngringsavverkning</t>
        </is>
      </c>
      <c r="D287" s="1" t="n">
        <v>45135</v>
      </c>
      <c r="E287" s="1" t="n">
        <v>46278</v>
      </c>
      <c r="F287" t="inlineStr">
        <is>
          <t>DALARNAS LÄN</t>
        </is>
      </c>
      <c r="G287" t="inlineStr">
        <is>
          <t>ORSA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31170-2023</t>
        </is>
      </c>
      <c r="B288" t="inlineStr">
        <is>
          <t>avverkningsanmälan</t>
        </is>
      </c>
      <c r="C288" t="inlineStr">
        <is>
          <t>Föryngringsavverkning</t>
        </is>
      </c>
      <c r="D288" s="1" t="n">
        <v>45113</v>
      </c>
      <c r="E288" s="1" t="n">
        <v>46278</v>
      </c>
      <c r="F288" t="inlineStr">
        <is>
          <t>DALARNAS LÄN</t>
        </is>
      </c>
      <c r="G288" t="inlineStr">
        <is>
          <t>ORSA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31172-2023</t>
        </is>
      </c>
      <c r="B289" t="inlineStr">
        <is>
          <t>avverkningsanmälan</t>
        </is>
      </c>
      <c r="C289" t="inlineStr">
        <is>
          <t>Föryngringsavverkning</t>
        </is>
      </c>
      <c r="D289" s="1" t="n">
        <v>45113</v>
      </c>
      <c r="E289" s="1" t="n">
        <v>46278</v>
      </c>
      <c r="F289" t="inlineStr">
        <is>
          <t>DALARNAS LÄN</t>
        </is>
      </c>
      <c r="G289" t="inlineStr">
        <is>
          <t>ORSA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47134-2024</t>
        </is>
      </c>
      <c r="B290" t="inlineStr">
        <is>
          <t>avverkningsanmälan</t>
        </is>
      </c>
      <c r="C290" t="inlineStr">
        <is>
          <t>Föryngringsavverkning</t>
        </is>
      </c>
      <c r="D290" s="1" t="n">
        <v>45586</v>
      </c>
      <c r="E290" s="1" t="n">
        <v>46278</v>
      </c>
      <c r="F290" t="inlineStr">
        <is>
          <t>DALARNAS LÄN</t>
        </is>
      </c>
      <c r="G290" t="inlineStr">
        <is>
          <t>ORSA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51551-2025</t>
        </is>
      </c>
      <c r="B291" t="inlineStr">
        <is>
          <t>avverkningsanmälan</t>
        </is>
      </c>
      <c r="C291" t="inlineStr">
        <is>
          <t>Avverkning för att bevara och utveckla /försöksver</t>
        </is>
      </c>
      <c r="D291" s="1" t="n">
        <v>45950</v>
      </c>
      <c r="E291" s="1" t="n">
        <v>46278</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58793-2023</t>
        </is>
      </c>
      <c r="B292" t="inlineStr">
        <is>
          <t>avverkningsanmälan</t>
        </is>
      </c>
      <c r="C292" t="inlineStr">
        <is>
          <t>Föryngringsavverkning</t>
        </is>
      </c>
      <c r="D292" s="1" t="n">
        <v>45252</v>
      </c>
      <c r="E292" s="1" t="n">
        <v>46278</v>
      </c>
      <c r="F292" t="inlineStr">
        <is>
          <t>DALARNAS LÄN</t>
        </is>
      </c>
      <c r="G292" t="inlineStr">
        <is>
          <t>ORSA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29485-2022</t>
        </is>
      </c>
      <c r="B293" t="inlineStr">
        <is>
          <t>avverkningsanmälan</t>
        </is>
      </c>
      <c r="C293" t="inlineStr">
        <is>
          <t>Föryngringsavverkning</t>
        </is>
      </c>
      <c r="D293" s="1" t="n">
        <v>44753</v>
      </c>
      <c r="E293" s="1" t="n">
        <v>46278</v>
      </c>
      <c r="F293" t="inlineStr">
        <is>
          <t>DALARNAS LÄN</t>
        </is>
      </c>
      <c r="G293" t="inlineStr">
        <is>
          <t>ORSA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46278</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55701-2023</t>
        </is>
      </c>
      <c r="B295" t="inlineStr">
        <is>
          <t>avverkningsanmälan</t>
        </is>
      </c>
      <c r="C295" t="inlineStr">
        <is>
          <t>Föryngringsavverkning</t>
        </is>
      </c>
      <c r="D295" s="1" t="n">
        <v>45239</v>
      </c>
      <c r="E295" s="1" t="n">
        <v>46278</v>
      </c>
      <c r="F295" t="inlineStr">
        <is>
          <t>DALARNAS LÄN</t>
        </is>
      </c>
      <c r="G295" t="inlineStr">
        <is>
          <t>ORSA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13236-2022</t>
        </is>
      </c>
      <c r="B296" t="inlineStr">
        <is>
          <t>avverkningsanmälan</t>
        </is>
      </c>
      <c r="C296" t="inlineStr">
        <is>
          <t>Föryngringsavverkning</t>
        </is>
      </c>
      <c r="D296" s="1" t="n">
        <v>44644</v>
      </c>
      <c r="E296" s="1" t="n">
        <v>46278</v>
      </c>
      <c r="F296" t="inlineStr">
        <is>
          <t>DALARNAS LÄN</t>
        </is>
      </c>
      <c r="G296" t="inlineStr">
        <is>
          <t>ORSA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31171-2023</t>
        </is>
      </c>
      <c r="B297" t="inlineStr">
        <is>
          <t>avverkningsanmälan</t>
        </is>
      </c>
      <c r="C297" t="inlineStr">
        <is>
          <t>Föryngringsavverkning</t>
        </is>
      </c>
      <c r="D297" s="1" t="n">
        <v>45113</v>
      </c>
      <c r="E297" s="1" t="n">
        <v>46278</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2563-2025</t>
        </is>
      </c>
      <c r="B298" t="inlineStr">
        <is>
          <t>avverkningsanmälan</t>
        </is>
      </c>
      <c r="C298" t="inlineStr">
        <is>
          <t>Föryngringsavverkning</t>
        </is>
      </c>
      <c r="D298" s="1" t="n">
        <v>45674</v>
      </c>
      <c r="E298" s="1" t="n">
        <v>46278</v>
      </c>
      <c r="F298" t="inlineStr">
        <is>
          <t>DALARNAS LÄN</t>
        </is>
      </c>
      <c r="G298" t="inlineStr">
        <is>
          <t>ORSA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11784-2024</t>
        </is>
      </c>
      <c r="B299" t="inlineStr">
        <is>
          <t>avverkningsanmälan</t>
        </is>
      </c>
      <c r="C299" t="inlineStr">
        <is>
          <t>Föryngringsavverkning</t>
        </is>
      </c>
      <c r="D299" s="1" t="n">
        <v>45374</v>
      </c>
      <c r="E299" s="1" t="n">
        <v>46278</v>
      </c>
      <c r="F299" t="inlineStr">
        <is>
          <t>DALARNAS LÄN</t>
        </is>
      </c>
      <c r="G299" t="inlineStr">
        <is>
          <t>ORSA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48819-2024</t>
        </is>
      </c>
      <c r="B300" t="inlineStr">
        <is>
          <t>avverkningsanmälan</t>
        </is>
      </c>
      <c r="C300" t="inlineStr">
        <is>
          <t>Föryngringsavverkning</t>
        </is>
      </c>
      <c r="D300" s="1" t="n">
        <v>45593</v>
      </c>
      <c r="E300" s="1" t="n">
        <v>46278</v>
      </c>
      <c r="F300" t="inlineStr">
        <is>
          <t>DALARNAS LÄN</t>
        </is>
      </c>
      <c r="G300" t="inlineStr">
        <is>
          <t>ORSA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48525-2024</t>
        </is>
      </c>
      <c r="B301" t="inlineStr">
        <is>
          <t>avverkningsanmälan</t>
        </is>
      </c>
      <c r="C301" t="inlineStr">
        <is>
          <t>Föryngringsavverkning</t>
        </is>
      </c>
      <c r="D301" s="1" t="n">
        <v>45593</v>
      </c>
      <c r="E301" s="1" t="n">
        <v>46278</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22911-2023</t>
        </is>
      </c>
      <c r="B302" t="inlineStr">
        <is>
          <t>avverkningsanmälan</t>
        </is>
      </c>
      <c r="C302" t="inlineStr">
        <is>
          <t>Avverkning för annat ändamål</t>
        </is>
      </c>
      <c r="D302" s="1" t="n">
        <v>45072</v>
      </c>
      <c r="E302" s="1" t="n">
        <v>46278</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47579-2023</t>
        </is>
      </c>
      <c r="B303" t="inlineStr">
        <is>
          <t>avverkningsanmälan</t>
        </is>
      </c>
      <c r="C303" t="inlineStr">
        <is>
          <t>Föryngringsavverkning</t>
        </is>
      </c>
      <c r="D303" s="1" t="n">
        <v>45203</v>
      </c>
      <c r="E303" s="1" t="n">
        <v>46278</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48447-2023</t>
        </is>
      </c>
      <c r="B304" t="inlineStr">
        <is>
          <t>avverkningsanmälan</t>
        </is>
      </c>
      <c r="C304" t="inlineStr">
        <is>
          <t>Föryngringsavverkning</t>
        </is>
      </c>
      <c r="D304" s="1" t="n">
        <v>45206</v>
      </c>
      <c r="E304" s="1" t="n">
        <v>46278</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35477-2023</t>
        </is>
      </c>
      <c r="B305" t="inlineStr">
        <is>
          <t>avverkningsanmälan</t>
        </is>
      </c>
      <c r="C305" t="inlineStr">
        <is>
          <t>Föryngringsavverkning</t>
        </is>
      </c>
      <c r="D305" s="1" t="n">
        <v>45146</v>
      </c>
      <c r="E305" s="1" t="n">
        <v>46278</v>
      </c>
      <c r="F305" t="inlineStr">
        <is>
          <t>DALARNAS LÄN</t>
        </is>
      </c>
      <c r="G305" t="inlineStr">
        <is>
          <t>ORSA</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60844-2025</t>
        </is>
      </c>
      <c r="B306" t="inlineStr">
        <is>
          <t>avverkningsanmälan</t>
        </is>
      </c>
      <c r="C306" t="inlineStr">
        <is>
          <t>Föryngringsavverkning</t>
        </is>
      </c>
      <c r="D306" s="1" t="n">
        <v>45999</v>
      </c>
      <c r="E306" s="1" t="n">
        <v>46278</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46278</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31634-2025</t>
        </is>
      </c>
      <c r="B308" t="inlineStr">
        <is>
          <t>avverkningsanmälan</t>
        </is>
      </c>
      <c r="C308" t="inlineStr">
        <is>
          <t>Föryngringsavverkning</t>
        </is>
      </c>
      <c r="D308" s="1" t="n">
        <v>45834</v>
      </c>
      <c r="E308" s="1" t="n">
        <v>46278</v>
      </c>
      <c r="F308" t="inlineStr">
        <is>
          <t>DALARNAS LÄN</t>
        </is>
      </c>
      <c r="G308" t="inlineStr">
        <is>
          <t>ORSA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23350-2024</t>
        </is>
      </c>
      <c r="B309" t="inlineStr">
        <is>
          <t>avverkningsanmälan</t>
        </is>
      </c>
      <c r="C309" t="inlineStr">
        <is>
          <t>Föryngringsavverkning</t>
        </is>
      </c>
      <c r="D309" s="1" t="n">
        <v>45453</v>
      </c>
      <c r="E309" s="1" t="n">
        <v>46278</v>
      </c>
      <c r="F309" t="inlineStr">
        <is>
          <t>DALARNAS LÄN</t>
        </is>
      </c>
      <c r="G309" t="inlineStr">
        <is>
          <t>ORSA</t>
        </is>
      </c>
      <c r="I309" t="n">
        <v>18.7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55843-2023</t>
        </is>
      </c>
      <c r="B310" t="inlineStr">
        <is>
          <t>avverkningsanmälan</t>
        </is>
      </c>
      <c r="C310" t="inlineStr">
        <is>
          <t>Föryngringsavverkning</t>
        </is>
      </c>
      <c r="D310" s="1" t="n">
        <v>45239</v>
      </c>
      <c r="E310" s="1" t="n">
        <v>46278</v>
      </c>
      <c r="F310" t="inlineStr">
        <is>
          <t>DALARNAS LÄN</t>
        </is>
      </c>
      <c r="G310" t="inlineStr">
        <is>
          <t>ORSA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48518-2024</t>
        </is>
      </c>
      <c r="B311" t="inlineStr">
        <is>
          <t>avverkningsanmälan</t>
        </is>
      </c>
      <c r="C311" t="inlineStr">
        <is>
          <t>Föryngringsavverkning</t>
        </is>
      </c>
      <c r="D311" s="1" t="n">
        <v>45593</v>
      </c>
      <c r="E311" s="1" t="n">
        <v>46278</v>
      </c>
      <c r="F311" t="inlineStr">
        <is>
          <t>DALARNAS LÄN</t>
        </is>
      </c>
      <c r="G311" t="inlineStr">
        <is>
          <t>ORSA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29025-2023</t>
        </is>
      </c>
      <c r="B312" t="inlineStr">
        <is>
          <t>avverkningsanmälan</t>
        </is>
      </c>
      <c r="C312" t="inlineStr">
        <is>
          <t>Föryngringsavverkning</t>
        </is>
      </c>
      <c r="D312" s="1" t="n">
        <v>45104</v>
      </c>
      <c r="E312" s="1" t="n">
        <v>46278</v>
      </c>
      <c r="F312" t="inlineStr">
        <is>
          <t>DALARNAS LÄN</t>
        </is>
      </c>
      <c r="G312" t="inlineStr">
        <is>
          <t>ORSA</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17500-2025</t>
        </is>
      </c>
      <c r="B313" t="inlineStr">
        <is>
          <t>avverkningsanmälan</t>
        </is>
      </c>
      <c r="C313" t="inlineStr">
        <is>
          <t>Föryngringsavverkning</t>
        </is>
      </c>
      <c r="D313" s="1" t="n">
        <v>45757</v>
      </c>
      <c r="E313" s="1" t="n">
        <v>46278</v>
      </c>
      <c r="F313" t="inlineStr">
        <is>
          <t>DALARNAS LÄN</t>
        </is>
      </c>
      <c r="G313" t="inlineStr">
        <is>
          <t>ORSA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28451-2023</t>
        </is>
      </c>
      <c r="B314" t="inlineStr">
        <is>
          <t>avverkningsanmälan</t>
        </is>
      </c>
      <c r="C314" t="inlineStr">
        <is>
          <t>Föryngringsavverkning</t>
        </is>
      </c>
      <c r="D314" s="1" t="n">
        <v>45103</v>
      </c>
      <c r="E314" s="1" t="n">
        <v>46278</v>
      </c>
      <c r="F314" t="inlineStr">
        <is>
          <t>DALARNAS LÄN</t>
        </is>
      </c>
      <c r="G314" t="inlineStr">
        <is>
          <t>ORSA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8429-2024</t>
        </is>
      </c>
      <c r="B315" t="inlineStr">
        <is>
          <t>avverkningsanmälan</t>
        </is>
      </c>
      <c r="C315" t="inlineStr">
        <is>
          <t>Avverkning för annat ändamål</t>
        </is>
      </c>
      <c r="D315" s="1" t="n">
        <v>45353</v>
      </c>
      <c r="E315" s="1" t="n">
        <v>46278</v>
      </c>
      <c r="F315" t="inlineStr">
        <is>
          <t>DALARNAS LÄN</t>
        </is>
      </c>
      <c r="G315" t="inlineStr">
        <is>
          <t>ORSA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62830-2025</t>
        </is>
      </c>
      <c r="B316" t="inlineStr">
        <is>
          <t>avverkningsanmälan</t>
        </is>
      </c>
      <c r="C316" t="inlineStr">
        <is>
          <t>Föryngringsavverkning</t>
        </is>
      </c>
      <c r="D316" s="1" t="n">
        <v>46008</v>
      </c>
      <c r="E316" s="1" t="n">
        <v>46278</v>
      </c>
      <c r="F316" t="inlineStr">
        <is>
          <t>DALARNAS LÄN</t>
        </is>
      </c>
      <c r="G316" t="inlineStr">
        <is>
          <t>ORSA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28155-2023</t>
        </is>
      </c>
      <c r="B317" t="inlineStr">
        <is>
          <t>avverkningsanmälan</t>
        </is>
      </c>
      <c r="C317" t="inlineStr">
        <is>
          <t>Föryngringsavverkning</t>
        </is>
      </c>
      <c r="D317" s="1" t="n">
        <v>45099</v>
      </c>
      <c r="E317" s="1" t="n">
        <v>46278</v>
      </c>
      <c r="F317" t="inlineStr">
        <is>
          <t>DALARNAS LÄN</t>
        </is>
      </c>
      <c r="G317" t="inlineStr">
        <is>
          <t>ORSA</t>
        </is>
      </c>
      <c r="H317" t="inlineStr">
        <is>
          <t>Bergvik skog öst AB</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62832-2025</t>
        </is>
      </c>
      <c r="B318" t="inlineStr">
        <is>
          <t>avverkningsanmälan</t>
        </is>
      </c>
      <c r="C318" t="inlineStr">
        <is>
          <t>Föryngringsavverkning</t>
        </is>
      </c>
      <c r="D318" s="1" t="n">
        <v>46008</v>
      </c>
      <c r="E318" s="1" t="n">
        <v>46278</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9116-2026</t>
        </is>
      </c>
      <c r="B319" t="inlineStr">
        <is>
          <t>avverkningsanmälan</t>
        </is>
      </c>
      <c r="C319" t="inlineStr">
        <is>
          <t>Föryngringsavverkning</t>
        </is>
      </c>
      <c r="D319" s="1" t="n">
        <v>46069</v>
      </c>
      <c r="E319" s="1" t="n">
        <v>46278</v>
      </c>
      <c r="F319" t="inlineStr">
        <is>
          <t>DALARNAS LÄN</t>
        </is>
      </c>
      <c r="G319" t="inlineStr">
        <is>
          <t>ORSA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51567-2023</t>
        </is>
      </c>
      <c r="B320" t="inlineStr">
        <is>
          <t>avverkningsanmälan</t>
        </is>
      </c>
      <c r="C320" t="inlineStr">
        <is>
          <t>Föryngringsavverkning</t>
        </is>
      </c>
      <c r="D320" s="1" t="n">
        <v>45222</v>
      </c>
      <c r="E320" s="1" t="n">
        <v>46278</v>
      </c>
      <c r="F320" t="inlineStr">
        <is>
          <t>DALARNAS LÄN</t>
        </is>
      </c>
      <c r="G320" t="inlineStr">
        <is>
          <t>ORSA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62810-2025</t>
        </is>
      </c>
      <c r="B321" t="inlineStr">
        <is>
          <t>avverkningsanmälan</t>
        </is>
      </c>
      <c r="C321" t="inlineStr">
        <is>
          <t>Föryngringsavverkning</t>
        </is>
      </c>
      <c r="D321" s="1" t="n">
        <v>46008</v>
      </c>
      <c r="E321" s="1" t="n">
        <v>46278</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62858-2025</t>
        </is>
      </c>
      <c r="B322" t="inlineStr">
        <is>
          <t>avverkningsanmälan</t>
        </is>
      </c>
      <c r="C322" t="inlineStr">
        <is>
          <t>Föryngringsavverkning</t>
        </is>
      </c>
      <c r="D322" s="1" t="n">
        <v>46008</v>
      </c>
      <c r="E322" s="1" t="n">
        <v>46278</v>
      </c>
      <c r="F322" t="inlineStr">
        <is>
          <t>DALARNAS LÄN</t>
        </is>
      </c>
      <c r="G322" t="inlineStr">
        <is>
          <t>ORSA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19891-2026</t>
        </is>
      </c>
      <c r="B323" t="inlineStr">
        <is>
          <t>avverkningsanmälan</t>
        </is>
      </c>
      <c r="C323" t="inlineStr">
        <is>
          <t>Föryngringsavverkning</t>
        </is>
      </c>
      <c r="D323" s="1" t="n">
        <v>46135</v>
      </c>
      <c r="E323" s="1" t="n">
        <v>46278</v>
      </c>
      <c r="F323" t="inlineStr">
        <is>
          <t>DALARNAS LÄN</t>
        </is>
      </c>
      <c r="G323" t="inlineStr">
        <is>
          <t>ORSA</t>
        </is>
      </c>
      <c r="H323" t="inlineStr">
        <is>
          <t>Bergvik skog öst AB</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62971-2025</t>
        </is>
      </c>
      <c r="B324" t="inlineStr">
        <is>
          <t>avverkningsanmälan</t>
        </is>
      </c>
      <c r="C324" t="inlineStr">
        <is>
          <t>Föryngringsavverkning</t>
        </is>
      </c>
      <c r="D324" s="1" t="n">
        <v>46009</v>
      </c>
      <c r="E324" s="1" t="n">
        <v>46278</v>
      </c>
      <c r="F324" t="inlineStr">
        <is>
          <t>DALARNAS LÄN</t>
        </is>
      </c>
      <c r="G324" t="inlineStr">
        <is>
          <t>ORSA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6047-2023</t>
        </is>
      </c>
      <c r="B325" t="inlineStr">
        <is>
          <t>avverkningsanmälan</t>
        </is>
      </c>
      <c r="C325" t="inlineStr">
        <is>
          <t>Avverkning för annat ändamål</t>
        </is>
      </c>
      <c r="D325" s="1" t="n">
        <v>44964</v>
      </c>
      <c r="E325" s="1" t="n">
        <v>46278</v>
      </c>
      <c r="F325" t="inlineStr">
        <is>
          <t>DALARNAS LÄN</t>
        </is>
      </c>
      <c r="G325" t="inlineStr">
        <is>
          <t>ORSA</t>
        </is>
      </c>
      <c r="H325" t="inlineStr">
        <is>
          <t>Bergvik skog öst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33384-2022</t>
        </is>
      </c>
      <c r="B326" t="inlineStr">
        <is>
          <t>avverkningsanmälan</t>
        </is>
      </c>
      <c r="C326" t="inlineStr">
        <is>
          <t>Föryngringsavverkning</t>
        </is>
      </c>
      <c r="D326" s="1" t="n">
        <v>44788</v>
      </c>
      <c r="E326" s="1" t="n">
        <v>46278</v>
      </c>
      <c r="F326" t="inlineStr">
        <is>
          <t>DALARNAS LÄN</t>
        </is>
      </c>
      <c r="G326" t="inlineStr">
        <is>
          <t>ORSA</t>
        </is>
      </c>
      <c r="H326" t="inlineStr">
        <is>
          <t>Bergvik skog öst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63231-2025</t>
        </is>
      </c>
      <c r="B327" t="inlineStr">
        <is>
          <t>avverkningsanmälan</t>
        </is>
      </c>
      <c r="C327" t="inlineStr">
        <is>
          <t>Föryngringsavverkning</t>
        </is>
      </c>
      <c r="D327" s="1" t="n">
        <v>46010</v>
      </c>
      <c r="E327" s="1" t="n">
        <v>46278</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63118-2025</t>
        </is>
      </c>
      <c r="B328" t="inlineStr">
        <is>
          <t>avverkningsanmälan</t>
        </is>
      </c>
      <c r="C328" t="inlineStr">
        <is>
          <t>Föryngringsavverkning</t>
        </is>
      </c>
      <c r="D328" s="1" t="n">
        <v>46009</v>
      </c>
      <c r="E328" s="1" t="n">
        <v>46278</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612-2025</t>
        </is>
      </c>
      <c r="B329" t="inlineStr">
        <is>
          <t>avverkningsanmälan</t>
        </is>
      </c>
      <c r="C329" t="inlineStr">
        <is>
          <t>Föryngringsavverkning</t>
        </is>
      </c>
      <c r="D329" s="1" t="n">
        <v>45660</v>
      </c>
      <c r="E329" s="1" t="n">
        <v>46278</v>
      </c>
      <c r="F329" t="inlineStr">
        <is>
          <t>DALARNAS LÄN</t>
        </is>
      </c>
      <c r="G329" t="inlineStr">
        <is>
          <t>ORSA</t>
        </is>
      </c>
      <c r="H329" t="inlineStr">
        <is>
          <t>Allmännings- och besparingsskogar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14680-2023</t>
        </is>
      </c>
      <c r="B330" t="inlineStr">
        <is>
          <t>avverkningsanmälan</t>
        </is>
      </c>
      <c r="C330" t="inlineStr">
        <is>
          <t>Föryngringsavverkning</t>
        </is>
      </c>
      <c r="D330" s="1" t="n">
        <v>45014</v>
      </c>
      <c r="E330" s="1" t="n">
        <v>46278</v>
      </c>
      <c r="F330" t="inlineStr">
        <is>
          <t>DALARNAS LÄN</t>
        </is>
      </c>
      <c r="G330" t="inlineStr">
        <is>
          <t>ORSA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63467-2025</t>
        </is>
      </c>
      <c r="B331" t="inlineStr">
        <is>
          <t>avverkningsanmälan</t>
        </is>
      </c>
      <c r="C331" t="inlineStr">
        <is>
          <t>Föryngringsavverkning</t>
        </is>
      </c>
      <c r="D331" s="1" t="n">
        <v>46013</v>
      </c>
      <c r="E331" s="1" t="n">
        <v>46278</v>
      </c>
      <c r="F331" t="inlineStr">
        <is>
          <t>DALARNAS LÄN</t>
        </is>
      </c>
      <c r="G331" t="inlineStr">
        <is>
          <t>ORSA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61034-2024</t>
        </is>
      </c>
      <c r="B332" t="inlineStr">
        <is>
          <t>avverkningsanmälan</t>
        </is>
      </c>
      <c r="C332" t="inlineStr">
        <is>
          <t>Föryngringsavverkning</t>
        </is>
      </c>
      <c r="D332" s="1" t="n">
        <v>45645</v>
      </c>
      <c r="E332" s="1" t="n">
        <v>46278</v>
      </c>
      <c r="F332" t="inlineStr">
        <is>
          <t>DALARNAS LÄN</t>
        </is>
      </c>
      <c r="G332" t="inlineStr">
        <is>
          <t>ORSA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19108-2025</t>
        </is>
      </c>
      <c r="B333" t="inlineStr">
        <is>
          <t>avverkningsanmälan</t>
        </is>
      </c>
      <c r="C333" t="inlineStr">
        <is>
          <t>Föryngringsavverkning</t>
        </is>
      </c>
      <c r="D333" s="1" t="n">
        <v>45768</v>
      </c>
      <c r="E333" s="1" t="n">
        <v>46278</v>
      </c>
      <c r="F333" t="inlineStr">
        <is>
          <t>DALARNAS LÄN</t>
        </is>
      </c>
      <c r="G333" t="inlineStr">
        <is>
          <t>ORSA</t>
        </is>
      </c>
      <c r="H333" t="inlineStr">
        <is>
          <t>Bergvik skog väst AB</t>
        </is>
      </c>
      <c r="I333" t="n">
        <v>14.3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17848-2025</t>
        </is>
      </c>
      <c r="B334" t="inlineStr">
        <is>
          <t>avverkningsanmälan</t>
        </is>
      </c>
      <c r="C334" t="inlineStr">
        <is>
          <t>Föryngringsavverkning</t>
        </is>
      </c>
      <c r="D334" s="1" t="n">
        <v>45758</v>
      </c>
      <c r="E334" s="1" t="n">
        <v>46278</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20589-2025</t>
        </is>
      </c>
      <c r="B335" t="inlineStr">
        <is>
          <t>avverkningsanmälan</t>
        </is>
      </c>
      <c r="C335" t="inlineStr">
        <is>
          <t>Föryngringsavverkning</t>
        </is>
      </c>
      <c r="D335" s="1" t="n">
        <v>45775</v>
      </c>
      <c r="E335" s="1" t="n">
        <v>46278</v>
      </c>
      <c r="F335" t="inlineStr">
        <is>
          <t>DALARNAS LÄN</t>
        </is>
      </c>
      <c r="G335" t="inlineStr">
        <is>
          <t>ORSA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144-2026</t>
        </is>
      </c>
      <c r="B336" t="inlineStr">
        <is>
          <t>avverkningsanmälan</t>
        </is>
      </c>
      <c r="C336" t="inlineStr">
        <is>
          <t>Föryngringsavverkning</t>
        </is>
      </c>
      <c r="D336" s="1" t="n">
        <v>46024</v>
      </c>
      <c r="E336" s="1" t="n">
        <v>46278</v>
      </c>
      <c r="F336" t="inlineStr">
        <is>
          <t>DALARNAS LÄN</t>
        </is>
      </c>
      <c r="G336" t="inlineStr">
        <is>
          <t>ORSA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101-2026</t>
        </is>
      </c>
      <c r="B337" t="inlineStr">
        <is>
          <t>avverkningsanmälan</t>
        </is>
      </c>
      <c r="C337" t="inlineStr">
        <is>
          <t>Föryngringsavverkning</t>
        </is>
      </c>
      <c r="D337" s="1" t="n">
        <v>46024</v>
      </c>
      <c r="E337" s="1" t="n">
        <v>46278</v>
      </c>
      <c r="F337" t="inlineStr">
        <is>
          <t>DALARNAS LÄN</t>
        </is>
      </c>
      <c r="G337" t="inlineStr">
        <is>
          <t>ORSA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20165-2026</t>
        </is>
      </c>
      <c r="B338" t="inlineStr">
        <is>
          <t>avverkningsanmälan</t>
        </is>
      </c>
      <c r="C338" t="inlineStr">
        <is>
          <t>Föryngringsavverkning</t>
        </is>
      </c>
      <c r="D338" s="1" t="n">
        <v>46139</v>
      </c>
      <c r="E338" s="1" t="n">
        <v>46278</v>
      </c>
      <c r="F338" t="inlineStr">
        <is>
          <t>DALARNAS LÄN</t>
        </is>
      </c>
      <c r="G338" t="inlineStr">
        <is>
          <t>ORSA</t>
        </is>
      </c>
      <c r="H338" t="inlineStr">
        <is>
          <t>Bergvik skog öst AB</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57533-2022</t>
        </is>
      </c>
      <c r="B339" t="inlineStr">
        <is>
          <t>avverkningsanmälan</t>
        </is>
      </c>
      <c r="C339" t="inlineStr">
        <is>
          <t>Föryngringsavverkning</t>
        </is>
      </c>
      <c r="D339" s="1" t="n">
        <v>44896</v>
      </c>
      <c r="E339" s="1" t="n">
        <v>46278</v>
      </c>
      <c r="F339" t="inlineStr">
        <is>
          <t>DALARNAS LÄN</t>
        </is>
      </c>
      <c r="G339" t="inlineStr">
        <is>
          <t>ORSA</t>
        </is>
      </c>
      <c r="H339" t="inlineStr">
        <is>
          <t>Bergvik skog öst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21335-2025</t>
        </is>
      </c>
      <c r="B340" t="inlineStr">
        <is>
          <t>avverkningsanmälan</t>
        </is>
      </c>
      <c r="C340" t="inlineStr">
        <is>
          <t>Föryngringsavverkning</t>
        </is>
      </c>
      <c r="D340" s="1" t="n">
        <v>45782</v>
      </c>
      <c r="E340" s="1" t="n">
        <v>46278</v>
      </c>
      <c r="F340" t="inlineStr">
        <is>
          <t>DALARNAS LÄN</t>
        </is>
      </c>
      <c r="G340" t="inlineStr">
        <is>
          <t>ORSA</t>
        </is>
      </c>
      <c r="H340" t="inlineStr">
        <is>
          <t>Bergvik skog väst AB</t>
        </is>
      </c>
      <c r="I340" t="n">
        <v>14.3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37931-2023</t>
        </is>
      </c>
      <c r="B341" t="inlineStr">
        <is>
          <t>avverkningsanmälan</t>
        </is>
      </c>
      <c r="C341" t="inlineStr">
        <is>
          <t>Föryngringsavverkning</t>
        </is>
      </c>
      <c r="D341" s="1" t="n">
        <v>45160</v>
      </c>
      <c r="E341" s="1" t="n">
        <v>46278</v>
      </c>
      <c r="F341" t="inlineStr">
        <is>
          <t>DALARNAS LÄN</t>
        </is>
      </c>
      <c r="G341" t="inlineStr">
        <is>
          <t>ORSA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8430-2024</t>
        </is>
      </c>
      <c r="B342" t="inlineStr">
        <is>
          <t>avverkningsanmälan</t>
        </is>
      </c>
      <c r="C342" t="inlineStr">
        <is>
          <t>Föryngringsavverkning</t>
        </is>
      </c>
      <c r="D342" s="1" t="n">
        <v>45353</v>
      </c>
      <c r="E342" s="1" t="n">
        <v>46278</v>
      </c>
      <c r="F342" t="inlineStr">
        <is>
          <t>DALARNAS LÄN</t>
        </is>
      </c>
      <c r="G342" t="inlineStr">
        <is>
          <t>ORSA</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20254-2026</t>
        </is>
      </c>
      <c r="B343" t="inlineStr">
        <is>
          <t>avverkningsanmälan</t>
        </is>
      </c>
      <c r="C343" t="inlineStr">
        <is>
          <t>Föryngringsavverkning</t>
        </is>
      </c>
      <c r="D343" s="1" t="n">
        <v>46139</v>
      </c>
      <c r="E343" s="1" t="n">
        <v>46278</v>
      </c>
      <c r="F343" t="inlineStr">
        <is>
          <t>DALARNAS LÄN</t>
        </is>
      </c>
      <c r="G343" t="inlineStr">
        <is>
          <t>ORSA</t>
        </is>
      </c>
      <c r="H343" t="inlineStr">
        <is>
          <t>Bergvik skog öst AB</t>
        </is>
      </c>
      <c r="I343" t="n">
        <v>18.5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2090-2026</t>
        </is>
      </c>
      <c r="B344" t="inlineStr">
        <is>
          <t>avverkningsanmälan</t>
        </is>
      </c>
      <c r="C344" t="inlineStr">
        <is>
          <t>Föryngringsavverkning</t>
        </is>
      </c>
      <c r="D344" s="1" t="n">
        <v>46036</v>
      </c>
      <c r="E344" s="1" t="n">
        <v>46278</v>
      </c>
      <c r="F344" t="inlineStr">
        <is>
          <t>DALARNAS LÄN</t>
        </is>
      </c>
      <c r="G344" t="inlineStr">
        <is>
          <t>ORSA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41832-2024</t>
        </is>
      </c>
      <c r="B345" t="inlineStr">
        <is>
          <t>avverkningsanmälan</t>
        </is>
      </c>
      <c r="C345" t="inlineStr">
        <is>
          <t>Föryngringsavverkning</t>
        </is>
      </c>
      <c r="D345" s="1" t="n">
        <v>45561</v>
      </c>
      <c r="E345" s="1" t="n">
        <v>46278</v>
      </c>
      <c r="F345" t="inlineStr">
        <is>
          <t>DALARNAS LÄN</t>
        </is>
      </c>
      <c r="G345" t="inlineStr">
        <is>
          <t>ORSA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33209-2025</t>
        </is>
      </c>
      <c r="B346" t="inlineStr">
        <is>
          <t>avverkningsanmälan</t>
        </is>
      </c>
      <c r="C346" t="inlineStr">
        <is>
          <t>Föryngringsavverkning</t>
        </is>
      </c>
      <c r="D346" s="1" t="n">
        <v>45840</v>
      </c>
      <c r="E346" s="1" t="n">
        <v>46278</v>
      </c>
      <c r="F346" t="inlineStr">
        <is>
          <t>DALARNAS LÄN</t>
        </is>
      </c>
      <c r="G346" t="inlineStr">
        <is>
          <t>ORSA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37897-2025</t>
        </is>
      </c>
      <c r="B347" t="inlineStr">
        <is>
          <t>avverkningsanmälan</t>
        </is>
      </c>
      <c r="C347" t="inlineStr">
        <is>
          <t>Föryngringsavverkning</t>
        </is>
      </c>
      <c r="D347" s="1" t="n">
        <v>45881</v>
      </c>
      <c r="E347" s="1" t="n">
        <v>46278</v>
      </c>
      <c r="F347" t="inlineStr">
        <is>
          <t>DALARNAS LÄN</t>
        </is>
      </c>
      <c r="G347" t="inlineStr">
        <is>
          <t>ORSA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36427-2023</t>
        </is>
      </c>
      <c r="B348" t="inlineStr">
        <is>
          <t>avverkningsanmälan</t>
        </is>
      </c>
      <c r="C348" t="inlineStr">
        <is>
          <t>Föryngringsavverkning</t>
        </is>
      </c>
      <c r="D348" s="1" t="n">
        <v>45152</v>
      </c>
      <c r="E348" s="1" t="n">
        <v>46278</v>
      </c>
      <c r="F348" t="inlineStr">
        <is>
          <t>DALARNAS LÄN</t>
        </is>
      </c>
      <c r="G348" t="inlineStr">
        <is>
          <t>ORSA</t>
        </is>
      </c>
      <c r="H348" t="inlineStr">
        <is>
          <t>Bergvik skog öst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33945-2022</t>
        </is>
      </c>
      <c r="B349" t="inlineStr">
        <is>
          <t>avverkningsanmälan</t>
        </is>
      </c>
      <c r="C349" t="inlineStr">
        <is>
          <t>Föryngringsavverkning</t>
        </is>
      </c>
      <c r="D349" s="1" t="n">
        <v>44790</v>
      </c>
      <c r="E349" s="1" t="n">
        <v>46278</v>
      </c>
      <c r="F349" t="inlineStr">
        <is>
          <t>DALARNAS LÄN</t>
        </is>
      </c>
      <c r="G349" t="inlineStr">
        <is>
          <t>ORSA</t>
        </is>
      </c>
      <c r="H349" t="inlineStr">
        <is>
          <t>Bergvik skog öst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89-2026</t>
        </is>
      </c>
      <c r="B350" t="inlineStr">
        <is>
          <t>avverkningsanmälan</t>
        </is>
      </c>
      <c r="C350" t="inlineStr">
        <is>
          <t>Föryngringsavverkning</t>
        </is>
      </c>
      <c r="D350" s="1" t="n">
        <v>46016</v>
      </c>
      <c r="E350" s="1" t="n">
        <v>46278</v>
      </c>
      <c r="F350" t="inlineStr">
        <is>
          <t>DALARNAS LÄN</t>
        </is>
      </c>
      <c r="G350" t="inlineStr">
        <is>
          <t>ORSA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16585-2023</t>
        </is>
      </c>
      <c r="B351" t="inlineStr">
        <is>
          <t>avverkningsanmälan</t>
        </is>
      </c>
      <c r="C351" t="inlineStr">
        <is>
          <t>Föryngringsavverkning</t>
        </is>
      </c>
      <c r="D351" s="1" t="n">
        <v>45030</v>
      </c>
      <c r="E351" s="1" t="n">
        <v>46278</v>
      </c>
      <c r="F351" t="inlineStr">
        <is>
          <t>DALARNAS LÄN</t>
        </is>
      </c>
      <c r="G351" t="inlineStr">
        <is>
          <t>ORSA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12800-2026</t>
        </is>
      </c>
      <c r="B352" t="inlineStr">
        <is>
          <t>avverkningsanmälan</t>
        </is>
      </c>
      <c r="C352" t="inlineStr">
        <is>
          <t>Föryngringsavverkning</t>
        </is>
      </c>
      <c r="D352" s="1" t="n">
        <v>46092</v>
      </c>
      <c r="E352" s="1" t="n">
        <v>46278</v>
      </c>
      <c r="F352" t="inlineStr">
        <is>
          <t>DALARNAS LÄN</t>
        </is>
      </c>
      <c r="G352" t="inlineStr">
        <is>
          <t>ORSA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24235-2025</t>
        </is>
      </c>
      <c r="B353" t="inlineStr">
        <is>
          <t>avverkningsanmälan</t>
        </is>
      </c>
      <c r="C353" t="inlineStr">
        <is>
          <t>Föryngringsavverkning</t>
        </is>
      </c>
      <c r="D353" s="1" t="n">
        <v>45797</v>
      </c>
      <c r="E353" s="1" t="n">
        <v>46278</v>
      </c>
      <c r="F353" t="inlineStr">
        <is>
          <t>DALARNAS LÄN</t>
        </is>
      </c>
      <c r="G353" t="inlineStr">
        <is>
          <t>ORSA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3364-2026</t>
        </is>
      </c>
      <c r="B354" t="inlineStr">
        <is>
          <t>avverkningsanmälan</t>
        </is>
      </c>
      <c r="C354" t="inlineStr">
        <is>
          <t>Föryngringsavverkning</t>
        </is>
      </c>
      <c r="D354" s="1" t="n">
        <v>46042</v>
      </c>
      <c r="E354" s="1" t="n">
        <v>46278</v>
      </c>
      <c r="F354" t="inlineStr">
        <is>
          <t>DALARNAS LÄN</t>
        </is>
      </c>
      <c r="G354" t="inlineStr">
        <is>
          <t>ORSA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7775-2026</t>
        </is>
      </c>
      <c r="B355" t="inlineStr">
        <is>
          <t>avverkningsanmälan</t>
        </is>
      </c>
      <c r="C355" t="inlineStr">
        <is>
          <t>Föryngringsavverkning</t>
        </is>
      </c>
      <c r="D355" s="1" t="n">
        <v>46062</v>
      </c>
      <c r="E355" s="1" t="n">
        <v>46278</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3988-2026</t>
        </is>
      </c>
      <c r="B356" t="inlineStr">
        <is>
          <t>avverkningsanmälan</t>
        </is>
      </c>
      <c r="C356" t="inlineStr">
        <is>
          <t>Föryngringsavverkning</t>
        </is>
      </c>
      <c r="D356" s="1" t="n">
        <v>46044</v>
      </c>
      <c r="E356" s="1" t="n">
        <v>46278</v>
      </c>
      <c r="F356" t="inlineStr">
        <is>
          <t>DALARNAS LÄN</t>
        </is>
      </c>
      <c r="G356" t="inlineStr">
        <is>
          <t>ORSA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4011-2026</t>
        </is>
      </c>
      <c r="B357" t="inlineStr">
        <is>
          <t>avverkningsanmälan</t>
        </is>
      </c>
      <c r="C357" t="inlineStr">
        <is>
          <t>Föryngringsavverkning</t>
        </is>
      </c>
      <c r="D357" s="1" t="n">
        <v>46044</v>
      </c>
      <c r="E357" s="1" t="n">
        <v>46278</v>
      </c>
      <c r="F357" t="inlineStr">
        <is>
          <t>DALARNAS LÄN</t>
        </is>
      </c>
      <c r="G357" t="inlineStr">
        <is>
          <t>ORSA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48516-2024</t>
        </is>
      </c>
      <c r="B358" t="inlineStr">
        <is>
          <t>avverkningsanmälan</t>
        </is>
      </c>
      <c r="C358" t="inlineStr">
        <is>
          <t>Föryngringsavverkning</t>
        </is>
      </c>
      <c r="D358" s="1" t="n">
        <v>45593</v>
      </c>
      <c r="E358" s="1" t="n">
        <v>46278</v>
      </c>
      <c r="F358" t="inlineStr">
        <is>
          <t>DALARNAS LÄN</t>
        </is>
      </c>
      <c r="G358" t="inlineStr">
        <is>
          <t>ORSA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4040-2026</t>
        </is>
      </c>
      <c r="B359" t="inlineStr">
        <is>
          <t>avverkningsanmälan</t>
        </is>
      </c>
      <c r="C359" t="inlineStr">
        <is>
          <t>Föryngringsavverkning</t>
        </is>
      </c>
      <c r="D359" s="1" t="n">
        <v>46044</v>
      </c>
      <c r="E359" s="1" t="n">
        <v>46278</v>
      </c>
      <c r="F359" t="inlineStr">
        <is>
          <t>DALARNAS LÄN</t>
        </is>
      </c>
      <c r="G359" t="inlineStr">
        <is>
          <t>ORSA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29984-2025</t>
        </is>
      </c>
      <c r="B360" t="inlineStr">
        <is>
          <t>avverkningsanmälan</t>
        </is>
      </c>
      <c r="C360" t="inlineStr">
        <is>
          <t>Avverkning för annat ändamål</t>
        </is>
      </c>
      <c r="D360" s="1" t="n">
        <v>45826</v>
      </c>
      <c r="E360" s="1" t="n">
        <v>46278</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4690-2026</t>
        </is>
      </c>
      <c r="B361" t="inlineStr">
        <is>
          <t>avverkningsanmälan</t>
        </is>
      </c>
      <c r="C361" t="inlineStr">
        <is>
          <t>Föryngringsavverkning</t>
        </is>
      </c>
      <c r="D361" s="1" t="n">
        <v>46048</v>
      </c>
      <c r="E361" s="1" t="n">
        <v>46278</v>
      </c>
      <c r="F361" t="inlineStr">
        <is>
          <t>DALARNAS LÄN</t>
        </is>
      </c>
      <c r="G361" t="inlineStr">
        <is>
          <t>ORSA</t>
        </is>
      </c>
      <c r="I361" t="n">
        <v>14.2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5395-2026</t>
        </is>
      </c>
      <c r="B362" t="inlineStr">
        <is>
          <t>avverkningsanmälan</t>
        </is>
      </c>
      <c r="C362" t="inlineStr">
        <is>
          <t>Föryngringsavverkning</t>
        </is>
      </c>
      <c r="D362" s="1" t="n">
        <v>46050</v>
      </c>
      <c r="E362" s="1" t="n">
        <v>46278</v>
      </c>
      <c r="F362" t="inlineStr">
        <is>
          <t>DALARNAS LÄN</t>
        </is>
      </c>
      <c r="G362" t="inlineStr">
        <is>
          <t>ORSA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37838-2024</t>
        </is>
      </c>
      <c r="B363" t="inlineStr">
        <is>
          <t>avverkningsanmälan</t>
        </is>
      </c>
      <c r="C363" t="inlineStr">
        <is>
          <t>Föryngringsavverkning</t>
        </is>
      </c>
      <c r="D363" s="1" t="n">
        <v>45544</v>
      </c>
      <c r="E363" s="1" t="n">
        <v>46278</v>
      </c>
      <c r="F363" t="inlineStr">
        <is>
          <t>DALARNAS LÄN</t>
        </is>
      </c>
      <c r="G363" t="inlineStr">
        <is>
          <t>ORSA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5377-2026</t>
        </is>
      </c>
      <c r="B364" t="inlineStr">
        <is>
          <t>avverkningsanmälan</t>
        </is>
      </c>
      <c r="C364" t="inlineStr">
        <is>
          <t>Föryngringsavverkning</t>
        </is>
      </c>
      <c r="D364" s="1" t="n">
        <v>46050</v>
      </c>
      <c r="E364" s="1" t="n">
        <v>46278</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46278</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5393-2026</t>
        </is>
      </c>
      <c r="B366" t="inlineStr">
        <is>
          <t>avverkningsanmälan</t>
        </is>
      </c>
      <c r="C366" t="inlineStr">
        <is>
          <t>Föryngringsavverkning</t>
        </is>
      </c>
      <c r="D366" s="1" t="n">
        <v>46050</v>
      </c>
      <c r="E366" s="1" t="n">
        <v>46278</v>
      </c>
      <c r="F366" t="inlineStr">
        <is>
          <t>DALARNAS LÄN</t>
        </is>
      </c>
      <c r="G366" t="inlineStr">
        <is>
          <t>ORSA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46278</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5896-2026</t>
        </is>
      </c>
      <c r="B368" t="inlineStr">
        <is>
          <t>avverkningsanmälan</t>
        </is>
      </c>
      <c r="C368" t="inlineStr">
        <is>
          <t>Föryngringsavverkning</t>
        </is>
      </c>
      <c r="D368" s="1" t="n">
        <v>46052</v>
      </c>
      <c r="E368" s="1" t="n">
        <v>46278</v>
      </c>
      <c r="F368" t="inlineStr">
        <is>
          <t>DALARNAS LÄN</t>
        </is>
      </c>
      <c r="G368" t="inlineStr">
        <is>
          <t>ORSA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1967-2026</t>
        </is>
      </c>
      <c r="B369" t="inlineStr">
        <is>
          <t>avverkningsanmälan</t>
        </is>
      </c>
      <c r="C369" t="inlineStr">
        <is>
          <t>Föryngringsavverkning</t>
        </is>
      </c>
      <c r="D369" s="1" t="n">
        <v>46035</v>
      </c>
      <c r="E369" s="1" t="n">
        <v>46278</v>
      </c>
      <c r="F369" t="inlineStr">
        <is>
          <t>DALARNAS LÄN</t>
        </is>
      </c>
      <c r="G369" t="inlineStr">
        <is>
          <t>ORSA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6757-2026</t>
        </is>
      </c>
      <c r="B370" t="inlineStr">
        <is>
          <t>avverkningsanmälan</t>
        </is>
      </c>
      <c r="C370" t="inlineStr">
        <is>
          <t>Föryngringsavverkning</t>
        </is>
      </c>
      <c r="D370" s="1" t="n">
        <v>46056</v>
      </c>
      <c r="E370" s="1" t="n">
        <v>46278</v>
      </c>
      <c r="F370" t="inlineStr">
        <is>
          <t>DALARNAS LÄN</t>
        </is>
      </c>
      <c r="G370" t="inlineStr">
        <is>
          <t>ORSA</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36089-2023</t>
        </is>
      </c>
      <c r="B371" t="inlineStr">
        <is>
          <t>avverkningsanmälan</t>
        </is>
      </c>
      <c r="C371" t="inlineStr">
        <is>
          <t>Föryngringsavverkning</t>
        </is>
      </c>
      <c r="D371" s="1" t="n">
        <v>45149</v>
      </c>
      <c r="E371" s="1" t="n">
        <v>46278</v>
      </c>
      <c r="F371" t="inlineStr">
        <is>
          <t>DALARNAS LÄN</t>
        </is>
      </c>
      <c r="G371" t="inlineStr">
        <is>
          <t>ORSA</t>
        </is>
      </c>
      <c r="H371" t="inlineStr">
        <is>
          <t>Allmännings- och besparingsskogar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7027-2026</t>
        </is>
      </c>
      <c r="B372" t="inlineStr">
        <is>
          <t>avverkningsanmälan</t>
        </is>
      </c>
      <c r="C372" t="inlineStr">
        <is>
          <t>Föryngringsavverkning</t>
        </is>
      </c>
      <c r="D372" s="1" t="n">
        <v>46057</v>
      </c>
      <c r="E372" s="1" t="n">
        <v>46278</v>
      </c>
      <c r="F372" t="inlineStr">
        <is>
          <t>DALARNAS LÄN</t>
        </is>
      </c>
      <c r="G372" t="inlineStr">
        <is>
          <t>ORSA</t>
        </is>
      </c>
      <c r="I372" t="n">
        <v>12.1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6945-2026</t>
        </is>
      </c>
      <c r="B373" t="inlineStr">
        <is>
          <t>avverkningsanmälan</t>
        </is>
      </c>
      <c r="C373" t="inlineStr">
        <is>
          <t>Föryngringsavverkning</t>
        </is>
      </c>
      <c r="D373" s="1" t="n">
        <v>46057</v>
      </c>
      <c r="E373" s="1" t="n">
        <v>46278</v>
      </c>
      <c r="F373" t="inlineStr">
        <is>
          <t>DALARNAS LÄN</t>
        </is>
      </c>
      <c r="G373" t="inlineStr">
        <is>
          <t>ORSA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62342-2023</t>
        </is>
      </c>
      <c r="B374" t="inlineStr">
        <is>
          <t>avverkningsanmälan</t>
        </is>
      </c>
      <c r="C374" t="inlineStr">
        <is>
          <t>Föryngringsavverkning</t>
        </is>
      </c>
      <c r="D374" s="1" t="n">
        <v>45267</v>
      </c>
      <c r="E374" s="1" t="n">
        <v>46278</v>
      </c>
      <c r="F374" t="inlineStr">
        <is>
          <t>DALARNAS LÄN</t>
        </is>
      </c>
      <c r="G374" t="inlineStr">
        <is>
          <t>ORSA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52903-2024</t>
        </is>
      </c>
      <c r="B375" t="inlineStr">
        <is>
          <t>avverkningsanmälan</t>
        </is>
      </c>
      <c r="C375" t="inlineStr">
        <is>
          <t>Föryngringsavverkning</t>
        </is>
      </c>
      <c r="D375" s="1" t="n">
        <v>45610</v>
      </c>
      <c r="E375" s="1" t="n">
        <v>46278</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3226-2026</t>
        </is>
      </c>
      <c r="B376" t="inlineStr">
        <is>
          <t>avverkningsanmälan</t>
        </is>
      </c>
      <c r="C376" t="inlineStr">
        <is>
          <t>Föryngringsavverkning</t>
        </is>
      </c>
      <c r="D376" s="1" t="n">
        <v>46041</v>
      </c>
      <c r="E376" s="1" t="n">
        <v>46278</v>
      </c>
      <c r="F376" t="inlineStr">
        <is>
          <t>DALARNAS LÄN</t>
        </is>
      </c>
      <c r="G376" t="inlineStr">
        <is>
          <t>ORSA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8807-2026</t>
        </is>
      </c>
      <c r="B377" t="inlineStr">
        <is>
          <t>avverkningsanmälan</t>
        </is>
      </c>
      <c r="C377" t="inlineStr">
        <is>
          <t>Föryngringsavverkning</t>
        </is>
      </c>
      <c r="D377" s="1" t="n">
        <v>46066</v>
      </c>
      <c r="E377" s="1" t="n">
        <v>46278</v>
      </c>
      <c r="F377" t="inlineStr">
        <is>
          <t>DALARNAS LÄN</t>
        </is>
      </c>
      <c r="G377" t="inlineStr">
        <is>
          <t>ORSA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56706-2021</t>
        </is>
      </c>
      <c r="B378" t="inlineStr">
        <is>
          <t>avverkningsanmälan</t>
        </is>
      </c>
      <c r="C378" t="inlineStr">
        <is>
          <t>Föryngringsavverkning</t>
        </is>
      </c>
      <c r="D378" s="1" t="n">
        <v>44481</v>
      </c>
      <c r="E378" s="1" t="n">
        <v>46278</v>
      </c>
      <c r="F378" t="inlineStr">
        <is>
          <t>DALARNAS LÄN</t>
        </is>
      </c>
      <c r="G378" t="inlineStr">
        <is>
          <t>ORSA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57055-2025</t>
        </is>
      </c>
      <c r="B379" t="inlineStr">
        <is>
          <t>avverkningsanmälan</t>
        </is>
      </c>
      <c r="C379" t="inlineStr">
        <is>
          <t>Föryngringsavverkning</t>
        </is>
      </c>
      <c r="D379" s="1" t="n">
        <v>45979</v>
      </c>
      <c r="E379" s="1" t="n">
        <v>46278</v>
      </c>
      <c r="F379" t="inlineStr">
        <is>
          <t>DALARNAS LÄN</t>
        </is>
      </c>
      <c r="G379" t="inlineStr">
        <is>
          <t>ORSA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59411-2024</t>
        </is>
      </c>
      <c r="B380" t="inlineStr">
        <is>
          <t>avverkningsanmälan</t>
        </is>
      </c>
      <c r="C380" t="inlineStr">
        <is>
          <t>Föryngringsavverkning</t>
        </is>
      </c>
      <c r="D380" s="1" t="n">
        <v>45638</v>
      </c>
      <c r="E380" s="1" t="n">
        <v>46278</v>
      </c>
      <c r="F380" t="inlineStr">
        <is>
          <t>DALARNAS LÄN</t>
        </is>
      </c>
      <c r="G380" t="inlineStr">
        <is>
          <t>ORSA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59414-2024</t>
        </is>
      </c>
      <c r="B381" t="inlineStr">
        <is>
          <t>avverkningsanmälan</t>
        </is>
      </c>
      <c r="C381" t="inlineStr">
        <is>
          <t>Föryngringsavverkning</t>
        </is>
      </c>
      <c r="D381" s="1" t="n">
        <v>45638</v>
      </c>
      <c r="E381" s="1" t="n">
        <v>46278</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57685-2021</t>
        </is>
      </c>
      <c r="B382" t="inlineStr">
        <is>
          <t>avverkningsanmälan</t>
        </is>
      </c>
      <c r="C382" t="inlineStr">
        <is>
          <t>Föryngringsavverkning</t>
        </is>
      </c>
      <c r="D382" s="1" t="n">
        <v>44484</v>
      </c>
      <c r="E382" s="1" t="n">
        <v>46278</v>
      </c>
      <c r="F382" t="inlineStr">
        <is>
          <t>DALARNAS LÄN</t>
        </is>
      </c>
      <c r="G382" t="inlineStr">
        <is>
          <t>ORSA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5045-2026</t>
        </is>
      </c>
      <c r="B383" t="inlineStr">
        <is>
          <t>avverkningsanmälan</t>
        </is>
      </c>
      <c r="C383" t="inlineStr">
        <is>
          <t>Föryngringsavverkning</t>
        </is>
      </c>
      <c r="D383" s="1" t="n">
        <v>46049</v>
      </c>
      <c r="E383" s="1" t="n">
        <v>46278</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41971-2025</t>
        </is>
      </c>
      <c r="B384" t="inlineStr">
        <is>
          <t>avverkningsanmälan</t>
        </is>
      </c>
      <c r="C384" t="inlineStr">
        <is>
          <t>Föryngringsavverkning</t>
        </is>
      </c>
      <c r="D384" s="1" t="n">
        <v>45903</v>
      </c>
      <c r="E384" s="1" t="n">
        <v>46278</v>
      </c>
      <c r="F384" t="inlineStr">
        <is>
          <t>DALARNAS LÄN</t>
        </is>
      </c>
      <c r="G384" t="inlineStr">
        <is>
          <t>ORSA</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9836-2022</t>
        </is>
      </c>
      <c r="B385" t="inlineStr">
        <is>
          <t>avverkningsanmälan</t>
        </is>
      </c>
      <c r="C385" t="inlineStr">
        <is>
          <t>Föryngringsavverkning</t>
        </is>
      </c>
      <c r="D385" s="1" t="n">
        <v>44620</v>
      </c>
      <c r="E385" s="1" t="n">
        <v>46278</v>
      </c>
      <c r="F385" t="inlineStr">
        <is>
          <t>DALARNAS LÄN</t>
        </is>
      </c>
      <c r="G385" t="inlineStr">
        <is>
          <t>ORSA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21511-2026</t>
        </is>
      </c>
      <c r="B386" t="inlineStr">
        <is>
          <t>avverkningsanmälan</t>
        </is>
      </c>
      <c r="C386" t="inlineStr">
        <is>
          <t>Föryngringsavverkning</t>
        </is>
      </c>
      <c r="D386" s="1" t="n">
        <v>46146</v>
      </c>
      <c r="E386" s="1" t="n">
        <v>46278</v>
      </c>
      <c r="F386" t="inlineStr">
        <is>
          <t>DALARNAS LÄN</t>
        </is>
      </c>
      <c r="G386" t="inlineStr">
        <is>
          <t>ORSA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21225-2026</t>
        </is>
      </c>
      <c r="B387" t="inlineStr">
        <is>
          <t>avverkningsanmälan</t>
        </is>
      </c>
      <c r="C387" t="inlineStr">
        <is>
          <t>Föryngringsavverkning</t>
        </is>
      </c>
      <c r="D387" s="1" t="n">
        <v>46146</v>
      </c>
      <c r="E387" s="1" t="n">
        <v>46278</v>
      </c>
      <c r="F387" t="inlineStr">
        <is>
          <t>DALARNAS LÄN</t>
        </is>
      </c>
      <c r="G387" t="inlineStr">
        <is>
          <t>ORSA</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17850-2025</t>
        </is>
      </c>
      <c r="B388" t="inlineStr">
        <is>
          <t>avverkningsanmälan</t>
        </is>
      </c>
      <c r="C388" t="inlineStr">
        <is>
          <t>Föryngringsavverkning</t>
        </is>
      </c>
      <c r="D388" s="1" t="n">
        <v>45758</v>
      </c>
      <c r="E388" s="1" t="n">
        <v>46278</v>
      </c>
      <c r="F388" t="inlineStr">
        <is>
          <t>DALARNAS LÄN</t>
        </is>
      </c>
      <c r="G388" t="inlineStr">
        <is>
          <t>ORSA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51994-2023</t>
        </is>
      </c>
      <c r="B389" t="inlineStr">
        <is>
          <t>avverkningsanmälan</t>
        </is>
      </c>
      <c r="C389" t="inlineStr">
        <is>
          <t>Föryngringsavverkning</t>
        </is>
      </c>
      <c r="D389" s="1" t="n">
        <v>45223</v>
      </c>
      <c r="E389" s="1" t="n">
        <v>46278</v>
      </c>
      <c r="F389" t="inlineStr">
        <is>
          <t>DALARNAS LÄN</t>
        </is>
      </c>
      <c r="G389" t="inlineStr">
        <is>
          <t>ORSA</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72284-2021</t>
        </is>
      </c>
      <c r="B390" t="inlineStr">
        <is>
          <t>avverkningsanmälan</t>
        </is>
      </c>
      <c r="C390" t="inlineStr">
        <is>
          <t>Avverkning för annat ändamål</t>
        </is>
      </c>
      <c r="D390" s="1" t="n">
        <v>44545</v>
      </c>
      <c r="E390" s="1" t="n">
        <v>46278</v>
      </c>
      <c r="F390" t="inlineStr">
        <is>
          <t>DALARNAS LÄN</t>
        </is>
      </c>
      <c r="G390" t="inlineStr">
        <is>
          <t>ORSA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21379-2026</t>
        </is>
      </c>
      <c r="B391" t="inlineStr">
        <is>
          <t>avverkningsanmälan</t>
        </is>
      </c>
      <c r="C391" t="inlineStr">
        <is>
          <t>Föryngringsavverkning</t>
        </is>
      </c>
      <c r="D391" s="1" t="n">
        <v>46147</v>
      </c>
      <c r="E391" s="1" t="n">
        <v>46278</v>
      </c>
      <c r="F391" t="inlineStr">
        <is>
          <t>DALARNAS LÄN</t>
        </is>
      </c>
      <c r="G391" t="inlineStr">
        <is>
          <t>ORSA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13185-2022</t>
        </is>
      </c>
      <c r="B392" t="inlineStr">
        <is>
          <t>avverkningsanmälan</t>
        </is>
      </c>
      <c r="C392" t="inlineStr">
        <is>
          <t>Föryngringsavverkning</t>
        </is>
      </c>
      <c r="D392" s="1" t="n">
        <v>44644</v>
      </c>
      <c r="E392" s="1" t="n">
        <v>46278</v>
      </c>
      <c r="F392" t="inlineStr">
        <is>
          <t>DALARNAS LÄN</t>
        </is>
      </c>
      <c r="G392" t="inlineStr">
        <is>
          <t>ORSA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21530-2026</t>
        </is>
      </c>
      <c r="B393" t="inlineStr">
        <is>
          <t>avverkningsanmälan</t>
        </is>
      </c>
      <c r="C393" t="inlineStr">
        <is>
          <t>Föryngringsavverkning</t>
        </is>
      </c>
      <c r="D393" s="1" t="n">
        <v>46148</v>
      </c>
      <c r="E393" s="1" t="n">
        <v>46278</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46454-2024</t>
        </is>
      </c>
      <c r="B394" t="inlineStr">
        <is>
          <t>avverkningsanmälan</t>
        </is>
      </c>
      <c r="C394" t="inlineStr">
        <is>
          <t>Föryngringsavverkning</t>
        </is>
      </c>
      <c r="D394" s="1" t="n">
        <v>45582</v>
      </c>
      <c r="E394" s="1" t="n">
        <v>46278</v>
      </c>
      <c r="F394" t="inlineStr">
        <is>
          <t>DALARNAS LÄN</t>
        </is>
      </c>
      <c r="G394" t="inlineStr">
        <is>
          <t>ORSA</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52649-2024</t>
        </is>
      </c>
      <c r="B395" t="inlineStr">
        <is>
          <t>avverkningsanmälan</t>
        </is>
      </c>
      <c r="C395" t="inlineStr">
        <is>
          <t>Föryngringsavverkning</t>
        </is>
      </c>
      <c r="D395" s="1" t="n">
        <v>45610</v>
      </c>
      <c r="E395" s="1" t="n">
        <v>46278</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21900-2026</t>
        </is>
      </c>
      <c r="B396" t="inlineStr">
        <is>
          <t>avverkningsanmälan</t>
        </is>
      </c>
      <c r="C396" t="inlineStr">
        <is>
          <t>Föryngringsavverkning</t>
        </is>
      </c>
      <c r="D396" s="1" t="n">
        <v>46150</v>
      </c>
      <c r="E396" s="1" t="n">
        <v>46278</v>
      </c>
      <c r="F396" t="inlineStr">
        <is>
          <t>DALARNAS LÄN</t>
        </is>
      </c>
      <c r="G396" t="inlineStr">
        <is>
          <t>ORSA</t>
        </is>
      </c>
      <c r="H396" t="inlineStr">
        <is>
          <t>Allmännings- och besparingsskogar</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58686-2025</t>
        </is>
      </c>
      <c r="B397" t="inlineStr">
        <is>
          <t>avverkningsanmälan</t>
        </is>
      </c>
      <c r="C397" t="inlineStr">
        <is>
          <t>Föryngringsavverkning</t>
        </is>
      </c>
      <c r="D397" s="1" t="n">
        <v>45986</v>
      </c>
      <c r="E397" s="1" t="n">
        <v>46278</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15657-2026</t>
        </is>
      </c>
      <c r="B398" t="inlineStr">
        <is>
          <t>avverkningsanmälan</t>
        </is>
      </c>
      <c r="C398" t="inlineStr">
        <is>
          <t>Föryngringsavverkning</t>
        </is>
      </c>
      <c r="D398" s="1" t="n">
        <v>46106</v>
      </c>
      <c r="E398" s="1" t="n">
        <v>46278</v>
      </c>
      <c r="F398" t="inlineStr">
        <is>
          <t>DALARNAS LÄN</t>
        </is>
      </c>
      <c r="G398" t="inlineStr">
        <is>
          <t>ORSA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37981-2024</t>
        </is>
      </c>
      <c r="B399" t="inlineStr">
        <is>
          <t>avverkningsanmälan</t>
        </is>
      </c>
      <c r="C399" t="inlineStr">
        <is>
          <t>Avverkning för annat ändamål</t>
        </is>
      </c>
      <c r="D399" s="1" t="n">
        <v>45544</v>
      </c>
      <c r="E399" s="1" t="n">
        <v>46278</v>
      </c>
      <c r="F399" t="inlineStr">
        <is>
          <t>DALARNAS LÄN</t>
        </is>
      </c>
      <c r="G399" t="inlineStr">
        <is>
          <t>ORSA</t>
        </is>
      </c>
      <c r="H399" t="inlineStr">
        <is>
          <t>Allmännings- och besparingsskogar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13209-2022</t>
        </is>
      </c>
      <c r="B400" t="inlineStr">
        <is>
          <t>avverkningsanmälan</t>
        </is>
      </c>
      <c r="C400" t="inlineStr">
        <is>
          <t>Föryngringsavverkning</t>
        </is>
      </c>
      <c r="D400" s="1" t="n">
        <v>44644</v>
      </c>
      <c r="E400" s="1" t="n">
        <v>46278</v>
      </c>
      <c r="F400" t="inlineStr">
        <is>
          <t>DALARNAS LÄN</t>
        </is>
      </c>
      <c r="G400" t="inlineStr">
        <is>
          <t>ORSA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22497-2026</t>
        </is>
      </c>
      <c r="B401" t="inlineStr">
        <is>
          <t>avverkningsanmälan</t>
        </is>
      </c>
      <c r="C401" t="inlineStr">
        <is>
          <t>Föryngringsavverkning</t>
        </is>
      </c>
      <c r="D401" s="1" t="n">
        <v>46154</v>
      </c>
      <c r="E401" s="1" t="n">
        <v>46278</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12704-2022</t>
        </is>
      </c>
      <c r="B402" t="inlineStr">
        <is>
          <t>avverkningsanmälan</t>
        </is>
      </c>
      <c r="C402" t="inlineStr">
        <is>
          <t>Föryngringsavverkning</t>
        </is>
      </c>
      <c r="D402" s="1" t="n">
        <v>44641</v>
      </c>
      <c r="E402" s="1" t="n">
        <v>46278</v>
      </c>
      <c r="F402" t="inlineStr">
        <is>
          <t>DALARNAS LÄN</t>
        </is>
      </c>
      <c r="G402" t="inlineStr">
        <is>
          <t>ORSA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22615-2026</t>
        </is>
      </c>
      <c r="B403" t="inlineStr">
        <is>
          <t>avverkningsanmälan</t>
        </is>
      </c>
      <c r="C403" t="inlineStr">
        <is>
          <t>Föryngringsavverkning</t>
        </is>
      </c>
      <c r="D403" s="1" t="n">
        <v>46155</v>
      </c>
      <c r="E403" s="1" t="n">
        <v>46278</v>
      </c>
      <c r="F403" t="inlineStr">
        <is>
          <t>DALARNAS LÄN</t>
        </is>
      </c>
      <c r="G403" t="inlineStr">
        <is>
          <t>ORSA</t>
        </is>
      </c>
      <c r="H403" t="inlineStr">
        <is>
          <t>Bergvik skog öst AB</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37770-2023</t>
        </is>
      </c>
      <c r="B404" t="inlineStr">
        <is>
          <t>avverkningsanmälan</t>
        </is>
      </c>
      <c r="C404" t="inlineStr">
        <is>
          <t>Föryngringsavverkning</t>
        </is>
      </c>
      <c r="D404" s="1" t="n">
        <v>45159</v>
      </c>
      <c r="E404" s="1" t="n">
        <v>46278</v>
      </c>
      <c r="F404" t="inlineStr">
        <is>
          <t>DALARNAS LÄN</t>
        </is>
      </c>
      <c r="G404" t="inlineStr">
        <is>
          <t>ORSA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23339-2024</t>
        </is>
      </c>
      <c r="B405" t="inlineStr">
        <is>
          <t>avverkningsanmälan</t>
        </is>
      </c>
      <c r="C405" t="inlineStr">
        <is>
          <t>Föryngringsavverkning</t>
        </is>
      </c>
      <c r="D405" s="1" t="n">
        <v>45453</v>
      </c>
      <c r="E405" s="1" t="n">
        <v>46278</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22515-2026</t>
        </is>
      </c>
      <c r="B406" t="inlineStr">
        <is>
          <t>avverkningsanmälan</t>
        </is>
      </c>
      <c r="C406" t="inlineStr">
        <is>
          <t>Föryngringsavverkning</t>
        </is>
      </c>
      <c r="D406" s="1" t="n">
        <v>46155</v>
      </c>
      <c r="E406" s="1" t="n">
        <v>46278</v>
      </c>
      <c r="F406" t="inlineStr">
        <is>
          <t>DALARNAS LÄN</t>
        </is>
      </c>
      <c r="G406" t="inlineStr">
        <is>
          <t>ORSA</t>
        </is>
      </c>
      <c r="H406" t="inlineStr">
        <is>
          <t>Bergvik skog öst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22590-2026</t>
        </is>
      </c>
      <c r="B407" t="inlineStr">
        <is>
          <t>avverkningsanmälan</t>
        </is>
      </c>
      <c r="C407" t="inlineStr">
        <is>
          <t>Föryngringsavverkning</t>
        </is>
      </c>
      <c r="D407" s="1" t="n">
        <v>46155</v>
      </c>
      <c r="E407" s="1" t="n">
        <v>46278</v>
      </c>
      <c r="F407" t="inlineStr">
        <is>
          <t>DALARNAS LÄN</t>
        </is>
      </c>
      <c r="G407" t="inlineStr">
        <is>
          <t>ORSA</t>
        </is>
      </c>
      <c r="H407" t="inlineStr">
        <is>
          <t>Bergvik skog öst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22728-2026</t>
        </is>
      </c>
      <c r="B408" t="inlineStr">
        <is>
          <t>avverkningsanmälan</t>
        </is>
      </c>
      <c r="C408" t="inlineStr">
        <is>
          <t>Föryngringsavverkning</t>
        </is>
      </c>
      <c r="D408" s="1" t="n">
        <v>46157</v>
      </c>
      <c r="E408" s="1" t="n">
        <v>46278</v>
      </c>
      <c r="F408" t="inlineStr">
        <is>
          <t>DALARNAS LÄN</t>
        </is>
      </c>
      <c r="G408" t="inlineStr">
        <is>
          <t>ORSA</t>
        </is>
      </c>
      <c r="H408" t="inlineStr">
        <is>
          <t>Allmännings- och besparingsskogar</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22829-2026</t>
        </is>
      </c>
      <c r="B409" t="inlineStr">
        <is>
          <t>avverkningsanmälan</t>
        </is>
      </c>
      <c r="C409" t="inlineStr">
        <is>
          <t>Föryngringsavverkning</t>
        </is>
      </c>
      <c r="D409" s="1" t="n">
        <v>46160</v>
      </c>
      <c r="E409" s="1" t="n">
        <v>46278</v>
      </c>
      <c r="F409" t="inlineStr">
        <is>
          <t>DALARNAS LÄN</t>
        </is>
      </c>
      <c r="G409" t="inlineStr">
        <is>
          <t>ORSA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56803-2024</t>
        </is>
      </c>
      <c r="B410" t="inlineStr">
        <is>
          <t>avverkningsanmälan</t>
        </is>
      </c>
      <c r="C410" t="inlineStr">
        <is>
          <t>Föryngringsavverkning</t>
        </is>
      </c>
      <c r="D410" s="1" t="n">
        <v>45628</v>
      </c>
      <c r="E410" s="1" t="n">
        <v>46278</v>
      </c>
      <c r="F410" t="inlineStr">
        <is>
          <t>DALARNAS LÄN</t>
        </is>
      </c>
      <c r="G410" t="inlineStr">
        <is>
          <t>ORSA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23058-2026</t>
        </is>
      </c>
      <c r="B411" t="inlineStr">
        <is>
          <t>avverkningsanmälan</t>
        </is>
      </c>
      <c r="C411" t="inlineStr">
        <is>
          <t>Föryngringsavverkning</t>
        </is>
      </c>
      <c r="D411" s="1" t="n">
        <v>46161</v>
      </c>
      <c r="E411" s="1" t="n">
        <v>46278</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23582-2026</t>
        </is>
      </c>
      <c r="B412" t="inlineStr">
        <is>
          <t>avverkningsanmälan</t>
        </is>
      </c>
      <c r="C412" t="inlineStr">
        <is>
          <t>Föryngringsavverkning</t>
        </is>
      </c>
      <c r="D412" s="1" t="n">
        <v>46163</v>
      </c>
      <c r="E412" s="1" t="n">
        <v>46278</v>
      </c>
      <c r="F412" t="inlineStr">
        <is>
          <t>DALARNAS LÄN</t>
        </is>
      </c>
      <c r="G412" t="inlineStr">
        <is>
          <t>ORSA</t>
        </is>
      </c>
      <c r="H412" t="inlineStr">
        <is>
          <t>Bergvik skog öst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53717-2024</t>
        </is>
      </c>
      <c r="B413" t="inlineStr">
        <is>
          <t>avverkningsanmälan</t>
        </is>
      </c>
      <c r="C413" t="inlineStr">
        <is>
          <t>Föryngringsavverkning</t>
        </is>
      </c>
      <c r="D413" s="1" t="n">
        <v>45615</v>
      </c>
      <c r="E413" s="1" t="n">
        <v>46278</v>
      </c>
      <c r="F413" t="inlineStr">
        <is>
          <t>DALARNAS LÄN</t>
        </is>
      </c>
      <c r="G413" t="inlineStr">
        <is>
          <t>ORSA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23709-2026</t>
        </is>
      </c>
      <c r="B414" t="inlineStr">
        <is>
          <t>avverkningsanmälan</t>
        </is>
      </c>
      <c r="C414" t="inlineStr">
        <is>
          <t>Föryngringsavverkning</t>
        </is>
      </c>
      <c r="D414" s="1" t="n">
        <v>46164</v>
      </c>
      <c r="E414" s="1" t="n">
        <v>46278</v>
      </c>
      <c r="F414" t="inlineStr">
        <is>
          <t>DALARNAS LÄN</t>
        </is>
      </c>
      <c r="G414" t="inlineStr">
        <is>
          <t>ORSA</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23712-2026</t>
        </is>
      </c>
      <c r="B415" t="inlineStr">
        <is>
          <t>avverkningsanmälan</t>
        </is>
      </c>
      <c r="C415" t="inlineStr">
        <is>
          <t>Föryngringsavverkning</t>
        </is>
      </c>
      <c r="D415" s="1" t="n">
        <v>46164</v>
      </c>
      <c r="E415" s="1" t="n">
        <v>46278</v>
      </c>
      <c r="F415" t="inlineStr">
        <is>
          <t>DALARNAS LÄN</t>
        </is>
      </c>
      <c r="G415" t="inlineStr">
        <is>
          <t>ORSA</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25172-2022</t>
        </is>
      </c>
      <c r="B416" t="inlineStr">
        <is>
          <t>avverkningsanmälan</t>
        </is>
      </c>
      <c r="C416" t="inlineStr">
        <is>
          <t>Föryngringsavverkning</t>
        </is>
      </c>
      <c r="D416" s="1" t="n">
        <v>44729</v>
      </c>
      <c r="E416" s="1" t="n">
        <v>46278</v>
      </c>
      <c r="F416" t="inlineStr">
        <is>
          <t>DALARNAS LÄN</t>
        </is>
      </c>
      <c r="G416" t="inlineStr">
        <is>
          <t>ORSA</t>
        </is>
      </c>
      <c r="H416" t="inlineStr">
        <is>
          <t>Bergvik skog öst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986-2025</t>
        </is>
      </c>
      <c r="B417" t="inlineStr">
        <is>
          <t>avverkningsanmälan</t>
        </is>
      </c>
      <c r="C417" t="inlineStr">
        <is>
          <t>Föryngringsavverkning</t>
        </is>
      </c>
      <c r="D417" s="1" t="n">
        <v>45666</v>
      </c>
      <c r="E417" s="1" t="n">
        <v>46278</v>
      </c>
      <c r="F417" t="inlineStr">
        <is>
          <t>DALARNAS LÄN</t>
        </is>
      </c>
      <c r="G417" t="inlineStr">
        <is>
          <t>ORSA</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23746-2026</t>
        </is>
      </c>
      <c r="B418" t="inlineStr">
        <is>
          <t>avverkningsanmälan</t>
        </is>
      </c>
      <c r="C418" t="inlineStr">
        <is>
          <t>Föryngringsavverkning</t>
        </is>
      </c>
      <c r="D418" s="1" t="n">
        <v>46164</v>
      </c>
      <c r="E418" s="1" t="n">
        <v>46278</v>
      </c>
      <c r="F418" t="inlineStr">
        <is>
          <t>DALARNAS LÄN</t>
        </is>
      </c>
      <c r="G418" t="inlineStr">
        <is>
          <t>ORSA</t>
        </is>
      </c>
      <c r="H418" t="inlineStr">
        <is>
          <t>Bergvik skog öst AB</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23583-2026</t>
        </is>
      </c>
      <c r="B419" t="inlineStr">
        <is>
          <t>avverkningsanmälan</t>
        </is>
      </c>
      <c r="C419" t="inlineStr">
        <is>
          <t>Föryngringsavverkning</t>
        </is>
      </c>
      <c r="D419" s="1" t="n">
        <v>46163</v>
      </c>
      <c r="E419" s="1" t="n">
        <v>46278</v>
      </c>
      <c r="F419" t="inlineStr">
        <is>
          <t>DALARNAS LÄN</t>
        </is>
      </c>
      <c r="G419" t="inlineStr">
        <is>
          <t>ORSA</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23985-2026</t>
        </is>
      </c>
      <c r="B420" t="inlineStr">
        <is>
          <t>avverkningsanmälan</t>
        </is>
      </c>
      <c r="C420" t="inlineStr">
        <is>
          <t>Föryngringsavverkning</t>
        </is>
      </c>
      <c r="D420" s="1" t="n">
        <v>46167</v>
      </c>
      <c r="E420" s="1" t="n">
        <v>46278</v>
      </c>
      <c r="F420" t="inlineStr">
        <is>
          <t>DALARNAS LÄN</t>
        </is>
      </c>
      <c r="G420" t="inlineStr">
        <is>
          <t>ORSA</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30458-2023</t>
        </is>
      </c>
      <c r="B421" t="inlineStr">
        <is>
          <t>avverkningsanmälan</t>
        </is>
      </c>
      <c r="C421" t="inlineStr">
        <is>
          <t>Föryngringsavverkning</t>
        </is>
      </c>
      <c r="D421" s="1" t="n">
        <v>45111</v>
      </c>
      <c r="E421" s="1" t="n">
        <v>46278</v>
      </c>
      <c r="F421" t="inlineStr">
        <is>
          <t>DALARNAS LÄN</t>
        </is>
      </c>
      <c r="G421" t="inlineStr">
        <is>
          <t>ORSA</t>
        </is>
      </c>
      <c r="H421" t="inlineStr">
        <is>
          <t>Bergvik skog öst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42238-2023</t>
        </is>
      </c>
      <c r="B422" t="inlineStr">
        <is>
          <t>avverkningsanmälan</t>
        </is>
      </c>
      <c r="C422" t="inlineStr">
        <is>
          <t>Föryngringsavverkning</t>
        </is>
      </c>
      <c r="D422" s="1" t="n">
        <v>45180</v>
      </c>
      <c r="E422" s="1" t="n">
        <v>46278</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4738-2025</t>
        </is>
      </c>
      <c r="B423" t="inlineStr">
        <is>
          <t>avverkningsanmälan</t>
        </is>
      </c>
      <c r="C423" t="inlineStr">
        <is>
          <t>Avverkning för annat ändamål</t>
        </is>
      </c>
      <c r="D423" s="1" t="n">
        <v>45688</v>
      </c>
      <c r="E423" s="1" t="n">
        <v>46278</v>
      </c>
      <c r="F423" t="inlineStr">
        <is>
          <t>DALARNAS LÄN</t>
        </is>
      </c>
      <c r="G423" t="inlineStr">
        <is>
          <t>ORSA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23981-2026</t>
        </is>
      </c>
      <c r="B424" t="inlineStr">
        <is>
          <t>avverkningsanmälan</t>
        </is>
      </c>
      <c r="C424" t="inlineStr">
        <is>
          <t>Föryngringsavverkning</t>
        </is>
      </c>
      <c r="D424" s="1" t="n">
        <v>46167</v>
      </c>
      <c r="E424" s="1" t="n">
        <v>46278</v>
      </c>
      <c r="F424" t="inlineStr">
        <is>
          <t>DALARNAS LÄN</t>
        </is>
      </c>
      <c r="G424" t="inlineStr">
        <is>
          <t>ORSA</t>
        </is>
      </c>
      <c r="H424" t="inlineStr">
        <is>
          <t>Bergvik skog öst AB</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7534-2025</t>
        </is>
      </c>
      <c r="B425" t="inlineStr">
        <is>
          <t>avverkningsanmälan</t>
        </is>
      </c>
      <c r="C425" t="inlineStr">
        <is>
          <t>Föryngringsavverkning</t>
        </is>
      </c>
      <c r="D425" s="1" t="n">
        <v>45705</v>
      </c>
      <c r="E425" s="1" t="n">
        <v>46278</v>
      </c>
      <c r="F425" t="inlineStr">
        <is>
          <t>DALARNAS LÄN</t>
        </is>
      </c>
      <c r="G425" t="inlineStr">
        <is>
          <t>ORSA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31026-2023</t>
        </is>
      </c>
      <c r="B426" t="inlineStr">
        <is>
          <t>avverkningsanmälan</t>
        </is>
      </c>
      <c r="C426" t="inlineStr">
        <is>
          <t>Föryngringsavverkning</t>
        </is>
      </c>
      <c r="D426" s="1" t="n">
        <v>45113</v>
      </c>
      <c r="E426" s="1" t="n">
        <v>46278</v>
      </c>
      <c r="F426" t="inlineStr">
        <is>
          <t>DALARNAS LÄN</t>
        </is>
      </c>
      <c r="G426" t="inlineStr">
        <is>
          <t>ORSA</t>
        </is>
      </c>
      <c r="H426" t="inlineStr">
        <is>
          <t>Bergvik skog öst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24722-2026</t>
        </is>
      </c>
      <c r="B427" t="inlineStr">
        <is>
          <t>avverkningsanmälan</t>
        </is>
      </c>
      <c r="C427" t="inlineStr">
        <is>
          <t>Föryngringsavverkning</t>
        </is>
      </c>
      <c r="D427" s="1" t="n">
        <v>46171</v>
      </c>
      <c r="E427" s="1" t="n">
        <v>46278</v>
      </c>
      <c r="F427" t="inlineStr">
        <is>
          <t>DALARNAS LÄN</t>
        </is>
      </c>
      <c r="G427" t="inlineStr">
        <is>
          <t>ORSA</t>
        </is>
      </c>
      <c r="H427" t="inlineStr">
        <is>
          <t>Allmännings- och besparingsskogar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63371-2023</t>
        </is>
      </c>
      <c r="B428" t="inlineStr">
        <is>
          <t>avverkningsanmälan</t>
        </is>
      </c>
      <c r="C428" t="inlineStr">
        <is>
          <t>Föryngringsavverkning</t>
        </is>
      </c>
      <c r="D428" s="1" t="n">
        <v>45274</v>
      </c>
      <c r="E428" s="1" t="n">
        <v>46278</v>
      </c>
      <c r="F428" t="inlineStr">
        <is>
          <t>DALARNAS LÄN</t>
        </is>
      </c>
      <c r="G428" t="inlineStr">
        <is>
          <t>ORSA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22022-2022</t>
        </is>
      </c>
      <c r="B429" t="inlineStr">
        <is>
          <t>avverkningsanmälan</t>
        </is>
      </c>
      <c r="C429" t="inlineStr">
        <is>
          <t>Föryngringsavverkning</t>
        </is>
      </c>
      <c r="D429" s="1" t="n">
        <v>44711</v>
      </c>
      <c r="E429" s="1" t="n">
        <v>46278</v>
      </c>
      <c r="F429" t="inlineStr">
        <is>
          <t>DALARNAS LÄN</t>
        </is>
      </c>
      <c r="G429" t="inlineStr">
        <is>
          <t>ORSA</t>
        </is>
      </c>
      <c r="H429" t="inlineStr">
        <is>
          <t>Bergvik skog öst AB</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24994-2026</t>
        </is>
      </c>
      <c r="B430" t="inlineStr">
        <is>
          <t>avverkningsanmälan</t>
        </is>
      </c>
      <c r="C430" t="inlineStr">
        <is>
          <t>Föryngringsavverkning</t>
        </is>
      </c>
      <c r="D430" s="1" t="n">
        <v>46174</v>
      </c>
      <c r="E430" s="1" t="n">
        <v>46278</v>
      </c>
      <c r="F430" t="inlineStr">
        <is>
          <t>DALARNAS LÄN</t>
        </is>
      </c>
      <c r="G430" t="inlineStr">
        <is>
          <t>ORSA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24858-2026</t>
        </is>
      </c>
      <c r="B431" t="inlineStr">
        <is>
          <t>avverkningsanmälan</t>
        </is>
      </c>
      <c r="C431" t="inlineStr">
        <is>
          <t>Föryngringsavverkning</t>
        </is>
      </c>
      <c r="D431" s="1" t="n">
        <v>46174</v>
      </c>
      <c r="E431" s="1" t="n">
        <v>46278</v>
      </c>
      <c r="F431" t="inlineStr">
        <is>
          <t>DALARNAS LÄN</t>
        </is>
      </c>
      <c r="G431" t="inlineStr">
        <is>
          <t>ORSA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51563-2023</t>
        </is>
      </c>
      <c r="B432" t="inlineStr">
        <is>
          <t>avverkningsanmälan</t>
        </is>
      </c>
      <c r="C432" t="inlineStr">
        <is>
          <t>Föryngringsavverkning</t>
        </is>
      </c>
      <c r="D432" s="1" t="n">
        <v>45222</v>
      </c>
      <c r="E432" s="1" t="n">
        <v>46278</v>
      </c>
      <c r="F432" t="inlineStr">
        <is>
          <t>DALARNAS LÄN</t>
        </is>
      </c>
      <c r="G432" t="inlineStr">
        <is>
          <t>ORSA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24895-2026</t>
        </is>
      </c>
      <c r="B433" t="inlineStr">
        <is>
          <t>avverkningsanmälan</t>
        </is>
      </c>
      <c r="C433" t="inlineStr">
        <is>
          <t>Föryngringsavverkning</t>
        </is>
      </c>
      <c r="D433" s="1" t="n">
        <v>46174</v>
      </c>
      <c r="E433" s="1" t="n">
        <v>46278</v>
      </c>
      <c r="F433" t="inlineStr">
        <is>
          <t>DALARNAS LÄN</t>
        </is>
      </c>
      <c r="G433" t="inlineStr">
        <is>
          <t>ORSA</t>
        </is>
      </c>
      <c r="H433" t="inlineStr">
        <is>
          <t>Allmännings- och besparingsskogar</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25576-2026</t>
        </is>
      </c>
      <c r="B434" t="inlineStr">
        <is>
          <t>avverkningsanmälan</t>
        </is>
      </c>
      <c r="C434" t="inlineStr">
        <is>
          <t>Föryngringsavverkning</t>
        </is>
      </c>
      <c r="D434" s="1" t="n">
        <v>46177</v>
      </c>
      <c r="E434" s="1" t="n">
        <v>46278</v>
      </c>
      <c r="F434" t="inlineStr">
        <is>
          <t>DALARNAS LÄN</t>
        </is>
      </c>
      <c r="G434" t="inlineStr">
        <is>
          <t>ORSA</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47564-2023</t>
        </is>
      </c>
      <c r="B435" t="inlineStr">
        <is>
          <t>avverkningsanmälan</t>
        </is>
      </c>
      <c r="C435" t="inlineStr">
        <is>
          <t>Föryngringsavverkning</t>
        </is>
      </c>
      <c r="D435" s="1" t="n">
        <v>45203</v>
      </c>
      <c r="E435" s="1" t="n">
        <v>46278</v>
      </c>
      <c r="F435" t="inlineStr">
        <is>
          <t>DALARNAS LÄN</t>
        </is>
      </c>
      <c r="G435" t="inlineStr">
        <is>
          <t>ORSA</t>
        </is>
      </c>
      <c r="H435" t="inlineStr">
        <is>
          <t>Allmännings- och besparingsskogar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16224-2026</t>
        </is>
      </c>
      <c r="B436" t="inlineStr">
        <is>
          <t>avverkningsanmälan</t>
        </is>
      </c>
      <c r="C436" t="inlineStr">
        <is>
          <t>Föryngringsavverkning</t>
        </is>
      </c>
      <c r="D436" s="1" t="n">
        <v>46111</v>
      </c>
      <c r="E436" s="1" t="n">
        <v>46278</v>
      </c>
      <c r="F436" t="inlineStr">
        <is>
          <t>DALARNAS LÄN</t>
        </is>
      </c>
      <c r="G436" t="inlineStr">
        <is>
          <t>ORSA</t>
        </is>
      </c>
      <c r="H436" t="inlineStr">
        <is>
          <t>Bergvik skog öst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597-2024</t>
        </is>
      </c>
      <c r="B437" t="inlineStr">
        <is>
          <t>avverkningsanmälan</t>
        </is>
      </c>
      <c r="C437" t="inlineStr">
        <is>
          <t>Föryngringsavverkning</t>
        </is>
      </c>
      <c r="D437" s="1" t="n">
        <v>45299</v>
      </c>
      <c r="E437" s="1" t="n">
        <v>46278</v>
      </c>
      <c r="F437" t="inlineStr">
        <is>
          <t>DALARNAS LÄN</t>
        </is>
      </c>
      <c r="G437" t="inlineStr">
        <is>
          <t>ORSA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53229-2023</t>
        </is>
      </c>
      <c r="B438" t="inlineStr">
        <is>
          <t>avverkningsanmälan</t>
        </is>
      </c>
      <c r="C438" t="inlineStr">
        <is>
          <t>Föryngringsavverkning</t>
        </is>
      </c>
      <c r="D438" s="1" t="n">
        <v>45229</v>
      </c>
      <c r="E438" s="1" t="n">
        <v>46278</v>
      </c>
      <c r="F438" t="inlineStr">
        <is>
          <t>DALARNAS LÄN</t>
        </is>
      </c>
      <c r="G438" t="inlineStr">
        <is>
          <t>ORSA</t>
        </is>
      </c>
      <c r="H438" t="inlineStr">
        <is>
          <t>Allmännings- och besparingsskogar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55538-2023</t>
        </is>
      </c>
      <c r="B439" t="inlineStr">
        <is>
          <t>avverkningsanmälan</t>
        </is>
      </c>
      <c r="C439" t="inlineStr">
        <is>
          <t>Föryngringsavverkning</t>
        </is>
      </c>
      <c r="D439" s="1" t="n">
        <v>45238</v>
      </c>
      <c r="E439" s="1" t="n">
        <v>46278</v>
      </c>
      <c r="F439" t="inlineStr">
        <is>
          <t>DALARNAS LÄN</t>
        </is>
      </c>
      <c r="G439" t="inlineStr">
        <is>
          <t>ORSA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16285-2026</t>
        </is>
      </c>
      <c r="B440" t="inlineStr">
        <is>
          <t>avverkningsanmälan</t>
        </is>
      </c>
      <c r="C440" t="inlineStr">
        <is>
          <t>Föryngringsavverkning</t>
        </is>
      </c>
      <c r="D440" s="1" t="n">
        <v>46111</v>
      </c>
      <c r="E440" s="1" t="n">
        <v>46278</v>
      </c>
      <c r="F440" t="inlineStr">
        <is>
          <t>DALARNAS LÄN</t>
        </is>
      </c>
      <c r="G440" t="inlineStr">
        <is>
          <t>ORSA</t>
        </is>
      </c>
      <c r="H440" t="inlineStr">
        <is>
          <t>Bergvik skog öst AB</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15113-2025</t>
        </is>
      </c>
      <c r="B441" t="inlineStr">
        <is>
          <t>avverkningsanmälan</t>
        </is>
      </c>
      <c r="C441" t="inlineStr">
        <is>
          <t>Föryngringsavverkning</t>
        </is>
      </c>
      <c r="D441" s="1" t="n">
        <v>45744</v>
      </c>
      <c r="E441" s="1" t="n">
        <v>46278</v>
      </c>
      <c r="F441" t="inlineStr">
        <is>
          <t>DALARNAS LÄN</t>
        </is>
      </c>
      <c r="G441" t="inlineStr">
        <is>
          <t>ORSA</t>
        </is>
      </c>
      <c r="H441" t="inlineStr">
        <is>
          <t>Allmännings- och besparingsskogar</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16302-2026</t>
        </is>
      </c>
      <c r="B442" t="inlineStr">
        <is>
          <t>avverkningsanmälan</t>
        </is>
      </c>
      <c r="C442" t="inlineStr">
        <is>
          <t>Föryngringsavverkning</t>
        </is>
      </c>
      <c r="D442" s="1" t="n">
        <v>46111</v>
      </c>
      <c r="E442" s="1" t="n">
        <v>46278</v>
      </c>
      <c r="F442" t="inlineStr">
        <is>
          <t>DALARNAS LÄN</t>
        </is>
      </c>
      <c r="G442" t="inlineStr">
        <is>
          <t>ORSA</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25712-2026</t>
        </is>
      </c>
      <c r="B443" t="inlineStr">
        <is>
          <t>avverkningsanmälan</t>
        </is>
      </c>
      <c r="C443" t="inlineStr">
        <is>
          <t>Avverkning för annat ändamål</t>
        </is>
      </c>
      <c r="D443" s="1" t="n">
        <v>46178</v>
      </c>
      <c r="E443" s="1" t="n">
        <v>46278</v>
      </c>
      <c r="F443" t="inlineStr">
        <is>
          <t>DALARNAS LÄN</t>
        </is>
      </c>
      <c r="G443" t="inlineStr">
        <is>
          <t>ORSA</t>
        </is>
      </c>
      <c r="H443" t="inlineStr">
        <is>
          <t>Allmännings- och besparingsskogar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1624-2024</t>
        </is>
      </c>
      <c r="B444" t="inlineStr">
        <is>
          <t>avverkningsanmälan</t>
        </is>
      </c>
      <c r="C444" t="inlineStr">
        <is>
          <t>Föryngringsavverkning</t>
        </is>
      </c>
      <c r="D444" s="1" t="n">
        <v>45306</v>
      </c>
      <c r="E444" s="1" t="n">
        <v>46278</v>
      </c>
      <c r="F444" t="inlineStr">
        <is>
          <t>DALARNAS LÄN</t>
        </is>
      </c>
      <c r="G444" t="inlineStr">
        <is>
          <t>ORSA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19505-2022</t>
        </is>
      </c>
      <c r="B445" t="inlineStr">
        <is>
          <t>avverkningsanmälan</t>
        </is>
      </c>
      <c r="C445" t="inlineStr">
        <is>
          <t>Föryngringsavverkning</t>
        </is>
      </c>
      <c r="D445" s="1" t="n">
        <v>44693</v>
      </c>
      <c r="E445" s="1" t="n">
        <v>46278</v>
      </c>
      <c r="F445" t="inlineStr">
        <is>
          <t>DALARNAS LÄN</t>
        </is>
      </c>
      <c r="G445" t="inlineStr">
        <is>
          <t>ORSA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14814-2026</t>
        </is>
      </c>
      <c r="B446" t="inlineStr">
        <is>
          <t>avverkningsanmälan</t>
        </is>
      </c>
      <c r="C446" t="inlineStr">
        <is>
          <t>Föryngringsavverkning</t>
        </is>
      </c>
      <c r="D446" s="1" t="n">
        <v>46104</v>
      </c>
      <c r="E446" s="1" t="n">
        <v>46278</v>
      </c>
      <c r="F446" t="inlineStr">
        <is>
          <t>DALARNAS LÄN</t>
        </is>
      </c>
      <c r="G446" t="inlineStr">
        <is>
          <t>ORSA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26201-2026</t>
        </is>
      </c>
      <c r="B447" t="inlineStr">
        <is>
          <t>avverkningsanmälan</t>
        </is>
      </c>
      <c r="C447" t="inlineStr">
        <is>
          <t>Föryngringsavverkning</t>
        </is>
      </c>
      <c r="D447" s="1" t="n">
        <v>46182</v>
      </c>
      <c r="E447" s="1" t="n">
        <v>46278</v>
      </c>
      <c r="F447" t="inlineStr">
        <is>
          <t>DALARNAS LÄN</t>
        </is>
      </c>
      <c r="G447" t="inlineStr">
        <is>
          <t>ORSA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27803-2026</t>
        </is>
      </c>
      <c r="B448" t="inlineStr">
        <is>
          <t>avverkningsanmälan</t>
        </is>
      </c>
      <c r="C448" t="inlineStr">
        <is>
          <t>Föryngringsavverkning</t>
        </is>
      </c>
      <c r="D448" s="1" t="n">
        <v>46189</v>
      </c>
      <c r="E448" s="1" t="n">
        <v>46278</v>
      </c>
      <c r="F448" t="inlineStr">
        <is>
          <t>DALARNAS LÄN</t>
        </is>
      </c>
      <c r="G448" t="inlineStr">
        <is>
          <t>ORSA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47732-2022</t>
        </is>
      </c>
      <c r="B449" t="inlineStr">
        <is>
          <t>avverkningsanmälan</t>
        </is>
      </c>
      <c r="C449" t="inlineStr">
        <is>
          <t>Föryngringsavverkning</t>
        </is>
      </c>
      <c r="D449" s="1" t="n">
        <v>44854</v>
      </c>
      <c r="E449" s="1" t="n">
        <v>46278</v>
      </c>
      <c r="F449" t="inlineStr">
        <is>
          <t>DALARNAS LÄN</t>
        </is>
      </c>
      <c r="G449" t="inlineStr">
        <is>
          <t>ORSA</t>
        </is>
      </c>
      <c r="H449" t="inlineStr">
        <is>
          <t>Bergvik skog öst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27511-2026</t>
        </is>
      </c>
      <c r="B450" t="inlineStr">
        <is>
          <t>avverkningsanmälan</t>
        </is>
      </c>
      <c r="C450" t="inlineStr">
        <is>
          <t>Föryngringsavverkning</t>
        </is>
      </c>
      <c r="D450" s="1" t="n">
        <v>46189</v>
      </c>
      <c r="E450" s="1" t="n">
        <v>46278</v>
      </c>
      <c r="F450" t="inlineStr">
        <is>
          <t>DALARNAS LÄN</t>
        </is>
      </c>
      <c r="G450" t="inlineStr">
        <is>
          <t>ORSA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27531-2026</t>
        </is>
      </c>
      <c r="B451" t="inlineStr">
        <is>
          <t>avverkningsanmälan</t>
        </is>
      </c>
      <c r="C451" t="inlineStr">
        <is>
          <t>Föryngringsavverkning</t>
        </is>
      </c>
      <c r="D451" s="1" t="n">
        <v>46189</v>
      </c>
      <c r="E451" s="1" t="n">
        <v>46278</v>
      </c>
      <c r="F451" t="inlineStr">
        <is>
          <t>DALARNAS LÄN</t>
        </is>
      </c>
      <c r="G451" t="inlineStr">
        <is>
          <t>ORSA</t>
        </is>
      </c>
      <c r="H451" t="inlineStr">
        <is>
          <t>Allmännings- och besparingsskogar</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61279-2023</t>
        </is>
      </c>
      <c r="B452" t="inlineStr">
        <is>
          <t>avverkningsanmälan</t>
        </is>
      </c>
      <c r="C452" t="inlineStr">
        <is>
          <t>Föryngringsavverkning</t>
        </is>
      </c>
      <c r="D452" s="1" t="n">
        <v>45264</v>
      </c>
      <c r="E452" s="1" t="n">
        <v>46278</v>
      </c>
      <c r="F452" t="inlineStr">
        <is>
          <t>DALARNAS LÄN</t>
        </is>
      </c>
      <c r="G452" t="inlineStr">
        <is>
          <t>ORSA</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23461-2023</t>
        </is>
      </c>
      <c r="B453" t="inlineStr">
        <is>
          <t>avverkningsanmälan</t>
        </is>
      </c>
      <c r="C453" t="inlineStr">
        <is>
          <t>Föryngringsavverkning</t>
        </is>
      </c>
      <c r="D453" s="1" t="n">
        <v>45076</v>
      </c>
      <c r="E453" s="1" t="n">
        <v>46278</v>
      </c>
      <c r="F453" t="inlineStr">
        <is>
          <t>DALARNAS LÄN</t>
        </is>
      </c>
      <c r="G453" t="inlineStr">
        <is>
          <t>ORSA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18037-2023</t>
        </is>
      </c>
      <c r="B454" t="inlineStr">
        <is>
          <t>avverkningsanmälan</t>
        </is>
      </c>
      <c r="C454" t="inlineStr">
        <is>
          <t>Föryngringsavverkning</t>
        </is>
      </c>
      <c r="D454" s="1" t="n">
        <v>45040</v>
      </c>
      <c r="E454" s="1" t="n">
        <v>46278</v>
      </c>
      <c r="F454" t="inlineStr">
        <is>
          <t>DALARNAS LÄN</t>
        </is>
      </c>
      <c r="G454" t="inlineStr">
        <is>
          <t>ORSA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27141-2026</t>
        </is>
      </c>
      <c r="B455" t="inlineStr">
        <is>
          <t>avverkningsanmälan</t>
        </is>
      </c>
      <c r="C455" t="inlineStr">
        <is>
          <t>Föryngringsavverkning</t>
        </is>
      </c>
      <c r="D455" s="1" t="n">
        <v>46188</v>
      </c>
      <c r="E455" s="1" t="n">
        <v>46278</v>
      </c>
      <c r="F455" t="inlineStr">
        <is>
          <t>DALARNAS LÄN</t>
        </is>
      </c>
      <c r="G455" t="inlineStr">
        <is>
          <t>ORSA</t>
        </is>
      </c>
      <c r="H455" t="inlineStr">
        <is>
          <t>Bergvik skog öst AB</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15114-2025</t>
        </is>
      </c>
      <c r="B456" t="inlineStr">
        <is>
          <t>avverkningsanmälan</t>
        </is>
      </c>
      <c r="C456" t="inlineStr">
        <is>
          <t>Föryngringsavverkning</t>
        </is>
      </c>
      <c r="D456" s="1" t="n">
        <v>45744</v>
      </c>
      <c r="E456" s="1" t="n">
        <v>46278</v>
      </c>
      <c r="F456" t="inlineStr">
        <is>
          <t>DALARNAS LÄN</t>
        </is>
      </c>
      <c r="G456" t="inlineStr">
        <is>
          <t>ORSA</t>
        </is>
      </c>
      <c r="H456" t="inlineStr">
        <is>
          <t>Allmännings- och besparingsskogar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27602-2026</t>
        </is>
      </c>
      <c r="B457" t="inlineStr">
        <is>
          <t>avverkningsanmälan</t>
        </is>
      </c>
      <c r="C457" t="inlineStr">
        <is>
          <t>Föryngringsavverkning</t>
        </is>
      </c>
      <c r="D457" s="1" t="n">
        <v>46190</v>
      </c>
      <c r="E457" s="1" t="n">
        <v>46278</v>
      </c>
      <c r="F457" t="inlineStr">
        <is>
          <t>DALARNAS LÄN</t>
        </is>
      </c>
      <c r="G457" t="inlineStr">
        <is>
          <t>ORSA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27644-2026</t>
        </is>
      </c>
      <c r="B458" t="inlineStr">
        <is>
          <t>avverkningsanmälan</t>
        </is>
      </c>
      <c r="C458" t="inlineStr">
        <is>
          <t>Föryngringsavverkning</t>
        </is>
      </c>
      <c r="D458" s="1" t="n">
        <v>46190</v>
      </c>
      <c r="E458" s="1" t="n">
        <v>46278</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27603-2026</t>
        </is>
      </c>
      <c r="B459" t="inlineStr">
        <is>
          <t>avverkningsanmälan</t>
        </is>
      </c>
      <c r="C459" t="inlineStr">
        <is>
          <t>Föryngringsavverkning</t>
        </is>
      </c>
      <c r="D459" s="1" t="n">
        <v>46190</v>
      </c>
      <c r="E459" s="1" t="n">
        <v>46278</v>
      </c>
      <c r="F459" t="inlineStr">
        <is>
          <t>DALARNAS LÄN</t>
        </is>
      </c>
      <c r="G459" t="inlineStr">
        <is>
          <t>ORSA</t>
        </is>
      </c>
      <c r="H459" t="inlineStr">
        <is>
          <t>Allmännings- och besparingsskogar</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63917-2023</t>
        </is>
      </c>
      <c r="B460" t="inlineStr">
        <is>
          <t>avverkningsanmälan</t>
        </is>
      </c>
      <c r="C460" t="inlineStr">
        <is>
          <t>Föryngringsavverkning</t>
        </is>
      </c>
      <c r="D460" s="1" t="n">
        <v>45278</v>
      </c>
      <c r="E460" s="1" t="n">
        <v>46278</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52912-2023</t>
        </is>
      </c>
      <c r="B461" t="inlineStr">
        <is>
          <t>avverkningsanmälan</t>
        </is>
      </c>
      <c r="C461" t="inlineStr">
        <is>
          <t>Föryngringsavverkning</t>
        </is>
      </c>
      <c r="D461" s="1" t="n">
        <v>45226</v>
      </c>
      <c r="E461" s="1" t="n">
        <v>46278</v>
      </c>
      <c r="F461" t="inlineStr">
        <is>
          <t>DALARNAS LÄN</t>
        </is>
      </c>
      <c r="G461" t="inlineStr">
        <is>
          <t>ORSA</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10832-2022</t>
        </is>
      </c>
      <c r="B462" t="inlineStr">
        <is>
          <t>avverkningsanmälan</t>
        </is>
      </c>
      <c r="C462" t="inlineStr">
        <is>
          <t>Föryngringsavverkning</t>
        </is>
      </c>
      <c r="D462" s="1" t="n">
        <v>44627</v>
      </c>
      <c r="E462" s="1" t="n">
        <v>46278</v>
      </c>
      <c r="F462" t="inlineStr">
        <is>
          <t>DALARNAS LÄN</t>
        </is>
      </c>
      <c r="G462" t="inlineStr">
        <is>
          <t>ORSA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32270-2026</t>
        </is>
      </c>
      <c r="B463" t="inlineStr">
        <is>
          <t>avverkningsanmälan</t>
        </is>
      </c>
      <c r="C463" t="inlineStr">
        <is>
          <t>Föryngringsavverkning</t>
        </is>
      </c>
      <c r="D463" s="1" t="n">
        <v>46237</v>
      </c>
      <c r="E463" s="1" t="n">
        <v>46278</v>
      </c>
      <c r="F463" t="inlineStr">
        <is>
          <t>DALARNAS LÄN</t>
        </is>
      </c>
      <c r="G463" t="inlineStr">
        <is>
          <t>ORSA</t>
        </is>
      </c>
      <c r="H463" t="inlineStr">
        <is>
          <t>Bergvik skog öst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10359-2023</t>
        </is>
      </c>
      <c r="B464" t="inlineStr">
        <is>
          <t>avverkningsanmälan</t>
        </is>
      </c>
      <c r="C464" t="inlineStr">
        <is>
          <t>Föryngringsavverkning</t>
        </is>
      </c>
      <c r="D464" s="1" t="n">
        <v>44987</v>
      </c>
      <c r="E464" s="1" t="n">
        <v>46278</v>
      </c>
      <c r="F464" t="inlineStr">
        <is>
          <t>DALARNAS LÄN</t>
        </is>
      </c>
      <c r="G464" t="inlineStr">
        <is>
          <t>ORSA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49270-2024</t>
        </is>
      </c>
      <c r="B465" t="inlineStr">
        <is>
          <t>avverkningsanmälan</t>
        </is>
      </c>
      <c r="C465" t="inlineStr">
        <is>
          <t>Föryngringsavverkning</t>
        </is>
      </c>
      <c r="D465" s="1" t="n">
        <v>45595</v>
      </c>
      <c r="E465" s="1" t="n">
        <v>46278</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28343-2026</t>
        </is>
      </c>
      <c r="B466" t="inlineStr">
        <is>
          <t>avverkningsanmälan</t>
        </is>
      </c>
      <c r="C466" t="inlineStr">
        <is>
          <t>Föryngringsavverkning</t>
        </is>
      </c>
      <c r="D466" s="1" t="n">
        <v>46196</v>
      </c>
      <c r="E466" s="1" t="n">
        <v>46278</v>
      </c>
      <c r="F466" t="inlineStr">
        <is>
          <t>DALARNAS LÄN</t>
        </is>
      </c>
      <c r="G466" t="inlineStr">
        <is>
          <t>ORSA</t>
        </is>
      </c>
      <c r="H466" t="inlineStr">
        <is>
          <t>Allmännings- och besparingsskogar</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56810-2024</t>
        </is>
      </c>
      <c r="B467" t="inlineStr">
        <is>
          <t>avverkningsanmälan</t>
        </is>
      </c>
      <c r="C467" t="inlineStr">
        <is>
          <t>Föryngringsavverkning</t>
        </is>
      </c>
      <c r="D467" s="1" t="n">
        <v>45628</v>
      </c>
      <c r="E467" s="1" t="n">
        <v>46278</v>
      </c>
      <c r="F467" t="inlineStr">
        <is>
          <t>DALARNAS LÄN</t>
        </is>
      </c>
      <c r="G467" t="inlineStr">
        <is>
          <t>ORSA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56811-2024</t>
        </is>
      </c>
      <c r="B468" t="inlineStr">
        <is>
          <t>avverkningsanmälan</t>
        </is>
      </c>
      <c r="C468" t="inlineStr">
        <is>
          <t>Föryngringsavverkning</t>
        </is>
      </c>
      <c r="D468" s="1" t="n">
        <v>45628</v>
      </c>
      <c r="E468" s="1" t="n">
        <v>46278</v>
      </c>
      <c r="F468" t="inlineStr">
        <is>
          <t>DALARNAS LÄN</t>
        </is>
      </c>
      <c r="G468" t="inlineStr">
        <is>
          <t>ORSA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3168-2024</t>
        </is>
      </c>
      <c r="B469" t="inlineStr">
        <is>
          <t>avverkningsanmälan</t>
        </is>
      </c>
      <c r="C469" t="inlineStr">
        <is>
          <t>Föryngringsavverkning</t>
        </is>
      </c>
      <c r="D469" s="1" t="n">
        <v>45316</v>
      </c>
      <c r="E469" s="1" t="n">
        <v>46278</v>
      </c>
      <c r="F469" t="inlineStr">
        <is>
          <t>DALARNAS LÄN</t>
        </is>
      </c>
      <c r="G469" t="inlineStr">
        <is>
          <t>ORSA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28342-2026</t>
        </is>
      </c>
      <c r="B470" t="inlineStr">
        <is>
          <t>avverkningsanmälan</t>
        </is>
      </c>
      <c r="C470" t="inlineStr">
        <is>
          <t>Föryngringsavverkning</t>
        </is>
      </c>
      <c r="D470" s="1" t="n">
        <v>46196</v>
      </c>
      <c r="E470" s="1" t="n">
        <v>46278</v>
      </c>
      <c r="F470" t="inlineStr">
        <is>
          <t>DALARNAS LÄN</t>
        </is>
      </c>
      <c r="G470" t="inlineStr">
        <is>
          <t>ORSA</t>
        </is>
      </c>
      <c r="H470" t="inlineStr">
        <is>
          <t>Allmännings- och besparingsskogar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32995-2026</t>
        </is>
      </c>
      <c r="B471" t="inlineStr">
        <is>
          <t>avverkningsanmälan</t>
        </is>
      </c>
      <c r="C471" t="inlineStr">
        <is>
          <t>Föryngringsavverkning</t>
        </is>
      </c>
      <c r="D471" s="1" t="n">
        <v>46244</v>
      </c>
      <c r="E471" s="1" t="n">
        <v>46278</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50905-2021</t>
        </is>
      </c>
      <c r="B472" t="inlineStr">
        <is>
          <t>avverkningsanmälan</t>
        </is>
      </c>
      <c r="C472" t="inlineStr">
        <is>
          <t>Föryngringsavverkning</t>
        </is>
      </c>
      <c r="D472" s="1" t="n">
        <v>44460</v>
      </c>
      <c r="E472" s="1" t="n">
        <v>46278</v>
      </c>
      <c r="F472" t="inlineStr">
        <is>
          <t>DALARNAS LÄN</t>
        </is>
      </c>
      <c r="G472" t="inlineStr">
        <is>
          <t>ORSA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72310-2021</t>
        </is>
      </c>
      <c r="B473" t="inlineStr">
        <is>
          <t>avverkningsanmälan</t>
        </is>
      </c>
      <c r="C473" t="inlineStr">
        <is>
          <t>Föryngringsavverkning</t>
        </is>
      </c>
      <c r="D473" s="1" t="n">
        <v>44545</v>
      </c>
      <c r="E473" s="1" t="n">
        <v>46278</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28807-2026</t>
        </is>
      </c>
      <c r="B474" t="inlineStr">
        <is>
          <t>avverkningsanmälan</t>
        </is>
      </c>
      <c r="C474" t="inlineStr">
        <is>
          <t>Föryngringsavverkning</t>
        </is>
      </c>
      <c r="D474" s="1" t="n">
        <v>46198</v>
      </c>
      <c r="E474" s="1" t="n">
        <v>46278</v>
      </c>
      <c r="F474" t="inlineStr">
        <is>
          <t>DALARNAS LÄN</t>
        </is>
      </c>
      <c r="G474" t="inlineStr">
        <is>
          <t>ORSA</t>
        </is>
      </c>
      <c r="H474" t="inlineStr">
        <is>
          <t>Allmännings- och besparingsskogar</t>
        </is>
      </c>
      <c r="I474" t="n">
        <v>13.9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32916-2026</t>
        </is>
      </c>
      <c r="B475" t="inlineStr">
        <is>
          <t>avverkningsanmälan</t>
        </is>
      </c>
      <c r="C475" t="inlineStr">
        <is>
          <t>Föryngringsavverkning</t>
        </is>
      </c>
      <c r="D475" s="1" t="n">
        <v>46244</v>
      </c>
      <c r="E475" s="1" t="n">
        <v>46278</v>
      </c>
      <c r="F475" t="inlineStr">
        <is>
          <t>DALARNAS LÄN</t>
        </is>
      </c>
      <c r="G475" t="inlineStr">
        <is>
          <t>ORSA</t>
        </is>
      </c>
      <c r="H475" t="inlineStr">
        <is>
          <t>Allmännings- och besparingsskogar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34374-2024</t>
        </is>
      </c>
      <c r="B476" t="inlineStr">
        <is>
          <t>avverkningsanmälan</t>
        </is>
      </c>
      <c r="C476" t="inlineStr">
        <is>
          <t>Föryngringsavverkning</t>
        </is>
      </c>
      <c r="D476" s="1" t="n">
        <v>45525</v>
      </c>
      <c r="E476" s="1" t="n">
        <v>46278</v>
      </c>
      <c r="F476" t="inlineStr">
        <is>
          <t>DALARNAS LÄN</t>
        </is>
      </c>
      <c r="G476" t="inlineStr">
        <is>
          <t>ORSA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28954-2026</t>
        </is>
      </c>
      <c r="B477" t="inlineStr">
        <is>
          <t>avverkningsanmälan</t>
        </is>
      </c>
      <c r="C477" t="inlineStr">
        <is>
          <t>Föryngringsavverkning</t>
        </is>
      </c>
      <c r="D477" s="1" t="n">
        <v>46199</v>
      </c>
      <c r="E477" s="1" t="n">
        <v>46278</v>
      </c>
      <c r="F477" t="inlineStr">
        <is>
          <t>DALARNAS LÄN</t>
        </is>
      </c>
      <c r="G477" t="inlineStr">
        <is>
          <t>ORSA</t>
        </is>
      </c>
      <c r="H477" t="inlineStr">
        <is>
          <t>Bergvik skog öst AB</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21216-2023</t>
        </is>
      </c>
      <c r="B478" t="inlineStr">
        <is>
          <t>avverkningsanmälan</t>
        </is>
      </c>
      <c r="C478" t="inlineStr">
        <is>
          <t>Föryngringsavverkning</t>
        </is>
      </c>
      <c r="D478" s="1" t="n">
        <v>45062</v>
      </c>
      <c r="E478" s="1" t="n">
        <v>46278</v>
      </c>
      <c r="F478" t="inlineStr">
        <is>
          <t>DALARNAS LÄN</t>
        </is>
      </c>
      <c r="G478" t="inlineStr">
        <is>
          <t>ORSA</t>
        </is>
      </c>
      <c r="H478" t="inlineStr">
        <is>
          <t>Bergvik skog öst AB</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29466-2026</t>
        </is>
      </c>
      <c r="B479" t="inlineStr">
        <is>
          <t>avverkningsanmälan</t>
        </is>
      </c>
      <c r="C479" t="inlineStr">
        <is>
          <t>Föryngringsavverkning</t>
        </is>
      </c>
      <c r="D479" s="1" t="n">
        <v>46203</v>
      </c>
      <c r="E479" s="1" t="n">
        <v>46278</v>
      </c>
      <c r="F479" t="inlineStr">
        <is>
          <t>DALARNAS LÄN</t>
        </is>
      </c>
      <c r="G479" t="inlineStr">
        <is>
          <t>ORSA</t>
        </is>
      </c>
      <c r="H479" t="inlineStr">
        <is>
          <t>Bergvik skog öst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10374-2023</t>
        </is>
      </c>
      <c r="B480" t="inlineStr">
        <is>
          <t>avverkningsanmälan</t>
        </is>
      </c>
      <c r="C480" t="inlineStr">
        <is>
          <t>Föryngringsavverkning</t>
        </is>
      </c>
      <c r="D480" s="1" t="n">
        <v>44987</v>
      </c>
      <c r="E480" s="1" t="n">
        <v>46278</v>
      </c>
      <c r="F480" t="inlineStr">
        <is>
          <t>DALARNAS LÄN</t>
        </is>
      </c>
      <c r="G480" t="inlineStr">
        <is>
          <t>ORSA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55691-2022</t>
        </is>
      </c>
      <c r="B481" t="inlineStr">
        <is>
          <t>avverkningsanmälan</t>
        </is>
      </c>
      <c r="C481" t="inlineStr">
        <is>
          <t>Föryngringsavverkning</t>
        </is>
      </c>
      <c r="D481" s="1" t="n">
        <v>44888</v>
      </c>
      <c r="E481" s="1" t="n">
        <v>46278</v>
      </c>
      <c r="F481" t="inlineStr">
        <is>
          <t>DALARNAS LÄN</t>
        </is>
      </c>
      <c r="G481" t="inlineStr">
        <is>
          <t>ORSA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29470-2026</t>
        </is>
      </c>
      <c r="B482" t="inlineStr">
        <is>
          <t>avverkningsanmälan</t>
        </is>
      </c>
      <c r="C482" t="inlineStr">
        <is>
          <t>Föryngringsavverkning</t>
        </is>
      </c>
      <c r="D482" s="1" t="n">
        <v>46203</v>
      </c>
      <c r="E482" s="1" t="n">
        <v>46278</v>
      </c>
      <c r="F482" t="inlineStr">
        <is>
          <t>DALARNAS LÄN</t>
        </is>
      </c>
      <c r="G482" t="inlineStr">
        <is>
          <t>ORSA</t>
        </is>
      </c>
      <c r="H482" t="inlineStr">
        <is>
          <t>Bergvik skog öst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23235-2026</t>
        </is>
      </c>
      <c r="B483" t="inlineStr">
        <is>
          <t>avverkningsanmälan</t>
        </is>
      </c>
      <c r="C483" t="inlineStr">
        <is>
          <t>Avverkning för annat ändamål</t>
        </is>
      </c>
      <c r="D483" s="1" t="n">
        <v>46162</v>
      </c>
      <c r="E483" s="1" t="n">
        <v>46278</v>
      </c>
      <c r="F483" t="inlineStr">
        <is>
          <t>DALARNAS LÄN</t>
        </is>
      </c>
      <c r="G483" t="inlineStr">
        <is>
          <t>ORSA</t>
        </is>
      </c>
      <c r="H483" t="inlineStr">
        <is>
          <t>Allmännings- och besparingsskogar</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3166-2024</t>
        </is>
      </c>
      <c r="B484" t="inlineStr">
        <is>
          <t>avverkningsanmälan</t>
        </is>
      </c>
      <c r="C484" t="inlineStr">
        <is>
          <t>Föryngringsavverkning</t>
        </is>
      </c>
      <c r="D484" s="1" t="n">
        <v>45316</v>
      </c>
      <c r="E484" s="1" t="n">
        <v>46278</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29944-2026</t>
        </is>
      </c>
      <c r="B485" t="inlineStr">
        <is>
          <t>avverkningsanmälan</t>
        </is>
      </c>
      <c r="C485" t="inlineStr">
        <is>
          <t>Föryngringsavverkning</t>
        </is>
      </c>
      <c r="D485" s="1" t="n">
        <v>46205</v>
      </c>
      <c r="E485" s="1" t="n">
        <v>46278</v>
      </c>
      <c r="F485" t="inlineStr">
        <is>
          <t>DALARNAS LÄN</t>
        </is>
      </c>
      <c r="G485" t="inlineStr">
        <is>
          <t>ORSA</t>
        </is>
      </c>
      <c r="H485" t="inlineStr">
        <is>
          <t>Bergvik skog öst AB</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25591-2022</t>
        </is>
      </c>
      <c r="B486" t="inlineStr">
        <is>
          <t>avverkningsanmälan</t>
        </is>
      </c>
      <c r="C486" t="inlineStr">
        <is>
          <t>Föryngringsavverkning</t>
        </is>
      </c>
      <c r="D486" s="1" t="n">
        <v>44732</v>
      </c>
      <c r="E486" s="1" t="n">
        <v>46278</v>
      </c>
      <c r="F486" t="inlineStr">
        <is>
          <t>DALARNAS LÄN</t>
        </is>
      </c>
      <c r="G486" t="inlineStr">
        <is>
          <t>ORSA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29711-2026</t>
        </is>
      </c>
      <c r="B487" t="inlineStr">
        <is>
          <t>avverkningsanmälan</t>
        </is>
      </c>
      <c r="C487" t="inlineStr">
        <is>
          <t>Föryngringsavverkning</t>
        </is>
      </c>
      <c r="D487" s="1" t="n">
        <v>46204</v>
      </c>
      <c r="E487" s="1" t="n">
        <v>46278</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33598-2026</t>
        </is>
      </c>
      <c r="B488" t="inlineStr">
        <is>
          <t>avverkningsanmälan</t>
        </is>
      </c>
      <c r="C488" t="inlineStr">
        <is>
          <t>Föryngringsavverkning</t>
        </is>
      </c>
      <c r="D488" s="1" t="n">
        <v>46248</v>
      </c>
      <c r="E488" s="1" t="n">
        <v>46278</v>
      </c>
      <c r="F488" t="inlineStr">
        <is>
          <t>DALARNAS LÄN</t>
        </is>
      </c>
      <c r="G488" t="inlineStr">
        <is>
          <t>ORSA</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30065-2026</t>
        </is>
      </c>
      <c r="B489" t="inlineStr">
        <is>
          <t>avverkningsanmälan</t>
        </is>
      </c>
      <c r="C489" t="inlineStr">
        <is>
          <t>Föryngringsavverkning</t>
        </is>
      </c>
      <c r="D489" s="1" t="n">
        <v>46206</v>
      </c>
      <c r="E489" s="1" t="n">
        <v>46278</v>
      </c>
      <c r="F489" t="inlineStr">
        <is>
          <t>DALARNAS LÄN</t>
        </is>
      </c>
      <c r="G489" t="inlineStr">
        <is>
          <t>ORSA</t>
        </is>
      </c>
      <c r="H489" t="inlineStr">
        <is>
          <t>Bergvik skog öst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3951-2023</t>
        </is>
      </c>
      <c r="B490" t="inlineStr">
        <is>
          <t>avverkningsanmälan</t>
        </is>
      </c>
      <c r="C490" t="inlineStr">
        <is>
          <t>Föryngringsavverkning</t>
        </is>
      </c>
      <c r="D490" s="1" t="n">
        <v>44952</v>
      </c>
      <c r="E490" s="1" t="n">
        <v>46278</v>
      </c>
      <c r="F490" t="inlineStr">
        <is>
          <t>DALARNAS LÄN</t>
        </is>
      </c>
      <c r="G490" t="inlineStr">
        <is>
          <t>ORSA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30177-2026</t>
        </is>
      </c>
      <c r="B491" t="inlineStr">
        <is>
          <t>avverkningsanmälan</t>
        </is>
      </c>
      <c r="C491" t="inlineStr">
        <is>
          <t>Föryngringsavverkning</t>
        </is>
      </c>
      <c r="D491" s="1" t="n">
        <v>46206</v>
      </c>
      <c r="E491" s="1" t="n">
        <v>46278</v>
      </c>
      <c r="F491" t="inlineStr">
        <is>
          <t>DALARNAS LÄN</t>
        </is>
      </c>
      <c r="G491" t="inlineStr">
        <is>
          <t>ORSA</t>
        </is>
      </c>
      <c r="H491" t="inlineStr">
        <is>
          <t>Bergvik skog öst AB</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56942-2024</t>
        </is>
      </c>
      <c r="B492" t="inlineStr">
        <is>
          <t>avverkningsanmälan</t>
        </is>
      </c>
      <c r="C492" t="inlineStr">
        <is>
          <t>Föryngringsavverkning</t>
        </is>
      </c>
      <c r="D492" s="1" t="n">
        <v>45628</v>
      </c>
      <c r="E492" s="1" t="n">
        <v>46278</v>
      </c>
      <c r="F492" t="inlineStr">
        <is>
          <t>DALARNAS LÄN</t>
        </is>
      </c>
      <c r="G492" t="inlineStr">
        <is>
          <t>ORSA</t>
        </is>
      </c>
      <c r="H492" t="inlineStr">
        <is>
          <t>Bergvik skog öst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30138-2026</t>
        </is>
      </c>
      <c r="B493" t="inlineStr">
        <is>
          <t>avverkningsanmälan</t>
        </is>
      </c>
      <c r="C493" t="inlineStr">
        <is>
          <t>Avverkning för annat ändamål</t>
        </is>
      </c>
      <c r="D493" s="1" t="n">
        <v>46206</v>
      </c>
      <c r="E493" s="1" t="n">
        <v>46278</v>
      </c>
      <c r="F493" t="inlineStr">
        <is>
          <t>DALARNAS LÄN</t>
        </is>
      </c>
      <c r="G493" t="inlineStr">
        <is>
          <t>ORSA</t>
        </is>
      </c>
      <c r="H493" t="inlineStr">
        <is>
          <t>Allmännings- och besparingsskogar</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30070-2026</t>
        </is>
      </c>
      <c r="B494" t="inlineStr">
        <is>
          <t>avverkningsanmälan</t>
        </is>
      </c>
      <c r="C494" t="inlineStr">
        <is>
          <t>Föryngringsavverkning</t>
        </is>
      </c>
      <c r="D494" s="1" t="n">
        <v>46206</v>
      </c>
      <c r="E494" s="1" t="n">
        <v>46278</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3107-2025</t>
        </is>
      </c>
      <c r="B495" t="inlineStr">
        <is>
          <t>avverkningsanmälan</t>
        </is>
      </c>
      <c r="C495" t="inlineStr">
        <is>
          <t>Föryngringsavverkning</t>
        </is>
      </c>
      <c r="D495" s="1" t="n">
        <v>45678</v>
      </c>
      <c r="E495" s="1" t="n">
        <v>46278</v>
      </c>
      <c r="F495" t="inlineStr">
        <is>
          <t>DALARNAS LÄN</t>
        </is>
      </c>
      <c r="G495" t="inlineStr">
        <is>
          <t>ORSA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30264-2026</t>
        </is>
      </c>
      <c r="B496" t="inlineStr">
        <is>
          <t>avverkningsanmälan</t>
        </is>
      </c>
      <c r="C496" t="inlineStr">
        <is>
          <t>Föryngringsavverkning</t>
        </is>
      </c>
      <c r="D496" s="1" t="n">
        <v>46206</v>
      </c>
      <c r="E496" s="1" t="n">
        <v>46278</v>
      </c>
      <c r="F496" t="inlineStr">
        <is>
          <t>DALARNAS LÄN</t>
        </is>
      </c>
      <c r="G496" t="inlineStr">
        <is>
          <t>ORSA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21905-2022</t>
        </is>
      </c>
      <c r="B497" t="inlineStr">
        <is>
          <t>avverkningsanmälan</t>
        </is>
      </c>
      <c r="C497" t="inlineStr">
        <is>
          <t>Föryngringsavverkning</t>
        </is>
      </c>
      <c r="D497" s="1" t="n">
        <v>44711</v>
      </c>
      <c r="E497" s="1" t="n">
        <v>46278</v>
      </c>
      <c r="F497" t="inlineStr">
        <is>
          <t>DALARNAS LÄN</t>
        </is>
      </c>
      <c r="G497" t="inlineStr">
        <is>
          <t>ORSA</t>
        </is>
      </c>
      <c r="H497" t="inlineStr">
        <is>
          <t>Allmännings- och besparingsskogar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50742-2023</t>
        </is>
      </c>
      <c r="B498" t="inlineStr">
        <is>
          <t>avverkningsanmälan</t>
        </is>
      </c>
      <c r="C498" t="inlineStr">
        <is>
          <t>Föryngringsavverkning</t>
        </is>
      </c>
      <c r="D498" s="1" t="n">
        <v>45217</v>
      </c>
      <c r="E498" s="1" t="n">
        <v>46278</v>
      </c>
      <c r="F498" t="inlineStr">
        <is>
          <t>DALARNAS LÄN</t>
        </is>
      </c>
      <c r="G498" t="inlineStr">
        <is>
          <t>ORSA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27163-2023</t>
        </is>
      </c>
      <c r="B499" t="inlineStr">
        <is>
          <t>avverkningsanmälan</t>
        </is>
      </c>
      <c r="C499" t="inlineStr">
        <is>
          <t>Föryngringsavverkning</t>
        </is>
      </c>
      <c r="D499" s="1" t="n">
        <v>45096</v>
      </c>
      <c r="E499" s="1" t="n">
        <v>46278</v>
      </c>
      <c r="F499" t="inlineStr">
        <is>
          <t>DALARNAS LÄN</t>
        </is>
      </c>
      <c r="G499" t="inlineStr">
        <is>
          <t>ORSA</t>
        </is>
      </c>
      <c r="H499" t="inlineStr">
        <is>
          <t>Bergvik skog öst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30677-2026</t>
        </is>
      </c>
      <c r="B500" t="inlineStr">
        <is>
          <t>avverkningsanmälan</t>
        </is>
      </c>
      <c r="C500" t="inlineStr">
        <is>
          <t>Föryngringsavverkning</t>
        </is>
      </c>
      <c r="D500" s="1" t="n">
        <v>46211</v>
      </c>
      <c r="E500" s="1" t="n">
        <v>46278</v>
      </c>
      <c r="F500" t="inlineStr">
        <is>
          <t>DALARNAS LÄN</t>
        </is>
      </c>
      <c r="G500" t="inlineStr">
        <is>
          <t>ORSA</t>
        </is>
      </c>
      <c r="H500" t="inlineStr">
        <is>
          <t>Bergvik skog öst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30688-2026</t>
        </is>
      </c>
      <c r="B501" t="inlineStr">
        <is>
          <t>avverkningsanmälan</t>
        </is>
      </c>
      <c r="C501" t="inlineStr">
        <is>
          <t>Föryngringsavverkning</t>
        </is>
      </c>
      <c r="D501" s="1" t="n">
        <v>46211</v>
      </c>
      <c r="E501" s="1" t="n">
        <v>46278</v>
      </c>
      <c r="F501" t="inlineStr">
        <is>
          <t>DALARNAS LÄN</t>
        </is>
      </c>
      <c r="G501" t="inlineStr">
        <is>
          <t>ORSA</t>
        </is>
      </c>
      <c r="H501" t="inlineStr">
        <is>
          <t>Bergvik skog öst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31688-2024</t>
        </is>
      </c>
      <c r="B502" t="inlineStr">
        <is>
          <t>avverkningsanmälan</t>
        </is>
      </c>
      <c r="C502" t="inlineStr">
        <is>
          <t>Föryngringsavverkning</t>
        </is>
      </c>
      <c r="D502" s="1" t="n">
        <v>45507</v>
      </c>
      <c r="E502" s="1" t="n">
        <v>46278</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34312-2026</t>
        </is>
      </c>
      <c r="B503" t="inlineStr">
        <is>
          <t>avverkningsanmälan</t>
        </is>
      </c>
      <c r="C503" t="inlineStr">
        <is>
          <t>Föryngringsavverkning</t>
        </is>
      </c>
      <c r="D503" s="1" t="n">
        <v>46254</v>
      </c>
      <c r="E503" s="1" t="n">
        <v>46278</v>
      </c>
      <c r="F503" t="inlineStr">
        <is>
          <t>DALARNAS LÄN</t>
        </is>
      </c>
      <c r="G503" t="inlineStr">
        <is>
          <t>ORSA</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30960-2026</t>
        </is>
      </c>
      <c r="B504" t="inlineStr">
        <is>
          <t>avverkningsanmälan</t>
        </is>
      </c>
      <c r="C504" t="inlineStr">
        <is>
          <t>Föryngringsavverkning</t>
        </is>
      </c>
      <c r="D504" s="1" t="n">
        <v>46213</v>
      </c>
      <c r="E504" s="1" t="n">
        <v>46278</v>
      </c>
      <c r="F504" t="inlineStr">
        <is>
          <t>DALARNAS LÄN</t>
        </is>
      </c>
      <c r="G504" t="inlineStr">
        <is>
          <t>ORSA</t>
        </is>
      </c>
      <c r="H504" t="inlineStr">
        <is>
          <t>Bergvik skog öst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30957-2026</t>
        </is>
      </c>
      <c r="B505" t="inlineStr">
        <is>
          <t>avverkningsanmälan</t>
        </is>
      </c>
      <c r="C505" t="inlineStr">
        <is>
          <t>Föryngringsavverkning</t>
        </is>
      </c>
      <c r="D505" s="1" t="n">
        <v>46213</v>
      </c>
      <c r="E505" s="1" t="n">
        <v>46278</v>
      </c>
      <c r="F505" t="inlineStr">
        <is>
          <t>DALARNAS LÄN</t>
        </is>
      </c>
      <c r="G505" t="inlineStr">
        <is>
          <t>ORSA</t>
        </is>
      </c>
      <c r="H505" t="inlineStr">
        <is>
          <t>Bergvik skog öst AB</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30998-2026</t>
        </is>
      </c>
      <c r="B506" t="inlineStr">
        <is>
          <t>avverkningsanmälan</t>
        </is>
      </c>
      <c r="C506" t="inlineStr">
        <is>
          <t>Föryngringsavverkning</t>
        </is>
      </c>
      <c r="D506" s="1" t="n">
        <v>46213</v>
      </c>
      <c r="E506" s="1" t="n">
        <v>46278</v>
      </c>
      <c r="F506" t="inlineStr">
        <is>
          <t>DALARNAS LÄN</t>
        </is>
      </c>
      <c r="G506" t="inlineStr">
        <is>
          <t>ORSA</t>
        </is>
      </c>
      <c r="H506" t="inlineStr">
        <is>
          <t>Allmännings- och besparingsskogar</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37647-2023</t>
        </is>
      </c>
      <c r="B507" t="inlineStr">
        <is>
          <t>avverkningsanmälan</t>
        </is>
      </c>
      <c r="C507" t="inlineStr">
        <is>
          <t>Föryngringsavverkning</t>
        </is>
      </c>
      <c r="D507" s="1" t="n">
        <v>45159</v>
      </c>
      <c r="E507" s="1" t="n">
        <v>46278</v>
      </c>
      <c r="F507" t="inlineStr">
        <is>
          <t>DALARNAS LÄN</t>
        </is>
      </c>
      <c r="G507" t="inlineStr">
        <is>
          <t>ORSA</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33673-2023</t>
        </is>
      </c>
      <c r="B508" t="inlineStr">
        <is>
          <t>avverkningsanmälan</t>
        </is>
      </c>
      <c r="C508" t="inlineStr">
        <is>
          <t>Föryngringsavverkning</t>
        </is>
      </c>
      <c r="D508" s="1" t="n">
        <v>45132</v>
      </c>
      <c r="E508" s="1" t="n">
        <v>46278</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35040-2026</t>
        </is>
      </c>
      <c r="B509" t="inlineStr">
        <is>
          <t>avverkningsanmälan</t>
        </is>
      </c>
      <c r="C509" t="inlineStr">
        <is>
          <t>Föryngringsavverkning</t>
        </is>
      </c>
      <c r="D509" s="1" t="n">
        <v>46259</v>
      </c>
      <c r="E509" s="1" t="n">
        <v>46278</v>
      </c>
      <c r="F509" t="inlineStr">
        <is>
          <t>DALARNAS LÄN</t>
        </is>
      </c>
      <c r="G509" t="inlineStr">
        <is>
          <t>ORSA</t>
        </is>
      </c>
      <c r="H509" t="inlineStr">
        <is>
          <t>Allmännings- och besparingsskogar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35940-2025</t>
        </is>
      </c>
      <c r="B510" t="inlineStr">
        <is>
          <t>avverkningsanmälan</t>
        </is>
      </c>
      <c r="C510" t="inlineStr">
        <is>
          <t>Föryngringsavverkning</t>
        </is>
      </c>
      <c r="D510" s="1" t="n">
        <v>45862</v>
      </c>
      <c r="E510" s="1" t="n">
        <v>46278</v>
      </c>
      <c r="F510" t="inlineStr">
        <is>
          <t>DALARNAS LÄN</t>
        </is>
      </c>
      <c r="G510" t="inlineStr">
        <is>
          <t>ORSA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35041-2026</t>
        </is>
      </c>
      <c r="B511" t="inlineStr">
        <is>
          <t>avverkningsanmälan</t>
        </is>
      </c>
      <c r="C511" t="inlineStr">
        <is>
          <t>Föryngringsavverkning</t>
        </is>
      </c>
      <c r="D511" s="1" t="n">
        <v>46259</v>
      </c>
      <c r="E511" s="1" t="n">
        <v>46278</v>
      </c>
      <c r="F511" t="inlineStr">
        <is>
          <t>DALARNAS LÄN</t>
        </is>
      </c>
      <c r="G511" t="inlineStr">
        <is>
          <t>ORSA</t>
        </is>
      </c>
      <c r="H511" t="inlineStr">
        <is>
          <t>Allmännings- och besparingsskogar</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35078-2026</t>
        </is>
      </c>
      <c r="B512" t="inlineStr">
        <is>
          <t>avverkningsanmälan</t>
        </is>
      </c>
      <c r="C512" t="inlineStr">
        <is>
          <t>Föryngringsavverkning</t>
        </is>
      </c>
      <c r="D512" s="1" t="n">
        <v>46259</v>
      </c>
      <c r="E512" s="1" t="n">
        <v>46278</v>
      </c>
      <c r="F512" t="inlineStr">
        <is>
          <t>DALARNAS LÄN</t>
        </is>
      </c>
      <c r="G512" t="inlineStr">
        <is>
          <t>ORSA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58853-2022</t>
        </is>
      </c>
      <c r="B513" t="inlineStr">
        <is>
          <t>avverkningsanmälan</t>
        </is>
      </c>
      <c r="C513" t="inlineStr">
        <is>
          <t>Föryngringsavverkning</t>
        </is>
      </c>
      <c r="D513" s="1" t="n">
        <v>44903</v>
      </c>
      <c r="E513" s="1" t="n">
        <v>46278</v>
      </c>
      <c r="F513" t="inlineStr">
        <is>
          <t>DALARNAS LÄN</t>
        </is>
      </c>
      <c r="G513" t="inlineStr">
        <is>
          <t>ORSA</t>
        </is>
      </c>
      <c r="H513" t="inlineStr">
        <is>
          <t>Bergvik skog öst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53758-2024</t>
        </is>
      </c>
      <c r="B514" t="inlineStr">
        <is>
          <t>avverkningsanmälan</t>
        </is>
      </c>
      <c r="C514" t="inlineStr">
        <is>
          <t>Föryngringsavverkning</t>
        </is>
      </c>
      <c r="D514" s="1" t="n">
        <v>45615</v>
      </c>
      <c r="E514" s="1" t="n">
        <v>46278</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53102-2021</t>
        </is>
      </c>
      <c r="B515" t="inlineStr">
        <is>
          <t>avverkningsanmälan</t>
        </is>
      </c>
      <c r="C515" t="inlineStr">
        <is>
          <t>Föryngringsavverkning</t>
        </is>
      </c>
      <c r="D515" s="1" t="n">
        <v>44467</v>
      </c>
      <c r="E515" s="1" t="n">
        <v>46278</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35307-2026</t>
        </is>
      </c>
      <c r="B516" t="inlineStr">
        <is>
          <t>avverkningsanmälan</t>
        </is>
      </c>
      <c r="C516" t="inlineStr">
        <is>
          <t>Föryngringsavverkning</t>
        </is>
      </c>
      <c r="D516" s="1" t="n">
        <v>46261</v>
      </c>
      <c r="E516" s="1" t="n">
        <v>46278</v>
      </c>
      <c r="F516" t="inlineStr">
        <is>
          <t>DALARNAS LÄN</t>
        </is>
      </c>
      <c r="G516" t="inlineStr">
        <is>
          <t>ORSA</t>
        </is>
      </c>
      <c r="H516" t="inlineStr">
        <is>
          <t>Bergvik skog öst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1304-2024</t>
        </is>
      </c>
      <c r="B517" t="inlineStr">
        <is>
          <t>avverkningsanmälan</t>
        </is>
      </c>
      <c r="C517" t="inlineStr">
        <is>
          <t>Föryngringsavverkning</t>
        </is>
      </c>
      <c r="D517" s="1" t="n">
        <v>45303</v>
      </c>
      <c r="E517" s="1" t="n">
        <v>46278</v>
      </c>
      <c r="F517" t="inlineStr">
        <is>
          <t>DALARNAS LÄN</t>
        </is>
      </c>
      <c r="G517" t="inlineStr">
        <is>
          <t>ORSA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35309-2026</t>
        </is>
      </c>
      <c r="B518" t="inlineStr">
        <is>
          <t>avverkningsanmälan</t>
        </is>
      </c>
      <c r="C518" t="inlineStr">
        <is>
          <t>Föryngringsavverkning</t>
        </is>
      </c>
      <c r="D518" s="1" t="n">
        <v>46261</v>
      </c>
      <c r="E518" s="1" t="n">
        <v>46278</v>
      </c>
      <c r="F518" t="inlineStr">
        <is>
          <t>DALARNAS LÄN</t>
        </is>
      </c>
      <c r="G518" t="inlineStr">
        <is>
          <t>ORSA</t>
        </is>
      </c>
      <c r="H518" t="inlineStr">
        <is>
          <t>Bergvik skog öst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35597-2026</t>
        </is>
      </c>
      <c r="B519" t="inlineStr">
        <is>
          <t>avverkningsanmälan</t>
        </is>
      </c>
      <c r="C519" t="inlineStr">
        <is>
          <t>Föryngringsavverkning</t>
        </is>
      </c>
      <c r="D519" s="1" t="n">
        <v>46262</v>
      </c>
      <c r="E519" s="1" t="n">
        <v>46278</v>
      </c>
      <c r="F519" t="inlineStr">
        <is>
          <t>DALARNAS LÄN</t>
        </is>
      </c>
      <c r="G519" t="inlineStr">
        <is>
          <t>ORSA</t>
        </is>
      </c>
      <c r="H519" t="inlineStr">
        <is>
          <t>Allmännings- och besparingsskogar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892-2024</t>
        </is>
      </c>
      <c r="B520" t="inlineStr">
        <is>
          <t>avverkningsanmälan</t>
        </is>
      </c>
      <c r="C520" t="inlineStr">
        <is>
          <t>Föryngringsavverkning</t>
        </is>
      </c>
      <c r="D520" s="1" t="n">
        <v>45301</v>
      </c>
      <c r="E520" s="1" t="n">
        <v>46278</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16777-2024</t>
        </is>
      </c>
      <c r="B521" t="inlineStr">
        <is>
          <t>avverkningsanmälan</t>
        </is>
      </c>
      <c r="C521" t="inlineStr">
        <is>
          <t>Föryngringsavverkning</t>
        </is>
      </c>
      <c r="D521" s="1" t="n">
        <v>45411</v>
      </c>
      <c r="E521" s="1" t="n">
        <v>46278</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48521-2024</t>
        </is>
      </c>
      <c r="B522" t="inlineStr">
        <is>
          <t>avverkningsanmälan</t>
        </is>
      </c>
      <c r="C522" t="inlineStr">
        <is>
          <t>Föryngringsavverkning</t>
        </is>
      </c>
      <c r="D522" s="1" t="n">
        <v>45593</v>
      </c>
      <c r="E522" s="1" t="n">
        <v>46278</v>
      </c>
      <c r="F522" t="inlineStr">
        <is>
          <t>DALARNAS LÄN</t>
        </is>
      </c>
      <c r="G522" t="inlineStr">
        <is>
          <t>ORSA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52643-2024</t>
        </is>
      </c>
      <c r="B523" t="inlineStr">
        <is>
          <t>avverkningsanmälan</t>
        </is>
      </c>
      <c r="C523" t="inlineStr">
        <is>
          <t>Föryngringsavverkning</t>
        </is>
      </c>
      <c r="D523" s="1" t="n">
        <v>45610</v>
      </c>
      <c r="E523" s="1" t="n">
        <v>46278</v>
      </c>
      <c r="F523" t="inlineStr">
        <is>
          <t>DALARNAS LÄN</t>
        </is>
      </c>
      <c r="G523" t="inlineStr">
        <is>
          <t>ORSA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35624-2026</t>
        </is>
      </c>
      <c r="B524" t="inlineStr">
        <is>
          <t>avverkningsanmälan</t>
        </is>
      </c>
      <c r="C524" t="inlineStr">
        <is>
          <t>Föryngringsavverkning</t>
        </is>
      </c>
      <c r="D524" s="1" t="n">
        <v>46265</v>
      </c>
      <c r="E524" s="1" t="n">
        <v>46278</v>
      </c>
      <c r="F524" t="inlineStr">
        <is>
          <t>DALARNAS LÄN</t>
        </is>
      </c>
      <c r="G524" t="inlineStr">
        <is>
          <t>ORSA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21301-2023</t>
        </is>
      </c>
      <c r="B525" t="inlineStr">
        <is>
          <t>avverkningsanmälan</t>
        </is>
      </c>
      <c r="C525" t="inlineStr">
        <is>
          <t>Föryngringsavverkning</t>
        </is>
      </c>
      <c r="D525" s="1" t="n">
        <v>45062</v>
      </c>
      <c r="E525" s="1" t="n">
        <v>46278</v>
      </c>
      <c r="F525" t="inlineStr">
        <is>
          <t>DALARNAS LÄN</t>
        </is>
      </c>
      <c r="G525" t="inlineStr">
        <is>
          <t>ORSA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31601-2026</t>
        </is>
      </c>
      <c r="B526" t="inlineStr">
        <is>
          <t>avverkningsanmälan</t>
        </is>
      </c>
      <c r="C526" t="inlineStr">
        <is>
          <t>Föryngringsavverkning</t>
        </is>
      </c>
      <c r="D526" s="1" t="n">
        <v>46224</v>
      </c>
      <c r="E526" s="1" t="n">
        <v>46278</v>
      </c>
      <c r="F526" t="inlineStr">
        <is>
          <t>DALARNAS LÄN</t>
        </is>
      </c>
      <c r="G526" t="inlineStr">
        <is>
          <t>ORSA</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56711-2021</t>
        </is>
      </c>
      <c r="B527" t="inlineStr">
        <is>
          <t>avverkningsanmälan</t>
        </is>
      </c>
      <c r="C527" t="inlineStr">
        <is>
          <t>Föryngringsavverkning</t>
        </is>
      </c>
      <c r="D527" s="1" t="n">
        <v>44481</v>
      </c>
      <c r="E527" s="1" t="n">
        <v>46278</v>
      </c>
      <c r="F527" t="inlineStr">
        <is>
          <t>DALARNAS LÄN</t>
        </is>
      </c>
      <c r="G527" t="inlineStr">
        <is>
          <t>ORSA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31590-2026</t>
        </is>
      </c>
      <c r="B528" t="inlineStr">
        <is>
          <t>avverkningsanmälan</t>
        </is>
      </c>
      <c r="C528" t="inlineStr">
        <is>
          <t>Föryngringsavverkning</t>
        </is>
      </c>
      <c r="D528" s="1" t="n">
        <v>46224</v>
      </c>
      <c r="E528" s="1" t="n">
        <v>46278</v>
      </c>
      <c r="F528" t="inlineStr">
        <is>
          <t>DALARNAS LÄN</t>
        </is>
      </c>
      <c r="G528" t="inlineStr">
        <is>
          <t>ORSA</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36237-2026</t>
        </is>
      </c>
      <c r="B529" t="inlineStr">
        <is>
          <t>avverkningsanmälan</t>
        </is>
      </c>
      <c r="C529" t="inlineStr">
        <is>
          <t>Föryngringsavverkning</t>
        </is>
      </c>
      <c r="D529" s="1" t="n">
        <v>46268</v>
      </c>
      <c r="E529" s="1" t="n">
        <v>46278</v>
      </c>
      <c r="F529" t="inlineStr">
        <is>
          <t>DALARNAS LÄN</t>
        </is>
      </c>
      <c r="G529" t="inlineStr">
        <is>
          <t>ORSA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36275-2026</t>
        </is>
      </c>
      <c r="B530" t="inlineStr">
        <is>
          <t>avverkningsanmälan</t>
        </is>
      </c>
      <c r="C530" t="inlineStr">
        <is>
          <t>Föryngringsavverkning</t>
        </is>
      </c>
      <c r="D530" s="1" t="n">
        <v>46268</v>
      </c>
      <c r="E530" s="1" t="n">
        <v>46278</v>
      </c>
      <c r="F530" t="inlineStr">
        <is>
          <t>DALARNAS LÄN</t>
        </is>
      </c>
      <c r="G530" t="inlineStr">
        <is>
          <t>ORSA</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36815-2026</t>
        </is>
      </c>
      <c r="B531" t="inlineStr">
        <is>
          <t>avverkningsanmälan</t>
        </is>
      </c>
      <c r="C531" t="inlineStr">
        <is>
          <t>Föryngringsavverkning</t>
        </is>
      </c>
      <c r="D531" s="1" t="n">
        <v>46272</v>
      </c>
      <c r="E531" s="1" t="n">
        <v>46278</v>
      </c>
      <c r="F531" t="inlineStr">
        <is>
          <t>DALARNAS LÄN</t>
        </is>
      </c>
      <c r="G531" t="inlineStr">
        <is>
          <t>ORSA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31702-2026</t>
        </is>
      </c>
      <c r="B532" t="inlineStr">
        <is>
          <t>avverkningsanmälan</t>
        </is>
      </c>
      <c r="C532" t="inlineStr">
        <is>
          <t>Föryngringsavverkning</t>
        </is>
      </c>
      <c r="D532" s="1" t="n">
        <v>46226</v>
      </c>
      <c r="E532" s="1" t="n">
        <v>46278</v>
      </c>
      <c r="F532" t="inlineStr">
        <is>
          <t>DALARNAS LÄN</t>
        </is>
      </c>
      <c r="G532" t="inlineStr">
        <is>
          <t>ORSA</t>
        </is>
      </c>
      <c r="H532" t="inlineStr">
        <is>
          <t>Bergvik skog öst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36311-2026</t>
        </is>
      </c>
      <c r="B533" t="inlineStr">
        <is>
          <t>avverkningsanmälan</t>
        </is>
      </c>
      <c r="C533" t="inlineStr">
        <is>
          <t>Föryngringsavverkning</t>
        </is>
      </c>
      <c r="D533" s="1" t="n">
        <v>46268</v>
      </c>
      <c r="E533" s="1" t="n">
        <v>46278</v>
      </c>
      <c r="F533" t="inlineStr">
        <is>
          <t>DALARNAS LÄN</t>
        </is>
      </c>
      <c r="G533" t="inlineStr">
        <is>
          <t>ORSA</t>
        </is>
      </c>
      <c r="H533" t="inlineStr">
        <is>
          <t>Allmännings- och besparingsskogar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36831-2026</t>
        </is>
      </c>
      <c r="B534" t="inlineStr">
        <is>
          <t>avverkningsanmälan</t>
        </is>
      </c>
      <c r="C534" t="inlineStr">
        <is>
          <t>Föryngringsavverkning</t>
        </is>
      </c>
      <c r="D534" s="1" t="n">
        <v>46272</v>
      </c>
      <c r="E534" s="1" t="n">
        <v>46278</v>
      </c>
      <c r="F534" t="inlineStr">
        <is>
          <t>DALARNAS LÄN</t>
        </is>
      </c>
      <c r="G534" t="inlineStr">
        <is>
          <t>ORSA</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31747-2026</t>
        </is>
      </c>
      <c r="B535" t="inlineStr">
        <is>
          <t>avverkningsanmälan</t>
        </is>
      </c>
      <c r="C535" t="inlineStr">
        <is>
          <t>Föryngringsavverkning</t>
        </is>
      </c>
      <c r="D535" s="1" t="n">
        <v>46227</v>
      </c>
      <c r="E535" s="1" t="n">
        <v>46278</v>
      </c>
      <c r="F535" t="inlineStr">
        <is>
          <t>DALARNAS LÄN</t>
        </is>
      </c>
      <c r="G535" t="inlineStr">
        <is>
          <t>ORSA</t>
        </is>
      </c>
      <c r="H535" t="inlineStr">
        <is>
          <t>Allmännings- och besparingsskogar</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48990-2023</t>
        </is>
      </c>
      <c r="B536" t="inlineStr">
        <is>
          <t>avverkningsanmälan</t>
        </is>
      </c>
      <c r="C536" t="inlineStr">
        <is>
          <t>Föryngringsavverkning</t>
        </is>
      </c>
      <c r="D536" s="1" t="n">
        <v>45209</v>
      </c>
      <c r="E536" s="1" t="n">
        <v>46278</v>
      </c>
      <c r="F536" t="inlineStr">
        <is>
          <t>DALARNAS LÄN</t>
        </is>
      </c>
      <c r="G536" t="inlineStr">
        <is>
          <t>ORSA</t>
        </is>
      </c>
      <c r="H536" t="inlineStr">
        <is>
          <t>Allmännings- och besparingsskogar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6492-2025</t>
        </is>
      </c>
      <c r="B537" t="inlineStr">
        <is>
          <t>avverkningsanmälan</t>
        </is>
      </c>
      <c r="C537" t="inlineStr">
        <is>
          <t>Föryngringsavverkning</t>
        </is>
      </c>
      <c r="D537" s="1" t="n">
        <v>45699</v>
      </c>
      <c r="E537" s="1" t="n">
        <v>46278</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13580-2025</t>
        </is>
      </c>
      <c r="B538" t="inlineStr">
        <is>
          <t>avverkningsanmälan</t>
        </is>
      </c>
      <c r="C538" t="inlineStr">
        <is>
          <t>Föryngringsavverkning</t>
        </is>
      </c>
      <c r="D538" s="1" t="n">
        <v>45736</v>
      </c>
      <c r="E538" s="1" t="n">
        <v>46278</v>
      </c>
      <c r="F538" t="inlineStr">
        <is>
          <t>DALARNAS LÄN</t>
        </is>
      </c>
      <c r="G538" t="inlineStr">
        <is>
          <t>ORSA</t>
        </is>
      </c>
      <c r="H538" t="inlineStr">
        <is>
          <t>Bergvik skog öst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37020-2026</t>
        </is>
      </c>
      <c r="B539" t="inlineStr">
        <is>
          <t>avverkningsanmälan</t>
        </is>
      </c>
      <c r="C539" t="inlineStr">
        <is>
          <t>Föryngringsavverkning</t>
        </is>
      </c>
      <c r="D539" s="1" t="n">
        <v>46273</v>
      </c>
      <c r="E539" s="1" t="n">
        <v>46278</v>
      </c>
      <c r="F539" t="inlineStr">
        <is>
          <t>DALARNAS LÄN</t>
        </is>
      </c>
      <c r="G539" t="inlineStr">
        <is>
          <t>ORSA</t>
        </is>
      </c>
      <c r="H539" t="inlineStr">
        <is>
          <t>Allmännings- och besparingsskogar</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51574-2023</t>
        </is>
      </c>
      <c r="B540" t="inlineStr">
        <is>
          <t>avverkningsanmälan</t>
        </is>
      </c>
      <c r="C540" t="inlineStr">
        <is>
          <t>Föryngringsavverkning</t>
        </is>
      </c>
      <c r="D540" s="1" t="n">
        <v>45222</v>
      </c>
      <c r="E540" s="1" t="n">
        <v>46278</v>
      </c>
      <c r="F540" t="inlineStr">
        <is>
          <t>DALARNAS LÄN</t>
        </is>
      </c>
      <c r="G540" t="inlineStr">
        <is>
          <t>ORSA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54546-2024</t>
        </is>
      </c>
      <c r="B541" t="inlineStr">
        <is>
          <t>avverkningsanmälan</t>
        </is>
      </c>
      <c r="C541" t="inlineStr">
        <is>
          <t>Föryngringsavverkning</t>
        </is>
      </c>
      <c r="D541" s="1" t="n">
        <v>45617</v>
      </c>
      <c r="E541" s="1" t="n">
        <v>46278</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37651-2026</t>
        </is>
      </c>
      <c r="B542" t="inlineStr">
        <is>
          <t>avverkningsanmälan</t>
        </is>
      </c>
      <c r="C542" t="inlineStr">
        <is>
          <t>Föryngringsavverkning</t>
        </is>
      </c>
      <c r="D542" s="1" t="n">
        <v>46276</v>
      </c>
      <c r="E542" s="1" t="n">
        <v>46278</v>
      </c>
      <c r="F542" t="inlineStr">
        <is>
          <t>DALARNAS LÄN</t>
        </is>
      </c>
      <c r="G542" t="inlineStr">
        <is>
          <t>ORSA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37649-2026</t>
        </is>
      </c>
      <c r="B543" t="inlineStr">
        <is>
          <t>avverkningsanmälan</t>
        </is>
      </c>
      <c r="C543" t="inlineStr">
        <is>
          <t>Föryngringsavverkning</t>
        </is>
      </c>
      <c r="D543" s="1" t="n">
        <v>46276</v>
      </c>
      <c r="E543" s="1" t="n">
        <v>46278</v>
      </c>
      <c r="F543" t="inlineStr">
        <is>
          <t>DALARNAS LÄN</t>
        </is>
      </c>
      <c r="G543" t="inlineStr">
        <is>
          <t>ORSA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37394-2026</t>
        </is>
      </c>
      <c r="B544" t="inlineStr">
        <is>
          <t>avverkningsanmälan</t>
        </is>
      </c>
      <c r="C544" t="inlineStr">
        <is>
          <t>Föryngringsavverkning</t>
        </is>
      </c>
      <c r="D544" s="1" t="n">
        <v>46275</v>
      </c>
      <c r="E544" s="1" t="n">
        <v>46278</v>
      </c>
      <c r="F544" t="inlineStr">
        <is>
          <t>DALARNAS LÄN</t>
        </is>
      </c>
      <c r="G544" t="inlineStr">
        <is>
          <t>ORSA</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37602-2026</t>
        </is>
      </c>
      <c r="B545" t="inlineStr">
        <is>
          <t>avverkningsanmälan</t>
        </is>
      </c>
      <c r="C545" t="inlineStr">
        <is>
          <t>Föryngringsavverkning</t>
        </is>
      </c>
      <c r="D545" s="1" t="n">
        <v>46276</v>
      </c>
      <c r="E545" s="1" t="n">
        <v>46278</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16220-2026</t>
        </is>
      </c>
      <c r="B546" t="inlineStr">
        <is>
          <t>avverkningsanmälan</t>
        </is>
      </c>
      <c r="C546" t="inlineStr">
        <is>
          <t>Föryngringsavverkning</t>
        </is>
      </c>
      <c r="D546" s="1" t="n">
        <v>46111</v>
      </c>
      <c r="E546" s="1" t="n">
        <v>46278</v>
      </c>
      <c r="F546" t="inlineStr">
        <is>
          <t>DALARNAS LÄN</t>
        </is>
      </c>
      <c r="G546" t="inlineStr">
        <is>
          <t>ORSA</t>
        </is>
      </c>
      <c r="H546" t="inlineStr">
        <is>
          <t>Bergvik skog öst AB</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31944-2026</t>
        </is>
      </c>
      <c r="B547" t="inlineStr">
        <is>
          <t>avverkningsanmälan</t>
        </is>
      </c>
      <c r="C547" t="inlineStr">
        <is>
          <t>Föryngringsavverkning</t>
        </is>
      </c>
      <c r="D547" s="1" t="n">
        <v>46232</v>
      </c>
      <c r="E547" s="1" t="n">
        <v>46278</v>
      </c>
      <c r="F547" t="inlineStr">
        <is>
          <t>DALARNAS LÄN</t>
        </is>
      </c>
      <c r="G547" t="inlineStr">
        <is>
          <t>ORSA</t>
        </is>
      </c>
      <c r="H547" t="inlineStr">
        <is>
          <t>Allmännings- och besparingsskogar</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6476-2025</t>
        </is>
      </c>
      <c r="B548" t="inlineStr">
        <is>
          <t>avverkningsanmälan</t>
        </is>
      </c>
      <c r="C548" t="inlineStr">
        <is>
          <t>Föryngringsavverkning</t>
        </is>
      </c>
      <c r="D548" s="1" t="n">
        <v>45699</v>
      </c>
      <c r="E548" s="1" t="n">
        <v>46278</v>
      </c>
      <c r="F548" t="inlineStr">
        <is>
          <t>DALARNAS LÄN</t>
        </is>
      </c>
      <c r="G548" t="inlineStr">
        <is>
          <t>ORSA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6479-2025</t>
        </is>
      </c>
      <c r="B549" t="inlineStr">
        <is>
          <t>avverkningsanmälan</t>
        </is>
      </c>
      <c r="C549" t="inlineStr">
        <is>
          <t>Föryngringsavverkning</t>
        </is>
      </c>
      <c r="D549" s="1" t="n">
        <v>45699</v>
      </c>
      <c r="E549" s="1" t="n">
        <v>46278</v>
      </c>
      <c r="F549" t="inlineStr">
        <is>
          <t>DALARNAS LÄN</t>
        </is>
      </c>
      <c r="G549" t="inlineStr">
        <is>
          <t>ORSA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46278</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20588-2025</t>
        </is>
      </c>
      <c r="B551" t="inlineStr">
        <is>
          <t>avverkningsanmälan</t>
        </is>
      </c>
      <c r="C551" t="inlineStr">
        <is>
          <t>Föryngringsavverkning</t>
        </is>
      </c>
      <c r="D551" s="1" t="n">
        <v>45775</v>
      </c>
      <c r="E551" s="1" t="n">
        <v>46278</v>
      </c>
      <c r="F551" t="inlineStr">
        <is>
          <t>DALARNAS LÄN</t>
        </is>
      </c>
      <c r="G551" t="inlineStr">
        <is>
          <t>ORSA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29499-2024</t>
        </is>
      </c>
      <c r="B552" t="inlineStr">
        <is>
          <t>avverkningsanmälan</t>
        </is>
      </c>
      <c r="C552" t="inlineStr">
        <is>
          <t>Föryngringsavverkning</t>
        </is>
      </c>
      <c r="D552" s="1" t="n">
        <v>45484</v>
      </c>
      <c r="E552" s="1" t="n">
        <v>46278</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5921-2025</t>
        </is>
      </c>
      <c r="B553" t="inlineStr">
        <is>
          <t>avverkningsanmälan</t>
        </is>
      </c>
      <c r="C553" t="inlineStr">
        <is>
          <t>Avverkning för annat ändamål</t>
        </is>
      </c>
      <c r="D553" s="1" t="n">
        <v>45695</v>
      </c>
      <c r="E553" s="1" t="n">
        <v>46278</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31969-2026</t>
        </is>
      </c>
      <c r="B554" t="inlineStr">
        <is>
          <t>avverkningsanmälan</t>
        </is>
      </c>
      <c r="C554" t="inlineStr">
        <is>
          <t>Föryngringsavverkning</t>
        </is>
      </c>
      <c r="D554" s="1" t="n">
        <v>46232</v>
      </c>
      <c r="E554" s="1" t="n">
        <v>46278</v>
      </c>
      <c r="F554" t="inlineStr">
        <is>
          <t>DALARNAS LÄN</t>
        </is>
      </c>
      <c r="G554" t="inlineStr">
        <is>
          <t>ORSA</t>
        </is>
      </c>
      <c r="H554" t="inlineStr">
        <is>
          <t>Övriga statliga verk och myndigheter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50392-2024</t>
        </is>
      </c>
      <c r="B555" t="inlineStr">
        <is>
          <t>avverkningsanmälan</t>
        </is>
      </c>
      <c r="C555" t="inlineStr">
        <is>
          <t>Föryngringsavverkning</t>
        </is>
      </c>
      <c r="D555" s="1" t="n">
        <v>45601</v>
      </c>
      <c r="E555" s="1" t="n">
        <v>46278</v>
      </c>
      <c r="F555" t="inlineStr">
        <is>
          <t>DALARNAS LÄN</t>
        </is>
      </c>
      <c r="G555" t="inlineStr">
        <is>
          <t>ORSA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37572-2026</t>
        </is>
      </c>
      <c r="B556" t="inlineStr">
        <is>
          <t>avverkningsanmälan</t>
        </is>
      </c>
      <c r="C556" t="inlineStr">
        <is>
          <t>Föryngringsavverkning</t>
        </is>
      </c>
      <c r="D556" s="1" t="n">
        <v>46276</v>
      </c>
      <c r="E556" s="1" t="n">
        <v>46278</v>
      </c>
      <c r="F556" t="inlineStr">
        <is>
          <t>DALARNAS LÄN</t>
        </is>
      </c>
      <c r="G556" t="inlineStr">
        <is>
          <t>ORSA</t>
        </is>
      </c>
      <c r="H556" t="inlineStr">
        <is>
          <t>Allmännings- och besparingsskogar</t>
        </is>
      </c>
      <c r="I556" t="n">
        <v>17.3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31941-2026</t>
        </is>
      </c>
      <c r="B557" t="inlineStr">
        <is>
          <t>avverkningsanmälan</t>
        </is>
      </c>
      <c r="C557" t="inlineStr">
        <is>
          <t>Föryngringsavverkning</t>
        </is>
      </c>
      <c r="D557" s="1" t="n">
        <v>46232</v>
      </c>
      <c r="E557" s="1" t="n">
        <v>46278</v>
      </c>
      <c r="F557" t="inlineStr">
        <is>
          <t>DALARNAS LÄN</t>
        </is>
      </c>
      <c r="G557" t="inlineStr">
        <is>
          <t>ORSA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61277-2023</t>
        </is>
      </c>
      <c r="B558" t="inlineStr">
        <is>
          <t>avverkningsanmälan</t>
        </is>
      </c>
      <c r="C558" t="inlineStr">
        <is>
          <t>Föryngringsavverkning</t>
        </is>
      </c>
      <c r="D558" s="1" t="n">
        <v>45264</v>
      </c>
      <c r="E558" s="1" t="n">
        <v>46278</v>
      </c>
      <c r="F558" t="inlineStr">
        <is>
          <t>DALARNAS LÄN</t>
        </is>
      </c>
      <c r="G558" t="inlineStr">
        <is>
          <t>ORSA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31973-2026</t>
        </is>
      </c>
      <c r="B559" t="inlineStr">
        <is>
          <t>avverkningsanmälan</t>
        </is>
      </c>
      <c r="C559" t="inlineStr">
        <is>
          <t>Föryngringsavverkning</t>
        </is>
      </c>
      <c r="D559" s="1" t="n">
        <v>46232</v>
      </c>
      <c r="E559" s="1" t="n">
        <v>46278</v>
      </c>
      <c r="F559" t="inlineStr">
        <is>
          <t>DALARNAS LÄN</t>
        </is>
      </c>
      <c r="G559" t="inlineStr">
        <is>
          <t>ORSA</t>
        </is>
      </c>
      <c r="I559" t="n">
        <v>24.7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21376-2025</t>
        </is>
      </c>
      <c r="B560" t="inlineStr">
        <is>
          <t>avverkningsanmälan</t>
        </is>
      </c>
      <c r="C560" t="inlineStr">
        <is>
          <t>Föryngringsavverkning</t>
        </is>
      </c>
      <c r="D560" s="1" t="n">
        <v>45782</v>
      </c>
      <c r="E560" s="1" t="n">
        <v>46278</v>
      </c>
      <c r="F560" t="inlineStr">
        <is>
          <t>DALARNAS LÄN</t>
        </is>
      </c>
      <c r="G560" t="inlineStr">
        <is>
          <t>ORSA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879-2024</t>
        </is>
      </c>
      <c r="B561" t="inlineStr">
        <is>
          <t>avverkningsanmälan</t>
        </is>
      </c>
      <c r="C561" t="inlineStr">
        <is>
          <t>Föryngringsavverkning</t>
        </is>
      </c>
      <c r="D561" s="1" t="n">
        <v>45301</v>
      </c>
      <c r="E561" s="1" t="n">
        <v>46278</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21165-2024</t>
        </is>
      </c>
      <c r="B562" t="inlineStr">
        <is>
          <t>avverkningsanmälan</t>
        </is>
      </c>
      <c r="C562" t="inlineStr">
        <is>
          <t>Föryngringsavverkning</t>
        </is>
      </c>
      <c r="D562" s="1" t="n">
        <v>45440</v>
      </c>
      <c r="E562" s="1" t="n">
        <v>46278</v>
      </c>
      <c r="F562" t="inlineStr">
        <is>
          <t>DALARNAS LÄN</t>
        </is>
      </c>
      <c r="G562" t="inlineStr">
        <is>
          <t>ORSA</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41835-2024</t>
        </is>
      </c>
      <c r="B563" t="inlineStr">
        <is>
          <t>avverkningsanmälan</t>
        </is>
      </c>
      <c r="C563" t="inlineStr">
        <is>
          <t>Föryngringsavverkning</t>
        </is>
      </c>
      <c r="D563" s="1" t="n">
        <v>45561</v>
      </c>
      <c r="E563" s="1" t="n">
        <v>46278</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10004-2023</t>
        </is>
      </c>
      <c r="B564" t="inlineStr">
        <is>
          <t>avverkningsanmälan</t>
        </is>
      </c>
      <c r="C564" t="inlineStr">
        <is>
          <t>Föryngringsavverkning</t>
        </is>
      </c>
      <c r="D564" s="1" t="n">
        <v>44985</v>
      </c>
      <c r="E564" s="1" t="n">
        <v>46278</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4566-2025</t>
        </is>
      </c>
      <c r="B565" t="inlineStr">
        <is>
          <t>avverkningsanmälan</t>
        </is>
      </c>
      <c r="C565" t="inlineStr">
        <is>
          <t>Föryngringsavverkning</t>
        </is>
      </c>
      <c r="D565" s="1" t="n">
        <v>45687</v>
      </c>
      <c r="E565" s="1" t="n">
        <v>46278</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44904-2024</t>
        </is>
      </c>
      <c r="B566" t="inlineStr">
        <is>
          <t>avverkningsanmälan</t>
        </is>
      </c>
      <c r="C566" t="inlineStr">
        <is>
          <t>Föryngringsavverkning</t>
        </is>
      </c>
      <c r="D566" s="1" t="n">
        <v>45575</v>
      </c>
      <c r="E566" s="1" t="n">
        <v>46278</v>
      </c>
      <c r="F566" t="inlineStr">
        <is>
          <t>DALARNAS LÄN</t>
        </is>
      </c>
      <c r="G566" t="inlineStr">
        <is>
          <t>ORSA</t>
        </is>
      </c>
      <c r="H566" t="inlineStr">
        <is>
          <t>Bergvik skog öst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23056-2025</t>
        </is>
      </c>
      <c r="B567" t="inlineStr">
        <is>
          <t>avverkningsanmälan</t>
        </is>
      </c>
      <c r="C567" t="inlineStr">
        <is>
          <t>Föryngringsavverkning</t>
        </is>
      </c>
      <c r="D567" s="1" t="n">
        <v>45790</v>
      </c>
      <c r="E567" s="1" t="n">
        <v>46278</v>
      </c>
      <c r="F567" t="inlineStr">
        <is>
          <t>DALARNAS LÄN</t>
        </is>
      </c>
      <c r="G567" t="inlineStr">
        <is>
          <t>ORSA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23055-2025</t>
        </is>
      </c>
      <c r="B568" t="inlineStr">
        <is>
          <t>avverkningsanmälan</t>
        </is>
      </c>
      <c r="C568" t="inlineStr">
        <is>
          <t>Föryngringsavverkning</t>
        </is>
      </c>
      <c r="D568" s="1" t="n">
        <v>45790</v>
      </c>
      <c r="E568" s="1" t="n">
        <v>46278</v>
      </c>
      <c r="F568" t="inlineStr">
        <is>
          <t>DALARNAS LÄN</t>
        </is>
      </c>
      <c r="G568" t="inlineStr">
        <is>
          <t>ORSA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23015-2025</t>
        </is>
      </c>
      <c r="B569" t="inlineStr">
        <is>
          <t>avverkningsanmälan</t>
        </is>
      </c>
      <c r="C569" t="inlineStr">
        <is>
          <t>Föryngringsavverkning</t>
        </is>
      </c>
      <c r="D569" s="1" t="n">
        <v>45790</v>
      </c>
      <c r="E569" s="1" t="n">
        <v>46278</v>
      </c>
      <c r="F569" t="inlineStr">
        <is>
          <t>DALARNAS LÄN</t>
        </is>
      </c>
      <c r="G569" t="inlineStr">
        <is>
          <t>ORSA</t>
        </is>
      </c>
      <c r="H569" t="inlineStr">
        <is>
          <t>Bergvik skog öst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62289-2023</t>
        </is>
      </c>
      <c r="B570" t="inlineStr">
        <is>
          <t>avverkningsanmälan</t>
        </is>
      </c>
      <c r="C570" t="inlineStr">
        <is>
          <t>Föryngringsavverkning</t>
        </is>
      </c>
      <c r="D570" s="1" t="n">
        <v>45266</v>
      </c>
      <c r="E570" s="1" t="n">
        <v>46278</v>
      </c>
      <c r="F570" t="inlineStr">
        <is>
          <t>DALARNAS LÄN</t>
        </is>
      </c>
      <c r="G570" t="inlineStr">
        <is>
          <t>ORSA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58549-2023</t>
        </is>
      </c>
      <c r="B571" t="inlineStr">
        <is>
          <t>avverkningsanmälan</t>
        </is>
      </c>
      <c r="C571" t="inlineStr">
        <is>
          <t>Föryngringsavverkning</t>
        </is>
      </c>
      <c r="D571" s="1" t="n">
        <v>45251</v>
      </c>
      <c r="E571" s="1" t="n">
        <v>46278</v>
      </c>
      <c r="F571" t="inlineStr">
        <is>
          <t>DALARNAS LÄN</t>
        </is>
      </c>
      <c r="G571" t="inlineStr">
        <is>
          <t>ORSA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5302-2024</t>
        </is>
      </c>
      <c r="B572" t="inlineStr">
        <is>
          <t>avverkningsanmälan</t>
        </is>
      </c>
      <c r="C572" t="inlineStr">
        <is>
          <t>Föryngringsavverkning</t>
        </is>
      </c>
      <c r="D572" s="1" t="n">
        <v>45331</v>
      </c>
      <c r="E572" s="1" t="n">
        <v>46278</v>
      </c>
      <c r="F572" t="inlineStr">
        <is>
          <t>DALARNAS LÄN</t>
        </is>
      </c>
      <c r="G572" t="inlineStr">
        <is>
          <t>ORSA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1785-2024</t>
        </is>
      </c>
      <c r="B573" t="inlineStr">
        <is>
          <t>avverkningsanmälan</t>
        </is>
      </c>
      <c r="C573" t="inlineStr">
        <is>
          <t>Föryngringsavverkning</t>
        </is>
      </c>
      <c r="D573" s="1" t="n">
        <v>45307</v>
      </c>
      <c r="E573" s="1" t="n">
        <v>46278</v>
      </c>
      <c r="F573" t="inlineStr">
        <is>
          <t>DALARNAS LÄN</t>
        </is>
      </c>
      <c r="G573" t="inlineStr">
        <is>
          <t>ORSA</t>
        </is>
      </c>
      <c r="I573" t="n">
        <v>42.8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53703-2024</t>
        </is>
      </c>
      <c r="B574" t="inlineStr">
        <is>
          <t>avverkningsanmälan</t>
        </is>
      </c>
      <c r="C574" t="inlineStr">
        <is>
          <t>Föryngringsavverkning</t>
        </is>
      </c>
      <c r="D574" s="1" t="n">
        <v>45615</v>
      </c>
      <c r="E574" s="1" t="n">
        <v>46278</v>
      </c>
      <c r="F574" t="inlineStr">
        <is>
          <t>DALARNAS LÄN</t>
        </is>
      </c>
      <c r="G574" t="inlineStr">
        <is>
          <t>ORSA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24969-2025</t>
        </is>
      </c>
      <c r="B575" t="inlineStr">
        <is>
          <t>avverkningsanmälan</t>
        </is>
      </c>
      <c r="C575" t="inlineStr">
        <is>
          <t>Avverkning för annat ändamål</t>
        </is>
      </c>
      <c r="D575" s="1" t="n">
        <v>45799</v>
      </c>
      <c r="E575" s="1" t="n">
        <v>46278</v>
      </c>
      <c r="F575" t="inlineStr">
        <is>
          <t>DALARNAS LÄN</t>
        </is>
      </c>
      <c r="G575" t="inlineStr">
        <is>
          <t>ORSA</t>
        </is>
      </c>
      <c r="H575" t="inlineStr">
        <is>
          <t>Allmännings- och besparingsskogar</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25211-2025</t>
        </is>
      </c>
      <c r="B576" t="inlineStr">
        <is>
          <t>avverkningsanmälan</t>
        </is>
      </c>
      <c r="C576" t="inlineStr">
        <is>
          <t>Föryngringsavverkning</t>
        </is>
      </c>
      <c r="D576" s="1" t="n">
        <v>45800</v>
      </c>
      <c r="E576" s="1" t="n">
        <v>46278</v>
      </c>
      <c r="F576" t="inlineStr">
        <is>
          <t>DALARNAS LÄN</t>
        </is>
      </c>
      <c r="G576" t="inlineStr">
        <is>
          <t>ORSA</t>
        </is>
      </c>
      <c r="H576" t="inlineStr">
        <is>
          <t>Bergvik skog öst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18817-2023</t>
        </is>
      </c>
      <c r="B577" t="inlineStr">
        <is>
          <t>avverkningsanmälan</t>
        </is>
      </c>
      <c r="C577" t="inlineStr">
        <is>
          <t>Föryngringsavverkning</t>
        </is>
      </c>
      <c r="D577" s="1" t="n">
        <v>45043</v>
      </c>
      <c r="E577" s="1" t="n">
        <v>46278</v>
      </c>
      <c r="F577" t="inlineStr">
        <is>
          <t>DALARNAS LÄN</t>
        </is>
      </c>
      <c r="G577" t="inlineStr">
        <is>
          <t>ORSA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20302-2023</t>
        </is>
      </c>
      <c r="B578" t="inlineStr">
        <is>
          <t>avverkningsanmälan</t>
        </is>
      </c>
      <c r="C578" t="inlineStr">
        <is>
          <t>Föryngringsavverkning</t>
        </is>
      </c>
      <c r="D578" s="1" t="n">
        <v>45056</v>
      </c>
      <c r="E578" s="1" t="n">
        <v>46278</v>
      </c>
      <c r="F578" t="inlineStr">
        <is>
          <t>DALARNAS LÄN</t>
        </is>
      </c>
      <c r="G578" t="inlineStr">
        <is>
          <t>ORSA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26741-2025</t>
        </is>
      </c>
      <c r="B579" t="inlineStr">
        <is>
          <t>avverkningsanmälan</t>
        </is>
      </c>
      <c r="C579" t="inlineStr">
        <is>
          <t>Föryngringsavverkning</t>
        </is>
      </c>
      <c r="D579" s="1" t="n">
        <v>45810</v>
      </c>
      <c r="E579" s="1" t="n">
        <v>46278</v>
      </c>
      <c r="F579" t="inlineStr">
        <is>
          <t>DALARNAS LÄN</t>
        </is>
      </c>
      <c r="G579" t="inlineStr">
        <is>
          <t>ORSA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6490-2025</t>
        </is>
      </c>
      <c r="B580" t="inlineStr">
        <is>
          <t>avverkningsanmälan</t>
        </is>
      </c>
      <c r="C580" t="inlineStr">
        <is>
          <t>Föryngringsavverkning</t>
        </is>
      </c>
      <c r="D580" s="1" t="n">
        <v>45699</v>
      </c>
      <c r="E580" s="1" t="n">
        <v>46278</v>
      </c>
      <c r="F580" t="inlineStr">
        <is>
          <t>DALARNAS LÄN</t>
        </is>
      </c>
      <c r="G580" t="inlineStr">
        <is>
          <t>ORSA</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27313-2025</t>
        </is>
      </c>
      <c r="B581" t="inlineStr">
        <is>
          <t>avverkningsanmälan</t>
        </is>
      </c>
      <c r="C581" t="inlineStr">
        <is>
          <t>Föryngringsavverkning</t>
        </is>
      </c>
      <c r="D581" s="1" t="n">
        <v>45812</v>
      </c>
      <c r="E581" s="1" t="n">
        <v>46278</v>
      </c>
      <c r="F581" t="inlineStr">
        <is>
          <t>DALARNAS LÄN</t>
        </is>
      </c>
      <c r="G581" t="inlineStr">
        <is>
          <t>ORSA</t>
        </is>
      </c>
      <c r="H581" t="inlineStr">
        <is>
          <t>Allmännings- och besparingsskogar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27987-2025</t>
        </is>
      </c>
      <c r="B582" t="inlineStr">
        <is>
          <t>avverkningsanmälan</t>
        </is>
      </c>
      <c r="C582" t="inlineStr">
        <is>
          <t>Föryngringsavverkning</t>
        </is>
      </c>
      <c r="D582" s="1" t="n">
        <v>45817</v>
      </c>
      <c r="E582" s="1" t="n">
        <v>46278</v>
      </c>
      <c r="F582" t="inlineStr">
        <is>
          <t>DALARNAS LÄN</t>
        </is>
      </c>
      <c r="G582" t="inlineStr">
        <is>
          <t>ORSA</t>
        </is>
      </c>
      <c r="H582" t="inlineStr">
        <is>
          <t>Allmännings- och besparingsskogar</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27885-2025</t>
        </is>
      </c>
      <c r="B583" t="inlineStr">
        <is>
          <t>avverkningsanmälan</t>
        </is>
      </c>
      <c r="C583" t="inlineStr">
        <is>
          <t>Föryngringsavverkning</t>
        </is>
      </c>
      <c r="D583" s="1" t="n">
        <v>45817</v>
      </c>
      <c r="E583" s="1" t="n">
        <v>46278</v>
      </c>
      <c r="F583" t="inlineStr">
        <is>
          <t>DALARNAS LÄN</t>
        </is>
      </c>
      <c r="G583" t="inlineStr">
        <is>
          <t>ORSA</t>
        </is>
      </c>
      <c r="H583" t="inlineStr">
        <is>
          <t>Allmännings- och besparingsskogar</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1499-2022</t>
        </is>
      </c>
      <c r="B584" t="inlineStr">
        <is>
          <t>samrådsanmälan</t>
        </is>
      </c>
      <c r="C584" t="inlineStr">
        <is>
          <t>Skogsgödsling</t>
        </is>
      </c>
      <c r="D584" s="1" t="n">
        <v>44637</v>
      </c>
      <c r="E584" s="1" t="n">
        <v>46278</v>
      </c>
      <c r="F584" t="inlineStr">
        <is>
          <t>DALARNAS LÄN</t>
        </is>
      </c>
      <c r="G584" t="inlineStr">
        <is>
          <t>ORSA</t>
        </is>
      </c>
      <c r="H584" t="inlineStr">
        <is>
          <t>Bergvik skog öst AB</t>
        </is>
      </c>
      <c r="I584" t="n">
        <v>177.2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568-2022</t>
        </is>
      </c>
      <c r="B585" t="inlineStr">
        <is>
          <t>samrådsanmälan</t>
        </is>
      </c>
      <c r="C585" t="inlineStr">
        <is>
          <t>Skogsgödsling</t>
        </is>
      </c>
      <c r="D585" s="1" t="n">
        <v>44589</v>
      </c>
      <c r="E585" s="1" t="n">
        <v>46278</v>
      </c>
      <c r="F585" t="inlineStr">
        <is>
          <t>DALARNAS LÄN</t>
        </is>
      </c>
      <c r="G585" t="inlineStr">
        <is>
          <t>ORSA</t>
        </is>
      </c>
      <c r="H585" t="inlineStr">
        <is>
          <t>Bergvik skog öst AB</t>
        </is>
      </c>
      <c r="I585" t="n">
        <v>98.2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882-2024</t>
        </is>
      </c>
      <c r="B586" t="inlineStr">
        <is>
          <t>samrådsanmälan</t>
        </is>
      </c>
      <c r="C586" t="inlineStr">
        <is>
          <t>Skogsgödsling</t>
        </is>
      </c>
      <c r="D586" s="1" t="n">
        <v>45376</v>
      </c>
      <c r="E586" s="1" t="n">
        <v>46278</v>
      </c>
      <c r="F586" t="inlineStr">
        <is>
          <t>DALARNAS LÄN</t>
        </is>
      </c>
      <c r="G586" t="inlineStr">
        <is>
          <t>ORSA</t>
        </is>
      </c>
      <c r="H586" t="inlineStr">
        <is>
          <t>Allmännings- och besparingsskogar</t>
        </is>
      </c>
      <c r="I586" t="n">
        <v>28.8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348-2023</t>
        </is>
      </c>
      <c r="B587" t="inlineStr">
        <is>
          <t>samrådsanmälan</t>
        </is>
      </c>
      <c r="C587" t="inlineStr">
        <is>
          <t>Annan skogsbruksåtgärd</t>
        </is>
      </c>
      <c r="D587" s="1" t="n">
        <v>44960</v>
      </c>
      <c r="E587" s="1" t="n">
        <v>46278</v>
      </c>
      <c r="F587" t="inlineStr">
        <is>
          <t>DALARNAS LÄN</t>
        </is>
      </c>
      <c r="G587" t="inlineStr">
        <is>
          <t>ORSA</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350-2023</t>
        </is>
      </c>
      <c r="B588" t="inlineStr">
        <is>
          <t>samrådsanmälan</t>
        </is>
      </c>
      <c r="C588" t="inlineStr">
        <is>
          <t>Annan skogsbruksåtgärd</t>
        </is>
      </c>
      <c r="D588" s="1" t="n">
        <v>44960</v>
      </c>
      <c r="E588" s="1" t="n">
        <v>46278</v>
      </c>
      <c r="F588" t="inlineStr">
        <is>
          <t>DALARNAS LÄN</t>
        </is>
      </c>
      <c r="G588" t="inlineStr">
        <is>
          <t>ORSA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7072-2022</t>
        </is>
      </c>
      <c r="B589" t="inlineStr">
        <is>
          <t>samrådsanmälan</t>
        </is>
      </c>
      <c r="C589" t="inlineStr">
        <is>
          <t>Annan skogsbruksåtgärd</t>
        </is>
      </c>
      <c r="D589" s="1" t="n">
        <v>44907</v>
      </c>
      <c r="E589" s="1" t="n">
        <v>46278</v>
      </c>
      <c r="F589" t="inlineStr">
        <is>
          <t>DALARNAS LÄN</t>
        </is>
      </c>
      <c r="G589" t="inlineStr">
        <is>
          <t>ORSA</t>
        </is>
      </c>
      <c r="H589" t="inlineStr">
        <is>
          <t>Bergvik skog öst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8669-2021</t>
        </is>
      </c>
      <c r="B590" t="inlineStr">
        <is>
          <t>samrådsanmälan</t>
        </is>
      </c>
      <c r="C590" t="inlineStr">
        <is>
          <t>Skogsgödsling</t>
        </is>
      </c>
      <c r="D590" s="1" t="n">
        <v>44498</v>
      </c>
      <c r="E590" s="1" t="n">
        <v>46278</v>
      </c>
      <c r="F590" t="inlineStr">
        <is>
          <t>DALARNAS LÄN</t>
        </is>
      </c>
      <c r="G590" t="inlineStr">
        <is>
          <t>ORSA</t>
        </is>
      </c>
      <c r="H590" t="inlineStr">
        <is>
          <t>Allmännings- och besparingsskogar</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913-2024</t>
        </is>
      </c>
      <c r="B591" t="inlineStr">
        <is>
          <t>samrådsanmälan</t>
        </is>
      </c>
      <c r="C591" t="inlineStr">
        <is>
          <t>Skogsgödsling</t>
        </is>
      </c>
      <c r="D591" s="1" t="n">
        <v>45377</v>
      </c>
      <c r="E591" s="1" t="n">
        <v>46278</v>
      </c>
      <c r="F591" t="inlineStr">
        <is>
          <t>DALARNAS LÄN</t>
        </is>
      </c>
      <c r="G591" t="inlineStr">
        <is>
          <t>ORSA</t>
        </is>
      </c>
      <c r="H591" t="inlineStr">
        <is>
          <t>Allmännings- och besparingsskogar</t>
        </is>
      </c>
      <c r="I591" t="n">
        <v>72.2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3964-2024</t>
        </is>
      </c>
      <c r="B592" t="inlineStr">
        <is>
          <t>samrådsanmälan</t>
        </is>
      </c>
      <c r="C592" t="inlineStr">
        <is>
          <t>Annan skogsbruksåtgärd</t>
        </is>
      </c>
      <c r="D592" s="1" t="n">
        <v>45567</v>
      </c>
      <c r="E592" s="1" t="n">
        <v>46278</v>
      </c>
      <c r="F592" t="inlineStr">
        <is>
          <t>DALARNAS LÄN</t>
        </is>
      </c>
      <c r="G592" t="inlineStr">
        <is>
          <t>ORSA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46278</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46278</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46278</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46278</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46278</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46278</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46278</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46278</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46278</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2805-2025</t>
        </is>
      </c>
      <c r="B602" t="inlineStr">
        <is>
          <t>samrådsanmälan</t>
        </is>
      </c>
      <c r="C602" t="inlineStr">
        <is>
          <t>Skogsgödsling</t>
        </is>
      </c>
      <c r="D602" s="1" t="n">
        <v>45938</v>
      </c>
      <c r="E602" s="1" t="n">
        <v>46278</v>
      </c>
      <c r="F602" t="inlineStr">
        <is>
          <t>DALARNAS LÄN</t>
        </is>
      </c>
      <c r="G602" t="inlineStr">
        <is>
          <t>ORSA</t>
        </is>
      </c>
      <c r="H602" t="inlineStr">
        <is>
          <t>Allmännings- och besparingsskogar</t>
        </is>
      </c>
      <c r="I602" t="n">
        <v>71.90000000000001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3005-2025</t>
        </is>
      </c>
      <c r="B603" t="inlineStr">
        <is>
          <t>samrådsanmälan</t>
        </is>
      </c>
      <c r="C603" t="inlineStr">
        <is>
          <t>Annan skogsbruksåtgärd</t>
        </is>
      </c>
      <c r="D603" s="1" t="n">
        <v>45957</v>
      </c>
      <c r="E603" s="1" t="n">
        <v>46278</v>
      </c>
      <c r="F603" t="inlineStr">
        <is>
          <t>DALARNAS LÄN</t>
        </is>
      </c>
      <c r="G603" t="inlineStr">
        <is>
          <t>ORSA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46278</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46278</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46278</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2026-09-13T02:12:29Z</dcterms:created>
  <dcterms:modified xmlns:dcterms="http://purl.org/dc/terms/" xmlns:xsi="http://www.w3.org/2001/XMLSchema-instance" xsi:type="dcterms:W3CDTF">2026-09-13T02:12:29Z</dcterms:modified>
</cp:coreProperties>
</file>