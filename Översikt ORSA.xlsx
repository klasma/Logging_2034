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46200</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46200</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46200</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46200</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46200</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46200</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46200</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46200</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46200</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46200</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46200</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46200</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46200</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50728-2022</t>
        </is>
      </c>
      <c r="B15" s="1" t="n">
        <v>44867</v>
      </c>
      <c r="C15" s="1" t="n">
        <v>46200</v>
      </c>
      <c r="D15" t="inlineStr">
        <is>
          <t>DALARNAS LÄN</t>
        </is>
      </c>
      <c r="E15" t="inlineStr">
        <is>
          <t>ORSA</t>
        </is>
      </c>
      <c r="F15" t="inlineStr">
        <is>
          <t>Allmännings- och besparingsskogar</t>
        </is>
      </c>
      <c r="G15" t="n">
        <v>1.8</v>
      </c>
      <c r="H15" t="n">
        <v>2</v>
      </c>
      <c r="I15" t="n">
        <v>3</v>
      </c>
      <c r="J15" t="n">
        <v>7</v>
      </c>
      <c r="K15" t="n">
        <v>3</v>
      </c>
      <c r="L15" t="n">
        <v>0</v>
      </c>
      <c r="M15" t="n">
        <v>0</v>
      </c>
      <c r="N15" t="n">
        <v>0</v>
      </c>
      <c r="O15" t="n">
        <v>10</v>
      </c>
      <c r="P15" t="n">
        <v>3</v>
      </c>
      <c r="Q15" t="n">
        <v>14</v>
      </c>
      <c r="R15" s="2" t="inlineStr">
        <is>
          <t>Garnlav
Gräddporing
Skuggnål
Dropptaggsvamp
Kolflarnlav
Lunglav
Skrovellav
Tretåig hackspett
Vedskivlav
Violettgrå tagellav
Bårdlav
Stuplav
Vågbandad barkbock
Tjäder</t>
        </is>
      </c>
      <c r="S15">
        <f>HYPERLINK("https://klasma.github.io/Logging_2034/artfynd/A 50728-2022 artfynd.xlsx", "A 50728-2022")</f>
        <v/>
      </c>
      <c r="T15">
        <f>HYPERLINK("https://klasma.github.io/Logging_2034/kartor/A 50728-2022 karta.png", "A 50728-2022")</f>
        <v/>
      </c>
      <c r="V15">
        <f>HYPERLINK("https://klasma.github.io/Logging_2034/klagomål/A 50728-2022 FSC-klagomål.docx", "A 50728-2022")</f>
        <v/>
      </c>
      <c r="W15">
        <f>HYPERLINK("https://klasma.github.io/Logging_2034/klagomålsmail/A 50728-2022 FSC-klagomål mail.docx", "A 50728-2022")</f>
        <v/>
      </c>
      <c r="X15">
        <f>HYPERLINK("https://klasma.github.io/Logging_2034/tillsyn/A 50728-2022 tillsynsbegäran.docx", "A 50728-2022")</f>
        <v/>
      </c>
      <c r="Y15">
        <f>HYPERLINK("https://klasma.github.io/Logging_2034/tillsynsmail/A 50728-2022 tillsynsbegäran mail.docx", "A 50728-2022")</f>
        <v/>
      </c>
      <c r="Z15">
        <f>HYPERLINK("https://klasma.github.io/Logging_2034/fåglar/A 50728-2022 prioriterade fågelarter.docx", "A 50728-2022")</f>
        <v/>
      </c>
    </row>
    <row r="16" ht="15" customHeight="1">
      <c r="A16" t="inlineStr">
        <is>
          <t>A 30284-2024</t>
        </is>
      </c>
      <c r="B16" s="1" t="n">
        <v>45490</v>
      </c>
      <c r="C16" s="1" t="n">
        <v>46200</v>
      </c>
      <c r="D16" t="inlineStr">
        <is>
          <t>DALARNAS LÄN</t>
        </is>
      </c>
      <c r="E16" t="inlineStr">
        <is>
          <t>ORSA</t>
        </is>
      </c>
      <c r="G16" t="n">
        <v>2.5</v>
      </c>
      <c r="H16" t="n">
        <v>1</v>
      </c>
      <c r="I16" t="n">
        <v>1</v>
      </c>
      <c r="J16" t="n">
        <v>8</v>
      </c>
      <c r="K16" t="n">
        <v>4</v>
      </c>
      <c r="L16" t="n">
        <v>0</v>
      </c>
      <c r="M16" t="n">
        <v>0</v>
      </c>
      <c r="N16" t="n">
        <v>0</v>
      </c>
      <c r="O16" t="n">
        <v>12</v>
      </c>
      <c r="P16" t="n">
        <v>4</v>
      </c>
      <c r="Q16" t="n">
        <v>14</v>
      </c>
      <c r="R16" s="2" t="inlineStr">
        <is>
          <t>Garnlav
Rotfingersvamp
Skrovlig taggsvamp
Tallgråticka
Backstarr
Dropptaggsvamp
Mjölsvärting
Motaggsvamp
Orange taggsvamp
Tallfingersvamp
Talltaggsvamp
Vedskivlav
Mindre märgborre
Spillkråka</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v>
      </c>
      <c r="C17" s="1" t="n">
        <v>46200</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38047-2025</t>
        </is>
      </c>
      <c r="B18" s="1" t="n">
        <v>45882</v>
      </c>
      <c r="C18" s="1" t="n">
        <v>46200</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2121-2025</t>
        </is>
      </c>
      <c r="B19" s="1" t="n">
        <v>45672</v>
      </c>
      <c r="C19" s="1" t="n">
        <v>46200</v>
      </c>
      <c r="D19" t="inlineStr">
        <is>
          <t>DALARNAS LÄN</t>
        </is>
      </c>
      <c r="E19" t="inlineStr">
        <is>
          <t>ORSA</t>
        </is>
      </c>
      <c r="G19" t="n">
        <v>16</v>
      </c>
      <c r="H19" t="n">
        <v>5</v>
      </c>
      <c r="I19" t="n">
        <v>2</v>
      </c>
      <c r="J19" t="n">
        <v>9</v>
      </c>
      <c r="K19" t="n">
        <v>1</v>
      </c>
      <c r="L19" t="n">
        <v>0</v>
      </c>
      <c r="M19" t="n">
        <v>0</v>
      </c>
      <c r="N19" t="n">
        <v>0</v>
      </c>
      <c r="O19" t="n">
        <v>10</v>
      </c>
      <c r="P19" t="n">
        <v>1</v>
      </c>
      <c r="Q19" t="n">
        <v>14</v>
      </c>
      <c r="R19" s="2" t="inlineStr">
        <is>
          <t>Garnlav
Järnsparv
Kolflarnlav
Lunglav
Mörk kolflarnlav
Tallticka
Talltita
Tretåig hackspett
Vedskivlav
Violettgrå tagellav
Mindre märgborre
Nästlav
Spillkråka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62816-2025</t>
        </is>
      </c>
      <c r="B20" s="1" t="n">
        <v>46008</v>
      </c>
      <c r="C20" s="1" t="n">
        <v>46200</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46200</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46200</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46200</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46200</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46200</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46200</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46200</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46200</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46200</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46200</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8107-2024</t>
        </is>
      </c>
      <c r="B31" s="1" t="n">
        <v>45351</v>
      </c>
      <c r="C31" s="1" t="n">
        <v>46200</v>
      </c>
      <c r="D31" t="inlineStr">
        <is>
          <t>DALARNAS LÄN</t>
        </is>
      </c>
      <c r="E31" t="inlineStr">
        <is>
          <t>ORSA</t>
        </is>
      </c>
      <c r="G31" t="n">
        <v>13.6</v>
      </c>
      <c r="H31" t="n">
        <v>2</v>
      </c>
      <c r="I31" t="n">
        <v>1</v>
      </c>
      <c r="J31" t="n">
        <v>4</v>
      </c>
      <c r="K31" t="n">
        <v>1</v>
      </c>
      <c r="L31" t="n">
        <v>0</v>
      </c>
      <c r="M31" t="n">
        <v>0</v>
      </c>
      <c r="N31" t="n">
        <v>0</v>
      </c>
      <c r="O31" t="n">
        <v>5</v>
      </c>
      <c r="P31" t="n">
        <v>1</v>
      </c>
      <c r="Q31" t="n">
        <v>7</v>
      </c>
      <c r="R31" s="2" t="inlineStr">
        <is>
          <t>Garnlav
Grönhjon
Lunglav
Mörk kolflarnlav
Tretåig hackspett
Björksplintborre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707-2024</t>
        </is>
      </c>
      <c r="B32" s="1" t="n">
        <v>45300</v>
      </c>
      <c r="C32" s="1" t="n">
        <v>46200</v>
      </c>
      <c r="D32" t="inlineStr">
        <is>
          <t>DALARNAS LÄN</t>
        </is>
      </c>
      <c r="E32" t="inlineStr">
        <is>
          <t>ORSA</t>
        </is>
      </c>
      <c r="G32" t="n">
        <v>9.4</v>
      </c>
      <c r="H32" t="n">
        <v>2</v>
      </c>
      <c r="I32" t="n">
        <v>0</v>
      </c>
      <c r="J32" t="n">
        <v>5</v>
      </c>
      <c r="K32" t="n">
        <v>1</v>
      </c>
      <c r="L32" t="n">
        <v>0</v>
      </c>
      <c r="M32" t="n">
        <v>0</v>
      </c>
      <c r="N32" t="n">
        <v>0</v>
      </c>
      <c r="O32" t="n">
        <v>6</v>
      </c>
      <c r="P32" t="n">
        <v>1</v>
      </c>
      <c r="Q32" t="n">
        <v>7</v>
      </c>
      <c r="R32" s="2" t="inlineStr">
        <is>
          <t>Garnlav
Doftskinn
Knottrig blåslav
Talltagel
Tretåig hackspett
Violettgrå tagellav
Svartvit flugsnappare</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62761-2025</t>
        </is>
      </c>
      <c r="B33" s="1" t="n">
        <v>46008</v>
      </c>
      <c r="C33" s="1" t="n">
        <v>46200</v>
      </c>
      <c r="D33" t="inlineStr">
        <is>
          <t>DALARNAS LÄN</t>
        </is>
      </c>
      <c r="E33" t="inlineStr">
        <is>
          <t>ORSA</t>
        </is>
      </c>
      <c r="G33" t="n">
        <v>1.1</v>
      </c>
      <c r="H33" t="n">
        <v>1</v>
      </c>
      <c r="I33" t="n">
        <v>4</v>
      </c>
      <c r="J33" t="n">
        <v>1</v>
      </c>
      <c r="K33" t="n">
        <v>2</v>
      </c>
      <c r="L33" t="n">
        <v>0</v>
      </c>
      <c r="M33" t="n">
        <v>0</v>
      </c>
      <c r="N33" t="n">
        <v>0</v>
      </c>
      <c r="O33" t="n">
        <v>3</v>
      </c>
      <c r="P33" t="n">
        <v>2</v>
      </c>
      <c r="Q33" t="n">
        <v>7</v>
      </c>
      <c r="R33" s="2" t="inlineStr">
        <is>
          <t>Garnlav
Ringlav
Tretåig hackspett
Bronshjon
Mindre märgborre
Rödgul trumpetsvamp
Svavelriska</t>
        </is>
      </c>
      <c r="S33">
        <f>HYPERLINK("https://klasma.github.io/Logging_2034/artfynd/A 62761-2025 artfynd.xlsx", "A 62761-2025")</f>
        <v/>
      </c>
      <c r="T33">
        <f>HYPERLINK("https://klasma.github.io/Logging_2034/kartor/A 62761-2025 karta.png", "A 62761-2025")</f>
        <v/>
      </c>
      <c r="V33">
        <f>HYPERLINK("https://klasma.github.io/Logging_2034/klagomål/A 62761-2025 FSC-klagomål.docx", "A 62761-2025")</f>
        <v/>
      </c>
      <c r="W33">
        <f>HYPERLINK("https://klasma.github.io/Logging_2034/klagomålsmail/A 62761-2025 FSC-klagomål mail.docx", "A 62761-2025")</f>
        <v/>
      </c>
      <c r="X33">
        <f>HYPERLINK("https://klasma.github.io/Logging_2034/tillsyn/A 62761-2025 tillsynsbegäran.docx", "A 62761-2025")</f>
        <v/>
      </c>
      <c r="Y33">
        <f>HYPERLINK("https://klasma.github.io/Logging_2034/tillsynsmail/A 62761-2025 tillsynsbegäran mail.docx", "A 62761-2025")</f>
        <v/>
      </c>
      <c r="Z33">
        <f>HYPERLINK("https://klasma.github.io/Logging_2034/fåglar/A 62761-2025 prioriterade fågelarter.docx", "A 62761-2025")</f>
        <v/>
      </c>
    </row>
    <row r="34" ht="15" customHeight="1">
      <c r="A34" t="inlineStr">
        <is>
          <t>A 21919-2026</t>
        </is>
      </c>
      <c r="B34" s="1" t="n">
        <v>46150</v>
      </c>
      <c r="C34" s="1" t="n">
        <v>46200</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46200</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46200</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22778-2026</t>
        </is>
      </c>
      <c r="B37" s="1" t="n">
        <v>46157</v>
      </c>
      <c r="C37" s="1" t="n">
        <v>46200</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46200</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51289-2023</t>
        </is>
      </c>
      <c r="B39" s="1" t="n">
        <v>45219</v>
      </c>
      <c r="C39" s="1" t="n">
        <v>46200</v>
      </c>
      <c r="D39" t="inlineStr">
        <is>
          <t>DALARNAS LÄN</t>
        </is>
      </c>
      <c r="E39" t="inlineStr">
        <is>
          <t>ORSA</t>
        </is>
      </c>
      <c r="G39" t="n">
        <v>1.5</v>
      </c>
      <c r="H39" t="n">
        <v>1</v>
      </c>
      <c r="I39" t="n">
        <v>1</v>
      </c>
      <c r="J39" t="n">
        <v>2</v>
      </c>
      <c r="K39" t="n">
        <v>1</v>
      </c>
      <c r="L39" t="n">
        <v>0</v>
      </c>
      <c r="M39" t="n">
        <v>0</v>
      </c>
      <c r="N39" t="n">
        <v>0</v>
      </c>
      <c r="O39" t="n">
        <v>3</v>
      </c>
      <c r="P39" t="n">
        <v>1</v>
      </c>
      <c r="Q39" t="n">
        <v>5</v>
      </c>
      <c r="R39" s="2" t="inlineStr">
        <is>
          <t>Garnlav
Talltagel
Tallticka
Mindre märgborre
Spillkråka</t>
        </is>
      </c>
      <c r="S39">
        <f>HYPERLINK("https://klasma.github.io/Logging_2034/artfynd/A 51289-2023 artfynd.xlsx", "A 51289-2023")</f>
        <v/>
      </c>
      <c r="T39">
        <f>HYPERLINK("https://klasma.github.io/Logging_2034/kartor/A 51289-2023 karta.png", "A 51289-2023")</f>
        <v/>
      </c>
      <c r="V39">
        <f>HYPERLINK("https://klasma.github.io/Logging_2034/klagomål/A 51289-2023 FSC-klagomål.docx", "A 51289-2023")</f>
        <v/>
      </c>
      <c r="W39">
        <f>HYPERLINK("https://klasma.github.io/Logging_2034/klagomålsmail/A 51289-2023 FSC-klagomål mail.docx", "A 51289-2023")</f>
        <v/>
      </c>
      <c r="X39">
        <f>HYPERLINK("https://klasma.github.io/Logging_2034/tillsyn/A 51289-2023 tillsynsbegäran.docx", "A 51289-2023")</f>
        <v/>
      </c>
      <c r="Y39">
        <f>HYPERLINK("https://klasma.github.io/Logging_2034/tillsynsmail/A 51289-2023 tillsynsbegäran mail.docx", "A 51289-2023")</f>
        <v/>
      </c>
      <c r="Z39">
        <f>HYPERLINK("https://klasma.github.io/Logging_2034/fåglar/A 51289-2023 prioriterade fågelarter.docx", "A 51289-2023")</f>
        <v/>
      </c>
    </row>
    <row r="40" ht="15" customHeight="1">
      <c r="A40" t="inlineStr">
        <is>
          <t>A 33366-2023</t>
        </is>
      </c>
      <c r="B40" s="1" t="n">
        <v>45128</v>
      </c>
      <c r="C40" s="1" t="n">
        <v>46200</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883-2026</t>
        </is>
      </c>
      <c r="B41" s="1" t="n">
        <v>46030</v>
      </c>
      <c r="C41" s="1" t="n">
        <v>46200</v>
      </c>
      <c r="D41" t="inlineStr">
        <is>
          <t>DALARNAS LÄN</t>
        </is>
      </c>
      <c r="E41" t="inlineStr">
        <is>
          <t>ORSA</t>
        </is>
      </c>
      <c r="G41" t="n">
        <v>2.8</v>
      </c>
      <c r="H41" t="n">
        <v>0</v>
      </c>
      <c r="I41" t="n">
        <v>0</v>
      </c>
      <c r="J41" t="n">
        <v>4</v>
      </c>
      <c r="K41" t="n">
        <v>1</v>
      </c>
      <c r="L41" t="n">
        <v>0</v>
      </c>
      <c r="M41" t="n">
        <v>0</v>
      </c>
      <c r="N41" t="n">
        <v>0</v>
      </c>
      <c r="O41" t="n">
        <v>5</v>
      </c>
      <c r="P41" t="n">
        <v>1</v>
      </c>
      <c r="Q41" t="n">
        <v>5</v>
      </c>
      <c r="R41" s="2" t="inlineStr">
        <is>
          <t>Garnlav
Rosenticka
Rynkskinn
Ullticka
Vedtrappmossa</t>
        </is>
      </c>
      <c r="S41">
        <f>HYPERLINK("https://klasma.github.io/Logging_2034/artfynd/A 883-2026 artfynd.xlsx", "A 883-2026")</f>
        <v/>
      </c>
      <c r="T41">
        <f>HYPERLINK("https://klasma.github.io/Logging_2034/kartor/A 883-2026 karta.png", "A 883-2026")</f>
        <v/>
      </c>
      <c r="V41">
        <f>HYPERLINK("https://klasma.github.io/Logging_2034/klagomål/A 883-2026 FSC-klagomål.docx", "A 883-2026")</f>
        <v/>
      </c>
      <c r="W41">
        <f>HYPERLINK("https://klasma.github.io/Logging_2034/klagomålsmail/A 883-2026 FSC-klagomål mail.docx", "A 883-2026")</f>
        <v/>
      </c>
      <c r="X41">
        <f>HYPERLINK("https://klasma.github.io/Logging_2034/tillsyn/A 883-2026 tillsynsbegäran.docx", "A 883-2026")</f>
        <v/>
      </c>
      <c r="Y41">
        <f>HYPERLINK("https://klasma.github.io/Logging_2034/tillsynsmail/A 883-2026 tillsynsbegäran mail.docx", "A 883-2026")</f>
        <v/>
      </c>
    </row>
    <row r="42" ht="15" customHeight="1">
      <c r="A42" t="inlineStr">
        <is>
          <t>A 7619-2025</t>
        </is>
      </c>
      <c r="B42" s="1" t="n">
        <v>45705</v>
      </c>
      <c r="C42" s="1" t="n">
        <v>46200</v>
      </c>
      <c r="D42" t="inlineStr">
        <is>
          <t>DALARNAS LÄN</t>
        </is>
      </c>
      <c r="E42" t="inlineStr">
        <is>
          <t>ORSA</t>
        </is>
      </c>
      <c r="G42" t="n">
        <v>5.4</v>
      </c>
      <c r="H42" t="n">
        <v>3</v>
      </c>
      <c r="I42" t="n">
        <v>0</v>
      </c>
      <c r="J42" t="n">
        <v>2</v>
      </c>
      <c r="K42" t="n">
        <v>2</v>
      </c>
      <c r="L42" t="n">
        <v>0</v>
      </c>
      <c r="M42" t="n">
        <v>0</v>
      </c>
      <c r="N42" t="n">
        <v>0</v>
      </c>
      <c r="O42" t="n">
        <v>4</v>
      </c>
      <c r="P42" t="n">
        <v>2</v>
      </c>
      <c r="Q42" t="n">
        <v>5</v>
      </c>
      <c r="R42" s="2" t="inlineStr">
        <is>
          <t>Garnlav
Knärot
Skogshare
Tretåig hackspett
Spillkråka</t>
        </is>
      </c>
      <c r="S42">
        <f>HYPERLINK("https://klasma.github.io/Logging_2034/artfynd/A 7619-2025 artfynd.xlsx", "A 7619-2025")</f>
        <v/>
      </c>
      <c r="T42">
        <f>HYPERLINK("https://klasma.github.io/Logging_2034/kartor/A 7619-2025 karta.png", "A 7619-2025")</f>
        <v/>
      </c>
      <c r="U42">
        <f>HYPERLINK("https://klasma.github.io/Logging_2034/knärot/A 7619-2025 karta knärot.png", "A 7619-2025")</f>
        <v/>
      </c>
      <c r="V42">
        <f>HYPERLINK("https://klasma.github.io/Logging_2034/klagomål/A 7619-2025 FSC-klagomål.docx", "A 7619-2025")</f>
        <v/>
      </c>
      <c r="W42">
        <f>HYPERLINK("https://klasma.github.io/Logging_2034/klagomålsmail/A 7619-2025 FSC-klagomål mail.docx", "A 7619-2025")</f>
        <v/>
      </c>
      <c r="X42">
        <f>HYPERLINK("https://klasma.github.io/Logging_2034/tillsyn/A 7619-2025 tillsynsbegäran.docx", "A 7619-2025")</f>
        <v/>
      </c>
      <c r="Y42">
        <f>HYPERLINK("https://klasma.github.io/Logging_2034/tillsynsmail/A 7619-2025 tillsynsbegäran mail.docx", "A 7619-2025")</f>
        <v/>
      </c>
      <c r="Z42">
        <f>HYPERLINK("https://klasma.github.io/Logging_2034/fåglar/A 7619-2025 prioriterade fågelarter.docx", "A 7619-2025")</f>
        <v/>
      </c>
    </row>
    <row r="43" ht="15" customHeight="1">
      <c r="A43" t="inlineStr">
        <is>
          <t>A 35570-2024</t>
        </is>
      </c>
      <c r="B43" s="1" t="n">
        <v>45531</v>
      </c>
      <c r="C43" s="1" t="n">
        <v>46200</v>
      </c>
      <c r="D43" t="inlineStr">
        <is>
          <t>DALARNAS LÄN</t>
        </is>
      </c>
      <c r="E43" t="inlineStr">
        <is>
          <t>ORSA</t>
        </is>
      </c>
      <c r="G43" t="n">
        <v>3.3</v>
      </c>
      <c r="H43" t="n">
        <v>1</v>
      </c>
      <c r="I43" t="n">
        <v>0</v>
      </c>
      <c r="J43" t="n">
        <v>3</v>
      </c>
      <c r="K43" t="n">
        <v>1</v>
      </c>
      <c r="L43" t="n">
        <v>0</v>
      </c>
      <c r="M43" t="n">
        <v>0</v>
      </c>
      <c r="N43" t="n">
        <v>0</v>
      </c>
      <c r="O43" t="n">
        <v>4</v>
      </c>
      <c r="P43" t="n">
        <v>1</v>
      </c>
      <c r="Q43" t="n">
        <v>4</v>
      </c>
      <c r="R43" s="2" t="inlineStr">
        <is>
          <t>Garnlav
Dropptaggsvamp
Tretåig hackspett
Violettgrå tagellav</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8579-2025</t>
        </is>
      </c>
      <c r="B44" s="1" t="n">
        <v>45709</v>
      </c>
      <c r="C44" s="1" t="n">
        <v>46200</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18009-2023</t>
        </is>
      </c>
      <c r="B45" s="1" t="n">
        <v>45040</v>
      </c>
      <c r="C45" s="1" t="n">
        <v>46200</v>
      </c>
      <c r="D45" t="inlineStr">
        <is>
          <t>DALARNAS LÄN</t>
        </is>
      </c>
      <c r="E45" t="inlineStr">
        <is>
          <t>ORSA</t>
        </is>
      </c>
      <c r="G45" t="n">
        <v>5.8</v>
      </c>
      <c r="H45" t="n">
        <v>3</v>
      </c>
      <c r="I45" t="n">
        <v>2</v>
      </c>
      <c r="J45" t="n">
        <v>0</v>
      </c>
      <c r="K45" t="n">
        <v>0</v>
      </c>
      <c r="L45" t="n">
        <v>0</v>
      </c>
      <c r="M45" t="n">
        <v>0</v>
      </c>
      <c r="N45" t="n">
        <v>0</v>
      </c>
      <c r="O45" t="n">
        <v>0</v>
      </c>
      <c r="P45" t="n">
        <v>0</v>
      </c>
      <c r="Q45" t="n">
        <v>4</v>
      </c>
      <c r="R45" s="2" t="inlineStr">
        <is>
          <t>Guckusko
Tibast
Blåsippa
Fläcknycklar</t>
        </is>
      </c>
      <c r="S45">
        <f>HYPERLINK("https://klasma.github.io/Logging_2034/artfynd/A 18009-2023 artfynd.xlsx", "A 18009-2023")</f>
        <v/>
      </c>
      <c r="T45">
        <f>HYPERLINK("https://klasma.github.io/Logging_2034/kartor/A 18009-2023 karta.png", "A 18009-2023")</f>
        <v/>
      </c>
      <c r="V45">
        <f>HYPERLINK("https://klasma.github.io/Logging_2034/klagomål/A 18009-2023 FSC-klagomål.docx", "A 18009-2023")</f>
        <v/>
      </c>
      <c r="W45">
        <f>HYPERLINK("https://klasma.github.io/Logging_2034/klagomålsmail/A 18009-2023 FSC-klagomål mail.docx", "A 18009-2023")</f>
        <v/>
      </c>
      <c r="X45">
        <f>HYPERLINK("https://klasma.github.io/Logging_2034/tillsyn/A 18009-2023 tillsynsbegäran.docx", "A 18009-2023")</f>
        <v/>
      </c>
      <c r="Y45">
        <f>HYPERLINK("https://klasma.github.io/Logging_2034/tillsynsmail/A 18009-2023 tillsynsbegäran mail.docx", "A 18009-2023")</f>
        <v/>
      </c>
    </row>
    <row r="46" ht="15" customHeight="1">
      <c r="A46" t="inlineStr">
        <is>
          <t>A 21747-2025</t>
        </is>
      </c>
      <c r="B46" s="1" t="n">
        <v>45783</v>
      </c>
      <c r="C46" s="1" t="n">
        <v>46200</v>
      </c>
      <c r="D46" t="inlineStr">
        <is>
          <t>DALARNAS LÄN</t>
        </is>
      </c>
      <c r="E46" t="inlineStr">
        <is>
          <t>ORSA</t>
        </is>
      </c>
      <c r="G46" t="n">
        <v>1.2</v>
      </c>
      <c r="H46" t="n">
        <v>1</v>
      </c>
      <c r="I46" t="n">
        <v>1</v>
      </c>
      <c r="J46" t="n">
        <v>2</v>
      </c>
      <c r="K46" t="n">
        <v>1</v>
      </c>
      <c r="L46" t="n">
        <v>0</v>
      </c>
      <c r="M46" t="n">
        <v>0</v>
      </c>
      <c r="N46" t="n">
        <v>0</v>
      </c>
      <c r="O46" t="n">
        <v>3</v>
      </c>
      <c r="P46" t="n">
        <v>1</v>
      </c>
      <c r="Q46" t="n">
        <v>4</v>
      </c>
      <c r="R46" s="2" t="inlineStr">
        <is>
          <t>Garnlav
Tretåig hackspett
Violettgrå tagellav
Mindre märgborre</t>
        </is>
      </c>
      <c r="S46">
        <f>HYPERLINK("https://klasma.github.io/Logging_2034/artfynd/A 21747-2025 artfynd.xlsx", "A 21747-2025")</f>
        <v/>
      </c>
      <c r="T46">
        <f>HYPERLINK("https://klasma.github.io/Logging_2034/kartor/A 21747-2025 karta.png", "A 21747-2025")</f>
        <v/>
      </c>
      <c r="V46">
        <f>HYPERLINK("https://klasma.github.io/Logging_2034/klagomål/A 21747-2025 FSC-klagomål.docx", "A 21747-2025")</f>
        <v/>
      </c>
      <c r="W46">
        <f>HYPERLINK("https://klasma.github.io/Logging_2034/klagomålsmail/A 21747-2025 FSC-klagomål mail.docx", "A 21747-2025")</f>
        <v/>
      </c>
      <c r="X46">
        <f>HYPERLINK("https://klasma.github.io/Logging_2034/tillsyn/A 21747-2025 tillsynsbegäran.docx", "A 21747-2025")</f>
        <v/>
      </c>
      <c r="Y46">
        <f>HYPERLINK("https://klasma.github.io/Logging_2034/tillsynsmail/A 21747-2025 tillsynsbegäran mail.docx", "A 21747-2025")</f>
        <v/>
      </c>
      <c r="Z46">
        <f>HYPERLINK("https://klasma.github.io/Logging_2034/fåglar/A 21747-2025 prioriterade fågelarter.docx", "A 21747-2025")</f>
        <v/>
      </c>
    </row>
    <row r="47" ht="15" customHeight="1">
      <c r="A47" t="inlineStr">
        <is>
          <t>A 49516-2025</t>
        </is>
      </c>
      <c r="B47" s="1" t="n">
        <v>45939</v>
      </c>
      <c r="C47" s="1" t="n">
        <v>46200</v>
      </c>
      <c r="D47" t="inlineStr">
        <is>
          <t>DALARNAS LÄN</t>
        </is>
      </c>
      <c r="E47" t="inlineStr">
        <is>
          <t>ORSA</t>
        </is>
      </c>
      <c r="F47" t="inlineStr">
        <is>
          <t>Bergvik skog öst AB</t>
        </is>
      </c>
      <c r="G47" t="n">
        <v>3.9</v>
      </c>
      <c r="H47" t="n">
        <v>2</v>
      </c>
      <c r="I47" t="n">
        <v>1</v>
      </c>
      <c r="J47" t="n">
        <v>1</v>
      </c>
      <c r="K47" t="n">
        <v>1</v>
      </c>
      <c r="L47" t="n">
        <v>0</v>
      </c>
      <c r="M47" t="n">
        <v>0</v>
      </c>
      <c r="N47" t="n">
        <v>0</v>
      </c>
      <c r="O47" t="n">
        <v>2</v>
      </c>
      <c r="P47" t="n">
        <v>1</v>
      </c>
      <c r="Q47" t="n">
        <v>4</v>
      </c>
      <c r="R47" s="2" t="inlineStr">
        <is>
          <t>Garnlav
Tretåig hackspett
Stuplav
Tallbit</t>
        </is>
      </c>
      <c r="S47">
        <f>HYPERLINK("https://klasma.github.io/Logging_2034/artfynd/A 49516-2025 artfynd.xlsx", "A 49516-2025")</f>
        <v/>
      </c>
      <c r="T47">
        <f>HYPERLINK("https://klasma.github.io/Logging_2034/kartor/A 49516-2025 karta.png", "A 49516-2025")</f>
        <v/>
      </c>
      <c r="V47">
        <f>HYPERLINK("https://klasma.github.io/Logging_2034/klagomål/A 49516-2025 FSC-klagomål.docx", "A 49516-2025")</f>
        <v/>
      </c>
      <c r="W47">
        <f>HYPERLINK("https://klasma.github.io/Logging_2034/klagomålsmail/A 49516-2025 FSC-klagomål mail.docx", "A 49516-2025")</f>
        <v/>
      </c>
      <c r="X47">
        <f>HYPERLINK("https://klasma.github.io/Logging_2034/tillsyn/A 49516-2025 tillsynsbegäran.docx", "A 49516-2025")</f>
        <v/>
      </c>
      <c r="Y47">
        <f>HYPERLINK("https://klasma.github.io/Logging_2034/tillsynsmail/A 49516-2025 tillsynsbegäran mail.docx", "A 49516-2025")</f>
        <v/>
      </c>
      <c r="Z47">
        <f>HYPERLINK("https://klasma.github.io/Logging_2034/fåglar/A 49516-2025 prioriterade fågelarter.docx", "A 49516-2025")</f>
        <v/>
      </c>
    </row>
    <row r="48" ht="15" customHeight="1">
      <c r="A48" t="inlineStr">
        <is>
          <t>A 51070-2025</t>
        </is>
      </c>
      <c r="B48" s="1" t="n">
        <v>45947</v>
      </c>
      <c r="C48" s="1" t="n">
        <v>46200</v>
      </c>
      <c r="D48" t="inlineStr">
        <is>
          <t>DALARNAS LÄN</t>
        </is>
      </c>
      <c r="E48" t="inlineStr">
        <is>
          <t>ORSA</t>
        </is>
      </c>
      <c r="G48" t="n">
        <v>2.8</v>
      </c>
      <c r="H48" t="n">
        <v>2</v>
      </c>
      <c r="I48" t="n">
        <v>0</v>
      </c>
      <c r="J48" t="n">
        <v>2</v>
      </c>
      <c r="K48" t="n">
        <v>1</v>
      </c>
      <c r="L48" t="n">
        <v>0</v>
      </c>
      <c r="M48" t="n">
        <v>0</v>
      </c>
      <c r="N48" t="n">
        <v>0</v>
      </c>
      <c r="O48" t="n">
        <v>3</v>
      </c>
      <c r="P48" t="n">
        <v>1</v>
      </c>
      <c r="Q48" t="n">
        <v>4</v>
      </c>
      <c r="R48" s="2" t="inlineStr">
        <is>
          <t>Garnlav
Lunglav
Tretåig hackspett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48499-2024</t>
        </is>
      </c>
      <c r="B49" s="1" t="n">
        <v>45592</v>
      </c>
      <c r="C49" s="1" t="n">
        <v>46200</v>
      </c>
      <c r="D49" t="inlineStr">
        <is>
          <t>DALARNAS LÄN</t>
        </is>
      </c>
      <c r="E49" t="inlineStr">
        <is>
          <t>ORSA</t>
        </is>
      </c>
      <c r="G49" t="n">
        <v>11.1</v>
      </c>
      <c r="H49" t="n">
        <v>2</v>
      </c>
      <c r="I49" t="n">
        <v>0</v>
      </c>
      <c r="J49" t="n">
        <v>2</v>
      </c>
      <c r="K49" t="n">
        <v>1</v>
      </c>
      <c r="L49" t="n">
        <v>0</v>
      </c>
      <c r="M49" t="n">
        <v>0</v>
      </c>
      <c r="N49" t="n">
        <v>0</v>
      </c>
      <c r="O49" t="n">
        <v>3</v>
      </c>
      <c r="P49" t="n">
        <v>1</v>
      </c>
      <c r="Q49" t="n">
        <v>4</v>
      </c>
      <c r="R49" s="2" t="inlineStr">
        <is>
          <t>Garnlav
Skogshare
Tretåig hackspett
Spillkråka</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v>
      </c>
      <c r="C50" s="1" t="n">
        <v>46200</v>
      </c>
      <c r="D50" t="inlineStr">
        <is>
          <t>DALARNAS LÄN</t>
        </is>
      </c>
      <c r="E50" t="inlineStr">
        <is>
          <t>ORSA</t>
        </is>
      </c>
      <c r="G50" t="n">
        <v>6.8</v>
      </c>
      <c r="H50" t="n">
        <v>3</v>
      </c>
      <c r="I50" t="n">
        <v>0</v>
      </c>
      <c r="J50" t="n">
        <v>1</v>
      </c>
      <c r="K50" t="n">
        <v>1</v>
      </c>
      <c r="L50" t="n">
        <v>0</v>
      </c>
      <c r="M50" t="n">
        <v>0</v>
      </c>
      <c r="N50" t="n">
        <v>0</v>
      </c>
      <c r="O50" t="n">
        <v>2</v>
      </c>
      <c r="P50" t="n">
        <v>1</v>
      </c>
      <c r="Q50" t="n">
        <v>4</v>
      </c>
      <c r="R50" s="2" t="inlineStr">
        <is>
          <t>Garnlav
Tretåig hackspett
Järpe
Spillkråka</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51303-2023</t>
        </is>
      </c>
      <c r="B51" s="1" t="n">
        <v>45219</v>
      </c>
      <c r="C51" s="1" t="n">
        <v>46200</v>
      </c>
      <c r="D51" t="inlineStr">
        <is>
          <t>DALARNAS LÄN</t>
        </is>
      </c>
      <c r="E51" t="inlineStr">
        <is>
          <t>ORSA</t>
        </is>
      </c>
      <c r="G51" t="n">
        <v>1.8</v>
      </c>
      <c r="H51" t="n">
        <v>1</v>
      </c>
      <c r="I51" t="n">
        <v>1</v>
      </c>
      <c r="J51" t="n">
        <v>1</v>
      </c>
      <c r="K51" t="n">
        <v>0</v>
      </c>
      <c r="L51" t="n">
        <v>0</v>
      </c>
      <c r="M51" t="n">
        <v>0</v>
      </c>
      <c r="N51" t="n">
        <v>0</v>
      </c>
      <c r="O51" t="n">
        <v>1</v>
      </c>
      <c r="P51" t="n">
        <v>0</v>
      </c>
      <c r="Q51" t="n">
        <v>3</v>
      </c>
      <c r="R51" s="2" t="inlineStr">
        <is>
          <t>Tallticka
Mindre märgborre
Spillkråka</t>
        </is>
      </c>
      <c r="S51">
        <f>HYPERLINK("https://klasma.github.io/Logging_2034/artfynd/A 51303-2023 artfynd.xlsx", "A 51303-2023")</f>
        <v/>
      </c>
      <c r="T51">
        <f>HYPERLINK("https://klasma.github.io/Logging_2034/kartor/A 51303-2023 karta.png", "A 51303-2023")</f>
        <v/>
      </c>
      <c r="V51">
        <f>HYPERLINK("https://klasma.github.io/Logging_2034/klagomål/A 51303-2023 FSC-klagomål.docx", "A 51303-2023")</f>
        <v/>
      </c>
      <c r="W51">
        <f>HYPERLINK("https://klasma.github.io/Logging_2034/klagomålsmail/A 51303-2023 FSC-klagomål mail.docx", "A 51303-2023")</f>
        <v/>
      </c>
      <c r="X51">
        <f>HYPERLINK("https://klasma.github.io/Logging_2034/tillsyn/A 51303-2023 tillsynsbegäran.docx", "A 51303-2023")</f>
        <v/>
      </c>
      <c r="Y51">
        <f>HYPERLINK("https://klasma.github.io/Logging_2034/tillsynsmail/A 51303-2023 tillsynsbegäran mail.docx", "A 51303-2023")</f>
        <v/>
      </c>
      <c r="Z51">
        <f>HYPERLINK("https://klasma.github.io/Logging_2034/fåglar/A 51303-2023 prioriterade fågelarter.docx", "A 51303-2023")</f>
        <v/>
      </c>
    </row>
    <row r="52" ht="15" customHeight="1">
      <c r="A52" t="inlineStr">
        <is>
          <t>A 48343-2022</t>
        </is>
      </c>
      <c r="B52" s="1" t="n">
        <v>44858</v>
      </c>
      <c r="C52" s="1" t="n">
        <v>46200</v>
      </c>
      <c r="D52" t="inlineStr">
        <is>
          <t>DALARNAS LÄN</t>
        </is>
      </c>
      <c r="E52" t="inlineStr">
        <is>
          <t>ORSA</t>
        </is>
      </c>
      <c r="G52" t="n">
        <v>1.6</v>
      </c>
      <c r="H52" t="n">
        <v>2</v>
      </c>
      <c r="I52" t="n">
        <v>0</v>
      </c>
      <c r="J52" t="n">
        <v>1</v>
      </c>
      <c r="K52" t="n">
        <v>1</v>
      </c>
      <c r="L52" t="n">
        <v>0</v>
      </c>
      <c r="M52" t="n">
        <v>0</v>
      </c>
      <c r="N52" t="n">
        <v>0</v>
      </c>
      <c r="O52" t="n">
        <v>2</v>
      </c>
      <c r="P52" t="n">
        <v>1</v>
      </c>
      <c r="Q52" t="n">
        <v>3</v>
      </c>
      <c r="R52" s="2" t="inlineStr">
        <is>
          <t>Igelkott
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37457-2025</t>
        </is>
      </c>
      <c r="B53" s="1" t="n">
        <v>45877</v>
      </c>
      <c r="C53" s="1" t="n">
        <v>46200</v>
      </c>
      <c r="D53" t="inlineStr">
        <is>
          <t>DALARNAS LÄN</t>
        </is>
      </c>
      <c r="E53" t="inlineStr">
        <is>
          <t>ORSA</t>
        </is>
      </c>
      <c r="F53" t="inlineStr">
        <is>
          <t>Allmännings- och besparingsskogar</t>
        </is>
      </c>
      <c r="G53" t="n">
        <v>6.5</v>
      </c>
      <c r="H53" t="n">
        <v>0</v>
      </c>
      <c r="I53" t="n">
        <v>0</v>
      </c>
      <c r="J53" t="n">
        <v>2</v>
      </c>
      <c r="K53" t="n">
        <v>0</v>
      </c>
      <c r="L53" t="n">
        <v>1</v>
      </c>
      <c r="M53" t="n">
        <v>0</v>
      </c>
      <c r="N53" t="n">
        <v>0</v>
      </c>
      <c r="O53" t="n">
        <v>3</v>
      </c>
      <c r="P53" t="n">
        <v>1</v>
      </c>
      <c r="Q53" t="n">
        <v>3</v>
      </c>
      <c r="R53" s="2" t="inlineStr">
        <is>
          <t>Urskogsporing
Blanksvart spiklav
Dvärgbägarlav</t>
        </is>
      </c>
      <c r="S53">
        <f>HYPERLINK("https://klasma.github.io/Logging_2034/artfynd/A 37457-2025 artfynd.xlsx", "A 37457-2025")</f>
        <v/>
      </c>
      <c r="T53">
        <f>HYPERLINK("https://klasma.github.io/Logging_2034/kartor/A 37457-2025 karta.png", "A 37457-2025")</f>
        <v/>
      </c>
      <c r="V53">
        <f>HYPERLINK("https://klasma.github.io/Logging_2034/klagomål/A 37457-2025 FSC-klagomål.docx", "A 37457-2025")</f>
        <v/>
      </c>
      <c r="W53">
        <f>HYPERLINK("https://klasma.github.io/Logging_2034/klagomålsmail/A 37457-2025 FSC-klagomål mail.docx", "A 37457-2025")</f>
        <v/>
      </c>
      <c r="X53">
        <f>HYPERLINK("https://klasma.github.io/Logging_2034/tillsyn/A 37457-2025 tillsynsbegäran.docx", "A 37457-2025")</f>
        <v/>
      </c>
      <c r="Y53">
        <f>HYPERLINK("https://klasma.github.io/Logging_2034/tillsynsmail/A 37457-2025 tillsynsbegäran mail.docx", "A 37457-2025")</f>
        <v/>
      </c>
    </row>
    <row r="54" ht="15" customHeight="1">
      <c r="A54" t="inlineStr">
        <is>
          <t>A 48985-2025</t>
        </is>
      </c>
      <c r="B54" s="1" t="n">
        <v>45937</v>
      </c>
      <c r="C54" s="1" t="n">
        <v>46200</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41553-2025</t>
        </is>
      </c>
      <c r="B55" s="1" t="n">
        <v>45901</v>
      </c>
      <c r="C55" s="1" t="n">
        <v>46200</v>
      </c>
      <c r="D55" t="inlineStr">
        <is>
          <t>DALARNAS LÄN</t>
        </is>
      </c>
      <c r="E55" t="inlineStr">
        <is>
          <t>ORSA</t>
        </is>
      </c>
      <c r="F55" t="inlineStr">
        <is>
          <t>Bergvik skog väst AB</t>
        </is>
      </c>
      <c r="G55" t="n">
        <v>2.2</v>
      </c>
      <c r="H55" t="n">
        <v>0</v>
      </c>
      <c r="I55" t="n">
        <v>1</v>
      </c>
      <c r="J55" t="n">
        <v>1</v>
      </c>
      <c r="K55" t="n">
        <v>1</v>
      </c>
      <c r="L55" t="n">
        <v>0</v>
      </c>
      <c r="M55" t="n">
        <v>0</v>
      </c>
      <c r="N55" t="n">
        <v>0</v>
      </c>
      <c r="O55" t="n">
        <v>2</v>
      </c>
      <c r="P55" t="n">
        <v>1</v>
      </c>
      <c r="Q55" t="n">
        <v>3</v>
      </c>
      <c r="R55" s="2" t="inlineStr">
        <is>
          <t>Honungsticka
Rosenticka
Rävticka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56344-2025</t>
        </is>
      </c>
      <c r="B56" s="1" t="n">
        <v>45974</v>
      </c>
      <c r="C56" s="1" t="n">
        <v>46200</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46200</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31164-2025</t>
        </is>
      </c>
      <c r="B58" s="1" t="n">
        <v>45832</v>
      </c>
      <c r="C58" s="1" t="n">
        <v>46200</v>
      </c>
      <c r="D58" t="inlineStr">
        <is>
          <t>DALARNAS LÄN</t>
        </is>
      </c>
      <c r="E58" t="inlineStr">
        <is>
          <t>ORSA</t>
        </is>
      </c>
      <c r="G58" t="n">
        <v>0.9</v>
      </c>
      <c r="H58" t="n">
        <v>1</v>
      </c>
      <c r="I58" t="n">
        <v>1</v>
      </c>
      <c r="J58" t="n">
        <v>1</v>
      </c>
      <c r="K58" t="n">
        <v>1</v>
      </c>
      <c r="L58" t="n">
        <v>0</v>
      </c>
      <c r="M58" t="n">
        <v>0</v>
      </c>
      <c r="N58" t="n">
        <v>0</v>
      </c>
      <c r="O58" t="n">
        <v>2</v>
      </c>
      <c r="P58" t="n">
        <v>1</v>
      </c>
      <c r="Q58" t="n">
        <v>3</v>
      </c>
      <c r="R58" s="2" t="inlineStr">
        <is>
          <t>Garnlav
Tretåig hackspett
Bronshjon</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64154-2025</t>
        </is>
      </c>
      <c r="B59" s="1" t="n">
        <v>46022</v>
      </c>
      <c r="C59" s="1" t="n">
        <v>46200</v>
      </c>
      <c r="D59" t="inlineStr">
        <is>
          <t>DALARNAS LÄN</t>
        </is>
      </c>
      <c r="E59" t="inlineStr">
        <is>
          <t>ORSA</t>
        </is>
      </c>
      <c r="G59" t="n">
        <v>29.9</v>
      </c>
      <c r="H59" t="n">
        <v>1</v>
      </c>
      <c r="I59" t="n">
        <v>1</v>
      </c>
      <c r="J59" t="n">
        <v>1</v>
      </c>
      <c r="K59" t="n">
        <v>1</v>
      </c>
      <c r="L59" t="n">
        <v>0</v>
      </c>
      <c r="M59" t="n">
        <v>0</v>
      </c>
      <c r="N59" t="n">
        <v>0</v>
      </c>
      <c r="O59" t="n">
        <v>2</v>
      </c>
      <c r="P59" t="n">
        <v>1</v>
      </c>
      <c r="Q59" t="n">
        <v>3</v>
      </c>
      <c r="R59" s="2" t="inlineStr">
        <is>
          <t>Garnlav
Tretåig hackspett
Mindre märgborre</t>
        </is>
      </c>
      <c r="S59">
        <f>HYPERLINK("https://klasma.github.io/Logging_2034/artfynd/A 64154-2025 artfynd.xlsx", "A 64154-2025")</f>
        <v/>
      </c>
      <c r="T59">
        <f>HYPERLINK("https://klasma.github.io/Logging_2034/kartor/A 64154-2025 karta.png", "A 64154-2025")</f>
        <v/>
      </c>
      <c r="V59">
        <f>HYPERLINK("https://klasma.github.io/Logging_2034/klagomål/A 64154-2025 FSC-klagomål.docx", "A 64154-2025")</f>
        <v/>
      </c>
      <c r="W59">
        <f>HYPERLINK("https://klasma.github.io/Logging_2034/klagomålsmail/A 64154-2025 FSC-klagomål mail.docx", "A 64154-2025")</f>
        <v/>
      </c>
      <c r="X59">
        <f>HYPERLINK("https://klasma.github.io/Logging_2034/tillsyn/A 64154-2025 tillsynsbegäran.docx", "A 64154-2025")</f>
        <v/>
      </c>
      <c r="Y59">
        <f>HYPERLINK("https://klasma.github.io/Logging_2034/tillsynsmail/A 64154-2025 tillsynsbegäran mail.docx", "A 64154-2025")</f>
        <v/>
      </c>
      <c r="Z59">
        <f>HYPERLINK("https://klasma.github.io/Logging_2034/fåglar/A 64154-2025 prioriterade fågelarter.docx", "A 64154-2025")</f>
        <v/>
      </c>
    </row>
    <row r="60" ht="15" customHeight="1">
      <c r="A60" t="inlineStr">
        <is>
          <t>A 21364-2025</t>
        </is>
      </c>
      <c r="B60" s="1" t="n">
        <v>45782</v>
      </c>
      <c r="C60" s="1" t="n">
        <v>46200</v>
      </c>
      <c r="D60" t="inlineStr">
        <is>
          <t>DALARNAS LÄN</t>
        </is>
      </c>
      <c r="E60" t="inlineStr">
        <is>
          <t>ORSA</t>
        </is>
      </c>
      <c r="F60" t="inlineStr">
        <is>
          <t>Allmännings- och besparingsskogar</t>
        </is>
      </c>
      <c r="G60" t="n">
        <v>52.6</v>
      </c>
      <c r="H60" t="n">
        <v>2</v>
      </c>
      <c r="I60" t="n">
        <v>0</v>
      </c>
      <c r="J60" t="n">
        <v>0</v>
      </c>
      <c r="K60" t="n">
        <v>1</v>
      </c>
      <c r="L60" t="n">
        <v>0</v>
      </c>
      <c r="M60" t="n">
        <v>0</v>
      </c>
      <c r="N60" t="n">
        <v>0</v>
      </c>
      <c r="O60" t="n">
        <v>1</v>
      </c>
      <c r="P60" t="n">
        <v>1</v>
      </c>
      <c r="Q60" t="n">
        <v>2</v>
      </c>
      <c r="R60" s="2" t="inlineStr">
        <is>
          <t>Lappuggla
Orre</t>
        </is>
      </c>
      <c r="S60">
        <f>HYPERLINK("https://klasma.github.io/Logging_2034/artfynd/A 21364-2025 artfynd.xlsx", "A 21364-2025")</f>
        <v/>
      </c>
      <c r="T60">
        <f>HYPERLINK("https://klasma.github.io/Logging_2034/kartor/A 21364-2025 karta.png", "A 21364-2025")</f>
        <v/>
      </c>
      <c r="V60">
        <f>HYPERLINK("https://klasma.github.io/Logging_2034/klagomål/A 21364-2025 FSC-klagomål.docx", "A 21364-2025")</f>
        <v/>
      </c>
      <c r="W60">
        <f>HYPERLINK("https://klasma.github.io/Logging_2034/klagomålsmail/A 21364-2025 FSC-klagomål mail.docx", "A 21364-2025")</f>
        <v/>
      </c>
      <c r="X60">
        <f>HYPERLINK("https://klasma.github.io/Logging_2034/tillsyn/A 21364-2025 tillsynsbegäran.docx", "A 21364-2025")</f>
        <v/>
      </c>
      <c r="Y60">
        <f>HYPERLINK("https://klasma.github.io/Logging_2034/tillsynsmail/A 21364-2025 tillsynsbegäran mail.docx", "A 21364-2025")</f>
        <v/>
      </c>
      <c r="Z60">
        <f>HYPERLINK("https://klasma.github.io/Logging_2034/fåglar/A 21364-2025 prioriterade fågelarter.docx", "A 21364-2025")</f>
        <v/>
      </c>
    </row>
    <row r="61" ht="15" customHeight="1">
      <c r="A61" t="inlineStr">
        <is>
          <t>A 63810-2021</t>
        </is>
      </c>
      <c r="B61" s="1" t="n">
        <v>44509</v>
      </c>
      <c r="C61" s="1" t="n">
        <v>46200</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36569-2021</t>
        </is>
      </c>
      <c r="B62" s="1" t="n">
        <v>44391</v>
      </c>
      <c r="C62" s="1" t="n">
        <v>46200</v>
      </c>
      <c r="D62" t="inlineStr">
        <is>
          <t>DALARNAS LÄN</t>
        </is>
      </c>
      <c r="E62" t="inlineStr">
        <is>
          <t>ORSA</t>
        </is>
      </c>
      <c r="G62" t="n">
        <v>8.800000000000001</v>
      </c>
      <c r="H62" t="n">
        <v>2</v>
      </c>
      <c r="I62" t="n">
        <v>0</v>
      </c>
      <c r="J62" t="n">
        <v>0</v>
      </c>
      <c r="K62" t="n">
        <v>0</v>
      </c>
      <c r="L62" t="n">
        <v>0</v>
      </c>
      <c r="M62" t="n">
        <v>0</v>
      </c>
      <c r="N62" t="n">
        <v>0</v>
      </c>
      <c r="O62" t="n">
        <v>0</v>
      </c>
      <c r="P62" t="n">
        <v>0</v>
      </c>
      <c r="Q62" t="n">
        <v>2</v>
      </c>
      <c r="R62" s="2" t="inlineStr">
        <is>
          <t>Fläcknycklar
Myggblomster</t>
        </is>
      </c>
      <c r="S62">
        <f>HYPERLINK("https://klasma.github.io/Logging_2034/artfynd/A 36569-2021 artfynd.xlsx", "A 36569-2021")</f>
        <v/>
      </c>
      <c r="T62">
        <f>HYPERLINK("https://klasma.github.io/Logging_2034/kartor/A 36569-2021 karta.png", "A 36569-2021")</f>
        <v/>
      </c>
      <c r="V62">
        <f>HYPERLINK("https://klasma.github.io/Logging_2034/klagomål/A 36569-2021 FSC-klagomål.docx", "A 36569-2021")</f>
        <v/>
      </c>
      <c r="W62">
        <f>HYPERLINK("https://klasma.github.io/Logging_2034/klagomålsmail/A 36569-2021 FSC-klagomål mail.docx", "A 36569-2021")</f>
        <v/>
      </c>
      <c r="X62">
        <f>HYPERLINK("https://klasma.github.io/Logging_2034/tillsyn/A 36569-2021 tillsynsbegäran.docx", "A 36569-2021")</f>
        <v/>
      </c>
      <c r="Y62">
        <f>HYPERLINK("https://klasma.github.io/Logging_2034/tillsynsmail/A 36569-2021 tillsynsbegäran mail.docx", "A 36569-2021")</f>
        <v/>
      </c>
    </row>
    <row r="63" ht="15" customHeight="1">
      <c r="A63" t="inlineStr">
        <is>
          <t>A 48973-2025</t>
        </is>
      </c>
      <c r="B63" s="1" t="n">
        <v>45937</v>
      </c>
      <c r="C63" s="1" t="n">
        <v>46200</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42327-2025</t>
        </is>
      </c>
      <c r="B64" s="1" t="n">
        <v>45904</v>
      </c>
      <c r="C64" s="1" t="n">
        <v>46200</v>
      </c>
      <c r="D64" t="inlineStr">
        <is>
          <t>DALARNAS LÄN</t>
        </is>
      </c>
      <c r="E64" t="inlineStr">
        <is>
          <t>ORSA</t>
        </is>
      </c>
      <c r="G64" t="n">
        <v>1.6</v>
      </c>
      <c r="H64" t="n">
        <v>2</v>
      </c>
      <c r="I64" t="n">
        <v>0</v>
      </c>
      <c r="J64" t="n">
        <v>2</v>
      </c>
      <c r="K64" t="n">
        <v>0</v>
      </c>
      <c r="L64" t="n">
        <v>0</v>
      </c>
      <c r="M64" t="n">
        <v>0</v>
      </c>
      <c r="N64" t="n">
        <v>0</v>
      </c>
      <c r="O64" t="n">
        <v>2</v>
      </c>
      <c r="P64" t="n">
        <v>0</v>
      </c>
      <c r="Q64" t="n">
        <v>2</v>
      </c>
      <c r="R64" s="2" t="inlineStr">
        <is>
          <t>Grönsångare
Lavskrika</t>
        </is>
      </c>
      <c r="S64">
        <f>HYPERLINK("https://klasma.github.io/Logging_2034/artfynd/A 42327-2025 artfynd.xlsx", "A 42327-2025")</f>
        <v/>
      </c>
      <c r="T64">
        <f>HYPERLINK("https://klasma.github.io/Logging_2034/kartor/A 42327-2025 karta.png", "A 42327-2025")</f>
        <v/>
      </c>
      <c r="V64">
        <f>HYPERLINK("https://klasma.github.io/Logging_2034/klagomål/A 42327-2025 FSC-klagomål.docx", "A 42327-2025")</f>
        <v/>
      </c>
      <c r="W64">
        <f>HYPERLINK("https://klasma.github.io/Logging_2034/klagomålsmail/A 42327-2025 FSC-klagomål mail.docx", "A 42327-2025")</f>
        <v/>
      </c>
      <c r="X64">
        <f>HYPERLINK("https://klasma.github.io/Logging_2034/tillsyn/A 42327-2025 tillsynsbegäran.docx", "A 42327-2025")</f>
        <v/>
      </c>
      <c r="Y64">
        <f>HYPERLINK("https://klasma.github.io/Logging_2034/tillsynsmail/A 42327-2025 tillsynsbegäran mail.docx", "A 42327-2025")</f>
        <v/>
      </c>
      <c r="Z64">
        <f>HYPERLINK("https://klasma.github.io/Logging_2034/fåglar/A 42327-2025 prioriterade fågelarter.docx", "A 42327-2025")</f>
        <v/>
      </c>
    </row>
    <row r="65" ht="15" customHeight="1">
      <c r="A65" t="inlineStr">
        <is>
          <t>A 54687-2025</t>
        </is>
      </c>
      <c r="B65" s="1" t="n">
        <v>45966</v>
      </c>
      <c r="C65" s="1" t="n">
        <v>46200</v>
      </c>
      <c r="D65" t="inlineStr">
        <is>
          <t>DALARNAS LÄN</t>
        </is>
      </c>
      <c r="E65" t="inlineStr">
        <is>
          <t>ORSA</t>
        </is>
      </c>
      <c r="F65" t="inlineStr">
        <is>
          <t>Allmännings- och besparingsskogar</t>
        </is>
      </c>
      <c r="G65" t="n">
        <v>2</v>
      </c>
      <c r="H65" t="n">
        <v>1</v>
      </c>
      <c r="I65" t="n">
        <v>0</v>
      </c>
      <c r="J65" t="n">
        <v>1</v>
      </c>
      <c r="K65" t="n">
        <v>1</v>
      </c>
      <c r="L65" t="n">
        <v>0</v>
      </c>
      <c r="M65" t="n">
        <v>0</v>
      </c>
      <c r="N65" t="n">
        <v>0</v>
      </c>
      <c r="O65" t="n">
        <v>2</v>
      </c>
      <c r="P65" t="n">
        <v>1</v>
      </c>
      <c r="Q65" t="n">
        <v>2</v>
      </c>
      <c r="R65" s="2" t="inlineStr">
        <is>
          <t>Garnlav
Tretåig hackspett</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c r="Z65">
        <f>HYPERLINK("https://klasma.github.io/Logging_2034/fåglar/A 54687-2025 prioriterade fågelarter.docx", "A 54687-2025")</f>
        <v/>
      </c>
    </row>
    <row r="66" ht="15" customHeight="1">
      <c r="A66" t="inlineStr">
        <is>
          <t>A 18692-2026</t>
        </is>
      </c>
      <c r="B66" s="1" t="n">
        <v>46128</v>
      </c>
      <c r="C66" s="1" t="n">
        <v>46200</v>
      </c>
      <c r="D66" t="inlineStr">
        <is>
          <t>DALARNAS LÄN</t>
        </is>
      </c>
      <c r="E66" t="inlineStr">
        <is>
          <t>ORSA</t>
        </is>
      </c>
      <c r="G66" t="n">
        <v>3.3</v>
      </c>
      <c r="H66" t="n">
        <v>1</v>
      </c>
      <c r="I66" t="n">
        <v>1</v>
      </c>
      <c r="J66" t="n">
        <v>0</v>
      </c>
      <c r="K66" t="n">
        <v>0</v>
      </c>
      <c r="L66" t="n">
        <v>0</v>
      </c>
      <c r="M66" t="n">
        <v>0</v>
      </c>
      <c r="N66" t="n">
        <v>0</v>
      </c>
      <c r="O66" t="n">
        <v>0</v>
      </c>
      <c r="P66" t="n">
        <v>0</v>
      </c>
      <c r="Q66" t="n">
        <v>2</v>
      </c>
      <c r="R66" s="2" t="inlineStr">
        <is>
          <t>Mindre märgborre
Tjäder</t>
        </is>
      </c>
      <c r="S66">
        <f>HYPERLINK("https://klasma.github.io/Logging_2034/artfynd/A 18692-2026 artfynd.xlsx", "A 18692-2026")</f>
        <v/>
      </c>
      <c r="T66">
        <f>HYPERLINK("https://klasma.github.io/Logging_2034/kartor/A 18692-2026 karta.png", "A 18692-2026")</f>
        <v/>
      </c>
      <c r="V66">
        <f>HYPERLINK("https://klasma.github.io/Logging_2034/klagomål/A 18692-2026 FSC-klagomål.docx", "A 18692-2026")</f>
        <v/>
      </c>
      <c r="W66">
        <f>HYPERLINK("https://klasma.github.io/Logging_2034/klagomålsmail/A 18692-2026 FSC-klagomål mail.docx", "A 18692-2026")</f>
        <v/>
      </c>
      <c r="X66">
        <f>HYPERLINK("https://klasma.github.io/Logging_2034/tillsyn/A 18692-2026 tillsynsbegäran.docx", "A 18692-2026")</f>
        <v/>
      </c>
      <c r="Y66">
        <f>HYPERLINK("https://klasma.github.io/Logging_2034/tillsynsmail/A 18692-2026 tillsynsbegäran mail.docx", "A 18692-2026")</f>
        <v/>
      </c>
      <c r="Z66">
        <f>HYPERLINK("https://klasma.github.io/Logging_2034/fåglar/A 18692-2026 prioriterade fågelarter.docx", "A 18692-2026")</f>
        <v/>
      </c>
    </row>
    <row r="67" ht="15" customHeight="1">
      <c r="A67" t="inlineStr">
        <is>
          <t>A 31336-2025</t>
        </is>
      </c>
      <c r="B67" s="1" t="n">
        <v>45833</v>
      </c>
      <c r="C67" s="1" t="n">
        <v>46200</v>
      </c>
      <c r="D67" t="inlineStr">
        <is>
          <t>DALARNAS LÄN</t>
        </is>
      </c>
      <c r="E67" t="inlineStr">
        <is>
          <t>ORSA</t>
        </is>
      </c>
      <c r="G67" t="n">
        <v>12.8</v>
      </c>
      <c r="H67" t="n">
        <v>1</v>
      </c>
      <c r="I67" t="n">
        <v>0</v>
      </c>
      <c r="J67" t="n">
        <v>0</v>
      </c>
      <c r="K67" t="n">
        <v>1</v>
      </c>
      <c r="L67" t="n">
        <v>0</v>
      </c>
      <c r="M67" t="n">
        <v>0</v>
      </c>
      <c r="N67" t="n">
        <v>0</v>
      </c>
      <c r="O67" t="n">
        <v>1</v>
      </c>
      <c r="P67" t="n">
        <v>1</v>
      </c>
      <c r="Q67" t="n">
        <v>2</v>
      </c>
      <c r="R67" s="2" t="inlineStr">
        <is>
          <t>Garnlav
Spillkråka</t>
        </is>
      </c>
      <c r="S67">
        <f>HYPERLINK("https://klasma.github.io/Logging_2034/artfynd/A 31336-2025 artfynd.xlsx", "A 31336-2025")</f>
        <v/>
      </c>
      <c r="T67">
        <f>HYPERLINK("https://klasma.github.io/Logging_2034/kartor/A 31336-2025 karta.png", "A 31336-2025")</f>
        <v/>
      </c>
      <c r="V67">
        <f>HYPERLINK("https://klasma.github.io/Logging_2034/klagomål/A 31336-2025 FSC-klagomål.docx", "A 31336-2025")</f>
        <v/>
      </c>
      <c r="W67">
        <f>HYPERLINK("https://klasma.github.io/Logging_2034/klagomålsmail/A 31336-2025 FSC-klagomål mail.docx", "A 31336-2025")</f>
        <v/>
      </c>
      <c r="X67">
        <f>HYPERLINK("https://klasma.github.io/Logging_2034/tillsyn/A 31336-2025 tillsynsbegäran.docx", "A 31336-2025")</f>
        <v/>
      </c>
      <c r="Y67">
        <f>HYPERLINK("https://klasma.github.io/Logging_2034/tillsynsmail/A 31336-2025 tillsynsbegäran mail.docx", "A 31336-2025")</f>
        <v/>
      </c>
      <c r="Z67">
        <f>HYPERLINK("https://klasma.github.io/Logging_2034/fåglar/A 31336-2025 prioriterade fågelarter.docx", "A 31336-2025")</f>
        <v/>
      </c>
    </row>
    <row r="68" ht="15" customHeight="1">
      <c r="A68" t="inlineStr">
        <is>
          <t>A 9807-2022</t>
        </is>
      </c>
      <c r="B68" s="1" t="n">
        <v>44620</v>
      </c>
      <c r="C68" s="1" t="n">
        <v>46200</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593-2024</t>
        </is>
      </c>
      <c r="B69" s="1" t="n">
        <v>45299</v>
      </c>
      <c r="C69" s="1" t="n">
        <v>46200</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30493-2024</t>
        </is>
      </c>
      <c r="B70" s="1" t="n">
        <v>45492</v>
      </c>
      <c r="C70" s="1" t="n">
        <v>46200</v>
      </c>
      <c r="D70" t="inlineStr">
        <is>
          <t>DALARNAS LÄN</t>
        </is>
      </c>
      <c r="E70" t="inlineStr">
        <is>
          <t>ORSA</t>
        </is>
      </c>
      <c r="F70" t="inlineStr">
        <is>
          <t>Övriga statliga verk och myndigheter</t>
        </is>
      </c>
      <c r="G70" t="n">
        <v>2.2</v>
      </c>
      <c r="H70" t="n">
        <v>0</v>
      </c>
      <c r="I70" t="n">
        <v>0</v>
      </c>
      <c r="J70" t="n">
        <v>0</v>
      </c>
      <c r="K70" t="n">
        <v>1</v>
      </c>
      <c r="L70" t="n">
        <v>0</v>
      </c>
      <c r="M70" t="n">
        <v>0</v>
      </c>
      <c r="N70" t="n">
        <v>0</v>
      </c>
      <c r="O70" t="n">
        <v>1</v>
      </c>
      <c r="P70" t="n">
        <v>1</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56807-2024</t>
        </is>
      </c>
      <c r="B71" s="1" t="n">
        <v>45628</v>
      </c>
      <c r="C71" s="1" t="n">
        <v>46200</v>
      </c>
      <c r="D71" t="inlineStr">
        <is>
          <t>DALARNAS LÄN</t>
        </is>
      </c>
      <c r="E71" t="inlineStr">
        <is>
          <t>ORSA</t>
        </is>
      </c>
      <c r="G71" t="n">
        <v>1.9</v>
      </c>
      <c r="H71" t="n">
        <v>1</v>
      </c>
      <c r="I71" t="n">
        <v>0</v>
      </c>
      <c r="J71" t="n">
        <v>1</v>
      </c>
      <c r="K71" t="n">
        <v>0</v>
      </c>
      <c r="L71" t="n">
        <v>0</v>
      </c>
      <c r="M71" t="n">
        <v>0</v>
      </c>
      <c r="N71" t="n">
        <v>0</v>
      </c>
      <c r="O71" t="n">
        <v>1</v>
      </c>
      <c r="P71" t="n">
        <v>0</v>
      </c>
      <c r="Q71" t="n">
        <v>1</v>
      </c>
      <c r="R71" s="2" t="inlineStr">
        <is>
          <t>Lavskrika</t>
        </is>
      </c>
      <c r="S71">
        <f>HYPERLINK("https://klasma.github.io/Logging_2034/artfynd/A 56807-2024 artfynd.xlsx", "A 56807-2024")</f>
        <v/>
      </c>
      <c r="T71">
        <f>HYPERLINK("https://klasma.github.io/Logging_2034/kartor/A 56807-2024 karta.png", "A 56807-2024")</f>
        <v/>
      </c>
      <c r="V71">
        <f>HYPERLINK("https://klasma.github.io/Logging_2034/klagomål/A 56807-2024 FSC-klagomål.docx", "A 56807-2024")</f>
        <v/>
      </c>
      <c r="W71">
        <f>HYPERLINK("https://klasma.github.io/Logging_2034/klagomålsmail/A 56807-2024 FSC-klagomål mail.docx", "A 56807-2024")</f>
        <v/>
      </c>
      <c r="X71">
        <f>HYPERLINK("https://klasma.github.io/Logging_2034/tillsyn/A 56807-2024 tillsynsbegäran.docx", "A 56807-2024")</f>
        <v/>
      </c>
      <c r="Y71">
        <f>HYPERLINK("https://klasma.github.io/Logging_2034/tillsynsmail/A 56807-2024 tillsynsbegäran mail.docx", "A 56807-2024")</f>
        <v/>
      </c>
      <c r="Z71">
        <f>HYPERLINK("https://klasma.github.io/Logging_2034/fåglar/A 56807-2024 prioriterade fågelarter.docx", "A 56807-2024")</f>
        <v/>
      </c>
    </row>
    <row r="72" ht="15" customHeight="1">
      <c r="A72" t="inlineStr">
        <is>
          <t>A 37887-2023</t>
        </is>
      </c>
      <c r="B72" s="1" t="n">
        <v>45160</v>
      </c>
      <c r="C72" s="1" t="n">
        <v>46200</v>
      </c>
      <c r="D72" t="inlineStr">
        <is>
          <t>DALARNAS LÄN</t>
        </is>
      </c>
      <c r="E72" t="inlineStr">
        <is>
          <t>ORSA</t>
        </is>
      </c>
      <c r="F72" t="inlineStr">
        <is>
          <t>Allmännings- och besparingsskogar</t>
        </is>
      </c>
      <c r="G72" t="n">
        <v>20.5</v>
      </c>
      <c r="H72" t="n">
        <v>1</v>
      </c>
      <c r="I72" t="n">
        <v>0</v>
      </c>
      <c r="J72" t="n">
        <v>1</v>
      </c>
      <c r="K72" t="n">
        <v>0</v>
      </c>
      <c r="L72" t="n">
        <v>0</v>
      </c>
      <c r="M72" t="n">
        <v>0</v>
      </c>
      <c r="N72" t="n">
        <v>0</v>
      </c>
      <c r="O72" t="n">
        <v>1</v>
      </c>
      <c r="P72" t="n">
        <v>0</v>
      </c>
      <c r="Q72" t="n">
        <v>1</v>
      </c>
      <c r="R72" s="2" t="inlineStr">
        <is>
          <t>Varglav</t>
        </is>
      </c>
      <c r="S72">
        <f>HYPERLINK("https://klasma.github.io/Logging_2034/artfynd/A 37887-2023 artfynd.xlsx", "A 37887-2023")</f>
        <v/>
      </c>
      <c r="T72">
        <f>HYPERLINK("https://klasma.github.io/Logging_2034/kartor/A 37887-2023 karta.png", "A 37887-2023")</f>
        <v/>
      </c>
      <c r="V72">
        <f>HYPERLINK("https://klasma.github.io/Logging_2034/klagomål/A 37887-2023 FSC-klagomål.docx", "A 37887-2023")</f>
        <v/>
      </c>
      <c r="W72">
        <f>HYPERLINK("https://klasma.github.io/Logging_2034/klagomålsmail/A 37887-2023 FSC-klagomål mail.docx", "A 37887-2023")</f>
        <v/>
      </c>
      <c r="X72">
        <f>HYPERLINK("https://klasma.github.io/Logging_2034/tillsyn/A 37887-2023 tillsynsbegäran.docx", "A 37887-2023")</f>
        <v/>
      </c>
      <c r="Y72">
        <f>HYPERLINK("https://klasma.github.io/Logging_2034/tillsynsmail/A 37887-2023 tillsynsbegäran mail.docx", "A 37887-2023")</f>
        <v/>
      </c>
    </row>
    <row r="73" ht="15" customHeight="1">
      <c r="A73" t="inlineStr">
        <is>
          <t>A 41927-2025</t>
        </is>
      </c>
      <c r="B73" s="1" t="n">
        <v>45903</v>
      </c>
      <c r="C73" s="1" t="n">
        <v>46200</v>
      </c>
      <c r="D73" t="inlineStr">
        <is>
          <t>DALARNAS LÄN</t>
        </is>
      </c>
      <c r="E73" t="inlineStr">
        <is>
          <t>ORSA</t>
        </is>
      </c>
      <c r="G73" t="n">
        <v>2.4</v>
      </c>
      <c r="H73" t="n">
        <v>0</v>
      </c>
      <c r="I73" t="n">
        <v>0</v>
      </c>
      <c r="J73" t="n">
        <v>1</v>
      </c>
      <c r="K73" t="n">
        <v>0</v>
      </c>
      <c r="L73" t="n">
        <v>0</v>
      </c>
      <c r="M73" t="n">
        <v>0</v>
      </c>
      <c r="N73" t="n">
        <v>0</v>
      </c>
      <c r="O73" t="n">
        <v>1</v>
      </c>
      <c r="P73" t="n">
        <v>0</v>
      </c>
      <c r="Q73" t="n">
        <v>1</v>
      </c>
      <c r="R73" s="2" t="inlineStr">
        <is>
          <t>Dofttaggsvamp</t>
        </is>
      </c>
      <c r="S73">
        <f>HYPERLINK("https://klasma.github.io/Logging_2034/artfynd/A 41927-2025 artfynd.xlsx", "A 41927-2025")</f>
        <v/>
      </c>
      <c r="T73">
        <f>HYPERLINK("https://klasma.github.io/Logging_2034/kartor/A 41927-2025 karta.png", "A 41927-2025")</f>
        <v/>
      </c>
      <c r="V73">
        <f>HYPERLINK("https://klasma.github.io/Logging_2034/klagomål/A 41927-2025 FSC-klagomål.docx", "A 41927-2025")</f>
        <v/>
      </c>
      <c r="W73">
        <f>HYPERLINK("https://klasma.github.io/Logging_2034/klagomålsmail/A 41927-2025 FSC-klagomål mail.docx", "A 41927-2025")</f>
        <v/>
      </c>
      <c r="X73">
        <f>HYPERLINK("https://klasma.github.io/Logging_2034/tillsyn/A 41927-2025 tillsynsbegäran.docx", "A 41927-2025")</f>
        <v/>
      </c>
      <c r="Y73">
        <f>HYPERLINK("https://klasma.github.io/Logging_2034/tillsynsmail/A 41927-2025 tillsynsbegäran mail.docx", "A 41927-2025")</f>
        <v/>
      </c>
    </row>
    <row r="74" ht="15" customHeight="1">
      <c r="A74" t="inlineStr">
        <is>
          <t>A 9466-2023</t>
        </is>
      </c>
      <c r="B74" s="1" t="n">
        <v>44981</v>
      </c>
      <c r="C74" s="1" t="n">
        <v>46200</v>
      </c>
      <c r="D74" t="inlineStr">
        <is>
          <t>DALARNAS LÄN</t>
        </is>
      </c>
      <c r="E74" t="inlineStr">
        <is>
          <t>ORSA</t>
        </is>
      </c>
      <c r="F74" t="inlineStr">
        <is>
          <t>Bergvik skog väst AB</t>
        </is>
      </c>
      <c r="G74" t="n">
        <v>3.8</v>
      </c>
      <c r="H74" t="n">
        <v>1</v>
      </c>
      <c r="I74" t="n">
        <v>0</v>
      </c>
      <c r="J74" t="n">
        <v>0</v>
      </c>
      <c r="K74" t="n">
        <v>0</v>
      </c>
      <c r="L74" t="n">
        <v>0</v>
      </c>
      <c r="M74" t="n">
        <v>0</v>
      </c>
      <c r="N74" t="n">
        <v>0</v>
      </c>
      <c r="O74" t="n">
        <v>0</v>
      </c>
      <c r="P74" t="n">
        <v>0</v>
      </c>
      <c r="Q74" t="n">
        <v>1</v>
      </c>
      <c r="R74" s="2" t="inlineStr">
        <is>
          <t>Tjäder</t>
        </is>
      </c>
      <c r="S74">
        <f>HYPERLINK("https://klasma.github.io/Logging_2034/artfynd/A 9466-2023 artfynd.xlsx", "A 9466-2023")</f>
        <v/>
      </c>
      <c r="T74">
        <f>HYPERLINK("https://klasma.github.io/Logging_2034/kartor/A 9466-2023 karta.png", "A 9466-2023")</f>
        <v/>
      </c>
      <c r="V74">
        <f>HYPERLINK("https://klasma.github.io/Logging_2034/klagomål/A 9466-2023 FSC-klagomål.docx", "A 9466-2023")</f>
        <v/>
      </c>
      <c r="W74">
        <f>HYPERLINK("https://klasma.github.io/Logging_2034/klagomålsmail/A 9466-2023 FSC-klagomål mail.docx", "A 9466-2023")</f>
        <v/>
      </c>
      <c r="X74">
        <f>HYPERLINK("https://klasma.github.io/Logging_2034/tillsyn/A 9466-2023 tillsynsbegäran.docx", "A 9466-2023")</f>
        <v/>
      </c>
      <c r="Y74">
        <f>HYPERLINK("https://klasma.github.io/Logging_2034/tillsynsmail/A 9466-2023 tillsynsbegäran mail.docx", "A 9466-2023")</f>
        <v/>
      </c>
      <c r="Z74">
        <f>HYPERLINK("https://klasma.github.io/Logging_2034/fåglar/A 9466-2023 prioriterade fågelarter.docx", "A 9466-2023")</f>
        <v/>
      </c>
    </row>
    <row r="75" ht="15" customHeight="1">
      <c r="A75" t="inlineStr">
        <is>
          <t>A 54773-2025</t>
        </is>
      </c>
      <c r="B75" s="1" t="n">
        <v>45966</v>
      </c>
      <c r="C75" s="1" t="n">
        <v>46200</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384-2026</t>
        </is>
      </c>
      <c r="B76" s="1" t="n">
        <v>46027</v>
      </c>
      <c r="C76" s="1" t="n">
        <v>46200</v>
      </c>
      <c r="D76" t="inlineStr">
        <is>
          <t>DALARNAS LÄN</t>
        </is>
      </c>
      <c r="E76" t="inlineStr">
        <is>
          <t>ORSA</t>
        </is>
      </c>
      <c r="G76" t="n">
        <v>1</v>
      </c>
      <c r="H76" t="n">
        <v>1</v>
      </c>
      <c r="I76" t="n">
        <v>0</v>
      </c>
      <c r="J76" t="n">
        <v>1</v>
      </c>
      <c r="K76" t="n">
        <v>0</v>
      </c>
      <c r="L76" t="n">
        <v>0</v>
      </c>
      <c r="M76" t="n">
        <v>0</v>
      </c>
      <c r="N76" t="n">
        <v>0</v>
      </c>
      <c r="O76" t="n">
        <v>1</v>
      </c>
      <c r="P76" t="n">
        <v>0</v>
      </c>
      <c r="Q76" t="n">
        <v>1</v>
      </c>
      <c r="R76" s="2" t="inlineStr">
        <is>
          <t>Rosenfink</t>
        </is>
      </c>
      <c r="S76">
        <f>HYPERLINK("https://klasma.github.io/Logging_2034/artfynd/A 384-2026 artfynd.xlsx", "A 384-2026")</f>
        <v/>
      </c>
      <c r="T76">
        <f>HYPERLINK("https://klasma.github.io/Logging_2034/kartor/A 384-2026 karta.png", "A 384-2026")</f>
        <v/>
      </c>
      <c r="V76">
        <f>HYPERLINK("https://klasma.github.io/Logging_2034/klagomål/A 384-2026 FSC-klagomål.docx", "A 384-2026")</f>
        <v/>
      </c>
      <c r="W76">
        <f>HYPERLINK("https://klasma.github.io/Logging_2034/klagomålsmail/A 384-2026 FSC-klagomål mail.docx", "A 384-2026")</f>
        <v/>
      </c>
      <c r="X76">
        <f>HYPERLINK("https://klasma.github.io/Logging_2034/tillsyn/A 384-2026 tillsynsbegäran.docx", "A 384-2026")</f>
        <v/>
      </c>
      <c r="Y76">
        <f>HYPERLINK("https://klasma.github.io/Logging_2034/tillsynsmail/A 384-2026 tillsynsbegäran mail.docx", "A 384-2026")</f>
        <v/>
      </c>
      <c r="Z76">
        <f>HYPERLINK("https://klasma.github.io/Logging_2034/fåglar/A 384-2026 prioriterade fågelarter.docx", "A 384-2026")</f>
        <v/>
      </c>
    </row>
    <row r="77" ht="15" customHeight="1">
      <c r="A77" t="inlineStr">
        <is>
          <t>A 11812-2026</t>
        </is>
      </c>
      <c r="B77" s="1" t="n">
        <v>46085</v>
      </c>
      <c r="C77" s="1" t="n">
        <v>46200</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21477-2026</t>
        </is>
      </c>
      <c r="B78" s="1" t="n">
        <v>46148</v>
      </c>
      <c r="C78" s="1" t="n">
        <v>46200</v>
      </c>
      <c r="D78" t="inlineStr">
        <is>
          <t>DALARNAS LÄN</t>
        </is>
      </c>
      <c r="E78" t="inlineStr">
        <is>
          <t>ORSA</t>
        </is>
      </c>
      <c r="G78" t="n">
        <v>17.1</v>
      </c>
      <c r="H78" t="n">
        <v>0</v>
      </c>
      <c r="I78" t="n">
        <v>0</v>
      </c>
      <c r="J78" t="n">
        <v>0</v>
      </c>
      <c r="K78" t="n">
        <v>1</v>
      </c>
      <c r="L78" t="n">
        <v>0</v>
      </c>
      <c r="M78" t="n">
        <v>0</v>
      </c>
      <c r="N78" t="n">
        <v>0</v>
      </c>
      <c r="O78" t="n">
        <v>1</v>
      </c>
      <c r="P78" t="n">
        <v>1</v>
      </c>
      <c r="Q78" t="n">
        <v>1</v>
      </c>
      <c r="R78" s="2" t="inlineStr">
        <is>
          <t>Garnlav</t>
        </is>
      </c>
      <c r="S78">
        <f>HYPERLINK("https://klasma.github.io/Logging_2034/artfynd/A 21477-2026 artfynd.xlsx", "A 21477-2026")</f>
        <v/>
      </c>
      <c r="T78">
        <f>HYPERLINK("https://klasma.github.io/Logging_2034/kartor/A 21477-2026 karta.png", "A 21477-2026")</f>
        <v/>
      </c>
      <c r="V78">
        <f>HYPERLINK("https://klasma.github.io/Logging_2034/klagomål/A 21477-2026 FSC-klagomål.docx", "A 21477-2026")</f>
        <v/>
      </c>
      <c r="W78">
        <f>HYPERLINK("https://klasma.github.io/Logging_2034/klagomålsmail/A 21477-2026 FSC-klagomål mail.docx", "A 21477-2026")</f>
        <v/>
      </c>
      <c r="X78">
        <f>HYPERLINK("https://klasma.github.io/Logging_2034/tillsyn/A 21477-2026 tillsynsbegäran.docx", "A 21477-2026")</f>
        <v/>
      </c>
      <c r="Y78">
        <f>HYPERLINK("https://klasma.github.io/Logging_2034/tillsynsmail/A 21477-2026 tillsynsbegäran mail.docx", "A 21477-2026")</f>
        <v/>
      </c>
    </row>
    <row r="79" ht="15" customHeight="1">
      <c r="A79" t="inlineStr">
        <is>
          <t>A 28890-2026</t>
        </is>
      </c>
      <c r="B79" s="1" t="n">
        <v>46199</v>
      </c>
      <c r="C79" s="1" t="n">
        <v>46200</v>
      </c>
      <c r="D79" t="inlineStr">
        <is>
          <t>DALARNAS LÄN</t>
        </is>
      </c>
      <c r="E79" t="inlineStr">
        <is>
          <t>ORSA</t>
        </is>
      </c>
      <c r="G79" t="n">
        <v>2.1</v>
      </c>
      <c r="H79" t="n">
        <v>1</v>
      </c>
      <c r="I79" t="n">
        <v>0</v>
      </c>
      <c r="J79" t="n">
        <v>0</v>
      </c>
      <c r="K79" t="n">
        <v>0</v>
      </c>
      <c r="L79" t="n">
        <v>0</v>
      </c>
      <c r="M79" t="n">
        <v>0</v>
      </c>
      <c r="N79" t="n">
        <v>0</v>
      </c>
      <c r="O79" t="n">
        <v>0</v>
      </c>
      <c r="P79" t="n">
        <v>0</v>
      </c>
      <c r="Q79" t="n">
        <v>1</v>
      </c>
      <c r="R79" s="2" t="inlineStr">
        <is>
          <t>Tjäder</t>
        </is>
      </c>
      <c r="S79">
        <f>HYPERLINK("https://klasma.github.io/Logging_2034/artfynd/A 28890-2026 artfynd.xlsx", "A 28890-2026")</f>
        <v/>
      </c>
      <c r="T79">
        <f>HYPERLINK("https://klasma.github.io/Logging_2034/kartor/A 28890-2026 karta.png", "A 28890-2026")</f>
        <v/>
      </c>
      <c r="V79">
        <f>HYPERLINK("https://klasma.github.io/Logging_2034/klagomål/A 28890-2026 FSC-klagomål.docx", "A 28890-2026")</f>
        <v/>
      </c>
      <c r="W79">
        <f>HYPERLINK("https://klasma.github.io/Logging_2034/klagomålsmail/A 28890-2026 FSC-klagomål mail.docx", "A 28890-2026")</f>
        <v/>
      </c>
      <c r="X79">
        <f>HYPERLINK("https://klasma.github.io/Logging_2034/tillsyn/A 28890-2026 tillsynsbegäran.docx", "A 28890-2026")</f>
        <v/>
      </c>
      <c r="Y79">
        <f>HYPERLINK("https://klasma.github.io/Logging_2034/tillsynsmail/A 28890-2026 tillsynsbegäran mail.docx", "A 28890-2026")</f>
        <v/>
      </c>
      <c r="Z79">
        <f>HYPERLINK("https://klasma.github.io/Logging_2034/fåglar/A 28890-2026 prioriterade fågelarter.docx", "A 28890-2026")</f>
        <v/>
      </c>
    </row>
    <row r="80" ht="15" customHeight="1">
      <c r="A80" t="inlineStr">
        <is>
          <t>A 34713-2021</t>
        </is>
      </c>
      <c r="B80" s="1" t="n">
        <v>44382</v>
      </c>
      <c r="C80" s="1" t="n">
        <v>46200</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46200</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46200</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46200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46200</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46200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46200</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46200</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46200</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46200</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46200</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46200</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46200</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v>
      </c>
      <c r="C93" s="1" t="n">
        <v>46200</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24651-2022</t>
        </is>
      </c>
      <c r="B94" s="1" t="n">
        <v>44727</v>
      </c>
      <c r="C94" s="1" t="n">
        <v>46200</v>
      </c>
      <c r="D94" t="inlineStr">
        <is>
          <t>DALARNAS LÄN</t>
        </is>
      </c>
      <c r="E94" t="inlineStr">
        <is>
          <t>ORSA</t>
        </is>
      </c>
      <c r="F94" t="inlineStr">
        <is>
          <t>Allmännings- och besparingsskogar</t>
        </is>
      </c>
      <c r="G94" t="n">
        <v>0.6</v>
      </c>
      <c r="H94" t="n">
        <v>0</v>
      </c>
      <c r="I94" t="n">
        <v>0</v>
      </c>
      <c r="J94" t="n">
        <v>0</v>
      </c>
      <c r="K94" t="n">
        <v>0</v>
      </c>
      <c r="L94" t="n">
        <v>0</v>
      </c>
      <c r="M94" t="n">
        <v>0</v>
      </c>
      <c r="N94" t="n">
        <v>0</v>
      </c>
      <c r="O94" t="n">
        <v>0</v>
      </c>
      <c r="P94" t="n">
        <v>0</v>
      </c>
      <c r="Q94" t="n">
        <v>0</v>
      </c>
      <c r="R94" s="2" t="inlineStr"/>
    </row>
    <row r="95" ht="15" customHeight="1">
      <c r="A95" t="inlineStr">
        <is>
          <t>A 53745-2021</t>
        </is>
      </c>
      <c r="B95" s="1" t="n">
        <v>44469</v>
      </c>
      <c r="C95" s="1" t="n">
        <v>46200</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46200</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46200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46200</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46200</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23344-2022</t>
        </is>
      </c>
      <c r="B100" s="1" t="n">
        <v>44720</v>
      </c>
      <c r="C100" s="1" t="n">
        <v>46200</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160-2022</t>
        </is>
      </c>
      <c r="B101" s="1" t="n">
        <v>44564</v>
      </c>
      <c r="C101" s="1" t="n">
        <v>46200</v>
      </c>
      <c r="D101" t="inlineStr">
        <is>
          <t>DALARNAS LÄN</t>
        </is>
      </c>
      <c r="E101" t="inlineStr">
        <is>
          <t>ORSA</t>
        </is>
      </c>
      <c r="F101" t="inlineStr">
        <is>
          <t>Kommuner</t>
        </is>
      </c>
      <c r="G101" t="n">
        <v>0.1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46200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46200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46200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46200</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46200</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46200</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v>
      </c>
      <c r="C108" s="1" t="n">
        <v>46200</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50392-2024</t>
        </is>
      </c>
      <c r="B109" s="1" t="n">
        <v>45601</v>
      </c>
      <c r="C109" s="1" t="n">
        <v>46200</v>
      </c>
      <c r="D109" t="inlineStr">
        <is>
          <t>DALARNAS LÄN</t>
        </is>
      </c>
      <c r="E109" t="inlineStr">
        <is>
          <t>ORSA</t>
        </is>
      </c>
      <c r="G109" t="n">
        <v>0.5</v>
      </c>
      <c r="H109" t="n">
        <v>0</v>
      </c>
      <c r="I109" t="n">
        <v>0</v>
      </c>
      <c r="J109" t="n">
        <v>0</v>
      </c>
      <c r="K109" t="n">
        <v>0</v>
      </c>
      <c r="L109" t="n">
        <v>0</v>
      </c>
      <c r="M109" t="n">
        <v>0</v>
      </c>
      <c r="N109" t="n">
        <v>0</v>
      </c>
      <c r="O109" t="n">
        <v>0</v>
      </c>
      <c r="P109" t="n">
        <v>0</v>
      </c>
      <c r="Q109" t="n">
        <v>0</v>
      </c>
      <c r="R109" s="2" t="inlineStr"/>
    </row>
    <row r="110" ht="15" customHeight="1">
      <c r="A110" t="inlineStr">
        <is>
          <t>A 21301-2023</t>
        </is>
      </c>
      <c r="B110" s="1" t="n">
        <v>45062</v>
      </c>
      <c r="C110" s="1" t="n">
        <v>46200</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10374-2023</t>
        </is>
      </c>
      <c r="B111" s="1" t="n">
        <v>44987</v>
      </c>
      <c r="C111" s="1" t="n">
        <v>46200</v>
      </c>
      <c r="D111" t="inlineStr">
        <is>
          <t>DALARNAS LÄN</t>
        </is>
      </c>
      <c r="E111" t="inlineStr">
        <is>
          <t>ORSA</t>
        </is>
      </c>
      <c r="G111" t="n">
        <v>1.8</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46200</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46200</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15113-2025</t>
        </is>
      </c>
      <c r="B114" s="1" t="n">
        <v>45744</v>
      </c>
      <c r="C114" s="1" t="n">
        <v>46200</v>
      </c>
      <c r="D114" t="inlineStr">
        <is>
          <t>DALARNAS LÄN</t>
        </is>
      </c>
      <c r="E114" t="inlineStr">
        <is>
          <t>ORSA</t>
        </is>
      </c>
      <c r="F114" t="inlineStr">
        <is>
          <t>Allmännings- och besparingsskogar</t>
        </is>
      </c>
      <c r="G114" t="n">
        <v>3.3</v>
      </c>
      <c r="H114" t="n">
        <v>0</v>
      </c>
      <c r="I114" t="n">
        <v>0</v>
      </c>
      <c r="J114" t="n">
        <v>0</v>
      </c>
      <c r="K114" t="n">
        <v>0</v>
      </c>
      <c r="L114" t="n">
        <v>0</v>
      </c>
      <c r="M114" t="n">
        <v>0</v>
      </c>
      <c r="N114" t="n">
        <v>0</v>
      </c>
      <c r="O114" t="n">
        <v>0</v>
      </c>
      <c r="P114" t="n">
        <v>0</v>
      </c>
      <c r="Q114" t="n">
        <v>0</v>
      </c>
      <c r="R114" s="2" t="inlineStr"/>
    </row>
    <row r="115" ht="15" customHeight="1">
      <c r="A115" t="inlineStr">
        <is>
          <t>A 51277-2021</t>
        </is>
      </c>
      <c r="B115" s="1" t="n">
        <v>44461</v>
      </c>
      <c r="C115" s="1" t="n">
        <v>46200</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47732-2022</t>
        </is>
      </c>
      <c r="B116" s="1" t="n">
        <v>44854</v>
      </c>
      <c r="C116" s="1" t="n">
        <v>46200</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36089-2023</t>
        </is>
      </c>
      <c r="B117" s="1" t="n">
        <v>45149</v>
      </c>
      <c r="C117" s="1" t="n">
        <v>46200</v>
      </c>
      <c r="D117" t="inlineStr">
        <is>
          <t>DALARNAS LÄN</t>
        </is>
      </c>
      <c r="E117" t="inlineStr">
        <is>
          <t>ORSA</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51278-2021</t>
        </is>
      </c>
      <c r="B118" s="1" t="n">
        <v>44461</v>
      </c>
      <c r="C118" s="1" t="n">
        <v>46200</v>
      </c>
      <c r="D118" t="inlineStr">
        <is>
          <t>DALARNAS LÄN</t>
        </is>
      </c>
      <c r="E118" t="inlineStr">
        <is>
          <t>ORSA</t>
        </is>
      </c>
      <c r="F118" t="inlineStr">
        <is>
          <t>Allmännings- och besparingsskogar</t>
        </is>
      </c>
      <c r="G118" t="n">
        <v>0.2</v>
      </c>
      <c r="H118" t="n">
        <v>0</v>
      </c>
      <c r="I118" t="n">
        <v>0</v>
      </c>
      <c r="J118" t="n">
        <v>0</v>
      </c>
      <c r="K118" t="n">
        <v>0</v>
      </c>
      <c r="L118" t="n">
        <v>0</v>
      </c>
      <c r="M118" t="n">
        <v>0</v>
      </c>
      <c r="N118" t="n">
        <v>0</v>
      </c>
      <c r="O118" t="n">
        <v>0</v>
      </c>
      <c r="P118" t="n">
        <v>0</v>
      </c>
      <c r="Q118" t="n">
        <v>0</v>
      </c>
      <c r="R118" s="2" t="inlineStr"/>
    </row>
    <row r="119" ht="15" customHeight="1">
      <c r="A119" t="inlineStr">
        <is>
          <t>A 56711-2021</t>
        </is>
      </c>
      <c r="B119" s="1" t="n">
        <v>44481</v>
      </c>
      <c r="C119" s="1" t="n">
        <v>46200</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52649-2024</t>
        </is>
      </c>
      <c r="B120" s="1" t="n">
        <v>45610</v>
      </c>
      <c r="C120" s="1" t="n">
        <v>46200</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v>
      </c>
      <c r="C121" s="1" t="n">
        <v>46200</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3107-2025</t>
        </is>
      </c>
      <c r="B122" s="1" t="n">
        <v>45678</v>
      </c>
      <c r="C122" s="1" t="n">
        <v>46200</v>
      </c>
      <c r="D122" t="inlineStr">
        <is>
          <t>DALARNAS LÄN</t>
        </is>
      </c>
      <c r="E122" t="inlineStr">
        <is>
          <t>ORSA</t>
        </is>
      </c>
      <c r="G122" t="n">
        <v>2.1</v>
      </c>
      <c r="H122" t="n">
        <v>0</v>
      </c>
      <c r="I122" t="n">
        <v>0</v>
      </c>
      <c r="J122" t="n">
        <v>0</v>
      </c>
      <c r="K122" t="n">
        <v>0</v>
      </c>
      <c r="L122" t="n">
        <v>0</v>
      </c>
      <c r="M122" t="n">
        <v>0</v>
      </c>
      <c r="N122" t="n">
        <v>0</v>
      </c>
      <c r="O122" t="n">
        <v>0</v>
      </c>
      <c r="P122" t="n">
        <v>0</v>
      </c>
      <c r="Q122" t="n">
        <v>0</v>
      </c>
      <c r="R122" s="2" t="inlineStr"/>
    </row>
    <row r="123" ht="15" customHeight="1">
      <c r="A123" t="inlineStr">
        <is>
          <t>A 52912-2023</t>
        </is>
      </c>
      <c r="B123" s="1" t="n">
        <v>45226</v>
      </c>
      <c r="C123" s="1" t="n">
        <v>46200</v>
      </c>
      <c r="D123" t="inlineStr">
        <is>
          <t>DALARNAS LÄN</t>
        </is>
      </c>
      <c r="E123" t="inlineStr">
        <is>
          <t>ORSA</t>
        </is>
      </c>
      <c r="G123" t="n">
        <v>10.9</v>
      </c>
      <c r="H123" t="n">
        <v>0</v>
      </c>
      <c r="I123" t="n">
        <v>0</v>
      </c>
      <c r="J123" t="n">
        <v>0</v>
      </c>
      <c r="K123" t="n">
        <v>0</v>
      </c>
      <c r="L123" t="n">
        <v>0</v>
      </c>
      <c r="M123" t="n">
        <v>0</v>
      </c>
      <c r="N123" t="n">
        <v>0</v>
      </c>
      <c r="O123" t="n">
        <v>0</v>
      </c>
      <c r="P123" t="n">
        <v>0</v>
      </c>
      <c r="Q123" t="n">
        <v>0</v>
      </c>
      <c r="R123" s="2" t="inlineStr"/>
    </row>
    <row r="124" ht="15" customHeight="1">
      <c r="A124" t="inlineStr">
        <is>
          <t>A 25172-2022</t>
        </is>
      </c>
      <c r="B124" s="1" t="n">
        <v>44729</v>
      </c>
      <c r="C124" s="1" t="n">
        <v>46200</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72284-2021</t>
        </is>
      </c>
      <c r="B125" s="1" t="n">
        <v>44545</v>
      </c>
      <c r="C125" s="1" t="n">
        <v>46200</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45272-2022</t>
        </is>
      </c>
      <c r="B126" s="1" t="n">
        <v>44844</v>
      </c>
      <c r="C126" s="1" t="n">
        <v>46200</v>
      </c>
      <c r="D126" t="inlineStr">
        <is>
          <t>DALARNAS LÄN</t>
        </is>
      </c>
      <c r="E126" t="inlineStr">
        <is>
          <t>ORSA</t>
        </is>
      </c>
      <c r="G126" t="n">
        <v>0.3</v>
      </c>
      <c r="H126" t="n">
        <v>0</v>
      </c>
      <c r="I126" t="n">
        <v>0</v>
      </c>
      <c r="J126" t="n">
        <v>0</v>
      </c>
      <c r="K126" t="n">
        <v>0</v>
      </c>
      <c r="L126" t="n">
        <v>0</v>
      </c>
      <c r="M126" t="n">
        <v>0</v>
      </c>
      <c r="N126" t="n">
        <v>0</v>
      </c>
      <c r="O126" t="n">
        <v>0</v>
      </c>
      <c r="P126" t="n">
        <v>0</v>
      </c>
      <c r="Q126" t="n">
        <v>0</v>
      </c>
      <c r="R126" s="2" t="inlineStr"/>
    </row>
    <row r="127" ht="15" customHeight="1">
      <c r="A127" t="inlineStr">
        <is>
          <t>A 33265-2021</t>
        </is>
      </c>
      <c r="B127" s="1" t="n">
        <v>44377</v>
      </c>
      <c r="C127" s="1" t="n">
        <v>46200</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1304-2024</t>
        </is>
      </c>
      <c r="B128" s="1" t="n">
        <v>45303</v>
      </c>
      <c r="C128" s="1" t="n">
        <v>46200</v>
      </c>
      <c r="D128" t="inlineStr">
        <is>
          <t>DALARNAS LÄN</t>
        </is>
      </c>
      <c r="E128" t="inlineStr">
        <is>
          <t>ORSA</t>
        </is>
      </c>
      <c r="G128" t="n">
        <v>3.8</v>
      </c>
      <c r="H128" t="n">
        <v>0</v>
      </c>
      <c r="I128" t="n">
        <v>0</v>
      </c>
      <c r="J128" t="n">
        <v>0</v>
      </c>
      <c r="K128" t="n">
        <v>0</v>
      </c>
      <c r="L128" t="n">
        <v>0</v>
      </c>
      <c r="M128" t="n">
        <v>0</v>
      </c>
      <c r="N128" t="n">
        <v>0</v>
      </c>
      <c r="O128" t="n">
        <v>0</v>
      </c>
      <c r="P128" t="n">
        <v>0</v>
      </c>
      <c r="Q128" t="n">
        <v>0</v>
      </c>
      <c r="R128" s="2" t="inlineStr"/>
    </row>
    <row r="129" ht="15" customHeight="1">
      <c r="A129" t="inlineStr">
        <is>
          <t>A 3720-2023</t>
        </is>
      </c>
      <c r="B129" s="1" t="n">
        <v>44951</v>
      </c>
      <c r="C129" s="1" t="n">
        <v>46200</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62342-2023</t>
        </is>
      </c>
      <c r="B130" s="1" t="n">
        <v>45267</v>
      </c>
      <c r="C130" s="1" t="n">
        <v>46200</v>
      </c>
      <c r="D130" t="inlineStr">
        <is>
          <t>DALARNAS LÄN</t>
        </is>
      </c>
      <c r="E130" t="inlineStr">
        <is>
          <t>ORSA</t>
        </is>
      </c>
      <c r="G130" t="n">
        <v>2.5</v>
      </c>
      <c r="H130" t="n">
        <v>0</v>
      </c>
      <c r="I130" t="n">
        <v>0</v>
      </c>
      <c r="J130" t="n">
        <v>0</v>
      </c>
      <c r="K130" t="n">
        <v>0</v>
      </c>
      <c r="L130" t="n">
        <v>0</v>
      </c>
      <c r="M130" t="n">
        <v>0</v>
      </c>
      <c r="N130" t="n">
        <v>0</v>
      </c>
      <c r="O130" t="n">
        <v>0</v>
      </c>
      <c r="P130" t="n">
        <v>0</v>
      </c>
      <c r="Q130" t="n">
        <v>0</v>
      </c>
      <c r="R130" s="2" t="inlineStr"/>
    </row>
    <row r="131" ht="15" customHeight="1">
      <c r="A131" t="inlineStr">
        <is>
          <t>A 52044-2023</t>
        </is>
      </c>
      <c r="B131" s="1" t="n">
        <v>45223</v>
      </c>
      <c r="C131" s="1" t="n">
        <v>46200</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33384-2022</t>
        </is>
      </c>
      <c r="B132" s="1" t="n">
        <v>44788</v>
      </c>
      <c r="C132" s="1" t="n">
        <v>46200</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v>
      </c>
      <c r="C133" s="1" t="n">
        <v>46200</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10048-2023</t>
        </is>
      </c>
      <c r="B134" s="1" t="n">
        <v>44985</v>
      </c>
      <c r="C134" s="1" t="n">
        <v>46200</v>
      </c>
      <c r="D134" t="inlineStr">
        <is>
          <t>DALARNAS LÄN</t>
        </is>
      </c>
      <c r="E134" t="inlineStr">
        <is>
          <t>ORSA</t>
        </is>
      </c>
      <c r="G134" t="n">
        <v>4.8</v>
      </c>
      <c r="H134" t="n">
        <v>0</v>
      </c>
      <c r="I134" t="n">
        <v>0</v>
      </c>
      <c r="J134" t="n">
        <v>0</v>
      </c>
      <c r="K134" t="n">
        <v>0</v>
      </c>
      <c r="L134" t="n">
        <v>0</v>
      </c>
      <c r="M134" t="n">
        <v>0</v>
      </c>
      <c r="N134" t="n">
        <v>0</v>
      </c>
      <c r="O134" t="n">
        <v>0</v>
      </c>
      <c r="P134" t="n">
        <v>0</v>
      </c>
      <c r="Q134" t="n">
        <v>0</v>
      </c>
      <c r="R134" s="2" t="inlineStr"/>
    </row>
    <row r="135" ht="15" customHeight="1">
      <c r="A135" t="inlineStr">
        <is>
          <t>A 51001-2021</t>
        </is>
      </c>
      <c r="B135" s="1" t="n">
        <v>44460</v>
      </c>
      <c r="C135" s="1" t="n">
        <v>46200</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892-2024</t>
        </is>
      </c>
      <c r="B136" s="1" t="n">
        <v>45301</v>
      </c>
      <c r="C136" s="1" t="n">
        <v>46200</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16585-2023</t>
        </is>
      </c>
      <c r="B137" s="1" t="n">
        <v>45030</v>
      </c>
      <c r="C137" s="1" t="n">
        <v>46200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23339-2024</t>
        </is>
      </c>
      <c r="B138" s="1" t="n">
        <v>45453</v>
      </c>
      <c r="C138" s="1" t="n">
        <v>46200</v>
      </c>
      <c r="D138" t="inlineStr">
        <is>
          <t>DALARNAS LÄN</t>
        </is>
      </c>
      <c r="E138" t="inlineStr">
        <is>
          <t>ORSA</t>
        </is>
      </c>
      <c r="G138" t="n">
        <v>3.8</v>
      </c>
      <c r="H138" t="n">
        <v>0</v>
      </c>
      <c r="I138" t="n">
        <v>0</v>
      </c>
      <c r="J138" t="n">
        <v>0</v>
      </c>
      <c r="K138" t="n">
        <v>0</v>
      </c>
      <c r="L138" t="n">
        <v>0</v>
      </c>
      <c r="M138" t="n">
        <v>0</v>
      </c>
      <c r="N138" t="n">
        <v>0</v>
      </c>
      <c r="O138" t="n">
        <v>0</v>
      </c>
      <c r="P138" t="n">
        <v>0</v>
      </c>
      <c r="Q138" t="n">
        <v>0</v>
      </c>
      <c r="R138" s="2" t="inlineStr"/>
    </row>
    <row r="139" ht="15" customHeight="1">
      <c r="A139" t="inlineStr">
        <is>
          <t>A 37647-2023</t>
        </is>
      </c>
      <c r="B139" s="1" t="n">
        <v>45159</v>
      </c>
      <c r="C139" s="1" t="n">
        <v>46200</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55691-2022</t>
        </is>
      </c>
      <c r="B140" s="1" t="n">
        <v>44888</v>
      </c>
      <c r="C140" s="1" t="n">
        <v>46200</v>
      </c>
      <c r="D140" t="inlineStr">
        <is>
          <t>DALARNAS LÄN</t>
        </is>
      </c>
      <c r="E140" t="inlineStr">
        <is>
          <t>ORSA</t>
        </is>
      </c>
      <c r="G140" t="n">
        <v>0.4</v>
      </c>
      <c r="H140" t="n">
        <v>0</v>
      </c>
      <c r="I140" t="n">
        <v>0</v>
      </c>
      <c r="J140" t="n">
        <v>0</v>
      </c>
      <c r="K140" t="n">
        <v>0</v>
      </c>
      <c r="L140" t="n">
        <v>0</v>
      </c>
      <c r="M140" t="n">
        <v>0</v>
      </c>
      <c r="N140" t="n">
        <v>0</v>
      </c>
      <c r="O140" t="n">
        <v>0</v>
      </c>
      <c r="P140" t="n">
        <v>0</v>
      </c>
      <c r="Q140" t="n">
        <v>0</v>
      </c>
      <c r="R140" s="2" t="inlineStr"/>
    </row>
    <row r="141" ht="15" customHeight="1">
      <c r="A141" t="inlineStr">
        <is>
          <t>A 54519-2023</t>
        </is>
      </c>
      <c r="B141" s="1" t="n">
        <v>45233</v>
      </c>
      <c r="C141" s="1" t="n">
        <v>46200</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46200</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13185-2022</t>
        </is>
      </c>
      <c r="B143" s="1" t="n">
        <v>44644</v>
      </c>
      <c r="C143" s="1" t="n">
        <v>46200</v>
      </c>
      <c r="D143" t="inlineStr">
        <is>
          <t>DALARNAS LÄN</t>
        </is>
      </c>
      <c r="E143" t="inlineStr">
        <is>
          <t>ORSA</t>
        </is>
      </c>
      <c r="G143" t="n">
        <v>0.6</v>
      </c>
      <c r="H143" t="n">
        <v>0</v>
      </c>
      <c r="I143" t="n">
        <v>0</v>
      </c>
      <c r="J143" t="n">
        <v>0</v>
      </c>
      <c r="K143" t="n">
        <v>0</v>
      </c>
      <c r="L143" t="n">
        <v>0</v>
      </c>
      <c r="M143" t="n">
        <v>0</v>
      </c>
      <c r="N143" t="n">
        <v>0</v>
      </c>
      <c r="O143" t="n">
        <v>0</v>
      </c>
      <c r="P143" t="n">
        <v>0</v>
      </c>
      <c r="Q143" t="n">
        <v>0</v>
      </c>
      <c r="R143" s="2" t="inlineStr"/>
    </row>
    <row r="144" ht="15" customHeight="1">
      <c r="A144" t="inlineStr">
        <is>
          <t>A 49270-2024</t>
        </is>
      </c>
      <c r="B144" s="1" t="n">
        <v>45595</v>
      </c>
      <c r="C144" s="1" t="n">
        <v>46200</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53229-2023</t>
        </is>
      </c>
      <c r="B145" s="1" t="n">
        <v>45229</v>
      </c>
      <c r="C145" s="1" t="n">
        <v>46200</v>
      </c>
      <c r="D145" t="inlineStr">
        <is>
          <t>DALARNAS LÄN</t>
        </is>
      </c>
      <c r="E145" t="inlineStr">
        <is>
          <t>ORSA</t>
        </is>
      </c>
      <c r="F145" t="inlineStr">
        <is>
          <t>Allmännings- och besparingsskogar</t>
        </is>
      </c>
      <c r="G145" t="n">
        <v>0.5</v>
      </c>
      <c r="H145" t="n">
        <v>0</v>
      </c>
      <c r="I145" t="n">
        <v>0</v>
      </c>
      <c r="J145" t="n">
        <v>0</v>
      </c>
      <c r="K145" t="n">
        <v>0</v>
      </c>
      <c r="L145" t="n">
        <v>0</v>
      </c>
      <c r="M145" t="n">
        <v>0</v>
      </c>
      <c r="N145" t="n">
        <v>0</v>
      </c>
      <c r="O145" t="n">
        <v>0</v>
      </c>
      <c r="P145" t="n">
        <v>0</v>
      </c>
      <c r="Q145" t="n">
        <v>0</v>
      </c>
      <c r="R145" s="2" t="inlineStr"/>
    </row>
    <row r="146" ht="15" customHeight="1">
      <c r="A146" t="inlineStr">
        <is>
          <t>A 3168-2024</t>
        </is>
      </c>
      <c r="B146" s="1" t="n">
        <v>45316</v>
      </c>
      <c r="C146" s="1" t="n">
        <v>46200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2717-2024</t>
        </is>
      </c>
      <c r="B147" s="1" t="n">
        <v>45314</v>
      </c>
      <c r="C147" s="1" t="n">
        <v>46200</v>
      </c>
      <c r="D147" t="inlineStr">
        <is>
          <t>DALARNAS LÄN</t>
        </is>
      </c>
      <c r="E147" t="inlineStr">
        <is>
          <t>ORSA</t>
        </is>
      </c>
      <c r="F147" t="inlineStr">
        <is>
          <t>Bergvik skog öst AB</t>
        </is>
      </c>
      <c r="G147" t="n">
        <v>0.4</v>
      </c>
      <c r="H147" t="n">
        <v>0</v>
      </c>
      <c r="I147" t="n">
        <v>0</v>
      </c>
      <c r="J147" t="n">
        <v>0</v>
      </c>
      <c r="K147" t="n">
        <v>0</v>
      </c>
      <c r="L147" t="n">
        <v>0</v>
      </c>
      <c r="M147" t="n">
        <v>0</v>
      </c>
      <c r="N147" t="n">
        <v>0</v>
      </c>
      <c r="O147" t="n">
        <v>0</v>
      </c>
      <c r="P147" t="n">
        <v>0</v>
      </c>
      <c r="Q147" t="n">
        <v>0</v>
      </c>
      <c r="R147" s="2" t="inlineStr"/>
    </row>
    <row r="148" ht="15" customHeight="1">
      <c r="A148" t="inlineStr">
        <is>
          <t>A 34125-2023</t>
        </is>
      </c>
      <c r="B148" s="1" t="n">
        <v>45135</v>
      </c>
      <c r="C148" s="1" t="n">
        <v>46200</v>
      </c>
      <c r="D148" t="inlineStr">
        <is>
          <t>DALARNAS LÄN</t>
        </is>
      </c>
      <c r="E148" t="inlineStr">
        <is>
          <t>ORSA</t>
        </is>
      </c>
      <c r="G148" t="n">
        <v>2.7</v>
      </c>
      <c r="H148" t="n">
        <v>0</v>
      </c>
      <c r="I148" t="n">
        <v>0</v>
      </c>
      <c r="J148" t="n">
        <v>0</v>
      </c>
      <c r="K148" t="n">
        <v>0</v>
      </c>
      <c r="L148" t="n">
        <v>0</v>
      </c>
      <c r="M148" t="n">
        <v>0</v>
      </c>
      <c r="N148" t="n">
        <v>0</v>
      </c>
      <c r="O148" t="n">
        <v>0</v>
      </c>
      <c r="P148" t="n">
        <v>0</v>
      </c>
      <c r="Q148" t="n">
        <v>0</v>
      </c>
      <c r="R148" s="2" t="inlineStr"/>
    </row>
    <row r="149" ht="15" customHeight="1">
      <c r="A149" t="inlineStr">
        <is>
          <t>A 28974-2024</t>
        </is>
      </c>
      <c r="B149" s="1" t="n">
        <v>45481</v>
      </c>
      <c r="C149" s="1" t="n">
        <v>46200</v>
      </c>
      <c r="D149" t="inlineStr">
        <is>
          <t>DALARNAS LÄN</t>
        </is>
      </c>
      <c r="E149" t="inlineStr">
        <is>
          <t>ORSA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46454-2024</t>
        </is>
      </c>
      <c r="B150" s="1" t="n">
        <v>45582</v>
      </c>
      <c r="C150" s="1" t="n">
        <v>46200</v>
      </c>
      <c r="D150" t="inlineStr">
        <is>
          <t>DALARNAS LÄN</t>
        </is>
      </c>
      <c r="E150" t="inlineStr">
        <is>
          <t>ORSA</t>
        </is>
      </c>
      <c r="F150" t="inlineStr">
        <is>
          <t>Övriga statliga verk och myndigheter</t>
        </is>
      </c>
      <c r="G150" t="n">
        <v>1</v>
      </c>
      <c r="H150" t="n">
        <v>0</v>
      </c>
      <c r="I150" t="n">
        <v>0</v>
      </c>
      <c r="J150" t="n">
        <v>0</v>
      </c>
      <c r="K150" t="n">
        <v>0</v>
      </c>
      <c r="L150" t="n">
        <v>0</v>
      </c>
      <c r="M150" t="n">
        <v>0</v>
      </c>
      <c r="N150" t="n">
        <v>0</v>
      </c>
      <c r="O150" t="n">
        <v>0</v>
      </c>
      <c r="P150" t="n">
        <v>0</v>
      </c>
      <c r="Q150" t="n">
        <v>0</v>
      </c>
      <c r="R150" s="2" t="inlineStr"/>
    </row>
    <row r="151" ht="15" customHeight="1">
      <c r="A151" t="inlineStr">
        <is>
          <t>A 31026-2023</t>
        </is>
      </c>
      <c r="B151" s="1" t="n">
        <v>45113</v>
      </c>
      <c r="C151" s="1" t="n">
        <v>46200</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1624-2024</t>
        </is>
      </c>
      <c r="B152" s="1" t="n">
        <v>45306</v>
      </c>
      <c r="C152" s="1" t="n">
        <v>46200</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37770-2023</t>
        </is>
      </c>
      <c r="B153" s="1" t="n">
        <v>45159</v>
      </c>
      <c r="C153" s="1" t="n">
        <v>46200</v>
      </c>
      <c r="D153" t="inlineStr">
        <is>
          <t>DALARNAS LÄN</t>
        </is>
      </c>
      <c r="E153" t="inlineStr">
        <is>
          <t>ORSA</t>
        </is>
      </c>
      <c r="G153" t="n">
        <v>2.6</v>
      </c>
      <c r="H153" t="n">
        <v>0</v>
      </c>
      <c r="I153" t="n">
        <v>0</v>
      </c>
      <c r="J153" t="n">
        <v>0</v>
      </c>
      <c r="K153" t="n">
        <v>0</v>
      </c>
      <c r="L153" t="n">
        <v>0</v>
      </c>
      <c r="M153" t="n">
        <v>0</v>
      </c>
      <c r="N153" t="n">
        <v>0</v>
      </c>
      <c r="O153" t="n">
        <v>0</v>
      </c>
      <c r="P153" t="n">
        <v>0</v>
      </c>
      <c r="Q153" t="n">
        <v>0</v>
      </c>
      <c r="R153" s="2" t="inlineStr"/>
    </row>
    <row r="154" ht="15" customHeight="1">
      <c r="A154" t="inlineStr">
        <is>
          <t>A 18312-2024</t>
        </is>
      </c>
      <c r="B154" s="1" t="n">
        <v>45422</v>
      </c>
      <c r="C154" s="1" t="n">
        <v>46200</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30458-2023</t>
        </is>
      </c>
      <c r="B155" s="1" t="n">
        <v>45111</v>
      </c>
      <c r="C155" s="1" t="n">
        <v>46200</v>
      </c>
      <c r="D155" t="inlineStr">
        <is>
          <t>DALARNAS LÄN</t>
        </is>
      </c>
      <c r="E155" t="inlineStr">
        <is>
          <t>ORSA</t>
        </is>
      </c>
      <c r="F155" t="inlineStr">
        <is>
          <t>Bergvik skog öst AB</t>
        </is>
      </c>
      <c r="G155" t="n">
        <v>1.1</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v>
      </c>
      <c r="C156" s="1" t="n">
        <v>46200</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51574-2023</t>
        </is>
      </c>
      <c r="B157" s="1" t="n">
        <v>45222</v>
      </c>
      <c r="C157" s="1" t="n">
        <v>46200</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4738-2025</t>
        </is>
      </c>
      <c r="B158" s="1" t="n">
        <v>45688</v>
      </c>
      <c r="C158" s="1" t="n">
        <v>46200</v>
      </c>
      <c r="D158" t="inlineStr">
        <is>
          <t>DALARNAS LÄN</t>
        </is>
      </c>
      <c r="E158" t="inlineStr">
        <is>
          <t>ORSA</t>
        </is>
      </c>
      <c r="G158" t="n">
        <v>3.7</v>
      </c>
      <c r="H158" t="n">
        <v>0</v>
      </c>
      <c r="I158" t="n">
        <v>0</v>
      </c>
      <c r="J158" t="n">
        <v>0</v>
      </c>
      <c r="K158" t="n">
        <v>0</v>
      </c>
      <c r="L158" t="n">
        <v>0</v>
      </c>
      <c r="M158" t="n">
        <v>0</v>
      </c>
      <c r="N158" t="n">
        <v>0</v>
      </c>
      <c r="O158" t="n">
        <v>0</v>
      </c>
      <c r="P158" t="n">
        <v>0</v>
      </c>
      <c r="Q158" t="n">
        <v>0</v>
      </c>
      <c r="R158" s="2" t="inlineStr"/>
    </row>
    <row r="159" ht="15" customHeight="1">
      <c r="A159" t="inlineStr">
        <is>
          <t>A 13575-2025</t>
        </is>
      </c>
      <c r="B159" s="1" t="n">
        <v>45736</v>
      </c>
      <c r="C159" s="1" t="n">
        <v>46200</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47126-2021</t>
        </is>
      </c>
      <c r="B160" s="1" t="n">
        <v>44446</v>
      </c>
      <c r="C160" s="1" t="n">
        <v>46200</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17500-2025</t>
        </is>
      </c>
      <c r="B161" s="1" t="n">
        <v>45757</v>
      </c>
      <c r="C161" s="1" t="n">
        <v>46200</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72310-2021</t>
        </is>
      </c>
      <c r="B162" s="1" t="n">
        <v>44545</v>
      </c>
      <c r="C162" s="1" t="n">
        <v>46200</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2948-2025</t>
        </is>
      </c>
      <c r="B163" s="1" t="n">
        <v>45678</v>
      </c>
      <c r="C163" s="1" t="n">
        <v>46200</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60803-2022</t>
        </is>
      </c>
      <c r="B164" s="1" t="n">
        <v>44914</v>
      </c>
      <c r="C164" s="1" t="n">
        <v>46200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v>
      </c>
      <c r="C165" s="1" t="n">
        <v>46200</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7628-2025</t>
        </is>
      </c>
      <c r="B166" s="1" t="n">
        <v>45705</v>
      </c>
      <c r="C166" s="1" t="n">
        <v>46200</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19505-2022</t>
        </is>
      </c>
      <c r="B167" s="1" t="n">
        <v>44693</v>
      </c>
      <c r="C167" s="1" t="n">
        <v>46200</v>
      </c>
      <c r="D167" t="inlineStr">
        <is>
          <t>DALARNAS LÄN</t>
        </is>
      </c>
      <c r="E167" t="inlineStr">
        <is>
          <t>ORSA</t>
        </is>
      </c>
      <c r="G167" t="n">
        <v>2.7</v>
      </c>
      <c r="H167" t="n">
        <v>0</v>
      </c>
      <c r="I167" t="n">
        <v>0</v>
      </c>
      <c r="J167" t="n">
        <v>0</v>
      </c>
      <c r="K167" t="n">
        <v>0</v>
      </c>
      <c r="L167" t="n">
        <v>0</v>
      </c>
      <c r="M167" t="n">
        <v>0</v>
      </c>
      <c r="N167" t="n">
        <v>0</v>
      </c>
      <c r="O167" t="n">
        <v>0</v>
      </c>
      <c r="P167" t="n">
        <v>0</v>
      </c>
      <c r="Q167" t="n">
        <v>0</v>
      </c>
      <c r="R167" s="2" t="inlineStr"/>
    </row>
    <row r="168" ht="15" customHeight="1">
      <c r="A168" t="inlineStr">
        <is>
          <t>A 61685-2024</t>
        </is>
      </c>
      <c r="B168" s="1" t="n">
        <v>45647</v>
      </c>
      <c r="C168" s="1" t="n">
        <v>46200</v>
      </c>
      <c r="D168" t="inlineStr">
        <is>
          <t>DALARNAS LÄN</t>
        </is>
      </c>
      <c r="E168" t="inlineStr">
        <is>
          <t>ORSA</t>
        </is>
      </c>
      <c r="G168" t="n">
        <v>0.8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v>
      </c>
      <c r="C169" s="1" t="n">
        <v>46200</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7534-2025</t>
        </is>
      </c>
      <c r="B170" s="1" t="n">
        <v>45705</v>
      </c>
      <c r="C170" s="1" t="n">
        <v>46200</v>
      </c>
      <c r="D170" t="inlineStr">
        <is>
          <t>DALARNAS LÄN</t>
        </is>
      </c>
      <c r="E170" t="inlineStr">
        <is>
          <t>ORSA</t>
        </is>
      </c>
      <c r="G170" t="n">
        <v>1.1</v>
      </c>
      <c r="H170" t="n">
        <v>0</v>
      </c>
      <c r="I170" t="n">
        <v>0</v>
      </c>
      <c r="J170" t="n">
        <v>0</v>
      </c>
      <c r="K170" t="n">
        <v>0</v>
      </c>
      <c r="L170" t="n">
        <v>0</v>
      </c>
      <c r="M170" t="n">
        <v>0</v>
      </c>
      <c r="N170" t="n">
        <v>0</v>
      </c>
      <c r="O170" t="n">
        <v>0</v>
      </c>
      <c r="P170" t="n">
        <v>0</v>
      </c>
      <c r="Q170" t="n">
        <v>0</v>
      </c>
      <c r="R170" s="2" t="inlineStr"/>
    </row>
    <row r="171" ht="15" customHeight="1">
      <c r="A171" t="inlineStr">
        <is>
          <t>A 58853-2022</t>
        </is>
      </c>
      <c r="B171" s="1" t="n">
        <v>44903</v>
      </c>
      <c r="C171" s="1" t="n">
        <v>46200</v>
      </c>
      <c r="D171" t="inlineStr">
        <is>
          <t>DALARNAS LÄN</t>
        </is>
      </c>
      <c r="E171" t="inlineStr">
        <is>
          <t>ORSA</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30291-2024</t>
        </is>
      </c>
      <c r="B172" s="1" t="n">
        <v>45490</v>
      </c>
      <c r="C172" s="1" t="n">
        <v>46200</v>
      </c>
      <c r="D172" t="inlineStr">
        <is>
          <t>DALARNAS LÄN</t>
        </is>
      </c>
      <c r="E172" t="inlineStr">
        <is>
          <t>ORSA</t>
        </is>
      </c>
      <c r="F172" t="inlineStr">
        <is>
          <t>Bergvik skog öst AB</t>
        </is>
      </c>
      <c r="G172" t="n">
        <v>7.5</v>
      </c>
      <c r="H172" t="n">
        <v>0</v>
      </c>
      <c r="I172" t="n">
        <v>0</v>
      </c>
      <c r="J172" t="n">
        <v>0</v>
      </c>
      <c r="K172" t="n">
        <v>0</v>
      </c>
      <c r="L172" t="n">
        <v>0</v>
      </c>
      <c r="M172" t="n">
        <v>0</v>
      </c>
      <c r="N172" t="n">
        <v>0</v>
      </c>
      <c r="O172" t="n">
        <v>0</v>
      </c>
      <c r="P172" t="n">
        <v>0</v>
      </c>
      <c r="Q172" t="n">
        <v>0</v>
      </c>
      <c r="R172" s="2" t="inlineStr"/>
    </row>
    <row r="173" ht="15" customHeight="1">
      <c r="A173" t="inlineStr">
        <is>
          <t>A 36427-2023</t>
        </is>
      </c>
      <c r="B173" s="1" t="n">
        <v>45152</v>
      </c>
      <c r="C173" s="1" t="n">
        <v>46200</v>
      </c>
      <c r="D173" t="inlineStr">
        <is>
          <t>DALARNAS LÄN</t>
        </is>
      </c>
      <c r="E173" t="inlineStr">
        <is>
          <t>ORSA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6171-2025</t>
        </is>
      </c>
      <c r="B174" s="1" t="n">
        <v>45698</v>
      </c>
      <c r="C174" s="1" t="n">
        <v>46200</v>
      </c>
      <c r="D174" t="inlineStr">
        <is>
          <t>DALARNAS LÄN</t>
        </is>
      </c>
      <c r="E174" t="inlineStr">
        <is>
          <t>ORSA</t>
        </is>
      </c>
      <c r="G174" t="n">
        <v>11.1</v>
      </c>
      <c r="H174" t="n">
        <v>0</v>
      </c>
      <c r="I174" t="n">
        <v>0</v>
      </c>
      <c r="J174" t="n">
        <v>0</v>
      </c>
      <c r="K174" t="n">
        <v>0</v>
      </c>
      <c r="L174" t="n">
        <v>0</v>
      </c>
      <c r="M174" t="n">
        <v>0</v>
      </c>
      <c r="N174" t="n">
        <v>0</v>
      </c>
      <c r="O174" t="n">
        <v>0</v>
      </c>
      <c r="P174" t="n">
        <v>0</v>
      </c>
      <c r="Q174" t="n">
        <v>0</v>
      </c>
      <c r="R174" s="2" t="inlineStr"/>
    </row>
    <row r="175" ht="15" customHeight="1">
      <c r="A175" t="inlineStr">
        <is>
          <t>A 61698-2022</t>
        </is>
      </c>
      <c r="B175" s="1" t="n">
        <v>44917</v>
      </c>
      <c r="C175" s="1" t="n">
        <v>46200</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10261-2022</t>
        </is>
      </c>
      <c r="B176" s="1" t="n">
        <v>44622</v>
      </c>
      <c r="C176" s="1" t="n">
        <v>46200</v>
      </c>
      <c r="D176" t="inlineStr">
        <is>
          <t>DALARNAS LÄN</t>
        </is>
      </c>
      <c r="E176" t="inlineStr">
        <is>
          <t>ORSA</t>
        </is>
      </c>
      <c r="G176" t="n">
        <v>3.1</v>
      </c>
      <c r="H176" t="n">
        <v>0</v>
      </c>
      <c r="I176" t="n">
        <v>0</v>
      </c>
      <c r="J176" t="n">
        <v>0</v>
      </c>
      <c r="K176" t="n">
        <v>0</v>
      </c>
      <c r="L176" t="n">
        <v>0</v>
      </c>
      <c r="M176" t="n">
        <v>0</v>
      </c>
      <c r="N176" t="n">
        <v>0</v>
      </c>
      <c r="O176" t="n">
        <v>0</v>
      </c>
      <c r="P176" t="n">
        <v>0</v>
      </c>
      <c r="Q176" t="n">
        <v>0</v>
      </c>
      <c r="R176" s="2" t="inlineStr"/>
    </row>
    <row r="177" ht="15" customHeight="1">
      <c r="A177" t="inlineStr">
        <is>
          <t>A 13209-2022</t>
        </is>
      </c>
      <c r="B177" s="1" t="n">
        <v>44644</v>
      </c>
      <c r="C177" s="1" t="n">
        <v>46200</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v>
      </c>
      <c r="C178" s="1" t="n">
        <v>46200</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26301-2023</t>
        </is>
      </c>
      <c r="B179" s="1" t="n">
        <v>45091</v>
      </c>
      <c r="C179" s="1" t="n">
        <v>46200</v>
      </c>
      <c r="D179" t="inlineStr">
        <is>
          <t>DALARNAS LÄN</t>
        </is>
      </c>
      <c r="E179" t="inlineStr">
        <is>
          <t>ORSA</t>
        </is>
      </c>
      <c r="G179" t="n">
        <v>1.7</v>
      </c>
      <c r="H179" t="n">
        <v>0</v>
      </c>
      <c r="I179" t="n">
        <v>0</v>
      </c>
      <c r="J179" t="n">
        <v>0</v>
      </c>
      <c r="K179" t="n">
        <v>0</v>
      </c>
      <c r="L179" t="n">
        <v>0</v>
      </c>
      <c r="M179" t="n">
        <v>0</v>
      </c>
      <c r="N179" t="n">
        <v>0</v>
      </c>
      <c r="O179" t="n">
        <v>0</v>
      </c>
      <c r="P179" t="n">
        <v>0</v>
      </c>
      <c r="Q179" t="n">
        <v>0</v>
      </c>
      <c r="R179" s="2" t="inlineStr"/>
    </row>
    <row r="180" ht="15" customHeight="1">
      <c r="A180" t="inlineStr">
        <is>
          <t>A 13236-2022</t>
        </is>
      </c>
      <c r="B180" s="1" t="n">
        <v>44644</v>
      </c>
      <c r="C180" s="1" t="n">
        <v>46200</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8429-2024</t>
        </is>
      </c>
      <c r="B181" s="1" t="n">
        <v>45353</v>
      </c>
      <c r="C181" s="1" t="n">
        <v>46200</v>
      </c>
      <c r="D181" t="inlineStr">
        <is>
          <t>DALARNAS LÄN</t>
        </is>
      </c>
      <c r="E181" t="inlineStr">
        <is>
          <t>ORSA</t>
        </is>
      </c>
      <c r="G181" t="n">
        <v>0.3</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v>
      </c>
      <c r="C182" s="1" t="n">
        <v>46200</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10359-2023</t>
        </is>
      </c>
      <c r="B183" s="1" t="n">
        <v>44987</v>
      </c>
      <c r="C183" s="1" t="n">
        <v>46200</v>
      </c>
      <c r="D183" t="inlineStr">
        <is>
          <t>DALARNAS LÄN</t>
        </is>
      </c>
      <c r="E183" t="inlineStr">
        <is>
          <t>ORSA</t>
        </is>
      </c>
      <c r="G183" t="n">
        <v>2.5</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v>
      </c>
      <c r="C184" s="1" t="n">
        <v>46200</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57533-2022</t>
        </is>
      </c>
      <c r="B185" s="1" t="n">
        <v>44896</v>
      </c>
      <c r="C185" s="1" t="n">
        <v>46200</v>
      </c>
      <c r="D185" t="inlineStr">
        <is>
          <t>DALARNAS LÄN</t>
        </is>
      </c>
      <c r="E185" t="inlineStr">
        <is>
          <t>ORSA</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12704-2022</t>
        </is>
      </c>
      <c r="B186" s="1" t="n">
        <v>44641</v>
      </c>
      <c r="C186" s="1" t="n">
        <v>46200</v>
      </c>
      <c r="D186" t="inlineStr">
        <is>
          <t>DALARNAS LÄN</t>
        </is>
      </c>
      <c r="E186" t="inlineStr">
        <is>
          <t>ORSA</t>
        </is>
      </c>
      <c r="G186" t="n">
        <v>2.4</v>
      </c>
      <c r="H186" t="n">
        <v>0</v>
      </c>
      <c r="I186" t="n">
        <v>0</v>
      </c>
      <c r="J186" t="n">
        <v>0</v>
      </c>
      <c r="K186" t="n">
        <v>0</v>
      </c>
      <c r="L186" t="n">
        <v>0</v>
      </c>
      <c r="M186" t="n">
        <v>0</v>
      </c>
      <c r="N186" t="n">
        <v>0</v>
      </c>
      <c r="O186" t="n">
        <v>0</v>
      </c>
      <c r="P186" t="n">
        <v>0</v>
      </c>
      <c r="Q186" t="n">
        <v>0</v>
      </c>
      <c r="R186" s="2" t="inlineStr"/>
    </row>
    <row r="187" ht="15" customHeight="1">
      <c r="A187" t="inlineStr">
        <is>
          <t>A 47778-2021</t>
        </is>
      </c>
      <c r="B187" s="1" t="n">
        <v>44448</v>
      </c>
      <c r="C187" s="1" t="n">
        <v>46200</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38611-2022</t>
        </is>
      </c>
      <c r="B188" s="1" t="n">
        <v>44813</v>
      </c>
      <c r="C188" s="1" t="n">
        <v>46200</v>
      </c>
      <c r="D188" t="inlineStr">
        <is>
          <t>DALARNAS LÄN</t>
        </is>
      </c>
      <c r="E188" t="inlineStr">
        <is>
          <t>ORSA</t>
        </is>
      </c>
      <c r="G188" t="n">
        <v>3.6</v>
      </c>
      <c r="H188" t="n">
        <v>0</v>
      </c>
      <c r="I188" t="n">
        <v>0</v>
      </c>
      <c r="J188" t="n">
        <v>0</v>
      </c>
      <c r="K188" t="n">
        <v>0</v>
      </c>
      <c r="L188" t="n">
        <v>0</v>
      </c>
      <c r="M188" t="n">
        <v>0</v>
      </c>
      <c r="N188" t="n">
        <v>0</v>
      </c>
      <c r="O188" t="n">
        <v>0</v>
      </c>
      <c r="P188" t="n">
        <v>0</v>
      </c>
      <c r="Q188" t="n">
        <v>0</v>
      </c>
      <c r="R188" s="2" t="inlineStr"/>
    </row>
    <row r="189" ht="15" customHeight="1">
      <c r="A189" t="inlineStr">
        <is>
          <t>A 15114-2025</t>
        </is>
      </c>
      <c r="B189" s="1" t="n">
        <v>45744</v>
      </c>
      <c r="C189" s="1" t="n">
        <v>46200</v>
      </c>
      <c r="D189" t="inlineStr">
        <is>
          <t>DALARNAS LÄN</t>
        </is>
      </c>
      <c r="E189" t="inlineStr">
        <is>
          <t>ORSA</t>
        </is>
      </c>
      <c r="F189" t="inlineStr">
        <is>
          <t>Allmännings- och besparingsskogar</t>
        </is>
      </c>
      <c r="G189" t="n">
        <v>1.9</v>
      </c>
      <c r="H189" t="n">
        <v>0</v>
      </c>
      <c r="I189" t="n">
        <v>0</v>
      </c>
      <c r="J189" t="n">
        <v>0</v>
      </c>
      <c r="K189" t="n">
        <v>0</v>
      </c>
      <c r="L189" t="n">
        <v>0</v>
      </c>
      <c r="M189" t="n">
        <v>0</v>
      </c>
      <c r="N189" t="n">
        <v>0</v>
      </c>
      <c r="O189" t="n">
        <v>0</v>
      </c>
      <c r="P189" t="n">
        <v>0</v>
      </c>
      <c r="Q189" t="n">
        <v>0</v>
      </c>
      <c r="R189" s="2" t="inlineStr"/>
    </row>
    <row r="190" ht="15" customHeight="1">
      <c r="A190" t="inlineStr">
        <is>
          <t>A 6097-2025</t>
        </is>
      </c>
      <c r="B190" s="1" t="n">
        <v>45697</v>
      </c>
      <c r="C190" s="1" t="n">
        <v>46200</v>
      </c>
      <c r="D190" t="inlineStr">
        <is>
          <t>DALARNAS LÄN</t>
        </is>
      </c>
      <c r="E190" t="inlineStr">
        <is>
          <t>ORSA</t>
        </is>
      </c>
      <c r="G190" t="n">
        <v>11.1</v>
      </c>
      <c r="H190" t="n">
        <v>0</v>
      </c>
      <c r="I190" t="n">
        <v>0</v>
      </c>
      <c r="J190" t="n">
        <v>0</v>
      </c>
      <c r="K190" t="n">
        <v>0</v>
      </c>
      <c r="L190" t="n">
        <v>0</v>
      </c>
      <c r="M190" t="n">
        <v>0</v>
      </c>
      <c r="N190" t="n">
        <v>0</v>
      </c>
      <c r="O190" t="n">
        <v>0</v>
      </c>
      <c r="P190" t="n">
        <v>0</v>
      </c>
      <c r="Q190" t="n">
        <v>0</v>
      </c>
      <c r="R190" s="2" t="inlineStr"/>
    </row>
    <row r="191" ht="15" customHeight="1">
      <c r="A191" t="inlineStr">
        <is>
          <t>A 13580-2025</t>
        </is>
      </c>
      <c r="B191" s="1" t="n">
        <v>45736</v>
      </c>
      <c r="C191" s="1" t="n">
        <v>46200</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17850-2025</t>
        </is>
      </c>
      <c r="B192" s="1" t="n">
        <v>45758</v>
      </c>
      <c r="C192" s="1" t="n">
        <v>46200</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49814-2023</t>
        </is>
      </c>
      <c r="B193" s="1" t="n">
        <v>45212</v>
      </c>
      <c r="C193" s="1" t="n">
        <v>46200</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63917-2023</t>
        </is>
      </c>
      <c r="B194" s="1" t="n">
        <v>45278</v>
      </c>
      <c r="C194" s="1" t="n">
        <v>46200</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59411-2024</t>
        </is>
      </c>
      <c r="B195" s="1" t="n">
        <v>45638</v>
      </c>
      <c r="C195" s="1" t="n">
        <v>46200</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59414-2024</t>
        </is>
      </c>
      <c r="B196" s="1" t="n">
        <v>45638</v>
      </c>
      <c r="C196" s="1" t="n">
        <v>46200</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25591-2022</t>
        </is>
      </c>
      <c r="B197" s="1" t="n">
        <v>44732</v>
      </c>
      <c r="C197" s="1" t="n">
        <v>46200</v>
      </c>
      <c r="D197" t="inlineStr">
        <is>
          <t>DALARNAS LÄN</t>
        </is>
      </c>
      <c r="E197" t="inlineStr">
        <is>
          <t>ORSA</t>
        </is>
      </c>
      <c r="G197" t="n">
        <v>6</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46200</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21446-2024</t>
        </is>
      </c>
      <c r="B199" s="1" t="n">
        <v>45441</v>
      </c>
      <c r="C199" s="1" t="n">
        <v>46200</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51563-2023</t>
        </is>
      </c>
      <c r="B200" s="1" t="n">
        <v>45222</v>
      </c>
      <c r="C200" s="1" t="n">
        <v>46200</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56975-2023</t>
        </is>
      </c>
      <c r="B201" s="1" t="n">
        <v>45244</v>
      </c>
      <c r="C201" s="1" t="n">
        <v>46200</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61279-2023</t>
        </is>
      </c>
      <c r="B202" s="1" t="n">
        <v>45264</v>
      </c>
      <c r="C202" s="1" t="n">
        <v>46200</v>
      </c>
      <c r="D202" t="inlineStr">
        <is>
          <t>DALARNAS LÄN</t>
        </is>
      </c>
      <c r="E202" t="inlineStr">
        <is>
          <t>ORSA</t>
        </is>
      </c>
      <c r="G202" t="n">
        <v>0.2</v>
      </c>
      <c r="H202" t="n">
        <v>0</v>
      </c>
      <c r="I202" t="n">
        <v>0</v>
      </c>
      <c r="J202" t="n">
        <v>0</v>
      </c>
      <c r="K202" t="n">
        <v>0</v>
      </c>
      <c r="L202" t="n">
        <v>0</v>
      </c>
      <c r="M202" t="n">
        <v>0</v>
      </c>
      <c r="N202" t="n">
        <v>0</v>
      </c>
      <c r="O202" t="n">
        <v>0</v>
      </c>
      <c r="P202" t="n">
        <v>0</v>
      </c>
      <c r="Q202" t="n">
        <v>0</v>
      </c>
      <c r="R202" s="2" t="inlineStr"/>
    </row>
    <row r="203" ht="15" customHeight="1">
      <c r="A203" t="inlineStr">
        <is>
          <t>A 48985-2023</t>
        </is>
      </c>
      <c r="B203" s="1" t="n">
        <v>45209</v>
      </c>
      <c r="C203" s="1" t="n">
        <v>46200</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4202-2025</t>
        </is>
      </c>
      <c r="B204" s="1" t="n">
        <v>45685</v>
      </c>
      <c r="C204" s="1" t="n">
        <v>46200</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4204-2025</t>
        </is>
      </c>
      <c r="B205" s="1" t="n">
        <v>45685</v>
      </c>
      <c r="C205" s="1" t="n">
        <v>46200</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42346-2022</t>
        </is>
      </c>
      <c r="B206" s="1" t="n">
        <v>44831</v>
      </c>
      <c r="C206" s="1" t="n">
        <v>46200</v>
      </c>
      <c r="D206" t="inlineStr">
        <is>
          <t>DALARNAS LÄN</t>
        </is>
      </c>
      <c r="E206" t="inlineStr">
        <is>
          <t>ORSA</t>
        </is>
      </c>
      <c r="G206" t="n">
        <v>2.4</v>
      </c>
      <c r="H206" t="n">
        <v>0</v>
      </c>
      <c r="I206" t="n">
        <v>0</v>
      </c>
      <c r="J206" t="n">
        <v>0</v>
      </c>
      <c r="K206" t="n">
        <v>0</v>
      </c>
      <c r="L206" t="n">
        <v>0</v>
      </c>
      <c r="M206" t="n">
        <v>0</v>
      </c>
      <c r="N206" t="n">
        <v>0</v>
      </c>
      <c r="O206" t="n">
        <v>0</v>
      </c>
      <c r="P206" t="n">
        <v>0</v>
      </c>
      <c r="Q206" t="n">
        <v>0</v>
      </c>
      <c r="R206" s="2" t="inlineStr"/>
    </row>
    <row r="207" ht="15" customHeight="1">
      <c r="A207" t="inlineStr">
        <is>
          <t>A 63371-2023</t>
        </is>
      </c>
      <c r="B207" s="1" t="n">
        <v>45274</v>
      </c>
      <c r="C207" s="1" t="n">
        <v>46200</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55538-2023</t>
        </is>
      </c>
      <c r="B208" s="1" t="n">
        <v>45238</v>
      </c>
      <c r="C208" s="1" t="n">
        <v>46200</v>
      </c>
      <c r="D208" t="inlineStr">
        <is>
          <t>DALARNAS LÄN</t>
        </is>
      </c>
      <c r="E208" t="inlineStr">
        <is>
          <t>ORSA</t>
        </is>
      </c>
      <c r="G208" t="n">
        <v>0.5</v>
      </c>
      <c r="H208" t="n">
        <v>0</v>
      </c>
      <c r="I208" t="n">
        <v>0</v>
      </c>
      <c r="J208" t="n">
        <v>0</v>
      </c>
      <c r="K208" t="n">
        <v>0</v>
      </c>
      <c r="L208" t="n">
        <v>0</v>
      </c>
      <c r="M208" t="n">
        <v>0</v>
      </c>
      <c r="N208" t="n">
        <v>0</v>
      </c>
      <c r="O208" t="n">
        <v>0</v>
      </c>
      <c r="P208" t="n">
        <v>0</v>
      </c>
      <c r="Q208" t="n">
        <v>0</v>
      </c>
      <c r="R208" s="2" t="inlineStr"/>
    </row>
    <row r="209" ht="15" customHeight="1">
      <c r="A209" t="inlineStr">
        <is>
          <t>A 28451-2023</t>
        </is>
      </c>
      <c r="B209" s="1" t="n">
        <v>45103</v>
      </c>
      <c r="C209" s="1" t="n">
        <v>46200</v>
      </c>
      <c r="D209" t="inlineStr">
        <is>
          <t>DALARNAS LÄN</t>
        </is>
      </c>
      <c r="E209" t="inlineStr">
        <is>
          <t>ORSA</t>
        </is>
      </c>
      <c r="G209" t="n">
        <v>0.5</v>
      </c>
      <c r="H209" t="n">
        <v>0</v>
      </c>
      <c r="I209" t="n">
        <v>0</v>
      </c>
      <c r="J209" t="n">
        <v>0</v>
      </c>
      <c r="K209" t="n">
        <v>0</v>
      </c>
      <c r="L209" t="n">
        <v>0</v>
      </c>
      <c r="M209" t="n">
        <v>0</v>
      </c>
      <c r="N209" t="n">
        <v>0</v>
      </c>
      <c r="O209" t="n">
        <v>0</v>
      </c>
      <c r="P209" t="n">
        <v>0</v>
      </c>
      <c r="Q209" t="n">
        <v>0</v>
      </c>
      <c r="R209" s="2" t="inlineStr"/>
    </row>
    <row r="210" ht="15" customHeight="1">
      <c r="A210" t="inlineStr">
        <is>
          <t>A 16392-2024</t>
        </is>
      </c>
      <c r="B210" s="1" t="n">
        <v>45407</v>
      </c>
      <c r="C210" s="1" t="n">
        <v>46200</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56942-2024</t>
        </is>
      </c>
      <c r="B211" s="1" t="n">
        <v>45628</v>
      </c>
      <c r="C211" s="1" t="n">
        <v>46200</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16777-2024</t>
        </is>
      </c>
      <c r="B212" s="1" t="n">
        <v>45411</v>
      </c>
      <c r="C212" s="1" t="n">
        <v>46200</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53102-2021</t>
        </is>
      </c>
      <c r="B213" s="1" t="n">
        <v>44467</v>
      </c>
      <c r="C213" s="1" t="n">
        <v>46200</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33673-2023</t>
        </is>
      </c>
      <c r="B214" s="1" t="n">
        <v>45132</v>
      </c>
      <c r="C214" s="1" t="n">
        <v>46200</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6047-2023</t>
        </is>
      </c>
      <c r="B215" s="1" t="n">
        <v>44964</v>
      </c>
      <c r="C215" s="1" t="n">
        <v>46200</v>
      </c>
      <c r="D215" t="inlineStr">
        <is>
          <t>DALARNAS LÄN</t>
        </is>
      </c>
      <c r="E215" t="inlineStr">
        <is>
          <t>ORSA</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60189-2022</t>
        </is>
      </c>
      <c r="B216" s="1" t="n">
        <v>44910</v>
      </c>
      <c r="C216" s="1" t="n">
        <v>46200</v>
      </c>
      <c r="D216" t="inlineStr">
        <is>
          <t>DALARNAS LÄN</t>
        </is>
      </c>
      <c r="E216" t="inlineStr">
        <is>
          <t>ORSA</t>
        </is>
      </c>
      <c r="F216" t="inlineStr">
        <is>
          <t>Bergvik skog öst AB</t>
        </is>
      </c>
      <c r="G216" t="n">
        <v>1.5</v>
      </c>
      <c r="H216" t="n">
        <v>0</v>
      </c>
      <c r="I216" t="n">
        <v>0</v>
      </c>
      <c r="J216" t="n">
        <v>0</v>
      </c>
      <c r="K216" t="n">
        <v>0</v>
      </c>
      <c r="L216" t="n">
        <v>0</v>
      </c>
      <c r="M216" t="n">
        <v>0</v>
      </c>
      <c r="N216" t="n">
        <v>0</v>
      </c>
      <c r="O216" t="n">
        <v>0</v>
      </c>
      <c r="P216" t="n">
        <v>0</v>
      </c>
      <c r="Q216" t="n">
        <v>0</v>
      </c>
      <c r="R216" s="2" t="inlineStr"/>
    </row>
    <row r="217" ht="15" customHeight="1">
      <c r="A217" t="inlineStr">
        <is>
          <t>A 28155-2023</t>
        </is>
      </c>
      <c r="B217" s="1" t="n">
        <v>45099</v>
      </c>
      <c r="C217" s="1" t="n">
        <v>46200</v>
      </c>
      <c r="D217" t="inlineStr">
        <is>
          <t>DALARNAS LÄN</t>
        </is>
      </c>
      <c r="E217" t="inlineStr">
        <is>
          <t>ORSA</t>
        </is>
      </c>
      <c r="F217" t="inlineStr">
        <is>
          <t>Bergvik skog öst AB</t>
        </is>
      </c>
      <c r="G217" t="n">
        <v>7.8</v>
      </c>
      <c r="H217" t="n">
        <v>0</v>
      </c>
      <c r="I217" t="n">
        <v>0</v>
      </c>
      <c r="J217" t="n">
        <v>0</v>
      </c>
      <c r="K217" t="n">
        <v>0</v>
      </c>
      <c r="L217" t="n">
        <v>0</v>
      </c>
      <c r="M217" t="n">
        <v>0</v>
      </c>
      <c r="N217" t="n">
        <v>0</v>
      </c>
      <c r="O217" t="n">
        <v>0</v>
      </c>
      <c r="P217" t="n">
        <v>0</v>
      </c>
      <c r="Q217" t="n">
        <v>0</v>
      </c>
      <c r="R217" s="2" t="inlineStr"/>
    </row>
    <row r="218" ht="15" customHeight="1">
      <c r="A218" t="inlineStr">
        <is>
          <t>A 51994-2023</t>
        </is>
      </c>
      <c r="B218" s="1" t="n">
        <v>45223</v>
      </c>
      <c r="C218" s="1" t="n">
        <v>46200</v>
      </c>
      <c r="D218" t="inlineStr">
        <is>
          <t>DALARNAS LÄN</t>
        </is>
      </c>
      <c r="E218" t="inlineStr">
        <is>
          <t>ORSA</t>
        </is>
      </c>
      <c r="G218" t="n">
        <v>10.7</v>
      </c>
      <c r="H218" t="n">
        <v>0</v>
      </c>
      <c r="I218" t="n">
        <v>0</v>
      </c>
      <c r="J218" t="n">
        <v>0</v>
      </c>
      <c r="K218" t="n">
        <v>0</v>
      </c>
      <c r="L218" t="n">
        <v>0</v>
      </c>
      <c r="M218" t="n">
        <v>0</v>
      </c>
      <c r="N218" t="n">
        <v>0</v>
      </c>
      <c r="O218" t="n">
        <v>0</v>
      </c>
      <c r="P218" t="n">
        <v>0</v>
      </c>
      <c r="Q218" t="n">
        <v>0</v>
      </c>
      <c r="R218" s="2" t="inlineStr"/>
    </row>
    <row r="219" ht="15" customHeight="1">
      <c r="A219" t="inlineStr">
        <is>
          <t>A 28388-2024</t>
        </is>
      </c>
      <c r="B219" s="1" t="n">
        <v>45477</v>
      </c>
      <c r="C219" s="1" t="n">
        <v>46200</v>
      </c>
      <c r="D219" t="inlineStr">
        <is>
          <t>DALARNAS LÄN</t>
        </is>
      </c>
      <c r="E219" t="inlineStr">
        <is>
          <t>ORSA</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52903-2024</t>
        </is>
      </c>
      <c r="B220" s="1" t="n">
        <v>45610</v>
      </c>
      <c r="C220" s="1" t="n">
        <v>46200</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3166-2024</t>
        </is>
      </c>
      <c r="B221" s="1" t="n">
        <v>45316</v>
      </c>
      <c r="C221" s="1" t="n">
        <v>46200</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56887-2024</t>
        </is>
      </c>
      <c r="B222" s="1" t="n">
        <v>45628</v>
      </c>
      <c r="C222" s="1" t="n">
        <v>46200</v>
      </c>
      <c r="D222" t="inlineStr">
        <is>
          <t>DALARNAS LÄN</t>
        </is>
      </c>
      <c r="E222" t="inlineStr">
        <is>
          <t>ORSA</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52925-2024</t>
        </is>
      </c>
      <c r="B223" s="1" t="n">
        <v>45610</v>
      </c>
      <c r="C223" s="1" t="n">
        <v>46200</v>
      </c>
      <c r="D223" t="inlineStr">
        <is>
          <t>DALARNAS LÄN</t>
        </is>
      </c>
      <c r="E223" t="inlineStr">
        <is>
          <t>ORSA</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26741-2025</t>
        </is>
      </c>
      <c r="B224" s="1" t="n">
        <v>45810</v>
      </c>
      <c r="C224" s="1" t="n">
        <v>46200</v>
      </c>
      <c r="D224" t="inlineStr">
        <is>
          <t>DALARNAS LÄN</t>
        </is>
      </c>
      <c r="E224" t="inlineStr">
        <is>
          <t>ORSA</t>
        </is>
      </c>
      <c r="G224" t="n">
        <v>0.7</v>
      </c>
      <c r="H224" t="n">
        <v>0</v>
      </c>
      <c r="I224" t="n">
        <v>0</v>
      </c>
      <c r="J224" t="n">
        <v>0</v>
      </c>
      <c r="K224" t="n">
        <v>0</v>
      </c>
      <c r="L224" t="n">
        <v>0</v>
      </c>
      <c r="M224" t="n">
        <v>0</v>
      </c>
      <c r="N224" t="n">
        <v>0</v>
      </c>
      <c r="O224" t="n">
        <v>0</v>
      </c>
      <c r="P224" t="n">
        <v>0</v>
      </c>
      <c r="Q224" t="n">
        <v>0</v>
      </c>
      <c r="R224" s="2" t="inlineStr"/>
    </row>
    <row r="225" ht="15" customHeight="1">
      <c r="A225" t="inlineStr">
        <is>
          <t>A 20588-2025</t>
        </is>
      </c>
      <c r="B225" s="1" t="n">
        <v>45775</v>
      </c>
      <c r="C225" s="1" t="n">
        <v>46200</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20302-2023</t>
        </is>
      </c>
      <c r="B226" s="1" t="n">
        <v>45056</v>
      </c>
      <c r="C226" s="1" t="n">
        <v>46200</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597-2024</t>
        </is>
      </c>
      <c r="B227" s="1" t="n">
        <v>45299</v>
      </c>
      <c r="C227" s="1" t="n">
        <v>46200</v>
      </c>
      <c r="D227" t="inlineStr">
        <is>
          <t>DALARNAS LÄN</t>
        </is>
      </c>
      <c r="E227" t="inlineStr">
        <is>
          <t>ORSA</t>
        </is>
      </c>
      <c r="G227" t="n">
        <v>4.4</v>
      </c>
      <c r="H227" t="n">
        <v>0</v>
      </c>
      <c r="I227" t="n">
        <v>0</v>
      </c>
      <c r="J227" t="n">
        <v>0</v>
      </c>
      <c r="K227" t="n">
        <v>0</v>
      </c>
      <c r="L227" t="n">
        <v>0</v>
      </c>
      <c r="M227" t="n">
        <v>0</v>
      </c>
      <c r="N227" t="n">
        <v>0</v>
      </c>
      <c r="O227" t="n">
        <v>0</v>
      </c>
      <c r="P227" t="n">
        <v>0</v>
      </c>
      <c r="Q227" t="n">
        <v>0</v>
      </c>
      <c r="R227" s="2" t="inlineStr"/>
    </row>
    <row r="228" ht="15" customHeight="1">
      <c r="A228" t="inlineStr">
        <is>
          <t>A 6476-2025</t>
        </is>
      </c>
      <c r="B228" s="1" t="n">
        <v>45699</v>
      </c>
      <c r="C228" s="1" t="n">
        <v>46200</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6479-2025</t>
        </is>
      </c>
      <c r="B229" s="1" t="n">
        <v>45699</v>
      </c>
      <c r="C229" s="1" t="n">
        <v>46200</v>
      </c>
      <c r="D229" t="inlineStr">
        <is>
          <t>DALARNAS LÄN</t>
        </is>
      </c>
      <c r="E229" t="inlineStr">
        <is>
          <t>ORSA</t>
        </is>
      </c>
      <c r="G229" t="n">
        <v>3.2</v>
      </c>
      <c r="H229" t="n">
        <v>0</v>
      </c>
      <c r="I229" t="n">
        <v>0</v>
      </c>
      <c r="J229" t="n">
        <v>0</v>
      </c>
      <c r="K229" t="n">
        <v>0</v>
      </c>
      <c r="L229" t="n">
        <v>0</v>
      </c>
      <c r="M229" t="n">
        <v>0</v>
      </c>
      <c r="N229" t="n">
        <v>0</v>
      </c>
      <c r="O229" t="n">
        <v>0</v>
      </c>
      <c r="P229" t="n">
        <v>0</v>
      </c>
      <c r="Q229" t="n">
        <v>0</v>
      </c>
      <c r="R229" s="2" t="inlineStr"/>
    </row>
    <row r="230" ht="15" customHeight="1">
      <c r="A230" t="inlineStr">
        <is>
          <t>A 6490-2025</t>
        </is>
      </c>
      <c r="B230" s="1" t="n">
        <v>45699</v>
      </c>
      <c r="C230" s="1" t="n">
        <v>46200</v>
      </c>
      <c r="D230" t="inlineStr">
        <is>
          <t>DALARNAS LÄN</t>
        </is>
      </c>
      <c r="E230" t="inlineStr">
        <is>
          <t>ORSA</t>
        </is>
      </c>
      <c r="G230" t="n">
        <v>7.5</v>
      </c>
      <c r="H230" t="n">
        <v>0</v>
      </c>
      <c r="I230" t="n">
        <v>0</v>
      </c>
      <c r="J230" t="n">
        <v>0</v>
      </c>
      <c r="K230" t="n">
        <v>0</v>
      </c>
      <c r="L230" t="n">
        <v>0</v>
      </c>
      <c r="M230" t="n">
        <v>0</v>
      </c>
      <c r="N230" t="n">
        <v>0</v>
      </c>
      <c r="O230" t="n">
        <v>0</v>
      </c>
      <c r="P230" t="n">
        <v>0</v>
      </c>
      <c r="Q230" t="n">
        <v>0</v>
      </c>
      <c r="R230" s="2" t="inlineStr"/>
    </row>
    <row r="231" ht="15" customHeight="1">
      <c r="A231" t="inlineStr">
        <is>
          <t>A 27313-2025</t>
        </is>
      </c>
      <c r="B231" s="1" t="n">
        <v>45812</v>
      </c>
      <c r="C231" s="1" t="n">
        <v>46200</v>
      </c>
      <c r="D231" t="inlineStr">
        <is>
          <t>DALARNAS LÄN</t>
        </is>
      </c>
      <c r="E231" t="inlineStr">
        <is>
          <t>ORSA</t>
        </is>
      </c>
      <c r="F231" t="inlineStr">
        <is>
          <t>Allmännings- och besparingsskogar</t>
        </is>
      </c>
      <c r="G231" t="n">
        <v>1.4</v>
      </c>
      <c r="H231" t="n">
        <v>0</v>
      </c>
      <c r="I231" t="n">
        <v>0</v>
      </c>
      <c r="J231" t="n">
        <v>0</v>
      </c>
      <c r="K231" t="n">
        <v>0</v>
      </c>
      <c r="L231" t="n">
        <v>0</v>
      </c>
      <c r="M231" t="n">
        <v>0</v>
      </c>
      <c r="N231" t="n">
        <v>0</v>
      </c>
      <c r="O231" t="n">
        <v>0</v>
      </c>
      <c r="P231" t="n">
        <v>0</v>
      </c>
      <c r="Q231" t="n">
        <v>0</v>
      </c>
      <c r="R231" s="2" t="inlineStr"/>
    </row>
    <row r="232" ht="15" customHeight="1">
      <c r="A232" t="inlineStr">
        <is>
          <t>A 52643-2024</t>
        </is>
      </c>
      <c r="B232" s="1" t="n">
        <v>45610</v>
      </c>
      <c r="C232" s="1" t="n">
        <v>46200</v>
      </c>
      <c r="D232" t="inlineStr">
        <is>
          <t>DALARNAS LÄN</t>
        </is>
      </c>
      <c r="E232" t="inlineStr">
        <is>
          <t>ORSA</t>
        </is>
      </c>
      <c r="G232" t="n">
        <v>1.5</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v>
      </c>
      <c r="C233" s="1" t="n">
        <v>46200</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47732-2021</t>
        </is>
      </c>
      <c r="B234" s="1" t="n">
        <v>44448</v>
      </c>
      <c r="C234" s="1" t="n">
        <v>46200</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27885-2025</t>
        </is>
      </c>
      <c r="B235" s="1" t="n">
        <v>45817</v>
      </c>
      <c r="C235" s="1" t="n">
        <v>46200</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27987-2025</t>
        </is>
      </c>
      <c r="B236" s="1" t="n">
        <v>45817</v>
      </c>
      <c r="C236" s="1" t="n">
        <v>46200</v>
      </c>
      <c r="D236" t="inlineStr">
        <is>
          <t>DALARNAS LÄN</t>
        </is>
      </c>
      <c r="E236" t="inlineStr">
        <is>
          <t>ORSA</t>
        </is>
      </c>
      <c r="F236" t="inlineStr">
        <is>
          <t>Allmännings- och besparingsskogar</t>
        </is>
      </c>
      <c r="G236" t="n">
        <v>2.5</v>
      </c>
      <c r="H236" t="n">
        <v>0</v>
      </c>
      <c r="I236" t="n">
        <v>0</v>
      </c>
      <c r="J236" t="n">
        <v>0</v>
      </c>
      <c r="K236" t="n">
        <v>0</v>
      </c>
      <c r="L236" t="n">
        <v>0</v>
      </c>
      <c r="M236" t="n">
        <v>0</v>
      </c>
      <c r="N236" t="n">
        <v>0</v>
      </c>
      <c r="O236" t="n">
        <v>0</v>
      </c>
      <c r="P236" t="n">
        <v>0</v>
      </c>
      <c r="Q236" t="n">
        <v>0</v>
      </c>
      <c r="R236" s="2" t="inlineStr"/>
    </row>
    <row r="237" ht="15" customHeight="1">
      <c r="A237" t="inlineStr">
        <is>
          <t>A 40101-2024</t>
        </is>
      </c>
      <c r="B237" s="1" t="n">
        <v>45554</v>
      </c>
      <c r="C237" s="1" t="n">
        <v>46200</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986-2025</t>
        </is>
      </c>
      <c r="B238" s="1" t="n">
        <v>45666</v>
      </c>
      <c r="C238" s="1" t="n">
        <v>46200</v>
      </c>
      <c r="D238" t="inlineStr">
        <is>
          <t>DALARNAS LÄN</t>
        </is>
      </c>
      <c r="E238" t="inlineStr">
        <is>
          <t>ORSA</t>
        </is>
      </c>
      <c r="G238" t="n">
        <v>5.7</v>
      </c>
      <c r="H238" t="n">
        <v>0</v>
      </c>
      <c r="I238" t="n">
        <v>0</v>
      </c>
      <c r="J238" t="n">
        <v>0</v>
      </c>
      <c r="K238" t="n">
        <v>0</v>
      </c>
      <c r="L238" t="n">
        <v>0</v>
      </c>
      <c r="M238" t="n">
        <v>0</v>
      </c>
      <c r="N238" t="n">
        <v>0</v>
      </c>
      <c r="O238" t="n">
        <v>0</v>
      </c>
      <c r="P238" t="n">
        <v>0</v>
      </c>
      <c r="Q238" t="n">
        <v>0</v>
      </c>
      <c r="R238" s="2" t="inlineStr"/>
    </row>
    <row r="239" ht="15" customHeight="1">
      <c r="A239" t="inlineStr">
        <is>
          <t>A 17503-2025</t>
        </is>
      </c>
      <c r="B239" s="1" t="n">
        <v>45757</v>
      </c>
      <c r="C239" s="1" t="n">
        <v>46200</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50742-2023</t>
        </is>
      </c>
      <c r="B240" s="1" t="n">
        <v>45217</v>
      </c>
      <c r="C240" s="1" t="n">
        <v>46200</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42513-2024</t>
        </is>
      </c>
      <c r="B241" s="1" t="n">
        <v>45565</v>
      </c>
      <c r="C241" s="1" t="n">
        <v>46200</v>
      </c>
      <c r="D241" t="inlineStr">
        <is>
          <t>DALARNAS LÄN</t>
        </is>
      </c>
      <c r="E241" t="inlineStr">
        <is>
          <t>ORSA</t>
        </is>
      </c>
      <c r="G241" t="n">
        <v>1.6</v>
      </c>
      <c r="H241" t="n">
        <v>0</v>
      </c>
      <c r="I241" t="n">
        <v>0</v>
      </c>
      <c r="J241" t="n">
        <v>0</v>
      </c>
      <c r="K241" t="n">
        <v>0</v>
      </c>
      <c r="L241" t="n">
        <v>0</v>
      </c>
      <c r="M241" t="n">
        <v>0</v>
      </c>
      <c r="N241" t="n">
        <v>0</v>
      </c>
      <c r="O241" t="n">
        <v>0</v>
      </c>
      <c r="P241" t="n">
        <v>0</v>
      </c>
      <c r="Q241" t="n">
        <v>0</v>
      </c>
      <c r="R241" s="2" t="inlineStr"/>
    </row>
    <row r="242" ht="15" customHeight="1">
      <c r="A242" t="inlineStr">
        <is>
          <t>A 42517-2024</t>
        </is>
      </c>
      <c r="B242" s="1" t="n">
        <v>45565</v>
      </c>
      <c r="C242" s="1" t="n">
        <v>46200</v>
      </c>
      <c r="D242" t="inlineStr">
        <is>
          <t>DALARNAS LÄN</t>
        </is>
      </c>
      <c r="E242" t="inlineStr">
        <is>
          <t>ORSA</t>
        </is>
      </c>
      <c r="G242" t="n">
        <v>3</v>
      </c>
      <c r="H242" t="n">
        <v>0</v>
      </c>
      <c r="I242" t="n">
        <v>0</v>
      </c>
      <c r="J242" t="n">
        <v>0</v>
      </c>
      <c r="K242" t="n">
        <v>0</v>
      </c>
      <c r="L242" t="n">
        <v>0</v>
      </c>
      <c r="M242" t="n">
        <v>0</v>
      </c>
      <c r="N242" t="n">
        <v>0</v>
      </c>
      <c r="O242" t="n">
        <v>0</v>
      </c>
      <c r="P242" t="n">
        <v>0</v>
      </c>
      <c r="Q242" t="n">
        <v>0</v>
      </c>
      <c r="R242" s="2" t="inlineStr"/>
    </row>
    <row r="243" ht="15" customHeight="1">
      <c r="A243" t="inlineStr">
        <is>
          <t>A 37830-2024</t>
        </is>
      </c>
      <c r="B243" s="1" t="n">
        <v>45544</v>
      </c>
      <c r="C243" s="1" t="n">
        <v>46200</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21905-2022</t>
        </is>
      </c>
      <c r="B244" s="1" t="n">
        <v>44711</v>
      </c>
      <c r="C244" s="1" t="n">
        <v>46200</v>
      </c>
      <c r="D244" t="inlineStr">
        <is>
          <t>DALARNAS LÄN</t>
        </is>
      </c>
      <c r="E244" t="inlineStr">
        <is>
          <t>ORSA</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52776-2022</t>
        </is>
      </c>
      <c r="B245" s="1" t="n">
        <v>44875</v>
      </c>
      <c r="C245" s="1" t="n">
        <v>46200</v>
      </c>
      <c r="D245" t="inlineStr">
        <is>
          <t>DALARNAS LÄN</t>
        </is>
      </c>
      <c r="E245" t="inlineStr">
        <is>
          <t>ORSA</t>
        </is>
      </c>
      <c r="F245" t="inlineStr">
        <is>
          <t>Allmännings- och besparingsskogar</t>
        </is>
      </c>
      <c r="G245" t="n">
        <v>4.4</v>
      </c>
      <c r="H245" t="n">
        <v>0</v>
      </c>
      <c r="I245" t="n">
        <v>0</v>
      </c>
      <c r="J245" t="n">
        <v>0</v>
      </c>
      <c r="K245" t="n">
        <v>0</v>
      </c>
      <c r="L245" t="n">
        <v>0</v>
      </c>
      <c r="M245" t="n">
        <v>0</v>
      </c>
      <c r="N245" t="n">
        <v>0</v>
      </c>
      <c r="O245" t="n">
        <v>0</v>
      </c>
      <c r="P245" t="n">
        <v>0</v>
      </c>
      <c r="Q245" t="n">
        <v>0</v>
      </c>
      <c r="R245" s="2" t="inlineStr"/>
    </row>
    <row r="246" ht="15" customHeight="1">
      <c r="A246" t="inlineStr">
        <is>
          <t>A 48521-2024</t>
        </is>
      </c>
      <c r="B246" s="1" t="n">
        <v>45593</v>
      </c>
      <c r="C246" s="1" t="n">
        <v>46200</v>
      </c>
      <c r="D246" t="inlineStr">
        <is>
          <t>DALARNAS LÄN</t>
        </is>
      </c>
      <c r="E246" t="inlineStr">
        <is>
          <t>ORSA</t>
        </is>
      </c>
      <c r="G246" t="n">
        <v>1.6</v>
      </c>
      <c r="H246" t="n">
        <v>0</v>
      </c>
      <c r="I246" t="n">
        <v>0</v>
      </c>
      <c r="J246" t="n">
        <v>0</v>
      </c>
      <c r="K246" t="n">
        <v>0</v>
      </c>
      <c r="L246" t="n">
        <v>0</v>
      </c>
      <c r="M246" t="n">
        <v>0</v>
      </c>
      <c r="N246" t="n">
        <v>0</v>
      </c>
      <c r="O246" t="n">
        <v>0</v>
      </c>
      <c r="P246" t="n">
        <v>0</v>
      </c>
      <c r="Q246" t="n">
        <v>0</v>
      </c>
      <c r="R246" s="2" t="inlineStr"/>
    </row>
    <row r="247" ht="15" customHeight="1">
      <c r="A247" t="inlineStr">
        <is>
          <t>A 6492-2025</t>
        </is>
      </c>
      <c r="B247" s="1" t="n">
        <v>45699</v>
      </c>
      <c r="C247" s="1" t="n">
        <v>46200</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33488-2024</t>
        </is>
      </c>
      <c r="B248" s="1" t="n">
        <v>45519</v>
      </c>
      <c r="C248" s="1" t="n">
        <v>46200</v>
      </c>
      <c r="D248" t="inlineStr">
        <is>
          <t>DALARNAS LÄN</t>
        </is>
      </c>
      <c r="E248" t="inlineStr">
        <is>
          <t>ORSA</t>
        </is>
      </c>
      <c r="F248" t="inlineStr">
        <is>
          <t>Övriga statliga verk och myndigheter</t>
        </is>
      </c>
      <c r="G248" t="n">
        <v>0.5</v>
      </c>
      <c r="H248" t="n">
        <v>0</v>
      </c>
      <c r="I248" t="n">
        <v>0</v>
      </c>
      <c r="J248" t="n">
        <v>0</v>
      </c>
      <c r="K248" t="n">
        <v>0</v>
      </c>
      <c r="L248" t="n">
        <v>0</v>
      </c>
      <c r="M248" t="n">
        <v>0</v>
      </c>
      <c r="N248" t="n">
        <v>0</v>
      </c>
      <c r="O248" t="n">
        <v>0</v>
      </c>
      <c r="P248" t="n">
        <v>0</v>
      </c>
      <c r="Q248" t="n">
        <v>0</v>
      </c>
      <c r="R248" s="2" t="inlineStr"/>
    </row>
    <row r="249" ht="15" customHeight="1">
      <c r="A249" t="inlineStr">
        <is>
          <t>A 29933-2025</t>
        </is>
      </c>
      <c r="B249" s="1" t="n">
        <v>45826</v>
      </c>
      <c r="C249" s="1" t="n">
        <v>46200</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41832-2024</t>
        </is>
      </c>
      <c r="B250" s="1" t="n">
        <v>45561</v>
      </c>
      <c r="C250" s="1" t="n">
        <v>46200</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53758-2024</t>
        </is>
      </c>
      <c r="B251" s="1" t="n">
        <v>45615</v>
      </c>
      <c r="C251" s="1" t="n">
        <v>46200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v>
      </c>
      <c r="C252" s="1" t="n">
        <v>46200</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31659-2025</t>
        </is>
      </c>
      <c r="B253" s="1" t="n">
        <v>45834</v>
      </c>
      <c r="C253" s="1" t="n">
        <v>46200</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37838-2024</t>
        </is>
      </c>
      <c r="B254" s="1" t="n">
        <v>45544</v>
      </c>
      <c r="C254" s="1" t="n">
        <v>46200</v>
      </c>
      <c r="D254" t="inlineStr">
        <is>
          <t>DALARNAS LÄN</t>
        </is>
      </c>
      <c r="E254" t="inlineStr">
        <is>
          <t>ORSA</t>
        </is>
      </c>
      <c r="G254" t="n">
        <v>2.9</v>
      </c>
      <c r="H254" t="n">
        <v>0</v>
      </c>
      <c r="I254" t="n">
        <v>0</v>
      </c>
      <c r="J254" t="n">
        <v>0</v>
      </c>
      <c r="K254" t="n">
        <v>0</v>
      </c>
      <c r="L254" t="n">
        <v>0</v>
      </c>
      <c r="M254" t="n">
        <v>0</v>
      </c>
      <c r="N254" t="n">
        <v>0</v>
      </c>
      <c r="O254" t="n">
        <v>0</v>
      </c>
      <c r="P254" t="n">
        <v>0</v>
      </c>
      <c r="Q254" t="n">
        <v>0</v>
      </c>
      <c r="R254" s="2" t="inlineStr"/>
    </row>
    <row r="255" ht="15" customHeight="1">
      <c r="A255" t="inlineStr">
        <is>
          <t>A 34708-2021</t>
        </is>
      </c>
      <c r="B255" s="1" t="n">
        <v>44382</v>
      </c>
      <c r="C255" s="1" t="n">
        <v>46200</v>
      </c>
      <c r="D255" t="inlineStr">
        <is>
          <t>DALARNAS LÄN</t>
        </is>
      </c>
      <c r="E255" t="inlineStr">
        <is>
          <t>ORSA</t>
        </is>
      </c>
      <c r="G255" t="n">
        <v>4.3</v>
      </c>
      <c r="H255" t="n">
        <v>0</v>
      </c>
      <c r="I255" t="n">
        <v>0</v>
      </c>
      <c r="J255" t="n">
        <v>0</v>
      </c>
      <c r="K255" t="n">
        <v>0</v>
      </c>
      <c r="L255" t="n">
        <v>0</v>
      </c>
      <c r="M255" t="n">
        <v>0</v>
      </c>
      <c r="N255" t="n">
        <v>0</v>
      </c>
      <c r="O255" t="n">
        <v>0</v>
      </c>
      <c r="P255" t="n">
        <v>0</v>
      </c>
      <c r="Q255" t="n">
        <v>0</v>
      </c>
      <c r="R255" s="2" t="inlineStr"/>
    </row>
    <row r="256" ht="15" customHeight="1">
      <c r="A256" t="inlineStr">
        <is>
          <t>A 18037-2023</t>
        </is>
      </c>
      <c r="B256" s="1" t="n">
        <v>45040</v>
      </c>
      <c r="C256" s="1" t="n">
        <v>46200</v>
      </c>
      <c r="D256" t="inlineStr">
        <is>
          <t>DALARNAS LÄN</t>
        </is>
      </c>
      <c r="E256" t="inlineStr">
        <is>
          <t>ORSA</t>
        </is>
      </c>
      <c r="G256" t="n">
        <v>6.6</v>
      </c>
      <c r="H256" t="n">
        <v>0</v>
      </c>
      <c r="I256" t="n">
        <v>0</v>
      </c>
      <c r="J256" t="n">
        <v>0</v>
      </c>
      <c r="K256" t="n">
        <v>0</v>
      </c>
      <c r="L256" t="n">
        <v>0</v>
      </c>
      <c r="M256" t="n">
        <v>0</v>
      </c>
      <c r="N256" t="n">
        <v>0</v>
      </c>
      <c r="O256" t="n">
        <v>0</v>
      </c>
      <c r="P256" t="n">
        <v>0</v>
      </c>
      <c r="Q256" t="n">
        <v>0</v>
      </c>
      <c r="R256" s="2" t="inlineStr"/>
    </row>
    <row r="257" ht="15" customHeight="1">
      <c r="A257" t="inlineStr">
        <is>
          <t>A 52816-2024</t>
        </is>
      </c>
      <c r="B257" s="1" t="n">
        <v>45610</v>
      </c>
      <c r="C257" s="1" t="n">
        <v>46200</v>
      </c>
      <c r="D257" t="inlineStr">
        <is>
          <t>DALARNAS LÄN</t>
        </is>
      </c>
      <c r="E257" t="inlineStr">
        <is>
          <t>ORSA</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50905-2021</t>
        </is>
      </c>
      <c r="B258" s="1" t="n">
        <v>44460</v>
      </c>
      <c r="C258" s="1" t="n">
        <v>46200</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32325-2025</t>
        </is>
      </c>
      <c r="B259" s="1" t="n">
        <v>45836</v>
      </c>
      <c r="C259" s="1" t="n">
        <v>46200</v>
      </c>
      <c r="D259" t="inlineStr">
        <is>
          <t>DALARNAS LÄN</t>
        </is>
      </c>
      <c r="E259" t="inlineStr">
        <is>
          <t>ORSA</t>
        </is>
      </c>
      <c r="G259" t="n">
        <v>3.8</v>
      </c>
      <c r="H259" t="n">
        <v>0</v>
      </c>
      <c r="I259" t="n">
        <v>0</v>
      </c>
      <c r="J259" t="n">
        <v>0</v>
      </c>
      <c r="K259" t="n">
        <v>0</v>
      </c>
      <c r="L259" t="n">
        <v>0</v>
      </c>
      <c r="M259" t="n">
        <v>0</v>
      </c>
      <c r="N259" t="n">
        <v>0</v>
      </c>
      <c r="O259" t="n">
        <v>0</v>
      </c>
      <c r="P259" t="n">
        <v>0</v>
      </c>
      <c r="Q259" t="n">
        <v>0</v>
      </c>
      <c r="R259" s="2" t="inlineStr"/>
    </row>
    <row r="260" ht="15" customHeight="1">
      <c r="A260" t="inlineStr">
        <is>
          <t>A 32984-2025</t>
        </is>
      </c>
      <c r="B260" s="1" t="n">
        <v>45839</v>
      </c>
      <c r="C260" s="1" t="n">
        <v>46200</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v>
      </c>
      <c r="C261" s="1" t="n">
        <v>46200</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33374-2025</t>
        </is>
      </c>
      <c r="B262" s="1" t="n">
        <v>45841</v>
      </c>
      <c r="C262" s="1" t="n">
        <v>46200</v>
      </c>
      <c r="D262" t="inlineStr">
        <is>
          <t>DALARNAS LÄN</t>
        </is>
      </c>
      <c r="E262" t="inlineStr">
        <is>
          <t>ORSA</t>
        </is>
      </c>
      <c r="G262" t="n">
        <v>1</v>
      </c>
      <c r="H262" t="n">
        <v>0</v>
      </c>
      <c r="I262" t="n">
        <v>0</v>
      </c>
      <c r="J262" t="n">
        <v>0</v>
      </c>
      <c r="K262" t="n">
        <v>0</v>
      </c>
      <c r="L262" t="n">
        <v>0</v>
      </c>
      <c r="M262" t="n">
        <v>0</v>
      </c>
      <c r="N262" t="n">
        <v>0</v>
      </c>
      <c r="O262" t="n">
        <v>0</v>
      </c>
      <c r="P262" t="n">
        <v>0</v>
      </c>
      <c r="Q262" t="n">
        <v>0</v>
      </c>
      <c r="R262" s="2" t="inlineStr"/>
    </row>
    <row r="263" ht="15" customHeight="1">
      <c r="A263" t="inlineStr">
        <is>
          <t>A 61277-2023</t>
        </is>
      </c>
      <c r="B263" s="1" t="n">
        <v>45264</v>
      </c>
      <c r="C263" s="1" t="n">
        <v>46200</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33945-2022</t>
        </is>
      </c>
      <c r="B264" s="1" t="n">
        <v>44790</v>
      </c>
      <c r="C264" s="1" t="n">
        <v>46200</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33951-2025</t>
        </is>
      </c>
      <c r="B265" s="1" t="n">
        <v>45842</v>
      </c>
      <c r="C265" s="1" t="n">
        <v>46200</v>
      </c>
      <c r="D265" t="inlineStr">
        <is>
          <t>DALARNAS LÄN</t>
        </is>
      </c>
      <c r="E265" t="inlineStr">
        <is>
          <t>ORSA</t>
        </is>
      </c>
      <c r="G265" t="n">
        <v>1.2</v>
      </c>
      <c r="H265" t="n">
        <v>0</v>
      </c>
      <c r="I265" t="n">
        <v>0</v>
      </c>
      <c r="J265" t="n">
        <v>0</v>
      </c>
      <c r="K265" t="n">
        <v>0</v>
      </c>
      <c r="L265" t="n">
        <v>0</v>
      </c>
      <c r="M265" t="n">
        <v>0</v>
      </c>
      <c r="N265" t="n">
        <v>0</v>
      </c>
      <c r="O265" t="n">
        <v>0</v>
      </c>
      <c r="P265" t="n">
        <v>0</v>
      </c>
      <c r="Q265" t="n">
        <v>0</v>
      </c>
      <c r="R265" s="2" t="inlineStr"/>
    </row>
    <row r="266" ht="15" customHeight="1">
      <c r="A266" t="inlineStr">
        <is>
          <t>A 5921-2025</t>
        </is>
      </c>
      <c r="B266" s="1" t="n">
        <v>45695</v>
      </c>
      <c r="C266" s="1" t="n">
        <v>46200</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41295-2021</t>
        </is>
      </c>
      <c r="B267" s="1" t="n">
        <v>44424</v>
      </c>
      <c r="C267" s="1" t="n">
        <v>46200</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31031-2023</t>
        </is>
      </c>
      <c r="B268" s="1" t="n">
        <v>45113</v>
      </c>
      <c r="C268" s="1" t="n">
        <v>46200</v>
      </c>
      <c r="D268" t="inlineStr">
        <is>
          <t>DALARNAS LÄN</t>
        </is>
      </c>
      <c r="E268" t="inlineStr">
        <is>
          <t>ORSA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34769-2025</t>
        </is>
      </c>
      <c r="B269" s="1" t="n">
        <v>45848</v>
      </c>
      <c r="C269" s="1" t="n">
        <v>46200</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34777-2025</t>
        </is>
      </c>
      <c r="B270" s="1" t="n">
        <v>45848</v>
      </c>
      <c r="C270" s="1" t="n">
        <v>46200</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27163-2023</t>
        </is>
      </c>
      <c r="B271" s="1" t="n">
        <v>45096</v>
      </c>
      <c r="C271" s="1" t="n">
        <v>46200</v>
      </c>
      <c r="D271" t="inlineStr">
        <is>
          <t>DALARNAS LÄN</t>
        </is>
      </c>
      <c r="E271" t="inlineStr">
        <is>
          <t>ORSA</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34779-2025</t>
        </is>
      </c>
      <c r="B272" s="1" t="n">
        <v>45848</v>
      </c>
      <c r="C272" s="1" t="n">
        <v>46200</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34753-2025</t>
        </is>
      </c>
      <c r="B273" s="1" t="n">
        <v>45848</v>
      </c>
      <c r="C273" s="1" t="n">
        <v>46200</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34764-2025</t>
        </is>
      </c>
      <c r="B274" s="1" t="n">
        <v>45848</v>
      </c>
      <c r="C274" s="1" t="n">
        <v>46200</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34781-2025</t>
        </is>
      </c>
      <c r="B275" s="1" t="n">
        <v>45848</v>
      </c>
      <c r="C275" s="1" t="n">
        <v>46200</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42238-2023</t>
        </is>
      </c>
      <c r="B276" s="1" t="n">
        <v>45180</v>
      </c>
      <c r="C276" s="1" t="n">
        <v>46200</v>
      </c>
      <c r="D276" t="inlineStr">
        <is>
          <t>DALARNAS LÄN</t>
        </is>
      </c>
      <c r="E276" t="inlineStr">
        <is>
          <t>ORSA</t>
        </is>
      </c>
      <c r="F276" t="inlineStr">
        <is>
          <t>Allmännings- och besparingsskogar</t>
        </is>
      </c>
      <c r="G276" t="n">
        <v>0.5</v>
      </c>
      <c r="H276" t="n">
        <v>0</v>
      </c>
      <c r="I276" t="n">
        <v>0</v>
      </c>
      <c r="J276" t="n">
        <v>0</v>
      </c>
      <c r="K276" t="n">
        <v>0</v>
      </c>
      <c r="L276" t="n">
        <v>0</v>
      </c>
      <c r="M276" t="n">
        <v>0</v>
      </c>
      <c r="N276" t="n">
        <v>0</v>
      </c>
      <c r="O276" t="n">
        <v>0</v>
      </c>
      <c r="P276" t="n">
        <v>0</v>
      </c>
      <c r="Q276" t="n">
        <v>0</v>
      </c>
      <c r="R276" s="2" t="inlineStr"/>
    </row>
    <row r="277" ht="15" customHeight="1">
      <c r="A277" t="inlineStr">
        <is>
          <t>A 22022-2022</t>
        </is>
      </c>
      <c r="B277" s="1" t="n">
        <v>44711</v>
      </c>
      <c r="C277" s="1" t="n">
        <v>46200</v>
      </c>
      <c r="D277" t="inlineStr">
        <is>
          <t>DALARNAS LÄN</t>
        </is>
      </c>
      <c r="E277" t="inlineStr">
        <is>
          <t>ORSA</t>
        </is>
      </c>
      <c r="F277" t="inlineStr">
        <is>
          <t>Bergvik skog öst AB</t>
        </is>
      </c>
      <c r="G277" t="n">
        <v>1.9</v>
      </c>
      <c r="H277" t="n">
        <v>0</v>
      </c>
      <c r="I277" t="n">
        <v>0</v>
      </c>
      <c r="J277" t="n">
        <v>0</v>
      </c>
      <c r="K277" t="n">
        <v>0</v>
      </c>
      <c r="L277" t="n">
        <v>0</v>
      </c>
      <c r="M277" t="n">
        <v>0</v>
      </c>
      <c r="N277" t="n">
        <v>0</v>
      </c>
      <c r="O277" t="n">
        <v>0</v>
      </c>
      <c r="P277" t="n">
        <v>0</v>
      </c>
      <c r="Q277" t="n">
        <v>0</v>
      </c>
      <c r="R277" s="2" t="inlineStr"/>
    </row>
    <row r="278" ht="15" customHeight="1">
      <c r="A278" t="inlineStr">
        <is>
          <t>A 10832-2022</t>
        </is>
      </c>
      <c r="B278" s="1" t="n">
        <v>44627</v>
      </c>
      <c r="C278" s="1" t="n">
        <v>46200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36682-2024</t>
        </is>
      </c>
      <c r="B279" s="1" t="n">
        <v>45537</v>
      </c>
      <c r="C279" s="1" t="n">
        <v>46200</v>
      </c>
      <c r="D279" t="inlineStr">
        <is>
          <t>DALARNAS LÄN</t>
        </is>
      </c>
      <c r="E279" t="inlineStr">
        <is>
          <t>ORSA</t>
        </is>
      </c>
      <c r="G279" t="n">
        <v>1.2</v>
      </c>
      <c r="H279" t="n">
        <v>0</v>
      </c>
      <c r="I279" t="n">
        <v>0</v>
      </c>
      <c r="J279" t="n">
        <v>0</v>
      </c>
      <c r="K279" t="n">
        <v>0</v>
      </c>
      <c r="L279" t="n">
        <v>0</v>
      </c>
      <c r="M279" t="n">
        <v>0</v>
      </c>
      <c r="N279" t="n">
        <v>0</v>
      </c>
      <c r="O279" t="n">
        <v>0</v>
      </c>
      <c r="P279" t="n">
        <v>0</v>
      </c>
      <c r="Q279" t="n">
        <v>0</v>
      </c>
      <c r="R279" s="2" t="inlineStr"/>
    </row>
    <row r="280" ht="15" customHeight="1">
      <c r="A280" t="inlineStr">
        <is>
          <t>A 56810-2024</t>
        </is>
      </c>
      <c r="B280" s="1" t="n">
        <v>45628</v>
      </c>
      <c r="C280" s="1" t="n">
        <v>46200</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56811-2024</t>
        </is>
      </c>
      <c r="B281" s="1" t="n">
        <v>45628</v>
      </c>
      <c r="C281" s="1" t="n">
        <v>46200</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v>
      </c>
      <c r="C282" s="1" t="n">
        <v>46200</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9836-2022</t>
        </is>
      </c>
      <c r="B283" s="1" t="n">
        <v>44620</v>
      </c>
      <c r="C283" s="1" t="n">
        <v>46200</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46200</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35933-2025</t>
        </is>
      </c>
      <c r="B285" s="1" t="n">
        <v>45862</v>
      </c>
      <c r="C285" s="1" t="n">
        <v>46200</v>
      </c>
      <c r="D285" t="inlineStr">
        <is>
          <t>DALARNAS LÄN</t>
        </is>
      </c>
      <c r="E285" t="inlineStr">
        <is>
          <t>ORSA</t>
        </is>
      </c>
      <c r="G285" t="n">
        <v>1.6</v>
      </c>
      <c r="H285" t="n">
        <v>0</v>
      </c>
      <c r="I285" t="n">
        <v>0</v>
      </c>
      <c r="J285" t="n">
        <v>0</v>
      </c>
      <c r="K285" t="n">
        <v>0</v>
      </c>
      <c r="L285" t="n">
        <v>0</v>
      </c>
      <c r="M285" t="n">
        <v>0</v>
      </c>
      <c r="N285" t="n">
        <v>0</v>
      </c>
      <c r="O285" t="n">
        <v>0</v>
      </c>
      <c r="P285" t="n">
        <v>0</v>
      </c>
      <c r="Q285" t="n">
        <v>0</v>
      </c>
      <c r="R285" s="2" t="inlineStr"/>
    </row>
    <row r="286" ht="15" customHeight="1">
      <c r="A286" t="inlineStr">
        <is>
          <t>A 35940-2025</t>
        </is>
      </c>
      <c r="B286" s="1" t="n">
        <v>45862</v>
      </c>
      <c r="C286" s="1" t="n">
        <v>46200</v>
      </c>
      <c r="D286" t="inlineStr">
        <is>
          <t>DALARNAS LÄN</t>
        </is>
      </c>
      <c r="E286" t="inlineStr">
        <is>
          <t>ORSA</t>
        </is>
      </c>
      <c r="G286" t="n">
        <v>5.1</v>
      </c>
      <c r="H286" t="n">
        <v>0</v>
      </c>
      <c r="I286" t="n">
        <v>0</v>
      </c>
      <c r="J286" t="n">
        <v>0</v>
      </c>
      <c r="K286" t="n">
        <v>0</v>
      </c>
      <c r="L286" t="n">
        <v>0</v>
      </c>
      <c r="M286" t="n">
        <v>0</v>
      </c>
      <c r="N286" t="n">
        <v>0</v>
      </c>
      <c r="O286" t="n">
        <v>0</v>
      </c>
      <c r="P286" t="n">
        <v>0</v>
      </c>
      <c r="Q286" t="n">
        <v>0</v>
      </c>
      <c r="R286" s="2" t="inlineStr"/>
    </row>
    <row r="287" ht="15" customHeight="1">
      <c r="A287" t="inlineStr">
        <is>
          <t>A 890-2024</t>
        </is>
      </c>
      <c r="B287" s="1" t="n">
        <v>45301</v>
      </c>
      <c r="C287" s="1" t="n">
        <v>46200</v>
      </c>
      <c r="D287" t="inlineStr">
        <is>
          <t>DALARNAS LÄN</t>
        </is>
      </c>
      <c r="E287" t="inlineStr">
        <is>
          <t>ORSA</t>
        </is>
      </c>
      <c r="G287" t="n">
        <v>2.5</v>
      </c>
      <c r="H287" t="n">
        <v>0</v>
      </c>
      <c r="I287" t="n">
        <v>0</v>
      </c>
      <c r="J287" t="n">
        <v>0</v>
      </c>
      <c r="K287" t="n">
        <v>0</v>
      </c>
      <c r="L287" t="n">
        <v>0</v>
      </c>
      <c r="M287" t="n">
        <v>0</v>
      </c>
      <c r="N287" t="n">
        <v>0</v>
      </c>
      <c r="O287" t="n">
        <v>0</v>
      </c>
      <c r="P287" t="n">
        <v>0</v>
      </c>
      <c r="Q287" t="n">
        <v>0</v>
      </c>
      <c r="R287" s="2" t="inlineStr"/>
    </row>
    <row r="288" ht="15" customHeight="1">
      <c r="A288" t="inlineStr">
        <is>
          <t>A 50714-2023</t>
        </is>
      </c>
      <c r="B288" s="1" t="n">
        <v>45217</v>
      </c>
      <c r="C288" s="1" t="n">
        <v>46200</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36570-2025</t>
        </is>
      </c>
      <c r="B289" s="1" t="n">
        <v>45870</v>
      </c>
      <c r="C289" s="1" t="n">
        <v>46200</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38844-2025</t>
        </is>
      </c>
      <c r="B290" s="1" t="n">
        <v>45887</v>
      </c>
      <c r="C290" s="1" t="n">
        <v>46200</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37181-2025</t>
        </is>
      </c>
      <c r="B291" s="1" t="n">
        <v>45875</v>
      </c>
      <c r="C291" s="1" t="n">
        <v>46200</v>
      </c>
      <c r="D291" t="inlineStr">
        <is>
          <t>DALARNAS LÄN</t>
        </is>
      </c>
      <c r="E291" t="inlineStr">
        <is>
          <t>ORSA</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37439-2025</t>
        </is>
      </c>
      <c r="B292" s="1" t="n">
        <v>45877</v>
      </c>
      <c r="C292" s="1" t="n">
        <v>46200</v>
      </c>
      <c r="D292" t="inlineStr">
        <is>
          <t>DALARNAS LÄN</t>
        </is>
      </c>
      <c r="E292" t="inlineStr">
        <is>
          <t>ORSA</t>
        </is>
      </c>
      <c r="F292" t="inlineStr">
        <is>
          <t>Allmännings- och besparingsskogar</t>
        </is>
      </c>
      <c r="G292" t="n">
        <v>7.9</v>
      </c>
      <c r="H292" t="n">
        <v>0</v>
      </c>
      <c r="I292" t="n">
        <v>0</v>
      </c>
      <c r="J292" t="n">
        <v>0</v>
      </c>
      <c r="K292" t="n">
        <v>0</v>
      </c>
      <c r="L292" t="n">
        <v>0</v>
      </c>
      <c r="M292" t="n">
        <v>0</v>
      </c>
      <c r="N292" t="n">
        <v>0</v>
      </c>
      <c r="O292" t="n">
        <v>0</v>
      </c>
      <c r="P292" t="n">
        <v>0</v>
      </c>
      <c r="Q292" t="n">
        <v>0</v>
      </c>
      <c r="R292" s="2" t="inlineStr"/>
    </row>
    <row r="293" ht="15" customHeight="1">
      <c r="A293" t="inlineStr">
        <is>
          <t>A 37445-2025</t>
        </is>
      </c>
      <c r="B293" s="1" t="n">
        <v>45877</v>
      </c>
      <c r="C293" s="1" t="n">
        <v>46200</v>
      </c>
      <c r="D293" t="inlineStr">
        <is>
          <t>DALARNAS LÄN</t>
        </is>
      </c>
      <c r="E293" t="inlineStr">
        <is>
          <t>ORSA</t>
        </is>
      </c>
      <c r="F293" t="inlineStr">
        <is>
          <t>Bergvik skog öst AB</t>
        </is>
      </c>
      <c r="G293" t="n">
        <v>13.4</v>
      </c>
      <c r="H293" t="n">
        <v>0</v>
      </c>
      <c r="I293" t="n">
        <v>0</v>
      </c>
      <c r="J293" t="n">
        <v>0</v>
      </c>
      <c r="K293" t="n">
        <v>0</v>
      </c>
      <c r="L293" t="n">
        <v>0</v>
      </c>
      <c r="M293" t="n">
        <v>0</v>
      </c>
      <c r="N293" t="n">
        <v>0</v>
      </c>
      <c r="O293" t="n">
        <v>0</v>
      </c>
      <c r="P293" t="n">
        <v>0</v>
      </c>
      <c r="Q293" t="n">
        <v>0</v>
      </c>
      <c r="R293" s="2" t="inlineStr"/>
    </row>
    <row r="294" ht="15" customHeight="1">
      <c r="A294" t="inlineStr">
        <is>
          <t>A 37906-2025</t>
        </is>
      </c>
      <c r="B294" s="1" t="n">
        <v>45881</v>
      </c>
      <c r="C294" s="1" t="n">
        <v>46200</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21376-2025</t>
        </is>
      </c>
      <c r="B295" s="1" t="n">
        <v>45782</v>
      </c>
      <c r="C295" s="1" t="n">
        <v>46200</v>
      </c>
      <c r="D295" t="inlineStr">
        <is>
          <t>DALARNAS LÄN</t>
        </is>
      </c>
      <c r="E295" t="inlineStr">
        <is>
          <t>ORSA</t>
        </is>
      </c>
      <c r="G295" t="n">
        <v>4.6</v>
      </c>
      <c r="H295" t="n">
        <v>0</v>
      </c>
      <c r="I295" t="n">
        <v>0</v>
      </c>
      <c r="J295" t="n">
        <v>0</v>
      </c>
      <c r="K295" t="n">
        <v>0</v>
      </c>
      <c r="L295" t="n">
        <v>0</v>
      </c>
      <c r="M295" t="n">
        <v>0</v>
      </c>
      <c r="N295" t="n">
        <v>0</v>
      </c>
      <c r="O295" t="n">
        <v>0</v>
      </c>
      <c r="P295" t="n">
        <v>0</v>
      </c>
      <c r="Q295" t="n">
        <v>0</v>
      </c>
      <c r="R295" s="2" t="inlineStr"/>
    </row>
    <row r="296" ht="15" customHeight="1">
      <c r="A296" t="inlineStr">
        <is>
          <t>A 10004-2023</t>
        </is>
      </c>
      <c r="B296" s="1" t="n">
        <v>44985</v>
      </c>
      <c r="C296" s="1" t="n">
        <v>46200</v>
      </c>
      <c r="D296" t="inlineStr">
        <is>
          <t>DALARNAS LÄN</t>
        </is>
      </c>
      <c r="E296" t="inlineStr">
        <is>
          <t>ORSA</t>
        </is>
      </c>
      <c r="G296" t="n">
        <v>2.1</v>
      </c>
      <c r="H296" t="n">
        <v>0</v>
      </c>
      <c r="I296" t="n">
        <v>0</v>
      </c>
      <c r="J296" t="n">
        <v>0</v>
      </c>
      <c r="K296" t="n">
        <v>0</v>
      </c>
      <c r="L296" t="n">
        <v>0</v>
      </c>
      <c r="M296" t="n">
        <v>0</v>
      </c>
      <c r="N296" t="n">
        <v>0</v>
      </c>
      <c r="O296" t="n">
        <v>0</v>
      </c>
      <c r="P296" t="n">
        <v>0</v>
      </c>
      <c r="Q296" t="n">
        <v>0</v>
      </c>
      <c r="R296" s="2" t="inlineStr"/>
    </row>
    <row r="297" ht="15" customHeight="1">
      <c r="A297" t="inlineStr">
        <is>
          <t>A 879-2024</t>
        </is>
      </c>
      <c r="B297" s="1" t="n">
        <v>45301</v>
      </c>
      <c r="C297" s="1" t="n">
        <v>46200</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41835-2024</t>
        </is>
      </c>
      <c r="B298" s="1" t="n">
        <v>45561</v>
      </c>
      <c r="C298" s="1" t="n">
        <v>46200</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4566-2025</t>
        </is>
      </c>
      <c r="B299" s="1" t="n">
        <v>45687</v>
      </c>
      <c r="C299" s="1" t="n">
        <v>46200</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21216-2023</t>
        </is>
      </c>
      <c r="B300" s="1" t="n">
        <v>45062</v>
      </c>
      <c r="C300" s="1" t="n">
        <v>46200</v>
      </c>
      <c r="D300" t="inlineStr">
        <is>
          <t>DALARNAS LÄN</t>
        </is>
      </c>
      <c r="E300" t="inlineStr">
        <is>
          <t>ORSA</t>
        </is>
      </c>
      <c r="F300" t="inlineStr">
        <is>
          <t>Bergvik skog öst AB</t>
        </is>
      </c>
      <c r="G300" t="n">
        <v>3.8</v>
      </c>
      <c r="H300" t="n">
        <v>0</v>
      </c>
      <c r="I300" t="n">
        <v>0</v>
      </c>
      <c r="J300" t="n">
        <v>0</v>
      </c>
      <c r="K300" t="n">
        <v>0</v>
      </c>
      <c r="L300" t="n">
        <v>0</v>
      </c>
      <c r="M300" t="n">
        <v>0</v>
      </c>
      <c r="N300" t="n">
        <v>0</v>
      </c>
      <c r="O300" t="n">
        <v>0</v>
      </c>
      <c r="P300" t="n">
        <v>0</v>
      </c>
      <c r="Q300" t="n">
        <v>0</v>
      </c>
      <c r="R300" s="2" t="inlineStr"/>
    </row>
    <row r="301" ht="15" customHeight="1">
      <c r="A301" t="inlineStr">
        <is>
          <t>A 47953-2025</t>
        </is>
      </c>
      <c r="B301" s="1" t="n">
        <v>45932</v>
      </c>
      <c r="C301" s="1" t="n">
        <v>46200</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21165-2024</t>
        </is>
      </c>
      <c r="B302" s="1" t="n">
        <v>45440</v>
      </c>
      <c r="C302" s="1" t="n">
        <v>46200</v>
      </c>
      <c r="D302" t="inlineStr">
        <is>
          <t>DALARNAS LÄN</t>
        </is>
      </c>
      <c r="E302" t="inlineStr">
        <is>
          <t>ORSA</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46200</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38840-2025</t>
        </is>
      </c>
      <c r="B304" s="1" t="n">
        <v>45887</v>
      </c>
      <c r="C304" s="1" t="n">
        <v>46200</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v>
      </c>
      <c r="C305" s="1" t="n">
        <v>46200</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v>
      </c>
      <c r="C306" s="1" t="n">
        <v>46200</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v>
      </c>
      <c r="C307" s="1" t="n">
        <v>46200</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56706-2021</t>
        </is>
      </c>
      <c r="B308" s="1" t="n">
        <v>44481</v>
      </c>
      <c r="C308" s="1" t="n">
        <v>46200</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40070-2025</t>
        </is>
      </c>
      <c r="B309" s="1" t="n">
        <v>45894</v>
      </c>
      <c r="C309" s="1" t="n">
        <v>46200</v>
      </c>
      <c r="D309" t="inlineStr">
        <is>
          <t>DALARNAS LÄN</t>
        </is>
      </c>
      <c r="E309" t="inlineStr">
        <is>
          <t>ORSA</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40091-2025</t>
        </is>
      </c>
      <c r="B310" s="1" t="n">
        <v>45894</v>
      </c>
      <c r="C310" s="1" t="n">
        <v>46200</v>
      </c>
      <c r="D310" t="inlineStr">
        <is>
          <t>DALARNAS LÄN</t>
        </is>
      </c>
      <c r="E310" t="inlineStr">
        <is>
          <t>ORSA</t>
        </is>
      </c>
      <c r="F310" t="inlineStr">
        <is>
          <t>Allmännings- och besparingsskogar</t>
        </is>
      </c>
      <c r="G310" t="n">
        <v>20.4</v>
      </c>
      <c r="H310" t="n">
        <v>0</v>
      </c>
      <c r="I310" t="n">
        <v>0</v>
      </c>
      <c r="J310" t="n">
        <v>0</v>
      </c>
      <c r="K310" t="n">
        <v>0</v>
      </c>
      <c r="L310" t="n">
        <v>0</v>
      </c>
      <c r="M310" t="n">
        <v>0</v>
      </c>
      <c r="N310" t="n">
        <v>0</v>
      </c>
      <c r="O310" t="n">
        <v>0</v>
      </c>
      <c r="P310" t="n">
        <v>0</v>
      </c>
      <c r="Q310" t="n">
        <v>0</v>
      </c>
      <c r="R310" s="2" t="inlineStr"/>
    </row>
    <row r="311" ht="15" customHeight="1">
      <c r="A311" t="inlineStr">
        <is>
          <t>A 40577-2025</t>
        </is>
      </c>
      <c r="B311" s="1" t="n">
        <v>45896</v>
      </c>
      <c r="C311" s="1" t="n">
        <v>46200</v>
      </c>
      <c r="D311" t="inlineStr">
        <is>
          <t>DALARNAS LÄN</t>
        </is>
      </c>
      <c r="E311" t="inlineStr">
        <is>
          <t>ORSA</t>
        </is>
      </c>
      <c r="F311" t="inlineStr">
        <is>
          <t>Allmännings- och besparingsskogar</t>
        </is>
      </c>
      <c r="G311" t="n">
        <v>13.8</v>
      </c>
      <c r="H311" t="n">
        <v>0</v>
      </c>
      <c r="I311" t="n">
        <v>0</v>
      </c>
      <c r="J311" t="n">
        <v>0</v>
      </c>
      <c r="K311" t="n">
        <v>0</v>
      </c>
      <c r="L311" t="n">
        <v>0</v>
      </c>
      <c r="M311" t="n">
        <v>0</v>
      </c>
      <c r="N311" t="n">
        <v>0</v>
      </c>
      <c r="O311" t="n">
        <v>0</v>
      </c>
      <c r="P311" t="n">
        <v>0</v>
      </c>
      <c r="Q311" t="n">
        <v>0</v>
      </c>
      <c r="R311" s="2" t="inlineStr"/>
    </row>
    <row r="312" ht="15" customHeight="1">
      <c r="A312" t="inlineStr">
        <is>
          <t>A 44904-2024</t>
        </is>
      </c>
      <c r="B312" s="1" t="n">
        <v>45575</v>
      </c>
      <c r="C312" s="1" t="n">
        <v>46200</v>
      </c>
      <c r="D312" t="inlineStr">
        <is>
          <t>DALARNAS LÄN</t>
        </is>
      </c>
      <c r="E312" t="inlineStr">
        <is>
          <t>ORSA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50999-2021</t>
        </is>
      </c>
      <c r="B313" s="1" t="n">
        <v>44460</v>
      </c>
      <c r="C313" s="1" t="n">
        <v>46200</v>
      </c>
      <c r="D313" t="inlineStr">
        <is>
          <t>DALARNAS LÄN</t>
        </is>
      </c>
      <c r="E313" t="inlineStr">
        <is>
          <t>ORSA</t>
        </is>
      </c>
      <c r="G313" t="n">
        <v>3</v>
      </c>
      <c r="H313" t="n">
        <v>0</v>
      </c>
      <c r="I313" t="n">
        <v>0</v>
      </c>
      <c r="J313" t="n">
        <v>0</v>
      </c>
      <c r="K313" t="n">
        <v>0</v>
      </c>
      <c r="L313" t="n">
        <v>0</v>
      </c>
      <c r="M313" t="n">
        <v>0</v>
      </c>
      <c r="N313" t="n">
        <v>0</v>
      </c>
      <c r="O313" t="n">
        <v>0</v>
      </c>
      <c r="P313" t="n">
        <v>0</v>
      </c>
      <c r="Q313" t="n">
        <v>0</v>
      </c>
      <c r="R313" s="2" t="inlineStr"/>
    </row>
    <row r="314" ht="15" customHeight="1">
      <c r="A314" t="inlineStr">
        <is>
          <t>A 51064-2025</t>
        </is>
      </c>
      <c r="B314" s="1" t="n">
        <v>45947</v>
      </c>
      <c r="C314" s="1" t="n">
        <v>46200</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51334-2025</t>
        </is>
      </c>
      <c r="B315" s="1" t="n">
        <v>45950</v>
      </c>
      <c r="C315" s="1" t="n">
        <v>46200</v>
      </c>
      <c r="D315" t="inlineStr">
        <is>
          <t>DALARNAS LÄN</t>
        </is>
      </c>
      <c r="E315" t="inlineStr">
        <is>
          <t>ORSA</t>
        </is>
      </c>
      <c r="G315" t="n">
        <v>1.8</v>
      </c>
      <c r="H315" t="n">
        <v>0</v>
      </c>
      <c r="I315" t="n">
        <v>0</v>
      </c>
      <c r="J315" t="n">
        <v>0</v>
      </c>
      <c r="K315" t="n">
        <v>0</v>
      </c>
      <c r="L315" t="n">
        <v>0</v>
      </c>
      <c r="M315" t="n">
        <v>0</v>
      </c>
      <c r="N315" t="n">
        <v>0</v>
      </c>
      <c r="O315" t="n">
        <v>0</v>
      </c>
      <c r="P315" t="n">
        <v>0</v>
      </c>
      <c r="Q315" t="n">
        <v>0</v>
      </c>
      <c r="R315" s="2" t="inlineStr"/>
    </row>
    <row r="316" ht="15" customHeight="1">
      <c r="A316" t="inlineStr">
        <is>
          <t>A 41919-2025</t>
        </is>
      </c>
      <c r="B316" s="1" t="n">
        <v>45903</v>
      </c>
      <c r="C316" s="1" t="n">
        <v>46200</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41666-2025</t>
        </is>
      </c>
      <c r="B317" s="1" t="n">
        <v>45902</v>
      </c>
      <c r="C317" s="1" t="n">
        <v>46200</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28082-2023</t>
        </is>
      </c>
      <c r="B318" s="1" t="n">
        <v>45099</v>
      </c>
      <c r="C318" s="1" t="n">
        <v>46200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52485-2025</t>
        </is>
      </c>
      <c r="B319" s="1" t="n">
        <v>45954</v>
      </c>
      <c r="C319" s="1" t="n">
        <v>46200</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42226-2025</t>
        </is>
      </c>
      <c r="B320" s="1" t="n">
        <v>45904</v>
      </c>
      <c r="C320" s="1" t="n">
        <v>46200</v>
      </c>
      <c r="D320" t="inlineStr">
        <is>
          <t>DALARNAS LÄN</t>
        </is>
      </c>
      <c r="E320" t="inlineStr">
        <is>
          <t>ORSA</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52702-2025</t>
        </is>
      </c>
      <c r="B321" s="1" t="n">
        <v>45956</v>
      </c>
      <c r="C321" s="1" t="n">
        <v>46200</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51567-2023</t>
        </is>
      </c>
      <c r="B322" s="1" t="n">
        <v>45222</v>
      </c>
      <c r="C322" s="1" t="n">
        <v>46200</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v>
      </c>
      <c r="C323" s="1" t="n">
        <v>46200</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23015-2025</t>
        </is>
      </c>
      <c r="B324" s="1" t="n">
        <v>45790</v>
      </c>
      <c r="C324" s="1" t="n">
        <v>46200</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52686-2025</t>
        </is>
      </c>
      <c r="B325" s="1" t="n">
        <v>45956</v>
      </c>
      <c r="C325" s="1" t="n">
        <v>46200</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23875-2025</t>
        </is>
      </c>
      <c r="B326" s="1" t="n">
        <v>45793</v>
      </c>
      <c r="C326" s="1" t="n">
        <v>46200</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29485-2022</t>
        </is>
      </c>
      <c r="B327" s="1" t="n">
        <v>44753</v>
      </c>
      <c r="C327" s="1" t="n">
        <v>46200</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23461-2023</t>
        </is>
      </c>
      <c r="B328" s="1" t="n">
        <v>45076</v>
      </c>
      <c r="C328" s="1" t="n">
        <v>46200</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58549-2023</t>
        </is>
      </c>
      <c r="B329" s="1" t="n">
        <v>45251</v>
      </c>
      <c r="C329" s="1" t="n">
        <v>46200</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62289-2023</t>
        </is>
      </c>
      <c r="B330" s="1" t="n">
        <v>45266</v>
      </c>
      <c r="C330" s="1" t="n">
        <v>46200</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44119-2025</t>
        </is>
      </c>
      <c r="B331" s="1" t="n">
        <v>45915</v>
      </c>
      <c r="C331" s="1" t="n">
        <v>46200</v>
      </c>
      <c r="D331" t="inlineStr">
        <is>
          <t>DALARNAS LÄN</t>
        </is>
      </c>
      <c r="E331" t="inlineStr">
        <is>
          <t>ORSA</t>
        </is>
      </c>
      <c r="F331" t="inlineStr">
        <is>
          <t>Allmännings- och besparingsskogar</t>
        </is>
      </c>
      <c r="G331" t="n">
        <v>1.5</v>
      </c>
      <c r="H331" t="n">
        <v>0</v>
      </c>
      <c r="I331" t="n">
        <v>0</v>
      </c>
      <c r="J331" t="n">
        <v>0</v>
      </c>
      <c r="K331" t="n">
        <v>0</v>
      </c>
      <c r="L331" t="n">
        <v>0</v>
      </c>
      <c r="M331" t="n">
        <v>0</v>
      </c>
      <c r="N331" t="n">
        <v>0</v>
      </c>
      <c r="O331" t="n">
        <v>0</v>
      </c>
      <c r="P331" t="n">
        <v>0</v>
      </c>
      <c r="Q331" t="n">
        <v>0</v>
      </c>
      <c r="R331" s="2" t="inlineStr"/>
    </row>
    <row r="332" ht="15" customHeight="1">
      <c r="A332" t="inlineStr">
        <is>
          <t>A 44121-2025</t>
        </is>
      </c>
      <c r="B332" s="1" t="n">
        <v>45915</v>
      </c>
      <c r="C332" s="1" t="n">
        <v>46200</v>
      </c>
      <c r="D332" t="inlineStr">
        <is>
          <t>DALARNAS LÄN</t>
        </is>
      </c>
      <c r="E332" t="inlineStr">
        <is>
          <t>ORSA</t>
        </is>
      </c>
      <c r="F332" t="inlineStr">
        <is>
          <t>Allmännings- och besparingsskogar</t>
        </is>
      </c>
      <c r="G332" t="n">
        <v>2.5</v>
      </c>
      <c r="H332" t="n">
        <v>0</v>
      </c>
      <c r="I332" t="n">
        <v>0</v>
      </c>
      <c r="J332" t="n">
        <v>0</v>
      </c>
      <c r="K332" t="n">
        <v>0</v>
      </c>
      <c r="L332" t="n">
        <v>0</v>
      </c>
      <c r="M332" t="n">
        <v>0</v>
      </c>
      <c r="N332" t="n">
        <v>0</v>
      </c>
      <c r="O332" t="n">
        <v>0</v>
      </c>
      <c r="P332" t="n">
        <v>0</v>
      </c>
      <c r="Q332" t="n">
        <v>0</v>
      </c>
      <c r="R332" s="2" t="inlineStr"/>
    </row>
    <row r="333" ht="15" customHeight="1">
      <c r="A333" t="inlineStr">
        <is>
          <t>A 23055-2025</t>
        </is>
      </c>
      <c r="B333" s="1" t="n">
        <v>45790</v>
      </c>
      <c r="C333" s="1" t="n">
        <v>46200</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43965-2025</t>
        </is>
      </c>
      <c r="B334" s="1" t="n">
        <v>45915</v>
      </c>
      <c r="C334" s="1" t="n">
        <v>46200</v>
      </c>
      <c r="D334" t="inlineStr">
        <is>
          <t>DALARNAS LÄN</t>
        </is>
      </c>
      <c r="E334" t="inlineStr">
        <is>
          <t>ORSA</t>
        </is>
      </c>
      <c r="F334" t="inlineStr">
        <is>
          <t>Allmännings- och besparingsskogar</t>
        </is>
      </c>
      <c r="G334" t="n">
        <v>11.5</v>
      </c>
      <c r="H334" t="n">
        <v>0</v>
      </c>
      <c r="I334" t="n">
        <v>0</v>
      </c>
      <c r="J334" t="n">
        <v>0</v>
      </c>
      <c r="K334" t="n">
        <v>0</v>
      </c>
      <c r="L334" t="n">
        <v>0</v>
      </c>
      <c r="M334" t="n">
        <v>0</v>
      </c>
      <c r="N334" t="n">
        <v>0</v>
      </c>
      <c r="O334" t="n">
        <v>0</v>
      </c>
      <c r="P334" t="n">
        <v>0</v>
      </c>
      <c r="Q334" t="n">
        <v>0</v>
      </c>
      <c r="R334" s="2" t="inlineStr"/>
    </row>
    <row r="335" ht="15" customHeight="1">
      <c r="A335" t="inlineStr">
        <is>
          <t>A 44117-2025</t>
        </is>
      </c>
      <c r="B335" s="1" t="n">
        <v>45915</v>
      </c>
      <c r="C335" s="1" t="n">
        <v>46200</v>
      </c>
      <c r="D335" t="inlineStr">
        <is>
          <t>DALARNAS LÄN</t>
        </is>
      </c>
      <c r="E335" t="inlineStr">
        <is>
          <t>ORSA</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5302-2024</t>
        </is>
      </c>
      <c r="B336" s="1" t="n">
        <v>45331</v>
      </c>
      <c r="C336" s="1" t="n">
        <v>46200</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44129-2025</t>
        </is>
      </c>
      <c r="B337" s="1" t="n">
        <v>45915</v>
      </c>
      <c r="C337" s="1" t="n">
        <v>46200</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v>
      </c>
      <c r="C338" s="1" t="n">
        <v>46200</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43967-2025</t>
        </is>
      </c>
      <c r="B339" s="1" t="n">
        <v>45915</v>
      </c>
      <c r="C339" s="1" t="n">
        <v>46200</v>
      </c>
      <c r="D339" t="inlineStr">
        <is>
          <t>DALARNAS LÄN</t>
        </is>
      </c>
      <c r="E339" t="inlineStr">
        <is>
          <t>ORSA</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53495-2025</t>
        </is>
      </c>
      <c r="B340" s="1" t="n">
        <v>45960</v>
      </c>
      <c r="C340" s="1" t="n">
        <v>46200</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53572-2025</t>
        </is>
      </c>
      <c r="B341" s="1" t="n">
        <v>45960</v>
      </c>
      <c r="C341" s="1" t="n">
        <v>46200</v>
      </c>
      <c r="D341" t="inlineStr">
        <is>
          <t>DALARNAS LÄN</t>
        </is>
      </c>
      <c r="E341" t="inlineStr">
        <is>
          <t>ORSA</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37836-2024</t>
        </is>
      </c>
      <c r="B342" s="1" t="n">
        <v>45544</v>
      </c>
      <c r="C342" s="1" t="n">
        <v>46200</v>
      </c>
      <c r="D342" t="inlineStr">
        <is>
          <t>DALARNAS LÄN</t>
        </is>
      </c>
      <c r="E342" t="inlineStr">
        <is>
          <t>ORSA</t>
        </is>
      </c>
      <c r="G342" t="n">
        <v>2.3</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v>
      </c>
      <c r="C343" s="1" t="n">
        <v>46200</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54176-2025</t>
        </is>
      </c>
      <c r="B344" s="1" t="n">
        <v>45964</v>
      </c>
      <c r="C344" s="1" t="n">
        <v>46200</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34374-2024</t>
        </is>
      </c>
      <c r="B345" s="1" t="n">
        <v>45525</v>
      </c>
      <c r="C345" s="1" t="n">
        <v>46200</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5434-2025</t>
        </is>
      </c>
      <c r="B346" s="1" t="n">
        <v>45692</v>
      </c>
      <c r="C346" s="1" t="n">
        <v>46200</v>
      </c>
      <c r="D346" t="inlineStr">
        <is>
          <t>DALARNAS LÄN</t>
        </is>
      </c>
      <c r="E346" t="inlineStr">
        <is>
          <t>ORSA</t>
        </is>
      </c>
      <c r="G346" t="n">
        <v>6.9</v>
      </c>
      <c r="H346" t="n">
        <v>0</v>
      </c>
      <c r="I346" t="n">
        <v>0</v>
      </c>
      <c r="J346" t="n">
        <v>0</v>
      </c>
      <c r="K346" t="n">
        <v>0</v>
      </c>
      <c r="L346" t="n">
        <v>0</v>
      </c>
      <c r="M346" t="n">
        <v>0</v>
      </c>
      <c r="N346" t="n">
        <v>0</v>
      </c>
      <c r="O346" t="n">
        <v>0</v>
      </c>
      <c r="P346" t="n">
        <v>0</v>
      </c>
      <c r="Q346" t="n">
        <v>0</v>
      </c>
      <c r="R346" s="2" t="inlineStr"/>
    </row>
    <row r="347" ht="15" customHeight="1">
      <c r="A347" t="inlineStr">
        <is>
          <t>A 54546-2024</t>
        </is>
      </c>
      <c r="B347" s="1" t="n">
        <v>45617</v>
      </c>
      <c r="C347" s="1" t="n">
        <v>46200</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1785-2024</t>
        </is>
      </c>
      <c r="B348" s="1" t="n">
        <v>45307</v>
      </c>
      <c r="C348" s="1" t="n">
        <v>46200</v>
      </c>
      <c r="D348" t="inlineStr">
        <is>
          <t>DALARNAS LÄN</t>
        </is>
      </c>
      <c r="E348" t="inlineStr">
        <is>
          <t>ORSA</t>
        </is>
      </c>
      <c r="G348" t="n">
        <v>42.8</v>
      </c>
      <c r="H348" t="n">
        <v>0</v>
      </c>
      <c r="I348" t="n">
        <v>0</v>
      </c>
      <c r="J348" t="n">
        <v>0</v>
      </c>
      <c r="K348" t="n">
        <v>0</v>
      </c>
      <c r="L348" t="n">
        <v>0</v>
      </c>
      <c r="M348" t="n">
        <v>0</v>
      </c>
      <c r="N348" t="n">
        <v>0</v>
      </c>
      <c r="O348" t="n">
        <v>0</v>
      </c>
      <c r="P348" t="n">
        <v>0</v>
      </c>
      <c r="Q348" t="n">
        <v>0</v>
      </c>
      <c r="R348" s="2" t="inlineStr"/>
    </row>
    <row r="349" ht="15" customHeight="1">
      <c r="A349" t="inlineStr">
        <is>
          <t>A 53703-2024</t>
        </is>
      </c>
      <c r="B349" s="1" t="n">
        <v>45615</v>
      </c>
      <c r="C349" s="1" t="n">
        <v>46200</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55534-2023</t>
        </is>
      </c>
      <c r="B350" s="1" t="n">
        <v>45238</v>
      </c>
      <c r="C350" s="1" t="n">
        <v>46200</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45803-2025</t>
        </is>
      </c>
      <c r="B351" s="1" t="n">
        <v>45923</v>
      </c>
      <c r="C351" s="1" t="n">
        <v>46200</v>
      </c>
      <c r="D351" t="inlineStr">
        <is>
          <t>DALARNAS LÄN</t>
        </is>
      </c>
      <c r="E351" t="inlineStr">
        <is>
          <t>ORSA</t>
        </is>
      </c>
      <c r="F351" t="inlineStr">
        <is>
          <t>Allmännings- och besparingsskogar</t>
        </is>
      </c>
      <c r="G351" t="n">
        <v>3.4</v>
      </c>
      <c r="H351" t="n">
        <v>0</v>
      </c>
      <c r="I351" t="n">
        <v>0</v>
      </c>
      <c r="J351" t="n">
        <v>0</v>
      </c>
      <c r="K351" t="n">
        <v>0</v>
      </c>
      <c r="L351" t="n">
        <v>0</v>
      </c>
      <c r="M351" t="n">
        <v>0</v>
      </c>
      <c r="N351" t="n">
        <v>0</v>
      </c>
      <c r="O351" t="n">
        <v>0</v>
      </c>
      <c r="P351" t="n">
        <v>0</v>
      </c>
      <c r="Q351" t="n">
        <v>0</v>
      </c>
      <c r="R351" s="2" t="inlineStr"/>
    </row>
    <row r="352" ht="15" customHeight="1">
      <c r="A352" t="inlineStr">
        <is>
          <t>A 54776-2025</t>
        </is>
      </c>
      <c r="B352" s="1" t="n">
        <v>45966</v>
      </c>
      <c r="C352" s="1" t="n">
        <v>46200</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52033-2023</t>
        </is>
      </c>
      <c r="B353" s="1" t="n">
        <v>45223</v>
      </c>
      <c r="C353" s="1" t="n">
        <v>46200</v>
      </c>
      <c r="D353" t="inlineStr">
        <is>
          <t>DALARNAS LÄN</t>
        </is>
      </c>
      <c r="E353" t="inlineStr">
        <is>
          <t>ORSA</t>
        </is>
      </c>
      <c r="G353" t="n">
        <v>11.5</v>
      </c>
      <c r="H353" t="n">
        <v>0</v>
      </c>
      <c r="I353" t="n">
        <v>0</v>
      </c>
      <c r="J353" t="n">
        <v>0</v>
      </c>
      <c r="K353" t="n">
        <v>0</v>
      </c>
      <c r="L353" t="n">
        <v>0</v>
      </c>
      <c r="M353" t="n">
        <v>0</v>
      </c>
      <c r="N353" t="n">
        <v>0</v>
      </c>
      <c r="O353" t="n">
        <v>0</v>
      </c>
      <c r="P353" t="n">
        <v>0</v>
      </c>
      <c r="Q353" t="n">
        <v>0</v>
      </c>
      <c r="R353" s="2" t="inlineStr"/>
    </row>
    <row r="354" ht="15" customHeight="1">
      <c r="A354" t="inlineStr">
        <is>
          <t>A 54782-2025</t>
        </is>
      </c>
      <c r="B354" s="1" t="n">
        <v>45966</v>
      </c>
      <c r="C354" s="1" t="n">
        <v>46200</v>
      </c>
      <c r="D354" t="inlineStr">
        <is>
          <t>DALARNAS LÄN</t>
        </is>
      </c>
      <c r="E354" t="inlineStr">
        <is>
          <t>ORSA</t>
        </is>
      </c>
      <c r="G354" t="n">
        <v>3.8</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v>
      </c>
      <c r="C355" s="1" t="n">
        <v>46200</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55105-2025</t>
        </is>
      </c>
      <c r="B356" s="1" t="n">
        <v>45968</v>
      </c>
      <c r="C356" s="1" t="n">
        <v>46200</v>
      </c>
      <c r="D356" t="inlineStr">
        <is>
          <t>DALARNAS LÄN</t>
        </is>
      </c>
      <c r="E356" t="inlineStr">
        <is>
          <t>ORSA</t>
        </is>
      </c>
      <c r="F356" t="inlineStr">
        <is>
          <t>Allmännings- och besparingsskogar</t>
        </is>
      </c>
      <c r="G356" t="n">
        <v>31.5</v>
      </c>
      <c r="H356" t="n">
        <v>0</v>
      </c>
      <c r="I356" t="n">
        <v>0</v>
      </c>
      <c r="J356" t="n">
        <v>0</v>
      </c>
      <c r="K356" t="n">
        <v>0</v>
      </c>
      <c r="L356" t="n">
        <v>0</v>
      </c>
      <c r="M356" t="n">
        <v>0</v>
      </c>
      <c r="N356" t="n">
        <v>0</v>
      </c>
      <c r="O356" t="n">
        <v>0</v>
      </c>
      <c r="P356" t="n">
        <v>0</v>
      </c>
      <c r="Q356" t="n">
        <v>0</v>
      </c>
      <c r="R356" s="2" t="inlineStr"/>
    </row>
    <row r="357" ht="15" customHeight="1">
      <c r="A357" t="inlineStr">
        <is>
          <t>A 55369-2025</t>
        </is>
      </c>
      <c r="B357" s="1" t="n">
        <v>45971</v>
      </c>
      <c r="C357" s="1" t="n">
        <v>46200</v>
      </c>
      <c r="D357" t="inlineStr">
        <is>
          <t>DALARNAS LÄN</t>
        </is>
      </c>
      <c r="E357" t="inlineStr">
        <is>
          <t>ORSA</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46279-2025</t>
        </is>
      </c>
      <c r="B358" s="1" t="n">
        <v>45925</v>
      </c>
      <c r="C358" s="1" t="n">
        <v>46200</v>
      </c>
      <c r="D358" t="inlineStr">
        <is>
          <t>DALARNAS LÄN</t>
        </is>
      </c>
      <c r="E358" t="inlineStr">
        <is>
          <t>ORSA</t>
        </is>
      </c>
      <c r="G358" t="n">
        <v>2.2</v>
      </c>
      <c r="H358" t="n">
        <v>0</v>
      </c>
      <c r="I358" t="n">
        <v>0</v>
      </c>
      <c r="J358" t="n">
        <v>0</v>
      </c>
      <c r="K358" t="n">
        <v>0</v>
      </c>
      <c r="L358" t="n">
        <v>0</v>
      </c>
      <c r="M358" t="n">
        <v>0</v>
      </c>
      <c r="N358" t="n">
        <v>0</v>
      </c>
      <c r="O358" t="n">
        <v>0</v>
      </c>
      <c r="P358" t="n">
        <v>0</v>
      </c>
      <c r="Q358" t="n">
        <v>0</v>
      </c>
      <c r="R358" s="2" t="inlineStr"/>
    </row>
    <row r="359" ht="15" customHeight="1">
      <c r="A359" t="inlineStr">
        <is>
          <t>A 55405-2025</t>
        </is>
      </c>
      <c r="B359" s="1" t="n">
        <v>45971</v>
      </c>
      <c r="C359" s="1" t="n">
        <v>46200</v>
      </c>
      <c r="D359" t="inlineStr">
        <is>
          <t>DALARNAS LÄN</t>
        </is>
      </c>
      <c r="E359" t="inlineStr">
        <is>
          <t>ORSA</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46272-2025</t>
        </is>
      </c>
      <c r="B360" s="1" t="n">
        <v>45925</v>
      </c>
      <c r="C360" s="1" t="n">
        <v>46200</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56471-2025</t>
        </is>
      </c>
      <c r="B361" s="1" t="n">
        <v>45975</v>
      </c>
      <c r="C361" s="1" t="n">
        <v>46200</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56295-2025</t>
        </is>
      </c>
      <c r="B362" s="1" t="n">
        <v>45974</v>
      </c>
      <c r="C362" s="1" t="n">
        <v>46200</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56473-2025</t>
        </is>
      </c>
      <c r="B363" s="1" t="n">
        <v>45975</v>
      </c>
      <c r="C363" s="1" t="n">
        <v>46200</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56297-2025</t>
        </is>
      </c>
      <c r="B364" s="1" t="n">
        <v>45974</v>
      </c>
      <c r="C364" s="1" t="n">
        <v>46200</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56459-2025</t>
        </is>
      </c>
      <c r="B365" s="1" t="n">
        <v>45975</v>
      </c>
      <c r="C365" s="1" t="n">
        <v>46200</v>
      </c>
      <c r="D365" t="inlineStr">
        <is>
          <t>DALARNAS LÄN</t>
        </is>
      </c>
      <c r="E365" t="inlineStr">
        <is>
          <t>ORSA</t>
        </is>
      </c>
      <c r="G365" t="n">
        <v>3.8</v>
      </c>
      <c r="H365" t="n">
        <v>0</v>
      </c>
      <c r="I365" t="n">
        <v>0</v>
      </c>
      <c r="J365" t="n">
        <v>0</v>
      </c>
      <c r="K365" t="n">
        <v>0</v>
      </c>
      <c r="L365" t="n">
        <v>0</v>
      </c>
      <c r="M365" t="n">
        <v>0</v>
      </c>
      <c r="N365" t="n">
        <v>0</v>
      </c>
      <c r="O365" t="n">
        <v>0</v>
      </c>
      <c r="P365" t="n">
        <v>0</v>
      </c>
      <c r="Q365" t="n">
        <v>0</v>
      </c>
      <c r="R365" s="2" t="inlineStr"/>
    </row>
    <row r="366" ht="15" customHeight="1">
      <c r="A366" t="inlineStr">
        <is>
          <t>A 56288-2025</t>
        </is>
      </c>
      <c r="B366" s="1" t="n">
        <v>45974</v>
      </c>
      <c r="C366" s="1" t="n">
        <v>46200</v>
      </c>
      <c r="D366" t="inlineStr">
        <is>
          <t>DALARNAS LÄN</t>
        </is>
      </c>
      <c r="E366" t="inlineStr">
        <is>
          <t>ORSA</t>
        </is>
      </c>
      <c r="G366" t="n">
        <v>7.2</v>
      </c>
      <c r="H366" t="n">
        <v>0</v>
      </c>
      <c r="I366" t="n">
        <v>0</v>
      </c>
      <c r="J366" t="n">
        <v>0</v>
      </c>
      <c r="K366" t="n">
        <v>0</v>
      </c>
      <c r="L366" t="n">
        <v>0</v>
      </c>
      <c r="M366" t="n">
        <v>0</v>
      </c>
      <c r="N366" t="n">
        <v>0</v>
      </c>
      <c r="O366" t="n">
        <v>0</v>
      </c>
      <c r="P366" t="n">
        <v>0</v>
      </c>
      <c r="Q366" t="n">
        <v>0</v>
      </c>
      <c r="R366" s="2" t="inlineStr"/>
    </row>
    <row r="367" ht="15" customHeight="1">
      <c r="A367" t="inlineStr">
        <is>
          <t>A 57383-2025</t>
        </is>
      </c>
      <c r="B367" s="1" t="n">
        <v>45980</v>
      </c>
      <c r="C367" s="1" t="n">
        <v>46200</v>
      </c>
      <c r="D367" t="inlineStr">
        <is>
          <t>DALARNAS LÄN</t>
        </is>
      </c>
      <c r="E367" t="inlineStr">
        <is>
          <t>ORSA</t>
        </is>
      </c>
      <c r="F367" t="inlineStr">
        <is>
          <t>Kyrkan</t>
        </is>
      </c>
      <c r="G367" t="n">
        <v>3.5</v>
      </c>
      <c r="H367" t="n">
        <v>0</v>
      </c>
      <c r="I367" t="n">
        <v>0</v>
      </c>
      <c r="J367" t="n">
        <v>0</v>
      </c>
      <c r="K367" t="n">
        <v>0</v>
      </c>
      <c r="L367" t="n">
        <v>0</v>
      </c>
      <c r="M367" t="n">
        <v>0</v>
      </c>
      <c r="N367" t="n">
        <v>0</v>
      </c>
      <c r="O367" t="n">
        <v>0</v>
      </c>
      <c r="P367" t="n">
        <v>0</v>
      </c>
      <c r="Q367" t="n">
        <v>0</v>
      </c>
      <c r="R367" s="2" t="inlineStr"/>
    </row>
    <row r="368" ht="15" customHeight="1">
      <c r="A368" t="inlineStr">
        <is>
          <t>A 57681-2025</t>
        </is>
      </c>
      <c r="B368" s="1" t="n">
        <v>45980</v>
      </c>
      <c r="C368" s="1" t="n">
        <v>46200</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24969-2025</t>
        </is>
      </c>
      <c r="B369" s="1" t="n">
        <v>45799</v>
      </c>
      <c r="C369" s="1" t="n">
        <v>46200</v>
      </c>
      <c r="D369" t="inlineStr">
        <is>
          <t>DALARNAS LÄN</t>
        </is>
      </c>
      <c r="E369" t="inlineStr">
        <is>
          <t>ORSA</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58681-2025</t>
        </is>
      </c>
      <c r="B370" s="1" t="n">
        <v>45986</v>
      </c>
      <c r="C370" s="1" t="n">
        <v>46200</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58904-2025</t>
        </is>
      </c>
      <c r="B371" s="1" t="n">
        <v>45987</v>
      </c>
      <c r="C371" s="1" t="n">
        <v>46200</v>
      </c>
      <c r="D371" t="inlineStr">
        <is>
          <t>DALARNAS LÄN</t>
        </is>
      </c>
      <c r="E371" t="inlineStr">
        <is>
          <t>ORSA</t>
        </is>
      </c>
      <c r="G371" t="n">
        <v>5.5</v>
      </c>
      <c r="H371" t="n">
        <v>0</v>
      </c>
      <c r="I371" t="n">
        <v>0</v>
      </c>
      <c r="J371" t="n">
        <v>0</v>
      </c>
      <c r="K371" t="n">
        <v>0</v>
      </c>
      <c r="L371" t="n">
        <v>0</v>
      </c>
      <c r="M371" t="n">
        <v>0</v>
      </c>
      <c r="N371" t="n">
        <v>0</v>
      </c>
      <c r="O371" t="n">
        <v>0</v>
      </c>
      <c r="P371" t="n">
        <v>0</v>
      </c>
      <c r="Q371" t="n">
        <v>0</v>
      </c>
      <c r="R371" s="2" t="inlineStr"/>
    </row>
    <row r="372" ht="15" customHeight="1">
      <c r="A372" t="inlineStr">
        <is>
          <t>A 58657-2025</t>
        </is>
      </c>
      <c r="B372" s="1" t="n">
        <v>45986</v>
      </c>
      <c r="C372" s="1" t="n">
        <v>46200</v>
      </c>
      <c r="D372" t="inlineStr">
        <is>
          <t>DALARNAS LÄN</t>
        </is>
      </c>
      <c r="E372" t="inlineStr">
        <is>
          <t>ORSA</t>
        </is>
      </c>
      <c r="G372" t="n">
        <v>1.6</v>
      </c>
      <c r="H372" t="n">
        <v>0</v>
      </c>
      <c r="I372" t="n">
        <v>0</v>
      </c>
      <c r="J372" t="n">
        <v>0</v>
      </c>
      <c r="K372" t="n">
        <v>0</v>
      </c>
      <c r="L372" t="n">
        <v>0</v>
      </c>
      <c r="M372" t="n">
        <v>0</v>
      </c>
      <c r="N372" t="n">
        <v>0</v>
      </c>
      <c r="O372" t="n">
        <v>0</v>
      </c>
      <c r="P372" t="n">
        <v>0</v>
      </c>
      <c r="Q372" t="n">
        <v>0</v>
      </c>
      <c r="R372" s="2" t="inlineStr"/>
    </row>
    <row r="373" ht="15" customHeight="1">
      <c r="A373" t="inlineStr">
        <is>
          <t>A 58834-2025</t>
        </is>
      </c>
      <c r="B373" s="1" t="n">
        <v>45987</v>
      </c>
      <c r="C373" s="1" t="n">
        <v>46200</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58691-2025</t>
        </is>
      </c>
      <c r="B374" s="1" t="n">
        <v>45986</v>
      </c>
      <c r="C374" s="1" t="n">
        <v>46200</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58910-2025</t>
        </is>
      </c>
      <c r="B375" s="1" t="n">
        <v>45987</v>
      </c>
      <c r="C375" s="1" t="n">
        <v>46200</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58647-2025</t>
        </is>
      </c>
      <c r="B376" s="1" t="n">
        <v>45986</v>
      </c>
      <c r="C376" s="1" t="n">
        <v>46200</v>
      </c>
      <c r="D376" t="inlineStr">
        <is>
          <t>DALARNAS LÄN</t>
        </is>
      </c>
      <c r="E376" t="inlineStr">
        <is>
          <t>ORSA</t>
        </is>
      </c>
      <c r="G376" t="n">
        <v>2.8</v>
      </c>
      <c r="H376" t="n">
        <v>0</v>
      </c>
      <c r="I376" t="n">
        <v>0</v>
      </c>
      <c r="J376" t="n">
        <v>0</v>
      </c>
      <c r="K376" t="n">
        <v>0</v>
      </c>
      <c r="L376" t="n">
        <v>0</v>
      </c>
      <c r="M376" t="n">
        <v>0</v>
      </c>
      <c r="N376" t="n">
        <v>0</v>
      </c>
      <c r="O376" t="n">
        <v>0</v>
      </c>
      <c r="P376" t="n">
        <v>0</v>
      </c>
      <c r="Q376" t="n">
        <v>0</v>
      </c>
      <c r="R376" s="2" t="inlineStr"/>
    </row>
    <row r="377" ht="15" customHeight="1">
      <c r="A377" t="inlineStr">
        <is>
          <t>A 58886-2025</t>
        </is>
      </c>
      <c r="B377" s="1" t="n">
        <v>45987</v>
      </c>
      <c r="C377" s="1" t="n">
        <v>46200</v>
      </c>
      <c r="D377" t="inlineStr">
        <is>
          <t>DALARNAS LÄN</t>
        </is>
      </c>
      <c r="E377" t="inlineStr">
        <is>
          <t>ORSA</t>
        </is>
      </c>
      <c r="G377" t="n">
        <v>2.7</v>
      </c>
      <c r="H377" t="n">
        <v>0</v>
      </c>
      <c r="I377" t="n">
        <v>0</v>
      </c>
      <c r="J377" t="n">
        <v>0</v>
      </c>
      <c r="K377" t="n">
        <v>0</v>
      </c>
      <c r="L377" t="n">
        <v>0</v>
      </c>
      <c r="M377" t="n">
        <v>0</v>
      </c>
      <c r="N377" t="n">
        <v>0</v>
      </c>
      <c r="O377" t="n">
        <v>0</v>
      </c>
      <c r="P377" t="n">
        <v>0</v>
      </c>
      <c r="Q377" t="n">
        <v>0</v>
      </c>
      <c r="R377" s="2" t="inlineStr"/>
    </row>
    <row r="378" ht="15" customHeight="1">
      <c r="A378" t="inlineStr">
        <is>
          <t>A 58683-2025</t>
        </is>
      </c>
      <c r="B378" s="1" t="n">
        <v>45986</v>
      </c>
      <c r="C378" s="1" t="n">
        <v>46200</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59149-2025</t>
        </is>
      </c>
      <c r="B379" s="1" t="n">
        <v>45988</v>
      </c>
      <c r="C379" s="1" t="n">
        <v>46200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59114-2025</t>
        </is>
      </c>
      <c r="B380" s="1" t="n">
        <v>45988</v>
      </c>
      <c r="C380" s="1" t="n">
        <v>46200</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59124-2025</t>
        </is>
      </c>
      <c r="B381" s="1" t="n">
        <v>45988</v>
      </c>
      <c r="C381" s="1" t="n">
        <v>46200</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25211-2025</t>
        </is>
      </c>
      <c r="B382" s="1" t="n">
        <v>45800</v>
      </c>
      <c r="C382" s="1" t="n">
        <v>46200</v>
      </c>
      <c r="D382" t="inlineStr">
        <is>
          <t>DALARNAS LÄN</t>
        </is>
      </c>
      <c r="E382" t="inlineStr">
        <is>
          <t>ORSA</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60162-2025</t>
        </is>
      </c>
      <c r="B383" s="1" t="n">
        <v>45994</v>
      </c>
      <c r="C383" s="1" t="n">
        <v>46200</v>
      </c>
      <c r="D383" t="inlineStr">
        <is>
          <t>DALARNAS LÄN</t>
        </is>
      </c>
      <c r="E383" t="inlineStr">
        <is>
          <t>ORSA</t>
        </is>
      </c>
      <c r="G383" t="n">
        <v>1</v>
      </c>
      <c r="H383" t="n">
        <v>0</v>
      </c>
      <c r="I383" t="n">
        <v>0</v>
      </c>
      <c r="J383" t="n">
        <v>0</v>
      </c>
      <c r="K383" t="n">
        <v>0</v>
      </c>
      <c r="L383" t="n">
        <v>0</v>
      </c>
      <c r="M383" t="n">
        <v>0</v>
      </c>
      <c r="N383" t="n">
        <v>0</v>
      </c>
      <c r="O383" t="n">
        <v>0</v>
      </c>
      <c r="P383" t="n">
        <v>0</v>
      </c>
      <c r="Q383" t="n">
        <v>0</v>
      </c>
      <c r="R383" s="2" t="inlineStr"/>
    </row>
    <row r="384" ht="15" customHeight="1">
      <c r="A384" t="inlineStr">
        <is>
          <t>A 18817-2023</t>
        </is>
      </c>
      <c r="B384" s="1" t="n">
        <v>45043</v>
      </c>
      <c r="C384" s="1" t="n">
        <v>46200</v>
      </c>
      <c r="D384" t="inlineStr">
        <is>
          <t>DALARNAS LÄN</t>
        </is>
      </c>
      <c r="E384" t="inlineStr">
        <is>
          <t>ORSA</t>
        </is>
      </c>
      <c r="G384" t="n">
        <v>4.4</v>
      </c>
      <c r="H384" t="n">
        <v>0</v>
      </c>
      <c r="I384" t="n">
        <v>0</v>
      </c>
      <c r="J384" t="n">
        <v>0</v>
      </c>
      <c r="K384" t="n">
        <v>0</v>
      </c>
      <c r="L384" t="n">
        <v>0</v>
      </c>
      <c r="M384" t="n">
        <v>0</v>
      </c>
      <c r="N384" t="n">
        <v>0</v>
      </c>
      <c r="O384" t="n">
        <v>0</v>
      </c>
      <c r="P384" t="n">
        <v>0</v>
      </c>
      <c r="Q384" t="n">
        <v>0</v>
      </c>
      <c r="R384" s="2" t="inlineStr"/>
    </row>
    <row r="385" ht="15" customHeight="1">
      <c r="A385" t="inlineStr">
        <is>
          <t>A 48525-2024</t>
        </is>
      </c>
      <c r="B385" s="1" t="n">
        <v>45593</v>
      </c>
      <c r="C385" s="1" t="n">
        <v>46200</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v>
      </c>
      <c r="C386" s="1" t="n">
        <v>46200</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60837-2025</t>
        </is>
      </c>
      <c r="B387" s="1" t="n">
        <v>45999</v>
      </c>
      <c r="C387" s="1" t="n">
        <v>46200</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31634-2025</t>
        </is>
      </c>
      <c r="B388" s="1" t="n">
        <v>45834</v>
      </c>
      <c r="C388" s="1" t="n">
        <v>46200</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11784-2024</t>
        </is>
      </c>
      <c r="B389" s="1" t="n">
        <v>45374</v>
      </c>
      <c r="C389" s="1" t="n">
        <v>46200</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60945-2025</t>
        </is>
      </c>
      <c r="B390" s="1" t="n">
        <v>45999</v>
      </c>
      <c r="C390" s="1" t="n">
        <v>46200</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47134-2024</t>
        </is>
      </c>
      <c r="B391" s="1" t="n">
        <v>45586</v>
      </c>
      <c r="C391" s="1" t="n">
        <v>46200</v>
      </c>
      <c r="D391" t="inlineStr">
        <is>
          <t>DALARNAS LÄN</t>
        </is>
      </c>
      <c r="E391" t="inlineStr">
        <is>
          <t>ORSA</t>
        </is>
      </c>
      <c r="G391" t="n">
        <v>0.3</v>
      </c>
      <c r="H391" t="n">
        <v>0</v>
      </c>
      <c r="I391" t="n">
        <v>0</v>
      </c>
      <c r="J391" t="n">
        <v>0</v>
      </c>
      <c r="K391" t="n">
        <v>0</v>
      </c>
      <c r="L391" t="n">
        <v>0</v>
      </c>
      <c r="M391" t="n">
        <v>0</v>
      </c>
      <c r="N391" t="n">
        <v>0</v>
      </c>
      <c r="O391" t="n">
        <v>0</v>
      </c>
      <c r="P391" t="n">
        <v>0</v>
      </c>
      <c r="Q391" t="n">
        <v>0</v>
      </c>
      <c r="R391" s="2" t="inlineStr"/>
    </row>
    <row r="392" ht="15" customHeight="1">
      <c r="A392" t="inlineStr">
        <is>
          <t>A 55843-2023</t>
        </is>
      </c>
      <c r="B392" s="1" t="n">
        <v>45239</v>
      </c>
      <c r="C392" s="1" t="n">
        <v>46200</v>
      </c>
      <c r="D392" t="inlineStr">
        <is>
          <t>DALARNAS LÄN</t>
        </is>
      </c>
      <c r="E392" t="inlineStr">
        <is>
          <t>ORSA</t>
        </is>
      </c>
      <c r="G392" t="n">
        <v>2.4</v>
      </c>
      <c r="H392" t="n">
        <v>0</v>
      </c>
      <c r="I392" t="n">
        <v>0</v>
      </c>
      <c r="J392" t="n">
        <v>0</v>
      </c>
      <c r="K392" t="n">
        <v>0</v>
      </c>
      <c r="L392" t="n">
        <v>0</v>
      </c>
      <c r="M392" t="n">
        <v>0</v>
      </c>
      <c r="N392" t="n">
        <v>0</v>
      </c>
      <c r="O392" t="n">
        <v>0</v>
      </c>
      <c r="P392" t="n">
        <v>0</v>
      </c>
      <c r="Q392" t="n">
        <v>0</v>
      </c>
      <c r="R392" s="2" t="inlineStr"/>
    </row>
    <row r="393" ht="15" customHeight="1">
      <c r="A393" t="inlineStr">
        <is>
          <t>A 22911-2023</t>
        </is>
      </c>
      <c r="B393" s="1" t="n">
        <v>45072</v>
      </c>
      <c r="C393" s="1" t="n">
        <v>46200</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35477-2023</t>
        </is>
      </c>
      <c r="B394" s="1" t="n">
        <v>45146</v>
      </c>
      <c r="C394" s="1" t="n">
        <v>46200</v>
      </c>
      <c r="D394" t="inlineStr">
        <is>
          <t>DALARNAS LÄN</t>
        </is>
      </c>
      <c r="E394" t="inlineStr">
        <is>
          <t>ORSA</t>
        </is>
      </c>
      <c r="G394" t="n">
        <v>7.7</v>
      </c>
      <c r="H394" t="n">
        <v>0</v>
      </c>
      <c r="I394" t="n">
        <v>0</v>
      </c>
      <c r="J394" t="n">
        <v>0</v>
      </c>
      <c r="K394" t="n">
        <v>0</v>
      </c>
      <c r="L394" t="n">
        <v>0</v>
      </c>
      <c r="M394" t="n">
        <v>0</v>
      </c>
      <c r="N394" t="n">
        <v>0</v>
      </c>
      <c r="O394" t="n">
        <v>0</v>
      </c>
      <c r="P394" t="n">
        <v>0</v>
      </c>
      <c r="Q394" t="n">
        <v>0</v>
      </c>
      <c r="R394" s="2" t="inlineStr"/>
    </row>
    <row r="395" ht="15" customHeight="1">
      <c r="A395" t="inlineStr">
        <is>
          <t>A 47579-2023</t>
        </is>
      </c>
      <c r="B395" s="1" t="n">
        <v>45203</v>
      </c>
      <c r="C395" s="1" t="n">
        <v>46200</v>
      </c>
      <c r="D395" t="inlineStr">
        <is>
          <t>DALARNAS LÄN</t>
        </is>
      </c>
      <c r="E395" t="inlineStr">
        <is>
          <t>ORSA</t>
        </is>
      </c>
      <c r="G395" t="n">
        <v>2.9</v>
      </c>
      <c r="H395" t="n">
        <v>0</v>
      </c>
      <c r="I395" t="n">
        <v>0</v>
      </c>
      <c r="J395" t="n">
        <v>0</v>
      </c>
      <c r="K395" t="n">
        <v>0</v>
      </c>
      <c r="L395" t="n">
        <v>0</v>
      </c>
      <c r="M395" t="n">
        <v>0</v>
      </c>
      <c r="N395" t="n">
        <v>0</v>
      </c>
      <c r="O395" t="n">
        <v>0</v>
      </c>
      <c r="P395" t="n">
        <v>0</v>
      </c>
      <c r="Q395" t="n">
        <v>0</v>
      </c>
      <c r="R395" s="2" t="inlineStr"/>
    </row>
    <row r="396" ht="15" customHeight="1">
      <c r="A396" t="inlineStr">
        <is>
          <t>A 48819-2024</t>
        </is>
      </c>
      <c r="B396" s="1" t="n">
        <v>45593</v>
      </c>
      <c r="C396" s="1" t="n">
        <v>46200</v>
      </c>
      <c r="D396" t="inlineStr">
        <is>
          <t>DALARNAS LÄN</t>
        </is>
      </c>
      <c r="E396" t="inlineStr">
        <is>
          <t>ORSA</t>
        </is>
      </c>
      <c r="G396" t="n">
        <v>5</v>
      </c>
      <c r="H396" t="n">
        <v>0</v>
      </c>
      <c r="I396" t="n">
        <v>0</v>
      </c>
      <c r="J396" t="n">
        <v>0</v>
      </c>
      <c r="K396" t="n">
        <v>0</v>
      </c>
      <c r="L396" t="n">
        <v>0</v>
      </c>
      <c r="M396" t="n">
        <v>0</v>
      </c>
      <c r="N396" t="n">
        <v>0</v>
      </c>
      <c r="O396" t="n">
        <v>0</v>
      </c>
      <c r="P396" t="n">
        <v>0</v>
      </c>
      <c r="Q396" t="n">
        <v>0</v>
      </c>
      <c r="R396" s="2" t="inlineStr"/>
    </row>
    <row r="397" ht="15" customHeight="1">
      <c r="A397" t="inlineStr">
        <is>
          <t>A 23350-2024</t>
        </is>
      </c>
      <c r="B397" s="1" t="n">
        <v>45453</v>
      </c>
      <c r="C397" s="1" t="n">
        <v>46200</v>
      </c>
      <c r="D397" t="inlineStr">
        <is>
          <t>DALARNAS LÄN</t>
        </is>
      </c>
      <c r="E397" t="inlineStr">
        <is>
          <t>ORSA</t>
        </is>
      </c>
      <c r="G397" t="n">
        <v>18.7</v>
      </c>
      <c r="H397" t="n">
        <v>0</v>
      </c>
      <c r="I397" t="n">
        <v>0</v>
      </c>
      <c r="J397" t="n">
        <v>0</v>
      </c>
      <c r="K397" t="n">
        <v>0</v>
      </c>
      <c r="L397" t="n">
        <v>0</v>
      </c>
      <c r="M397" t="n">
        <v>0</v>
      </c>
      <c r="N397" t="n">
        <v>0</v>
      </c>
      <c r="O397" t="n">
        <v>0</v>
      </c>
      <c r="P397" t="n">
        <v>0</v>
      </c>
      <c r="Q397" t="n">
        <v>0</v>
      </c>
      <c r="R397" s="2" t="inlineStr"/>
    </row>
    <row r="398" ht="15" customHeight="1">
      <c r="A398" t="inlineStr">
        <is>
          <t>A 48447-2023</t>
        </is>
      </c>
      <c r="B398" s="1" t="n">
        <v>45206</v>
      </c>
      <c r="C398" s="1" t="n">
        <v>46200</v>
      </c>
      <c r="D398" t="inlineStr">
        <is>
          <t>DALARNAS LÄN</t>
        </is>
      </c>
      <c r="E398" t="inlineStr">
        <is>
          <t>ORSA</t>
        </is>
      </c>
      <c r="G398" t="n">
        <v>0.6</v>
      </c>
      <c r="H398" t="n">
        <v>0</v>
      </c>
      <c r="I398" t="n">
        <v>0</v>
      </c>
      <c r="J398" t="n">
        <v>0</v>
      </c>
      <c r="K398" t="n">
        <v>0</v>
      </c>
      <c r="L398" t="n">
        <v>0</v>
      </c>
      <c r="M398" t="n">
        <v>0</v>
      </c>
      <c r="N398" t="n">
        <v>0</v>
      </c>
      <c r="O398" t="n">
        <v>0</v>
      </c>
      <c r="P398" t="n">
        <v>0</v>
      </c>
      <c r="Q398" t="n">
        <v>0</v>
      </c>
      <c r="R398" s="2" t="inlineStr"/>
    </row>
    <row r="399" ht="15" customHeight="1">
      <c r="A399" t="inlineStr">
        <is>
          <t>A 2563-2025</t>
        </is>
      </c>
      <c r="B399" s="1" t="n">
        <v>45674</v>
      </c>
      <c r="C399" s="1" t="n">
        <v>46200</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46200</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31172-2023</t>
        </is>
      </c>
      <c r="B401" s="1" t="n">
        <v>45113</v>
      </c>
      <c r="C401" s="1" t="n">
        <v>46200</v>
      </c>
      <c r="D401" t="inlineStr">
        <is>
          <t>DALARNAS LÄN</t>
        </is>
      </c>
      <c r="E401" t="inlineStr">
        <is>
          <t>ORSA</t>
        </is>
      </c>
      <c r="G401" t="n">
        <v>2.9</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46200</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60844-2025</t>
        </is>
      </c>
      <c r="B403" s="1" t="n">
        <v>45999</v>
      </c>
      <c r="C403" s="1" t="n">
        <v>46200</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46200</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48518-2024</t>
        </is>
      </c>
      <c r="B405" s="1" t="n">
        <v>45593</v>
      </c>
      <c r="C405" s="1" t="n">
        <v>46200</v>
      </c>
      <c r="D405" t="inlineStr">
        <is>
          <t>DALARNAS LÄN</t>
        </is>
      </c>
      <c r="E405" t="inlineStr">
        <is>
          <t>ORSA</t>
        </is>
      </c>
      <c r="G405" t="n">
        <v>1.9</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v>
      </c>
      <c r="C406" s="1" t="n">
        <v>46200</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51551-2025</t>
        </is>
      </c>
      <c r="B407" s="1" t="n">
        <v>45950</v>
      </c>
      <c r="C407" s="1" t="n">
        <v>46200</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62971-2025</t>
        </is>
      </c>
      <c r="B408" s="1" t="n">
        <v>46009</v>
      </c>
      <c r="C408" s="1" t="n">
        <v>46200</v>
      </c>
      <c r="D408" t="inlineStr">
        <is>
          <t>DALARNAS LÄN</t>
        </is>
      </c>
      <c r="E408" t="inlineStr">
        <is>
          <t>ORSA</t>
        </is>
      </c>
      <c r="G408" t="n">
        <v>2.4</v>
      </c>
      <c r="H408" t="n">
        <v>0</v>
      </c>
      <c r="I408" t="n">
        <v>0</v>
      </c>
      <c r="J408" t="n">
        <v>0</v>
      </c>
      <c r="K408" t="n">
        <v>0</v>
      </c>
      <c r="L408" t="n">
        <v>0</v>
      </c>
      <c r="M408" t="n">
        <v>0</v>
      </c>
      <c r="N408" t="n">
        <v>0</v>
      </c>
      <c r="O408" t="n">
        <v>0</v>
      </c>
      <c r="P408" t="n">
        <v>0</v>
      </c>
      <c r="Q408" t="n">
        <v>0</v>
      </c>
      <c r="R408" s="2" t="inlineStr"/>
    </row>
    <row r="409" ht="15" customHeight="1">
      <c r="A409" t="inlineStr">
        <is>
          <t>A 62830-2025</t>
        </is>
      </c>
      <c r="B409" s="1" t="n">
        <v>46008</v>
      </c>
      <c r="C409" s="1" t="n">
        <v>46200</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62810-2025</t>
        </is>
      </c>
      <c r="B410" s="1" t="n">
        <v>46008</v>
      </c>
      <c r="C410" s="1" t="n">
        <v>46200</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62832-2025</t>
        </is>
      </c>
      <c r="B411" s="1" t="n">
        <v>46008</v>
      </c>
      <c r="C411" s="1" t="n">
        <v>46200</v>
      </c>
      <c r="D411" t="inlineStr">
        <is>
          <t>DALARNAS LÄN</t>
        </is>
      </c>
      <c r="E411" t="inlineStr">
        <is>
          <t>ORSA</t>
        </is>
      </c>
      <c r="G411" t="n">
        <v>1.9</v>
      </c>
      <c r="H411" t="n">
        <v>0</v>
      </c>
      <c r="I411" t="n">
        <v>0</v>
      </c>
      <c r="J411" t="n">
        <v>0</v>
      </c>
      <c r="K411" t="n">
        <v>0</v>
      </c>
      <c r="L411" t="n">
        <v>0</v>
      </c>
      <c r="M411" t="n">
        <v>0</v>
      </c>
      <c r="N411" t="n">
        <v>0</v>
      </c>
      <c r="O411" t="n">
        <v>0</v>
      </c>
      <c r="P411" t="n">
        <v>0</v>
      </c>
      <c r="Q411" t="n">
        <v>0</v>
      </c>
      <c r="R411" s="2" t="inlineStr"/>
    </row>
    <row r="412" ht="15" customHeight="1">
      <c r="A412" t="inlineStr">
        <is>
          <t>A 62858-2025</t>
        </is>
      </c>
      <c r="B412" s="1" t="n">
        <v>46008</v>
      </c>
      <c r="C412" s="1" t="n">
        <v>46200</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63118-2025</t>
        </is>
      </c>
      <c r="B413" s="1" t="n">
        <v>46009</v>
      </c>
      <c r="C413" s="1" t="n">
        <v>46200</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63231-2025</t>
        </is>
      </c>
      <c r="B414" s="1" t="n">
        <v>46010</v>
      </c>
      <c r="C414" s="1" t="n">
        <v>46200</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63467-2025</t>
        </is>
      </c>
      <c r="B415" s="1" t="n">
        <v>46013</v>
      </c>
      <c r="C415" s="1" t="n">
        <v>46200</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144-2026</t>
        </is>
      </c>
      <c r="B416" s="1" t="n">
        <v>46024</v>
      </c>
      <c r="C416" s="1" t="n">
        <v>46200</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51-2026</t>
        </is>
      </c>
      <c r="B417" s="1" t="n">
        <v>46024</v>
      </c>
      <c r="C417" s="1" t="n">
        <v>46200</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101-2026</t>
        </is>
      </c>
      <c r="B418" s="1" t="n">
        <v>46024</v>
      </c>
      <c r="C418" s="1" t="n">
        <v>46200</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2551-2026</t>
        </is>
      </c>
      <c r="B419" s="1" t="n">
        <v>46037</v>
      </c>
      <c r="C419" s="1" t="n">
        <v>46200</v>
      </c>
      <c r="D419" t="inlineStr">
        <is>
          <t>DALARNAS LÄN</t>
        </is>
      </c>
      <c r="E419" t="inlineStr">
        <is>
          <t>ORSA</t>
        </is>
      </c>
      <c r="G419" t="n">
        <v>2.6</v>
      </c>
      <c r="H419" t="n">
        <v>0</v>
      </c>
      <c r="I419" t="n">
        <v>0</v>
      </c>
      <c r="J419" t="n">
        <v>0</v>
      </c>
      <c r="K419" t="n">
        <v>0</v>
      </c>
      <c r="L419" t="n">
        <v>0</v>
      </c>
      <c r="M419" t="n">
        <v>0</v>
      </c>
      <c r="N419" t="n">
        <v>0</v>
      </c>
      <c r="O419" t="n">
        <v>0</v>
      </c>
      <c r="P419" t="n">
        <v>0</v>
      </c>
      <c r="Q419" t="n">
        <v>0</v>
      </c>
      <c r="R419" s="2" t="inlineStr"/>
    </row>
    <row r="420" ht="15" customHeight="1">
      <c r="A420" t="inlineStr">
        <is>
          <t>A 2090-2026</t>
        </is>
      </c>
      <c r="B420" s="1" t="n">
        <v>46036</v>
      </c>
      <c r="C420" s="1" t="n">
        <v>46200</v>
      </c>
      <c r="D420" t="inlineStr">
        <is>
          <t>DALARNAS LÄN</t>
        </is>
      </c>
      <c r="E420" t="inlineStr">
        <is>
          <t>ORSA</t>
        </is>
      </c>
      <c r="G420" t="n">
        <v>5.7</v>
      </c>
      <c r="H420" t="n">
        <v>0</v>
      </c>
      <c r="I420" t="n">
        <v>0</v>
      </c>
      <c r="J420" t="n">
        <v>0</v>
      </c>
      <c r="K420" t="n">
        <v>0</v>
      </c>
      <c r="L420" t="n">
        <v>0</v>
      </c>
      <c r="M420" t="n">
        <v>0</v>
      </c>
      <c r="N420" t="n">
        <v>0</v>
      </c>
      <c r="O420" t="n">
        <v>0</v>
      </c>
      <c r="P420" t="n">
        <v>0</v>
      </c>
      <c r="Q420" t="n">
        <v>0</v>
      </c>
      <c r="R420" s="2" t="inlineStr"/>
    </row>
    <row r="421" ht="15" customHeight="1">
      <c r="A421" t="inlineStr">
        <is>
          <t>A 3000-2026</t>
        </is>
      </c>
      <c r="B421" s="1" t="n">
        <v>46038</v>
      </c>
      <c r="C421" s="1" t="n">
        <v>46200</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89-2026</t>
        </is>
      </c>
      <c r="B422" s="1" t="n">
        <v>46016</v>
      </c>
      <c r="C422" s="1" t="n">
        <v>46200</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3364-2026</t>
        </is>
      </c>
      <c r="B423" s="1" t="n">
        <v>46042</v>
      </c>
      <c r="C423" s="1" t="n">
        <v>46200</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3988-2026</t>
        </is>
      </c>
      <c r="B424" s="1" t="n">
        <v>46044</v>
      </c>
      <c r="C424" s="1" t="n">
        <v>46200</v>
      </c>
      <c r="D424" t="inlineStr">
        <is>
          <t>DALARNAS LÄN</t>
        </is>
      </c>
      <c r="E424" t="inlineStr">
        <is>
          <t>ORSA</t>
        </is>
      </c>
      <c r="G424" t="n">
        <v>0.7</v>
      </c>
      <c r="H424" t="n">
        <v>0</v>
      </c>
      <c r="I424" t="n">
        <v>0</v>
      </c>
      <c r="J424" t="n">
        <v>0</v>
      </c>
      <c r="K424" t="n">
        <v>0</v>
      </c>
      <c r="L424" t="n">
        <v>0</v>
      </c>
      <c r="M424" t="n">
        <v>0</v>
      </c>
      <c r="N424" t="n">
        <v>0</v>
      </c>
      <c r="O424" t="n">
        <v>0</v>
      </c>
      <c r="P424" t="n">
        <v>0</v>
      </c>
      <c r="Q424" t="n">
        <v>0</v>
      </c>
      <c r="R424" s="2" t="inlineStr"/>
    </row>
    <row r="425" ht="15" customHeight="1">
      <c r="A425" t="inlineStr">
        <is>
          <t>A 29984-2025</t>
        </is>
      </c>
      <c r="B425" s="1" t="n">
        <v>45826</v>
      </c>
      <c r="C425" s="1" t="n">
        <v>46200</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4011-2026</t>
        </is>
      </c>
      <c r="B426" s="1" t="n">
        <v>46044</v>
      </c>
      <c r="C426" s="1" t="n">
        <v>46200</v>
      </c>
      <c r="D426" t="inlineStr">
        <is>
          <t>DALARNAS LÄN</t>
        </is>
      </c>
      <c r="E426" t="inlineStr">
        <is>
          <t>ORSA</t>
        </is>
      </c>
      <c r="G426" t="n">
        <v>3.6</v>
      </c>
      <c r="H426" t="n">
        <v>0</v>
      </c>
      <c r="I426" t="n">
        <v>0</v>
      </c>
      <c r="J426" t="n">
        <v>0</v>
      </c>
      <c r="K426" t="n">
        <v>0</v>
      </c>
      <c r="L426" t="n">
        <v>0</v>
      </c>
      <c r="M426" t="n">
        <v>0</v>
      </c>
      <c r="N426" t="n">
        <v>0</v>
      </c>
      <c r="O426" t="n">
        <v>0</v>
      </c>
      <c r="P426" t="n">
        <v>0</v>
      </c>
      <c r="Q426" t="n">
        <v>0</v>
      </c>
      <c r="R426" s="2" t="inlineStr"/>
    </row>
    <row r="427" ht="15" customHeight="1">
      <c r="A427" t="inlineStr">
        <is>
          <t>A 4690-2026</t>
        </is>
      </c>
      <c r="B427" s="1" t="n">
        <v>46048</v>
      </c>
      <c r="C427" s="1" t="n">
        <v>46200</v>
      </c>
      <c r="D427" t="inlineStr">
        <is>
          <t>DALARNAS LÄN</t>
        </is>
      </c>
      <c r="E427" t="inlineStr">
        <is>
          <t>ORSA</t>
        </is>
      </c>
      <c r="G427" t="n">
        <v>14.2</v>
      </c>
      <c r="H427" t="n">
        <v>0</v>
      </c>
      <c r="I427" t="n">
        <v>0</v>
      </c>
      <c r="J427" t="n">
        <v>0</v>
      </c>
      <c r="K427" t="n">
        <v>0</v>
      </c>
      <c r="L427" t="n">
        <v>0</v>
      </c>
      <c r="M427" t="n">
        <v>0</v>
      </c>
      <c r="N427" t="n">
        <v>0</v>
      </c>
      <c r="O427" t="n">
        <v>0</v>
      </c>
      <c r="P427" t="n">
        <v>0</v>
      </c>
      <c r="Q427" t="n">
        <v>0</v>
      </c>
      <c r="R427" s="2" t="inlineStr"/>
    </row>
    <row r="428" ht="15" customHeight="1">
      <c r="A428" t="inlineStr">
        <is>
          <t>A 5377-2026</t>
        </is>
      </c>
      <c r="B428" s="1" t="n">
        <v>46050</v>
      </c>
      <c r="C428" s="1" t="n">
        <v>46200</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5393-2026</t>
        </is>
      </c>
      <c r="B429" s="1" t="n">
        <v>46050</v>
      </c>
      <c r="C429" s="1" t="n">
        <v>46200</v>
      </c>
      <c r="D429" t="inlineStr">
        <is>
          <t>DALARNAS LÄN</t>
        </is>
      </c>
      <c r="E429" t="inlineStr">
        <is>
          <t>ORSA</t>
        </is>
      </c>
      <c r="G429" t="n">
        <v>4.2</v>
      </c>
      <c r="H429" t="n">
        <v>0</v>
      </c>
      <c r="I429" t="n">
        <v>0</v>
      </c>
      <c r="J429" t="n">
        <v>0</v>
      </c>
      <c r="K429" t="n">
        <v>0</v>
      </c>
      <c r="L429" t="n">
        <v>0</v>
      </c>
      <c r="M429" t="n">
        <v>0</v>
      </c>
      <c r="N429" t="n">
        <v>0</v>
      </c>
      <c r="O429" t="n">
        <v>0</v>
      </c>
      <c r="P429" t="n">
        <v>0</v>
      </c>
      <c r="Q429" t="n">
        <v>0</v>
      </c>
      <c r="R429" s="2" t="inlineStr"/>
    </row>
    <row r="430" ht="15" customHeight="1">
      <c r="A430" t="inlineStr">
        <is>
          <t>A 5395-2026</t>
        </is>
      </c>
      <c r="B430" s="1" t="n">
        <v>46050</v>
      </c>
      <c r="C430" s="1" t="n">
        <v>46200</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5896-2026</t>
        </is>
      </c>
      <c r="B431" s="1" t="n">
        <v>46052</v>
      </c>
      <c r="C431" s="1" t="n">
        <v>46200</v>
      </c>
      <c r="D431" t="inlineStr">
        <is>
          <t>DALARNAS LÄN</t>
        </is>
      </c>
      <c r="E431" t="inlineStr">
        <is>
          <t>ORSA</t>
        </is>
      </c>
      <c r="G431" t="n">
        <v>1.7</v>
      </c>
      <c r="H431" t="n">
        <v>0</v>
      </c>
      <c r="I431" t="n">
        <v>0</v>
      </c>
      <c r="J431" t="n">
        <v>0</v>
      </c>
      <c r="K431" t="n">
        <v>0</v>
      </c>
      <c r="L431" t="n">
        <v>0</v>
      </c>
      <c r="M431" t="n">
        <v>0</v>
      </c>
      <c r="N431" t="n">
        <v>0</v>
      </c>
      <c r="O431" t="n">
        <v>0</v>
      </c>
      <c r="P431" t="n">
        <v>0</v>
      </c>
      <c r="Q431" t="n">
        <v>0</v>
      </c>
      <c r="R431" s="2" t="inlineStr"/>
    </row>
    <row r="432" ht="15" customHeight="1">
      <c r="A432" t="inlineStr">
        <is>
          <t>A 6945-2026</t>
        </is>
      </c>
      <c r="B432" s="1" t="n">
        <v>46057</v>
      </c>
      <c r="C432" s="1" t="n">
        <v>46200</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6757-2026</t>
        </is>
      </c>
      <c r="B433" s="1" t="n">
        <v>46056</v>
      </c>
      <c r="C433" s="1" t="n">
        <v>46200</v>
      </c>
      <c r="D433" t="inlineStr">
        <is>
          <t>DALARNAS LÄN</t>
        </is>
      </c>
      <c r="E433" t="inlineStr">
        <is>
          <t>ORSA</t>
        </is>
      </c>
      <c r="G433" t="n">
        <v>5.5</v>
      </c>
      <c r="H433" t="n">
        <v>0</v>
      </c>
      <c r="I433" t="n">
        <v>0</v>
      </c>
      <c r="J433" t="n">
        <v>0</v>
      </c>
      <c r="K433" t="n">
        <v>0</v>
      </c>
      <c r="L433" t="n">
        <v>0</v>
      </c>
      <c r="M433" t="n">
        <v>0</v>
      </c>
      <c r="N433" t="n">
        <v>0</v>
      </c>
      <c r="O433" t="n">
        <v>0</v>
      </c>
      <c r="P433" t="n">
        <v>0</v>
      </c>
      <c r="Q433" t="n">
        <v>0</v>
      </c>
      <c r="R433" s="2" t="inlineStr"/>
    </row>
    <row r="434" ht="15" customHeight="1">
      <c r="A434" t="inlineStr">
        <is>
          <t>A 7027-2026</t>
        </is>
      </c>
      <c r="B434" s="1" t="n">
        <v>46057</v>
      </c>
      <c r="C434" s="1" t="n">
        <v>46200</v>
      </c>
      <c r="D434" t="inlineStr">
        <is>
          <t>DALARNAS LÄN</t>
        </is>
      </c>
      <c r="E434" t="inlineStr">
        <is>
          <t>ORSA</t>
        </is>
      </c>
      <c r="G434" t="n">
        <v>12.1</v>
      </c>
      <c r="H434" t="n">
        <v>0</v>
      </c>
      <c r="I434" t="n">
        <v>0</v>
      </c>
      <c r="J434" t="n">
        <v>0</v>
      </c>
      <c r="K434" t="n">
        <v>0</v>
      </c>
      <c r="L434" t="n">
        <v>0</v>
      </c>
      <c r="M434" t="n">
        <v>0</v>
      </c>
      <c r="N434" t="n">
        <v>0</v>
      </c>
      <c r="O434" t="n">
        <v>0</v>
      </c>
      <c r="P434" t="n">
        <v>0</v>
      </c>
      <c r="Q434" t="n">
        <v>0</v>
      </c>
      <c r="R434" s="2" t="inlineStr"/>
    </row>
    <row r="435" ht="15" customHeight="1">
      <c r="A435" t="inlineStr">
        <is>
          <t>A 7970-2026</t>
        </is>
      </c>
      <c r="B435" s="1" t="n">
        <v>46063</v>
      </c>
      <c r="C435" s="1" t="n">
        <v>46200</v>
      </c>
      <c r="D435" t="inlineStr">
        <is>
          <t>DALARNAS LÄN</t>
        </is>
      </c>
      <c r="E435" t="inlineStr">
        <is>
          <t>ORSA</t>
        </is>
      </c>
      <c r="G435" t="n">
        <v>0.7</v>
      </c>
      <c r="H435" t="n">
        <v>0</v>
      </c>
      <c r="I435" t="n">
        <v>0</v>
      </c>
      <c r="J435" t="n">
        <v>0</v>
      </c>
      <c r="K435" t="n">
        <v>0</v>
      </c>
      <c r="L435" t="n">
        <v>0</v>
      </c>
      <c r="M435" t="n">
        <v>0</v>
      </c>
      <c r="N435" t="n">
        <v>0</v>
      </c>
      <c r="O435" t="n">
        <v>0</v>
      </c>
      <c r="P435" t="n">
        <v>0</v>
      </c>
      <c r="Q435" t="n">
        <v>0</v>
      </c>
      <c r="R435" s="2" t="inlineStr"/>
    </row>
    <row r="436" ht="15" customHeight="1">
      <c r="A436" t="inlineStr">
        <is>
          <t>A 9269-2026</t>
        </is>
      </c>
      <c r="B436" s="1" t="n">
        <v>46070</v>
      </c>
      <c r="C436" s="1" t="n">
        <v>46200</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10784-2026</t>
        </is>
      </c>
      <c r="B437" s="1" t="n">
        <v>46078</v>
      </c>
      <c r="C437" s="1" t="n">
        <v>46200</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10202-2026</t>
        </is>
      </c>
      <c r="B438" s="1" t="n">
        <v>46076</v>
      </c>
      <c r="C438" s="1" t="n">
        <v>46200</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10513-2026</t>
        </is>
      </c>
      <c r="B439" s="1" t="n">
        <v>46077</v>
      </c>
      <c r="C439" s="1" t="n">
        <v>46200</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10209-2026</t>
        </is>
      </c>
      <c r="B440" s="1" t="n">
        <v>46076</v>
      </c>
      <c r="C440" s="1" t="n">
        <v>46200</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10564-2026</t>
        </is>
      </c>
      <c r="B441" s="1" t="n">
        <v>46077</v>
      </c>
      <c r="C441" s="1" t="n">
        <v>46200</v>
      </c>
      <c r="D441" t="inlineStr">
        <is>
          <t>DALARNAS LÄN</t>
        </is>
      </c>
      <c r="E441" t="inlineStr">
        <is>
          <t>ORSA</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10579-2026</t>
        </is>
      </c>
      <c r="B442" s="1" t="n">
        <v>46077</v>
      </c>
      <c r="C442" s="1" t="n">
        <v>46200</v>
      </c>
      <c r="D442" t="inlineStr">
        <is>
          <t>DALARNAS LÄN</t>
        </is>
      </c>
      <c r="E442" t="inlineStr">
        <is>
          <t>ORSA</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10205-2026</t>
        </is>
      </c>
      <c r="B443" s="1" t="n">
        <v>46076</v>
      </c>
      <c r="C443" s="1" t="n">
        <v>46200</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10210-2026</t>
        </is>
      </c>
      <c r="B444" s="1" t="n">
        <v>46076</v>
      </c>
      <c r="C444" s="1" t="n">
        <v>46200</v>
      </c>
      <c r="D444" t="inlineStr">
        <is>
          <t>DALARNAS LÄN</t>
        </is>
      </c>
      <c r="E444" t="inlineStr">
        <is>
          <t>ORSA</t>
        </is>
      </c>
      <c r="G444" t="n">
        <v>0.7</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46200</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10442-2026</t>
        </is>
      </c>
      <c r="B446" s="1" t="n">
        <v>46077</v>
      </c>
      <c r="C446" s="1" t="n">
        <v>46200</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10506-2026</t>
        </is>
      </c>
      <c r="B447" s="1" t="n">
        <v>46077</v>
      </c>
      <c r="C447" s="1" t="n">
        <v>46200</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10195-2026</t>
        </is>
      </c>
      <c r="B448" s="1" t="n">
        <v>46076</v>
      </c>
      <c r="C448" s="1" t="n">
        <v>46200</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10206-2026</t>
        </is>
      </c>
      <c r="B449" s="1" t="n">
        <v>46076</v>
      </c>
      <c r="C449" s="1" t="n">
        <v>46200</v>
      </c>
      <c r="D449" t="inlineStr">
        <is>
          <t>DALARNAS LÄN</t>
        </is>
      </c>
      <c r="E449" t="inlineStr">
        <is>
          <t>ORSA</t>
        </is>
      </c>
      <c r="G449" t="n">
        <v>1.1</v>
      </c>
      <c r="H449" t="n">
        <v>0</v>
      </c>
      <c r="I449" t="n">
        <v>0</v>
      </c>
      <c r="J449" t="n">
        <v>0</v>
      </c>
      <c r="K449" t="n">
        <v>0</v>
      </c>
      <c r="L449" t="n">
        <v>0</v>
      </c>
      <c r="M449" t="n">
        <v>0</v>
      </c>
      <c r="N449" t="n">
        <v>0</v>
      </c>
      <c r="O449" t="n">
        <v>0</v>
      </c>
      <c r="P449" t="n">
        <v>0</v>
      </c>
      <c r="Q449" t="n">
        <v>0</v>
      </c>
      <c r="R449" s="2" t="inlineStr"/>
    </row>
    <row r="450" ht="15" customHeight="1">
      <c r="A450" t="inlineStr">
        <is>
          <t>A 12404-2026</t>
        </is>
      </c>
      <c r="B450" s="1" t="n">
        <v>46090</v>
      </c>
      <c r="C450" s="1" t="n">
        <v>46200</v>
      </c>
      <c r="D450" t="inlineStr">
        <is>
          <t>DALARNAS LÄN</t>
        </is>
      </c>
      <c r="E450" t="inlineStr">
        <is>
          <t>ORSA</t>
        </is>
      </c>
      <c r="G450" t="n">
        <v>1.3</v>
      </c>
      <c r="H450" t="n">
        <v>0</v>
      </c>
      <c r="I450" t="n">
        <v>0</v>
      </c>
      <c r="J450" t="n">
        <v>0</v>
      </c>
      <c r="K450" t="n">
        <v>0</v>
      </c>
      <c r="L450" t="n">
        <v>0</v>
      </c>
      <c r="M450" t="n">
        <v>0</v>
      </c>
      <c r="N450" t="n">
        <v>0</v>
      </c>
      <c r="O450" t="n">
        <v>0</v>
      </c>
      <c r="P450" t="n">
        <v>0</v>
      </c>
      <c r="Q450" t="n">
        <v>0</v>
      </c>
      <c r="R450" s="2" t="inlineStr"/>
    </row>
    <row r="451" ht="15" customHeight="1">
      <c r="A451" t="inlineStr">
        <is>
          <t>A 12805-2026</t>
        </is>
      </c>
      <c r="B451" s="1" t="n">
        <v>46092</v>
      </c>
      <c r="C451" s="1" t="n">
        <v>46200</v>
      </c>
      <c r="D451" t="inlineStr">
        <is>
          <t>DALARNAS LÄN</t>
        </is>
      </c>
      <c r="E451" t="inlineStr">
        <is>
          <t>ORSA</t>
        </is>
      </c>
      <c r="G451" t="n">
        <v>0.6</v>
      </c>
      <c r="H451" t="n">
        <v>0</v>
      </c>
      <c r="I451" t="n">
        <v>0</v>
      </c>
      <c r="J451" t="n">
        <v>0</v>
      </c>
      <c r="K451" t="n">
        <v>0</v>
      </c>
      <c r="L451" t="n">
        <v>0</v>
      </c>
      <c r="M451" t="n">
        <v>0</v>
      </c>
      <c r="N451" t="n">
        <v>0</v>
      </c>
      <c r="O451" t="n">
        <v>0</v>
      </c>
      <c r="P451" t="n">
        <v>0</v>
      </c>
      <c r="Q451" t="n">
        <v>0</v>
      </c>
      <c r="R451" s="2" t="inlineStr"/>
    </row>
    <row r="452" ht="15" customHeight="1">
      <c r="A452" t="inlineStr">
        <is>
          <t>A 10045-2026</t>
        </is>
      </c>
      <c r="B452" s="1" t="n">
        <v>46073</v>
      </c>
      <c r="C452" s="1" t="n">
        <v>46200</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12678-2026</t>
        </is>
      </c>
      <c r="B453" s="1" t="n">
        <v>46091</v>
      </c>
      <c r="C453" s="1" t="n">
        <v>46200</v>
      </c>
      <c r="D453" t="inlineStr">
        <is>
          <t>DALARNAS LÄN</t>
        </is>
      </c>
      <c r="E453" t="inlineStr">
        <is>
          <t>ORSA</t>
        </is>
      </c>
      <c r="F453" t="inlineStr">
        <is>
          <t>Allmännings- och besparingsskogar</t>
        </is>
      </c>
      <c r="G453" t="n">
        <v>0.6</v>
      </c>
      <c r="H453" t="n">
        <v>0</v>
      </c>
      <c r="I453" t="n">
        <v>0</v>
      </c>
      <c r="J453" t="n">
        <v>0</v>
      </c>
      <c r="K453" t="n">
        <v>0</v>
      </c>
      <c r="L453" t="n">
        <v>0</v>
      </c>
      <c r="M453" t="n">
        <v>0</v>
      </c>
      <c r="N453" t="n">
        <v>0</v>
      </c>
      <c r="O453" t="n">
        <v>0</v>
      </c>
      <c r="P453" t="n">
        <v>0</v>
      </c>
      <c r="Q453" t="n">
        <v>0</v>
      </c>
      <c r="R453" s="2" t="inlineStr"/>
    </row>
    <row r="454" ht="15" customHeight="1">
      <c r="A454" t="inlineStr">
        <is>
          <t>A 9963-2026</t>
        </is>
      </c>
      <c r="B454" s="1" t="n">
        <v>46073</v>
      </c>
      <c r="C454" s="1" t="n">
        <v>46200</v>
      </c>
      <c r="D454" t="inlineStr">
        <is>
          <t>DALARNAS LÄN</t>
        </is>
      </c>
      <c r="E454" t="inlineStr">
        <is>
          <t>ORSA</t>
        </is>
      </c>
      <c r="F454" t="inlineStr">
        <is>
          <t>Bergvik skog öst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12677-2026</t>
        </is>
      </c>
      <c r="B455" s="1" t="n">
        <v>46091</v>
      </c>
      <c r="C455" s="1" t="n">
        <v>46200</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13242-2026</t>
        </is>
      </c>
      <c r="B456" s="1" t="n">
        <v>46093</v>
      </c>
      <c r="C456" s="1" t="n">
        <v>46200</v>
      </c>
      <c r="D456" t="inlineStr">
        <is>
          <t>DALARNAS LÄN</t>
        </is>
      </c>
      <c r="E456" t="inlineStr">
        <is>
          <t>ORSA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13995-2026</t>
        </is>
      </c>
      <c r="B457" s="1" t="n">
        <v>46098</v>
      </c>
      <c r="C457" s="1" t="n">
        <v>46200</v>
      </c>
      <c r="D457" t="inlineStr">
        <is>
          <t>DALARNAS LÄN</t>
        </is>
      </c>
      <c r="E457" t="inlineStr">
        <is>
          <t>ORSA</t>
        </is>
      </c>
      <c r="G457" t="n">
        <v>1.2</v>
      </c>
      <c r="H457" t="n">
        <v>0</v>
      </c>
      <c r="I457" t="n">
        <v>0</v>
      </c>
      <c r="J457" t="n">
        <v>0</v>
      </c>
      <c r="K457" t="n">
        <v>0</v>
      </c>
      <c r="L457" t="n">
        <v>0</v>
      </c>
      <c r="M457" t="n">
        <v>0</v>
      </c>
      <c r="N457" t="n">
        <v>0</v>
      </c>
      <c r="O457" t="n">
        <v>0</v>
      </c>
      <c r="P457" t="n">
        <v>0</v>
      </c>
      <c r="Q457" t="n">
        <v>0</v>
      </c>
      <c r="R457" s="2" t="inlineStr"/>
    </row>
    <row r="458" ht="15" customHeight="1">
      <c r="A458" t="inlineStr">
        <is>
          <t>A 14509-2026</t>
        </is>
      </c>
      <c r="B458" s="1" t="n">
        <v>46100</v>
      </c>
      <c r="C458" s="1" t="n">
        <v>46200</v>
      </c>
      <c r="D458" t="inlineStr">
        <is>
          <t>DALARNAS LÄN</t>
        </is>
      </c>
      <c r="E458" t="inlineStr">
        <is>
          <t>ORSA</t>
        </is>
      </c>
      <c r="G458" t="n">
        <v>1.4</v>
      </c>
      <c r="H458" t="n">
        <v>0</v>
      </c>
      <c r="I458" t="n">
        <v>0</v>
      </c>
      <c r="J458" t="n">
        <v>0</v>
      </c>
      <c r="K458" t="n">
        <v>0</v>
      </c>
      <c r="L458" t="n">
        <v>0</v>
      </c>
      <c r="M458" t="n">
        <v>0</v>
      </c>
      <c r="N458" t="n">
        <v>0</v>
      </c>
      <c r="O458" t="n">
        <v>0</v>
      </c>
      <c r="P458" t="n">
        <v>0</v>
      </c>
      <c r="Q458" t="n">
        <v>0</v>
      </c>
      <c r="R458" s="2" t="inlineStr"/>
    </row>
    <row r="459" ht="15" customHeight="1">
      <c r="A459" t="inlineStr">
        <is>
          <t>A 15414-2026</t>
        </is>
      </c>
      <c r="B459" s="1" t="n">
        <v>46106</v>
      </c>
      <c r="C459" s="1" t="n">
        <v>46200</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10522-2026</t>
        </is>
      </c>
      <c r="B460" s="1" t="n">
        <v>46077</v>
      </c>
      <c r="C460" s="1" t="n">
        <v>46200</v>
      </c>
      <c r="D460" t="inlineStr">
        <is>
          <t>DALARNAS LÄN</t>
        </is>
      </c>
      <c r="E460" t="inlineStr">
        <is>
          <t>ORSA</t>
        </is>
      </c>
      <c r="F460" t="inlineStr">
        <is>
          <t>Bergvik skog öst AB</t>
        </is>
      </c>
      <c r="G460" t="n">
        <v>13.7</v>
      </c>
      <c r="H460" t="n">
        <v>0</v>
      </c>
      <c r="I460" t="n">
        <v>0</v>
      </c>
      <c r="J460" t="n">
        <v>0</v>
      </c>
      <c r="K460" t="n">
        <v>0</v>
      </c>
      <c r="L460" t="n">
        <v>0</v>
      </c>
      <c r="M460" t="n">
        <v>0</v>
      </c>
      <c r="N460" t="n">
        <v>0</v>
      </c>
      <c r="O460" t="n">
        <v>0</v>
      </c>
      <c r="P460" t="n">
        <v>0</v>
      </c>
      <c r="Q460" t="n">
        <v>0</v>
      </c>
      <c r="R460" s="2" t="inlineStr"/>
    </row>
    <row r="461" ht="15" customHeight="1">
      <c r="A461" t="inlineStr">
        <is>
          <t>A 11510-2026</t>
        </is>
      </c>
      <c r="B461" s="1" t="n">
        <v>46083</v>
      </c>
      <c r="C461" s="1" t="n">
        <v>46200</v>
      </c>
      <c r="D461" t="inlineStr">
        <is>
          <t>DALARNAS LÄN</t>
        </is>
      </c>
      <c r="E461" t="inlineStr">
        <is>
          <t>ORSA</t>
        </is>
      </c>
      <c r="F461" t="inlineStr">
        <is>
          <t>Bergvik skog öst AB</t>
        </is>
      </c>
      <c r="G461" t="n">
        <v>2.7</v>
      </c>
      <c r="H461" t="n">
        <v>0</v>
      </c>
      <c r="I461" t="n">
        <v>0</v>
      </c>
      <c r="J461" t="n">
        <v>0</v>
      </c>
      <c r="K461" t="n">
        <v>0</v>
      </c>
      <c r="L461" t="n">
        <v>0</v>
      </c>
      <c r="M461" t="n">
        <v>0</v>
      </c>
      <c r="N461" t="n">
        <v>0</v>
      </c>
      <c r="O461" t="n">
        <v>0</v>
      </c>
      <c r="P461" t="n">
        <v>0</v>
      </c>
      <c r="Q461" t="n">
        <v>0</v>
      </c>
      <c r="R461" s="2" t="inlineStr"/>
    </row>
    <row r="462" ht="15" customHeight="1">
      <c r="A462" t="inlineStr">
        <is>
          <t>A 12440-2026</t>
        </is>
      </c>
      <c r="B462" s="1" t="n">
        <v>46090</v>
      </c>
      <c r="C462" s="1" t="n">
        <v>46200</v>
      </c>
      <c r="D462" t="inlineStr">
        <is>
          <t>DALARNAS LÄN</t>
        </is>
      </c>
      <c r="E462" t="inlineStr">
        <is>
          <t>ORSA</t>
        </is>
      </c>
      <c r="F462" t="inlineStr">
        <is>
          <t>Bergvik skog öst AB</t>
        </is>
      </c>
      <c r="G462" t="n">
        <v>2.8</v>
      </c>
      <c r="H462" t="n">
        <v>0</v>
      </c>
      <c r="I462" t="n">
        <v>0</v>
      </c>
      <c r="J462" t="n">
        <v>0</v>
      </c>
      <c r="K462" t="n">
        <v>0</v>
      </c>
      <c r="L462" t="n">
        <v>0</v>
      </c>
      <c r="M462" t="n">
        <v>0</v>
      </c>
      <c r="N462" t="n">
        <v>0</v>
      </c>
      <c r="O462" t="n">
        <v>0</v>
      </c>
      <c r="P462" t="n">
        <v>0</v>
      </c>
      <c r="Q462" t="n">
        <v>0</v>
      </c>
      <c r="R462" s="2" t="inlineStr"/>
    </row>
    <row r="463" ht="15" customHeight="1">
      <c r="A463" t="inlineStr">
        <is>
          <t>A 9962-2026</t>
        </is>
      </c>
      <c r="B463" s="1" t="n">
        <v>46073</v>
      </c>
      <c r="C463" s="1" t="n">
        <v>46200</v>
      </c>
      <c r="D463" t="inlineStr">
        <is>
          <t>DALARNAS LÄN</t>
        </is>
      </c>
      <c r="E463" t="inlineStr">
        <is>
          <t>ORSA</t>
        </is>
      </c>
      <c r="F463" t="inlineStr">
        <is>
          <t>Bergvik skog öst AB</t>
        </is>
      </c>
      <c r="G463" t="n">
        <v>2.5</v>
      </c>
      <c r="H463" t="n">
        <v>0</v>
      </c>
      <c r="I463" t="n">
        <v>0</v>
      </c>
      <c r="J463" t="n">
        <v>0</v>
      </c>
      <c r="K463" t="n">
        <v>0</v>
      </c>
      <c r="L463" t="n">
        <v>0</v>
      </c>
      <c r="M463" t="n">
        <v>0</v>
      </c>
      <c r="N463" t="n">
        <v>0</v>
      </c>
      <c r="O463" t="n">
        <v>0</v>
      </c>
      <c r="P463" t="n">
        <v>0</v>
      </c>
      <c r="Q463" t="n">
        <v>0</v>
      </c>
      <c r="R463" s="2" t="inlineStr"/>
    </row>
    <row r="464" ht="15" customHeight="1">
      <c r="A464" t="inlineStr">
        <is>
          <t>A 10151-2026</t>
        </is>
      </c>
      <c r="B464" s="1" t="n">
        <v>46076</v>
      </c>
      <c r="C464" s="1" t="n">
        <v>46200</v>
      </c>
      <c r="D464" t="inlineStr">
        <is>
          <t>DALARNAS LÄN</t>
        </is>
      </c>
      <c r="E464" t="inlineStr">
        <is>
          <t>ORSA</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5100-2026</t>
        </is>
      </c>
      <c r="B465" s="1" t="n">
        <v>46049</v>
      </c>
      <c r="C465" s="1" t="n">
        <v>46200</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16302-2026</t>
        </is>
      </c>
      <c r="B466" s="1" t="n">
        <v>46111</v>
      </c>
      <c r="C466" s="1" t="n">
        <v>46200</v>
      </c>
      <c r="D466" t="inlineStr">
        <is>
          <t>DALARNAS LÄN</t>
        </is>
      </c>
      <c r="E466" t="inlineStr">
        <is>
          <t>ORSA</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13316-2026</t>
        </is>
      </c>
      <c r="B467" s="1" t="n">
        <v>46094</v>
      </c>
      <c r="C467" s="1" t="n">
        <v>46200</v>
      </c>
      <c r="D467" t="inlineStr">
        <is>
          <t>DALARNAS LÄN</t>
        </is>
      </c>
      <c r="E467" t="inlineStr">
        <is>
          <t>ORSA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16285-2026</t>
        </is>
      </c>
      <c r="B468" s="1" t="n">
        <v>46111</v>
      </c>
      <c r="C468" s="1" t="n">
        <v>46200</v>
      </c>
      <c r="D468" t="inlineStr">
        <is>
          <t>DALARNAS LÄN</t>
        </is>
      </c>
      <c r="E468" t="inlineStr">
        <is>
          <t>ORSA</t>
        </is>
      </c>
      <c r="F468" t="inlineStr">
        <is>
          <t>Bergvik skog öst AB</t>
        </is>
      </c>
      <c r="G468" t="n">
        <v>6.2</v>
      </c>
      <c r="H468" t="n">
        <v>0</v>
      </c>
      <c r="I468" t="n">
        <v>0</v>
      </c>
      <c r="J468" t="n">
        <v>0</v>
      </c>
      <c r="K468" t="n">
        <v>0</v>
      </c>
      <c r="L468" t="n">
        <v>0</v>
      </c>
      <c r="M468" t="n">
        <v>0</v>
      </c>
      <c r="N468" t="n">
        <v>0</v>
      </c>
      <c r="O468" t="n">
        <v>0</v>
      </c>
      <c r="P468" t="n">
        <v>0</v>
      </c>
      <c r="Q468" t="n">
        <v>0</v>
      </c>
      <c r="R468" s="2" t="inlineStr"/>
    </row>
    <row r="469" ht="15" customHeight="1">
      <c r="A469" t="inlineStr">
        <is>
          <t>A 17094-2026</t>
        </is>
      </c>
      <c r="B469" s="1" t="n">
        <v>46114</v>
      </c>
      <c r="C469" s="1" t="n">
        <v>46200</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16900-2026</t>
        </is>
      </c>
      <c r="B470" s="1" t="n">
        <v>46113</v>
      </c>
      <c r="C470" s="1" t="n">
        <v>46200</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22829-2026</t>
        </is>
      </c>
      <c r="B471" s="1" t="n">
        <v>46160</v>
      </c>
      <c r="C471" s="1" t="n">
        <v>46200</v>
      </c>
      <c r="D471" t="inlineStr">
        <is>
          <t>DALARNAS LÄN</t>
        </is>
      </c>
      <c r="E471" t="inlineStr">
        <is>
          <t>ORSA</t>
        </is>
      </c>
      <c r="G471" t="n">
        <v>2.1</v>
      </c>
      <c r="H471" t="n">
        <v>0</v>
      </c>
      <c r="I471" t="n">
        <v>0</v>
      </c>
      <c r="J471" t="n">
        <v>0</v>
      </c>
      <c r="K471" t="n">
        <v>0</v>
      </c>
      <c r="L471" t="n">
        <v>0</v>
      </c>
      <c r="M471" t="n">
        <v>0</v>
      </c>
      <c r="N471" t="n">
        <v>0</v>
      </c>
      <c r="O471" t="n">
        <v>0</v>
      </c>
      <c r="P471" t="n">
        <v>0</v>
      </c>
      <c r="Q471" t="n">
        <v>0</v>
      </c>
      <c r="R471" s="2" t="inlineStr"/>
    </row>
    <row r="472" ht="15" customHeight="1">
      <c r="A472" t="inlineStr">
        <is>
          <t>A 23582-2026</t>
        </is>
      </c>
      <c r="B472" s="1" t="n">
        <v>46163</v>
      </c>
      <c r="C472" s="1" t="n">
        <v>46200</v>
      </c>
      <c r="D472" t="inlineStr">
        <is>
          <t>DALARNAS LÄN</t>
        </is>
      </c>
      <c r="E472" t="inlineStr">
        <is>
          <t>ORSA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23746-2026</t>
        </is>
      </c>
      <c r="B473" s="1" t="n">
        <v>46164</v>
      </c>
      <c r="C473" s="1" t="n">
        <v>46200</v>
      </c>
      <c r="D473" t="inlineStr">
        <is>
          <t>DALARNAS LÄN</t>
        </is>
      </c>
      <c r="E473" t="inlineStr">
        <is>
          <t>ORSA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23712-2026</t>
        </is>
      </c>
      <c r="B474" s="1" t="n">
        <v>46164</v>
      </c>
      <c r="C474" s="1" t="n">
        <v>46200</v>
      </c>
      <c r="D474" t="inlineStr">
        <is>
          <t>DALARNAS LÄN</t>
        </is>
      </c>
      <c r="E474" t="inlineStr">
        <is>
          <t>ORSA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23583-2026</t>
        </is>
      </c>
      <c r="B475" s="1" t="n">
        <v>46163</v>
      </c>
      <c r="C475" s="1" t="n">
        <v>46200</v>
      </c>
      <c r="D475" t="inlineStr">
        <is>
          <t>DALARNAS LÄN</t>
        </is>
      </c>
      <c r="E475" t="inlineStr">
        <is>
          <t>ORSA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23709-2026</t>
        </is>
      </c>
      <c r="B476" s="1" t="n">
        <v>46164</v>
      </c>
      <c r="C476" s="1" t="n">
        <v>46200</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18013-2026</t>
        </is>
      </c>
      <c r="B477" s="1" t="n">
        <v>46125</v>
      </c>
      <c r="C477" s="1" t="n">
        <v>46200</v>
      </c>
      <c r="D477" t="inlineStr">
        <is>
          <t>DALARNAS LÄN</t>
        </is>
      </c>
      <c r="E477" t="inlineStr">
        <is>
          <t>ORSA</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18348-2026</t>
        </is>
      </c>
      <c r="B478" s="1" t="n">
        <v>46126</v>
      </c>
      <c r="C478" s="1" t="n">
        <v>46200</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23940-2026</t>
        </is>
      </c>
      <c r="B479" s="1" t="n">
        <v>46167</v>
      </c>
      <c r="C479" s="1" t="n">
        <v>46200</v>
      </c>
      <c r="D479" t="inlineStr">
        <is>
          <t>DALARNAS LÄN</t>
        </is>
      </c>
      <c r="E479" t="inlineStr">
        <is>
          <t>ORSA</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23981-2026</t>
        </is>
      </c>
      <c r="B480" s="1" t="n">
        <v>46167</v>
      </c>
      <c r="C480" s="1" t="n">
        <v>46200</v>
      </c>
      <c r="D480" t="inlineStr">
        <is>
          <t>DALARNAS LÄN</t>
        </is>
      </c>
      <c r="E480" t="inlineStr">
        <is>
          <t>ORSA</t>
        </is>
      </c>
      <c r="F480" t="inlineStr">
        <is>
          <t>Bergvik skog öst AB</t>
        </is>
      </c>
      <c r="G480" t="n">
        <v>4.6</v>
      </c>
      <c r="H480" t="n">
        <v>0</v>
      </c>
      <c r="I480" t="n">
        <v>0</v>
      </c>
      <c r="J480" t="n">
        <v>0</v>
      </c>
      <c r="K480" t="n">
        <v>0</v>
      </c>
      <c r="L480" t="n">
        <v>0</v>
      </c>
      <c r="M480" t="n">
        <v>0</v>
      </c>
      <c r="N480" t="n">
        <v>0</v>
      </c>
      <c r="O480" t="n">
        <v>0</v>
      </c>
      <c r="P480" t="n">
        <v>0</v>
      </c>
      <c r="Q480" t="n">
        <v>0</v>
      </c>
      <c r="R480" s="2" t="inlineStr"/>
    </row>
    <row r="481" ht="15" customHeight="1">
      <c r="A481" t="inlineStr">
        <is>
          <t>A 23985-2026</t>
        </is>
      </c>
      <c r="B481" s="1" t="n">
        <v>46167</v>
      </c>
      <c r="C481" s="1" t="n">
        <v>46200</v>
      </c>
      <c r="D481" t="inlineStr">
        <is>
          <t>DALARNAS LÄN</t>
        </is>
      </c>
      <c r="E481" t="inlineStr">
        <is>
          <t>ORSA</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18694-2026</t>
        </is>
      </c>
      <c r="B482" s="1" t="n">
        <v>46128</v>
      </c>
      <c r="C482" s="1" t="n">
        <v>46200</v>
      </c>
      <c r="D482" t="inlineStr">
        <is>
          <t>DALARNAS LÄN</t>
        </is>
      </c>
      <c r="E482" t="inlineStr">
        <is>
          <t>ORSA</t>
        </is>
      </c>
      <c r="G482" t="n">
        <v>1.4</v>
      </c>
      <c r="H482" t="n">
        <v>0</v>
      </c>
      <c r="I482" t="n">
        <v>0</v>
      </c>
      <c r="J482" t="n">
        <v>0</v>
      </c>
      <c r="K482" t="n">
        <v>0</v>
      </c>
      <c r="L482" t="n">
        <v>0</v>
      </c>
      <c r="M482" t="n">
        <v>0</v>
      </c>
      <c r="N482" t="n">
        <v>0</v>
      </c>
      <c r="O482" t="n">
        <v>0</v>
      </c>
      <c r="P482" t="n">
        <v>0</v>
      </c>
      <c r="Q482" t="n">
        <v>0</v>
      </c>
      <c r="R482" s="2" t="inlineStr"/>
    </row>
    <row r="483" ht="15" customHeight="1">
      <c r="A483" t="inlineStr">
        <is>
          <t>A 24722-2026</t>
        </is>
      </c>
      <c r="B483" s="1" t="n">
        <v>46171</v>
      </c>
      <c r="C483" s="1" t="n">
        <v>46200</v>
      </c>
      <c r="D483" t="inlineStr">
        <is>
          <t>DALARNAS LÄN</t>
        </is>
      </c>
      <c r="E483" t="inlineStr">
        <is>
          <t>ORSA</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16220-2026</t>
        </is>
      </c>
      <c r="B484" s="1" t="n">
        <v>46111</v>
      </c>
      <c r="C484" s="1" t="n">
        <v>46200</v>
      </c>
      <c r="D484" t="inlineStr">
        <is>
          <t>DALARNAS LÄN</t>
        </is>
      </c>
      <c r="E484" t="inlineStr">
        <is>
          <t>ORSA</t>
        </is>
      </c>
      <c r="F484" t="inlineStr">
        <is>
          <t>Bergvik skog öst AB</t>
        </is>
      </c>
      <c r="G484" t="n">
        <v>7.7</v>
      </c>
      <c r="H484" t="n">
        <v>0</v>
      </c>
      <c r="I484" t="n">
        <v>0</v>
      </c>
      <c r="J484" t="n">
        <v>0</v>
      </c>
      <c r="K484" t="n">
        <v>0</v>
      </c>
      <c r="L484" t="n">
        <v>0</v>
      </c>
      <c r="M484" t="n">
        <v>0</v>
      </c>
      <c r="N484" t="n">
        <v>0</v>
      </c>
      <c r="O484" t="n">
        <v>0</v>
      </c>
      <c r="P484" t="n">
        <v>0</v>
      </c>
      <c r="Q484" t="n">
        <v>0</v>
      </c>
      <c r="R484" s="2" t="inlineStr"/>
    </row>
    <row r="485" ht="15" customHeight="1">
      <c r="A485" t="inlineStr">
        <is>
          <t>A 24858-2026</t>
        </is>
      </c>
      <c r="B485" s="1" t="n">
        <v>46174</v>
      </c>
      <c r="C485" s="1" t="n">
        <v>46200</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24994-2026</t>
        </is>
      </c>
      <c r="B486" s="1" t="n">
        <v>46174</v>
      </c>
      <c r="C486" s="1" t="n">
        <v>46200</v>
      </c>
      <c r="D486" t="inlineStr">
        <is>
          <t>DALARNAS LÄN</t>
        </is>
      </c>
      <c r="E486" t="inlineStr">
        <is>
          <t>ORSA</t>
        </is>
      </c>
      <c r="G486" t="n">
        <v>2.8</v>
      </c>
      <c r="H486" t="n">
        <v>0</v>
      </c>
      <c r="I486" t="n">
        <v>0</v>
      </c>
      <c r="J486" t="n">
        <v>0</v>
      </c>
      <c r="K486" t="n">
        <v>0</v>
      </c>
      <c r="L486" t="n">
        <v>0</v>
      </c>
      <c r="M486" t="n">
        <v>0</v>
      </c>
      <c r="N486" t="n">
        <v>0</v>
      </c>
      <c r="O486" t="n">
        <v>0</v>
      </c>
      <c r="P486" t="n">
        <v>0</v>
      </c>
      <c r="Q486" t="n">
        <v>0</v>
      </c>
      <c r="R486" s="2" t="inlineStr"/>
    </row>
    <row r="487" ht="15" customHeight="1">
      <c r="A487" t="inlineStr">
        <is>
          <t>A 19024-2026</t>
        </is>
      </c>
      <c r="B487" s="1" t="n">
        <v>46131</v>
      </c>
      <c r="C487" s="1" t="n">
        <v>46200</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19089-2026</t>
        </is>
      </c>
      <c r="B488" s="1" t="n">
        <v>46132</v>
      </c>
      <c r="C488" s="1" t="n">
        <v>46200</v>
      </c>
      <c r="D488" t="inlineStr">
        <is>
          <t>DALARNAS LÄN</t>
        </is>
      </c>
      <c r="E488" t="inlineStr">
        <is>
          <t>ORSA</t>
        </is>
      </c>
      <c r="G488" t="n">
        <v>1</v>
      </c>
      <c r="H488" t="n">
        <v>0</v>
      </c>
      <c r="I488" t="n">
        <v>0</v>
      </c>
      <c r="J488" t="n">
        <v>0</v>
      </c>
      <c r="K488" t="n">
        <v>0</v>
      </c>
      <c r="L488" t="n">
        <v>0</v>
      </c>
      <c r="M488" t="n">
        <v>0</v>
      </c>
      <c r="N488" t="n">
        <v>0</v>
      </c>
      <c r="O488" t="n">
        <v>0</v>
      </c>
      <c r="P488" t="n">
        <v>0</v>
      </c>
      <c r="Q488" t="n">
        <v>0</v>
      </c>
      <c r="R488" s="2" t="inlineStr"/>
    </row>
    <row r="489" ht="15" customHeight="1">
      <c r="A489" t="inlineStr">
        <is>
          <t>A 8526-2026</t>
        </is>
      </c>
      <c r="B489" s="1" t="n">
        <v>46065</v>
      </c>
      <c r="C489" s="1" t="n">
        <v>46200</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24895-2026</t>
        </is>
      </c>
      <c r="B490" s="1" t="n">
        <v>46174</v>
      </c>
      <c r="C490" s="1" t="n">
        <v>46200</v>
      </c>
      <c r="D490" t="inlineStr">
        <is>
          <t>DALARNAS LÄN</t>
        </is>
      </c>
      <c r="E490" t="inlineStr">
        <is>
          <t>ORSA</t>
        </is>
      </c>
      <c r="F490" t="inlineStr">
        <is>
          <t>Allmännings- och besparingsskogar</t>
        </is>
      </c>
      <c r="G490" t="n">
        <v>14.7</v>
      </c>
      <c r="H490" t="n">
        <v>0</v>
      </c>
      <c r="I490" t="n">
        <v>0</v>
      </c>
      <c r="J490" t="n">
        <v>0</v>
      </c>
      <c r="K490" t="n">
        <v>0</v>
      </c>
      <c r="L490" t="n">
        <v>0</v>
      </c>
      <c r="M490" t="n">
        <v>0</v>
      </c>
      <c r="N490" t="n">
        <v>0</v>
      </c>
      <c r="O490" t="n">
        <v>0</v>
      </c>
      <c r="P490" t="n">
        <v>0</v>
      </c>
      <c r="Q490" t="n">
        <v>0</v>
      </c>
      <c r="R490" s="2" t="inlineStr"/>
    </row>
    <row r="491" ht="15" customHeight="1">
      <c r="A491" t="inlineStr">
        <is>
          <t>A 19026-2026</t>
        </is>
      </c>
      <c r="B491" s="1" t="n">
        <v>46131</v>
      </c>
      <c r="C491" s="1" t="n">
        <v>46200</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19891-2026</t>
        </is>
      </c>
      <c r="B492" s="1" t="n">
        <v>46135</v>
      </c>
      <c r="C492" s="1" t="n">
        <v>46200</v>
      </c>
      <c r="D492" t="inlineStr">
        <is>
          <t>DALARNAS LÄN</t>
        </is>
      </c>
      <c r="E492" t="inlineStr">
        <is>
          <t>ORSA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25576-2026</t>
        </is>
      </c>
      <c r="B493" s="1" t="n">
        <v>46177</v>
      </c>
      <c r="C493" s="1" t="n">
        <v>46200</v>
      </c>
      <c r="D493" t="inlineStr">
        <is>
          <t>DALARNAS LÄN</t>
        </is>
      </c>
      <c r="E493" t="inlineStr">
        <is>
          <t>ORSA</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16224-2026</t>
        </is>
      </c>
      <c r="B494" s="1" t="n">
        <v>46111</v>
      </c>
      <c r="C494" s="1" t="n">
        <v>46200</v>
      </c>
      <c r="D494" t="inlineStr">
        <is>
          <t>DALARNAS LÄN</t>
        </is>
      </c>
      <c r="E494" t="inlineStr">
        <is>
          <t>ORSA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37931-2023</t>
        </is>
      </c>
      <c r="B495" s="1" t="n">
        <v>45160</v>
      </c>
      <c r="C495" s="1" t="n">
        <v>46200</v>
      </c>
      <c r="D495" t="inlineStr">
        <is>
          <t>DALARNAS LÄN</t>
        </is>
      </c>
      <c r="E495" t="inlineStr">
        <is>
          <t>ORSA</t>
        </is>
      </c>
      <c r="G495" t="n">
        <v>2.6</v>
      </c>
      <c r="H495" t="n">
        <v>0</v>
      </c>
      <c r="I495" t="n">
        <v>0</v>
      </c>
      <c r="J495" t="n">
        <v>0</v>
      </c>
      <c r="K495" t="n">
        <v>0</v>
      </c>
      <c r="L495" t="n">
        <v>0</v>
      </c>
      <c r="M495" t="n">
        <v>0</v>
      </c>
      <c r="N495" t="n">
        <v>0</v>
      </c>
      <c r="O495" t="n">
        <v>0</v>
      </c>
      <c r="P495" t="n">
        <v>0</v>
      </c>
      <c r="Q495" t="n">
        <v>0</v>
      </c>
      <c r="R495" s="2" t="inlineStr"/>
    </row>
    <row r="496" ht="15" customHeight="1">
      <c r="A496" t="inlineStr">
        <is>
          <t>A 9116-2026</t>
        </is>
      </c>
      <c r="B496" s="1" t="n">
        <v>46069</v>
      </c>
      <c r="C496" s="1" t="n">
        <v>46200</v>
      </c>
      <c r="D496" t="inlineStr">
        <is>
          <t>DALARNAS LÄN</t>
        </is>
      </c>
      <c r="E496" t="inlineStr">
        <is>
          <t>ORSA</t>
        </is>
      </c>
      <c r="G496" t="n">
        <v>1</v>
      </c>
      <c r="H496" t="n">
        <v>0</v>
      </c>
      <c r="I496" t="n">
        <v>0</v>
      </c>
      <c r="J496" t="n">
        <v>0</v>
      </c>
      <c r="K496" t="n">
        <v>0</v>
      </c>
      <c r="L496" t="n">
        <v>0</v>
      </c>
      <c r="M496" t="n">
        <v>0</v>
      </c>
      <c r="N496" t="n">
        <v>0</v>
      </c>
      <c r="O496" t="n">
        <v>0</v>
      </c>
      <c r="P496" t="n">
        <v>0</v>
      </c>
      <c r="Q496" t="n">
        <v>0</v>
      </c>
      <c r="R496" s="2" t="inlineStr"/>
    </row>
    <row r="497" ht="15" customHeight="1">
      <c r="A497" t="inlineStr">
        <is>
          <t>A 7775-2026</t>
        </is>
      </c>
      <c r="B497" s="1" t="n">
        <v>46062</v>
      </c>
      <c r="C497" s="1" t="n">
        <v>46200</v>
      </c>
      <c r="D497" t="inlineStr">
        <is>
          <t>DALARNAS LÄN</t>
        </is>
      </c>
      <c r="E497" t="inlineStr">
        <is>
          <t>ORSA</t>
        </is>
      </c>
      <c r="G497" t="n">
        <v>1.9</v>
      </c>
      <c r="H497" t="n">
        <v>0</v>
      </c>
      <c r="I497" t="n">
        <v>0</v>
      </c>
      <c r="J497" t="n">
        <v>0</v>
      </c>
      <c r="K497" t="n">
        <v>0</v>
      </c>
      <c r="L497" t="n">
        <v>0</v>
      </c>
      <c r="M497" t="n">
        <v>0</v>
      </c>
      <c r="N497" t="n">
        <v>0</v>
      </c>
      <c r="O497" t="n">
        <v>0</v>
      </c>
      <c r="P497" t="n">
        <v>0</v>
      </c>
      <c r="Q497" t="n">
        <v>0</v>
      </c>
      <c r="R497" s="2" t="inlineStr"/>
    </row>
    <row r="498" ht="15" customHeight="1">
      <c r="A498" t="inlineStr">
        <is>
          <t>A 1967-2026</t>
        </is>
      </c>
      <c r="B498" s="1" t="n">
        <v>46035</v>
      </c>
      <c r="C498" s="1" t="n">
        <v>46200</v>
      </c>
      <c r="D498" t="inlineStr">
        <is>
          <t>DALARNAS LÄN</t>
        </is>
      </c>
      <c r="E498" t="inlineStr">
        <is>
          <t>ORSA</t>
        </is>
      </c>
      <c r="G498" t="n">
        <v>6.3</v>
      </c>
      <c r="H498" t="n">
        <v>0</v>
      </c>
      <c r="I498" t="n">
        <v>0</v>
      </c>
      <c r="J498" t="n">
        <v>0</v>
      </c>
      <c r="K498" t="n">
        <v>0</v>
      </c>
      <c r="L498" t="n">
        <v>0</v>
      </c>
      <c r="M498" t="n">
        <v>0</v>
      </c>
      <c r="N498" t="n">
        <v>0</v>
      </c>
      <c r="O498" t="n">
        <v>0</v>
      </c>
      <c r="P498" t="n">
        <v>0</v>
      </c>
      <c r="Q498" t="n">
        <v>0</v>
      </c>
      <c r="R498" s="2" t="inlineStr"/>
    </row>
    <row r="499" ht="15" customHeight="1">
      <c r="A499" t="inlineStr">
        <is>
          <t>A 8807-2026</t>
        </is>
      </c>
      <c r="B499" s="1" t="n">
        <v>46066</v>
      </c>
      <c r="C499" s="1" t="n">
        <v>46200</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612-2025</t>
        </is>
      </c>
      <c r="B500" s="1" t="n">
        <v>45660</v>
      </c>
      <c r="C500" s="1" t="n">
        <v>46200</v>
      </c>
      <c r="D500" t="inlineStr">
        <is>
          <t>DALARNAS LÄN</t>
        </is>
      </c>
      <c r="E500" t="inlineStr">
        <is>
          <t>ORSA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25712-2026</t>
        </is>
      </c>
      <c r="B501" s="1" t="n">
        <v>46178</v>
      </c>
      <c r="C501" s="1" t="n">
        <v>46200</v>
      </c>
      <c r="D501" t="inlineStr">
        <is>
          <t>DALARNAS LÄN</t>
        </is>
      </c>
      <c r="E501" t="inlineStr">
        <is>
          <t>ORSA</t>
        </is>
      </c>
      <c r="F501" t="inlineStr">
        <is>
          <t>Allmännings- och besparingsskogar</t>
        </is>
      </c>
      <c r="G501" t="n">
        <v>4</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v>
      </c>
      <c r="C502" s="1" t="n">
        <v>46200</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20589-2025</t>
        </is>
      </c>
      <c r="B503" s="1" t="n">
        <v>45775</v>
      </c>
      <c r="C503" s="1" t="n">
        <v>46200</v>
      </c>
      <c r="D503" t="inlineStr">
        <is>
          <t>DALARNAS LÄN</t>
        </is>
      </c>
      <c r="E503" t="inlineStr">
        <is>
          <t>ORSA</t>
        </is>
      </c>
      <c r="G503" t="n">
        <v>2</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v>
      </c>
      <c r="C504" s="1" t="n">
        <v>46200</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20254-2026</t>
        </is>
      </c>
      <c r="B505" s="1" t="n">
        <v>46139</v>
      </c>
      <c r="C505" s="1" t="n">
        <v>46200</v>
      </c>
      <c r="D505" t="inlineStr">
        <is>
          <t>DALARNAS LÄN</t>
        </is>
      </c>
      <c r="E505" t="inlineStr">
        <is>
          <t>ORSA</t>
        </is>
      </c>
      <c r="F505" t="inlineStr">
        <is>
          <t>Bergvik skog öst AB</t>
        </is>
      </c>
      <c r="G505" t="n">
        <v>18.5</v>
      </c>
      <c r="H505" t="n">
        <v>0</v>
      </c>
      <c r="I505" t="n">
        <v>0</v>
      </c>
      <c r="J505" t="n">
        <v>0</v>
      </c>
      <c r="K505" t="n">
        <v>0</v>
      </c>
      <c r="L505" t="n">
        <v>0</v>
      </c>
      <c r="M505" t="n">
        <v>0</v>
      </c>
      <c r="N505" t="n">
        <v>0</v>
      </c>
      <c r="O505" t="n">
        <v>0</v>
      </c>
      <c r="P505" t="n">
        <v>0</v>
      </c>
      <c r="Q505" t="n">
        <v>0</v>
      </c>
      <c r="R505" s="2" t="inlineStr"/>
    </row>
    <row r="506" ht="15" customHeight="1">
      <c r="A506" t="inlineStr">
        <is>
          <t>A 61034-2024</t>
        </is>
      </c>
      <c r="B506" s="1" t="n">
        <v>45645</v>
      </c>
      <c r="C506" s="1" t="n">
        <v>46200</v>
      </c>
      <c r="D506" t="inlineStr">
        <is>
          <t>DALARNAS LÄN</t>
        </is>
      </c>
      <c r="E506" t="inlineStr">
        <is>
          <t>ORSA</t>
        </is>
      </c>
      <c r="G506" t="n">
        <v>0.9</v>
      </c>
      <c r="H506" t="n">
        <v>0</v>
      </c>
      <c r="I506" t="n">
        <v>0</v>
      </c>
      <c r="J506" t="n">
        <v>0</v>
      </c>
      <c r="K506" t="n">
        <v>0</v>
      </c>
      <c r="L506" t="n">
        <v>0</v>
      </c>
      <c r="M506" t="n">
        <v>0</v>
      </c>
      <c r="N506" t="n">
        <v>0</v>
      </c>
      <c r="O506" t="n">
        <v>0</v>
      </c>
      <c r="P506" t="n">
        <v>0</v>
      </c>
      <c r="Q506" t="n">
        <v>0</v>
      </c>
      <c r="R506" s="2" t="inlineStr"/>
    </row>
    <row r="507" ht="15" customHeight="1">
      <c r="A507" t="inlineStr">
        <is>
          <t>A 33209-2025</t>
        </is>
      </c>
      <c r="B507" s="1" t="n">
        <v>45840</v>
      </c>
      <c r="C507" s="1" t="n">
        <v>46200</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20165-2026</t>
        </is>
      </c>
      <c r="B508" s="1" t="n">
        <v>46139</v>
      </c>
      <c r="C508" s="1" t="n">
        <v>46200</v>
      </c>
      <c r="D508" t="inlineStr">
        <is>
          <t>DALARNAS LÄN</t>
        </is>
      </c>
      <c r="E508" t="inlineStr">
        <is>
          <t>ORSA</t>
        </is>
      </c>
      <c r="F508" t="inlineStr">
        <is>
          <t>Bergvik skog öst AB</t>
        </is>
      </c>
      <c r="G508" t="n">
        <v>10.3</v>
      </c>
      <c r="H508" t="n">
        <v>0</v>
      </c>
      <c r="I508" t="n">
        <v>0</v>
      </c>
      <c r="J508" t="n">
        <v>0</v>
      </c>
      <c r="K508" t="n">
        <v>0</v>
      </c>
      <c r="L508" t="n">
        <v>0</v>
      </c>
      <c r="M508" t="n">
        <v>0</v>
      </c>
      <c r="N508" t="n">
        <v>0</v>
      </c>
      <c r="O508" t="n">
        <v>0</v>
      </c>
      <c r="P508" t="n">
        <v>0</v>
      </c>
      <c r="Q508" t="n">
        <v>0</v>
      </c>
      <c r="R508" s="2" t="inlineStr"/>
    </row>
    <row r="509" ht="15" customHeight="1">
      <c r="A509" t="inlineStr">
        <is>
          <t>A 35939-2025</t>
        </is>
      </c>
      <c r="B509" s="1" t="n">
        <v>45862</v>
      </c>
      <c r="C509" s="1" t="n">
        <v>46200</v>
      </c>
      <c r="D509" t="inlineStr">
        <is>
          <t>DALARNAS LÄN</t>
        </is>
      </c>
      <c r="E509" t="inlineStr">
        <is>
          <t>ORSA</t>
        </is>
      </c>
      <c r="G509" t="n">
        <v>5.6</v>
      </c>
      <c r="H509" t="n">
        <v>0</v>
      </c>
      <c r="I509" t="n">
        <v>0</v>
      </c>
      <c r="J509" t="n">
        <v>0</v>
      </c>
      <c r="K509" t="n">
        <v>0</v>
      </c>
      <c r="L509" t="n">
        <v>0</v>
      </c>
      <c r="M509" t="n">
        <v>0</v>
      </c>
      <c r="N509" t="n">
        <v>0</v>
      </c>
      <c r="O509" t="n">
        <v>0</v>
      </c>
      <c r="P509" t="n">
        <v>0</v>
      </c>
      <c r="Q509" t="n">
        <v>0</v>
      </c>
      <c r="R509" s="2" t="inlineStr"/>
    </row>
    <row r="510" ht="15" customHeight="1">
      <c r="A510" t="inlineStr">
        <is>
          <t>A 19108-2025</t>
        </is>
      </c>
      <c r="B510" s="1" t="n">
        <v>45768</v>
      </c>
      <c r="C510" s="1" t="n">
        <v>46200</v>
      </c>
      <c r="D510" t="inlineStr">
        <is>
          <t>DALARNAS LÄN</t>
        </is>
      </c>
      <c r="E510" t="inlineStr">
        <is>
          <t>ORSA</t>
        </is>
      </c>
      <c r="F510" t="inlineStr">
        <is>
          <t>Bergvik skog väst AB</t>
        </is>
      </c>
      <c r="G510" t="n">
        <v>14.3</v>
      </c>
      <c r="H510" t="n">
        <v>0</v>
      </c>
      <c r="I510" t="n">
        <v>0</v>
      </c>
      <c r="J510" t="n">
        <v>0</v>
      </c>
      <c r="K510" t="n">
        <v>0</v>
      </c>
      <c r="L510" t="n">
        <v>0</v>
      </c>
      <c r="M510" t="n">
        <v>0</v>
      </c>
      <c r="N510" t="n">
        <v>0</v>
      </c>
      <c r="O510" t="n">
        <v>0</v>
      </c>
      <c r="P510" t="n">
        <v>0</v>
      </c>
      <c r="Q510" t="n">
        <v>0</v>
      </c>
      <c r="R510" s="2" t="inlineStr"/>
    </row>
    <row r="511" ht="15" customHeight="1">
      <c r="A511" t="inlineStr">
        <is>
          <t>A 12800-2026</t>
        </is>
      </c>
      <c r="B511" s="1" t="n">
        <v>46092</v>
      </c>
      <c r="C511" s="1" t="n">
        <v>46200</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5045-2026</t>
        </is>
      </c>
      <c r="B512" s="1" t="n">
        <v>46049</v>
      </c>
      <c r="C512" s="1" t="n">
        <v>46200</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4040-2026</t>
        </is>
      </c>
      <c r="B513" s="1" t="n">
        <v>46044</v>
      </c>
      <c r="C513" s="1" t="n">
        <v>46200</v>
      </c>
      <c r="D513" t="inlineStr">
        <is>
          <t>DALARNAS LÄN</t>
        </is>
      </c>
      <c r="E513" t="inlineStr">
        <is>
          <t>ORSA</t>
        </is>
      </c>
      <c r="G513" t="n">
        <v>4.3</v>
      </c>
      <c r="H513" t="n">
        <v>0</v>
      </c>
      <c r="I513" t="n">
        <v>0</v>
      </c>
      <c r="J513" t="n">
        <v>0</v>
      </c>
      <c r="K513" t="n">
        <v>0</v>
      </c>
      <c r="L513" t="n">
        <v>0</v>
      </c>
      <c r="M513" t="n">
        <v>0</v>
      </c>
      <c r="N513" t="n">
        <v>0</v>
      </c>
      <c r="O513" t="n">
        <v>0</v>
      </c>
      <c r="P513" t="n">
        <v>0</v>
      </c>
      <c r="Q513" t="n">
        <v>0</v>
      </c>
      <c r="R513" s="2" t="inlineStr"/>
    </row>
    <row r="514" ht="15" customHeight="1">
      <c r="A514" t="inlineStr">
        <is>
          <t>A 24235-2025</t>
        </is>
      </c>
      <c r="B514" s="1" t="n">
        <v>45797</v>
      </c>
      <c r="C514" s="1" t="n">
        <v>46200</v>
      </c>
      <c r="D514" t="inlineStr">
        <is>
          <t>DALARNAS LÄN</t>
        </is>
      </c>
      <c r="E514" t="inlineStr">
        <is>
          <t>ORSA</t>
        </is>
      </c>
      <c r="G514" t="n">
        <v>3.1</v>
      </c>
      <c r="H514" t="n">
        <v>0</v>
      </c>
      <c r="I514" t="n">
        <v>0</v>
      </c>
      <c r="J514" t="n">
        <v>0</v>
      </c>
      <c r="K514" t="n">
        <v>0</v>
      </c>
      <c r="L514" t="n">
        <v>0</v>
      </c>
      <c r="M514" t="n">
        <v>0</v>
      </c>
      <c r="N514" t="n">
        <v>0</v>
      </c>
      <c r="O514" t="n">
        <v>0</v>
      </c>
      <c r="P514" t="n">
        <v>0</v>
      </c>
      <c r="Q514" t="n">
        <v>0</v>
      </c>
      <c r="R514" s="2" t="inlineStr"/>
    </row>
    <row r="515" ht="15" customHeight="1">
      <c r="A515" t="inlineStr">
        <is>
          <t>A 34744-2025</t>
        </is>
      </c>
      <c r="B515" s="1" t="n">
        <v>45848</v>
      </c>
      <c r="C515" s="1" t="n">
        <v>46200</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20615-2026</t>
        </is>
      </c>
      <c r="B516" s="1" t="n">
        <v>46140</v>
      </c>
      <c r="C516" s="1" t="n">
        <v>46200</v>
      </c>
      <c r="D516" t="inlineStr">
        <is>
          <t>DALARNAS LÄN</t>
        </is>
      </c>
      <c r="E516" t="inlineStr">
        <is>
          <t>ORSA</t>
        </is>
      </c>
      <c r="G516" t="n">
        <v>1.1</v>
      </c>
      <c r="H516" t="n">
        <v>0</v>
      </c>
      <c r="I516" t="n">
        <v>0</v>
      </c>
      <c r="J516" t="n">
        <v>0</v>
      </c>
      <c r="K516" t="n">
        <v>0</v>
      </c>
      <c r="L516" t="n">
        <v>0</v>
      </c>
      <c r="M516" t="n">
        <v>0</v>
      </c>
      <c r="N516" t="n">
        <v>0</v>
      </c>
      <c r="O516" t="n">
        <v>0</v>
      </c>
      <c r="P516" t="n">
        <v>0</v>
      </c>
      <c r="Q516" t="n">
        <v>0</v>
      </c>
      <c r="R516" s="2" t="inlineStr"/>
    </row>
    <row r="517" ht="15" customHeight="1">
      <c r="A517" t="inlineStr">
        <is>
          <t>A 41971-2025</t>
        </is>
      </c>
      <c r="B517" s="1" t="n">
        <v>45903</v>
      </c>
      <c r="C517" s="1" t="n">
        <v>46200</v>
      </c>
      <c r="D517" t="inlineStr">
        <is>
          <t>DALARNAS LÄN</t>
        </is>
      </c>
      <c r="E517" t="inlineStr">
        <is>
          <t>ORSA</t>
        </is>
      </c>
      <c r="G517" t="n">
        <v>15.8</v>
      </c>
      <c r="H517" t="n">
        <v>0</v>
      </c>
      <c r="I517" t="n">
        <v>0</v>
      </c>
      <c r="J517" t="n">
        <v>0</v>
      </c>
      <c r="K517" t="n">
        <v>0</v>
      </c>
      <c r="L517" t="n">
        <v>0</v>
      </c>
      <c r="M517" t="n">
        <v>0</v>
      </c>
      <c r="N517" t="n">
        <v>0</v>
      </c>
      <c r="O517" t="n">
        <v>0</v>
      </c>
      <c r="P517" t="n">
        <v>0</v>
      </c>
      <c r="Q517" t="n">
        <v>0</v>
      </c>
      <c r="R517" s="2" t="inlineStr"/>
    </row>
    <row r="518" ht="15" customHeight="1">
      <c r="A518" t="inlineStr">
        <is>
          <t>A 3226-2026</t>
        </is>
      </c>
      <c r="B518" s="1" t="n">
        <v>46041</v>
      </c>
      <c r="C518" s="1" t="n">
        <v>46200</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57685-2021</t>
        </is>
      </c>
      <c r="B519" s="1" t="n">
        <v>44484</v>
      </c>
      <c r="C519" s="1" t="n">
        <v>46200</v>
      </c>
      <c r="D519" t="inlineStr">
        <is>
          <t>DALARNAS LÄN</t>
        </is>
      </c>
      <c r="E519" t="inlineStr">
        <is>
          <t>ORSA</t>
        </is>
      </c>
      <c r="G519" t="n">
        <v>4.1</v>
      </c>
      <c r="H519" t="n">
        <v>0</v>
      </c>
      <c r="I519" t="n">
        <v>0</v>
      </c>
      <c r="J519" t="n">
        <v>0</v>
      </c>
      <c r="K519" t="n">
        <v>0</v>
      </c>
      <c r="L519" t="n">
        <v>0</v>
      </c>
      <c r="M519" t="n">
        <v>0</v>
      </c>
      <c r="N519" t="n">
        <v>0</v>
      </c>
      <c r="O519" t="n">
        <v>0</v>
      </c>
      <c r="P519" t="n">
        <v>0</v>
      </c>
      <c r="Q519" t="n">
        <v>0</v>
      </c>
      <c r="R519" s="2" t="inlineStr"/>
    </row>
    <row r="520" ht="15" customHeight="1">
      <c r="A520" t="inlineStr">
        <is>
          <t>A 5435-2025</t>
        </is>
      </c>
      <c r="B520" s="1" t="n">
        <v>45692</v>
      </c>
      <c r="C520" s="1" t="n">
        <v>46200</v>
      </c>
      <c r="D520" t="inlineStr">
        <is>
          <t>DALARNAS LÄN</t>
        </is>
      </c>
      <c r="E520" t="inlineStr">
        <is>
          <t>ORSA</t>
        </is>
      </c>
      <c r="G520" t="n">
        <v>7.8</v>
      </c>
      <c r="H520" t="n">
        <v>0</v>
      </c>
      <c r="I520" t="n">
        <v>0</v>
      </c>
      <c r="J520" t="n">
        <v>0</v>
      </c>
      <c r="K520" t="n">
        <v>0</v>
      </c>
      <c r="L520" t="n">
        <v>0</v>
      </c>
      <c r="M520" t="n">
        <v>0</v>
      </c>
      <c r="N520" t="n">
        <v>0</v>
      </c>
      <c r="O520" t="n">
        <v>0</v>
      </c>
      <c r="P520" t="n">
        <v>0</v>
      </c>
      <c r="Q520" t="n">
        <v>0</v>
      </c>
      <c r="R520" s="2" t="inlineStr"/>
    </row>
    <row r="521" ht="15" customHeight="1">
      <c r="A521" t="inlineStr">
        <is>
          <t>A 17848-2025</t>
        </is>
      </c>
      <c r="B521" s="1" t="n">
        <v>45758</v>
      </c>
      <c r="C521" s="1" t="n">
        <v>46200</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57055-2025</t>
        </is>
      </c>
      <c r="B522" s="1" t="n">
        <v>45979</v>
      </c>
      <c r="C522" s="1" t="n">
        <v>46200</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26201-2026</t>
        </is>
      </c>
      <c r="B523" s="1" t="n">
        <v>46182</v>
      </c>
      <c r="C523" s="1" t="n">
        <v>46200</v>
      </c>
      <c r="D523" t="inlineStr">
        <is>
          <t>DALARNAS LÄN</t>
        </is>
      </c>
      <c r="E523" t="inlineStr">
        <is>
          <t>ORSA</t>
        </is>
      </c>
      <c r="G523" t="n">
        <v>3.4</v>
      </c>
      <c r="H523" t="n">
        <v>0</v>
      </c>
      <c r="I523" t="n">
        <v>0</v>
      </c>
      <c r="J523" t="n">
        <v>0</v>
      </c>
      <c r="K523" t="n">
        <v>0</v>
      </c>
      <c r="L523" t="n">
        <v>0</v>
      </c>
      <c r="M523" t="n">
        <v>0</v>
      </c>
      <c r="N523" t="n">
        <v>0</v>
      </c>
      <c r="O523" t="n">
        <v>0</v>
      </c>
      <c r="P523" t="n">
        <v>0</v>
      </c>
      <c r="Q523" t="n">
        <v>0</v>
      </c>
      <c r="R523" s="2" t="inlineStr"/>
    </row>
    <row r="524" ht="15" customHeight="1">
      <c r="A524" t="inlineStr">
        <is>
          <t>A 37897-2025</t>
        </is>
      </c>
      <c r="B524" s="1" t="n">
        <v>45881</v>
      </c>
      <c r="C524" s="1" t="n">
        <v>46200</v>
      </c>
      <c r="D524" t="inlineStr">
        <is>
          <t>DALARNAS LÄN</t>
        </is>
      </c>
      <c r="E524" t="inlineStr">
        <is>
          <t>ORSA</t>
        </is>
      </c>
      <c r="G524" t="n">
        <v>1.9</v>
      </c>
      <c r="H524" t="n">
        <v>0</v>
      </c>
      <c r="I524" t="n">
        <v>0</v>
      </c>
      <c r="J524" t="n">
        <v>0</v>
      </c>
      <c r="K524" t="n">
        <v>0</v>
      </c>
      <c r="L524" t="n">
        <v>0</v>
      </c>
      <c r="M524" t="n">
        <v>0</v>
      </c>
      <c r="N524" t="n">
        <v>0</v>
      </c>
      <c r="O524" t="n">
        <v>0</v>
      </c>
      <c r="P524" t="n">
        <v>0</v>
      </c>
      <c r="Q524" t="n">
        <v>0</v>
      </c>
      <c r="R524" s="2" t="inlineStr"/>
    </row>
    <row r="525" ht="15" customHeight="1">
      <c r="A525" t="inlineStr">
        <is>
          <t>A 14814-2026</t>
        </is>
      </c>
      <c r="B525" s="1" t="n">
        <v>46104</v>
      </c>
      <c r="C525" s="1" t="n">
        <v>46200</v>
      </c>
      <c r="D525" t="inlineStr">
        <is>
          <t>DALARNAS LÄN</t>
        </is>
      </c>
      <c r="E525" t="inlineStr">
        <is>
          <t>ORSA</t>
        </is>
      </c>
      <c r="G525" t="n">
        <v>14.2</v>
      </c>
      <c r="H525" t="n">
        <v>0</v>
      </c>
      <c r="I525" t="n">
        <v>0</v>
      </c>
      <c r="J525" t="n">
        <v>0</v>
      </c>
      <c r="K525" t="n">
        <v>0</v>
      </c>
      <c r="L525" t="n">
        <v>0</v>
      </c>
      <c r="M525" t="n">
        <v>0</v>
      </c>
      <c r="N525" t="n">
        <v>0</v>
      </c>
      <c r="O525" t="n">
        <v>0</v>
      </c>
      <c r="P525" t="n">
        <v>0</v>
      </c>
      <c r="Q525" t="n">
        <v>0</v>
      </c>
      <c r="R525" s="2" t="inlineStr"/>
    </row>
    <row r="526" ht="15" customHeight="1">
      <c r="A526" t="inlineStr">
        <is>
          <t>A 27511-2026</t>
        </is>
      </c>
      <c r="B526" s="1" t="n">
        <v>46189</v>
      </c>
      <c r="C526" s="1" t="n">
        <v>46200</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21511-2026</t>
        </is>
      </c>
      <c r="B527" s="1" t="n">
        <v>46146</v>
      </c>
      <c r="C527" s="1" t="n">
        <v>46200</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27141-2026</t>
        </is>
      </c>
      <c r="B528" s="1" t="n">
        <v>46188</v>
      </c>
      <c r="C528" s="1" t="n">
        <v>46200</v>
      </c>
      <c r="D528" t="inlineStr">
        <is>
          <t>DALARNAS LÄN</t>
        </is>
      </c>
      <c r="E528" t="inlineStr">
        <is>
          <t>ORSA</t>
        </is>
      </c>
      <c r="F528" t="inlineStr">
        <is>
          <t>Bergvik skog öst AB</t>
        </is>
      </c>
      <c r="G528" t="n">
        <v>9</v>
      </c>
      <c r="H528" t="n">
        <v>0</v>
      </c>
      <c r="I528" t="n">
        <v>0</v>
      </c>
      <c r="J528" t="n">
        <v>0</v>
      </c>
      <c r="K528" t="n">
        <v>0</v>
      </c>
      <c r="L528" t="n">
        <v>0</v>
      </c>
      <c r="M528" t="n">
        <v>0</v>
      </c>
      <c r="N528" t="n">
        <v>0</v>
      </c>
      <c r="O528" t="n">
        <v>0</v>
      </c>
      <c r="P528" t="n">
        <v>0</v>
      </c>
      <c r="Q528" t="n">
        <v>0</v>
      </c>
      <c r="R528" s="2" t="inlineStr"/>
    </row>
    <row r="529" ht="15" customHeight="1">
      <c r="A529" t="inlineStr">
        <is>
          <t>A 21225-2026</t>
        </is>
      </c>
      <c r="B529" s="1" t="n">
        <v>46146</v>
      </c>
      <c r="C529" s="1" t="n">
        <v>46200</v>
      </c>
      <c r="D529" t="inlineStr">
        <is>
          <t>DALARNAS LÄN</t>
        </is>
      </c>
      <c r="E529" t="inlineStr">
        <is>
          <t>ORSA</t>
        </is>
      </c>
      <c r="G529" t="n">
        <v>4.6</v>
      </c>
      <c r="H529" t="n">
        <v>0</v>
      </c>
      <c r="I529" t="n">
        <v>0</v>
      </c>
      <c r="J529" t="n">
        <v>0</v>
      </c>
      <c r="K529" t="n">
        <v>0</v>
      </c>
      <c r="L529" t="n">
        <v>0</v>
      </c>
      <c r="M529" t="n">
        <v>0</v>
      </c>
      <c r="N529" t="n">
        <v>0</v>
      </c>
      <c r="O529" t="n">
        <v>0</v>
      </c>
      <c r="P529" t="n">
        <v>0</v>
      </c>
      <c r="Q529" t="n">
        <v>0</v>
      </c>
      <c r="R529" s="2" t="inlineStr"/>
    </row>
    <row r="530" ht="15" customHeight="1">
      <c r="A530" t="inlineStr">
        <is>
          <t>A 23235-2026</t>
        </is>
      </c>
      <c r="B530" s="1" t="n">
        <v>46162</v>
      </c>
      <c r="C530" s="1" t="n">
        <v>46200</v>
      </c>
      <c r="D530" t="inlineStr">
        <is>
          <t>DALARNAS LÄN</t>
        </is>
      </c>
      <c r="E530" t="inlineStr">
        <is>
          <t>ORSA</t>
        </is>
      </c>
      <c r="F530" t="inlineStr">
        <is>
          <t>Allmännings- och besparingsskogar</t>
        </is>
      </c>
      <c r="G530" t="n">
        <v>3.5</v>
      </c>
      <c r="H530" t="n">
        <v>0</v>
      </c>
      <c r="I530" t="n">
        <v>0</v>
      </c>
      <c r="J530" t="n">
        <v>0</v>
      </c>
      <c r="K530" t="n">
        <v>0</v>
      </c>
      <c r="L530" t="n">
        <v>0</v>
      </c>
      <c r="M530" t="n">
        <v>0</v>
      </c>
      <c r="N530" t="n">
        <v>0</v>
      </c>
      <c r="O530" t="n">
        <v>0</v>
      </c>
      <c r="P530" t="n">
        <v>0</v>
      </c>
      <c r="Q530" t="n">
        <v>0</v>
      </c>
      <c r="R530" s="2" t="inlineStr"/>
    </row>
    <row r="531" ht="15" customHeight="1">
      <c r="A531" t="inlineStr">
        <is>
          <t>A 21379-2026</t>
        </is>
      </c>
      <c r="B531" s="1" t="n">
        <v>46147</v>
      </c>
      <c r="C531" s="1" t="n">
        <v>46200</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27803-2026</t>
        </is>
      </c>
      <c r="B532" s="1" t="n">
        <v>46189</v>
      </c>
      <c r="C532" s="1" t="n">
        <v>46200</v>
      </c>
      <c r="D532" t="inlineStr">
        <is>
          <t>DALARNAS LÄN</t>
        </is>
      </c>
      <c r="E532" t="inlineStr">
        <is>
          <t>ORSA</t>
        </is>
      </c>
      <c r="G532" t="n">
        <v>1.1</v>
      </c>
      <c r="H532" t="n">
        <v>0</v>
      </c>
      <c r="I532" t="n">
        <v>0</v>
      </c>
      <c r="J532" t="n">
        <v>0</v>
      </c>
      <c r="K532" t="n">
        <v>0</v>
      </c>
      <c r="L532" t="n">
        <v>0</v>
      </c>
      <c r="M532" t="n">
        <v>0</v>
      </c>
      <c r="N532" t="n">
        <v>0</v>
      </c>
      <c r="O532" t="n">
        <v>0</v>
      </c>
      <c r="P532" t="n">
        <v>0</v>
      </c>
      <c r="Q532" t="n">
        <v>0</v>
      </c>
      <c r="R532" s="2" t="inlineStr"/>
    </row>
    <row r="533" ht="15" customHeight="1">
      <c r="A533" t="inlineStr">
        <is>
          <t>A 21530-2026</t>
        </is>
      </c>
      <c r="B533" s="1" t="n">
        <v>46148</v>
      </c>
      <c r="C533" s="1" t="n">
        <v>46200</v>
      </c>
      <c r="D533" t="inlineStr">
        <is>
          <t>DALARNAS LÄN</t>
        </is>
      </c>
      <c r="E533" t="inlineStr">
        <is>
          <t>ORSA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27644-2026</t>
        </is>
      </c>
      <c r="B534" s="1" t="n">
        <v>46190</v>
      </c>
      <c r="C534" s="1" t="n">
        <v>46200</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27602-2026</t>
        </is>
      </c>
      <c r="B535" s="1" t="n">
        <v>46190</v>
      </c>
      <c r="C535" s="1" t="n">
        <v>46200</v>
      </c>
      <c r="D535" t="inlineStr">
        <is>
          <t>DALARNAS LÄN</t>
        </is>
      </c>
      <c r="E535" t="inlineStr">
        <is>
          <t>ORSA</t>
        </is>
      </c>
      <c r="G535" t="n">
        <v>1.1</v>
      </c>
      <c r="H535" t="n">
        <v>0</v>
      </c>
      <c r="I535" t="n">
        <v>0</v>
      </c>
      <c r="J535" t="n">
        <v>0</v>
      </c>
      <c r="K535" t="n">
        <v>0</v>
      </c>
      <c r="L535" t="n">
        <v>0</v>
      </c>
      <c r="M535" t="n">
        <v>0</v>
      </c>
      <c r="N535" t="n">
        <v>0</v>
      </c>
      <c r="O535" t="n">
        <v>0</v>
      </c>
      <c r="P535" t="n">
        <v>0</v>
      </c>
      <c r="Q535" t="n">
        <v>0</v>
      </c>
      <c r="R535" s="2" t="inlineStr"/>
    </row>
    <row r="536" ht="15" customHeight="1">
      <c r="A536" t="inlineStr">
        <is>
          <t>A 21900-2026</t>
        </is>
      </c>
      <c r="B536" s="1" t="n">
        <v>46150</v>
      </c>
      <c r="C536" s="1" t="n">
        <v>46200</v>
      </c>
      <c r="D536" t="inlineStr">
        <is>
          <t>DALARNAS LÄN</t>
        </is>
      </c>
      <c r="E536" t="inlineStr">
        <is>
          <t>ORSA</t>
        </is>
      </c>
      <c r="F536" t="inlineStr">
        <is>
          <t>Allmännings- och besparingsskogar</t>
        </is>
      </c>
      <c r="G536" t="n">
        <v>11.8</v>
      </c>
      <c r="H536" t="n">
        <v>0</v>
      </c>
      <c r="I536" t="n">
        <v>0</v>
      </c>
      <c r="J536" t="n">
        <v>0</v>
      </c>
      <c r="K536" t="n">
        <v>0</v>
      </c>
      <c r="L536" t="n">
        <v>0</v>
      </c>
      <c r="M536" t="n">
        <v>0</v>
      </c>
      <c r="N536" t="n">
        <v>0</v>
      </c>
      <c r="O536" t="n">
        <v>0</v>
      </c>
      <c r="P536" t="n">
        <v>0</v>
      </c>
      <c r="Q536" t="n">
        <v>0</v>
      </c>
      <c r="R536" s="2" t="inlineStr"/>
    </row>
    <row r="537" ht="15" customHeight="1">
      <c r="A537" t="inlineStr">
        <is>
          <t>A 23058-2026</t>
        </is>
      </c>
      <c r="B537" s="1" t="n">
        <v>46161</v>
      </c>
      <c r="C537" s="1" t="n">
        <v>46200</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58686-2025</t>
        </is>
      </c>
      <c r="B538" s="1" t="n">
        <v>45986</v>
      </c>
      <c r="C538" s="1" t="n">
        <v>46200</v>
      </c>
      <c r="D538" t="inlineStr">
        <is>
          <t>DALARNAS LÄN</t>
        </is>
      </c>
      <c r="E538" t="inlineStr">
        <is>
          <t>ORSA</t>
        </is>
      </c>
      <c r="G538" t="n">
        <v>1.2</v>
      </c>
      <c r="H538" t="n">
        <v>0</v>
      </c>
      <c r="I538" t="n">
        <v>0</v>
      </c>
      <c r="J538" t="n">
        <v>0</v>
      </c>
      <c r="K538" t="n">
        <v>0</v>
      </c>
      <c r="L538" t="n">
        <v>0</v>
      </c>
      <c r="M538" t="n">
        <v>0</v>
      </c>
      <c r="N538" t="n">
        <v>0</v>
      </c>
      <c r="O538" t="n">
        <v>0</v>
      </c>
      <c r="P538" t="n">
        <v>0</v>
      </c>
      <c r="Q538" t="n">
        <v>0</v>
      </c>
      <c r="R538" s="2" t="inlineStr"/>
    </row>
    <row r="539" ht="15" customHeight="1">
      <c r="A539" t="inlineStr">
        <is>
          <t>A 22039-2026</t>
        </is>
      </c>
      <c r="B539" s="1" t="n">
        <v>46153</v>
      </c>
      <c r="C539" s="1" t="n">
        <v>46200</v>
      </c>
      <c r="D539" t="inlineStr">
        <is>
          <t>DALARNAS LÄN</t>
        </is>
      </c>
      <c r="E539" t="inlineStr">
        <is>
          <t>ORSA</t>
        </is>
      </c>
      <c r="F539" t="inlineStr">
        <is>
          <t>Bergvik skog öst AB</t>
        </is>
      </c>
      <c r="G539" t="n">
        <v>13.1</v>
      </c>
      <c r="H539" t="n">
        <v>0</v>
      </c>
      <c r="I539" t="n">
        <v>0</v>
      </c>
      <c r="J539" t="n">
        <v>0</v>
      </c>
      <c r="K539" t="n">
        <v>0</v>
      </c>
      <c r="L539" t="n">
        <v>0</v>
      </c>
      <c r="M539" t="n">
        <v>0</v>
      </c>
      <c r="N539" t="n">
        <v>0</v>
      </c>
      <c r="O539" t="n">
        <v>0</v>
      </c>
      <c r="P539" t="n">
        <v>0</v>
      </c>
      <c r="Q539" t="n">
        <v>0</v>
      </c>
      <c r="R539" s="2" t="inlineStr"/>
    </row>
    <row r="540" ht="15" customHeight="1">
      <c r="A540" t="inlineStr">
        <is>
          <t>A 22515-2026</t>
        </is>
      </c>
      <c r="B540" s="1" t="n">
        <v>46155</v>
      </c>
      <c r="C540" s="1" t="n">
        <v>46200</v>
      </c>
      <c r="D540" t="inlineStr">
        <is>
          <t>DALARNAS LÄN</t>
        </is>
      </c>
      <c r="E540" t="inlineStr">
        <is>
          <t>ORSA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28342-2026</t>
        </is>
      </c>
      <c r="B541" s="1" t="n">
        <v>46196</v>
      </c>
      <c r="C541" s="1" t="n">
        <v>46200</v>
      </c>
      <c r="D541" t="inlineStr">
        <is>
          <t>DALARNAS LÄN</t>
        </is>
      </c>
      <c r="E541" t="inlineStr">
        <is>
          <t>ORSA</t>
        </is>
      </c>
      <c r="F541" t="inlineStr">
        <is>
          <t>Allmännings- och besparingsskogar</t>
        </is>
      </c>
      <c r="G541" t="n">
        <v>1.3</v>
      </c>
      <c r="H541" t="n">
        <v>0</v>
      </c>
      <c r="I541" t="n">
        <v>0</v>
      </c>
      <c r="J541" t="n">
        <v>0</v>
      </c>
      <c r="K541" t="n">
        <v>0</v>
      </c>
      <c r="L541" t="n">
        <v>0</v>
      </c>
      <c r="M541" t="n">
        <v>0</v>
      </c>
      <c r="N541" t="n">
        <v>0</v>
      </c>
      <c r="O541" t="n">
        <v>0</v>
      </c>
      <c r="P541" t="n">
        <v>0</v>
      </c>
      <c r="Q541" t="n">
        <v>0</v>
      </c>
      <c r="R541" s="2" t="inlineStr"/>
    </row>
    <row r="542" ht="15" customHeight="1">
      <c r="A542" t="inlineStr">
        <is>
          <t>A 28343-2026</t>
        </is>
      </c>
      <c r="B542" s="1" t="n">
        <v>46196</v>
      </c>
      <c r="C542" s="1" t="n">
        <v>46200</v>
      </c>
      <c r="D542" t="inlineStr">
        <is>
          <t>DALARNAS LÄN</t>
        </is>
      </c>
      <c r="E542" t="inlineStr">
        <is>
          <t>ORSA</t>
        </is>
      </c>
      <c r="F542" t="inlineStr">
        <is>
          <t>Allmännings- och besparingsskogar</t>
        </is>
      </c>
      <c r="G542" t="n">
        <v>10.4</v>
      </c>
      <c r="H542" t="n">
        <v>0</v>
      </c>
      <c r="I542" t="n">
        <v>0</v>
      </c>
      <c r="J542" t="n">
        <v>0</v>
      </c>
      <c r="K542" t="n">
        <v>0</v>
      </c>
      <c r="L542" t="n">
        <v>0</v>
      </c>
      <c r="M542" t="n">
        <v>0</v>
      </c>
      <c r="N542" t="n">
        <v>0</v>
      </c>
      <c r="O542" t="n">
        <v>0</v>
      </c>
      <c r="P542" t="n">
        <v>0</v>
      </c>
      <c r="Q542" t="n">
        <v>0</v>
      </c>
      <c r="R542" s="2" t="inlineStr"/>
    </row>
    <row r="543" ht="15" customHeight="1">
      <c r="A543" t="inlineStr">
        <is>
          <t>A 37981-2024</t>
        </is>
      </c>
      <c r="B543" s="1" t="n">
        <v>45544</v>
      </c>
      <c r="C543" s="1" t="n">
        <v>46200</v>
      </c>
      <c r="D543" t="inlineStr">
        <is>
          <t>DALARNAS LÄN</t>
        </is>
      </c>
      <c r="E543" t="inlineStr">
        <is>
          <t>ORSA</t>
        </is>
      </c>
      <c r="F543" t="inlineStr">
        <is>
          <t>Allmännings- och besparingsskogar</t>
        </is>
      </c>
      <c r="G543" t="n">
        <v>1.2</v>
      </c>
      <c r="H543" t="n">
        <v>0</v>
      </c>
      <c r="I543" t="n">
        <v>0</v>
      </c>
      <c r="J543" t="n">
        <v>0</v>
      </c>
      <c r="K543" t="n">
        <v>0</v>
      </c>
      <c r="L543" t="n">
        <v>0</v>
      </c>
      <c r="M543" t="n">
        <v>0</v>
      </c>
      <c r="N543" t="n">
        <v>0</v>
      </c>
      <c r="O543" t="n">
        <v>0</v>
      </c>
      <c r="P543" t="n">
        <v>0</v>
      </c>
      <c r="Q543" t="n">
        <v>0</v>
      </c>
      <c r="R543" s="2" t="inlineStr"/>
    </row>
    <row r="544" ht="15" customHeight="1">
      <c r="A544" t="inlineStr">
        <is>
          <t>A 22228-2026</t>
        </is>
      </c>
      <c r="B544" s="1" t="n">
        <v>46153</v>
      </c>
      <c r="C544" s="1" t="n">
        <v>46200</v>
      </c>
      <c r="D544" t="inlineStr">
        <is>
          <t>DALARNAS LÄN</t>
        </is>
      </c>
      <c r="E544" t="inlineStr">
        <is>
          <t>ORSA</t>
        </is>
      </c>
      <c r="G544" t="n">
        <v>3.5</v>
      </c>
      <c r="H544" t="n">
        <v>0</v>
      </c>
      <c r="I544" t="n">
        <v>0</v>
      </c>
      <c r="J544" t="n">
        <v>0</v>
      </c>
      <c r="K544" t="n">
        <v>0</v>
      </c>
      <c r="L544" t="n">
        <v>0</v>
      </c>
      <c r="M544" t="n">
        <v>0</v>
      </c>
      <c r="N544" t="n">
        <v>0</v>
      </c>
      <c r="O544" t="n">
        <v>0</v>
      </c>
      <c r="P544" t="n">
        <v>0</v>
      </c>
      <c r="Q544" t="n">
        <v>0</v>
      </c>
      <c r="R544" s="2" t="inlineStr"/>
    </row>
    <row r="545" ht="15" customHeight="1">
      <c r="A545" t="inlineStr">
        <is>
          <t>A 22267-2026</t>
        </is>
      </c>
      <c r="B545" s="1" t="n">
        <v>46154</v>
      </c>
      <c r="C545" s="1" t="n">
        <v>46200</v>
      </c>
      <c r="D545" t="inlineStr">
        <is>
          <t>DALARNAS LÄN</t>
        </is>
      </c>
      <c r="E545" t="inlineStr">
        <is>
          <t>ORSA</t>
        </is>
      </c>
      <c r="F545" t="inlineStr">
        <is>
          <t>Allmännings- och besparingsskogar</t>
        </is>
      </c>
      <c r="G545" t="n">
        <v>4.4</v>
      </c>
      <c r="H545" t="n">
        <v>0</v>
      </c>
      <c r="I545" t="n">
        <v>0</v>
      </c>
      <c r="J545" t="n">
        <v>0</v>
      </c>
      <c r="K545" t="n">
        <v>0</v>
      </c>
      <c r="L545" t="n">
        <v>0</v>
      </c>
      <c r="M545" t="n">
        <v>0</v>
      </c>
      <c r="N545" t="n">
        <v>0</v>
      </c>
      <c r="O545" t="n">
        <v>0</v>
      </c>
      <c r="P545" t="n">
        <v>0</v>
      </c>
      <c r="Q545" t="n">
        <v>0</v>
      </c>
      <c r="R545" s="2" t="inlineStr"/>
    </row>
    <row r="546" ht="15" customHeight="1">
      <c r="A546" t="inlineStr">
        <is>
          <t>A 22497-2026</t>
        </is>
      </c>
      <c r="B546" s="1" t="n">
        <v>46154</v>
      </c>
      <c r="C546" s="1" t="n">
        <v>46200</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22590-2026</t>
        </is>
      </c>
      <c r="B547" s="1" t="n">
        <v>46155</v>
      </c>
      <c r="C547" s="1" t="n">
        <v>46200</v>
      </c>
      <c r="D547" t="inlineStr">
        <is>
          <t>DALARNAS LÄN</t>
        </is>
      </c>
      <c r="E547" t="inlineStr">
        <is>
          <t>ORSA</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22615-2026</t>
        </is>
      </c>
      <c r="B548" s="1" t="n">
        <v>46155</v>
      </c>
      <c r="C548" s="1" t="n">
        <v>46200</v>
      </c>
      <c r="D548" t="inlineStr">
        <is>
          <t>DALARNAS LÄN</t>
        </is>
      </c>
      <c r="E548" t="inlineStr">
        <is>
          <t>ORSA</t>
        </is>
      </c>
      <c r="F548" t="inlineStr">
        <is>
          <t>Bergvik skog öst AB</t>
        </is>
      </c>
      <c r="G548" t="n">
        <v>5.5</v>
      </c>
      <c r="H548" t="n">
        <v>0</v>
      </c>
      <c r="I548" t="n">
        <v>0</v>
      </c>
      <c r="J548" t="n">
        <v>0</v>
      </c>
      <c r="K548" t="n">
        <v>0</v>
      </c>
      <c r="L548" t="n">
        <v>0</v>
      </c>
      <c r="M548" t="n">
        <v>0</v>
      </c>
      <c r="N548" t="n">
        <v>0</v>
      </c>
      <c r="O548" t="n">
        <v>0</v>
      </c>
      <c r="P548" t="n">
        <v>0</v>
      </c>
      <c r="Q548" t="n">
        <v>0</v>
      </c>
      <c r="R548" s="2" t="inlineStr"/>
    </row>
    <row r="549" ht="15" customHeight="1">
      <c r="A549" t="inlineStr">
        <is>
          <t>A 15657-2026</t>
        </is>
      </c>
      <c r="B549" s="1" t="n">
        <v>46106</v>
      </c>
      <c r="C549" s="1" t="n">
        <v>46200</v>
      </c>
      <c r="D549" t="inlineStr">
        <is>
          <t>DALARNAS LÄN</t>
        </is>
      </c>
      <c r="E549" t="inlineStr">
        <is>
          <t>ORSA</t>
        </is>
      </c>
      <c r="G549" t="n">
        <v>1.6</v>
      </c>
      <c r="H549" t="n">
        <v>0</v>
      </c>
      <c r="I549" t="n">
        <v>0</v>
      </c>
      <c r="J549" t="n">
        <v>0</v>
      </c>
      <c r="K549" t="n">
        <v>0</v>
      </c>
      <c r="L549" t="n">
        <v>0</v>
      </c>
      <c r="M549" t="n">
        <v>0</v>
      </c>
      <c r="N549" t="n">
        <v>0</v>
      </c>
      <c r="O549" t="n">
        <v>0</v>
      </c>
      <c r="P549" t="n">
        <v>0</v>
      </c>
      <c r="Q549" t="n">
        <v>0</v>
      </c>
      <c r="R549" s="2" t="inlineStr"/>
    </row>
    <row r="550" ht="15" customHeight="1">
      <c r="A550" t="inlineStr">
        <is>
          <t>A 28807-2026</t>
        </is>
      </c>
      <c r="B550" s="1" t="n">
        <v>46198</v>
      </c>
      <c r="C550" s="1" t="n">
        <v>46200</v>
      </c>
      <c r="D550" t="inlineStr">
        <is>
          <t>DALARNAS LÄN</t>
        </is>
      </c>
      <c r="E550" t="inlineStr">
        <is>
          <t>ORSA</t>
        </is>
      </c>
      <c r="F550" t="inlineStr">
        <is>
          <t>Allmännings- och besparingsskogar</t>
        </is>
      </c>
      <c r="G550" t="n">
        <v>13.9</v>
      </c>
      <c r="H550" t="n">
        <v>0</v>
      </c>
      <c r="I550" t="n">
        <v>0</v>
      </c>
      <c r="J550" t="n">
        <v>0</v>
      </c>
      <c r="K550" t="n">
        <v>0</v>
      </c>
      <c r="L550" t="n">
        <v>0</v>
      </c>
      <c r="M550" t="n">
        <v>0</v>
      </c>
      <c r="N550" t="n">
        <v>0</v>
      </c>
      <c r="O550" t="n">
        <v>0</v>
      </c>
      <c r="P550" t="n">
        <v>0</v>
      </c>
      <c r="Q550" t="n">
        <v>0</v>
      </c>
      <c r="R550" s="2" t="inlineStr"/>
    </row>
    <row r="551" ht="15" customHeight="1">
      <c r="A551" t="inlineStr">
        <is>
          <t>A 28954-2026</t>
        </is>
      </c>
      <c r="B551" s="1" t="n">
        <v>46199</v>
      </c>
      <c r="C551" s="1" t="n">
        <v>46200</v>
      </c>
      <c r="D551" t="inlineStr">
        <is>
          <t>DALARNAS LÄN</t>
        </is>
      </c>
      <c r="E551" t="inlineStr">
        <is>
          <t>ORSA</t>
        </is>
      </c>
      <c r="F551" t="inlineStr">
        <is>
          <t>Bergvik skog öst AB</t>
        </is>
      </c>
      <c r="G551" t="n">
        <v>11.9</v>
      </c>
      <c r="H551" t="n">
        <v>0</v>
      </c>
      <c r="I551" t="n">
        <v>0</v>
      </c>
      <c r="J551" t="n">
        <v>0</v>
      </c>
      <c r="K551" t="n">
        <v>0</v>
      </c>
      <c r="L551" t="n">
        <v>0</v>
      </c>
      <c r="M551" t="n">
        <v>0</v>
      </c>
      <c r="N551" t="n">
        <v>0</v>
      </c>
      <c r="O551" t="n">
        <v>0</v>
      </c>
      <c r="P551" t="n">
        <v>0</v>
      </c>
      <c r="Q551" t="n">
        <v>0</v>
      </c>
      <c r="R551" s="2" t="inlineStr"/>
    </row>
    <row r="552" ht="15" customHeight="1">
      <c r="A552" t="inlineStr">
        <is>
          <t>A 27531-2026</t>
        </is>
      </c>
      <c r="B552" s="1" t="n">
        <v>46189</v>
      </c>
      <c r="C552" s="1" t="n">
        <v>46200</v>
      </c>
      <c r="D552" t="inlineStr">
        <is>
          <t>DALARNAS LÄN</t>
        </is>
      </c>
      <c r="E552" t="inlineStr">
        <is>
          <t>ORSA</t>
        </is>
      </c>
      <c r="F552" t="inlineStr">
        <is>
          <t>Allmännings- och besparingsskogar</t>
        </is>
      </c>
      <c r="G552" t="n">
        <v>5.8</v>
      </c>
      <c r="H552" t="n">
        <v>0</v>
      </c>
      <c r="I552" t="n">
        <v>0</v>
      </c>
      <c r="J552" t="n">
        <v>0</v>
      </c>
      <c r="K552" t="n">
        <v>0</v>
      </c>
      <c r="L552" t="n">
        <v>0</v>
      </c>
      <c r="M552" t="n">
        <v>0</v>
      </c>
      <c r="N552" t="n">
        <v>0</v>
      </c>
      <c r="O552" t="n">
        <v>0</v>
      </c>
      <c r="P552" t="n">
        <v>0</v>
      </c>
      <c r="Q552" t="n">
        <v>0</v>
      </c>
      <c r="R552" s="2" t="inlineStr"/>
    </row>
    <row r="553" ht="15" customHeight="1">
      <c r="A553" t="inlineStr">
        <is>
          <t>A 22728-2026</t>
        </is>
      </c>
      <c r="B553" s="1" t="n">
        <v>46157</v>
      </c>
      <c r="C553" s="1" t="n">
        <v>46200</v>
      </c>
      <c r="D553" t="inlineStr">
        <is>
          <t>DALARNAS LÄN</t>
        </is>
      </c>
      <c r="E553" t="inlineStr">
        <is>
          <t>ORSA</t>
        </is>
      </c>
      <c r="F553" t="inlineStr">
        <is>
          <t>Allmännings- och besparingsskogar</t>
        </is>
      </c>
      <c r="G553" t="n">
        <v>4</v>
      </c>
      <c r="H553" t="n">
        <v>0</v>
      </c>
      <c r="I553" t="n">
        <v>0</v>
      </c>
      <c r="J553" t="n">
        <v>0</v>
      </c>
      <c r="K553" t="n">
        <v>0</v>
      </c>
      <c r="L553" t="n">
        <v>0</v>
      </c>
      <c r="M553" t="n">
        <v>0</v>
      </c>
      <c r="N553" t="n">
        <v>0</v>
      </c>
      <c r="O553" t="n">
        <v>0</v>
      </c>
      <c r="P553" t="n">
        <v>0</v>
      </c>
      <c r="Q553" t="n">
        <v>0</v>
      </c>
      <c r="R553" s="2" t="inlineStr"/>
    </row>
    <row r="554">
      <c r="A554" t="inlineStr">
        <is>
          <t>A 27603-2026</t>
        </is>
      </c>
      <c r="B554" s="1" t="n">
        <v>46190</v>
      </c>
      <c r="C554" s="1" t="n">
        <v>46200</v>
      </c>
      <c r="D554" t="inlineStr">
        <is>
          <t>DALARNAS LÄN</t>
        </is>
      </c>
      <c r="E554" t="inlineStr">
        <is>
          <t>ORSA</t>
        </is>
      </c>
      <c r="F554" t="inlineStr">
        <is>
          <t>Allmännings- och besparingsskogar</t>
        </is>
      </c>
      <c r="G554" t="n">
        <v>5.3</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2026-06-27T00:56:16Z</dcterms:created>
  <dcterms:modified xmlns:dcterms="http://purl.org/dc/terms/" xmlns:xsi="http://www.w3.org/2001/XMLSchema-instance" xsi:type="dcterms:W3CDTF">2026-06-27T00:56:16Z</dcterms:modified>
</cp:coreProperties>
</file>