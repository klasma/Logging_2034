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45991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45991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45991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45991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45991</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45991</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45991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45991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45991</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45991</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45991</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45991</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45991</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45991</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45991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45991</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45991</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45991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45991</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45991</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45991</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45991</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45991</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45991</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45991</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45991</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45991</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22172-2025</t>
        </is>
      </c>
      <c r="B32" s="1" t="n">
        <v>45785.6050925926</v>
      </c>
      <c r="C32" s="1" t="n">
        <v>45991</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45991</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45991</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45991</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45991</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45991</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45991</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45991</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31336-2025</t>
        </is>
      </c>
      <c r="B40" s="1" t="n">
        <v>45833</v>
      </c>
      <c r="C40" s="1" t="n">
        <v>45991</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31161-2025</t>
        </is>
      </c>
      <c r="B41" s="1" t="n">
        <v>45832</v>
      </c>
      <c r="C41" s="1" t="n">
        <v>45991</v>
      </c>
      <c r="D41" t="inlineStr">
        <is>
          <t>DALARNAS LÄN</t>
        </is>
      </c>
      <c r="E41" t="inlineStr">
        <is>
          <t>ORSA</t>
        </is>
      </c>
      <c r="G41" t="n">
        <v>1.7</v>
      </c>
      <c r="H41" t="n">
        <v>1</v>
      </c>
      <c r="I41" t="n">
        <v>1</v>
      </c>
      <c r="J41" t="n">
        <v>2</v>
      </c>
      <c r="K41" t="n">
        <v>0</v>
      </c>
      <c r="L41" t="n">
        <v>0</v>
      </c>
      <c r="M41" t="n">
        <v>0</v>
      </c>
      <c r="N41" t="n">
        <v>0</v>
      </c>
      <c r="O41" t="n">
        <v>2</v>
      </c>
      <c r="P41" t="n">
        <v>0</v>
      </c>
      <c r="Q41" t="n">
        <v>3</v>
      </c>
      <c r="R41" s="2" t="inlineStr">
        <is>
          <t>Garnlav
Tretåig hackspett
Bronshjon</t>
        </is>
      </c>
      <c r="S41">
        <f>HYPERLINK("https://klasma.github.io/Logging_2034/artfynd/A 31161-2025 artfynd.xlsx", "A 31161-2025")</f>
        <v/>
      </c>
      <c r="T41">
        <f>HYPERLINK("https://klasma.github.io/Logging_2034/kartor/A 31161-2025 karta.png", "A 31161-2025")</f>
        <v/>
      </c>
      <c r="V41">
        <f>HYPERLINK("https://klasma.github.io/Logging_2034/klagomål/A 31161-2025 FSC-klagomål.docx", "A 31161-2025")</f>
        <v/>
      </c>
      <c r="W41">
        <f>HYPERLINK("https://klasma.github.io/Logging_2034/klagomålsmail/A 31161-2025 FSC-klagomål mail.docx", "A 31161-2025")</f>
        <v/>
      </c>
      <c r="X41">
        <f>HYPERLINK("https://klasma.github.io/Logging_2034/tillsyn/A 31161-2025 tillsynsbegäran.docx", "A 31161-2025")</f>
        <v/>
      </c>
      <c r="Y41">
        <f>HYPERLINK("https://klasma.github.io/Logging_2034/tillsynsmail/A 31161-2025 tillsynsbegäran mail.docx", "A 31161-2025")</f>
        <v/>
      </c>
      <c r="Z41">
        <f>HYPERLINK("https://klasma.github.io/Logging_2034/fåglar/A 31161-2025 prioriterade fågelarter.docx", "A 31161-2025")</f>
        <v/>
      </c>
    </row>
    <row r="42" ht="15" customHeight="1">
      <c r="A42" t="inlineStr">
        <is>
          <t>A 48985-2025</t>
        </is>
      </c>
      <c r="B42" s="1" t="n">
        <v>45937.57505787037</v>
      </c>
      <c r="C42" s="1" t="n">
        <v>45991</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51070-2025</t>
        </is>
      </c>
      <c r="B43" s="1" t="n">
        <v>45947.45513888889</v>
      </c>
      <c r="C43" s="1" t="n">
        <v>45991</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6029-2024</t>
        </is>
      </c>
      <c r="B44" s="1" t="n">
        <v>45336</v>
      </c>
      <c r="C44" s="1" t="n">
        <v>45991</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45991</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45991</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45991</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45991</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45991</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45991</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45991</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45991</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45991</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30493-2024</t>
        </is>
      </c>
      <c r="B54" s="1" t="n">
        <v>45492.34811342593</v>
      </c>
      <c r="C54" s="1" t="n">
        <v>45991</v>
      </c>
      <c r="D54" t="inlineStr">
        <is>
          <t>DALARNAS LÄN</t>
        </is>
      </c>
      <c r="E54" t="inlineStr">
        <is>
          <t>ORSA</t>
        </is>
      </c>
      <c r="F54" t="inlineStr">
        <is>
          <t>Övriga statliga verk och myndigheter</t>
        </is>
      </c>
      <c r="G54" t="n">
        <v>2.2</v>
      </c>
      <c r="H54" t="n">
        <v>0</v>
      </c>
      <c r="I54" t="n">
        <v>0</v>
      </c>
      <c r="J54" t="n">
        <v>1</v>
      </c>
      <c r="K54" t="n">
        <v>0</v>
      </c>
      <c r="L54" t="n">
        <v>0</v>
      </c>
      <c r="M54" t="n">
        <v>0</v>
      </c>
      <c r="N54" t="n">
        <v>0</v>
      </c>
      <c r="O54" t="n">
        <v>1</v>
      </c>
      <c r="P54" t="n">
        <v>0</v>
      </c>
      <c r="Q54" t="n">
        <v>1</v>
      </c>
      <c r="R54" s="2" t="inlineStr">
        <is>
          <t>Garnlav</t>
        </is>
      </c>
      <c r="S54">
        <f>HYPERLINK("https://klasma.github.io/Logging_2034/artfynd/A 30493-2024 artfynd.xlsx", "A 30493-2024")</f>
        <v/>
      </c>
      <c r="T54">
        <f>HYPERLINK("https://klasma.github.io/Logging_2034/kartor/A 30493-2024 karta.png", "A 30493-2024")</f>
        <v/>
      </c>
      <c r="V54">
        <f>HYPERLINK("https://klasma.github.io/Logging_2034/klagomål/A 30493-2024 FSC-klagomål.docx", "A 30493-2024")</f>
        <v/>
      </c>
      <c r="W54">
        <f>HYPERLINK("https://klasma.github.io/Logging_2034/klagomålsmail/A 30493-2024 FSC-klagomål mail.docx", "A 30493-2024")</f>
        <v/>
      </c>
      <c r="X54">
        <f>HYPERLINK("https://klasma.github.io/Logging_2034/tillsyn/A 30493-2024 tillsynsbegäran.docx", "A 30493-2024")</f>
        <v/>
      </c>
      <c r="Y54">
        <f>HYPERLINK("https://klasma.github.io/Logging_2034/tillsynsmail/A 30493-2024 tillsynsbegäran mail.docx", "A 30493-2024")</f>
        <v/>
      </c>
    </row>
    <row r="55" ht="15" customHeight="1">
      <c r="A55" t="inlineStr">
        <is>
          <t>A 48973-2025</t>
        </is>
      </c>
      <c r="B55" s="1" t="n">
        <v>45937.5655787037</v>
      </c>
      <c r="C55" s="1" t="n">
        <v>45991</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37887-2023</t>
        </is>
      </c>
      <c r="B56" s="1" t="n">
        <v>45160</v>
      </c>
      <c r="C56" s="1" t="n">
        <v>45991</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45991</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45991</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45991</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45991</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45991</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45991</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45991</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45991</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45991</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45991</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45991</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45991</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45991</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45991</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45991</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45991</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45991</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45991</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45991</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45991</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45991</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45991</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45991</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45991</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45991</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45991</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45991</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45991</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45991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45991</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45991</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45991</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45991</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45991</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29366-2021</t>
        </is>
      </c>
      <c r="B91" s="1" t="n">
        <v>44361.46637731481</v>
      </c>
      <c r="C91" s="1" t="n">
        <v>45991</v>
      </c>
      <c r="D91" t="inlineStr">
        <is>
          <t>DALARNAS LÄN</t>
        </is>
      </c>
      <c r="E91" t="inlineStr">
        <is>
          <t>ORSA</t>
        </is>
      </c>
      <c r="F91" t="inlineStr">
        <is>
          <t>Bergvik skog öst AB</t>
        </is>
      </c>
      <c r="G91" t="n">
        <v>0.5</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45991</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45991</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45991</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45991</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45991</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45991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45991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45991</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45991</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45991</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45991</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45991</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45991</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45991</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45991</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45991</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45991</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45991</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45991</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45991</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45991</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72284-2021</t>
        </is>
      </c>
      <c r="B113" s="1" t="n">
        <v>44545.36940972223</v>
      </c>
      <c r="C113" s="1" t="n">
        <v>45991</v>
      </c>
      <c r="D113" t="inlineStr">
        <is>
          <t>DALARNAS LÄN</t>
        </is>
      </c>
      <c r="E113" t="inlineStr">
        <is>
          <t>ORSA</t>
        </is>
      </c>
      <c r="G113" t="n">
        <v>0.5</v>
      </c>
      <c r="H113" t="n">
        <v>0</v>
      </c>
      <c r="I113" t="n">
        <v>0</v>
      </c>
      <c r="J113" t="n">
        <v>0</v>
      </c>
      <c r="K113" t="n">
        <v>0</v>
      </c>
      <c r="L113" t="n">
        <v>0</v>
      </c>
      <c r="M113" t="n">
        <v>0</v>
      </c>
      <c r="N113" t="n">
        <v>0</v>
      </c>
      <c r="O113" t="n">
        <v>0</v>
      </c>
      <c r="P113" t="n">
        <v>0</v>
      </c>
      <c r="Q113" t="n">
        <v>0</v>
      </c>
      <c r="R113" s="2" t="inlineStr"/>
    </row>
    <row r="114" ht="15" customHeight="1">
      <c r="A114" t="inlineStr">
        <is>
          <t>A 56711-2021</t>
        </is>
      </c>
      <c r="B114" s="1" t="n">
        <v>44481.41222222222</v>
      </c>
      <c r="C114" s="1" t="n">
        <v>45991</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55691-2022</t>
        </is>
      </c>
      <c r="B115" s="1" t="n">
        <v>44888</v>
      </c>
      <c r="C115" s="1" t="n">
        <v>45991</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53229-2023</t>
        </is>
      </c>
      <c r="B116" s="1" t="n">
        <v>45229.48306712963</v>
      </c>
      <c r="C116" s="1" t="n">
        <v>45991</v>
      </c>
      <c r="D116" t="inlineStr">
        <is>
          <t>DALARNAS LÄN</t>
        </is>
      </c>
      <c r="E116" t="inlineStr">
        <is>
          <t>ORSA</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45991</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45991</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45991</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2717-2024</t>
        </is>
      </c>
      <c r="B120" s="1" t="n">
        <v>45314.49222222222</v>
      </c>
      <c r="C120" s="1" t="n">
        <v>45991</v>
      </c>
      <c r="D120" t="inlineStr">
        <is>
          <t>DALARNAS LÄN</t>
        </is>
      </c>
      <c r="E120" t="inlineStr">
        <is>
          <t>ORSA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45212.60275462963</v>
      </c>
      <c r="C121" s="1" t="n">
        <v>45991</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46454-2024</t>
        </is>
      </c>
      <c r="B122" s="1" t="n">
        <v>45582</v>
      </c>
      <c r="C122" s="1" t="n">
        <v>45991</v>
      </c>
      <c r="D122" t="inlineStr">
        <is>
          <t>DALARNAS LÄN</t>
        </is>
      </c>
      <c r="E122" t="inlineStr">
        <is>
          <t>ORSA</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1624-2024</t>
        </is>
      </c>
      <c r="B123" s="1" t="n">
        <v>45306</v>
      </c>
      <c r="C123" s="1" t="n">
        <v>45991</v>
      </c>
      <c r="D123" t="inlineStr">
        <is>
          <t>DALARNAS LÄN</t>
        </is>
      </c>
      <c r="E123" t="inlineStr">
        <is>
          <t>ORSA</t>
        </is>
      </c>
      <c r="G123" t="n">
        <v>1.9</v>
      </c>
      <c r="H123" t="n">
        <v>0</v>
      </c>
      <c r="I123" t="n">
        <v>0</v>
      </c>
      <c r="J123" t="n">
        <v>0</v>
      </c>
      <c r="K123" t="n">
        <v>0</v>
      </c>
      <c r="L123" t="n">
        <v>0</v>
      </c>
      <c r="M123" t="n">
        <v>0</v>
      </c>
      <c r="N123" t="n">
        <v>0</v>
      </c>
      <c r="O123" t="n">
        <v>0</v>
      </c>
      <c r="P123" t="n">
        <v>0</v>
      </c>
      <c r="Q123" t="n">
        <v>0</v>
      </c>
      <c r="R123" s="2" t="inlineStr"/>
    </row>
    <row r="124" ht="15" customHeight="1">
      <c r="A124" t="inlineStr">
        <is>
          <t>A 47134-2024</t>
        </is>
      </c>
      <c r="B124" s="1" t="n">
        <v>45586.58081018519</v>
      </c>
      <c r="C124" s="1" t="n">
        <v>45991</v>
      </c>
      <c r="D124" t="inlineStr">
        <is>
          <t>DALARNAS LÄN</t>
        </is>
      </c>
      <c r="E124" t="inlineStr">
        <is>
          <t>ORSA</t>
        </is>
      </c>
      <c r="G124" t="n">
        <v>0.3</v>
      </c>
      <c r="H124" t="n">
        <v>0</v>
      </c>
      <c r="I124" t="n">
        <v>0</v>
      </c>
      <c r="J124" t="n">
        <v>0</v>
      </c>
      <c r="K124" t="n">
        <v>0</v>
      </c>
      <c r="L124" t="n">
        <v>0</v>
      </c>
      <c r="M124" t="n">
        <v>0</v>
      </c>
      <c r="N124" t="n">
        <v>0</v>
      </c>
      <c r="O124" t="n">
        <v>0</v>
      </c>
      <c r="P124" t="n">
        <v>0</v>
      </c>
      <c r="Q124" t="n">
        <v>0</v>
      </c>
      <c r="R124" s="2" t="inlineStr"/>
    </row>
    <row r="125" ht="15" customHeight="1">
      <c r="A125" t="inlineStr">
        <is>
          <t>A 17500-2025</t>
        </is>
      </c>
      <c r="B125" s="1" t="n">
        <v>45757.54954861111</v>
      </c>
      <c r="C125" s="1" t="n">
        <v>45991</v>
      </c>
      <c r="D125" t="inlineStr">
        <is>
          <t>DALARNAS LÄN</t>
        </is>
      </c>
      <c r="E125" t="inlineStr">
        <is>
          <t>ORSA</t>
        </is>
      </c>
      <c r="G125" t="n">
        <v>1.9</v>
      </c>
      <c r="H125" t="n">
        <v>0</v>
      </c>
      <c r="I125" t="n">
        <v>0</v>
      </c>
      <c r="J125" t="n">
        <v>0</v>
      </c>
      <c r="K125" t="n">
        <v>0</v>
      </c>
      <c r="L125" t="n">
        <v>0</v>
      </c>
      <c r="M125" t="n">
        <v>0</v>
      </c>
      <c r="N125" t="n">
        <v>0</v>
      </c>
      <c r="O125" t="n">
        <v>0</v>
      </c>
      <c r="P125" t="n">
        <v>0</v>
      </c>
      <c r="Q125" t="n">
        <v>0</v>
      </c>
      <c r="R125" s="2" t="inlineStr"/>
    </row>
    <row r="126" ht="15" customHeight="1">
      <c r="A126" t="inlineStr">
        <is>
          <t>A 13575-2025</t>
        </is>
      </c>
      <c r="B126" s="1" t="n">
        <v>45736.57871527778</v>
      </c>
      <c r="C126" s="1" t="n">
        <v>45991</v>
      </c>
      <c r="D126" t="inlineStr">
        <is>
          <t>DALARNAS LÄN</t>
        </is>
      </c>
      <c r="E126" t="inlineStr">
        <is>
          <t>ORSA</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15870-2025</t>
        </is>
      </c>
      <c r="B127" s="1" t="n">
        <v>45749.37135416667</v>
      </c>
      <c r="C127" s="1" t="n">
        <v>45991</v>
      </c>
      <c r="D127" t="inlineStr">
        <is>
          <t>DALARNAS LÄN</t>
        </is>
      </c>
      <c r="E127" t="inlineStr">
        <is>
          <t>ORSA</t>
        </is>
      </c>
      <c r="F127" t="inlineStr">
        <is>
          <t>Bergvik skog öst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45991</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30291-2024</t>
        </is>
      </c>
      <c r="B129" s="1" t="n">
        <v>45490.64978009259</v>
      </c>
      <c r="C129" s="1" t="n">
        <v>45991</v>
      </c>
      <c r="D129" t="inlineStr">
        <is>
          <t>DALARNAS LÄN</t>
        </is>
      </c>
      <c r="E129" t="inlineStr">
        <is>
          <t>ORSA</t>
        </is>
      </c>
      <c r="F129" t="inlineStr">
        <is>
          <t>Bergvik skog öst AB</t>
        </is>
      </c>
      <c r="G129" t="n">
        <v>7.5</v>
      </c>
      <c r="H129" t="n">
        <v>0</v>
      </c>
      <c r="I129" t="n">
        <v>0</v>
      </c>
      <c r="J129" t="n">
        <v>0</v>
      </c>
      <c r="K129" t="n">
        <v>0</v>
      </c>
      <c r="L129" t="n">
        <v>0</v>
      </c>
      <c r="M129" t="n">
        <v>0</v>
      </c>
      <c r="N129" t="n">
        <v>0</v>
      </c>
      <c r="O129" t="n">
        <v>0</v>
      </c>
      <c r="P129" t="n">
        <v>0</v>
      </c>
      <c r="Q129" t="n">
        <v>0</v>
      </c>
      <c r="R129" s="2" t="inlineStr"/>
    </row>
    <row r="130" ht="15" customHeight="1">
      <c r="A130" t="inlineStr">
        <is>
          <t>A 8430-2024</t>
        </is>
      </c>
      <c r="B130" s="1" t="n">
        <v>45353.41157407407</v>
      </c>
      <c r="C130" s="1" t="n">
        <v>45991</v>
      </c>
      <c r="D130" t="inlineStr">
        <is>
          <t>DALARNAS LÄN</t>
        </is>
      </c>
      <c r="E130" t="inlineStr">
        <is>
          <t>ORSA</t>
        </is>
      </c>
      <c r="G130" t="n">
        <v>14.4</v>
      </c>
      <c r="H130" t="n">
        <v>0</v>
      </c>
      <c r="I130" t="n">
        <v>0</v>
      </c>
      <c r="J130" t="n">
        <v>0</v>
      </c>
      <c r="K130" t="n">
        <v>0</v>
      </c>
      <c r="L130" t="n">
        <v>0</v>
      </c>
      <c r="M130" t="n">
        <v>0</v>
      </c>
      <c r="N130" t="n">
        <v>0</v>
      </c>
      <c r="O130" t="n">
        <v>0</v>
      </c>
      <c r="P130" t="n">
        <v>0</v>
      </c>
      <c r="Q130" t="n">
        <v>0</v>
      </c>
      <c r="R130" s="2" t="inlineStr"/>
    </row>
    <row r="131" ht="15" customHeight="1">
      <c r="A131" t="inlineStr">
        <is>
          <t>A 58853-2022</t>
        </is>
      </c>
      <c r="B131" s="1" t="n">
        <v>44903</v>
      </c>
      <c r="C131" s="1" t="n">
        <v>45991</v>
      </c>
      <c r="D131" t="inlineStr">
        <is>
          <t>DALARNAS LÄN</t>
        </is>
      </c>
      <c r="E131" t="inlineStr">
        <is>
          <t>ORSA</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10359-2023</t>
        </is>
      </c>
      <c r="B132" s="1" t="n">
        <v>44987.37292824074</v>
      </c>
      <c r="C132" s="1" t="n">
        <v>45991</v>
      </c>
      <c r="D132" t="inlineStr">
        <is>
          <t>DALARNAS LÄN</t>
        </is>
      </c>
      <c r="E132" t="inlineStr">
        <is>
          <t>ORSA</t>
        </is>
      </c>
      <c r="G132" t="n">
        <v>2.5</v>
      </c>
      <c r="H132" t="n">
        <v>0</v>
      </c>
      <c r="I132" t="n">
        <v>0</v>
      </c>
      <c r="J132" t="n">
        <v>0</v>
      </c>
      <c r="K132" t="n">
        <v>0</v>
      </c>
      <c r="L132" t="n">
        <v>0</v>
      </c>
      <c r="M132" t="n">
        <v>0</v>
      </c>
      <c r="N132" t="n">
        <v>0</v>
      </c>
      <c r="O132" t="n">
        <v>0</v>
      </c>
      <c r="P132" t="n">
        <v>0</v>
      </c>
      <c r="Q132" t="n">
        <v>0</v>
      </c>
      <c r="R132" s="2" t="inlineStr"/>
    </row>
    <row r="133" ht="15" customHeight="1">
      <c r="A133" t="inlineStr">
        <is>
          <t>A 24235-2025</t>
        </is>
      </c>
      <c r="B133" s="1" t="n">
        <v>45797.38252314815</v>
      </c>
      <c r="C133" s="1" t="n">
        <v>45991</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57533-2022</t>
        </is>
      </c>
      <c r="B134" s="1" t="n">
        <v>44896.68393518519</v>
      </c>
      <c r="C134" s="1" t="n">
        <v>45991</v>
      </c>
      <c r="D134" t="inlineStr">
        <is>
          <t>DALARNAS LÄN</t>
        </is>
      </c>
      <c r="E134" t="inlineStr">
        <is>
          <t>ORSA</t>
        </is>
      </c>
      <c r="F134" t="inlineStr">
        <is>
          <t>Bergvik skog öst AB</t>
        </is>
      </c>
      <c r="G134" t="n">
        <v>2.2</v>
      </c>
      <c r="H134" t="n">
        <v>0</v>
      </c>
      <c r="I134" t="n">
        <v>0</v>
      </c>
      <c r="J134" t="n">
        <v>0</v>
      </c>
      <c r="K134" t="n">
        <v>0</v>
      </c>
      <c r="L134" t="n">
        <v>0</v>
      </c>
      <c r="M134" t="n">
        <v>0</v>
      </c>
      <c r="N134" t="n">
        <v>0</v>
      </c>
      <c r="O134" t="n">
        <v>0</v>
      </c>
      <c r="P134" t="n">
        <v>0</v>
      </c>
      <c r="Q134" t="n">
        <v>0</v>
      </c>
      <c r="R134" s="2" t="inlineStr"/>
    </row>
    <row r="135" ht="15" customHeight="1">
      <c r="A135" t="inlineStr">
        <is>
          <t>A 3951-2023</t>
        </is>
      </c>
      <c r="B135" s="1" t="n">
        <v>44952.38577546296</v>
      </c>
      <c r="C135" s="1" t="n">
        <v>45991</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48990-2023</t>
        </is>
      </c>
      <c r="B136" s="1" t="n">
        <v>45209.64740740741</v>
      </c>
      <c r="C136" s="1" t="n">
        <v>45991</v>
      </c>
      <c r="D136" t="inlineStr">
        <is>
          <t>DALARNAS LÄN</t>
        </is>
      </c>
      <c r="E136" t="inlineStr">
        <is>
          <t>ORSA</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38672-2025</t>
        </is>
      </c>
      <c r="B137" s="1" t="n">
        <v>45884.63340277778</v>
      </c>
      <c r="C137" s="1" t="n">
        <v>45991</v>
      </c>
      <c r="D137" t="inlineStr">
        <is>
          <t>DALARNAS LÄN</t>
        </is>
      </c>
      <c r="E137" t="inlineStr">
        <is>
          <t>ORSA</t>
        </is>
      </c>
      <c r="G137" t="n">
        <v>4.6</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45991</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47778-2021</t>
        </is>
      </c>
      <c r="B139" s="1" t="n">
        <v>44448</v>
      </c>
      <c r="C139" s="1" t="n">
        <v>45991</v>
      </c>
      <c r="D139" t="inlineStr">
        <is>
          <t>DALARNAS LÄN</t>
        </is>
      </c>
      <c r="E139" t="inlineStr">
        <is>
          <t>ORSA</t>
        </is>
      </c>
      <c r="F139" t="inlineStr">
        <is>
          <t>Bergvik skog öst AB</t>
        </is>
      </c>
      <c r="G139" t="n">
        <v>0.8</v>
      </c>
      <c r="H139" t="n">
        <v>0</v>
      </c>
      <c r="I139" t="n">
        <v>0</v>
      </c>
      <c r="J139" t="n">
        <v>0</v>
      </c>
      <c r="K139" t="n">
        <v>0</v>
      </c>
      <c r="L139" t="n">
        <v>0</v>
      </c>
      <c r="M139" t="n">
        <v>0</v>
      </c>
      <c r="N139" t="n">
        <v>0</v>
      </c>
      <c r="O139" t="n">
        <v>0</v>
      </c>
      <c r="P139" t="n">
        <v>0</v>
      </c>
      <c r="Q139" t="n">
        <v>0</v>
      </c>
      <c r="R139" s="2" t="inlineStr"/>
    </row>
    <row r="140" ht="15" customHeight="1">
      <c r="A140" t="inlineStr">
        <is>
          <t>A 24969-2025</t>
        </is>
      </c>
      <c r="B140" s="1" t="n">
        <v>45799</v>
      </c>
      <c r="C140" s="1" t="n">
        <v>45991</v>
      </c>
      <c r="D140" t="inlineStr">
        <is>
          <t>DALARNAS LÄN</t>
        </is>
      </c>
      <c r="E140" t="inlineStr">
        <is>
          <t>ORSA</t>
        </is>
      </c>
      <c r="F140" t="inlineStr">
        <is>
          <t>Allmännings- och besparingsskogar</t>
        </is>
      </c>
      <c r="G140" t="n">
        <v>2.6</v>
      </c>
      <c r="H140" t="n">
        <v>0</v>
      </c>
      <c r="I140" t="n">
        <v>0</v>
      </c>
      <c r="J140" t="n">
        <v>0</v>
      </c>
      <c r="K140" t="n">
        <v>0</v>
      </c>
      <c r="L140" t="n">
        <v>0</v>
      </c>
      <c r="M140" t="n">
        <v>0</v>
      </c>
      <c r="N140" t="n">
        <v>0</v>
      </c>
      <c r="O140" t="n">
        <v>0</v>
      </c>
      <c r="P140" t="n">
        <v>0</v>
      </c>
      <c r="Q140" t="n">
        <v>0</v>
      </c>
      <c r="R140" s="2" t="inlineStr"/>
    </row>
    <row r="141" ht="15" customHeight="1">
      <c r="A141" t="inlineStr">
        <is>
          <t>A 15772-2025</t>
        </is>
      </c>
      <c r="B141" s="1" t="n">
        <v>45748.59069444444</v>
      </c>
      <c r="C141" s="1" t="n">
        <v>45991</v>
      </c>
      <c r="D141" t="inlineStr">
        <is>
          <t>DALARNAS LÄN</t>
        </is>
      </c>
      <c r="E141" t="inlineStr">
        <is>
          <t>ORSA</t>
        </is>
      </c>
      <c r="F141" t="inlineStr">
        <is>
          <t>Bergvik skog öst AB</t>
        </is>
      </c>
      <c r="G141" t="n">
        <v>3.8</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45991</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25211-2025</t>
        </is>
      </c>
      <c r="B143" s="1" t="n">
        <v>45800.46965277778</v>
      </c>
      <c r="C143" s="1" t="n">
        <v>45991</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38840-2025</t>
        </is>
      </c>
      <c r="B144" s="1" t="n">
        <v>45887.5375</v>
      </c>
      <c r="C144" s="1" t="n">
        <v>45991</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18817-2023</t>
        </is>
      </c>
      <c r="B145" s="1" t="n">
        <v>45043</v>
      </c>
      <c r="C145" s="1" t="n">
        <v>45991</v>
      </c>
      <c r="D145" t="inlineStr">
        <is>
          <t>DALARNAS LÄN</t>
        </is>
      </c>
      <c r="E145" t="inlineStr">
        <is>
          <t>ORSA</t>
        </is>
      </c>
      <c r="G145" t="n">
        <v>4.4</v>
      </c>
      <c r="H145" t="n">
        <v>0</v>
      </c>
      <c r="I145" t="n">
        <v>0</v>
      </c>
      <c r="J145" t="n">
        <v>0</v>
      </c>
      <c r="K145" t="n">
        <v>0</v>
      </c>
      <c r="L145" t="n">
        <v>0</v>
      </c>
      <c r="M145" t="n">
        <v>0</v>
      </c>
      <c r="N145" t="n">
        <v>0</v>
      </c>
      <c r="O145" t="n">
        <v>0</v>
      </c>
      <c r="P145" t="n">
        <v>0</v>
      </c>
      <c r="Q145" t="n">
        <v>0</v>
      </c>
      <c r="R145" s="2" t="inlineStr"/>
    </row>
    <row r="146" ht="15" customHeight="1">
      <c r="A146" t="inlineStr">
        <is>
          <t>A 17850-2025</t>
        </is>
      </c>
      <c r="B146" s="1" t="n">
        <v>45758.60162037037</v>
      </c>
      <c r="C146" s="1" t="n">
        <v>45991</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41291-2021</t>
        </is>
      </c>
      <c r="B147" s="1" t="n">
        <v>44424</v>
      </c>
      <c r="C147" s="1" t="n">
        <v>45991</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21446-2024</t>
        </is>
      </c>
      <c r="B148" s="1" t="n">
        <v>45441.45840277777</v>
      </c>
      <c r="C148" s="1" t="n">
        <v>45991</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32125-2024</t>
        </is>
      </c>
      <c r="B149" s="1" t="n">
        <v>45511</v>
      </c>
      <c r="C149" s="1" t="n">
        <v>45991</v>
      </c>
      <c r="D149" t="inlineStr">
        <is>
          <t>DALARNAS LÄN</t>
        </is>
      </c>
      <c r="E149" t="inlineStr">
        <is>
          <t>ORSA</t>
        </is>
      </c>
      <c r="F149" t="inlineStr">
        <is>
          <t>Allmännings- och besparingsskogar</t>
        </is>
      </c>
      <c r="G149" t="n">
        <v>5.2</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45991</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26741-2025</t>
        </is>
      </c>
      <c r="B151" s="1" t="n">
        <v>45810.52444444445</v>
      </c>
      <c r="C151" s="1" t="n">
        <v>45991</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56975-2023</t>
        </is>
      </c>
      <c r="B152" s="1" t="n">
        <v>45244</v>
      </c>
      <c r="C152" s="1" t="n">
        <v>45991</v>
      </c>
      <c r="D152" t="inlineStr">
        <is>
          <t>DALARNAS LÄN</t>
        </is>
      </c>
      <c r="E152" t="inlineStr">
        <is>
          <t>ORSA</t>
        </is>
      </c>
      <c r="G152" t="n">
        <v>1.6</v>
      </c>
      <c r="H152" t="n">
        <v>0</v>
      </c>
      <c r="I152" t="n">
        <v>0</v>
      </c>
      <c r="J152" t="n">
        <v>0</v>
      </c>
      <c r="K152" t="n">
        <v>0</v>
      </c>
      <c r="L152" t="n">
        <v>0</v>
      </c>
      <c r="M152" t="n">
        <v>0</v>
      </c>
      <c r="N152" t="n">
        <v>0</v>
      </c>
      <c r="O152" t="n">
        <v>0</v>
      </c>
      <c r="P152" t="n">
        <v>0</v>
      </c>
      <c r="Q152" t="n">
        <v>0</v>
      </c>
      <c r="R152" s="2" t="inlineStr"/>
    </row>
    <row r="153" ht="15" customHeight="1">
      <c r="A153" t="inlineStr">
        <is>
          <t>A 61279-2023</t>
        </is>
      </c>
      <c r="B153" s="1" t="n">
        <v>45264.5270949074</v>
      </c>
      <c r="C153" s="1" t="n">
        <v>45991</v>
      </c>
      <c r="D153" t="inlineStr">
        <is>
          <t>DALARNAS LÄN</t>
        </is>
      </c>
      <c r="E153" t="inlineStr">
        <is>
          <t>ORSA</t>
        </is>
      </c>
      <c r="G153" t="n">
        <v>0.2</v>
      </c>
      <c r="H153" t="n">
        <v>0</v>
      </c>
      <c r="I153" t="n">
        <v>0</v>
      </c>
      <c r="J153" t="n">
        <v>0</v>
      </c>
      <c r="K153" t="n">
        <v>0</v>
      </c>
      <c r="L153" t="n">
        <v>0</v>
      </c>
      <c r="M153" t="n">
        <v>0</v>
      </c>
      <c r="N153" t="n">
        <v>0</v>
      </c>
      <c r="O153" t="n">
        <v>0</v>
      </c>
      <c r="P153" t="n">
        <v>0</v>
      </c>
      <c r="Q153" t="n">
        <v>0</v>
      </c>
      <c r="R153" s="2" t="inlineStr"/>
    </row>
    <row r="154" ht="15" customHeight="1">
      <c r="A154" t="inlineStr">
        <is>
          <t>A 30751-2025</t>
        </is>
      </c>
      <c r="B154" s="1" t="n">
        <v>45831.58921296296</v>
      </c>
      <c r="C154" s="1" t="n">
        <v>45991</v>
      </c>
      <c r="D154" t="inlineStr">
        <is>
          <t>DALARNAS LÄN</t>
        </is>
      </c>
      <c r="E154" t="inlineStr">
        <is>
          <t>ORSA</t>
        </is>
      </c>
      <c r="G154" t="n">
        <v>5.2</v>
      </c>
      <c r="H154" t="n">
        <v>0</v>
      </c>
      <c r="I154" t="n">
        <v>0</v>
      </c>
      <c r="J154" t="n">
        <v>0</v>
      </c>
      <c r="K154" t="n">
        <v>0</v>
      </c>
      <c r="L154" t="n">
        <v>0</v>
      </c>
      <c r="M154" t="n">
        <v>0</v>
      </c>
      <c r="N154" t="n">
        <v>0</v>
      </c>
      <c r="O154" t="n">
        <v>0</v>
      </c>
      <c r="P154" t="n">
        <v>0</v>
      </c>
      <c r="Q154" t="n">
        <v>0</v>
      </c>
      <c r="R154" s="2" t="inlineStr"/>
    </row>
    <row r="155" ht="15" customHeight="1">
      <c r="A155" t="inlineStr">
        <is>
          <t>A 40070-2025</t>
        </is>
      </c>
      <c r="B155" s="1" t="n">
        <v>45894.44197916667</v>
      </c>
      <c r="C155" s="1" t="n">
        <v>45991</v>
      </c>
      <c r="D155" t="inlineStr">
        <is>
          <t>DALARNAS LÄN</t>
        </is>
      </c>
      <c r="E155" t="inlineStr">
        <is>
          <t>ORSA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20302-2023</t>
        </is>
      </c>
      <c r="B156" s="1" t="n">
        <v>45056</v>
      </c>
      <c r="C156" s="1" t="n">
        <v>45991</v>
      </c>
      <c r="D156" t="inlineStr">
        <is>
          <t>DALARNAS LÄN</t>
        </is>
      </c>
      <c r="E156" t="inlineStr">
        <is>
          <t>ORSA</t>
        </is>
      </c>
      <c r="G156" t="n">
        <v>2.1</v>
      </c>
      <c r="H156" t="n">
        <v>0</v>
      </c>
      <c r="I156" t="n">
        <v>0</v>
      </c>
      <c r="J156" t="n">
        <v>0</v>
      </c>
      <c r="K156" t="n">
        <v>0</v>
      </c>
      <c r="L156" t="n">
        <v>0</v>
      </c>
      <c r="M156" t="n">
        <v>0</v>
      </c>
      <c r="N156" t="n">
        <v>0</v>
      </c>
      <c r="O156" t="n">
        <v>0</v>
      </c>
      <c r="P156" t="n">
        <v>0</v>
      </c>
      <c r="Q156" t="n">
        <v>0</v>
      </c>
      <c r="R156" s="2" t="inlineStr"/>
    </row>
    <row r="157" ht="15" customHeight="1">
      <c r="A157" t="inlineStr">
        <is>
          <t>A 63371-2023</t>
        </is>
      </c>
      <c r="B157" s="1" t="n">
        <v>45274.47642361111</v>
      </c>
      <c r="C157" s="1" t="n">
        <v>45991</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40111-2025</t>
        </is>
      </c>
      <c r="B158" s="1" t="n">
        <v>45894.49417824074</v>
      </c>
      <c r="C158" s="1" t="n">
        <v>45991</v>
      </c>
      <c r="D158" t="inlineStr">
        <is>
          <t>DALARNAS LÄN</t>
        </is>
      </c>
      <c r="E158" t="inlineStr">
        <is>
          <t>ORSA</t>
        </is>
      </c>
      <c r="F158" t="inlineStr">
        <is>
          <t>Allmännings- och besparingsskogar</t>
        </is>
      </c>
      <c r="G158" t="n">
        <v>18.6</v>
      </c>
      <c r="H158" t="n">
        <v>0</v>
      </c>
      <c r="I158" t="n">
        <v>0</v>
      </c>
      <c r="J158" t="n">
        <v>0</v>
      </c>
      <c r="K158" t="n">
        <v>0</v>
      </c>
      <c r="L158" t="n">
        <v>0</v>
      </c>
      <c r="M158" t="n">
        <v>0</v>
      </c>
      <c r="N158" t="n">
        <v>0</v>
      </c>
      <c r="O158" t="n">
        <v>0</v>
      </c>
      <c r="P158" t="n">
        <v>0</v>
      </c>
      <c r="Q158" t="n">
        <v>0</v>
      </c>
      <c r="R158" s="2" t="inlineStr"/>
    </row>
    <row r="159" ht="15" customHeight="1">
      <c r="A159" t="inlineStr">
        <is>
          <t>A 40127-2025</t>
        </is>
      </c>
      <c r="B159" s="1" t="n">
        <v>45894.53300925926</v>
      </c>
      <c r="C159" s="1" t="n">
        <v>45991</v>
      </c>
      <c r="D159" t="inlineStr">
        <is>
          <t>DALARNAS LÄN</t>
        </is>
      </c>
      <c r="E159" t="inlineStr">
        <is>
          <t>ORSA</t>
        </is>
      </c>
      <c r="F159" t="inlineStr">
        <is>
          <t>Allmännings- och besparingsskogar</t>
        </is>
      </c>
      <c r="G159" t="n">
        <v>17.4</v>
      </c>
      <c r="H159" t="n">
        <v>0</v>
      </c>
      <c r="I159" t="n">
        <v>0</v>
      </c>
      <c r="J159" t="n">
        <v>0</v>
      </c>
      <c r="K159" t="n">
        <v>0</v>
      </c>
      <c r="L159" t="n">
        <v>0</v>
      </c>
      <c r="M159" t="n">
        <v>0</v>
      </c>
      <c r="N159" t="n">
        <v>0</v>
      </c>
      <c r="O159" t="n">
        <v>0</v>
      </c>
      <c r="P159" t="n">
        <v>0</v>
      </c>
      <c r="Q159" t="n">
        <v>0</v>
      </c>
      <c r="R159" s="2" t="inlineStr"/>
    </row>
    <row r="160" ht="15" customHeight="1">
      <c r="A160" t="inlineStr">
        <is>
          <t>A 16392-2024</t>
        </is>
      </c>
      <c r="B160" s="1" t="n">
        <v>45407.62380787037</v>
      </c>
      <c r="C160" s="1" t="n">
        <v>45991</v>
      </c>
      <c r="D160" t="inlineStr">
        <is>
          <t>DALARNAS LÄN</t>
        </is>
      </c>
      <c r="E160" t="inlineStr">
        <is>
          <t>ORSA</t>
        </is>
      </c>
      <c r="G160" t="n">
        <v>3.4</v>
      </c>
      <c r="H160" t="n">
        <v>0</v>
      </c>
      <c r="I160" t="n">
        <v>0</v>
      </c>
      <c r="J160" t="n">
        <v>0</v>
      </c>
      <c r="K160" t="n">
        <v>0</v>
      </c>
      <c r="L160" t="n">
        <v>0</v>
      </c>
      <c r="M160" t="n">
        <v>0</v>
      </c>
      <c r="N160" t="n">
        <v>0</v>
      </c>
      <c r="O160" t="n">
        <v>0</v>
      </c>
      <c r="P160" t="n">
        <v>0</v>
      </c>
      <c r="Q160" t="n">
        <v>0</v>
      </c>
      <c r="R160" s="2" t="inlineStr"/>
    </row>
    <row r="161" ht="15" customHeight="1">
      <c r="A161" t="inlineStr">
        <is>
          <t>A 21364-2025</t>
        </is>
      </c>
      <c r="B161" s="1" t="n">
        <v>45782</v>
      </c>
      <c r="C161" s="1" t="n">
        <v>45991</v>
      </c>
      <c r="D161" t="inlineStr">
        <is>
          <t>DALARNAS LÄN</t>
        </is>
      </c>
      <c r="E161" t="inlineStr">
        <is>
          <t>ORSA</t>
        </is>
      </c>
      <c r="F161" t="inlineStr">
        <is>
          <t>Allmännings- och besparingsskogar</t>
        </is>
      </c>
      <c r="G161" t="n">
        <v>52.6</v>
      </c>
      <c r="H161" t="n">
        <v>0</v>
      </c>
      <c r="I161" t="n">
        <v>0</v>
      </c>
      <c r="J161" t="n">
        <v>0</v>
      </c>
      <c r="K161" t="n">
        <v>0</v>
      </c>
      <c r="L161" t="n">
        <v>0</v>
      </c>
      <c r="M161" t="n">
        <v>0</v>
      </c>
      <c r="N161" t="n">
        <v>0</v>
      </c>
      <c r="O161" t="n">
        <v>0</v>
      </c>
      <c r="P161" t="n">
        <v>0</v>
      </c>
      <c r="Q161" t="n">
        <v>0</v>
      </c>
      <c r="R161" s="2" t="inlineStr"/>
    </row>
    <row r="162" ht="15" customHeight="1">
      <c r="A162" t="inlineStr">
        <is>
          <t>A 40091-2025</t>
        </is>
      </c>
      <c r="B162" s="1" t="n">
        <v>45894.47822916666</v>
      </c>
      <c r="C162" s="1" t="n">
        <v>45991</v>
      </c>
      <c r="D162" t="inlineStr">
        <is>
          <t>DALARNAS LÄN</t>
        </is>
      </c>
      <c r="E162" t="inlineStr">
        <is>
          <t>ORSA</t>
        </is>
      </c>
      <c r="F162" t="inlineStr">
        <is>
          <t>Allmännings- och besparingsskogar</t>
        </is>
      </c>
      <c r="G162" t="n">
        <v>20.4</v>
      </c>
      <c r="H162" t="n">
        <v>0</v>
      </c>
      <c r="I162" t="n">
        <v>0</v>
      </c>
      <c r="J162" t="n">
        <v>0</v>
      </c>
      <c r="K162" t="n">
        <v>0</v>
      </c>
      <c r="L162" t="n">
        <v>0</v>
      </c>
      <c r="M162" t="n">
        <v>0</v>
      </c>
      <c r="N162" t="n">
        <v>0</v>
      </c>
      <c r="O162" t="n">
        <v>0</v>
      </c>
      <c r="P162" t="n">
        <v>0</v>
      </c>
      <c r="Q162" t="n">
        <v>0</v>
      </c>
      <c r="R162" s="2" t="inlineStr"/>
    </row>
    <row r="163" ht="15" customHeight="1">
      <c r="A163" t="inlineStr">
        <is>
          <t>A 27190-2025</t>
        </is>
      </c>
      <c r="B163" s="1" t="n">
        <v>45812.37025462963</v>
      </c>
      <c r="C163" s="1" t="n">
        <v>45991</v>
      </c>
      <c r="D163" t="inlineStr">
        <is>
          <t>DALARNAS LÄN</t>
        </is>
      </c>
      <c r="E163" t="inlineStr">
        <is>
          <t>ORSA</t>
        </is>
      </c>
      <c r="F163" t="inlineStr">
        <is>
          <t>Bergvik skog öst AB</t>
        </is>
      </c>
      <c r="G163" t="n">
        <v>4.9</v>
      </c>
      <c r="H163" t="n">
        <v>0</v>
      </c>
      <c r="I163" t="n">
        <v>0</v>
      </c>
      <c r="J163" t="n">
        <v>0</v>
      </c>
      <c r="K163" t="n">
        <v>0</v>
      </c>
      <c r="L163" t="n">
        <v>0</v>
      </c>
      <c r="M163" t="n">
        <v>0</v>
      </c>
      <c r="N163" t="n">
        <v>0</v>
      </c>
      <c r="O163" t="n">
        <v>0</v>
      </c>
      <c r="P163" t="n">
        <v>0</v>
      </c>
      <c r="Q163" t="n">
        <v>0</v>
      </c>
      <c r="R163" s="2" t="inlineStr"/>
    </row>
    <row r="164" ht="15" customHeight="1">
      <c r="A164" t="inlineStr">
        <is>
          <t>A 40577-2025</t>
        </is>
      </c>
      <c r="B164" s="1" t="n">
        <v>45896.51028935185</v>
      </c>
      <c r="C164" s="1" t="n">
        <v>45991</v>
      </c>
      <c r="D164" t="inlineStr">
        <is>
          <t>DALARNAS LÄN</t>
        </is>
      </c>
      <c r="E164" t="inlineStr">
        <is>
          <t>ORSA</t>
        </is>
      </c>
      <c r="F164" t="inlineStr">
        <is>
          <t>Allmännings- och besparingsskogar</t>
        </is>
      </c>
      <c r="G164" t="n">
        <v>13.8</v>
      </c>
      <c r="H164" t="n">
        <v>0</v>
      </c>
      <c r="I164" t="n">
        <v>0</v>
      </c>
      <c r="J164" t="n">
        <v>0</v>
      </c>
      <c r="K164" t="n">
        <v>0</v>
      </c>
      <c r="L164" t="n">
        <v>0</v>
      </c>
      <c r="M164" t="n">
        <v>0</v>
      </c>
      <c r="N164" t="n">
        <v>0</v>
      </c>
      <c r="O164" t="n">
        <v>0</v>
      </c>
      <c r="P164" t="n">
        <v>0</v>
      </c>
      <c r="Q164" t="n">
        <v>0</v>
      </c>
      <c r="R164" s="2" t="inlineStr"/>
    </row>
    <row r="165" ht="15" customHeight="1">
      <c r="A165" t="inlineStr">
        <is>
          <t>A 27221-2025</t>
        </is>
      </c>
      <c r="B165" s="1" t="n">
        <v>45812.42304398148</v>
      </c>
      <c r="C165" s="1" t="n">
        <v>45991</v>
      </c>
      <c r="D165" t="inlineStr">
        <is>
          <t>DALARNAS LÄN</t>
        </is>
      </c>
      <c r="E165" t="inlineStr">
        <is>
          <t>ORSA</t>
        </is>
      </c>
      <c r="F165" t="inlineStr">
        <is>
          <t>Bergvik skog öst AB</t>
        </is>
      </c>
      <c r="G165" t="n">
        <v>3.7</v>
      </c>
      <c r="H165" t="n">
        <v>0</v>
      </c>
      <c r="I165" t="n">
        <v>0</v>
      </c>
      <c r="J165" t="n">
        <v>0</v>
      </c>
      <c r="K165" t="n">
        <v>0</v>
      </c>
      <c r="L165" t="n">
        <v>0</v>
      </c>
      <c r="M165" t="n">
        <v>0</v>
      </c>
      <c r="N165" t="n">
        <v>0</v>
      </c>
      <c r="O165" t="n">
        <v>0</v>
      </c>
      <c r="P165" t="n">
        <v>0</v>
      </c>
      <c r="Q165" t="n">
        <v>0</v>
      </c>
      <c r="R165" s="2" t="inlineStr"/>
    </row>
    <row r="166" ht="15" customHeight="1">
      <c r="A166" t="inlineStr">
        <is>
          <t>A 6490-2025</t>
        </is>
      </c>
      <c r="B166" s="1" t="n">
        <v>45699</v>
      </c>
      <c r="C166" s="1" t="n">
        <v>45991</v>
      </c>
      <c r="D166" t="inlineStr">
        <is>
          <t>DALARNAS LÄN</t>
        </is>
      </c>
      <c r="E166" t="inlineStr">
        <is>
          <t>ORSA</t>
        </is>
      </c>
      <c r="G166" t="n">
        <v>7.5</v>
      </c>
      <c r="H166" t="n">
        <v>0</v>
      </c>
      <c r="I166" t="n">
        <v>0</v>
      </c>
      <c r="J166" t="n">
        <v>0</v>
      </c>
      <c r="K166" t="n">
        <v>0</v>
      </c>
      <c r="L166" t="n">
        <v>0</v>
      </c>
      <c r="M166" t="n">
        <v>0</v>
      </c>
      <c r="N166" t="n">
        <v>0</v>
      </c>
      <c r="O166" t="n">
        <v>0</v>
      </c>
      <c r="P166" t="n">
        <v>0</v>
      </c>
      <c r="Q166" t="n">
        <v>0</v>
      </c>
      <c r="R166" s="2" t="inlineStr"/>
    </row>
    <row r="167" ht="15" customHeight="1">
      <c r="A167" t="inlineStr">
        <is>
          <t>A 27313-2025</t>
        </is>
      </c>
      <c r="B167" s="1" t="n">
        <v>45812.58365740741</v>
      </c>
      <c r="C167" s="1" t="n">
        <v>45991</v>
      </c>
      <c r="D167" t="inlineStr">
        <is>
          <t>DALARNAS LÄN</t>
        </is>
      </c>
      <c r="E167" t="inlineStr">
        <is>
          <t>ORSA</t>
        </is>
      </c>
      <c r="F167" t="inlineStr">
        <is>
          <t>Allmännings- och besparingsskogar</t>
        </is>
      </c>
      <c r="G167" t="n">
        <v>1.4</v>
      </c>
      <c r="H167" t="n">
        <v>0</v>
      </c>
      <c r="I167" t="n">
        <v>0</v>
      </c>
      <c r="J167" t="n">
        <v>0</v>
      </c>
      <c r="K167" t="n">
        <v>0</v>
      </c>
      <c r="L167" t="n">
        <v>0</v>
      </c>
      <c r="M167" t="n">
        <v>0</v>
      </c>
      <c r="N167" t="n">
        <v>0</v>
      </c>
      <c r="O167" t="n">
        <v>0</v>
      </c>
      <c r="P167" t="n">
        <v>0</v>
      </c>
      <c r="Q167" t="n">
        <v>0</v>
      </c>
      <c r="R167" s="2" t="inlineStr"/>
    </row>
    <row r="168" ht="15" customHeight="1">
      <c r="A168" t="inlineStr">
        <is>
          <t>A 27866-2025</t>
        </is>
      </c>
      <c r="B168" s="1" t="n">
        <v>45817.4262962963</v>
      </c>
      <c r="C168" s="1" t="n">
        <v>45991</v>
      </c>
      <c r="D168" t="inlineStr">
        <is>
          <t>DALARNAS LÄN</t>
        </is>
      </c>
      <c r="E168" t="inlineStr">
        <is>
          <t>ORSA</t>
        </is>
      </c>
      <c r="F168" t="inlineStr">
        <is>
          <t>Allmännings- och besparingsskogar</t>
        </is>
      </c>
      <c r="G168" t="n">
        <v>6</v>
      </c>
      <c r="H168" t="n">
        <v>0</v>
      </c>
      <c r="I168" t="n">
        <v>0</v>
      </c>
      <c r="J168" t="n">
        <v>0</v>
      </c>
      <c r="K168" t="n">
        <v>0</v>
      </c>
      <c r="L168" t="n">
        <v>0</v>
      </c>
      <c r="M168" t="n">
        <v>0</v>
      </c>
      <c r="N168" t="n">
        <v>0</v>
      </c>
      <c r="O168" t="n">
        <v>0</v>
      </c>
      <c r="P168" t="n">
        <v>0</v>
      </c>
      <c r="Q168" t="n">
        <v>0</v>
      </c>
      <c r="R168" s="2" t="inlineStr"/>
    </row>
    <row r="169" ht="15" customHeight="1">
      <c r="A169" t="inlineStr">
        <is>
          <t>A 20349-2021</t>
        </is>
      </c>
      <c r="B169" s="1" t="n">
        <v>44315.41582175926</v>
      </c>
      <c r="C169" s="1" t="n">
        <v>45991</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27885-2025</t>
        </is>
      </c>
      <c r="B170" s="1" t="n">
        <v>45817.45034722222</v>
      </c>
      <c r="C170" s="1" t="n">
        <v>45991</v>
      </c>
      <c r="D170" t="inlineStr">
        <is>
          <t>DALARNAS LÄN</t>
        </is>
      </c>
      <c r="E170" t="inlineStr">
        <is>
          <t>ORSA</t>
        </is>
      </c>
      <c r="F170" t="inlineStr">
        <is>
          <t>Allmännings- och besparingsskogar</t>
        </is>
      </c>
      <c r="G170" t="n">
        <v>3.4</v>
      </c>
      <c r="H170" t="n">
        <v>0</v>
      </c>
      <c r="I170" t="n">
        <v>0</v>
      </c>
      <c r="J170" t="n">
        <v>0</v>
      </c>
      <c r="K170" t="n">
        <v>0</v>
      </c>
      <c r="L170" t="n">
        <v>0</v>
      </c>
      <c r="M170" t="n">
        <v>0</v>
      </c>
      <c r="N170" t="n">
        <v>0</v>
      </c>
      <c r="O170" t="n">
        <v>0</v>
      </c>
      <c r="P170" t="n">
        <v>0</v>
      </c>
      <c r="Q170" t="n">
        <v>0</v>
      </c>
      <c r="R170" s="2" t="inlineStr"/>
    </row>
    <row r="171" ht="15" customHeight="1">
      <c r="A171" t="inlineStr">
        <is>
          <t>A 27987-2025</t>
        </is>
      </c>
      <c r="B171" s="1" t="n">
        <v>45817.58361111111</v>
      </c>
      <c r="C171" s="1" t="n">
        <v>45991</v>
      </c>
      <c r="D171" t="inlineStr">
        <is>
          <t>DALARNAS LÄN</t>
        </is>
      </c>
      <c r="E171" t="inlineStr">
        <is>
          <t>ORSA</t>
        </is>
      </c>
      <c r="F171" t="inlineStr">
        <is>
          <t>Allmännings- och besparingsskogar</t>
        </is>
      </c>
      <c r="G171" t="n">
        <v>2.5</v>
      </c>
      <c r="H171" t="n">
        <v>0</v>
      </c>
      <c r="I171" t="n">
        <v>0</v>
      </c>
      <c r="J171" t="n">
        <v>0</v>
      </c>
      <c r="K171" t="n">
        <v>0</v>
      </c>
      <c r="L171" t="n">
        <v>0</v>
      </c>
      <c r="M171" t="n">
        <v>0</v>
      </c>
      <c r="N171" t="n">
        <v>0</v>
      </c>
      <c r="O171" t="n">
        <v>0</v>
      </c>
      <c r="P171" t="n">
        <v>0</v>
      </c>
      <c r="Q171" t="n">
        <v>0</v>
      </c>
      <c r="R171" s="2" t="inlineStr"/>
    </row>
    <row r="172" ht="15" customHeight="1">
      <c r="A172" t="inlineStr">
        <is>
          <t>A 8579-2025</t>
        </is>
      </c>
      <c r="B172" s="1" t="n">
        <v>45709</v>
      </c>
      <c r="C172" s="1" t="n">
        <v>45991</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33673-2023</t>
        </is>
      </c>
      <c r="B173" s="1" t="n">
        <v>45132</v>
      </c>
      <c r="C173" s="1" t="n">
        <v>45991</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24083-2021</t>
        </is>
      </c>
      <c r="B174" s="1" t="n">
        <v>44336</v>
      </c>
      <c r="C174" s="1" t="n">
        <v>45991</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28207-2025</t>
        </is>
      </c>
      <c r="B175" s="1" t="n">
        <v>45818.44871527778</v>
      </c>
      <c r="C175" s="1" t="n">
        <v>45991</v>
      </c>
      <c r="D175" t="inlineStr">
        <is>
          <t>DALARNAS LÄN</t>
        </is>
      </c>
      <c r="E175" t="inlineStr">
        <is>
          <t>ORSA</t>
        </is>
      </c>
      <c r="F175" t="inlineStr">
        <is>
          <t>Bergvik skog öst AB</t>
        </is>
      </c>
      <c r="G175" t="n">
        <v>2.9</v>
      </c>
      <c r="H175" t="n">
        <v>0</v>
      </c>
      <c r="I175" t="n">
        <v>0</v>
      </c>
      <c r="J175" t="n">
        <v>0</v>
      </c>
      <c r="K175" t="n">
        <v>0</v>
      </c>
      <c r="L175" t="n">
        <v>0</v>
      </c>
      <c r="M175" t="n">
        <v>0</v>
      </c>
      <c r="N175" t="n">
        <v>0</v>
      </c>
      <c r="O175" t="n">
        <v>0</v>
      </c>
      <c r="P175" t="n">
        <v>0</v>
      </c>
      <c r="Q175" t="n">
        <v>0</v>
      </c>
      <c r="R175" s="2" t="inlineStr"/>
    </row>
    <row r="176" ht="15" customHeight="1">
      <c r="A176" t="inlineStr">
        <is>
          <t>A 28635-2025</t>
        </is>
      </c>
      <c r="B176" s="1" t="n">
        <v>45819.63112268518</v>
      </c>
      <c r="C176" s="1" t="n">
        <v>45991</v>
      </c>
      <c r="D176" t="inlineStr">
        <is>
          <t>DALARNAS LÄN</t>
        </is>
      </c>
      <c r="E176" t="inlineStr">
        <is>
          <t>ORSA</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28317-2025</t>
        </is>
      </c>
      <c r="B177" s="1" t="n">
        <v>45818.6300462963</v>
      </c>
      <c r="C177" s="1" t="n">
        <v>45991</v>
      </c>
      <c r="D177" t="inlineStr">
        <is>
          <t>DALARNAS LÄN</t>
        </is>
      </c>
      <c r="E177" t="inlineStr">
        <is>
          <t>ORSA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22491-2025</t>
        </is>
      </c>
      <c r="B178" s="1" t="n">
        <v>45786.65040509259</v>
      </c>
      <c r="C178" s="1" t="n">
        <v>45991</v>
      </c>
      <c r="D178" t="inlineStr">
        <is>
          <t>DALARNAS LÄN</t>
        </is>
      </c>
      <c r="E178" t="inlineStr">
        <is>
          <t>ORSA</t>
        </is>
      </c>
      <c r="F178" t="inlineStr">
        <is>
          <t>Bergvik skog öst AB</t>
        </is>
      </c>
      <c r="G178" t="n">
        <v>5.7</v>
      </c>
      <c r="H178" t="n">
        <v>0</v>
      </c>
      <c r="I178" t="n">
        <v>0</v>
      </c>
      <c r="J178" t="n">
        <v>0</v>
      </c>
      <c r="K178" t="n">
        <v>0</v>
      </c>
      <c r="L178" t="n">
        <v>0</v>
      </c>
      <c r="M178" t="n">
        <v>0</v>
      </c>
      <c r="N178" t="n">
        <v>0</v>
      </c>
      <c r="O178" t="n">
        <v>0</v>
      </c>
      <c r="P178" t="n">
        <v>0</v>
      </c>
      <c r="Q178" t="n">
        <v>0</v>
      </c>
      <c r="R178" s="2" t="inlineStr"/>
    </row>
    <row r="179" ht="15" customHeight="1">
      <c r="A179" t="inlineStr">
        <is>
          <t>A 28609-2025</t>
        </is>
      </c>
      <c r="B179" s="1" t="n">
        <v>45819.60303240741</v>
      </c>
      <c r="C179" s="1" t="n">
        <v>45991</v>
      </c>
      <c r="D179" t="inlineStr">
        <is>
          <t>DALARNAS LÄN</t>
        </is>
      </c>
      <c r="E179" t="inlineStr">
        <is>
          <t>ORSA</t>
        </is>
      </c>
      <c r="F179" t="inlineStr">
        <is>
          <t>Bergvik skog öst AB</t>
        </is>
      </c>
      <c r="G179" t="n">
        <v>9.1</v>
      </c>
      <c r="H179" t="n">
        <v>0</v>
      </c>
      <c r="I179" t="n">
        <v>0</v>
      </c>
      <c r="J179" t="n">
        <v>0</v>
      </c>
      <c r="K179" t="n">
        <v>0</v>
      </c>
      <c r="L179" t="n">
        <v>0</v>
      </c>
      <c r="M179" t="n">
        <v>0</v>
      </c>
      <c r="N179" t="n">
        <v>0</v>
      </c>
      <c r="O179" t="n">
        <v>0</v>
      </c>
      <c r="P179" t="n">
        <v>0</v>
      </c>
      <c r="Q179" t="n">
        <v>0</v>
      </c>
      <c r="R179" s="2" t="inlineStr"/>
    </row>
    <row r="180" ht="15" customHeight="1">
      <c r="A180" t="inlineStr">
        <is>
          <t>A 28155-2023</t>
        </is>
      </c>
      <c r="B180" s="1" t="n">
        <v>45099</v>
      </c>
      <c r="C180" s="1" t="n">
        <v>45991</v>
      </c>
      <c r="D180" t="inlineStr">
        <is>
          <t>DALARNAS LÄN</t>
        </is>
      </c>
      <c r="E180" t="inlineStr">
        <is>
          <t>ORSA</t>
        </is>
      </c>
      <c r="F180" t="inlineStr">
        <is>
          <t>Bergvik skog öst AB</t>
        </is>
      </c>
      <c r="G180" t="n">
        <v>7.8</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45991</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51994-2023</t>
        </is>
      </c>
      <c r="B182" s="1" t="n">
        <v>45223.5884375</v>
      </c>
      <c r="C182" s="1" t="n">
        <v>45991</v>
      </c>
      <c r="D182" t="inlineStr">
        <is>
          <t>DALARNAS LÄN</t>
        </is>
      </c>
      <c r="E182" t="inlineStr">
        <is>
          <t>ORSA</t>
        </is>
      </c>
      <c r="G182" t="n">
        <v>10.7</v>
      </c>
      <c r="H182" t="n">
        <v>0</v>
      </c>
      <c r="I182" t="n">
        <v>0</v>
      </c>
      <c r="J182" t="n">
        <v>0</v>
      </c>
      <c r="K182" t="n">
        <v>0</v>
      </c>
      <c r="L182" t="n">
        <v>0</v>
      </c>
      <c r="M182" t="n">
        <v>0</v>
      </c>
      <c r="N182" t="n">
        <v>0</v>
      </c>
      <c r="O182" t="n">
        <v>0</v>
      </c>
      <c r="P182" t="n">
        <v>0</v>
      </c>
      <c r="Q182" t="n">
        <v>0</v>
      </c>
      <c r="R182" s="2" t="inlineStr"/>
    </row>
    <row r="183" ht="15" customHeight="1">
      <c r="A183" t="inlineStr">
        <is>
          <t>A 41927-2025</t>
        </is>
      </c>
      <c r="B183" s="1" t="n">
        <v>45903.4290625</v>
      </c>
      <c r="C183" s="1" t="n">
        <v>45991</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45991</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41666-2025</t>
        </is>
      </c>
      <c r="B185" s="1" t="n">
        <v>45902.35822916667</v>
      </c>
      <c r="C185" s="1" t="n">
        <v>45991</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41971-2025</t>
        </is>
      </c>
      <c r="B186" s="1" t="n">
        <v>45903.48930555556</v>
      </c>
      <c r="C186" s="1" t="n">
        <v>45991</v>
      </c>
      <c r="D186" t="inlineStr">
        <is>
          <t>DALARNAS LÄN</t>
        </is>
      </c>
      <c r="E186" t="inlineStr">
        <is>
          <t>ORSA</t>
        </is>
      </c>
      <c r="G186" t="n">
        <v>15.8</v>
      </c>
      <c r="H186" t="n">
        <v>0</v>
      </c>
      <c r="I186" t="n">
        <v>0</v>
      </c>
      <c r="J186" t="n">
        <v>0</v>
      </c>
      <c r="K186" t="n">
        <v>0</v>
      </c>
      <c r="L186" t="n">
        <v>0</v>
      </c>
      <c r="M186" t="n">
        <v>0</v>
      </c>
      <c r="N186" t="n">
        <v>0</v>
      </c>
      <c r="O186" t="n">
        <v>0</v>
      </c>
      <c r="P186" t="n">
        <v>0</v>
      </c>
      <c r="Q186" t="n">
        <v>0</v>
      </c>
      <c r="R186" s="2" t="inlineStr"/>
    </row>
    <row r="187" ht="15" customHeight="1">
      <c r="A187" t="inlineStr">
        <is>
          <t>A 28388-2024</t>
        </is>
      </c>
      <c r="B187" s="1" t="n">
        <v>45477.59960648148</v>
      </c>
      <c r="C187" s="1" t="n">
        <v>45991</v>
      </c>
      <c r="D187" t="inlineStr">
        <is>
          <t>DALARNAS LÄN</t>
        </is>
      </c>
      <c r="E187" t="inlineStr">
        <is>
          <t>ORSA</t>
        </is>
      </c>
      <c r="F187" t="inlineStr">
        <is>
          <t>Bergvik skog öst AB</t>
        </is>
      </c>
      <c r="G187" t="n">
        <v>3.8</v>
      </c>
      <c r="H187" t="n">
        <v>0</v>
      </c>
      <c r="I187" t="n">
        <v>0</v>
      </c>
      <c r="J187" t="n">
        <v>0</v>
      </c>
      <c r="K187" t="n">
        <v>0</v>
      </c>
      <c r="L187" t="n">
        <v>0</v>
      </c>
      <c r="M187" t="n">
        <v>0</v>
      </c>
      <c r="N187" t="n">
        <v>0</v>
      </c>
      <c r="O187" t="n">
        <v>0</v>
      </c>
      <c r="P187" t="n">
        <v>0</v>
      </c>
      <c r="Q187" t="n">
        <v>0</v>
      </c>
      <c r="R187" s="2" t="inlineStr"/>
    </row>
    <row r="188" ht="15" customHeight="1">
      <c r="A188" t="inlineStr">
        <is>
          <t>A 52903-2024</t>
        </is>
      </c>
      <c r="B188" s="1" t="n">
        <v>45610.6875462963</v>
      </c>
      <c r="C188" s="1" t="n">
        <v>45991</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27240-2025</t>
        </is>
      </c>
      <c r="B189" s="1" t="n">
        <v>45812.45170138889</v>
      </c>
      <c r="C189" s="1" t="n">
        <v>45991</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42226-2025</t>
        </is>
      </c>
      <c r="B190" s="1" t="n">
        <v>45904.53831018518</v>
      </c>
      <c r="C190" s="1" t="n">
        <v>45991</v>
      </c>
      <c r="D190" t="inlineStr">
        <is>
          <t>DALARNAS LÄN</t>
        </is>
      </c>
      <c r="E190" t="inlineStr">
        <is>
          <t>ORSA</t>
        </is>
      </c>
      <c r="F190" t="inlineStr">
        <is>
          <t>Allmännings- och besparingsskogar</t>
        </is>
      </c>
      <c r="G190" t="n">
        <v>18</v>
      </c>
      <c r="H190" t="n">
        <v>0</v>
      </c>
      <c r="I190" t="n">
        <v>0</v>
      </c>
      <c r="J190" t="n">
        <v>0</v>
      </c>
      <c r="K190" t="n">
        <v>0</v>
      </c>
      <c r="L190" t="n">
        <v>0</v>
      </c>
      <c r="M190" t="n">
        <v>0</v>
      </c>
      <c r="N190" t="n">
        <v>0</v>
      </c>
      <c r="O190" t="n">
        <v>0</v>
      </c>
      <c r="P190" t="n">
        <v>0</v>
      </c>
      <c r="Q190" t="n">
        <v>0</v>
      </c>
      <c r="R190" s="2" t="inlineStr"/>
    </row>
    <row r="191" ht="15" customHeight="1">
      <c r="A191" t="inlineStr">
        <is>
          <t>A 55280-2024</t>
        </is>
      </c>
      <c r="B191" s="1" t="n">
        <v>45621.62524305555</v>
      </c>
      <c r="C191" s="1" t="n">
        <v>45991</v>
      </c>
      <c r="D191" t="inlineStr">
        <is>
          <t>DALARNAS LÄN</t>
        </is>
      </c>
      <c r="E191" t="inlineStr">
        <is>
          <t>ORSA</t>
        </is>
      </c>
      <c r="G191" t="n">
        <v>2.3</v>
      </c>
      <c r="H191" t="n">
        <v>0</v>
      </c>
      <c r="I191" t="n">
        <v>0</v>
      </c>
      <c r="J191" t="n">
        <v>0</v>
      </c>
      <c r="K191" t="n">
        <v>0</v>
      </c>
      <c r="L191" t="n">
        <v>0</v>
      </c>
      <c r="M191" t="n">
        <v>0</v>
      </c>
      <c r="N191" t="n">
        <v>0</v>
      </c>
      <c r="O191" t="n">
        <v>0</v>
      </c>
      <c r="P191" t="n">
        <v>0</v>
      </c>
      <c r="Q191" t="n">
        <v>0</v>
      </c>
      <c r="R191" s="2" t="inlineStr"/>
    </row>
    <row r="192" ht="15" customHeight="1">
      <c r="A192" t="inlineStr">
        <is>
          <t>A 29933-2025</t>
        </is>
      </c>
      <c r="B192" s="1" t="n">
        <v>45826.44121527778</v>
      </c>
      <c r="C192" s="1" t="n">
        <v>45991</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29844-2025</t>
        </is>
      </c>
      <c r="B193" s="1" t="n">
        <v>45826</v>
      </c>
      <c r="C193" s="1" t="n">
        <v>45991</v>
      </c>
      <c r="D193" t="inlineStr">
        <is>
          <t>DALARNAS LÄN</t>
        </is>
      </c>
      <c r="E193" t="inlineStr">
        <is>
          <t>ORSA</t>
        </is>
      </c>
      <c r="F193" t="inlineStr">
        <is>
          <t>Allmännings- och besparingsskogar</t>
        </is>
      </c>
      <c r="G193" t="n">
        <v>53.9</v>
      </c>
      <c r="H193" t="n">
        <v>0</v>
      </c>
      <c r="I193" t="n">
        <v>0</v>
      </c>
      <c r="J193" t="n">
        <v>0</v>
      </c>
      <c r="K193" t="n">
        <v>0</v>
      </c>
      <c r="L193" t="n">
        <v>0</v>
      </c>
      <c r="M193" t="n">
        <v>0</v>
      </c>
      <c r="N193" t="n">
        <v>0</v>
      </c>
      <c r="O193" t="n">
        <v>0</v>
      </c>
      <c r="P193" t="n">
        <v>0</v>
      </c>
      <c r="Q193" t="n">
        <v>0</v>
      </c>
      <c r="R193" s="2" t="inlineStr"/>
    </row>
    <row r="194" ht="15" customHeight="1">
      <c r="A194" t="inlineStr">
        <is>
          <t>A 19024-2021</t>
        </is>
      </c>
      <c r="B194" s="1" t="n">
        <v>44308.5053587963</v>
      </c>
      <c r="C194" s="1" t="n">
        <v>45991</v>
      </c>
      <c r="D194" t="inlineStr">
        <is>
          <t>DALARNAS LÄN</t>
        </is>
      </c>
      <c r="E194" t="inlineStr">
        <is>
          <t>ORSA</t>
        </is>
      </c>
      <c r="G194" t="n">
        <v>1.7</v>
      </c>
      <c r="H194" t="n">
        <v>0</v>
      </c>
      <c r="I194" t="n">
        <v>0</v>
      </c>
      <c r="J194" t="n">
        <v>0</v>
      </c>
      <c r="K194" t="n">
        <v>0</v>
      </c>
      <c r="L194" t="n">
        <v>0</v>
      </c>
      <c r="M194" t="n">
        <v>0</v>
      </c>
      <c r="N194" t="n">
        <v>0</v>
      </c>
      <c r="O194" t="n">
        <v>0</v>
      </c>
      <c r="P194" t="n">
        <v>0</v>
      </c>
      <c r="Q194" t="n">
        <v>0</v>
      </c>
      <c r="R194" s="2" t="inlineStr"/>
    </row>
    <row r="195" ht="15" customHeight="1">
      <c r="A195" t="inlineStr">
        <is>
          <t>A 25761-2021</t>
        </is>
      </c>
      <c r="B195" s="1" t="n">
        <v>44343</v>
      </c>
      <c r="C195" s="1" t="n">
        <v>45991</v>
      </c>
      <c r="D195" t="inlineStr">
        <is>
          <t>DALARNAS LÄN</t>
        </is>
      </c>
      <c r="E195" t="inlineStr">
        <is>
          <t>ORSA</t>
        </is>
      </c>
      <c r="G195" t="n">
        <v>3.4</v>
      </c>
      <c r="H195" t="n">
        <v>0</v>
      </c>
      <c r="I195" t="n">
        <v>0</v>
      </c>
      <c r="J195" t="n">
        <v>0</v>
      </c>
      <c r="K195" t="n">
        <v>0</v>
      </c>
      <c r="L195" t="n">
        <v>0</v>
      </c>
      <c r="M195" t="n">
        <v>0</v>
      </c>
      <c r="N195" t="n">
        <v>0</v>
      </c>
      <c r="O195" t="n">
        <v>0</v>
      </c>
      <c r="P195" t="n">
        <v>0</v>
      </c>
      <c r="Q195" t="n">
        <v>0</v>
      </c>
      <c r="R195" s="2" t="inlineStr"/>
    </row>
    <row r="196" ht="15" customHeight="1">
      <c r="A196" t="inlineStr">
        <is>
          <t>A 50392-2024</t>
        </is>
      </c>
      <c r="B196" s="1" t="n">
        <v>45601.33789351852</v>
      </c>
      <c r="C196" s="1" t="n">
        <v>45991</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21301-2023</t>
        </is>
      </c>
      <c r="B197" s="1" t="n">
        <v>45062.66613425926</v>
      </c>
      <c r="C197" s="1" t="n">
        <v>45991</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10374-2023</t>
        </is>
      </c>
      <c r="B198" s="1" t="n">
        <v>44987.41359953704</v>
      </c>
      <c r="C198" s="1" t="n">
        <v>45991</v>
      </c>
      <c r="D198" t="inlineStr">
        <is>
          <t>DALARNAS LÄN</t>
        </is>
      </c>
      <c r="E198" t="inlineStr">
        <is>
          <t>ORSA</t>
        </is>
      </c>
      <c r="G198" t="n">
        <v>1.8</v>
      </c>
      <c r="H198" t="n">
        <v>0</v>
      </c>
      <c r="I198" t="n">
        <v>0</v>
      </c>
      <c r="J198" t="n">
        <v>0</v>
      </c>
      <c r="K198" t="n">
        <v>0</v>
      </c>
      <c r="L198" t="n">
        <v>0</v>
      </c>
      <c r="M198" t="n">
        <v>0</v>
      </c>
      <c r="N198" t="n">
        <v>0</v>
      </c>
      <c r="O198" t="n">
        <v>0</v>
      </c>
      <c r="P198" t="n">
        <v>0</v>
      </c>
      <c r="Q198" t="n">
        <v>0</v>
      </c>
      <c r="R198" s="2" t="inlineStr"/>
    </row>
    <row r="199" ht="15" customHeight="1">
      <c r="A199" t="inlineStr">
        <is>
          <t>A 28923-2024</t>
        </is>
      </c>
      <c r="B199" s="1" t="n">
        <v>45481</v>
      </c>
      <c r="C199" s="1" t="n">
        <v>45991</v>
      </c>
      <c r="D199" t="inlineStr">
        <is>
          <t>DALARNAS LÄN</t>
        </is>
      </c>
      <c r="E199" t="inlineStr">
        <is>
          <t>ORSA</t>
        </is>
      </c>
      <c r="F199" t="inlineStr">
        <is>
          <t>Allmännings- och besparingsskogar</t>
        </is>
      </c>
      <c r="G199" t="n">
        <v>13.9</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45991</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15113-2025</t>
        </is>
      </c>
      <c r="B201" s="1" t="n">
        <v>45744.36179398148</v>
      </c>
      <c r="C201" s="1" t="n">
        <v>45991</v>
      </c>
      <c r="D201" t="inlineStr">
        <is>
          <t>DALARNAS LÄN</t>
        </is>
      </c>
      <c r="E201" t="inlineStr">
        <is>
          <t>ORSA</t>
        </is>
      </c>
      <c r="F201" t="inlineStr">
        <is>
          <t>Allmännings- och besparingsskogar</t>
        </is>
      </c>
      <c r="G201" t="n">
        <v>3.3</v>
      </c>
      <c r="H201" t="n">
        <v>0</v>
      </c>
      <c r="I201" t="n">
        <v>0</v>
      </c>
      <c r="J201" t="n">
        <v>0</v>
      </c>
      <c r="K201" t="n">
        <v>0</v>
      </c>
      <c r="L201" t="n">
        <v>0</v>
      </c>
      <c r="M201" t="n">
        <v>0</v>
      </c>
      <c r="N201" t="n">
        <v>0</v>
      </c>
      <c r="O201" t="n">
        <v>0</v>
      </c>
      <c r="P201" t="n">
        <v>0</v>
      </c>
      <c r="Q201" t="n">
        <v>0</v>
      </c>
      <c r="R201" s="2" t="inlineStr"/>
    </row>
    <row r="202" ht="15" customHeight="1">
      <c r="A202" t="inlineStr">
        <is>
          <t>A 19932-2021</t>
        </is>
      </c>
      <c r="B202" s="1" t="n">
        <v>44313.60207175926</v>
      </c>
      <c r="C202" s="1" t="n">
        <v>45991</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31365-2025</t>
        </is>
      </c>
      <c r="B203" s="1" t="n">
        <v>45833.43884259259</v>
      </c>
      <c r="C203" s="1" t="n">
        <v>45991</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51340-2025</t>
        </is>
      </c>
      <c r="B204" s="1" t="n">
        <v>45950.42725694444</v>
      </c>
      <c r="C204" s="1" t="n">
        <v>45991</v>
      </c>
      <c r="D204" t="inlineStr">
        <is>
          <t>DALARNAS LÄN</t>
        </is>
      </c>
      <c r="E204" t="inlineStr">
        <is>
          <t>ORSA</t>
        </is>
      </c>
      <c r="F204" t="inlineStr">
        <is>
          <t>Allmännings- och besparingsskogar</t>
        </is>
      </c>
      <c r="G204" t="n">
        <v>14.1</v>
      </c>
      <c r="H204" t="n">
        <v>0</v>
      </c>
      <c r="I204" t="n">
        <v>0</v>
      </c>
      <c r="J204" t="n">
        <v>0</v>
      </c>
      <c r="K204" t="n">
        <v>0</v>
      </c>
      <c r="L204" t="n">
        <v>0</v>
      </c>
      <c r="M204" t="n">
        <v>0</v>
      </c>
      <c r="N204" t="n">
        <v>0</v>
      </c>
      <c r="O204" t="n">
        <v>0</v>
      </c>
      <c r="P204" t="n">
        <v>0</v>
      </c>
      <c r="Q204" t="n">
        <v>0</v>
      </c>
      <c r="R204" s="2" t="inlineStr"/>
    </row>
    <row r="205" ht="15" customHeight="1">
      <c r="A205" t="inlineStr">
        <is>
          <t>A 47732-2022</t>
        </is>
      </c>
      <c r="B205" s="1" t="n">
        <v>44854.63668981481</v>
      </c>
      <c r="C205" s="1" t="n">
        <v>45991</v>
      </c>
      <c r="D205" t="inlineStr">
        <is>
          <t>DALARNAS LÄN</t>
        </is>
      </c>
      <c r="E205" t="inlineStr">
        <is>
          <t>ORSA</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36089-2023</t>
        </is>
      </c>
      <c r="B206" s="1" t="n">
        <v>45149.51068287037</v>
      </c>
      <c r="C206" s="1" t="n">
        <v>45991</v>
      </c>
      <c r="D206" t="inlineStr">
        <is>
          <t>DALARNAS LÄN</t>
        </is>
      </c>
      <c r="E206" t="inlineStr">
        <is>
          <t>ORSA</t>
        </is>
      </c>
      <c r="F206" t="inlineStr">
        <is>
          <t>Allmännings- och besparingsskogar</t>
        </is>
      </c>
      <c r="G206" t="n">
        <v>1.2</v>
      </c>
      <c r="H206" t="n">
        <v>0</v>
      </c>
      <c r="I206" t="n">
        <v>0</v>
      </c>
      <c r="J206" t="n">
        <v>0</v>
      </c>
      <c r="K206" t="n">
        <v>0</v>
      </c>
      <c r="L206" t="n">
        <v>0</v>
      </c>
      <c r="M206" t="n">
        <v>0</v>
      </c>
      <c r="N206" t="n">
        <v>0</v>
      </c>
      <c r="O206" t="n">
        <v>0</v>
      </c>
      <c r="P206" t="n">
        <v>0</v>
      </c>
      <c r="Q206" t="n">
        <v>0</v>
      </c>
      <c r="R206" s="2" t="inlineStr"/>
    </row>
    <row r="207" ht="15" customHeight="1">
      <c r="A207" t="inlineStr">
        <is>
          <t>A 51551-2025</t>
        </is>
      </c>
      <c r="B207" s="1" t="n">
        <v>45950.84275462963</v>
      </c>
      <c r="C207" s="1" t="n">
        <v>45991</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51334-2025</t>
        </is>
      </c>
      <c r="B208" s="1" t="n">
        <v>45950.42378472222</v>
      </c>
      <c r="C208" s="1" t="n">
        <v>45991</v>
      </c>
      <c r="D208" t="inlineStr">
        <is>
          <t>DALARNAS LÄN</t>
        </is>
      </c>
      <c r="E208" t="inlineStr">
        <is>
          <t>ORSA</t>
        </is>
      </c>
      <c r="G208" t="n">
        <v>1.8</v>
      </c>
      <c r="H208" t="n">
        <v>0</v>
      </c>
      <c r="I208" t="n">
        <v>0</v>
      </c>
      <c r="J208" t="n">
        <v>0</v>
      </c>
      <c r="K208" t="n">
        <v>0</v>
      </c>
      <c r="L208" t="n">
        <v>0</v>
      </c>
      <c r="M208" t="n">
        <v>0</v>
      </c>
      <c r="N208" t="n">
        <v>0</v>
      </c>
      <c r="O208" t="n">
        <v>0</v>
      </c>
      <c r="P208" t="n">
        <v>0</v>
      </c>
      <c r="Q208" t="n">
        <v>0</v>
      </c>
      <c r="R208" s="2" t="inlineStr"/>
    </row>
    <row r="209" ht="15" customHeight="1">
      <c r="A209" t="inlineStr">
        <is>
          <t>A 112-2021</t>
        </is>
      </c>
      <c r="B209" s="1" t="n">
        <v>44200</v>
      </c>
      <c r="C209" s="1" t="n">
        <v>45991</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31634-2025</t>
        </is>
      </c>
      <c r="B210" s="1" t="n">
        <v>45834</v>
      </c>
      <c r="C210" s="1" t="n">
        <v>45991</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31659-2025</t>
        </is>
      </c>
      <c r="B211" s="1" t="n">
        <v>45834.35421296296</v>
      </c>
      <c r="C211" s="1" t="n">
        <v>45991</v>
      </c>
      <c r="D211" t="inlineStr">
        <is>
          <t>DALARNAS LÄN</t>
        </is>
      </c>
      <c r="E211" t="inlineStr">
        <is>
          <t>ORSA</t>
        </is>
      </c>
      <c r="G211" t="n">
        <v>1.4</v>
      </c>
      <c r="H211" t="n">
        <v>0</v>
      </c>
      <c r="I211" t="n">
        <v>0</v>
      </c>
      <c r="J211" t="n">
        <v>0</v>
      </c>
      <c r="K211" t="n">
        <v>0</v>
      </c>
      <c r="L211" t="n">
        <v>0</v>
      </c>
      <c r="M211" t="n">
        <v>0</v>
      </c>
      <c r="N211" t="n">
        <v>0</v>
      </c>
      <c r="O211" t="n">
        <v>0</v>
      </c>
      <c r="P211" t="n">
        <v>0</v>
      </c>
      <c r="Q211" t="n">
        <v>0</v>
      </c>
      <c r="R211" s="2" t="inlineStr"/>
    </row>
    <row r="212" ht="15" customHeight="1">
      <c r="A212" t="inlineStr">
        <is>
          <t>A 3107-2025</t>
        </is>
      </c>
      <c r="B212" s="1" t="n">
        <v>45678.68400462963</v>
      </c>
      <c r="C212" s="1" t="n">
        <v>45991</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52912-2023</t>
        </is>
      </c>
      <c r="B213" s="1" t="n">
        <v>45226.51766203704</v>
      </c>
      <c r="C213" s="1" t="n">
        <v>45991</v>
      </c>
      <c r="D213" t="inlineStr">
        <is>
          <t>DALARNAS LÄN</t>
        </is>
      </c>
      <c r="E213" t="inlineStr">
        <is>
          <t>ORSA</t>
        </is>
      </c>
      <c r="G213" t="n">
        <v>10.9</v>
      </c>
      <c r="H213" t="n">
        <v>0</v>
      </c>
      <c r="I213" t="n">
        <v>0</v>
      </c>
      <c r="J213" t="n">
        <v>0</v>
      </c>
      <c r="K213" t="n">
        <v>0</v>
      </c>
      <c r="L213" t="n">
        <v>0</v>
      </c>
      <c r="M213" t="n">
        <v>0</v>
      </c>
      <c r="N213" t="n">
        <v>0</v>
      </c>
      <c r="O213" t="n">
        <v>0</v>
      </c>
      <c r="P213" t="n">
        <v>0</v>
      </c>
      <c r="Q213" t="n">
        <v>0</v>
      </c>
      <c r="R213" s="2" t="inlineStr"/>
    </row>
    <row r="214" ht="15" customHeight="1">
      <c r="A214" t="inlineStr">
        <is>
          <t>A 32325-2025</t>
        </is>
      </c>
      <c r="B214" s="1" t="n">
        <v>45836</v>
      </c>
      <c r="C214" s="1" t="n">
        <v>45991</v>
      </c>
      <c r="D214" t="inlineStr">
        <is>
          <t>DALARNAS LÄN</t>
        </is>
      </c>
      <c r="E214" t="inlineStr">
        <is>
          <t>ORSA</t>
        </is>
      </c>
      <c r="G214" t="n">
        <v>3.8</v>
      </c>
      <c r="H214" t="n">
        <v>0</v>
      </c>
      <c r="I214" t="n">
        <v>0</v>
      </c>
      <c r="J214" t="n">
        <v>0</v>
      </c>
      <c r="K214" t="n">
        <v>0</v>
      </c>
      <c r="L214" t="n">
        <v>0</v>
      </c>
      <c r="M214" t="n">
        <v>0</v>
      </c>
      <c r="N214" t="n">
        <v>0</v>
      </c>
      <c r="O214" t="n">
        <v>0</v>
      </c>
      <c r="P214" t="n">
        <v>0</v>
      </c>
      <c r="Q214" t="n">
        <v>0</v>
      </c>
      <c r="R214" s="2" t="inlineStr"/>
    </row>
    <row r="215" ht="15" customHeight="1">
      <c r="A215" t="inlineStr">
        <is>
          <t>A 45272-2022</t>
        </is>
      </c>
      <c r="B215" s="1" t="n">
        <v>44844</v>
      </c>
      <c r="C215" s="1" t="n">
        <v>45991</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32984-2025</t>
        </is>
      </c>
      <c r="B216" s="1" t="n">
        <v>45839.93006944445</v>
      </c>
      <c r="C216" s="1" t="n">
        <v>45991</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32985-2025</t>
        </is>
      </c>
      <c r="B217" s="1" t="n">
        <v>45839.93033564815</v>
      </c>
      <c r="C217" s="1" t="n">
        <v>45991</v>
      </c>
      <c r="D217" t="inlineStr">
        <is>
          <t>DALARNAS LÄN</t>
        </is>
      </c>
      <c r="E217" t="inlineStr">
        <is>
          <t>ORSA</t>
        </is>
      </c>
      <c r="G217" t="n">
        <v>1.6</v>
      </c>
      <c r="H217" t="n">
        <v>0</v>
      </c>
      <c r="I217" t="n">
        <v>0</v>
      </c>
      <c r="J217" t="n">
        <v>0</v>
      </c>
      <c r="K217" t="n">
        <v>0</v>
      </c>
      <c r="L217" t="n">
        <v>0</v>
      </c>
      <c r="M217" t="n">
        <v>0</v>
      </c>
      <c r="N217" t="n">
        <v>0</v>
      </c>
      <c r="O217" t="n">
        <v>0</v>
      </c>
      <c r="P217" t="n">
        <v>0</v>
      </c>
      <c r="Q217" t="n">
        <v>0</v>
      </c>
      <c r="R217" s="2" t="inlineStr"/>
    </row>
    <row r="218" ht="15" customHeight="1">
      <c r="A218" t="inlineStr">
        <is>
          <t>A 52485-2025</t>
        </is>
      </c>
      <c r="B218" s="1" t="n">
        <v>45954.47804398148</v>
      </c>
      <c r="C218" s="1" t="n">
        <v>45991</v>
      </c>
      <c r="D218" t="inlineStr">
        <is>
          <t>DALARNAS LÄN</t>
        </is>
      </c>
      <c r="E218" t="inlineStr">
        <is>
          <t>ORSA</t>
        </is>
      </c>
      <c r="G218" t="n">
        <v>1.7</v>
      </c>
      <c r="H218" t="n">
        <v>0</v>
      </c>
      <c r="I218" t="n">
        <v>0</v>
      </c>
      <c r="J218" t="n">
        <v>0</v>
      </c>
      <c r="K218" t="n">
        <v>0</v>
      </c>
      <c r="L218" t="n">
        <v>0</v>
      </c>
      <c r="M218" t="n">
        <v>0</v>
      </c>
      <c r="N218" t="n">
        <v>0</v>
      </c>
      <c r="O218" t="n">
        <v>0</v>
      </c>
      <c r="P218" t="n">
        <v>0</v>
      </c>
      <c r="Q218" t="n">
        <v>0</v>
      </c>
      <c r="R218" s="2" t="inlineStr"/>
    </row>
    <row r="219" ht="15" customHeight="1">
      <c r="A219" t="inlineStr">
        <is>
          <t>A 44119-2025</t>
        </is>
      </c>
      <c r="B219" s="1" t="n">
        <v>45915.57738425926</v>
      </c>
      <c r="C219" s="1" t="n">
        <v>45991</v>
      </c>
      <c r="D219" t="inlineStr">
        <is>
          <t>DALARNAS LÄN</t>
        </is>
      </c>
      <c r="E219" t="inlineStr">
        <is>
          <t>ORSA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44121-2025</t>
        </is>
      </c>
      <c r="B220" s="1" t="n">
        <v>45915.57792824074</v>
      </c>
      <c r="C220" s="1" t="n">
        <v>45991</v>
      </c>
      <c r="D220" t="inlineStr">
        <is>
          <t>DALARNAS LÄN</t>
        </is>
      </c>
      <c r="E220" t="inlineStr">
        <is>
          <t>ORSA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33158-2025</t>
        </is>
      </c>
      <c r="B221" s="1" t="n">
        <v>45840</v>
      </c>
      <c r="C221" s="1" t="n">
        <v>45991</v>
      </c>
      <c r="D221" t="inlineStr">
        <is>
          <t>DALARNAS LÄN</t>
        </is>
      </c>
      <c r="E221" t="inlineStr">
        <is>
          <t>ORSA</t>
        </is>
      </c>
      <c r="F221" t="inlineStr">
        <is>
          <t>Bergvik skog öst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33394-2025</t>
        </is>
      </c>
      <c r="B222" s="1" t="n">
        <v>45841.41704861111</v>
      </c>
      <c r="C222" s="1" t="n">
        <v>45991</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33059-2025</t>
        </is>
      </c>
      <c r="B223" s="1" t="n">
        <v>45840.43072916667</v>
      </c>
      <c r="C223" s="1" t="n">
        <v>45991</v>
      </c>
      <c r="D223" t="inlineStr">
        <is>
          <t>DALARNAS LÄN</t>
        </is>
      </c>
      <c r="E223" t="inlineStr">
        <is>
          <t>ORSA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33265-2021</t>
        </is>
      </c>
      <c r="B224" s="1" t="n">
        <v>44377</v>
      </c>
      <c r="C224" s="1" t="n">
        <v>45991</v>
      </c>
      <c r="D224" t="inlineStr">
        <is>
          <t>DALARNAS LÄN</t>
        </is>
      </c>
      <c r="E224" t="inlineStr">
        <is>
          <t>ORSA</t>
        </is>
      </c>
      <c r="G224" t="n">
        <v>1.9</v>
      </c>
      <c r="H224" t="n">
        <v>0</v>
      </c>
      <c r="I224" t="n">
        <v>0</v>
      </c>
      <c r="J224" t="n">
        <v>0</v>
      </c>
      <c r="K224" t="n">
        <v>0</v>
      </c>
      <c r="L224" t="n">
        <v>0</v>
      </c>
      <c r="M224" t="n">
        <v>0</v>
      </c>
      <c r="N224" t="n">
        <v>0</v>
      </c>
      <c r="O224" t="n">
        <v>0</v>
      </c>
      <c r="P224" t="n">
        <v>0</v>
      </c>
      <c r="Q224" t="n">
        <v>0</v>
      </c>
      <c r="R224" s="2" t="inlineStr"/>
    </row>
    <row r="225" ht="15" customHeight="1">
      <c r="A225" t="inlineStr">
        <is>
          <t>A 33209-2025</t>
        </is>
      </c>
      <c r="B225" s="1" t="n">
        <v>45840.62648148148</v>
      </c>
      <c r="C225" s="1" t="n">
        <v>45991</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44053-2025</t>
        </is>
      </c>
      <c r="B226" s="1" t="n">
        <v>45915.51239583334</v>
      </c>
      <c r="C226" s="1" t="n">
        <v>45991</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58842-2024</t>
        </is>
      </c>
      <c r="B227" s="1" t="n">
        <v>45636.3859837963</v>
      </c>
      <c r="C227" s="1" t="n">
        <v>45991</v>
      </c>
      <c r="D227" t="inlineStr">
        <is>
          <t>DALARNAS LÄN</t>
        </is>
      </c>
      <c r="E227" t="inlineStr">
        <is>
          <t>ORSA</t>
        </is>
      </c>
      <c r="G227" t="n">
        <v>2.8</v>
      </c>
      <c r="H227" t="n">
        <v>0</v>
      </c>
      <c r="I227" t="n">
        <v>0</v>
      </c>
      <c r="J227" t="n">
        <v>0</v>
      </c>
      <c r="K227" t="n">
        <v>0</v>
      </c>
      <c r="L227" t="n">
        <v>0</v>
      </c>
      <c r="M227" t="n">
        <v>0</v>
      </c>
      <c r="N227" t="n">
        <v>0</v>
      </c>
      <c r="O227" t="n">
        <v>0</v>
      </c>
      <c r="P227" t="n">
        <v>0</v>
      </c>
      <c r="Q227" t="n">
        <v>0</v>
      </c>
      <c r="R227" s="2" t="inlineStr"/>
    </row>
    <row r="228" ht="15" customHeight="1">
      <c r="A228" t="inlineStr">
        <is>
          <t>A 33214-2025</t>
        </is>
      </c>
      <c r="B228" s="1" t="n">
        <v>45840.6295949074</v>
      </c>
      <c r="C228" s="1" t="n">
        <v>45991</v>
      </c>
      <c r="D228" t="inlineStr">
        <is>
          <t>DALARNAS LÄN</t>
        </is>
      </c>
      <c r="E228" t="inlineStr">
        <is>
          <t>ORSA</t>
        </is>
      </c>
      <c r="G228" t="n">
        <v>0.7</v>
      </c>
      <c r="H228" t="n">
        <v>0</v>
      </c>
      <c r="I228" t="n">
        <v>0</v>
      </c>
      <c r="J228" t="n">
        <v>0</v>
      </c>
      <c r="K228" t="n">
        <v>0</v>
      </c>
      <c r="L228" t="n">
        <v>0</v>
      </c>
      <c r="M228" t="n">
        <v>0</v>
      </c>
      <c r="N228" t="n">
        <v>0</v>
      </c>
      <c r="O228" t="n">
        <v>0</v>
      </c>
      <c r="P228" t="n">
        <v>0</v>
      </c>
      <c r="Q228" t="n">
        <v>0</v>
      </c>
      <c r="R228" s="2" t="inlineStr"/>
    </row>
    <row r="229" ht="15" customHeight="1">
      <c r="A229" t="inlineStr">
        <is>
          <t>A 43965-2025</t>
        </is>
      </c>
      <c r="B229" s="1" t="n">
        <v>45915.40027777778</v>
      </c>
      <c r="C229" s="1" t="n">
        <v>45991</v>
      </c>
      <c r="D229" t="inlineStr">
        <is>
          <t>DALARNAS LÄN</t>
        </is>
      </c>
      <c r="E229" t="inlineStr">
        <is>
          <t>ORSA</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45991</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44129-2025</t>
        </is>
      </c>
      <c r="B231" s="1" t="n">
        <v>45915.58392361111</v>
      </c>
      <c r="C231" s="1" t="n">
        <v>45991</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48447-2023</t>
        </is>
      </c>
      <c r="B232" s="1" t="n">
        <v>45206.39274305556</v>
      </c>
      <c r="C232" s="1" t="n">
        <v>45991</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33374-2025</t>
        </is>
      </c>
      <c r="B233" s="1" t="n">
        <v>45841.39582175926</v>
      </c>
      <c r="C233" s="1" t="n">
        <v>45991</v>
      </c>
      <c r="D233" t="inlineStr">
        <is>
          <t>DALARNAS LÄN</t>
        </is>
      </c>
      <c r="E233" t="inlineStr">
        <is>
          <t>ORSA</t>
        </is>
      </c>
      <c r="G233" t="n">
        <v>1</v>
      </c>
      <c r="H233" t="n">
        <v>0</v>
      </c>
      <c r="I233" t="n">
        <v>0</v>
      </c>
      <c r="J233" t="n">
        <v>0</v>
      </c>
      <c r="K233" t="n">
        <v>0</v>
      </c>
      <c r="L233" t="n">
        <v>0</v>
      </c>
      <c r="M233" t="n">
        <v>0</v>
      </c>
      <c r="N233" t="n">
        <v>0</v>
      </c>
      <c r="O233" t="n">
        <v>0</v>
      </c>
      <c r="P233" t="n">
        <v>0</v>
      </c>
      <c r="Q233" t="n">
        <v>0</v>
      </c>
      <c r="R233" s="2" t="inlineStr"/>
    </row>
    <row r="234" ht="15" customHeight="1">
      <c r="A234" t="inlineStr">
        <is>
          <t>A 17508-2025</t>
        </is>
      </c>
      <c r="B234" s="1" t="n">
        <v>45757.55929398148</v>
      </c>
      <c r="C234" s="1" t="n">
        <v>45991</v>
      </c>
      <c r="D234" t="inlineStr">
        <is>
          <t>DALARNAS LÄN</t>
        </is>
      </c>
      <c r="E234" t="inlineStr">
        <is>
          <t>ORSA</t>
        </is>
      </c>
      <c r="F234" t="inlineStr">
        <is>
          <t>Bergvik skog öst AB</t>
        </is>
      </c>
      <c r="G234" t="n">
        <v>9.4</v>
      </c>
      <c r="H234" t="n">
        <v>0</v>
      </c>
      <c r="I234" t="n">
        <v>0</v>
      </c>
      <c r="J234" t="n">
        <v>0</v>
      </c>
      <c r="K234" t="n">
        <v>0</v>
      </c>
      <c r="L234" t="n">
        <v>0</v>
      </c>
      <c r="M234" t="n">
        <v>0</v>
      </c>
      <c r="N234" t="n">
        <v>0</v>
      </c>
      <c r="O234" t="n">
        <v>0</v>
      </c>
      <c r="P234" t="n">
        <v>0</v>
      </c>
      <c r="Q234" t="n">
        <v>0</v>
      </c>
      <c r="R234" s="2" t="inlineStr"/>
    </row>
    <row r="235" ht="15" customHeight="1">
      <c r="A235" t="inlineStr">
        <is>
          <t>A 52686-2025</t>
        </is>
      </c>
      <c r="B235" s="1" t="n">
        <v>45956.3562037037</v>
      </c>
      <c r="C235" s="1" t="n">
        <v>45991</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43967-2025</t>
        </is>
      </c>
      <c r="B236" s="1" t="n">
        <v>45915.40188657407</v>
      </c>
      <c r="C236" s="1" t="n">
        <v>45991</v>
      </c>
      <c r="D236" t="inlineStr">
        <is>
          <t>DALARNAS LÄN</t>
        </is>
      </c>
      <c r="E236" t="inlineStr">
        <is>
          <t>ORSA</t>
        </is>
      </c>
      <c r="F236" t="inlineStr">
        <is>
          <t>Allmännings- och besparingsskogar</t>
        </is>
      </c>
      <c r="G236" t="n">
        <v>8.4</v>
      </c>
      <c r="H236" t="n">
        <v>0</v>
      </c>
      <c r="I236" t="n">
        <v>0</v>
      </c>
      <c r="J236" t="n">
        <v>0</v>
      </c>
      <c r="K236" t="n">
        <v>0</v>
      </c>
      <c r="L236" t="n">
        <v>0</v>
      </c>
      <c r="M236" t="n">
        <v>0</v>
      </c>
      <c r="N236" t="n">
        <v>0</v>
      </c>
      <c r="O236" t="n">
        <v>0</v>
      </c>
      <c r="P236" t="n">
        <v>0</v>
      </c>
      <c r="Q236" t="n">
        <v>0</v>
      </c>
      <c r="R236" s="2" t="inlineStr"/>
    </row>
    <row r="237" ht="15" customHeight="1">
      <c r="A237" t="inlineStr">
        <is>
          <t>A 3720-2023</t>
        </is>
      </c>
      <c r="B237" s="1" t="n">
        <v>44951.36688657408</v>
      </c>
      <c r="C237" s="1" t="n">
        <v>45991</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43778-2025</t>
        </is>
      </c>
      <c r="B238" s="1" t="n">
        <v>45912.5147337963</v>
      </c>
      <c r="C238" s="1" t="n">
        <v>45991</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62342-2023</t>
        </is>
      </c>
      <c r="B239" s="1" t="n">
        <v>45267.9268287037</v>
      </c>
      <c r="C239" s="1" t="n">
        <v>45991</v>
      </c>
      <c r="D239" t="inlineStr">
        <is>
          <t>DALARNAS LÄN</t>
        </is>
      </c>
      <c r="E239" t="inlineStr">
        <is>
          <t>ORSA</t>
        </is>
      </c>
      <c r="G239" t="n">
        <v>2.5</v>
      </c>
      <c r="H239" t="n">
        <v>0</v>
      </c>
      <c r="I239" t="n">
        <v>0</v>
      </c>
      <c r="J239" t="n">
        <v>0</v>
      </c>
      <c r="K239" t="n">
        <v>0</v>
      </c>
      <c r="L239" t="n">
        <v>0</v>
      </c>
      <c r="M239" t="n">
        <v>0</v>
      </c>
      <c r="N239" t="n">
        <v>0</v>
      </c>
      <c r="O239" t="n">
        <v>0</v>
      </c>
      <c r="P239" t="n">
        <v>0</v>
      </c>
      <c r="Q239" t="n">
        <v>0</v>
      </c>
      <c r="R239" s="2" t="inlineStr"/>
    </row>
    <row r="240" ht="15" customHeight="1">
      <c r="A240" t="inlineStr">
        <is>
          <t>A 67842-2020</t>
        </is>
      </c>
      <c r="B240" s="1" t="n">
        <v>44182</v>
      </c>
      <c r="C240" s="1" t="n">
        <v>45991</v>
      </c>
      <c r="D240" t="inlineStr">
        <is>
          <t>DALARNAS LÄN</t>
        </is>
      </c>
      <c r="E240" t="inlineStr">
        <is>
          <t>ORSA</t>
        </is>
      </c>
      <c r="G240" t="n">
        <v>10.6</v>
      </c>
      <c r="H240" t="n">
        <v>0</v>
      </c>
      <c r="I240" t="n">
        <v>0</v>
      </c>
      <c r="J240" t="n">
        <v>0</v>
      </c>
      <c r="K240" t="n">
        <v>0</v>
      </c>
      <c r="L240" t="n">
        <v>0</v>
      </c>
      <c r="M240" t="n">
        <v>0</v>
      </c>
      <c r="N240" t="n">
        <v>0</v>
      </c>
      <c r="O240" t="n">
        <v>0</v>
      </c>
      <c r="P240" t="n">
        <v>0</v>
      </c>
      <c r="Q240" t="n">
        <v>0</v>
      </c>
      <c r="R240" s="2" t="inlineStr"/>
    </row>
    <row r="241" ht="15" customHeight="1">
      <c r="A241" t="inlineStr">
        <is>
          <t>A 33884-2025</t>
        </is>
      </c>
      <c r="B241" s="1" t="n">
        <v>45842.57081018519</v>
      </c>
      <c r="C241" s="1" t="n">
        <v>45991</v>
      </c>
      <c r="D241" t="inlineStr">
        <is>
          <t>DALARNAS LÄN</t>
        </is>
      </c>
      <c r="E241" t="inlineStr">
        <is>
          <t>ORSA</t>
        </is>
      </c>
      <c r="G241" t="n">
        <v>0.8</v>
      </c>
      <c r="H241" t="n">
        <v>0</v>
      </c>
      <c r="I241" t="n">
        <v>0</v>
      </c>
      <c r="J241" t="n">
        <v>0</v>
      </c>
      <c r="K241" t="n">
        <v>0</v>
      </c>
      <c r="L241" t="n">
        <v>0</v>
      </c>
      <c r="M241" t="n">
        <v>0</v>
      </c>
      <c r="N241" t="n">
        <v>0</v>
      </c>
      <c r="O241" t="n">
        <v>0</v>
      </c>
      <c r="P241" t="n">
        <v>0</v>
      </c>
      <c r="Q241" t="n">
        <v>0</v>
      </c>
      <c r="R241" s="2" t="inlineStr"/>
    </row>
    <row r="242" ht="15" customHeight="1">
      <c r="A242" t="inlineStr">
        <is>
          <t>A 52044-2023</t>
        </is>
      </c>
      <c r="B242" s="1" t="n">
        <v>45223.6365625</v>
      </c>
      <c r="C242" s="1" t="n">
        <v>45991</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33384-2022</t>
        </is>
      </c>
      <c r="B243" s="1" t="n">
        <v>44788</v>
      </c>
      <c r="C243" s="1" t="n">
        <v>45991</v>
      </c>
      <c r="D243" t="inlineStr">
        <is>
          <t>DALARNAS LÄN</t>
        </is>
      </c>
      <c r="E243" t="inlineStr">
        <is>
          <t>ORSA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33951-2025</t>
        </is>
      </c>
      <c r="B244" s="1" t="n">
        <v>45842.66791666667</v>
      </c>
      <c r="C244" s="1" t="n">
        <v>45991</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33835-2025</t>
        </is>
      </c>
      <c r="B245" s="1" t="n">
        <v>45842.47619212963</v>
      </c>
      <c r="C245" s="1" t="n">
        <v>45991</v>
      </c>
      <c r="D245" t="inlineStr">
        <is>
          <t>DALARNAS LÄN</t>
        </is>
      </c>
      <c r="E245" t="inlineStr">
        <is>
          <t>ORSA</t>
        </is>
      </c>
      <c r="G245" t="n">
        <v>15.2</v>
      </c>
      <c r="H245" t="n">
        <v>0</v>
      </c>
      <c r="I245" t="n">
        <v>0</v>
      </c>
      <c r="J245" t="n">
        <v>0</v>
      </c>
      <c r="K245" t="n">
        <v>0</v>
      </c>
      <c r="L245" t="n">
        <v>0</v>
      </c>
      <c r="M245" t="n">
        <v>0</v>
      </c>
      <c r="N245" t="n">
        <v>0</v>
      </c>
      <c r="O245" t="n">
        <v>0</v>
      </c>
      <c r="P245" t="n">
        <v>0</v>
      </c>
      <c r="Q245" t="n">
        <v>0</v>
      </c>
      <c r="R245" s="2" t="inlineStr"/>
    </row>
    <row r="246" ht="15" customHeight="1">
      <c r="A246" t="inlineStr">
        <is>
          <t>A 52702-2025</t>
        </is>
      </c>
      <c r="B246" s="1" t="n">
        <v>45956.86853009259</v>
      </c>
      <c r="C246" s="1" t="n">
        <v>45991</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33857-2025</t>
        </is>
      </c>
      <c r="B247" s="1" t="n">
        <v>45842.51953703703</v>
      </c>
      <c r="C247" s="1" t="n">
        <v>45991</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44531-2025</t>
        </is>
      </c>
      <c r="B248" s="1" t="n">
        <v>45916.77120370371</v>
      </c>
      <c r="C248" s="1" t="n">
        <v>45991</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34001-2025</t>
        </is>
      </c>
      <c r="B249" s="1" t="n">
        <v>45844</v>
      </c>
      <c r="C249" s="1" t="n">
        <v>45991</v>
      </c>
      <c r="D249" t="inlineStr">
        <is>
          <t>DALARNAS LÄN</t>
        </is>
      </c>
      <c r="E249" t="inlineStr">
        <is>
          <t>ORSA</t>
        </is>
      </c>
      <c r="F249" t="inlineStr">
        <is>
          <t>Bergvik skog öst AB</t>
        </is>
      </c>
      <c r="G249" t="n">
        <v>13.4</v>
      </c>
      <c r="H249" t="n">
        <v>0</v>
      </c>
      <c r="I249" t="n">
        <v>0</v>
      </c>
      <c r="J249" t="n">
        <v>0</v>
      </c>
      <c r="K249" t="n">
        <v>0</v>
      </c>
      <c r="L249" t="n">
        <v>0</v>
      </c>
      <c r="M249" t="n">
        <v>0</v>
      </c>
      <c r="N249" t="n">
        <v>0</v>
      </c>
      <c r="O249" t="n">
        <v>0</v>
      </c>
      <c r="P249" t="n">
        <v>0</v>
      </c>
      <c r="Q249" t="n">
        <v>0</v>
      </c>
      <c r="R249" s="2" t="inlineStr"/>
    </row>
    <row r="250" ht="15" customHeight="1">
      <c r="A250" t="inlineStr">
        <is>
          <t>A 10048-2023</t>
        </is>
      </c>
      <c r="B250" s="1" t="n">
        <v>44985.67237268519</v>
      </c>
      <c r="C250" s="1" t="n">
        <v>45991</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51001-2021</t>
        </is>
      </c>
      <c r="B251" s="1" t="n">
        <v>44460.86221064815</v>
      </c>
      <c r="C251" s="1" t="n">
        <v>45991</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892-2024</t>
        </is>
      </c>
      <c r="B252" s="1" t="n">
        <v>45301</v>
      </c>
      <c r="C252" s="1" t="n">
        <v>45991</v>
      </c>
      <c r="D252" t="inlineStr">
        <is>
          <t>DALARNAS LÄN</t>
        </is>
      </c>
      <c r="E252" t="inlineStr">
        <is>
          <t>ORSA</t>
        </is>
      </c>
      <c r="G252" t="n">
        <v>1.2</v>
      </c>
      <c r="H252" t="n">
        <v>0</v>
      </c>
      <c r="I252" t="n">
        <v>0</v>
      </c>
      <c r="J252" t="n">
        <v>0</v>
      </c>
      <c r="K252" t="n">
        <v>0</v>
      </c>
      <c r="L252" t="n">
        <v>0</v>
      </c>
      <c r="M252" t="n">
        <v>0</v>
      </c>
      <c r="N252" t="n">
        <v>0</v>
      </c>
      <c r="O252" t="n">
        <v>0</v>
      </c>
      <c r="P252" t="n">
        <v>0</v>
      </c>
      <c r="Q252" t="n">
        <v>0</v>
      </c>
      <c r="R252" s="2" t="inlineStr"/>
    </row>
    <row r="253" ht="15" customHeight="1">
      <c r="A253" t="inlineStr">
        <is>
          <t>A 16585-2023</t>
        </is>
      </c>
      <c r="B253" s="1" t="n">
        <v>45030</v>
      </c>
      <c r="C253" s="1" t="n">
        <v>45991</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34744-2025</t>
        </is>
      </c>
      <c r="B254" s="1" t="n">
        <v>45848.6125</v>
      </c>
      <c r="C254" s="1" t="n">
        <v>45991</v>
      </c>
      <c r="D254" t="inlineStr">
        <is>
          <t>DALARNAS LÄN</t>
        </is>
      </c>
      <c r="E254" t="inlineStr">
        <is>
          <t>ORSA</t>
        </is>
      </c>
      <c r="G254" t="n">
        <v>1.7</v>
      </c>
      <c r="H254" t="n">
        <v>0</v>
      </c>
      <c r="I254" t="n">
        <v>0</v>
      </c>
      <c r="J254" t="n">
        <v>0</v>
      </c>
      <c r="K254" t="n">
        <v>0</v>
      </c>
      <c r="L254" t="n">
        <v>0</v>
      </c>
      <c r="M254" t="n">
        <v>0</v>
      </c>
      <c r="N254" t="n">
        <v>0</v>
      </c>
      <c r="O254" t="n">
        <v>0</v>
      </c>
      <c r="P254" t="n">
        <v>0</v>
      </c>
      <c r="Q254" t="n">
        <v>0</v>
      </c>
      <c r="R254" s="2" t="inlineStr"/>
    </row>
    <row r="255" ht="15" customHeight="1">
      <c r="A255" t="inlineStr">
        <is>
          <t>A 34769-2025</t>
        </is>
      </c>
      <c r="B255" s="1" t="n">
        <v>45848.6534837963</v>
      </c>
      <c r="C255" s="1" t="n">
        <v>45991</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34777-2025</t>
        </is>
      </c>
      <c r="B256" s="1" t="n">
        <v>45848.66167824074</v>
      </c>
      <c r="C256" s="1" t="n">
        <v>45991</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34794-2025</t>
        </is>
      </c>
      <c r="B257" s="1" t="n">
        <v>45848.73256944444</v>
      </c>
      <c r="C257" s="1" t="n">
        <v>45991</v>
      </c>
      <c r="D257" t="inlineStr">
        <is>
          <t>DALARNAS LÄN</t>
        </is>
      </c>
      <c r="E257" t="inlineStr">
        <is>
          <t>ORSA</t>
        </is>
      </c>
      <c r="G257" t="n">
        <v>2.3</v>
      </c>
      <c r="H257" t="n">
        <v>0</v>
      </c>
      <c r="I257" t="n">
        <v>0</v>
      </c>
      <c r="J257" t="n">
        <v>0</v>
      </c>
      <c r="K257" t="n">
        <v>0</v>
      </c>
      <c r="L257" t="n">
        <v>0</v>
      </c>
      <c r="M257" t="n">
        <v>0</v>
      </c>
      <c r="N257" t="n">
        <v>0</v>
      </c>
      <c r="O257" t="n">
        <v>0</v>
      </c>
      <c r="P257" t="n">
        <v>0</v>
      </c>
      <c r="Q257" t="n">
        <v>0</v>
      </c>
      <c r="R257" s="2" t="inlineStr"/>
    </row>
    <row r="258" ht="15" customHeight="1">
      <c r="A258" t="inlineStr">
        <is>
          <t>A 34779-2025</t>
        </is>
      </c>
      <c r="B258" s="1" t="n">
        <v>45848.66987268518</v>
      </c>
      <c r="C258" s="1" t="n">
        <v>45991</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34753-2025</t>
        </is>
      </c>
      <c r="B259" s="1" t="n">
        <v>45848.62001157407</v>
      </c>
      <c r="C259" s="1" t="n">
        <v>45991</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54519-2023</t>
        </is>
      </c>
      <c r="B260" s="1" t="n">
        <v>45233.58359953704</v>
      </c>
      <c r="C260" s="1" t="n">
        <v>45991</v>
      </c>
      <c r="D260" t="inlineStr">
        <is>
          <t>DALARNAS LÄN</t>
        </is>
      </c>
      <c r="E260" t="inlineStr">
        <is>
          <t>ORSA</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34764-2025</t>
        </is>
      </c>
      <c r="B261" s="1" t="n">
        <v>45848.64788194445</v>
      </c>
      <c r="C261" s="1" t="n">
        <v>45991</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34781-2025</t>
        </is>
      </c>
      <c r="B262" s="1" t="n">
        <v>45848.67424768519</v>
      </c>
      <c r="C262" s="1" t="n">
        <v>45991</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34964-2025</t>
        </is>
      </c>
      <c r="B263" s="1" t="n">
        <v>45849.6330787037</v>
      </c>
      <c r="C263" s="1" t="n">
        <v>45991</v>
      </c>
      <c r="D263" t="inlineStr">
        <is>
          <t>DALARNAS LÄN</t>
        </is>
      </c>
      <c r="E263" t="inlineStr">
        <is>
          <t>ORSA</t>
        </is>
      </c>
      <c r="G263" t="n">
        <v>2.1</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44644.48491898148</v>
      </c>
      <c r="C264" s="1" t="n">
        <v>45991</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3168-2024</t>
        </is>
      </c>
      <c r="B265" s="1" t="n">
        <v>45316.62863425926</v>
      </c>
      <c r="C265" s="1" t="n">
        <v>45991</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12101-2025</t>
        </is>
      </c>
      <c r="B266" s="1" t="n">
        <v>45729.33743055556</v>
      </c>
      <c r="C266" s="1" t="n">
        <v>45991</v>
      </c>
      <c r="D266" t="inlineStr">
        <is>
          <t>DALARNAS LÄN</t>
        </is>
      </c>
      <c r="E266" t="inlineStr">
        <is>
          <t>ORSA</t>
        </is>
      </c>
      <c r="G266" t="n">
        <v>1</v>
      </c>
      <c r="H266" t="n">
        <v>0</v>
      </c>
      <c r="I266" t="n">
        <v>0</v>
      </c>
      <c r="J266" t="n">
        <v>0</v>
      </c>
      <c r="K266" t="n">
        <v>0</v>
      </c>
      <c r="L266" t="n">
        <v>0</v>
      </c>
      <c r="M266" t="n">
        <v>0</v>
      </c>
      <c r="N266" t="n">
        <v>0</v>
      </c>
      <c r="O266" t="n">
        <v>0</v>
      </c>
      <c r="P266" t="n">
        <v>0</v>
      </c>
      <c r="Q266" t="n">
        <v>0</v>
      </c>
      <c r="R266" s="2" t="inlineStr"/>
    </row>
    <row r="267" ht="15" customHeight="1">
      <c r="A267" t="inlineStr">
        <is>
          <t>A 45155-2025</t>
        </is>
      </c>
      <c r="B267" s="1" t="n">
        <v>45919.47872685185</v>
      </c>
      <c r="C267" s="1" t="n">
        <v>45991</v>
      </c>
      <c r="D267" t="inlineStr">
        <is>
          <t>DALARNAS LÄN</t>
        </is>
      </c>
      <c r="E267" t="inlineStr">
        <is>
          <t>ORSA</t>
        </is>
      </c>
      <c r="G267" t="n">
        <v>1.5</v>
      </c>
      <c r="H267" t="n">
        <v>0</v>
      </c>
      <c r="I267" t="n">
        <v>0</v>
      </c>
      <c r="J267" t="n">
        <v>0</v>
      </c>
      <c r="K267" t="n">
        <v>0</v>
      </c>
      <c r="L267" t="n">
        <v>0</v>
      </c>
      <c r="M267" t="n">
        <v>0</v>
      </c>
      <c r="N267" t="n">
        <v>0</v>
      </c>
      <c r="O267" t="n">
        <v>0</v>
      </c>
      <c r="P267" t="n">
        <v>0</v>
      </c>
      <c r="Q267" t="n">
        <v>0</v>
      </c>
      <c r="R267" s="2" t="inlineStr"/>
    </row>
    <row r="268" ht="15" customHeight="1">
      <c r="A268" t="inlineStr">
        <is>
          <t>A 33057-2025</t>
        </is>
      </c>
      <c r="B268" s="1" t="n">
        <v>45840</v>
      </c>
      <c r="C268" s="1" t="n">
        <v>45991</v>
      </c>
      <c r="D268" t="inlineStr">
        <is>
          <t>DALARNAS LÄN</t>
        </is>
      </c>
      <c r="E268" t="inlineStr">
        <is>
          <t>ORSA</t>
        </is>
      </c>
      <c r="F268" t="inlineStr">
        <is>
          <t>Bergvik skog öst AB</t>
        </is>
      </c>
      <c r="G268" t="n">
        <v>3.3</v>
      </c>
      <c r="H268" t="n">
        <v>0</v>
      </c>
      <c r="I268" t="n">
        <v>0</v>
      </c>
      <c r="J268" t="n">
        <v>0</v>
      </c>
      <c r="K268" t="n">
        <v>0</v>
      </c>
      <c r="L268" t="n">
        <v>0</v>
      </c>
      <c r="M268" t="n">
        <v>0</v>
      </c>
      <c r="N268" t="n">
        <v>0</v>
      </c>
      <c r="O268" t="n">
        <v>0</v>
      </c>
      <c r="P268" t="n">
        <v>0</v>
      </c>
      <c r="Q268" t="n">
        <v>0</v>
      </c>
      <c r="R268" s="2" t="inlineStr"/>
    </row>
    <row r="269" ht="15" customHeight="1">
      <c r="A269" t="inlineStr">
        <is>
          <t>A 53501-2025</t>
        </is>
      </c>
      <c r="B269" s="1" t="n">
        <v>45960.34216435185</v>
      </c>
      <c r="C269" s="1" t="n">
        <v>45991</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53573-2025</t>
        </is>
      </c>
      <c r="B270" s="1" t="n">
        <v>45960.41716435185</v>
      </c>
      <c r="C270" s="1" t="n">
        <v>45991</v>
      </c>
      <c r="D270" t="inlineStr">
        <is>
          <t>DALARNAS LÄN</t>
        </is>
      </c>
      <c r="E270" t="inlineStr">
        <is>
          <t>ORSA</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34125-2023</t>
        </is>
      </c>
      <c r="B271" s="1" t="n">
        <v>45135</v>
      </c>
      <c r="C271" s="1" t="n">
        <v>45991</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28974-2024</t>
        </is>
      </c>
      <c r="B272" s="1" t="n">
        <v>45481.45445601852</v>
      </c>
      <c r="C272" s="1" t="n">
        <v>45991</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51303-2023</t>
        </is>
      </c>
      <c r="B273" s="1" t="n">
        <v>45219.55793981482</v>
      </c>
      <c r="C273" s="1" t="n">
        <v>45991</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53495-2025</t>
        </is>
      </c>
      <c r="B274" s="1" t="n">
        <v>45960.32577546296</v>
      </c>
      <c r="C274" s="1" t="n">
        <v>45991</v>
      </c>
      <c r="D274" t="inlineStr">
        <is>
          <t>DALARNAS LÄN</t>
        </is>
      </c>
      <c r="E274" t="inlineStr">
        <is>
          <t>ORSA</t>
        </is>
      </c>
      <c r="G274" t="n">
        <v>3.6</v>
      </c>
      <c r="H274" t="n">
        <v>0</v>
      </c>
      <c r="I274" t="n">
        <v>0</v>
      </c>
      <c r="J274" t="n">
        <v>0</v>
      </c>
      <c r="K274" t="n">
        <v>0</v>
      </c>
      <c r="L274" t="n">
        <v>0</v>
      </c>
      <c r="M274" t="n">
        <v>0</v>
      </c>
      <c r="N274" t="n">
        <v>0</v>
      </c>
      <c r="O274" t="n">
        <v>0</v>
      </c>
      <c r="P274" t="n">
        <v>0</v>
      </c>
      <c r="Q274" t="n">
        <v>0</v>
      </c>
      <c r="R274" s="2" t="inlineStr"/>
    </row>
    <row r="275" ht="15" customHeight="1">
      <c r="A275" t="inlineStr">
        <is>
          <t>A 35619-2025</t>
        </is>
      </c>
      <c r="B275" s="1" t="n">
        <v>45859</v>
      </c>
      <c r="C275" s="1" t="n">
        <v>45991</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37770-2023</t>
        </is>
      </c>
      <c r="B276" s="1" t="n">
        <v>45159</v>
      </c>
      <c r="C276" s="1" t="n">
        <v>45991</v>
      </c>
      <c r="D276" t="inlineStr">
        <is>
          <t>DALARNAS LÄN</t>
        </is>
      </c>
      <c r="E276" t="inlineStr">
        <is>
          <t>ORSA</t>
        </is>
      </c>
      <c r="G276" t="n">
        <v>2.6</v>
      </c>
      <c r="H276" t="n">
        <v>0</v>
      </c>
      <c r="I276" t="n">
        <v>0</v>
      </c>
      <c r="J276" t="n">
        <v>0</v>
      </c>
      <c r="K276" t="n">
        <v>0</v>
      </c>
      <c r="L276" t="n">
        <v>0</v>
      </c>
      <c r="M276" t="n">
        <v>0</v>
      </c>
      <c r="N276" t="n">
        <v>0</v>
      </c>
      <c r="O276" t="n">
        <v>0</v>
      </c>
      <c r="P276" t="n">
        <v>0</v>
      </c>
      <c r="Q276" t="n">
        <v>0</v>
      </c>
      <c r="R276" s="2" t="inlineStr"/>
    </row>
    <row r="277" ht="15" customHeight="1">
      <c r="A277" t="inlineStr">
        <is>
          <t>A 45031-2025</t>
        </is>
      </c>
      <c r="B277" s="1" t="n">
        <v>45918.70020833334</v>
      </c>
      <c r="C277" s="1" t="n">
        <v>45991</v>
      </c>
      <c r="D277" t="inlineStr">
        <is>
          <t>DALARNAS LÄN</t>
        </is>
      </c>
      <c r="E277" t="inlineStr">
        <is>
          <t>ORSA</t>
        </is>
      </c>
      <c r="G277" t="n">
        <v>5</v>
      </c>
      <c r="H277" t="n">
        <v>0</v>
      </c>
      <c r="I277" t="n">
        <v>0</v>
      </c>
      <c r="J277" t="n">
        <v>0</v>
      </c>
      <c r="K277" t="n">
        <v>0</v>
      </c>
      <c r="L277" t="n">
        <v>0</v>
      </c>
      <c r="M277" t="n">
        <v>0</v>
      </c>
      <c r="N277" t="n">
        <v>0</v>
      </c>
      <c r="O277" t="n">
        <v>0</v>
      </c>
      <c r="P277" t="n">
        <v>0</v>
      </c>
      <c r="Q277" t="n">
        <v>0</v>
      </c>
      <c r="R277" s="2" t="inlineStr"/>
    </row>
    <row r="278" ht="15" customHeight="1">
      <c r="A278" t="inlineStr">
        <is>
          <t>A 18312-2024</t>
        </is>
      </c>
      <c r="B278" s="1" t="n">
        <v>45422.48225694444</v>
      </c>
      <c r="C278" s="1" t="n">
        <v>45991</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53855-2025</t>
        </is>
      </c>
      <c r="B279" s="1" t="n">
        <v>45961.37528935185</v>
      </c>
      <c r="C279" s="1" t="n">
        <v>45991</v>
      </c>
      <c r="D279" t="inlineStr">
        <is>
          <t>DALARNAS LÄN</t>
        </is>
      </c>
      <c r="E279" t="inlineStr">
        <is>
          <t>ORSA</t>
        </is>
      </c>
      <c r="G279" t="n">
        <v>11.1</v>
      </c>
      <c r="H279" t="n">
        <v>0</v>
      </c>
      <c r="I279" t="n">
        <v>0</v>
      </c>
      <c r="J279" t="n">
        <v>0</v>
      </c>
      <c r="K279" t="n">
        <v>0</v>
      </c>
      <c r="L279" t="n">
        <v>0</v>
      </c>
      <c r="M279" t="n">
        <v>0</v>
      </c>
      <c r="N279" t="n">
        <v>0</v>
      </c>
      <c r="O279" t="n">
        <v>0</v>
      </c>
      <c r="P279" t="n">
        <v>0</v>
      </c>
      <c r="Q279" t="n">
        <v>0</v>
      </c>
      <c r="R279" s="2" t="inlineStr"/>
    </row>
    <row r="280" ht="15" customHeight="1">
      <c r="A280" t="inlineStr">
        <is>
          <t>A 53572-2025</t>
        </is>
      </c>
      <c r="B280" s="1" t="n">
        <v>45960.4140625</v>
      </c>
      <c r="C280" s="1" t="n">
        <v>45991</v>
      </c>
      <c r="D280" t="inlineStr">
        <is>
          <t>DALARNAS LÄN</t>
        </is>
      </c>
      <c r="E280" t="inlineStr">
        <is>
          <t>ORSA</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35933-2025</t>
        </is>
      </c>
      <c r="B281" s="1" t="n">
        <v>45862.62653935186</v>
      </c>
      <c r="C281" s="1" t="n">
        <v>45991</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35935-2025</t>
        </is>
      </c>
      <c r="B282" s="1" t="n">
        <v>45862.6353125</v>
      </c>
      <c r="C282" s="1" t="n">
        <v>45991</v>
      </c>
      <c r="D282" t="inlineStr">
        <is>
          <t>DALARNAS LÄN</t>
        </is>
      </c>
      <c r="E282" t="inlineStr">
        <is>
          <t>ORSA</t>
        </is>
      </c>
      <c r="G282" t="n">
        <v>0.6</v>
      </c>
      <c r="H282" t="n">
        <v>0</v>
      </c>
      <c r="I282" t="n">
        <v>0</v>
      </c>
      <c r="J282" t="n">
        <v>0</v>
      </c>
      <c r="K282" t="n">
        <v>0</v>
      </c>
      <c r="L282" t="n">
        <v>0</v>
      </c>
      <c r="M282" t="n">
        <v>0</v>
      </c>
      <c r="N282" t="n">
        <v>0</v>
      </c>
      <c r="O282" t="n">
        <v>0</v>
      </c>
      <c r="P282" t="n">
        <v>0</v>
      </c>
      <c r="Q282" t="n">
        <v>0</v>
      </c>
      <c r="R282" s="2" t="inlineStr"/>
    </row>
    <row r="283" ht="15" customHeight="1">
      <c r="A283" t="inlineStr">
        <is>
          <t>A 54176-2025</t>
        </is>
      </c>
      <c r="B283" s="1" t="n">
        <v>45964.5500925926</v>
      </c>
      <c r="C283" s="1" t="n">
        <v>45991</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35940-2025</t>
        </is>
      </c>
      <c r="B284" s="1" t="n">
        <v>45862.65081018519</v>
      </c>
      <c r="C284" s="1" t="n">
        <v>45991</v>
      </c>
      <c r="D284" t="inlineStr">
        <is>
          <t>DALARNAS LÄN</t>
        </is>
      </c>
      <c r="E284" t="inlineStr">
        <is>
          <t>ORSA</t>
        </is>
      </c>
      <c r="G284" t="n">
        <v>5.1</v>
      </c>
      <c r="H284" t="n">
        <v>0</v>
      </c>
      <c r="I284" t="n">
        <v>0</v>
      </c>
      <c r="J284" t="n">
        <v>0</v>
      </c>
      <c r="K284" t="n">
        <v>0</v>
      </c>
      <c r="L284" t="n">
        <v>0</v>
      </c>
      <c r="M284" t="n">
        <v>0</v>
      </c>
      <c r="N284" t="n">
        <v>0</v>
      </c>
      <c r="O284" t="n">
        <v>0</v>
      </c>
      <c r="P284" t="n">
        <v>0</v>
      </c>
      <c r="Q284" t="n">
        <v>0</v>
      </c>
      <c r="R284" s="2" t="inlineStr"/>
    </row>
    <row r="285" ht="15" customHeight="1">
      <c r="A285" t="inlineStr">
        <is>
          <t>A 35939-2025</t>
        </is>
      </c>
      <c r="B285" s="1" t="n">
        <v>45862.64581018518</v>
      </c>
      <c r="C285" s="1" t="n">
        <v>45991</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50714-2023</t>
        </is>
      </c>
      <c r="B286" s="1" t="n">
        <v>45217.56513888889</v>
      </c>
      <c r="C286" s="1" t="n">
        <v>45991</v>
      </c>
      <c r="D286" t="inlineStr">
        <is>
          <t>DALARNAS LÄN</t>
        </is>
      </c>
      <c r="E286" t="inlineStr">
        <is>
          <t>ORSA</t>
        </is>
      </c>
      <c r="G286" t="n">
        <v>1.1</v>
      </c>
      <c r="H286" t="n">
        <v>0</v>
      </c>
      <c r="I286" t="n">
        <v>0</v>
      </c>
      <c r="J286" t="n">
        <v>0</v>
      </c>
      <c r="K286" t="n">
        <v>0</v>
      </c>
      <c r="L286" t="n">
        <v>0</v>
      </c>
      <c r="M286" t="n">
        <v>0</v>
      </c>
      <c r="N286" t="n">
        <v>0</v>
      </c>
      <c r="O286" t="n">
        <v>0</v>
      </c>
      <c r="P286" t="n">
        <v>0</v>
      </c>
      <c r="Q286" t="n">
        <v>0</v>
      </c>
      <c r="R286" s="2" t="inlineStr"/>
    </row>
    <row r="287" ht="15" customHeight="1">
      <c r="A287" t="inlineStr">
        <is>
          <t>A 51574-2023</t>
        </is>
      </c>
      <c r="B287" s="1" t="n">
        <v>45222.45090277777</v>
      </c>
      <c r="C287" s="1" t="n">
        <v>45991</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45803-2025</t>
        </is>
      </c>
      <c r="B288" s="1" t="n">
        <v>45923.58125</v>
      </c>
      <c r="C288" s="1" t="n">
        <v>45991</v>
      </c>
      <c r="D288" t="inlineStr">
        <is>
          <t>DALARNAS LÄN</t>
        </is>
      </c>
      <c r="E288" t="inlineStr">
        <is>
          <t>ORSA</t>
        </is>
      </c>
      <c r="F288" t="inlineStr">
        <is>
          <t>Allmännings- och besparingsskogar</t>
        </is>
      </c>
      <c r="G288" t="n">
        <v>3.4</v>
      </c>
      <c r="H288" t="n">
        <v>0</v>
      </c>
      <c r="I288" t="n">
        <v>0</v>
      </c>
      <c r="J288" t="n">
        <v>0</v>
      </c>
      <c r="K288" t="n">
        <v>0</v>
      </c>
      <c r="L288" t="n">
        <v>0</v>
      </c>
      <c r="M288" t="n">
        <v>0</v>
      </c>
      <c r="N288" t="n">
        <v>0</v>
      </c>
      <c r="O288" t="n">
        <v>0</v>
      </c>
      <c r="P288" t="n">
        <v>0</v>
      </c>
      <c r="Q288" t="n">
        <v>0</v>
      </c>
      <c r="R288" s="2" t="inlineStr"/>
    </row>
    <row r="289" ht="15" customHeight="1">
      <c r="A289" t="inlineStr">
        <is>
          <t>A 54543-2025</t>
        </is>
      </c>
      <c r="B289" s="1" t="n">
        <v>45965.64862268518</v>
      </c>
      <c r="C289" s="1" t="n">
        <v>45991</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72310-2021</t>
        </is>
      </c>
      <c r="B290" s="1" t="n">
        <v>44545</v>
      </c>
      <c r="C290" s="1" t="n">
        <v>45991</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60803-2022</t>
        </is>
      </c>
      <c r="B291" s="1" t="n">
        <v>44914</v>
      </c>
      <c r="C291" s="1" t="n">
        <v>45991</v>
      </c>
      <c r="D291" t="inlineStr">
        <is>
          <t>DALARNAS LÄN</t>
        </is>
      </c>
      <c r="E291" t="inlineStr">
        <is>
          <t>ORSA</t>
        </is>
      </c>
      <c r="G291" t="n">
        <v>1.2</v>
      </c>
      <c r="H291" t="n">
        <v>0</v>
      </c>
      <c r="I291" t="n">
        <v>0</v>
      </c>
      <c r="J291" t="n">
        <v>0</v>
      </c>
      <c r="K291" t="n">
        <v>0</v>
      </c>
      <c r="L291" t="n">
        <v>0</v>
      </c>
      <c r="M291" t="n">
        <v>0</v>
      </c>
      <c r="N291" t="n">
        <v>0</v>
      </c>
      <c r="O291" t="n">
        <v>0</v>
      </c>
      <c r="P291" t="n">
        <v>0</v>
      </c>
      <c r="Q291" t="n">
        <v>0</v>
      </c>
      <c r="R291" s="2" t="inlineStr"/>
    </row>
    <row r="292" ht="15" customHeight="1">
      <c r="A292" t="inlineStr">
        <is>
          <t>A 54121-2025</t>
        </is>
      </c>
      <c r="B292" s="1" t="n">
        <v>45964.45186342593</v>
      </c>
      <c r="C292" s="1" t="n">
        <v>45991</v>
      </c>
      <c r="D292" t="inlineStr">
        <is>
          <t>DALARNAS LÄN</t>
        </is>
      </c>
      <c r="E292" t="inlineStr">
        <is>
          <t>ORSA</t>
        </is>
      </c>
      <c r="G292" t="n">
        <v>1.2</v>
      </c>
      <c r="H292" t="n">
        <v>0</v>
      </c>
      <c r="I292" t="n">
        <v>0</v>
      </c>
      <c r="J292" t="n">
        <v>0</v>
      </c>
      <c r="K292" t="n">
        <v>0</v>
      </c>
      <c r="L292" t="n">
        <v>0</v>
      </c>
      <c r="M292" t="n">
        <v>0</v>
      </c>
      <c r="N292" t="n">
        <v>0</v>
      </c>
      <c r="O292" t="n">
        <v>0</v>
      </c>
      <c r="P292" t="n">
        <v>0</v>
      </c>
      <c r="Q292" t="n">
        <v>0</v>
      </c>
      <c r="R292" s="2" t="inlineStr"/>
    </row>
    <row r="293" ht="15" customHeight="1">
      <c r="A293" t="inlineStr">
        <is>
          <t>A 54527-2025</t>
        </is>
      </c>
      <c r="B293" s="1" t="n">
        <v>45965.63420138889</v>
      </c>
      <c r="C293" s="1" t="n">
        <v>45991</v>
      </c>
      <c r="D293" t="inlineStr">
        <is>
          <t>DALARNAS LÄN</t>
        </is>
      </c>
      <c r="E293" t="inlineStr">
        <is>
          <t>ORSA</t>
        </is>
      </c>
      <c r="G293" t="n">
        <v>1.9</v>
      </c>
      <c r="H293" t="n">
        <v>0</v>
      </c>
      <c r="I293" t="n">
        <v>0</v>
      </c>
      <c r="J293" t="n">
        <v>0</v>
      </c>
      <c r="K293" t="n">
        <v>0</v>
      </c>
      <c r="L293" t="n">
        <v>0</v>
      </c>
      <c r="M293" t="n">
        <v>0</v>
      </c>
      <c r="N293" t="n">
        <v>0</v>
      </c>
      <c r="O293" t="n">
        <v>0</v>
      </c>
      <c r="P293" t="n">
        <v>0</v>
      </c>
      <c r="Q293" t="n">
        <v>0</v>
      </c>
      <c r="R293" s="2" t="inlineStr"/>
    </row>
    <row r="294" ht="15" customHeight="1">
      <c r="A294" t="inlineStr">
        <is>
          <t>A 7628-2025</t>
        </is>
      </c>
      <c r="B294" s="1" t="n">
        <v>45705.73394675926</v>
      </c>
      <c r="C294" s="1" t="n">
        <v>45991</v>
      </c>
      <c r="D294" t="inlineStr">
        <is>
          <t>DALARNAS LÄN</t>
        </is>
      </c>
      <c r="E294" t="inlineStr">
        <is>
          <t>ORSA</t>
        </is>
      </c>
      <c r="G294" t="n">
        <v>1.8</v>
      </c>
      <c r="H294" t="n">
        <v>0</v>
      </c>
      <c r="I294" t="n">
        <v>0</v>
      </c>
      <c r="J294" t="n">
        <v>0</v>
      </c>
      <c r="K294" t="n">
        <v>0</v>
      </c>
      <c r="L294" t="n">
        <v>0</v>
      </c>
      <c r="M294" t="n">
        <v>0</v>
      </c>
      <c r="N294" t="n">
        <v>0</v>
      </c>
      <c r="O294" t="n">
        <v>0</v>
      </c>
      <c r="P294" t="n">
        <v>0</v>
      </c>
      <c r="Q294" t="n">
        <v>0</v>
      </c>
      <c r="R294" s="2" t="inlineStr"/>
    </row>
    <row r="295" ht="15" customHeight="1">
      <c r="A295" t="inlineStr">
        <is>
          <t>A 19505-2022</t>
        </is>
      </c>
      <c r="B295" s="1" t="n">
        <v>44693</v>
      </c>
      <c r="C295" s="1" t="n">
        <v>45991</v>
      </c>
      <c r="D295" t="inlineStr">
        <is>
          <t>DALARNAS LÄN</t>
        </is>
      </c>
      <c r="E295" t="inlineStr">
        <is>
          <t>ORSA</t>
        </is>
      </c>
      <c r="G295" t="n">
        <v>2.7</v>
      </c>
      <c r="H295" t="n">
        <v>0</v>
      </c>
      <c r="I295" t="n">
        <v>0</v>
      </c>
      <c r="J295" t="n">
        <v>0</v>
      </c>
      <c r="K295" t="n">
        <v>0</v>
      </c>
      <c r="L295" t="n">
        <v>0</v>
      </c>
      <c r="M295" t="n">
        <v>0</v>
      </c>
      <c r="N295" t="n">
        <v>0</v>
      </c>
      <c r="O295" t="n">
        <v>0</v>
      </c>
      <c r="P295" t="n">
        <v>0</v>
      </c>
      <c r="Q295" t="n">
        <v>0</v>
      </c>
      <c r="R295" s="2" t="inlineStr"/>
    </row>
    <row r="296" ht="15" customHeight="1">
      <c r="A296" t="inlineStr">
        <is>
          <t>A 36570-2025</t>
        </is>
      </c>
      <c r="B296" s="1" t="n">
        <v>45870.38728009259</v>
      </c>
      <c r="C296" s="1" t="n">
        <v>45991</v>
      </c>
      <c r="D296" t="inlineStr">
        <is>
          <t>DALARNAS LÄN</t>
        </is>
      </c>
      <c r="E296" t="inlineStr">
        <is>
          <t>ORSA</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61685-2024</t>
        </is>
      </c>
      <c r="B297" s="1" t="n">
        <v>45647.56972222222</v>
      </c>
      <c r="C297" s="1" t="n">
        <v>45991</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6939-2021</t>
        </is>
      </c>
      <c r="B298" s="1" t="n">
        <v>44237</v>
      </c>
      <c r="C298" s="1" t="n">
        <v>45991</v>
      </c>
      <c r="D298" t="inlineStr">
        <is>
          <t>DALARNAS LÄN</t>
        </is>
      </c>
      <c r="E298" t="inlineStr">
        <is>
          <t>ORSA</t>
        </is>
      </c>
      <c r="F298" t="inlineStr">
        <is>
          <t>Övriga statliga verk och myndigheter</t>
        </is>
      </c>
      <c r="G298" t="n">
        <v>1.5</v>
      </c>
      <c r="H298" t="n">
        <v>0</v>
      </c>
      <c r="I298" t="n">
        <v>0</v>
      </c>
      <c r="J298" t="n">
        <v>0</v>
      </c>
      <c r="K298" t="n">
        <v>0</v>
      </c>
      <c r="L298" t="n">
        <v>0</v>
      </c>
      <c r="M298" t="n">
        <v>0</v>
      </c>
      <c r="N298" t="n">
        <v>0</v>
      </c>
      <c r="O298" t="n">
        <v>0</v>
      </c>
      <c r="P298" t="n">
        <v>0</v>
      </c>
      <c r="Q298" t="n">
        <v>0</v>
      </c>
      <c r="R298" s="2" t="inlineStr"/>
    </row>
    <row r="299" ht="15" customHeight="1">
      <c r="A299" t="inlineStr">
        <is>
          <t>A 34169-2023</t>
        </is>
      </c>
      <c r="B299" s="1" t="n">
        <v>45138.3071412037</v>
      </c>
      <c r="C299" s="1" t="n">
        <v>45991</v>
      </c>
      <c r="D299" t="inlineStr">
        <is>
          <t>DALARNAS LÄN</t>
        </is>
      </c>
      <c r="E299" t="inlineStr">
        <is>
          <t>ORSA</t>
        </is>
      </c>
      <c r="F299" t="inlineStr">
        <is>
          <t>Allmännings- och besparingsskogar</t>
        </is>
      </c>
      <c r="G299" t="n">
        <v>0.7</v>
      </c>
      <c r="H299" t="n">
        <v>0</v>
      </c>
      <c r="I299" t="n">
        <v>0</v>
      </c>
      <c r="J299" t="n">
        <v>0</v>
      </c>
      <c r="K299" t="n">
        <v>0</v>
      </c>
      <c r="L299" t="n">
        <v>0</v>
      </c>
      <c r="M299" t="n">
        <v>0</v>
      </c>
      <c r="N299" t="n">
        <v>0</v>
      </c>
      <c r="O299" t="n">
        <v>0</v>
      </c>
      <c r="P299" t="n">
        <v>0</v>
      </c>
      <c r="Q299" t="n">
        <v>0</v>
      </c>
      <c r="R299" s="2" t="inlineStr"/>
    </row>
    <row r="300" ht="15" customHeight="1">
      <c r="A300" t="inlineStr">
        <is>
          <t>A 54509-2025</t>
        </is>
      </c>
      <c r="B300" s="1" t="n">
        <v>45965.61920138889</v>
      </c>
      <c r="C300" s="1" t="n">
        <v>45991</v>
      </c>
      <c r="D300" t="inlineStr">
        <is>
          <t>DALARNAS LÄN</t>
        </is>
      </c>
      <c r="E300" t="inlineStr">
        <is>
          <t>ORSA</t>
        </is>
      </c>
      <c r="G300" t="n">
        <v>1.7</v>
      </c>
      <c r="H300" t="n">
        <v>0</v>
      </c>
      <c r="I300" t="n">
        <v>0</v>
      </c>
      <c r="J300" t="n">
        <v>0</v>
      </c>
      <c r="K300" t="n">
        <v>0</v>
      </c>
      <c r="L300" t="n">
        <v>0</v>
      </c>
      <c r="M300" t="n">
        <v>0</v>
      </c>
      <c r="N300" t="n">
        <v>0</v>
      </c>
      <c r="O300" t="n">
        <v>0</v>
      </c>
      <c r="P300" t="n">
        <v>0</v>
      </c>
      <c r="Q300" t="n">
        <v>0</v>
      </c>
      <c r="R300" s="2" t="inlineStr"/>
    </row>
    <row r="301" ht="15" customHeight="1">
      <c r="A301" t="inlineStr">
        <is>
          <t>A 7534-2025</t>
        </is>
      </c>
      <c r="B301" s="1" t="n">
        <v>45705.56287037037</v>
      </c>
      <c r="C301" s="1" t="n">
        <v>45991</v>
      </c>
      <c r="D301" t="inlineStr">
        <is>
          <t>DALARNAS LÄN</t>
        </is>
      </c>
      <c r="E301" t="inlineStr">
        <is>
          <t>ORSA</t>
        </is>
      </c>
      <c r="G301" t="n">
        <v>1.1</v>
      </c>
      <c r="H301" t="n">
        <v>0</v>
      </c>
      <c r="I301" t="n">
        <v>0</v>
      </c>
      <c r="J301" t="n">
        <v>0</v>
      </c>
      <c r="K301" t="n">
        <v>0</v>
      </c>
      <c r="L301" t="n">
        <v>0</v>
      </c>
      <c r="M301" t="n">
        <v>0</v>
      </c>
      <c r="N301" t="n">
        <v>0</v>
      </c>
      <c r="O301" t="n">
        <v>0</v>
      </c>
      <c r="P301" t="n">
        <v>0</v>
      </c>
      <c r="Q301" t="n">
        <v>0</v>
      </c>
      <c r="R301" s="2" t="inlineStr"/>
    </row>
    <row r="302" ht="15" customHeight="1">
      <c r="A302" t="inlineStr">
        <is>
          <t>A 27146-2021</t>
        </is>
      </c>
      <c r="B302" s="1" t="n">
        <v>44350</v>
      </c>
      <c r="C302" s="1" t="n">
        <v>45991</v>
      </c>
      <c r="D302" t="inlineStr">
        <is>
          <t>DALARNAS LÄN</t>
        </is>
      </c>
      <c r="E302" t="inlineStr">
        <is>
          <t>ORSA</t>
        </is>
      </c>
      <c r="G302" t="n">
        <v>1</v>
      </c>
      <c r="H302" t="n">
        <v>0</v>
      </c>
      <c r="I302" t="n">
        <v>0</v>
      </c>
      <c r="J302" t="n">
        <v>0</v>
      </c>
      <c r="K302" t="n">
        <v>0</v>
      </c>
      <c r="L302" t="n">
        <v>0</v>
      </c>
      <c r="M302" t="n">
        <v>0</v>
      </c>
      <c r="N302" t="n">
        <v>0</v>
      </c>
      <c r="O302" t="n">
        <v>0</v>
      </c>
      <c r="P302" t="n">
        <v>0</v>
      </c>
      <c r="Q302" t="n">
        <v>0</v>
      </c>
      <c r="R302" s="2" t="inlineStr"/>
    </row>
    <row r="303" ht="15" customHeight="1">
      <c r="A303" t="inlineStr">
        <is>
          <t>A 58793-2023</t>
        </is>
      </c>
      <c r="B303" s="1" t="n">
        <v>45252.34607638889</v>
      </c>
      <c r="C303" s="1" t="n">
        <v>45991</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36633-2025</t>
        </is>
      </c>
      <c r="B304" s="1" t="n">
        <v>45870</v>
      </c>
      <c r="C304" s="1" t="n">
        <v>45991</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36427-2023</t>
        </is>
      </c>
      <c r="B305" s="1" t="n">
        <v>45152.60333333333</v>
      </c>
      <c r="C305" s="1" t="n">
        <v>45991</v>
      </c>
      <c r="D305" t="inlineStr">
        <is>
          <t>DALARNAS LÄN</t>
        </is>
      </c>
      <c r="E305" t="inlineStr">
        <is>
          <t>ORSA</t>
        </is>
      </c>
      <c r="F305" t="inlineStr">
        <is>
          <t>Bergvik skog öst AB</t>
        </is>
      </c>
      <c r="G305" t="n">
        <v>1.2</v>
      </c>
      <c r="H305" t="n">
        <v>0</v>
      </c>
      <c r="I305" t="n">
        <v>0</v>
      </c>
      <c r="J305" t="n">
        <v>0</v>
      </c>
      <c r="K305" t="n">
        <v>0</v>
      </c>
      <c r="L305" t="n">
        <v>0</v>
      </c>
      <c r="M305" t="n">
        <v>0</v>
      </c>
      <c r="N305" t="n">
        <v>0</v>
      </c>
      <c r="O305" t="n">
        <v>0</v>
      </c>
      <c r="P305" t="n">
        <v>0</v>
      </c>
      <c r="Q305" t="n">
        <v>0</v>
      </c>
      <c r="R305" s="2" t="inlineStr"/>
    </row>
    <row r="306" ht="15" customHeight="1">
      <c r="A306" t="inlineStr">
        <is>
          <t>A 29025-2023</t>
        </is>
      </c>
      <c r="B306" s="1" t="n">
        <v>45104.70399305555</v>
      </c>
      <c r="C306" s="1" t="n">
        <v>45991</v>
      </c>
      <c r="D306" t="inlineStr">
        <is>
          <t>DALARNAS LÄN</t>
        </is>
      </c>
      <c r="E306" t="inlineStr">
        <is>
          <t>ORSA</t>
        </is>
      </c>
      <c r="G306" t="n">
        <v>6.6</v>
      </c>
      <c r="H306" t="n">
        <v>0</v>
      </c>
      <c r="I306" t="n">
        <v>0</v>
      </c>
      <c r="J306" t="n">
        <v>0</v>
      </c>
      <c r="K306" t="n">
        <v>0</v>
      </c>
      <c r="L306" t="n">
        <v>0</v>
      </c>
      <c r="M306" t="n">
        <v>0</v>
      </c>
      <c r="N306" t="n">
        <v>0</v>
      </c>
      <c r="O306" t="n">
        <v>0</v>
      </c>
      <c r="P306" t="n">
        <v>0</v>
      </c>
      <c r="Q306" t="n">
        <v>0</v>
      </c>
      <c r="R306" s="2" t="inlineStr"/>
    </row>
    <row r="307" ht="15" customHeight="1">
      <c r="A307" t="inlineStr">
        <is>
          <t>A 54676-2025</t>
        </is>
      </c>
      <c r="B307" s="1" t="n">
        <v>45966.42188657408</v>
      </c>
      <c r="C307" s="1" t="n">
        <v>45991</v>
      </c>
      <c r="D307" t="inlineStr">
        <is>
          <t>DALARNAS LÄN</t>
        </is>
      </c>
      <c r="E307" t="inlineStr">
        <is>
          <t>ORSA</t>
        </is>
      </c>
      <c r="F307" t="inlineStr">
        <is>
          <t>Allmännings- och besparingsskogar</t>
        </is>
      </c>
      <c r="G307" t="n">
        <v>4.6</v>
      </c>
      <c r="H307" t="n">
        <v>0</v>
      </c>
      <c r="I307" t="n">
        <v>0</v>
      </c>
      <c r="J307" t="n">
        <v>0</v>
      </c>
      <c r="K307" t="n">
        <v>0</v>
      </c>
      <c r="L307" t="n">
        <v>0</v>
      </c>
      <c r="M307" t="n">
        <v>0</v>
      </c>
      <c r="N307" t="n">
        <v>0</v>
      </c>
      <c r="O307" t="n">
        <v>0</v>
      </c>
      <c r="P307" t="n">
        <v>0</v>
      </c>
      <c r="Q307" t="n">
        <v>0</v>
      </c>
      <c r="R307" s="2" t="inlineStr"/>
    </row>
    <row r="308" ht="15" customHeight="1">
      <c r="A308" t="inlineStr">
        <is>
          <t>A 54782-2025</t>
        </is>
      </c>
      <c r="B308" s="1" t="n">
        <v>45966.61878472222</v>
      </c>
      <c r="C308" s="1" t="n">
        <v>45991</v>
      </c>
      <c r="D308" t="inlineStr">
        <is>
          <t>DALARNAS LÄN</t>
        </is>
      </c>
      <c r="E308" t="inlineStr">
        <is>
          <t>ORSA</t>
        </is>
      </c>
      <c r="G308" t="n">
        <v>3.8</v>
      </c>
      <c r="H308" t="n">
        <v>0</v>
      </c>
      <c r="I308" t="n">
        <v>0</v>
      </c>
      <c r="J308" t="n">
        <v>0</v>
      </c>
      <c r="K308" t="n">
        <v>0</v>
      </c>
      <c r="L308" t="n">
        <v>0</v>
      </c>
      <c r="M308" t="n">
        <v>0</v>
      </c>
      <c r="N308" t="n">
        <v>0</v>
      </c>
      <c r="O308" t="n">
        <v>0</v>
      </c>
      <c r="P308" t="n">
        <v>0</v>
      </c>
      <c r="Q308" t="n">
        <v>0</v>
      </c>
      <c r="R308" s="2" t="inlineStr"/>
    </row>
    <row r="309" ht="15" customHeight="1">
      <c r="A309" t="inlineStr">
        <is>
          <t>A 6171-2025</t>
        </is>
      </c>
      <c r="B309" s="1" t="n">
        <v>45698.43287037037</v>
      </c>
      <c r="C309" s="1" t="n">
        <v>45991</v>
      </c>
      <c r="D309" t="inlineStr">
        <is>
          <t>DALARNAS LÄN</t>
        </is>
      </c>
      <c r="E309" t="inlineStr">
        <is>
          <t>ORSA</t>
        </is>
      </c>
      <c r="G309" t="n">
        <v>11.1</v>
      </c>
      <c r="H309" t="n">
        <v>0</v>
      </c>
      <c r="I309" t="n">
        <v>0</v>
      </c>
      <c r="J309" t="n">
        <v>0</v>
      </c>
      <c r="K309" t="n">
        <v>0</v>
      </c>
      <c r="L309" t="n">
        <v>0</v>
      </c>
      <c r="M309" t="n">
        <v>0</v>
      </c>
      <c r="N309" t="n">
        <v>0</v>
      </c>
      <c r="O309" t="n">
        <v>0</v>
      </c>
      <c r="P309" t="n">
        <v>0</v>
      </c>
      <c r="Q309" t="n">
        <v>0</v>
      </c>
      <c r="R309" s="2" t="inlineStr"/>
    </row>
    <row r="310" ht="15" customHeight="1">
      <c r="A310" t="inlineStr">
        <is>
          <t>A 46242-2025</t>
        </is>
      </c>
      <c r="B310" s="1" t="n">
        <v>45925.31876157408</v>
      </c>
      <c r="C310" s="1" t="n">
        <v>45991</v>
      </c>
      <c r="D310" t="inlineStr">
        <is>
          <t>DALARNAS LÄN</t>
        </is>
      </c>
      <c r="E310" t="inlineStr">
        <is>
          <t>ORSA</t>
        </is>
      </c>
      <c r="G310" t="n">
        <v>5.6</v>
      </c>
      <c r="H310" t="n">
        <v>0</v>
      </c>
      <c r="I310" t="n">
        <v>0</v>
      </c>
      <c r="J310" t="n">
        <v>0</v>
      </c>
      <c r="K310" t="n">
        <v>0</v>
      </c>
      <c r="L310" t="n">
        <v>0</v>
      </c>
      <c r="M310" t="n">
        <v>0</v>
      </c>
      <c r="N310" t="n">
        <v>0</v>
      </c>
      <c r="O310" t="n">
        <v>0</v>
      </c>
      <c r="P310" t="n">
        <v>0</v>
      </c>
      <c r="Q310" t="n">
        <v>0</v>
      </c>
      <c r="R310" s="2" t="inlineStr"/>
    </row>
    <row r="311" ht="15" customHeight="1">
      <c r="A311" t="inlineStr">
        <is>
          <t>A 54776-2025</t>
        </is>
      </c>
      <c r="B311" s="1" t="n">
        <v>45966.61395833334</v>
      </c>
      <c r="C311" s="1" t="n">
        <v>45991</v>
      </c>
      <c r="D311" t="inlineStr">
        <is>
          <t>DALARNAS LÄN</t>
        </is>
      </c>
      <c r="E311" t="inlineStr">
        <is>
          <t>ORSA</t>
        </is>
      </c>
      <c r="G311" t="n">
        <v>4.8</v>
      </c>
      <c r="H311" t="n">
        <v>0</v>
      </c>
      <c r="I311" t="n">
        <v>0</v>
      </c>
      <c r="J311" t="n">
        <v>0</v>
      </c>
      <c r="K311" t="n">
        <v>0</v>
      </c>
      <c r="L311" t="n">
        <v>0</v>
      </c>
      <c r="M311" t="n">
        <v>0</v>
      </c>
      <c r="N311" t="n">
        <v>0</v>
      </c>
      <c r="O311" t="n">
        <v>0</v>
      </c>
      <c r="P311" t="n">
        <v>0</v>
      </c>
      <c r="Q311" t="n">
        <v>0</v>
      </c>
      <c r="R311" s="2" t="inlineStr"/>
    </row>
    <row r="312" ht="15" customHeight="1">
      <c r="A312" t="inlineStr">
        <is>
          <t>A 46402-2025</t>
        </is>
      </c>
      <c r="B312" s="1" t="n">
        <v>45925.56084490741</v>
      </c>
      <c r="C312" s="1" t="n">
        <v>45991</v>
      </c>
      <c r="D312" t="inlineStr">
        <is>
          <t>DALARNAS LÄN</t>
        </is>
      </c>
      <c r="E312" t="inlineStr">
        <is>
          <t>ORSA</t>
        </is>
      </c>
      <c r="F312" t="inlineStr">
        <is>
          <t>Allmännings- och besparingsskogar</t>
        </is>
      </c>
      <c r="G312" t="n">
        <v>0.7</v>
      </c>
      <c r="H312" t="n">
        <v>0</v>
      </c>
      <c r="I312" t="n">
        <v>0</v>
      </c>
      <c r="J312" t="n">
        <v>0</v>
      </c>
      <c r="K312" t="n">
        <v>0</v>
      </c>
      <c r="L312" t="n">
        <v>0</v>
      </c>
      <c r="M312" t="n">
        <v>0</v>
      </c>
      <c r="N312" t="n">
        <v>0</v>
      </c>
      <c r="O312" t="n">
        <v>0</v>
      </c>
      <c r="P312" t="n">
        <v>0</v>
      </c>
      <c r="Q312" t="n">
        <v>0</v>
      </c>
      <c r="R312" s="2" t="inlineStr"/>
    </row>
    <row r="313" ht="15" customHeight="1">
      <c r="A313" t="inlineStr">
        <is>
          <t>A 46277-2025</t>
        </is>
      </c>
      <c r="B313" s="1" t="n">
        <v>45925.37229166667</v>
      </c>
      <c r="C313" s="1" t="n">
        <v>45991</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46279-2025</t>
        </is>
      </c>
      <c r="B314" s="1" t="n">
        <v>45925.37534722222</v>
      </c>
      <c r="C314" s="1" t="n">
        <v>45991</v>
      </c>
      <c r="D314" t="inlineStr">
        <is>
          <t>DALARNAS LÄN</t>
        </is>
      </c>
      <c r="E314" t="inlineStr">
        <is>
          <t>ORSA</t>
        </is>
      </c>
      <c r="G314" t="n">
        <v>2.2</v>
      </c>
      <c r="H314" t="n">
        <v>0</v>
      </c>
      <c r="I314" t="n">
        <v>0</v>
      </c>
      <c r="J314" t="n">
        <v>0</v>
      </c>
      <c r="K314" t="n">
        <v>0</v>
      </c>
      <c r="L314" t="n">
        <v>0</v>
      </c>
      <c r="M314" t="n">
        <v>0</v>
      </c>
      <c r="N314" t="n">
        <v>0</v>
      </c>
      <c r="O314" t="n">
        <v>0</v>
      </c>
      <c r="P314" t="n">
        <v>0</v>
      </c>
      <c r="Q314" t="n">
        <v>0</v>
      </c>
      <c r="R314" s="2" t="inlineStr"/>
    </row>
    <row r="315" ht="15" customHeight="1">
      <c r="A315" t="inlineStr">
        <is>
          <t>A 13209-2022</t>
        </is>
      </c>
      <c r="B315" s="1" t="n">
        <v>44644.56325231482</v>
      </c>
      <c r="C315" s="1" t="n">
        <v>45991</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37181-2025</t>
        </is>
      </c>
      <c r="B316" s="1" t="n">
        <v>45875.62668981482</v>
      </c>
      <c r="C316" s="1" t="n">
        <v>45991</v>
      </c>
      <c r="D316" t="inlineStr">
        <is>
          <t>DALARNAS LÄN</t>
        </is>
      </c>
      <c r="E316" t="inlineStr">
        <is>
          <t>ORSA</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54726-2025</t>
        </is>
      </c>
      <c r="B317" s="1" t="n">
        <v>45966.54658564815</v>
      </c>
      <c r="C317" s="1" t="n">
        <v>45991</v>
      </c>
      <c r="D317" t="inlineStr">
        <is>
          <t>DALARNAS LÄN</t>
        </is>
      </c>
      <c r="E317" t="inlineStr">
        <is>
          <t>ORSA</t>
        </is>
      </c>
      <c r="G317" t="n">
        <v>4.8</v>
      </c>
      <c r="H317" t="n">
        <v>0</v>
      </c>
      <c r="I317" t="n">
        <v>0</v>
      </c>
      <c r="J317" t="n">
        <v>0</v>
      </c>
      <c r="K317" t="n">
        <v>0</v>
      </c>
      <c r="L317" t="n">
        <v>0</v>
      </c>
      <c r="M317" t="n">
        <v>0</v>
      </c>
      <c r="N317" t="n">
        <v>0</v>
      </c>
      <c r="O317" t="n">
        <v>0</v>
      </c>
      <c r="P317" t="n">
        <v>0</v>
      </c>
      <c r="Q317" t="n">
        <v>0</v>
      </c>
      <c r="R317" s="2" t="inlineStr"/>
    </row>
    <row r="318" ht="15" customHeight="1">
      <c r="A318" t="inlineStr">
        <is>
          <t>A 46421-2025</t>
        </is>
      </c>
      <c r="B318" s="1" t="n">
        <v>45925.59936342593</v>
      </c>
      <c r="C318" s="1" t="n">
        <v>45991</v>
      </c>
      <c r="D318" t="inlineStr">
        <is>
          <t>DALARNAS LÄN</t>
        </is>
      </c>
      <c r="E318" t="inlineStr">
        <is>
          <t>ORSA</t>
        </is>
      </c>
      <c r="F318" t="inlineStr">
        <is>
          <t>Allmännings- och besparingsskogar</t>
        </is>
      </c>
      <c r="G318" t="n">
        <v>6.2</v>
      </c>
      <c r="H318" t="n">
        <v>0</v>
      </c>
      <c r="I318" t="n">
        <v>0</v>
      </c>
      <c r="J318" t="n">
        <v>0</v>
      </c>
      <c r="K318" t="n">
        <v>0</v>
      </c>
      <c r="L318" t="n">
        <v>0</v>
      </c>
      <c r="M318" t="n">
        <v>0</v>
      </c>
      <c r="N318" t="n">
        <v>0</v>
      </c>
      <c r="O318" t="n">
        <v>0</v>
      </c>
      <c r="P318" t="n">
        <v>0</v>
      </c>
      <c r="Q318" t="n">
        <v>0</v>
      </c>
      <c r="R318" s="2" t="inlineStr"/>
    </row>
    <row r="319" ht="15" customHeight="1">
      <c r="A319" t="inlineStr">
        <is>
          <t>A 46272-2025</t>
        </is>
      </c>
      <c r="B319" s="1" t="n">
        <v>45925.36988425926</v>
      </c>
      <c r="C319" s="1" t="n">
        <v>45991</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26301-2023</t>
        </is>
      </c>
      <c r="B320" s="1" t="n">
        <v>45091</v>
      </c>
      <c r="C320" s="1" t="n">
        <v>45991</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13236-2022</t>
        </is>
      </c>
      <c r="B321" s="1" t="n">
        <v>44644.61106481482</v>
      </c>
      <c r="C321" s="1" t="n">
        <v>45991</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8429-2024</t>
        </is>
      </c>
      <c r="B322" s="1" t="n">
        <v>45353.38880787037</v>
      </c>
      <c r="C322" s="1" t="n">
        <v>45991</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37439-2025</t>
        </is>
      </c>
      <c r="B323" s="1" t="n">
        <v>45877.53644675926</v>
      </c>
      <c r="C323" s="1" t="n">
        <v>45991</v>
      </c>
      <c r="D323" t="inlineStr">
        <is>
          <t>DALARNAS LÄN</t>
        </is>
      </c>
      <c r="E323" t="inlineStr">
        <is>
          <t>ORSA</t>
        </is>
      </c>
      <c r="F323" t="inlineStr">
        <is>
          <t>Allmännings- och besparingsskogar</t>
        </is>
      </c>
      <c r="G323" t="n">
        <v>7.9</v>
      </c>
      <c r="H323" t="n">
        <v>0</v>
      </c>
      <c r="I323" t="n">
        <v>0</v>
      </c>
      <c r="J323" t="n">
        <v>0</v>
      </c>
      <c r="K323" t="n">
        <v>0</v>
      </c>
      <c r="L323" t="n">
        <v>0</v>
      </c>
      <c r="M323" t="n">
        <v>0</v>
      </c>
      <c r="N323" t="n">
        <v>0</v>
      </c>
      <c r="O323" t="n">
        <v>0</v>
      </c>
      <c r="P323" t="n">
        <v>0</v>
      </c>
      <c r="Q323" t="n">
        <v>0</v>
      </c>
      <c r="R323" s="2" t="inlineStr"/>
    </row>
    <row r="324" ht="15" customHeight="1">
      <c r="A324" t="inlineStr">
        <is>
          <t>A 37457-2025</t>
        </is>
      </c>
      <c r="B324" s="1" t="n">
        <v>45877.56829861111</v>
      </c>
      <c r="C324" s="1" t="n">
        <v>45991</v>
      </c>
      <c r="D324" t="inlineStr">
        <is>
          <t>DALARNAS LÄN</t>
        </is>
      </c>
      <c r="E324" t="inlineStr">
        <is>
          <t>ORSA</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37496-2025</t>
        </is>
      </c>
      <c r="B325" s="1" t="n">
        <v>45877.64424768519</v>
      </c>
      <c r="C325" s="1" t="n">
        <v>45991</v>
      </c>
      <c r="D325" t="inlineStr">
        <is>
          <t>DALARNAS LÄN</t>
        </is>
      </c>
      <c r="E325" t="inlineStr">
        <is>
          <t>ORSA</t>
        </is>
      </c>
      <c r="F325" t="inlineStr">
        <is>
          <t>Bergvik skog öst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54773-2025</t>
        </is>
      </c>
      <c r="B326" s="1" t="n">
        <v>45966.61081018519</v>
      </c>
      <c r="C326" s="1" t="n">
        <v>45991</v>
      </c>
      <c r="D326" t="inlineStr">
        <is>
          <t>DALARNAS LÄN</t>
        </is>
      </c>
      <c r="E326" t="inlineStr">
        <is>
          <t>ORSA</t>
        </is>
      </c>
      <c r="G326" t="n">
        <v>3.6</v>
      </c>
      <c r="H326" t="n">
        <v>0</v>
      </c>
      <c r="I326" t="n">
        <v>0</v>
      </c>
      <c r="J326" t="n">
        <v>0</v>
      </c>
      <c r="K326" t="n">
        <v>0</v>
      </c>
      <c r="L326" t="n">
        <v>0</v>
      </c>
      <c r="M326" t="n">
        <v>0</v>
      </c>
      <c r="N326" t="n">
        <v>0</v>
      </c>
      <c r="O326" t="n">
        <v>0</v>
      </c>
      <c r="P326" t="n">
        <v>0</v>
      </c>
      <c r="Q326" t="n">
        <v>0</v>
      </c>
      <c r="R326" s="2" t="inlineStr"/>
    </row>
    <row r="327" ht="15" customHeight="1">
      <c r="A327" t="inlineStr">
        <is>
          <t>A 37445-2025</t>
        </is>
      </c>
      <c r="B327" s="1" t="n">
        <v>45877.54615740741</v>
      </c>
      <c r="C327" s="1" t="n">
        <v>45991</v>
      </c>
      <c r="D327" t="inlineStr">
        <is>
          <t>DALARNAS LÄN</t>
        </is>
      </c>
      <c r="E327" t="inlineStr">
        <is>
          <t>ORSA</t>
        </is>
      </c>
      <c r="F327" t="inlineStr">
        <is>
          <t>Bergvik skog öst AB</t>
        </is>
      </c>
      <c r="G327" t="n">
        <v>13.4</v>
      </c>
      <c r="H327" t="n">
        <v>0</v>
      </c>
      <c r="I327" t="n">
        <v>0</v>
      </c>
      <c r="J327" t="n">
        <v>0</v>
      </c>
      <c r="K327" t="n">
        <v>0</v>
      </c>
      <c r="L327" t="n">
        <v>0</v>
      </c>
      <c r="M327" t="n">
        <v>0</v>
      </c>
      <c r="N327" t="n">
        <v>0</v>
      </c>
      <c r="O327" t="n">
        <v>0</v>
      </c>
      <c r="P327" t="n">
        <v>0</v>
      </c>
      <c r="Q327" t="n">
        <v>0</v>
      </c>
      <c r="R327" s="2" t="inlineStr"/>
    </row>
    <row r="328" ht="15" customHeight="1">
      <c r="A328" t="inlineStr">
        <is>
          <t>A 37897-2025</t>
        </is>
      </c>
      <c r="B328" s="1" t="n">
        <v>45881.55274305555</v>
      </c>
      <c r="C328" s="1" t="n">
        <v>45991</v>
      </c>
      <c r="D328" t="inlineStr">
        <is>
          <t>DALARNAS LÄN</t>
        </is>
      </c>
      <c r="E328" t="inlineStr">
        <is>
          <t>ORSA</t>
        </is>
      </c>
      <c r="G328" t="n">
        <v>1.9</v>
      </c>
      <c r="H328" t="n">
        <v>0</v>
      </c>
      <c r="I328" t="n">
        <v>0</v>
      </c>
      <c r="J328" t="n">
        <v>0</v>
      </c>
      <c r="K328" t="n">
        <v>0</v>
      </c>
      <c r="L328" t="n">
        <v>0</v>
      </c>
      <c r="M328" t="n">
        <v>0</v>
      </c>
      <c r="N328" t="n">
        <v>0</v>
      </c>
      <c r="O328" t="n">
        <v>0</v>
      </c>
      <c r="P328" t="n">
        <v>0</v>
      </c>
      <c r="Q328" t="n">
        <v>0</v>
      </c>
      <c r="R328" s="2" t="inlineStr"/>
    </row>
    <row r="329" ht="15" customHeight="1">
      <c r="A329" t="inlineStr">
        <is>
          <t>A 37899-2025</t>
        </is>
      </c>
      <c r="B329" s="1" t="n">
        <v>45881.56083333334</v>
      </c>
      <c r="C329" s="1" t="n">
        <v>45991</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47579-2023</t>
        </is>
      </c>
      <c r="B330" s="1" t="n">
        <v>45203.42181712963</v>
      </c>
      <c r="C330" s="1" t="n">
        <v>45991</v>
      </c>
      <c r="D330" t="inlineStr">
        <is>
          <t>DALARNAS LÄN</t>
        </is>
      </c>
      <c r="E330" t="inlineStr">
        <is>
          <t>ORSA</t>
        </is>
      </c>
      <c r="G330" t="n">
        <v>2.9</v>
      </c>
      <c r="H330" t="n">
        <v>0</v>
      </c>
      <c r="I330" t="n">
        <v>0</v>
      </c>
      <c r="J330" t="n">
        <v>0</v>
      </c>
      <c r="K330" t="n">
        <v>0</v>
      </c>
      <c r="L330" t="n">
        <v>0</v>
      </c>
      <c r="M330" t="n">
        <v>0</v>
      </c>
      <c r="N330" t="n">
        <v>0</v>
      </c>
      <c r="O330" t="n">
        <v>0</v>
      </c>
      <c r="P330" t="n">
        <v>0</v>
      </c>
      <c r="Q330" t="n">
        <v>0</v>
      </c>
      <c r="R330" s="2" t="inlineStr"/>
    </row>
    <row r="331" ht="15" customHeight="1">
      <c r="A331" t="inlineStr">
        <is>
          <t>A 37893-2025</t>
        </is>
      </c>
      <c r="B331" s="1" t="n">
        <v>45881.54469907407</v>
      </c>
      <c r="C331" s="1" t="n">
        <v>45991</v>
      </c>
      <c r="D331" t="inlineStr">
        <is>
          <t>DALARNAS LÄN</t>
        </is>
      </c>
      <c r="E331" t="inlineStr">
        <is>
          <t>ORSA</t>
        </is>
      </c>
      <c r="G331" t="n">
        <v>4.4</v>
      </c>
      <c r="H331" t="n">
        <v>0</v>
      </c>
      <c r="I331" t="n">
        <v>0</v>
      </c>
      <c r="J331" t="n">
        <v>0</v>
      </c>
      <c r="K331" t="n">
        <v>0</v>
      </c>
      <c r="L331" t="n">
        <v>0</v>
      </c>
      <c r="M331" t="n">
        <v>0</v>
      </c>
      <c r="N331" t="n">
        <v>0</v>
      </c>
      <c r="O331" t="n">
        <v>0</v>
      </c>
      <c r="P331" t="n">
        <v>0</v>
      </c>
      <c r="Q331" t="n">
        <v>0</v>
      </c>
      <c r="R331" s="2" t="inlineStr"/>
    </row>
    <row r="332" ht="15" customHeight="1">
      <c r="A332" t="inlineStr">
        <is>
          <t>A 37906-2025</t>
        </is>
      </c>
      <c r="B332" s="1" t="n">
        <v>45881.56803240741</v>
      </c>
      <c r="C332" s="1" t="n">
        <v>45991</v>
      </c>
      <c r="D332" t="inlineStr">
        <is>
          <t>DALARNAS LÄN</t>
        </is>
      </c>
      <c r="E332" t="inlineStr">
        <is>
          <t>ORSA</t>
        </is>
      </c>
      <c r="G332" t="n">
        <v>1</v>
      </c>
      <c r="H332" t="n">
        <v>0</v>
      </c>
      <c r="I332" t="n">
        <v>0</v>
      </c>
      <c r="J332" t="n">
        <v>0</v>
      </c>
      <c r="K332" t="n">
        <v>0</v>
      </c>
      <c r="L332" t="n">
        <v>0</v>
      </c>
      <c r="M332" t="n">
        <v>0</v>
      </c>
      <c r="N332" t="n">
        <v>0</v>
      </c>
      <c r="O332" t="n">
        <v>0</v>
      </c>
      <c r="P332" t="n">
        <v>0</v>
      </c>
      <c r="Q332" t="n">
        <v>0</v>
      </c>
      <c r="R332" s="2" t="inlineStr"/>
    </row>
    <row r="333" ht="15" customHeight="1">
      <c r="A333" t="inlineStr">
        <is>
          <t>A 55105-2025</t>
        </is>
      </c>
      <c r="B333" s="1" t="n">
        <v>45968.36422453704</v>
      </c>
      <c r="C333" s="1" t="n">
        <v>45991</v>
      </c>
      <c r="D333" t="inlineStr">
        <is>
          <t>DALARNAS LÄN</t>
        </is>
      </c>
      <c r="E333" t="inlineStr">
        <is>
          <t>ORSA</t>
        </is>
      </c>
      <c r="F333" t="inlineStr">
        <is>
          <t>Allmännings- och besparingsskogar</t>
        </is>
      </c>
      <c r="G333" t="n">
        <v>31.5</v>
      </c>
      <c r="H333" t="n">
        <v>0</v>
      </c>
      <c r="I333" t="n">
        <v>0</v>
      </c>
      <c r="J333" t="n">
        <v>0</v>
      </c>
      <c r="K333" t="n">
        <v>0</v>
      </c>
      <c r="L333" t="n">
        <v>0</v>
      </c>
      <c r="M333" t="n">
        <v>0</v>
      </c>
      <c r="N333" t="n">
        <v>0</v>
      </c>
      <c r="O333" t="n">
        <v>0</v>
      </c>
      <c r="P333" t="n">
        <v>0</v>
      </c>
      <c r="Q333" t="n">
        <v>0</v>
      </c>
      <c r="R333" s="2" t="inlineStr"/>
    </row>
    <row r="334" ht="15" customHeight="1">
      <c r="A334" t="inlineStr">
        <is>
          <t>A 15114-2025</t>
        </is>
      </c>
      <c r="B334" s="1" t="n">
        <v>45744.36232638889</v>
      </c>
      <c r="C334" s="1" t="n">
        <v>45991</v>
      </c>
      <c r="D334" t="inlineStr">
        <is>
          <t>DALARNAS LÄN</t>
        </is>
      </c>
      <c r="E334" t="inlineStr">
        <is>
          <t>ORSA</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55405-2025</t>
        </is>
      </c>
      <c r="B335" s="1" t="n">
        <v>45971.45525462963</v>
      </c>
      <c r="C335" s="1" t="n">
        <v>45991</v>
      </c>
      <c r="D335" t="inlineStr">
        <is>
          <t>DALARNAS LÄN</t>
        </is>
      </c>
      <c r="E335" t="inlineStr">
        <is>
          <t>ORSA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38588-2025</t>
        </is>
      </c>
      <c r="B336" s="1" t="n">
        <v>45884.47355324074</v>
      </c>
      <c r="C336" s="1" t="n">
        <v>45991</v>
      </c>
      <c r="D336" t="inlineStr">
        <is>
          <t>DALARNAS LÄN</t>
        </is>
      </c>
      <c r="E336" t="inlineStr">
        <is>
          <t>ORSA</t>
        </is>
      </c>
      <c r="F336" t="inlineStr">
        <is>
          <t>Bergvik skog öst AB</t>
        </is>
      </c>
      <c r="G336" t="n">
        <v>9.5</v>
      </c>
      <c r="H336" t="n">
        <v>0</v>
      </c>
      <c r="I336" t="n">
        <v>0</v>
      </c>
      <c r="J336" t="n">
        <v>0</v>
      </c>
      <c r="K336" t="n">
        <v>0</v>
      </c>
      <c r="L336" t="n">
        <v>0</v>
      </c>
      <c r="M336" t="n">
        <v>0</v>
      </c>
      <c r="N336" t="n">
        <v>0</v>
      </c>
      <c r="O336" t="n">
        <v>0</v>
      </c>
      <c r="P336" t="n">
        <v>0</v>
      </c>
      <c r="Q336" t="n">
        <v>0</v>
      </c>
      <c r="R336" s="2" t="inlineStr"/>
    </row>
    <row r="337" ht="15" customHeight="1">
      <c r="A337" t="inlineStr">
        <is>
          <t>A 55369-2025</t>
        </is>
      </c>
      <c r="B337" s="1" t="n">
        <v>45971.41472222222</v>
      </c>
      <c r="C337" s="1" t="n">
        <v>45991</v>
      </c>
      <c r="D337" t="inlineStr">
        <is>
          <t>DALARNAS LÄN</t>
        </is>
      </c>
      <c r="E337" t="inlineStr">
        <is>
          <t>ORSA</t>
        </is>
      </c>
      <c r="F337" t="inlineStr">
        <is>
          <t>Bergvik skog öst AB</t>
        </is>
      </c>
      <c r="G337" t="n">
        <v>1.7</v>
      </c>
      <c r="H337" t="n">
        <v>0</v>
      </c>
      <c r="I337" t="n">
        <v>0</v>
      </c>
      <c r="J337" t="n">
        <v>0</v>
      </c>
      <c r="K337" t="n">
        <v>0</v>
      </c>
      <c r="L337" t="n">
        <v>0</v>
      </c>
      <c r="M337" t="n">
        <v>0</v>
      </c>
      <c r="N337" t="n">
        <v>0</v>
      </c>
      <c r="O337" t="n">
        <v>0</v>
      </c>
      <c r="P337" t="n">
        <v>0</v>
      </c>
      <c r="Q337" t="n">
        <v>0</v>
      </c>
      <c r="R337" s="2" t="inlineStr"/>
    </row>
    <row r="338" ht="15" customHeight="1">
      <c r="A338" t="inlineStr">
        <is>
          <t>A 6097-2025</t>
        </is>
      </c>
      <c r="B338" s="1" t="n">
        <v>45697</v>
      </c>
      <c r="C338" s="1" t="n">
        <v>45991</v>
      </c>
      <c r="D338" t="inlineStr">
        <is>
          <t>DALARNAS LÄN</t>
        </is>
      </c>
      <c r="E338" t="inlineStr">
        <is>
          <t>ORSA</t>
        </is>
      </c>
      <c r="G338" t="n">
        <v>11.1</v>
      </c>
      <c r="H338" t="n">
        <v>0</v>
      </c>
      <c r="I338" t="n">
        <v>0</v>
      </c>
      <c r="J338" t="n">
        <v>0</v>
      </c>
      <c r="K338" t="n">
        <v>0</v>
      </c>
      <c r="L338" t="n">
        <v>0</v>
      </c>
      <c r="M338" t="n">
        <v>0</v>
      </c>
      <c r="N338" t="n">
        <v>0</v>
      </c>
      <c r="O338" t="n">
        <v>0</v>
      </c>
      <c r="P338" t="n">
        <v>0</v>
      </c>
      <c r="Q338" t="n">
        <v>0</v>
      </c>
      <c r="R338" s="2" t="inlineStr"/>
    </row>
    <row r="339" ht="15" customHeight="1">
      <c r="A339" t="inlineStr">
        <is>
          <t>A 38844-2025</t>
        </is>
      </c>
      <c r="B339" s="1" t="n">
        <v>45887.54075231482</v>
      </c>
      <c r="C339" s="1" t="n">
        <v>45991</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13580-2025</t>
        </is>
      </c>
      <c r="B340" s="1" t="n">
        <v>45736.58362268518</v>
      </c>
      <c r="C340" s="1" t="n">
        <v>45991</v>
      </c>
      <c r="D340" t="inlineStr">
        <is>
          <t>DALARNAS LÄN</t>
        </is>
      </c>
      <c r="E340" t="inlineStr">
        <is>
          <t>ORSA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63917-2023</t>
        </is>
      </c>
      <c r="B341" s="1" t="n">
        <v>45278</v>
      </c>
      <c r="C341" s="1" t="n">
        <v>45991</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56473-2025</t>
        </is>
      </c>
      <c r="B342" s="1" t="n">
        <v>45975.38001157407</v>
      </c>
      <c r="C342" s="1" t="n">
        <v>45991</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16992-2025</t>
        </is>
      </c>
      <c r="B343" s="1" t="n">
        <v>45755.50215277778</v>
      </c>
      <c r="C343" s="1" t="n">
        <v>45991</v>
      </c>
      <c r="D343" t="inlineStr">
        <is>
          <t>DALARNAS LÄN</t>
        </is>
      </c>
      <c r="E343" t="inlineStr">
        <is>
          <t>ORSA</t>
        </is>
      </c>
      <c r="G343" t="n">
        <v>1.5</v>
      </c>
      <c r="H343" t="n">
        <v>0</v>
      </c>
      <c r="I343" t="n">
        <v>0</v>
      </c>
      <c r="J343" t="n">
        <v>0</v>
      </c>
      <c r="K343" t="n">
        <v>0</v>
      </c>
      <c r="L343" t="n">
        <v>0</v>
      </c>
      <c r="M343" t="n">
        <v>0</v>
      </c>
      <c r="N343" t="n">
        <v>0</v>
      </c>
      <c r="O343" t="n">
        <v>0</v>
      </c>
      <c r="P343" t="n">
        <v>0</v>
      </c>
      <c r="Q343" t="n">
        <v>0</v>
      </c>
      <c r="R343" s="2" t="inlineStr"/>
    </row>
    <row r="344" ht="15" customHeight="1">
      <c r="A344" t="inlineStr">
        <is>
          <t>A 56297-2025</t>
        </is>
      </c>
      <c r="B344" s="1" t="n">
        <v>45974.60431712963</v>
      </c>
      <c r="C344" s="1" t="n">
        <v>45991</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56344-2025</t>
        </is>
      </c>
      <c r="B345" s="1" t="n">
        <v>45974.64894675926</v>
      </c>
      <c r="C345" s="1" t="n">
        <v>45991</v>
      </c>
      <c r="D345" t="inlineStr">
        <is>
          <t>DALARNAS LÄN</t>
        </is>
      </c>
      <c r="E345" t="inlineStr">
        <is>
          <t>ORSA</t>
        </is>
      </c>
      <c r="G345" t="n">
        <v>5.5</v>
      </c>
      <c r="H345" t="n">
        <v>0</v>
      </c>
      <c r="I345" t="n">
        <v>0</v>
      </c>
      <c r="J345" t="n">
        <v>0</v>
      </c>
      <c r="K345" t="n">
        <v>0</v>
      </c>
      <c r="L345" t="n">
        <v>0</v>
      </c>
      <c r="M345" t="n">
        <v>0</v>
      </c>
      <c r="N345" t="n">
        <v>0</v>
      </c>
      <c r="O345" t="n">
        <v>0</v>
      </c>
      <c r="P345" t="n">
        <v>0</v>
      </c>
      <c r="Q345" t="n">
        <v>0</v>
      </c>
      <c r="R345" s="2" t="inlineStr"/>
    </row>
    <row r="346" ht="15" customHeight="1">
      <c r="A346" t="inlineStr">
        <is>
          <t>A 47953-2025</t>
        </is>
      </c>
      <c r="B346" s="1" t="n">
        <v>45932.5853125</v>
      </c>
      <c r="C346" s="1" t="n">
        <v>45991</v>
      </c>
      <c r="D346" t="inlineStr">
        <is>
          <t>DALARNAS LÄN</t>
        </is>
      </c>
      <c r="E346" t="inlineStr">
        <is>
          <t>ORSA</t>
        </is>
      </c>
      <c r="G346" t="n">
        <v>1.3</v>
      </c>
      <c r="H346" t="n">
        <v>0</v>
      </c>
      <c r="I346" t="n">
        <v>0</v>
      </c>
      <c r="J346" t="n">
        <v>0</v>
      </c>
      <c r="K346" t="n">
        <v>0</v>
      </c>
      <c r="L346" t="n">
        <v>0</v>
      </c>
      <c r="M346" t="n">
        <v>0</v>
      </c>
      <c r="N346" t="n">
        <v>0</v>
      </c>
      <c r="O346" t="n">
        <v>0</v>
      </c>
      <c r="P346" t="n">
        <v>0</v>
      </c>
      <c r="Q346" t="n">
        <v>0</v>
      </c>
      <c r="R346" s="2" t="inlineStr"/>
    </row>
    <row r="347" ht="15" customHeight="1">
      <c r="A347" t="inlineStr">
        <is>
          <t>A 56459-2025</t>
        </is>
      </c>
      <c r="B347" s="1" t="n">
        <v>45975.36898148148</v>
      </c>
      <c r="C347" s="1" t="n">
        <v>45991</v>
      </c>
      <c r="D347" t="inlineStr">
        <is>
          <t>DALARNAS LÄN</t>
        </is>
      </c>
      <c r="E347" t="inlineStr">
        <is>
          <t>ORSA</t>
        </is>
      </c>
      <c r="G347" t="n">
        <v>3.8</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45991</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48985-2023</t>
        </is>
      </c>
      <c r="B349" s="1" t="n">
        <v>45209.64077546296</v>
      </c>
      <c r="C349" s="1" t="n">
        <v>45991</v>
      </c>
      <c r="D349" t="inlineStr">
        <is>
          <t>DALARNAS LÄN</t>
        </is>
      </c>
      <c r="E349" t="inlineStr">
        <is>
          <t>ORSA</t>
        </is>
      </c>
      <c r="F349" t="inlineStr">
        <is>
          <t>Allmännings- och besparingsskogar</t>
        </is>
      </c>
      <c r="G349" t="n">
        <v>2.1</v>
      </c>
      <c r="H349" t="n">
        <v>0</v>
      </c>
      <c r="I349" t="n">
        <v>0</v>
      </c>
      <c r="J349" t="n">
        <v>0</v>
      </c>
      <c r="K349" t="n">
        <v>0</v>
      </c>
      <c r="L349" t="n">
        <v>0</v>
      </c>
      <c r="M349" t="n">
        <v>0</v>
      </c>
      <c r="N349" t="n">
        <v>0</v>
      </c>
      <c r="O349" t="n">
        <v>0</v>
      </c>
      <c r="P349" t="n">
        <v>0</v>
      </c>
      <c r="Q349" t="n">
        <v>0</v>
      </c>
      <c r="R349" s="2" t="inlineStr"/>
    </row>
    <row r="350" ht="15" customHeight="1">
      <c r="A350" t="inlineStr">
        <is>
          <t>A 42346-2022</t>
        </is>
      </c>
      <c r="B350" s="1" t="n">
        <v>44831.35561342593</v>
      </c>
      <c r="C350" s="1" t="n">
        <v>45991</v>
      </c>
      <c r="D350" t="inlineStr">
        <is>
          <t>DALARNAS LÄN</t>
        </is>
      </c>
      <c r="E350" t="inlineStr">
        <is>
          <t>ORSA</t>
        </is>
      </c>
      <c r="G350" t="n">
        <v>2.4</v>
      </c>
      <c r="H350" t="n">
        <v>0</v>
      </c>
      <c r="I350" t="n">
        <v>0</v>
      </c>
      <c r="J350" t="n">
        <v>0</v>
      </c>
      <c r="K350" t="n">
        <v>0</v>
      </c>
      <c r="L350" t="n">
        <v>0</v>
      </c>
      <c r="M350" t="n">
        <v>0</v>
      </c>
      <c r="N350" t="n">
        <v>0</v>
      </c>
      <c r="O350" t="n">
        <v>0</v>
      </c>
      <c r="P350" t="n">
        <v>0</v>
      </c>
      <c r="Q350" t="n">
        <v>0</v>
      </c>
      <c r="R350" s="2" t="inlineStr"/>
    </row>
    <row r="351" ht="15" customHeight="1">
      <c r="A351" t="inlineStr">
        <is>
          <t>A 56288-2025</t>
        </is>
      </c>
      <c r="B351" s="1" t="n">
        <v>45974.59688657407</v>
      </c>
      <c r="C351" s="1" t="n">
        <v>45991</v>
      </c>
      <c r="D351" t="inlineStr">
        <is>
          <t>DALARNAS LÄN</t>
        </is>
      </c>
      <c r="E351" t="inlineStr">
        <is>
          <t>ORSA</t>
        </is>
      </c>
      <c r="G351" t="n">
        <v>7.2</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45991</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28451-2023</t>
        </is>
      </c>
      <c r="B353" s="1" t="n">
        <v>45103.33896990741</v>
      </c>
      <c r="C353" s="1" t="n">
        <v>45991</v>
      </c>
      <c r="D353" t="inlineStr">
        <is>
          <t>DALARNAS LÄN</t>
        </is>
      </c>
      <c r="E353" t="inlineStr">
        <is>
          <t>ORSA</t>
        </is>
      </c>
      <c r="G353" t="n">
        <v>0.5</v>
      </c>
      <c r="H353" t="n">
        <v>0</v>
      </c>
      <c r="I353" t="n">
        <v>0</v>
      </c>
      <c r="J353" t="n">
        <v>0</v>
      </c>
      <c r="K353" t="n">
        <v>0</v>
      </c>
      <c r="L353" t="n">
        <v>0</v>
      </c>
      <c r="M353" t="n">
        <v>0</v>
      </c>
      <c r="N353" t="n">
        <v>0</v>
      </c>
      <c r="O353" t="n">
        <v>0</v>
      </c>
      <c r="P353" t="n">
        <v>0</v>
      </c>
      <c r="Q353" t="n">
        <v>0</v>
      </c>
      <c r="R353" s="2" t="inlineStr"/>
    </row>
    <row r="354" ht="15" customHeight="1">
      <c r="A354" t="inlineStr">
        <is>
          <t>A 48546-2025</t>
        </is>
      </c>
      <c r="B354" s="1" t="n">
        <v>45936.42172453704</v>
      </c>
      <c r="C354" s="1" t="n">
        <v>45991</v>
      </c>
      <c r="D354" t="inlineStr">
        <is>
          <t>DALARNAS LÄN</t>
        </is>
      </c>
      <c r="E354" t="inlineStr">
        <is>
          <t>ORSA</t>
        </is>
      </c>
      <c r="F354" t="inlineStr">
        <is>
          <t>Allmännings- och besparingsskogar</t>
        </is>
      </c>
      <c r="G354" t="n">
        <v>6</v>
      </c>
      <c r="H354" t="n">
        <v>0</v>
      </c>
      <c r="I354" t="n">
        <v>0</v>
      </c>
      <c r="J354" t="n">
        <v>0</v>
      </c>
      <c r="K354" t="n">
        <v>0</v>
      </c>
      <c r="L354" t="n">
        <v>0</v>
      </c>
      <c r="M354" t="n">
        <v>0</v>
      </c>
      <c r="N354" t="n">
        <v>0</v>
      </c>
      <c r="O354" t="n">
        <v>0</v>
      </c>
      <c r="P354" t="n">
        <v>0</v>
      </c>
      <c r="Q354" t="n">
        <v>0</v>
      </c>
      <c r="R354" s="2" t="inlineStr"/>
    </row>
    <row r="355" ht="15" customHeight="1">
      <c r="A355" t="inlineStr">
        <is>
          <t>A 56942-2024</t>
        </is>
      </c>
      <c r="B355" s="1" t="n">
        <v>45628.62292824074</v>
      </c>
      <c r="C355" s="1" t="n">
        <v>45991</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56813-2025</t>
        </is>
      </c>
      <c r="B356" s="1" t="n">
        <v>45978.45585648148</v>
      </c>
      <c r="C356" s="1" t="n">
        <v>45991</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57055-2025</t>
        </is>
      </c>
      <c r="B357" s="1" t="n">
        <v>45979.36299768519</v>
      </c>
      <c r="C357" s="1" t="n">
        <v>45991</v>
      </c>
      <c r="D357" t="inlineStr">
        <is>
          <t>DALARNAS LÄN</t>
        </is>
      </c>
      <c r="E357" t="inlineStr">
        <is>
          <t>ORSA</t>
        </is>
      </c>
      <c r="G357" t="n">
        <v>1.6</v>
      </c>
      <c r="H357" t="n">
        <v>0</v>
      </c>
      <c r="I357" t="n">
        <v>0</v>
      </c>
      <c r="J357" t="n">
        <v>0</v>
      </c>
      <c r="K357" t="n">
        <v>0</v>
      </c>
      <c r="L357" t="n">
        <v>0</v>
      </c>
      <c r="M357" t="n">
        <v>0</v>
      </c>
      <c r="N357" t="n">
        <v>0</v>
      </c>
      <c r="O357" t="n">
        <v>0</v>
      </c>
      <c r="P357" t="n">
        <v>0</v>
      </c>
      <c r="Q357" t="n">
        <v>0</v>
      </c>
      <c r="R357" s="2" t="inlineStr"/>
    </row>
    <row r="358" ht="15" customHeight="1">
      <c r="A358" t="inlineStr">
        <is>
          <t>A 48584-2025</t>
        </is>
      </c>
      <c r="B358" s="1" t="n">
        <v>45936.45788194444</v>
      </c>
      <c r="C358" s="1" t="n">
        <v>45991</v>
      </c>
      <c r="D358" t="inlineStr">
        <is>
          <t>DALARNAS LÄN</t>
        </is>
      </c>
      <c r="E358" t="inlineStr">
        <is>
          <t>ORSA</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52486-2025</t>
        </is>
      </c>
      <c r="B359" s="1" t="n">
        <v>45954.47844907407</v>
      </c>
      <c r="C359" s="1" t="n">
        <v>45991</v>
      </c>
      <c r="D359" t="inlineStr">
        <is>
          <t>DALARNAS LÄN</t>
        </is>
      </c>
      <c r="E359" t="inlineStr">
        <is>
          <t>ORSA</t>
        </is>
      </c>
      <c r="G359" t="n">
        <v>2.3</v>
      </c>
      <c r="H359" t="n">
        <v>0</v>
      </c>
      <c r="I359" t="n">
        <v>0</v>
      </c>
      <c r="J359" t="n">
        <v>0</v>
      </c>
      <c r="K359" t="n">
        <v>0</v>
      </c>
      <c r="L359" t="n">
        <v>0</v>
      </c>
      <c r="M359" t="n">
        <v>0</v>
      </c>
      <c r="N359" t="n">
        <v>0</v>
      </c>
      <c r="O359" t="n">
        <v>0</v>
      </c>
      <c r="P359" t="n">
        <v>0</v>
      </c>
      <c r="Q359" t="n">
        <v>0</v>
      </c>
      <c r="R359" s="2" t="inlineStr"/>
    </row>
    <row r="360" ht="15" customHeight="1">
      <c r="A360" t="inlineStr">
        <is>
          <t>A 48504-2025</t>
        </is>
      </c>
      <c r="B360" s="1" t="n">
        <v>45936.38270833333</v>
      </c>
      <c r="C360" s="1" t="n">
        <v>45991</v>
      </c>
      <c r="D360" t="inlineStr">
        <is>
          <t>DALARNAS LÄN</t>
        </is>
      </c>
      <c r="E360" t="inlineStr">
        <is>
          <t>ORSA</t>
        </is>
      </c>
      <c r="F360" t="inlineStr">
        <is>
          <t>Allmännings- och besparingsskogar</t>
        </is>
      </c>
      <c r="G360" t="n">
        <v>6.1</v>
      </c>
      <c r="H360" t="n">
        <v>0</v>
      </c>
      <c r="I360" t="n">
        <v>0</v>
      </c>
      <c r="J360" t="n">
        <v>0</v>
      </c>
      <c r="K360" t="n">
        <v>0</v>
      </c>
      <c r="L360" t="n">
        <v>0</v>
      </c>
      <c r="M360" t="n">
        <v>0</v>
      </c>
      <c r="N360" t="n">
        <v>0</v>
      </c>
      <c r="O360" t="n">
        <v>0</v>
      </c>
      <c r="P360" t="n">
        <v>0</v>
      </c>
      <c r="Q360" t="n">
        <v>0</v>
      </c>
      <c r="R360" s="2" t="inlineStr"/>
    </row>
    <row r="361" ht="15" customHeight="1">
      <c r="A361" t="inlineStr">
        <is>
          <t>A 49517-2025</t>
        </is>
      </c>
      <c r="B361" s="1" t="n">
        <v>45939.38850694444</v>
      </c>
      <c r="C361" s="1" t="n">
        <v>45991</v>
      </c>
      <c r="D361" t="inlineStr">
        <is>
          <t>DALARNAS LÄN</t>
        </is>
      </c>
      <c r="E361" t="inlineStr">
        <is>
          <t>ORSA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16777-2024</t>
        </is>
      </c>
      <c r="B362" s="1" t="n">
        <v>45411</v>
      </c>
      <c r="C362" s="1" t="n">
        <v>45991</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7626-2025</t>
        </is>
      </c>
      <c r="B363" s="1" t="n">
        <v>45705.72799768519</v>
      </c>
      <c r="C363" s="1" t="n">
        <v>45991</v>
      </c>
      <c r="D363" t="inlineStr">
        <is>
          <t>DALARNAS LÄN</t>
        </is>
      </c>
      <c r="E363" t="inlineStr">
        <is>
          <t>ORSA</t>
        </is>
      </c>
      <c r="G363" t="n">
        <v>15.5</v>
      </c>
      <c r="H363" t="n">
        <v>0</v>
      </c>
      <c r="I363" t="n">
        <v>0</v>
      </c>
      <c r="J363" t="n">
        <v>0</v>
      </c>
      <c r="K363" t="n">
        <v>0</v>
      </c>
      <c r="L363" t="n">
        <v>0</v>
      </c>
      <c r="M363" t="n">
        <v>0</v>
      </c>
      <c r="N363" t="n">
        <v>0</v>
      </c>
      <c r="O363" t="n">
        <v>0</v>
      </c>
      <c r="P363" t="n">
        <v>0</v>
      </c>
      <c r="Q363" t="n">
        <v>0</v>
      </c>
      <c r="R363" s="2" t="inlineStr"/>
    </row>
    <row r="364" ht="15" customHeight="1">
      <c r="A364" t="inlineStr">
        <is>
          <t>A 53102-2021</t>
        </is>
      </c>
      <c r="B364" s="1" t="n">
        <v>44467</v>
      </c>
      <c r="C364" s="1" t="n">
        <v>45991</v>
      </c>
      <c r="D364" t="inlineStr">
        <is>
          <t>DALARNAS LÄN</t>
        </is>
      </c>
      <c r="E364" t="inlineStr">
        <is>
          <t>ORSA</t>
        </is>
      </c>
      <c r="G364" t="n">
        <v>1.4</v>
      </c>
      <c r="H364" t="n">
        <v>0</v>
      </c>
      <c r="I364" t="n">
        <v>0</v>
      </c>
      <c r="J364" t="n">
        <v>0</v>
      </c>
      <c r="K364" t="n">
        <v>0</v>
      </c>
      <c r="L364" t="n">
        <v>0</v>
      </c>
      <c r="M364" t="n">
        <v>0</v>
      </c>
      <c r="N364" t="n">
        <v>0</v>
      </c>
      <c r="O364" t="n">
        <v>0</v>
      </c>
      <c r="P364" t="n">
        <v>0</v>
      </c>
      <c r="Q364" t="n">
        <v>0</v>
      </c>
      <c r="R364" s="2" t="inlineStr"/>
    </row>
    <row r="365" ht="15" customHeight="1">
      <c r="A365" t="inlineStr">
        <is>
          <t>A 6047-2023</t>
        </is>
      </c>
      <c r="B365" s="1" t="n">
        <v>44964</v>
      </c>
      <c r="C365" s="1" t="n">
        <v>45991</v>
      </c>
      <c r="D365" t="inlineStr">
        <is>
          <t>DALARNAS LÄN</t>
        </is>
      </c>
      <c r="E365" t="inlineStr">
        <is>
          <t>ORSA</t>
        </is>
      </c>
      <c r="F365" t="inlineStr">
        <is>
          <t>Bergvik skog öst AB</t>
        </is>
      </c>
      <c r="G365" t="n">
        <v>0.2</v>
      </c>
      <c r="H365" t="n">
        <v>0</v>
      </c>
      <c r="I365" t="n">
        <v>0</v>
      </c>
      <c r="J365" t="n">
        <v>0</v>
      </c>
      <c r="K365" t="n">
        <v>0</v>
      </c>
      <c r="L365" t="n">
        <v>0</v>
      </c>
      <c r="M365" t="n">
        <v>0</v>
      </c>
      <c r="N365" t="n">
        <v>0</v>
      </c>
      <c r="O365" t="n">
        <v>0</v>
      </c>
      <c r="P365" t="n">
        <v>0</v>
      </c>
      <c r="Q365" t="n">
        <v>0</v>
      </c>
      <c r="R365" s="2" t="inlineStr"/>
    </row>
    <row r="366" ht="15" customHeight="1">
      <c r="A366" t="inlineStr">
        <is>
          <t>A 49396-2025</t>
        </is>
      </c>
      <c r="B366" s="1" t="n">
        <v>45938.66181712963</v>
      </c>
      <c r="C366" s="1" t="n">
        <v>45991</v>
      </c>
      <c r="D366" t="inlineStr">
        <is>
          <t>DALARNAS LÄN</t>
        </is>
      </c>
      <c r="E366" t="inlineStr">
        <is>
          <t>ORSA</t>
        </is>
      </c>
      <c r="F366" t="inlineStr">
        <is>
          <t>Allmännings- och besparingsskogar</t>
        </is>
      </c>
      <c r="G366" t="n">
        <v>9.9</v>
      </c>
      <c r="H366" t="n">
        <v>0</v>
      </c>
      <c r="I366" t="n">
        <v>0</v>
      </c>
      <c r="J366" t="n">
        <v>0</v>
      </c>
      <c r="K366" t="n">
        <v>0</v>
      </c>
      <c r="L366" t="n">
        <v>0</v>
      </c>
      <c r="M366" t="n">
        <v>0</v>
      </c>
      <c r="N366" t="n">
        <v>0</v>
      </c>
      <c r="O366" t="n">
        <v>0</v>
      </c>
      <c r="P366" t="n">
        <v>0</v>
      </c>
      <c r="Q366" t="n">
        <v>0</v>
      </c>
      <c r="R366" s="2" t="inlineStr"/>
    </row>
    <row r="367" ht="15" customHeight="1">
      <c r="A367" t="inlineStr">
        <is>
          <t>A 49211-2025</t>
        </is>
      </c>
      <c r="B367" s="1" t="n">
        <v>45938.43825231482</v>
      </c>
      <c r="C367" s="1" t="n">
        <v>45991</v>
      </c>
      <c r="D367" t="inlineStr">
        <is>
          <t>DALARNAS LÄN</t>
        </is>
      </c>
      <c r="E367" t="inlineStr">
        <is>
          <t>ORSA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57383-2025</t>
        </is>
      </c>
      <c r="B368" s="1" t="n">
        <v>45980.40871527778</v>
      </c>
      <c r="C368" s="1" t="n">
        <v>45991</v>
      </c>
      <c r="D368" t="inlineStr">
        <is>
          <t>DALARNAS LÄN</t>
        </is>
      </c>
      <c r="E368" t="inlineStr">
        <is>
          <t>ORSA</t>
        </is>
      </c>
      <c r="F368" t="inlineStr">
        <is>
          <t>Kyrkan</t>
        </is>
      </c>
      <c r="G368" t="n">
        <v>3.5</v>
      </c>
      <c r="H368" t="n">
        <v>0</v>
      </c>
      <c r="I368" t="n">
        <v>0</v>
      </c>
      <c r="J368" t="n">
        <v>0</v>
      </c>
      <c r="K368" t="n">
        <v>0</v>
      </c>
      <c r="L368" t="n">
        <v>0</v>
      </c>
      <c r="M368" t="n">
        <v>0</v>
      </c>
      <c r="N368" t="n">
        <v>0</v>
      </c>
      <c r="O368" t="n">
        <v>0</v>
      </c>
      <c r="P368" t="n">
        <v>0</v>
      </c>
      <c r="Q368" t="n">
        <v>0</v>
      </c>
      <c r="R368" s="2" t="inlineStr"/>
    </row>
    <row r="369" ht="15" customHeight="1">
      <c r="A369" t="inlineStr">
        <is>
          <t>A 17521-2025</t>
        </is>
      </c>
      <c r="B369" s="1" t="n">
        <v>45757.57952546296</v>
      </c>
      <c r="C369" s="1" t="n">
        <v>45991</v>
      </c>
      <c r="D369" t="inlineStr">
        <is>
          <t>DALARNAS LÄN</t>
        </is>
      </c>
      <c r="E369" t="inlineStr">
        <is>
          <t>ORSA</t>
        </is>
      </c>
      <c r="F369" t="inlineStr">
        <is>
          <t>Bergvik skog öst AB</t>
        </is>
      </c>
      <c r="G369" t="n">
        <v>3.6</v>
      </c>
      <c r="H369" t="n">
        <v>0</v>
      </c>
      <c r="I369" t="n">
        <v>0</v>
      </c>
      <c r="J369" t="n">
        <v>0</v>
      </c>
      <c r="K369" t="n">
        <v>0</v>
      </c>
      <c r="L369" t="n">
        <v>0</v>
      </c>
      <c r="M369" t="n">
        <v>0</v>
      </c>
      <c r="N369" t="n">
        <v>0</v>
      </c>
      <c r="O369" t="n">
        <v>0</v>
      </c>
      <c r="P369" t="n">
        <v>0</v>
      </c>
      <c r="Q369" t="n">
        <v>0</v>
      </c>
      <c r="R369" s="2" t="inlineStr"/>
    </row>
    <row r="370" ht="15" customHeight="1">
      <c r="A370" t="inlineStr">
        <is>
          <t>A 57681-2025</t>
        </is>
      </c>
      <c r="B370" s="1" t="n">
        <v>45980.30490740741</v>
      </c>
      <c r="C370" s="1" t="n">
        <v>45991</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3166-2024</t>
        </is>
      </c>
      <c r="B371" s="1" t="n">
        <v>45316.62592592592</v>
      </c>
      <c r="C371" s="1" t="n">
        <v>45991</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56887-2024</t>
        </is>
      </c>
      <c r="B372" s="1" t="n">
        <v>45628.57388888889</v>
      </c>
      <c r="C372" s="1" t="n">
        <v>45991</v>
      </c>
      <c r="D372" t="inlineStr">
        <is>
          <t>DALARNAS LÄN</t>
        </is>
      </c>
      <c r="E372" t="inlineStr">
        <is>
          <t>ORSA</t>
        </is>
      </c>
      <c r="F372" t="inlineStr">
        <is>
          <t>Bergvik skog öst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58007-2025</t>
        </is>
      </c>
      <c r="B373" s="1" t="n">
        <v>45982.44907407407</v>
      </c>
      <c r="C373" s="1" t="n">
        <v>45991</v>
      </c>
      <c r="D373" t="inlineStr">
        <is>
          <t>DALARNAS LÄN</t>
        </is>
      </c>
      <c r="E373" t="inlineStr">
        <is>
          <t>ORSA</t>
        </is>
      </c>
      <c r="G373" t="n">
        <v>1.8</v>
      </c>
      <c r="H373" t="n">
        <v>0</v>
      </c>
      <c r="I373" t="n">
        <v>0</v>
      </c>
      <c r="J373" t="n">
        <v>0</v>
      </c>
      <c r="K373" t="n">
        <v>0</v>
      </c>
      <c r="L373" t="n">
        <v>0</v>
      </c>
      <c r="M373" t="n">
        <v>0</v>
      </c>
      <c r="N373" t="n">
        <v>0</v>
      </c>
      <c r="O373" t="n">
        <v>0</v>
      </c>
      <c r="P373" t="n">
        <v>0</v>
      </c>
      <c r="Q373" t="n">
        <v>0</v>
      </c>
      <c r="R373" s="2" t="inlineStr"/>
    </row>
    <row r="374" ht="15" customHeight="1">
      <c r="A374" t="inlineStr">
        <is>
          <t>A 2563-2025</t>
        </is>
      </c>
      <c r="B374" s="1" t="n">
        <v>45674.65692129629</v>
      </c>
      <c r="C374" s="1" t="n">
        <v>45991</v>
      </c>
      <c r="D374" t="inlineStr">
        <is>
          <t>DALARNAS LÄN</t>
        </is>
      </c>
      <c r="E374" t="inlineStr">
        <is>
          <t>ORSA</t>
        </is>
      </c>
      <c r="G374" t="n">
        <v>0.7</v>
      </c>
      <c r="H374" t="n">
        <v>0</v>
      </c>
      <c r="I374" t="n">
        <v>0</v>
      </c>
      <c r="J374" t="n">
        <v>0</v>
      </c>
      <c r="K374" t="n">
        <v>0</v>
      </c>
      <c r="L374" t="n">
        <v>0</v>
      </c>
      <c r="M374" t="n">
        <v>0</v>
      </c>
      <c r="N374" t="n">
        <v>0</v>
      </c>
      <c r="O374" t="n">
        <v>0</v>
      </c>
      <c r="P374" t="n">
        <v>0</v>
      </c>
      <c r="Q374" t="n">
        <v>0</v>
      </c>
      <c r="R374" s="2" t="inlineStr"/>
    </row>
    <row r="375" ht="15" customHeight="1">
      <c r="A375" t="inlineStr">
        <is>
          <t>A 5435-2025</t>
        </is>
      </c>
      <c r="B375" s="1" t="n">
        <v>45692</v>
      </c>
      <c r="C375" s="1" t="n">
        <v>45991</v>
      </c>
      <c r="D375" t="inlineStr">
        <is>
          <t>DALARNAS LÄN</t>
        </is>
      </c>
      <c r="E375" t="inlineStr">
        <is>
          <t>ORSA</t>
        </is>
      </c>
      <c r="G375" t="n">
        <v>7.8</v>
      </c>
      <c r="H375" t="n">
        <v>0</v>
      </c>
      <c r="I375" t="n">
        <v>0</v>
      </c>
      <c r="J375" t="n">
        <v>0</v>
      </c>
      <c r="K375" t="n">
        <v>0</v>
      </c>
      <c r="L375" t="n">
        <v>0</v>
      </c>
      <c r="M375" t="n">
        <v>0</v>
      </c>
      <c r="N375" t="n">
        <v>0</v>
      </c>
      <c r="O375" t="n">
        <v>0</v>
      </c>
      <c r="P375" t="n">
        <v>0</v>
      </c>
      <c r="Q375" t="n">
        <v>0</v>
      </c>
      <c r="R375" s="2" t="inlineStr"/>
    </row>
    <row r="376" ht="15" customHeight="1">
      <c r="A376" t="inlineStr">
        <is>
          <t>A 58910-2025</t>
        </is>
      </c>
      <c r="B376" s="1" t="n">
        <v>45987.51534722222</v>
      </c>
      <c r="C376" s="1" t="n">
        <v>45991</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50742-2023</t>
        </is>
      </c>
      <c r="B377" s="1" t="n">
        <v>45217.58891203703</v>
      </c>
      <c r="C377" s="1" t="n">
        <v>45991</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58923-2025</t>
        </is>
      </c>
      <c r="B378" s="1" t="n">
        <v>45987.54099537037</v>
      </c>
      <c r="C378" s="1" t="n">
        <v>45991</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58834-2025</t>
        </is>
      </c>
      <c r="B379" s="1" t="n">
        <v>45987.35487268519</v>
      </c>
      <c r="C379" s="1" t="n">
        <v>45991</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58904-2025</t>
        </is>
      </c>
      <c r="B380" s="1" t="n">
        <v>45987.50958333333</v>
      </c>
      <c r="C380" s="1" t="n">
        <v>45991</v>
      </c>
      <c r="D380" t="inlineStr">
        <is>
          <t>DALARNAS LÄN</t>
        </is>
      </c>
      <c r="E380" t="inlineStr">
        <is>
          <t>ORSA</t>
        </is>
      </c>
      <c r="G380" t="n">
        <v>5.5</v>
      </c>
      <c r="H380" t="n">
        <v>0</v>
      </c>
      <c r="I380" t="n">
        <v>0</v>
      </c>
      <c r="J380" t="n">
        <v>0</v>
      </c>
      <c r="K380" t="n">
        <v>0</v>
      </c>
      <c r="L380" t="n">
        <v>0</v>
      </c>
      <c r="M380" t="n">
        <v>0</v>
      </c>
      <c r="N380" t="n">
        <v>0</v>
      </c>
      <c r="O380" t="n">
        <v>0</v>
      </c>
      <c r="P380" t="n">
        <v>0</v>
      </c>
      <c r="Q380" t="n">
        <v>0</v>
      </c>
      <c r="R380" s="2" t="inlineStr"/>
    </row>
    <row r="381" ht="15" customHeight="1">
      <c r="A381" t="inlineStr">
        <is>
          <t>A 17421-2025</t>
        </is>
      </c>
      <c r="B381" s="1" t="n">
        <v>45757.38532407407</v>
      </c>
      <c r="C381" s="1" t="n">
        <v>45991</v>
      </c>
      <c r="D381" t="inlineStr">
        <is>
          <t>DALARNAS LÄN</t>
        </is>
      </c>
      <c r="E381" t="inlineStr">
        <is>
          <t>ORSA</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52776-2022</t>
        </is>
      </c>
      <c r="B382" s="1" t="n">
        <v>44875.36341435185</v>
      </c>
      <c r="C382" s="1" t="n">
        <v>45991</v>
      </c>
      <c r="D382" t="inlineStr">
        <is>
          <t>DALARNAS LÄN</t>
        </is>
      </c>
      <c r="E382" t="inlineStr">
        <is>
          <t>ORSA</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58683-2025</t>
        </is>
      </c>
      <c r="B383" s="1" t="n">
        <v>45986.56949074074</v>
      </c>
      <c r="C383" s="1" t="n">
        <v>45991</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58691-2025</t>
        </is>
      </c>
      <c r="B384" s="1" t="n">
        <v>45986.58231481481</v>
      </c>
      <c r="C384" s="1" t="n">
        <v>45991</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58681-2025</t>
        </is>
      </c>
      <c r="B385" s="1" t="n">
        <v>45986.56822916667</v>
      </c>
      <c r="C385" s="1" t="n">
        <v>45991</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58886-2025</t>
        </is>
      </c>
      <c r="B386" s="1" t="n">
        <v>45987.48171296297</v>
      </c>
      <c r="C386" s="1" t="n">
        <v>45991</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6492-2025</t>
        </is>
      </c>
      <c r="B387" s="1" t="n">
        <v>45699</v>
      </c>
      <c r="C387" s="1" t="n">
        <v>45991</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58657-2025</t>
        </is>
      </c>
      <c r="B388" s="1" t="n">
        <v>45986.52584490741</v>
      </c>
      <c r="C388" s="1" t="n">
        <v>45991</v>
      </c>
      <c r="D388" t="inlineStr">
        <is>
          <t>DALARNAS LÄN</t>
        </is>
      </c>
      <c r="E388" t="inlineStr">
        <is>
          <t>ORSA</t>
        </is>
      </c>
      <c r="G388" t="n">
        <v>1.6</v>
      </c>
      <c r="H388" t="n">
        <v>0</v>
      </c>
      <c r="I388" t="n">
        <v>0</v>
      </c>
      <c r="J388" t="n">
        <v>0</v>
      </c>
      <c r="K388" t="n">
        <v>0</v>
      </c>
      <c r="L388" t="n">
        <v>0</v>
      </c>
      <c r="M388" t="n">
        <v>0</v>
      </c>
      <c r="N388" t="n">
        <v>0</v>
      </c>
      <c r="O388" t="n">
        <v>0</v>
      </c>
      <c r="P388" t="n">
        <v>0</v>
      </c>
      <c r="Q388" t="n">
        <v>0</v>
      </c>
      <c r="R388" s="2" t="inlineStr"/>
    </row>
    <row r="389" ht="15" customHeight="1">
      <c r="A389" t="inlineStr">
        <is>
          <t>A 58686-2025</t>
        </is>
      </c>
      <c r="B389" s="1" t="n">
        <v>45986.57303240741</v>
      </c>
      <c r="C389" s="1" t="n">
        <v>45991</v>
      </c>
      <c r="D389" t="inlineStr">
        <is>
          <t>DALARNAS LÄN</t>
        </is>
      </c>
      <c r="E389" t="inlineStr">
        <is>
          <t>ORSA</t>
        </is>
      </c>
      <c r="G389" t="n">
        <v>1.2</v>
      </c>
      <c r="H389" t="n">
        <v>0</v>
      </c>
      <c r="I389" t="n">
        <v>0</v>
      </c>
      <c r="J389" t="n">
        <v>0</v>
      </c>
      <c r="K389" t="n">
        <v>0</v>
      </c>
      <c r="L389" t="n">
        <v>0</v>
      </c>
      <c r="M389" t="n">
        <v>0</v>
      </c>
      <c r="N389" t="n">
        <v>0</v>
      </c>
      <c r="O389" t="n">
        <v>0</v>
      </c>
      <c r="P389" t="n">
        <v>0</v>
      </c>
      <c r="Q389" t="n">
        <v>0</v>
      </c>
      <c r="R389" s="2" t="inlineStr"/>
    </row>
    <row r="390" ht="15" customHeight="1">
      <c r="A390" t="inlineStr">
        <is>
          <t>A 58647-2025</t>
        </is>
      </c>
      <c r="B390" s="1" t="n">
        <v>45986.50476851852</v>
      </c>
      <c r="C390" s="1" t="n">
        <v>45991</v>
      </c>
      <c r="D390" t="inlineStr">
        <is>
          <t>DALARNAS LÄN</t>
        </is>
      </c>
      <c r="E390" t="inlineStr">
        <is>
          <t>ORSA</t>
        </is>
      </c>
      <c r="G390" t="n">
        <v>2.8</v>
      </c>
      <c r="H390" t="n">
        <v>0</v>
      </c>
      <c r="I390" t="n">
        <v>0</v>
      </c>
      <c r="J390" t="n">
        <v>0</v>
      </c>
      <c r="K390" t="n">
        <v>0</v>
      </c>
      <c r="L390" t="n">
        <v>0</v>
      </c>
      <c r="M390" t="n">
        <v>0</v>
      </c>
      <c r="N390" t="n">
        <v>0</v>
      </c>
      <c r="O390" t="n">
        <v>0</v>
      </c>
      <c r="P390" t="n">
        <v>0</v>
      </c>
      <c r="Q390" t="n">
        <v>0</v>
      </c>
      <c r="R390" s="2" t="inlineStr"/>
    </row>
    <row r="391" ht="15" customHeight="1">
      <c r="A391" t="inlineStr">
        <is>
          <t>A 35477-2023</t>
        </is>
      </c>
      <c r="B391" s="1" t="n">
        <v>45146</v>
      </c>
      <c r="C391" s="1" t="n">
        <v>45991</v>
      </c>
      <c r="D391" t="inlineStr">
        <is>
          <t>DALARNAS LÄN</t>
        </is>
      </c>
      <c r="E391" t="inlineStr">
        <is>
          <t>ORSA</t>
        </is>
      </c>
      <c r="G391" t="n">
        <v>7.7</v>
      </c>
      <c r="H391" t="n">
        <v>0</v>
      </c>
      <c r="I391" t="n">
        <v>0</v>
      </c>
      <c r="J391" t="n">
        <v>0</v>
      </c>
      <c r="K391" t="n">
        <v>0</v>
      </c>
      <c r="L391" t="n">
        <v>0</v>
      </c>
      <c r="M391" t="n">
        <v>0</v>
      </c>
      <c r="N391" t="n">
        <v>0</v>
      </c>
      <c r="O391" t="n">
        <v>0</v>
      </c>
      <c r="P391" t="n">
        <v>0</v>
      </c>
      <c r="Q391" t="n">
        <v>0</v>
      </c>
      <c r="R391" s="2" t="inlineStr"/>
    </row>
    <row r="392" ht="15" customHeight="1">
      <c r="A392" t="inlineStr">
        <is>
          <t>A 59114-2025</t>
        </is>
      </c>
      <c r="B392" s="1" t="n">
        <v>45988.4884375</v>
      </c>
      <c r="C392" s="1" t="n">
        <v>45991</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59124-2025</t>
        </is>
      </c>
      <c r="B393" s="1" t="n">
        <v>45988.4934375</v>
      </c>
      <c r="C393" s="1" t="n">
        <v>45991</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59149-2025</t>
        </is>
      </c>
      <c r="B394" s="1" t="n">
        <v>45988.52844907407</v>
      </c>
      <c r="C394" s="1" t="n">
        <v>45991</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51067-2025</t>
        </is>
      </c>
      <c r="B395" s="1" t="n">
        <v>45947.45381944445</v>
      </c>
      <c r="C395" s="1" t="n">
        <v>45991</v>
      </c>
      <c r="D395" t="inlineStr">
        <is>
          <t>DALARNAS LÄN</t>
        </is>
      </c>
      <c r="E395" t="inlineStr">
        <is>
          <t>ORSA</t>
        </is>
      </c>
      <c r="G395" t="n">
        <v>5.4</v>
      </c>
      <c r="H395" t="n">
        <v>0</v>
      </c>
      <c r="I395" t="n">
        <v>0</v>
      </c>
      <c r="J395" t="n">
        <v>0</v>
      </c>
      <c r="K395" t="n">
        <v>0</v>
      </c>
      <c r="L395" t="n">
        <v>0</v>
      </c>
      <c r="M395" t="n">
        <v>0</v>
      </c>
      <c r="N395" t="n">
        <v>0</v>
      </c>
      <c r="O395" t="n">
        <v>0</v>
      </c>
      <c r="P395" t="n">
        <v>0</v>
      </c>
      <c r="Q395" t="n">
        <v>0</v>
      </c>
      <c r="R395" s="2" t="inlineStr"/>
    </row>
    <row r="396" ht="15" customHeight="1">
      <c r="A396" t="inlineStr">
        <is>
          <t>A 51055-2025</t>
        </is>
      </c>
      <c r="B396" s="1" t="n">
        <v>45947.44309027777</v>
      </c>
      <c r="C396" s="1" t="n">
        <v>45991</v>
      </c>
      <c r="D396" t="inlineStr">
        <is>
          <t>DALARNAS LÄN</t>
        </is>
      </c>
      <c r="E396" t="inlineStr">
        <is>
          <t>ORSA</t>
        </is>
      </c>
      <c r="G396" t="n">
        <v>4.6</v>
      </c>
      <c r="H396" t="n">
        <v>0</v>
      </c>
      <c r="I396" t="n">
        <v>0</v>
      </c>
      <c r="J396" t="n">
        <v>0</v>
      </c>
      <c r="K396" t="n">
        <v>0</v>
      </c>
      <c r="L396" t="n">
        <v>0</v>
      </c>
      <c r="M396" t="n">
        <v>0</v>
      </c>
      <c r="N396" t="n">
        <v>0</v>
      </c>
      <c r="O396" t="n">
        <v>0</v>
      </c>
      <c r="P396" t="n">
        <v>0</v>
      </c>
      <c r="Q396" t="n">
        <v>0</v>
      </c>
      <c r="R396" s="2" t="inlineStr"/>
    </row>
    <row r="397" ht="15" customHeight="1">
      <c r="A397" t="inlineStr">
        <is>
          <t>A 37838-2024</t>
        </is>
      </c>
      <c r="B397" s="1" t="n">
        <v>45544.36310185185</v>
      </c>
      <c r="C397" s="1" t="n">
        <v>45991</v>
      </c>
      <c r="D397" t="inlineStr">
        <is>
          <t>DALARNAS LÄN</t>
        </is>
      </c>
      <c r="E397" t="inlineStr">
        <is>
          <t>ORSA</t>
        </is>
      </c>
      <c r="G397" t="n">
        <v>2.9</v>
      </c>
      <c r="H397" t="n">
        <v>0</v>
      </c>
      <c r="I397" t="n">
        <v>0</v>
      </c>
      <c r="J397" t="n">
        <v>0</v>
      </c>
      <c r="K397" t="n">
        <v>0</v>
      </c>
      <c r="L397" t="n">
        <v>0</v>
      </c>
      <c r="M397" t="n">
        <v>0</v>
      </c>
      <c r="N397" t="n">
        <v>0</v>
      </c>
      <c r="O397" t="n">
        <v>0</v>
      </c>
      <c r="P397" t="n">
        <v>0</v>
      </c>
      <c r="Q397" t="n">
        <v>0</v>
      </c>
      <c r="R397" s="2" t="inlineStr"/>
    </row>
    <row r="398" ht="15" customHeight="1">
      <c r="A398" t="inlineStr">
        <is>
          <t>A 34708-2021</t>
        </is>
      </c>
      <c r="B398" s="1" t="n">
        <v>44382</v>
      </c>
      <c r="C398" s="1" t="n">
        <v>45991</v>
      </c>
      <c r="D398" t="inlineStr">
        <is>
          <t>DALARNAS LÄN</t>
        </is>
      </c>
      <c r="E398" t="inlineStr">
        <is>
          <t>ORSA</t>
        </is>
      </c>
      <c r="G398" t="n">
        <v>4.3</v>
      </c>
      <c r="H398" t="n">
        <v>0</v>
      </c>
      <c r="I398" t="n">
        <v>0</v>
      </c>
      <c r="J398" t="n">
        <v>0</v>
      </c>
      <c r="K398" t="n">
        <v>0</v>
      </c>
      <c r="L398" t="n">
        <v>0</v>
      </c>
      <c r="M398" t="n">
        <v>0</v>
      </c>
      <c r="N398" t="n">
        <v>0</v>
      </c>
      <c r="O398" t="n">
        <v>0</v>
      </c>
      <c r="P398" t="n">
        <v>0</v>
      </c>
      <c r="Q398" t="n">
        <v>0</v>
      </c>
      <c r="R398" s="2" t="inlineStr"/>
    </row>
    <row r="399" ht="15" customHeight="1">
      <c r="A399" t="inlineStr">
        <is>
          <t>A 18037-2023</t>
        </is>
      </c>
      <c r="B399" s="1" t="n">
        <v>45040</v>
      </c>
      <c r="C399" s="1" t="n">
        <v>45991</v>
      </c>
      <c r="D399" t="inlineStr">
        <is>
          <t>DALARNAS LÄN</t>
        </is>
      </c>
      <c r="E399" t="inlineStr">
        <is>
          <t>ORSA</t>
        </is>
      </c>
      <c r="G399" t="n">
        <v>6.6</v>
      </c>
      <c r="H399" t="n">
        <v>0</v>
      </c>
      <c r="I399" t="n">
        <v>0</v>
      </c>
      <c r="J399" t="n">
        <v>0</v>
      </c>
      <c r="K399" t="n">
        <v>0</v>
      </c>
      <c r="L399" t="n">
        <v>0</v>
      </c>
      <c r="M399" t="n">
        <v>0</v>
      </c>
      <c r="N399" t="n">
        <v>0</v>
      </c>
      <c r="O399" t="n">
        <v>0</v>
      </c>
      <c r="P399" t="n">
        <v>0</v>
      </c>
      <c r="Q399" t="n">
        <v>0</v>
      </c>
      <c r="R399" s="2" t="inlineStr"/>
    </row>
    <row r="400" ht="15" customHeight="1">
      <c r="A400" t="inlineStr">
        <is>
          <t>A 51049-2025</t>
        </is>
      </c>
      <c r="B400" s="1" t="n">
        <v>45947.43479166667</v>
      </c>
      <c r="C400" s="1" t="n">
        <v>45991</v>
      </c>
      <c r="D400" t="inlineStr">
        <is>
          <t>DALARNAS LÄN</t>
        </is>
      </c>
      <c r="E400" t="inlineStr">
        <is>
          <t>ORSA</t>
        </is>
      </c>
      <c r="G400" t="n">
        <v>2.3</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45991</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51064-2025</t>
        </is>
      </c>
      <c r="B402" s="1" t="n">
        <v>45947.45197916667</v>
      </c>
      <c r="C402" s="1" t="n">
        <v>45991</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50905-2021</t>
        </is>
      </c>
      <c r="B403" s="1" t="n">
        <v>44460</v>
      </c>
      <c r="C403" s="1" t="n">
        <v>45991</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36569-2021</t>
        </is>
      </c>
      <c r="B404" s="1" t="n">
        <v>44391</v>
      </c>
      <c r="C404" s="1" t="n">
        <v>45991</v>
      </c>
      <c r="D404" t="inlineStr">
        <is>
          <t>DALARNAS LÄN</t>
        </is>
      </c>
      <c r="E404" t="inlineStr">
        <is>
          <t>ORSA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18009-2023</t>
        </is>
      </c>
      <c r="B405" s="1" t="n">
        <v>45040.56190972222</v>
      </c>
      <c r="C405" s="1" t="n">
        <v>45991</v>
      </c>
      <c r="D405" t="inlineStr">
        <is>
          <t>DALARNAS LÄN</t>
        </is>
      </c>
      <c r="E405" t="inlineStr">
        <is>
          <t>ORSA</t>
        </is>
      </c>
      <c r="G405" t="n">
        <v>5.8</v>
      </c>
      <c r="H405" t="n">
        <v>0</v>
      </c>
      <c r="I405" t="n">
        <v>0</v>
      </c>
      <c r="J405" t="n">
        <v>0</v>
      </c>
      <c r="K405" t="n">
        <v>0</v>
      </c>
      <c r="L405" t="n">
        <v>0</v>
      </c>
      <c r="M405" t="n">
        <v>0</v>
      </c>
      <c r="N405" t="n">
        <v>0</v>
      </c>
      <c r="O405" t="n">
        <v>0</v>
      </c>
      <c r="P405" t="n">
        <v>0</v>
      </c>
      <c r="Q405" t="n">
        <v>0</v>
      </c>
      <c r="R405" s="2" t="inlineStr"/>
    </row>
    <row r="406" ht="15" customHeight="1">
      <c r="A406" t="inlineStr">
        <is>
          <t>A 5921-2025</t>
        </is>
      </c>
      <c r="B406" s="1" t="n">
        <v>45695</v>
      </c>
      <c r="C406" s="1" t="n">
        <v>45991</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41295-2021</t>
        </is>
      </c>
      <c r="B407" s="1" t="n">
        <v>44424</v>
      </c>
      <c r="C407" s="1" t="n">
        <v>45991</v>
      </c>
      <c r="D407" t="inlineStr">
        <is>
          <t>DALARNAS LÄN</t>
        </is>
      </c>
      <c r="E407" t="inlineStr">
        <is>
          <t>ORSA</t>
        </is>
      </c>
      <c r="G407" t="n">
        <v>3.1</v>
      </c>
      <c r="H407" t="n">
        <v>0</v>
      </c>
      <c r="I407" t="n">
        <v>0</v>
      </c>
      <c r="J407" t="n">
        <v>0</v>
      </c>
      <c r="K407" t="n">
        <v>0</v>
      </c>
      <c r="L407" t="n">
        <v>0</v>
      </c>
      <c r="M407" t="n">
        <v>0</v>
      </c>
      <c r="N407" t="n">
        <v>0</v>
      </c>
      <c r="O407" t="n">
        <v>0</v>
      </c>
      <c r="P407" t="n">
        <v>0</v>
      </c>
      <c r="Q407" t="n">
        <v>0</v>
      </c>
      <c r="R407" s="2" t="inlineStr"/>
    </row>
    <row r="408" ht="15" customHeight="1">
      <c r="A408" t="inlineStr">
        <is>
          <t>A 31031-2023</t>
        </is>
      </c>
      <c r="B408" s="1" t="n">
        <v>45113</v>
      </c>
      <c r="C408" s="1" t="n">
        <v>45991</v>
      </c>
      <c r="D408" t="inlineStr">
        <is>
          <t>DALARNAS LÄN</t>
        </is>
      </c>
      <c r="E408" t="inlineStr">
        <is>
          <t>ORSA</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27542-2021</t>
        </is>
      </c>
      <c r="B409" s="1" t="n">
        <v>44351</v>
      </c>
      <c r="C409" s="1" t="n">
        <v>45991</v>
      </c>
      <c r="D409" t="inlineStr">
        <is>
          <t>DALARNAS LÄN</t>
        </is>
      </c>
      <c r="E409" t="inlineStr">
        <is>
          <t>ORSA</t>
        </is>
      </c>
      <c r="G409" t="n">
        <v>1</v>
      </c>
      <c r="H409" t="n">
        <v>0</v>
      </c>
      <c r="I409" t="n">
        <v>0</v>
      </c>
      <c r="J409" t="n">
        <v>0</v>
      </c>
      <c r="K409" t="n">
        <v>0</v>
      </c>
      <c r="L409" t="n">
        <v>0</v>
      </c>
      <c r="M409" t="n">
        <v>0</v>
      </c>
      <c r="N409" t="n">
        <v>0</v>
      </c>
      <c r="O409" t="n">
        <v>0</v>
      </c>
      <c r="P409" t="n">
        <v>0</v>
      </c>
      <c r="Q409" t="n">
        <v>0</v>
      </c>
      <c r="R409" s="2" t="inlineStr"/>
    </row>
    <row r="410" ht="15" customHeight="1">
      <c r="A410" t="inlineStr">
        <is>
          <t>A 42238-2023</t>
        </is>
      </c>
      <c r="B410" s="1" t="n">
        <v>45180.34207175926</v>
      </c>
      <c r="C410" s="1" t="n">
        <v>45991</v>
      </c>
      <c r="D410" t="inlineStr">
        <is>
          <t>DALARNAS LÄN</t>
        </is>
      </c>
      <c r="E410" t="inlineStr">
        <is>
          <t>ORSA</t>
        </is>
      </c>
      <c r="F410" t="inlineStr">
        <is>
          <t>Allmännings- och besparingsskogar</t>
        </is>
      </c>
      <c r="G410" t="n">
        <v>0.5</v>
      </c>
      <c r="H410" t="n">
        <v>0</v>
      </c>
      <c r="I410" t="n">
        <v>0</v>
      </c>
      <c r="J410" t="n">
        <v>0</v>
      </c>
      <c r="K410" t="n">
        <v>0</v>
      </c>
      <c r="L410" t="n">
        <v>0</v>
      </c>
      <c r="M410" t="n">
        <v>0</v>
      </c>
      <c r="N410" t="n">
        <v>0</v>
      </c>
      <c r="O410" t="n">
        <v>0</v>
      </c>
      <c r="P410" t="n">
        <v>0</v>
      </c>
      <c r="Q410" t="n">
        <v>0</v>
      </c>
      <c r="R410" s="2" t="inlineStr"/>
    </row>
    <row r="411" ht="15" customHeight="1">
      <c r="A411" t="inlineStr">
        <is>
          <t>A 10832-2022</t>
        </is>
      </c>
      <c r="B411" s="1" t="n">
        <v>44627</v>
      </c>
      <c r="C411" s="1" t="n">
        <v>45991</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36682-2024</t>
        </is>
      </c>
      <c r="B412" s="1" t="n">
        <v>45537.65519675926</v>
      </c>
      <c r="C412" s="1" t="n">
        <v>45991</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55701-2023</t>
        </is>
      </c>
      <c r="B413" s="1" t="n">
        <v>45239.37113425926</v>
      </c>
      <c r="C413" s="1" t="n">
        <v>45991</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63543-2020</t>
        </is>
      </c>
      <c r="B414" s="1" t="n">
        <v>44165</v>
      </c>
      <c r="C414" s="1" t="n">
        <v>45991</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31172-2023</t>
        </is>
      </c>
      <c r="B415" s="1" t="n">
        <v>45113.8637037037</v>
      </c>
      <c r="C415" s="1" t="n">
        <v>45991</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19108-2025</t>
        </is>
      </c>
      <c r="B416" s="1" t="n">
        <v>45768</v>
      </c>
      <c r="C416" s="1" t="n">
        <v>45991</v>
      </c>
      <c r="D416" t="inlineStr">
        <is>
          <t>DALARNAS LÄN</t>
        </is>
      </c>
      <c r="E416" t="inlineStr">
        <is>
          <t>ORSA</t>
        </is>
      </c>
      <c r="F416" t="inlineStr">
        <is>
          <t>Bergvik skog väst AB</t>
        </is>
      </c>
      <c r="G416" t="n">
        <v>14.3</v>
      </c>
      <c r="H416" t="n">
        <v>0</v>
      </c>
      <c r="I416" t="n">
        <v>0</v>
      </c>
      <c r="J416" t="n">
        <v>0</v>
      </c>
      <c r="K416" t="n">
        <v>0</v>
      </c>
      <c r="L416" t="n">
        <v>0</v>
      </c>
      <c r="M416" t="n">
        <v>0</v>
      </c>
      <c r="N416" t="n">
        <v>0</v>
      </c>
      <c r="O416" t="n">
        <v>0</v>
      </c>
      <c r="P416" t="n">
        <v>0</v>
      </c>
      <c r="Q416" t="n">
        <v>0</v>
      </c>
      <c r="R416" s="2" t="inlineStr"/>
    </row>
    <row r="417" ht="15" customHeight="1">
      <c r="A417" t="inlineStr">
        <is>
          <t>A 52649-2024</t>
        </is>
      </c>
      <c r="B417" s="1" t="n">
        <v>45610.3468287037</v>
      </c>
      <c r="C417" s="1" t="n">
        <v>45991</v>
      </c>
      <c r="D417" t="inlineStr">
        <is>
          <t>DALARNAS LÄN</t>
        </is>
      </c>
      <c r="E417" t="inlineStr">
        <is>
          <t>ORSA</t>
        </is>
      </c>
      <c r="G417" t="n">
        <v>1.3</v>
      </c>
      <c r="H417" t="n">
        <v>0</v>
      </c>
      <c r="I417" t="n">
        <v>0</v>
      </c>
      <c r="J417" t="n">
        <v>0</v>
      </c>
      <c r="K417" t="n">
        <v>0</v>
      </c>
      <c r="L417" t="n">
        <v>0</v>
      </c>
      <c r="M417" t="n">
        <v>0</v>
      </c>
      <c r="N417" t="n">
        <v>0</v>
      </c>
      <c r="O417" t="n">
        <v>0</v>
      </c>
      <c r="P417" t="n">
        <v>0</v>
      </c>
      <c r="Q417" t="n">
        <v>0</v>
      </c>
      <c r="R417" s="2" t="inlineStr"/>
    </row>
    <row r="418" ht="15" customHeight="1">
      <c r="A418" t="inlineStr">
        <is>
          <t>A 1304-2024</t>
        </is>
      </c>
      <c r="B418" s="1" t="n">
        <v>45303</v>
      </c>
      <c r="C418" s="1" t="n">
        <v>45991</v>
      </c>
      <c r="D418" t="inlineStr">
        <is>
          <t>DALARNAS LÄN</t>
        </is>
      </c>
      <c r="E418" t="inlineStr">
        <is>
          <t>ORSA</t>
        </is>
      </c>
      <c r="G418" t="n">
        <v>3.8</v>
      </c>
      <c r="H418" t="n">
        <v>0</v>
      </c>
      <c r="I418" t="n">
        <v>0</v>
      </c>
      <c r="J418" t="n">
        <v>0</v>
      </c>
      <c r="K418" t="n">
        <v>0</v>
      </c>
      <c r="L418" t="n">
        <v>0</v>
      </c>
      <c r="M418" t="n">
        <v>0</v>
      </c>
      <c r="N418" t="n">
        <v>0</v>
      </c>
      <c r="O418" t="n">
        <v>0</v>
      </c>
      <c r="P418" t="n">
        <v>0</v>
      </c>
      <c r="Q418" t="n">
        <v>0</v>
      </c>
      <c r="R418" s="2" t="inlineStr"/>
    </row>
    <row r="419" ht="15" customHeight="1">
      <c r="A419" t="inlineStr">
        <is>
          <t>A 51289-2023</t>
        </is>
      </c>
      <c r="B419" s="1" t="n">
        <v>45219.54077546296</v>
      </c>
      <c r="C419" s="1" t="n">
        <v>45991</v>
      </c>
      <c r="D419" t="inlineStr">
        <is>
          <t>DALARNAS LÄN</t>
        </is>
      </c>
      <c r="E419" t="inlineStr">
        <is>
          <t>ORSA</t>
        </is>
      </c>
      <c r="G419" t="n">
        <v>1.5</v>
      </c>
      <c r="H419" t="n">
        <v>0</v>
      </c>
      <c r="I419" t="n">
        <v>0</v>
      </c>
      <c r="J419" t="n">
        <v>0</v>
      </c>
      <c r="K419" t="n">
        <v>0</v>
      </c>
      <c r="L419" t="n">
        <v>0</v>
      </c>
      <c r="M419" t="n">
        <v>0</v>
      </c>
      <c r="N419" t="n">
        <v>0</v>
      </c>
      <c r="O419" t="n">
        <v>0</v>
      </c>
      <c r="P419" t="n">
        <v>0</v>
      </c>
      <c r="Q419" t="n">
        <v>0</v>
      </c>
      <c r="R419" s="2" t="inlineStr"/>
    </row>
    <row r="420" ht="15" customHeight="1">
      <c r="A420" t="inlineStr">
        <is>
          <t>A 23339-2024</t>
        </is>
      </c>
      <c r="B420" s="1" t="n">
        <v>45453.48988425926</v>
      </c>
      <c r="C420" s="1" t="n">
        <v>45991</v>
      </c>
      <c r="D420" t="inlineStr">
        <is>
          <t>DALARNAS LÄN</t>
        </is>
      </c>
      <c r="E420" t="inlineStr">
        <is>
          <t>ORSA</t>
        </is>
      </c>
      <c r="G420" t="n">
        <v>3.8</v>
      </c>
      <c r="H420" t="n">
        <v>0</v>
      </c>
      <c r="I420" t="n">
        <v>0</v>
      </c>
      <c r="J420" t="n">
        <v>0</v>
      </c>
      <c r="K420" t="n">
        <v>0</v>
      </c>
      <c r="L420" t="n">
        <v>0</v>
      </c>
      <c r="M420" t="n">
        <v>0</v>
      </c>
      <c r="N420" t="n">
        <v>0</v>
      </c>
      <c r="O420" t="n">
        <v>0</v>
      </c>
      <c r="P420" t="n">
        <v>0</v>
      </c>
      <c r="Q420" t="n">
        <v>0</v>
      </c>
      <c r="R420" s="2" t="inlineStr"/>
    </row>
    <row r="421" ht="15" customHeight="1">
      <c r="A421" t="inlineStr">
        <is>
          <t>A 37647-2023</t>
        </is>
      </c>
      <c r="B421" s="1" t="n">
        <v>45159</v>
      </c>
      <c r="C421" s="1" t="n">
        <v>45991</v>
      </c>
      <c r="D421" t="inlineStr">
        <is>
          <t>DALARNAS LÄN</t>
        </is>
      </c>
      <c r="E421" t="inlineStr">
        <is>
          <t>ORSA</t>
        </is>
      </c>
      <c r="F421" t="inlineStr">
        <is>
          <t>Allmännings- och besparingsskogar</t>
        </is>
      </c>
      <c r="G421" t="n">
        <v>2.1</v>
      </c>
      <c r="H421" t="n">
        <v>0</v>
      </c>
      <c r="I421" t="n">
        <v>0</v>
      </c>
      <c r="J421" t="n">
        <v>0</v>
      </c>
      <c r="K421" t="n">
        <v>0</v>
      </c>
      <c r="L421" t="n">
        <v>0</v>
      </c>
      <c r="M421" t="n">
        <v>0</v>
      </c>
      <c r="N421" t="n">
        <v>0</v>
      </c>
      <c r="O421" t="n">
        <v>0</v>
      </c>
      <c r="P421" t="n">
        <v>0</v>
      </c>
      <c r="Q421" t="n">
        <v>0</v>
      </c>
      <c r="R421" s="2" t="inlineStr"/>
    </row>
    <row r="422" ht="15" customHeight="1">
      <c r="A422" t="inlineStr">
        <is>
          <t>A 31026-2023</t>
        </is>
      </c>
      <c r="B422" s="1" t="n">
        <v>45113.5812962963</v>
      </c>
      <c r="C422" s="1" t="n">
        <v>45991</v>
      </c>
      <c r="D422" t="inlineStr">
        <is>
          <t>DALARNAS LÄN</t>
        </is>
      </c>
      <c r="E422" t="inlineStr">
        <is>
          <t>ORSA</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30458-2023</t>
        </is>
      </c>
      <c r="B423" s="1" t="n">
        <v>45111</v>
      </c>
      <c r="C423" s="1" t="n">
        <v>45991</v>
      </c>
      <c r="D423" t="inlineStr">
        <is>
          <t>DALARNAS LÄN</t>
        </is>
      </c>
      <c r="E423" t="inlineStr">
        <is>
          <t>ORSA</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14680-2023</t>
        </is>
      </c>
      <c r="B424" s="1" t="n">
        <v>45014.30054398148</v>
      </c>
      <c r="C424" s="1" t="n">
        <v>45991</v>
      </c>
      <c r="D424" t="inlineStr">
        <is>
          <t>DALARNAS LÄN</t>
        </is>
      </c>
      <c r="E424" t="inlineStr">
        <is>
          <t>ORSA</t>
        </is>
      </c>
      <c r="G424" t="n">
        <v>4.2</v>
      </c>
      <c r="H424" t="n">
        <v>0</v>
      </c>
      <c r="I424" t="n">
        <v>0</v>
      </c>
      <c r="J424" t="n">
        <v>0</v>
      </c>
      <c r="K424" t="n">
        <v>0</v>
      </c>
      <c r="L424" t="n">
        <v>0</v>
      </c>
      <c r="M424" t="n">
        <v>0</v>
      </c>
      <c r="N424" t="n">
        <v>0</v>
      </c>
      <c r="O424" t="n">
        <v>0</v>
      </c>
      <c r="P424" t="n">
        <v>0</v>
      </c>
      <c r="Q424" t="n">
        <v>0</v>
      </c>
      <c r="R424" s="2" t="inlineStr"/>
    </row>
    <row r="425" ht="15" customHeight="1">
      <c r="A425" t="inlineStr">
        <is>
          <t>A 4738-2025</t>
        </is>
      </c>
      <c r="B425" s="1" t="n">
        <v>45688</v>
      </c>
      <c r="C425" s="1" t="n">
        <v>45991</v>
      </c>
      <c r="D425" t="inlineStr">
        <is>
          <t>DALARNAS LÄN</t>
        </is>
      </c>
      <c r="E425" t="inlineStr">
        <is>
          <t>ORSA</t>
        </is>
      </c>
      <c r="G425" t="n">
        <v>3.7</v>
      </c>
      <c r="H425" t="n">
        <v>0</v>
      </c>
      <c r="I425" t="n">
        <v>0</v>
      </c>
      <c r="J425" t="n">
        <v>0</v>
      </c>
      <c r="K425" t="n">
        <v>0</v>
      </c>
      <c r="L425" t="n">
        <v>0</v>
      </c>
      <c r="M425" t="n">
        <v>0</v>
      </c>
      <c r="N425" t="n">
        <v>0</v>
      </c>
      <c r="O425" t="n">
        <v>0</v>
      </c>
      <c r="P425" t="n">
        <v>0</v>
      </c>
      <c r="Q425" t="n">
        <v>0</v>
      </c>
      <c r="R425" s="2" t="inlineStr"/>
    </row>
    <row r="426" ht="15" customHeight="1">
      <c r="A426" t="inlineStr">
        <is>
          <t>A 2948-2025</t>
        </is>
      </c>
      <c r="B426" s="1" t="n">
        <v>45678.42868055555</v>
      </c>
      <c r="C426" s="1" t="n">
        <v>45991</v>
      </c>
      <c r="D426" t="inlineStr">
        <is>
          <t>DALARNAS LÄN</t>
        </is>
      </c>
      <c r="E426" t="inlineStr">
        <is>
          <t>ORSA</t>
        </is>
      </c>
      <c r="G426" t="n">
        <v>2</v>
      </c>
      <c r="H426" t="n">
        <v>0</v>
      </c>
      <c r="I426" t="n">
        <v>0</v>
      </c>
      <c r="J426" t="n">
        <v>0</v>
      </c>
      <c r="K426" t="n">
        <v>0</v>
      </c>
      <c r="L426" t="n">
        <v>0</v>
      </c>
      <c r="M426" t="n">
        <v>0</v>
      </c>
      <c r="N426" t="n">
        <v>0</v>
      </c>
      <c r="O426" t="n">
        <v>0</v>
      </c>
      <c r="P426" t="n">
        <v>0</v>
      </c>
      <c r="Q426" t="n">
        <v>0</v>
      </c>
      <c r="R426" s="2" t="inlineStr"/>
    </row>
    <row r="427" ht="15" customHeight="1">
      <c r="A427" t="inlineStr">
        <is>
          <t>A 67834-2020</t>
        </is>
      </c>
      <c r="B427" s="1" t="n">
        <v>44182</v>
      </c>
      <c r="C427" s="1" t="n">
        <v>45991</v>
      </c>
      <c r="D427" t="inlineStr">
        <is>
          <t>DALARNAS LÄN</t>
        </is>
      </c>
      <c r="E427" t="inlineStr">
        <is>
          <t>ORSA</t>
        </is>
      </c>
      <c r="G427" t="n">
        <v>4</v>
      </c>
      <c r="H427" t="n">
        <v>0</v>
      </c>
      <c r="I427" t="n">
        <v>0</v>
      </c>
      <c r="J427" t="n">
        <v>0</v>
      </c>
      <c r="K427" t="n">
        <v>0</v>
      </c>
      <c r="L427" t="n">
        <v>0</v>
      </c>
      <c r="M427" t="n">
        <v>0</v>
      </c>
      <c r="N427" t="n">
        <v>0</v>
      </c>
      <c r="O427" t="n">
        <v>0</v>
      </c>
      <c r="P427" t="n">
        <v>0</v>
      </c>
      <c r="Q427" t="n">
        <v>0</v>
      </c>
      <c r="R427" s="2" t="inlineStr"/>
    </row>
    <row r="428" ht="15" customHeight="1">
      <c r="A428" t="inlineStr">
        <is>
          <t>A 61698-2022</t>
        </is>
      </c>
      <c r="B428" s="1" t="n">
        <v>44917.40038194445</v>
      </c>
      <c r="C428" s="1" t="n">
        <v>45991</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61034-2024</t>
        </is>
      </c>
      <c r="B429" s="1" t="n">
        <v>45645.46608796297</v>
      </c>
      <c r="C429" s="1" t="n">
        <v>45991</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12704-2022</t>
        </is>
      </c>
      <c r="B430" s="1" t="n">
        <v>44641</v>
      </c>
      <c r="C430" s="1" t="n">
        <v>45991</v>
      </c>
      <c r="D430" t="inlineStr">
        <is>
          <t>DALARNAS LÄN</t>
        </is>
      </c>
      <c r="E430" t="inlineStr">
        <is>
          <t>ORSA</t>
        </is>
      </c>
      <c r="G430" t="n">
        <v>2.4</v>
      </c>
      <c r="H430" t="n">
        <v>0</v>
      </c>
      <c r="I430" t="n">
        <v>0</v>
      </c>
      <c r="J430" t="n">
        <v>0</v>
      </c>
      <c r="K430" t="n">
        <v>0</v>
      </c>
      <c r="L430" t="n">
        <v>0</v>
      </c>
      <c r="M430" t="n">
        <v>0</v>
      </c>
      <c r="N430" t="n">
        <v>0</v>
      </c>
      <c r="O430" t="n">
        <v>0</v>
      </c>
      <c r="P430" t="n">
        <v>0</v>
      </c>
      <c r="Q430" t="n">
        <v>0</v>
      </c>
      <c r="R430" s="2" t="inlineStr"/>
    </row>
    <row r="431" ht="15" customHeight="1">
      <c r="A431" t="inlineStr">
        <is>
          <t>A 38611-2022</t>
        </is>
      </c>
      <c r="B431" s="1" t="n">
        <v>44813.60177083333</v>
      </c>
      <c r="C431" s="1" t="n">
        <v>45991</v>
      </c>
      <c r="D431" t="inlineStr">
        <is>
          <t>DALARNAS LÄN</t>
        </is>
      </c>
      <c r="E431" t="inlineStr">
        <is>
          <t>ORSA</t>
        </is>
      </c>
      <c r="G431" t="n">
        <v>3.6</v>
      </c>
      <c r="H431" t="n">
        <v>0</v>
      </c>
      <c r="I431" t="n">
        <v>0</v>
      </c>
      <c r="J431" t="n">
        <v>0</v>
      </c>
      <c r="K431" t="n">
        <v>0</v>
      </c>
      <c r="L431" t="n">
        <v>0</v>
      </c>
      <c r="M431" t="n">
        <v>0</v>
      </c>
      <c r="N431" t="n">
        <v>0</v>
      </c>
      <c r="O431" t="n">
        <v>0</v>
      </c>
      <c r="P431" t="n">
        <v>0</v>
      </c>
      <c r="Q431" t="n">
        <v>0</v>
      </c>
      <c r="R431" s="2" t="inlineStr"/>
    </row>
    <row r="432" ht="15" customHeight="1">
      <c r="A432" t="inlineStr">
        <is>
          <t>A 59411-2024</t>
        </is>
      </c>
      <c r="B432" s="1" t="n">
        <v>45638.39675925926</v>
      </c>
      <c r="C432" s="1" t="n">
        <v>45991</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59414-2024</t>
        </is>
      </c>
      <c r="B433" s="1" t="n">
        <v>45638.39965277778</v>
      </c>
      <c r="C433" s="1" t="n">
        <v>45991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67755-2020</t>
        </is>
      </c>
      <c r="B434" s="1" t="n">
        <v>44182</v>
      </c>
      <c r="C434" s="1" t="n">
        <v>45991</v>
      </c>
      <c r="D434" t="inlineStr">
        <is>
          <t>DALARNAS LÄN</t>
        </is>
      </c>
      <c r="E434" t="inlineStr">
        <is>
          <t>ORSA</t>
        </is>
      </c>
      <c r="G434" t="n">
        <v>7.5</v>
      </c>
      <c r="H434" t="n">
        <v>0</v>
      </c>
      <c r="I434" t="n">
        <v>0</v>
      </c>
      <c r="J434" t="n">
        <v>0</v>
      </c>
      <c r="K434" t="n">
        <v>0</v>
      </c>
      <c r="L434" t="n">
        <v>0</v>
      </c>
      <c r="M434" t="n">
        <v>0</v>
      </c>
      <c r="N434" t="n">
        <v>0</v>
      </c>
      <c r="O434" t="n">
        <v>0</v>
      </c>
      <c r="P434" t="n">
        <v>0</v>
      </c>
      <c r="Q434" t="n">
        <v>0</v>
      </c>
      <c r="R434" s="2" t="inlineStr"/>
    </row>
    <row r="435" ht="15" customHeight="1">
      <c r="A435" t="inlineStr">
        <is>
          <t>A 612-2025</t>
        </is>
      </c>
      <c r="B435" s="1" t="n">
        <v>45660</v>
      </c>
      <c r="C435" s="1" t="n">
        <v>45991</v>
      </c>
      <c r="D435" t="inlineStr">
        <is>
          <t>DALARNAS LÄN</t>
        </is>
      </c>
      <c r="E435" t="inlineStr">
        <is>
          <t>ORSA</t>
        </is>
      </c>
      <c r="F435" t="inlineStr">
        <is>
          <t>Allmännings- och besparingsskogar</t>
        </is>
      </c>
      <c r="G435" t="n">
        <v>0.8</v>
      </c>
      <c r="H435" t="n">
        <v>0</v>
      </c>
      <c r="I435" t="n">
        <v>0</v>
      </c>
      <c r="J435" t="n">
        <v>0</v>
      </c>
      <c r="K435" t="n">
        <v>0</v>
      </c>
      <c r="L435" t="n">
        <v>0</v>
      </c>
      <c r="M435" t="n">
        <v>0</v>
      </c>
      <c r="N435" t="n">
        <v>0</v>
      </c>
      <c r="O435" t="n">
        <v>0</v>
      </c>
      <c r="P435" t="n">
        <v>0</v>
      </c>
      <c r="Q435" t="n">
        <v>0</v>
      </c>
      <c r="R435" s="2" t="inlineStr"/>
    </row>
    <row r="436" ht="15" customHeight="1">
      <c r="A436" t="inlineStr">
        <is>
          <t>A 4202-2025</t>
        </is>
      </c>
      <c r="B436" s="1" t="n">
        <v>45685.46236111111</v>
      </c>
      <c r="C436" s="1" t="n">
        <v>45991</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4204-2025</t>
        </is>
      </c>
      <c r="B437" s="1" t="n">
        <v>45685.46390046296</v>
      </c>
      <c r="C437" s="1" t="n">
        <v>45991</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55538-2023</t>
        </is>
      </c>
      <c r="B438" s="1" t="n">
        <v>45238.5996875</v>
      </c>
      <c r="C438" s="1" t="n">
        <v>45991</v>
      </c>
      <c r="D438" t="inlineStr">
        <is>
          <t>DALARNAS LÄN</t>
        </is>
      </c>
      <c r="E438" t="inlineStr">
        <is>
          <t>ORSA</t>
        </is>
      </c>
      <c r="G438" t="n">
        <v>0.5</v>
      </c>
      <c r="H438" t="n">
        <v>0</v>
      </c>
      <c r="I438" t="n">
        <v>0</v>
      </c>
      <c r="J438" t="n">
        <v>0</v>
      </c>
      <c r="K438" t="n">
        <v>0</v>
      </c>
      <c r="L438" t="n">
        <v>0</v>
      </c>
      <c r="M438" t="n">
        <v>0</v>
      </c>
      <c r="N438" t="n">
        <v>0</v>
      </c>
      <c r="O438" t="n">
        <v>0</v>
      </c>
      <c r="P438" t="n">
        <v>0</v>
      </c>
      <c r="Q438" t="n">
        <v>0</v>
      </c>
      <c r="R438" s="2" t="inlineStr"/>
    </row>
    <row r="439" ht="15" customHeight="1">
      <c r="A439" t="inlineStr">
        <is>
          <t>A 48819-2024</t>
        </is>
      </c>
      <c r="B439" s="1" t="n">
        <v>45593.67824074074</v>
      </c>
      <c r="C439" s="1" t="n">
        <v>45991</v>
      </c>
      <c r="D439" t="inlineStr">
        <is>
          <t>DALARNAS LÄN</t>
        </is>
      </c>
      <c r="E439" t="inlineStr">
        <is>
          <t>ORSA</t>
        </is>
      </c>
      <c r="G439" t="n">
        <v>5</v>
      </c>
      <c r="H439" t="n">
        <v>0</v>
      </c>
      <c r="I439" t="n">
        <v>0</v>
      </c>
      <c r="J439" t="n">
        <v>0</v>
      </c>
      <c r="K439" t="n">
        <v>0</v>
      </c>
      <c r="L439" t="n">
        <v>0</v>
      </c>
      <c r="M439" t="n">
        <v>0</v>
      </c>
      <c r="N439" t="n">
        <v>0</v>
      </c>
      <c r="O439" t="n">
        <v>0</v>
      </c>
      <c r="P439" t="n">
        <v>0</v>
      </c>
      <c r="Q439" t="n">
        <v>0</v>
      </c>
      <c r="R439" s="2" t="inlineStr"/>
    </row>
    <row r="440" ht="15" customHeight="1">
      <c r="A440" t="inlineStr">
        <is>
          <t>A 55580-2024</t>
        </is>
      </c>
      <c r="B440" s="1" t="n">
        <v>45622.56038194444</v>
      </c>
      <c r="C440" s="1" t="n">
        <v>45991</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48518-2024</t>
        </is>
      </c>
      <c r="B441" s="1" t="n">
        <v>45593.31915509259</v>
      </c>
      <c r="C441" s="1" t="n">
        <v>45991</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20588-2025</t>
        </is>
      </c>
      <c r="B442" s="1" t="n">
        <v>45775</v>
      </c>
      <c r="C442" s="1" t="n">
        <v>45991</v>
      </c>
      <c r="D442" t="inlineStr">
        <is>
          <t>DALARNAS LÄN</t>
        </is>
      </c>
      <c r="E442" t="inlineStr">
        <is>
          <t>ORSA</t>
        </is>
      </c>
      <c r="G442" t="n">
        <v>1.7</v>
      </c>
      <c r="H442" t="n">
        <v>0</v>
      </c>
      <c r="I442" t="n">
        <v>0</v>
      </c>
      <c r="J442" t="n">
        <v>0</v>
      </c>
      <c r="K442" t="n">
        <v>0</v>
      </c>
      <c r="L442" t="n">
        <v>0</v>
      </c>
      <c r="M442" t="n">
        <v>0</v>
      </c>
      <c r="N442" t="n">
        <v>0</v>
      </c>
      <c r="O442" t="n">
        <v>0</v>
      </c>
      <c r="P442" t="n">
        <v>0</v>
      </c>
      <c r="Q442" t="n">
        <v>0</v>
      </c>
      <c r="R442" s="2" t="inlineStr"/>
    </row>
    <row r="443" ht="15" customHeight="1">
      <c r="A443" t="inlineStr">
        <is>
          <t>A 20589-2025</t>
        </is>
      </c>
      <c r="B443" s="1" t="n">
        <v>45775</v>
      </c>
      <c r="C443" s="1" t="n">
        <v>45991</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37981-2024</t>
        </is>
      </c>
      <c r="B444" s="1" t="n">
        <v>45544</v>
      </c>
      <c r="C444" s="1" t="n">
        <v>45991</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597-2024</t>
        </is>
      </c>
      <c r="B445" s="1" t="n">
        <v>45299.63410879629</v>
      </c>
      <c r="C445" s="1" t="n">
        <v>45991</v>
      </c>
      <c r="D445" t="inlineStr">
        <is>
          <t>DALARNAS LÄN</t>
        </is>
      </c>
      <c r="E445" t="inlineStr">
        <is>
          <t>ORSA</t>
        </is>
      </c>
      <c r="G445" t="n">
        <v>4.4</v>
      </c>
      <c r="H445" t="n">
        <v>0</v>
      </c>
      <c r="I445" t="n">
        <v>0</v>
      </c>
      <c r="J445" t="n">
        <v>0</v>
      </c>
      <c r="K445" t="n">
        <v>0</v>
      </c>
      <c r="L445" t="n">
        <v>0</v>
      </c>
      <c r="M445" t="n">
        <v>0</v>
      </c>
      <c r="N445" t="n">
        <v>0</v>
      </c>
      <c r="O445" t="n">
        <v>0</v>
      </c>
      <c r="P445" t="n">
        <v>0</v>
      </c>
      <c r="Q445" t="n">
        <v>0</v>
      </c>
      <c r="R445" s="2" t="inlineStr"/>
    </row>
    <row r="446" ht="15" customHeight="1">
      <c r="A446" t="inlineStr">
        <is>
          <t>A 51915-2022</t>
        </is>
      </c>
      <c r="B446" s="1" t="n">
        <v>44872.62795138889</v>
      </c>
      <c r="C446" s="1" t="n">
        <v>45991</v>
      </c>
      <c r="D446" t="inlineStr">
        <is>
          <t>DALARNAS LÄN</t>
        </is>
      </c>
      <c r="E446" t="inlineStr">
        <is>
          <t>ORSA</t>
        </is>
      </c>
      <c r="G446" t="n">
        <v>0.7</v>
      </c>
      <c r="H446" t="n">
        <v>0</v>
      </c>
      <c r="I446" t="n">
        <v>0</v>
      </c>
      <c r="J446" t="n">
        <v>0</v>
      </c>
      <c r="K446" t="n">
        <v>0</v>
      </c>
      <c r="L446" t="n">
        <v>0</v>
      </c>
      <c r="M446" t="n">
        <v>0</v>
      </c>
      <c r="N446" t="n">
        <v>0</v>
      </c>
      <c r="O446" t="n">
        <v>0</v>
      </c>
      <c r="P446" t="n">
        <v>0</v>
      </c>
      <c r="Q446" t="n">
        <v>0</v>
      </c>
      <c r="R446" s="2" t="inlineStr"/>
    </row>
    <row r="447" ht="15" customHeight="1">
      <c r="A447" t="inlineStr">
        <is>
          <t>A 986-2025</t>
        </is>
      </c>
      <c r="B447" s="1" t="n">
        <v>45666.42952546296</v>
      </c>
      <c r="C447" s="1" t="n">
        <v>45991</v>
      </c>
      <c r="D447" t="inlineStr">
        <is>
          <t>DALARNAS LÄN</t>
        </is>
      </c>
      <c r="E447" t="inlineStr">
        <is>
          <t>ORSA</t>
        </is>
      </c>
      <c r="G447" t="n">
        <v>5.7</v>
      </c>
      <c r="H447" t="n">
        <v>0</v>
      </c>
      <c r="I447" t="n">
        <v>0</v>
      </c>
      <c r="J447" t="n">
        <v>0</v>
      </c>
      <c r="K447" t="n">
        <v>0</v>
      </c>
      <c r="L447" t="n">
        <v>0</v>
      </c>
      <c r="M447" t="n">
        <v>0</v>
      </c>
      <c r="N447" t="n">
        <v>0</v>
      </c>
      <c r="O447" t="n">
        <v>0</v>
      </c>
      <c r="P447" t="n">
        <v>0</v>
      </c>
      <c r="Q447" t="n">
        <v>0</v>
      </c>
      <c r="R447" s="2" t="inlineStr"/>
    </row>
    <row r="448" ht="15" customHeight="1">
      <c r="A448" t="inlineStr">
        <is>
          <t>A 37931-2023</t>
        </is>
      </c>
      <c r="B448" s="1" t="n">
        <v>45160.51721064815</v>
      </c>
      <c r="C448" s="1" t="n">
        <v>45991</v>
      </c>
      <c r="D448" t="inlineStr">
        <is>
          <t>DALARNAS LÄN</t>
        </is>
      </c>
      <c r="E448" t="inlineStr">
        <is>
          <t>ORSA</t>
        </is>
      </c>
      <c r="G448" t="n">
        <v>2.6</v>
      </c>
      <c r="H448" t="n">
        <v>0</v>
      </c>
      <c r="I448" t="n">
        <v>0</v>
      </c>
      <c r="J448" t="n">
        <v>0</v>
      </c>
      <c r="K448" t="n">
        <v>0</v>
      </c>
      <c r="L448" t="n">
        <v>0</v>
      </c>
      <c r="M448" t="n">
        <v>0</v>
      </c>
      <c r="N448" t="n">
        <v>0</v>
      </c>
      <c r="O448" t="n">
        <v>0</v>
      </c>
      <c r="P448" t="n">
        <v>0</v>
      </c>
      <c r="Q448" t="n">
        <v>0</v>
      </c>
      <c r="R448" s="2" t="inlineStr"/>
    </row>
    <row r="449" ht="15" customHeight="1">
      <c r="A449" t="inlineStr">
        <is>
          <t>A 42513-2024</t>
        </is>
      </c>
      <c r="B449" s="1" t="n">
        <v>45565.53810185185</v>
      </c>
      <c r="C449" s="1" t="n">
        <v>45991</v>
      </c>
      <c r="D449" t="inlineStr">
        <is>
          <t>DALARNAS LÄN</t>
        </is>
      </c>
      <c r="E449" t="inlineStr">
        <is>
          <t>ORSA</t>
        </is>
      </c>
      <c r="G449" t="n">
        <v>1.6</v>
      </c>
      <c r="H449" t="n">
        <v>0</v>
      </c>
      <c r="I449" t="n">
        <v>0</v>
      </c>
      <c r="J449" t="n">
        <v>0</v>
      </c>
      <c r="K449" t="n">
        <v>0</v>
      </c>
      <c r="L449" t="n">
        <v>0</v>
      </c>
      <c r="M449" t="n">
        <v>0</v>
      </c>
      <c r="N449" t="n">
        <v>0</v>
      </c>
      <c r="O449" t="n">
        <v>0</v>
      </c>
      <c r="P449" t="n">
        <v>0</v>
      </c>
      <c r="Q449" t="n">
        <v>0</v>
      </c>
      <c r="R449" s="2" t="inlineStr"/>
    </row>
    <row r="450" ht="15" customHeight="1">
      <c r="A450" t="inlineStr">
        <is>
          <t>A 42517-2024</t>
        </is>
      </c>
      <c r="B450" s="1" t="n">
        <v>45565.54078703704</v>
      </c>
      <c r="C450" s="1" t="n">
        <v>45991</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33488-2024</t>
        </is>
      </c>
      <c r="B451" s="1" t="n">
        <v>45519.61466435185</v>
      </c>
      <c r="C451" s="1" t="n">
        <v>45991</v>
      </c>
      <c r="D451" t="inlineStr">
        <is>
          <t>DALARNAS LÄN</t>
        </is>
      </c>
      <c r="E451" t="inlineStr">
        <is>
          <t>ORSA</t>
        </is>
      </c>
      <c r="F451" t="inlineStr">
        <is>
          <t>Övriga statliga verk och myndigheter</t>
        </is>
      </c>
      <c r="G451" t="n">
        <v>0.5</v>
      </c>
      <c r="H451" t="n">
        <v>0</v>
      </c>
      <c r="I451" t="n">
        <v>0</v>
      </c>
      <c r="J451" t="n">
        <v>0</v>
      </c>
      <c r="K451" t="n">
        <v>0</v>
      </c>
      <c r="L451" t="n">
        <v>0</v>
      </c>
      <c r="M451" t="n">
        <v>0</v>
      </c>
      <c r="N451" t="n">
        <v>0</v>
      </c>
      <c r="O451" t="n">
        <v>0</v>
      </c>
      <c r="P451" t="n">
        <v>0</v>
      </c>
      <c r="Q451" t="n">
        <v>0</v>
      </c>
      <c r="R451" s="2" t="inlineStr"/>
    </row>
    <row r="452" ht="15" customHeight="1">
      <c r="A452" t="inlineStr">
        <is>
          <t>A 15766-2025</t>
        </is>
      </c>
      <c r="B452" s="1" t="n">
        <v>45748.58409722222</v>
      </c>
      <c r="C452" s="1" t="n">
        <v>45991</v>
      </c>
      <c r="D452" t="inlineStr">
        <is>
          <t>DALARNAS LÄN</t>
        </is>
      </c>
      <c r="E452" t="inlineStr">
        <is>
          <t>ORSA</t>
        </is>
      </c>
      <c r="F452" t="inlineStr">
        <is>
          <t>Bergvik skog öst AB</t>
        </is>
      </c>
      <c r="G452" t="n">
        <v>9</v>
      </c>
      <c r="H452" t="n">
        <v>0</v>
      </c>
      <c r="I452" t="n">
        <v>0</v>
      </c>
      <c r="J452" t="n">
        <v>0</v>
      </c>
      <c r="K452" t="n">
        <v>0</v>
      </c>
      <c r="L452" t="n">
        <v>0</v>
      </c>
      <c r="M452" t="n">
        <v>0</v>
      </c>
      <c r="N452" t="n">
        <v>0</v>
      </c>
      <c r="O452" t="n">
        <v>0</v>
      </c>
      <c r="P452" t="n">
        <v>0</v>
      </c>
      <c r="Q452" t="n">
        <v>0</v>
      </c>
      <c r="R452" s="2" t="inlineStr"/>
    </row>
    <row r="453" ht="15" customHeight="1">
      <c r="A453" t="inlineStr">
        <is>
          <t>A 47564-2023</t>
        </is>
      </c>
      <c r="B453" s="1" t="n">
        <v>45203.40004629629</v>
      </c>
      <c r="C453" s="1" t="n">
        <v>45991</v>
      </c>
      <c r="D453" t="inlineStr">
        <is>
          <t>DALARNAS LÄN</t>
        </is>
      </c>
      <c r="E453" t="inlineStr">
        <is>
          <t>ORSA</t>
        </is>
      </c>
      <c r="F453" t="inlineStr">
        <is>
          <t>Allmännings- och besparingsskogar</t>
        </is>
      </c>
      <c r="G453" t="n">
        <v>0.8</v>
      </c>
      <c r="H453" t="n">
        <v>0</v>
      </c>
      <c r="I453" t="n">
        <v>0</v>
      </c>
      <c r="J453" t="n">
        <v>0</v>
      </c>
      <c r="K453" t="n">
        <v>0</v>
      </c>
      <c r="L453" t="n">
        <v>0</v>
      </c>
      <c r="M453" t="n">
        <v>0</v>
      </c>
      <c r="N453" t="n">
        <v>0</v>
      </c>
      <c r="O453" t="n">
        <v>0</v>
      </c>
      <c r="P453" t="n">
        <v>0</v>
      </c>
      <c r="Q453" t="n">
        <v>0</v>
      </c>
      <c r="R453" s="2" t="inlineStr"/>
    </row>
    <row r="454" ht="15" customHeight="1">
      <c r="A454" t="inlineStr">
        <is>
          <t>A 50061-2024</t>
        </is>
      </c>
      <c r="B454" s="1" t="n">
        <v>45600.34721064815</v>
      </c>
      <c r="C454" s="1" t="n">
        <v>45991</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61277-2023</t>
        </is>
      </c>
      <c r="B455" s="1" t="n">
        <v>45264.52465277778</v>
      </c>
      <c r="C455" s="1" t="n">
        <v>45991</v>
      </c>
      <c r="D455" t="inlineStr">
        <is>
          <t>DALARNAS LÄN</t>
        </is>
      </c>
      <c r="E455" t="inlineStr">
        <is>
          <t>ORSA</t>
        </is>
      </c>
      <c r="G455" t="n">
        <v>0.7</v>
      </c>
      <c r="H455" t="n">
        <v>0</v>
      </c>
      <c r="I455" t="n">
        <v>0</v>
      </c>
      <c r="J455" t="n">
        <v>0</v>
      </c>
      <c r="K455" t="n">
        <v>0</v>
      </c>
      <c r="L455" t="n">
        <v>0</v>
      </c>
      <c r="M455" t="n">
        <v>0</v>
      </c>
      <c r="N455" t="n">
        <v>0</v>
      </c>
      <c r="O455" t="n">
        <v>0</v>
      </c>
      <c r="P455" t="n">
        <v>0</v>
      </c>
      <c r="Q455" t="n">
        <v>0</v>
      </c>
      <c r="R455" s="2" t="inlineStr"/>
    </row>
    <row r="456" ht="15" customHeight="1">
      <c r="A456" t="inlineStr">
        <is>
          <t>A 33945-2022</t>
        </is>
      </c>
      <c r="B456" s="1" t="n">
        <v>44790.66212962963</v>
      </c>
      <c r="C456" s="1" t="n">
        <v>45991</v>
      </c>
      <c r="D456" t="inlineStr">
        <is>
          <t>DALARNAS LÄN</t>
        </is>
      </c>
      <c r="E456" t="inlineStr">
        <is>
          <t>ORSA</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61053-2024</t>
        </is>
      </c>
      <c r="B457" s="1" t="n">
        <v>45645.48501157408</v>
      </c>
      <c r="C457" s="1" t="n">
        <v>45991</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22911-2023</t>
        </is>
      </c>
      <c r="B458" s="1" t="n">
        <v>45072</v>
      </c>
      <c r="C458" s="1" t="n">
        <v>45991</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15769-2025</t>
        </is>
      </c>
      <c r="B459" s="1" t="n">
        <v>45748.58792824074</v>
      </c>
      <c r="C459" s="1" t="n">
        <v>45991</v>
      </c>
      <c r="D459" t="inlineStr">
        <is>
          <t>DALARNAS LÄN</t>
        </is>
      </c>
      <c r="E459" t="inlineStr">
        <is>
          <t>ORSA</t>
        </is>
      </c>
      <c r="F459" t="inlineStr">
        <is>
          <t>Bergvik skog öst AB</t>
        </is>
      </c>
      <c r="G459" t="n">
        <v>4.7</v>
      </c>
      <c r="H459" t="n">
        <v>0</v>
      </c>
      <c r="I459" t="n">
        <v>0</v>
      </c>
      <c r="J459" t="n">
        <v>0</v>
      </c>
      <c r="K459" t="n">
        <v>0</v>
      </c>
      <c r="L459" t="n">
        <v>0</v>
      </c>
      <c r="M459" t="n">
        <v>0</v>
      </c>
      <c r="N459" t="n">
        <v>0</v>
      </c>
      <c r="O459" t="n">
        <v>0</v>
      </c>
      <c r="P459" t="n">
        <v>0</v>
      </c>
      <c r="Q459" t="n">
        <v>0</v>
      </c>
      <c r="R459" s="2" t="inlineStr"/>
    </row>
    <row r="460" ht="15" customHeight="1">
      <c r="A460" t="inlineStr">
        <is>
          <t>A 15914-2021</t>
        </is>
      </c>
      <c r="B460" s="1" t="n">
        <v>44287</v>
      </c>
      <c r="C460" s="1" t="n">
        <v>45991</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21216-2023</t>
        </is>
      </c>
      <c r="B461" s="1" t="n">
        <v>45062</v>
      </c>
      <c r="C461" s="1" t="n">
        <v>45991</v>
      </c>
      <c r="D461" t="inlineStr">
        <is>
          <t>DALARNAS LÄN</t>
        </is>
      </c>
      <c r="E461" t="inlineStr">
        <is>
          <t>ORSA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30382-2023</t>
        </is>
      </c>
      <c r="B462" s="1" t="n">
        <v>45111</v>
      </c>
      <c r="C462" s="1" t="n">
        <v>45991</v>
      </c>
      <c r="D462" t="inlineStr">
        <is>
          <t>DALARNAS LÄN</t>
        </is>
      </c>
      <c r="E462" t="inlineStr">
        <is>
          <t>ORSA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37852-2024</t>
        </is>
      </c>
      <c r="B463" s="1" t="n">
        <v>45544.3786574074</v>
      </c>
      <c r="C463" s="1" t="n">
        <v>45991</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53717-2024</t>
        </is>
      </c>
      <c r="B464" s="1" t="n">
        <v>45615.43141203704</v>
      </c>
      <c r="C464" s="1" t="n">
        <v>45991</v>
      </c>
      <c r="D464" t="inlineStr">
        <is>
          <t>DALARNAS LÄN</t>
        </is>
      </c>
      <c r="E464" t="inlineStr">
        <is>
          <t>ORSA</t>
        </is>
      </c>
      <c r="G464" t="n">
        <v>1.5</v>
      </c>
      <c r="H464" t="n">
        <v>0</v>
      </c>
      <c r="I464" t="n">
        <v>0</v>
      </c>
      <c r="J464" t="n">
        <v>0</v>
      </c>
      <c r="K464" t="n">
        <v>0</v>
      </c>
      <c r="L464" t="n">
        <v>0</v>
      </c>
      <c r="M464" t="n">
        <v>0</v>
      </c>
      <c r="N464" t="n">
        <v>0</v>
      </c>
      <c r="O464" t="n">
        <v>0</v>
      </c>
      <c r="P464" t="n">
        <v>0</v>
      </c>
      <c r="Q464" t="n">
        <v>0</v>
      </c>
      <c r="R464" s="2" t="inlineStr"/>
    </row>
    <row r="465" ht="15" customHeight="1">
      <c r="A465" t="inlineStr">
        <is>
          <t>A 31688-2024</t>
        </is>
      </c>
      <c r="B465" s="1" t="n">
        <v>45507.46103009259</v>
      </c>
      <c r="C465" s="1" t="n">
        <v>45991</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56706-2021</t>
        </is>
      </c>
      <c r="B466" s="1" t="n">
        <v>44481.4037962963</v>
      </c>
      <c r="C466" s="1" t="n">
        <v>45991</v>
      </c>
      <c r="D466" t="inlineStr">
        <is>
          <t>DALARNAS LÄN</t>
        </is>
      </c>
      <c r="E466" t="inlineStr">
        <is>
          <t>ORSA</t>
        </is>
      </c>
      <c r="G466" t="n">
        <v>0.9</v>
      </c>
      <c r="H466" t="n">
        <v>0</v>
      </c>
      <c r="I466" t="n">
        <v>0</v>
      </c>
      <c r="J466" t="n">
        <v>0</v>
      </c>
      <c r="K466" t="n">
        <v>0</v>
      </c>
      <c r="L466" t="n">
        <v>0</v>
      </c>
      <c r="M466" t="n">
        <v>0</v>
      </c>
      <c r="N466" t="n">
        <v>0</v>
      </c>
      <c r="O466" t="n">
        <v>0</v>
      </c>
      <c r="P466" t="n">
        <v>0</v>
      </c>
      <c r="Q466" t="n">
        <v>0</v>
      </c>
      <c r="R466" s="2" t="inlineStr"/>
    </row>
    <row r="467" ht="15" customHeight="1">
      <c r="A467" t="inlineStr">
        <is>
          <t>A 50999-2021</t>
        </is>
      </c>
      <c r="B467" s="1" t="n">
        <v>44460.85565972222</v>
      </c>
      <c r="C467" s="1" t="n">
        <v>45991</v>
      </c>
      <c r="D467" t="inlineStr">
        <is>
          <t>DALARNAS LÄN</t>
        </is>
      </c>
      <c r="E467" t="inlineStr">
        <is>
          <t>ORSA</t>
        </is>
      </c>
      <c r="G467" t="n">
        <v>3</v>
      </c>
      <c r="H467" t="n">
        <v>0</v>
      </c>
      <c r="I467" t="n">
        <v>0</v>
      </c>
      <c r="J467" t="n">
        <v>0</v>
      </c>
      <c r="K467" t="n">
        <v>0</v>
      </c>
      <c r="L467" t="n">
        <v>0</v>
      </c>
      <c r="M467" t="n">
        <v>0</v>
      </c>
      <c r="N467" t="n">
        <v>0</v>
      </c>
      <c r="O467" t="n">
        <v>0</v>
      </c>
      <c r="P467" t="n">
        <v>0</v>
      </c>
      <c r="Q467" t="n">
        <v>0</v>
      </c>
      <c r="R467" s="2" t="inlineStr"/>
    </row>
    <row r="468" ht="15" customHeight="1">
      <c r="A468" t="inlineStr">
        <is>
          <t>A 27877-2021</t>
        </is>
      </c>
      <c r="B468" s="1" t="n">
        <v>44354.6446875</v>
      </c>
      <c r="C468" s="1" t="n">
        <v>45991</v>
      </c>
      <c r="D468" t="inlineStr">
        <is>
          <t>DALARNAS LÄN</t>
        </is>
      </c>
      <c r="E468" t="inlineStr">
        <is>
          <t>ORSA</t>
        </is>
      </c>
      <c r="F468" t="inlineStr">
        <is>
          <t>Bergvik skog öst AB</t>
        </is>
      </c>
      <c r="G468" t="n">
        <v>0.8</v>
      </c>
      <c r="H468" t="n">
        <v>0</v>
      </c>
      <c r="I468" t="n">
        <v>0</v>
      </c>
      <c r="J468" t="n">
        <v>0</v>
      </c>
      <c r="K468" t="n">
        <v>0</v>
      </c>
      <c r="L468" t="n">
        <v>0</v>
      </c>
      <c r="M468" t="n">
        <v>0</v>
      </c>
      <c r="N468" t="n">
        <v>0</v>
      </c>
      <c r="O468" t="n">
        <v>0</v>
      </c>
      <c r="P468" t="n">
        <v>0</v>
      </c>
      <c r="Q468" t="n">
        <v>0</v>
      </c>
      <c r="R468" s="2" t="inlineStr"/>
    </row>
    <row r="469" ht="15" customHeight="1">
      <c r="A469" t="inlineStr">
        <is>
          <t>A 28082-2023</t>
        </is>
      </c>
      <c r="B469" s="1" t="n">
        <v>45099</v>
      </c>
      <c r="C469" s="1" t="n">
        <v>45991</v>
      </c>
      <c r="D469" t="inlineStr">
        <is>
          <t>DALARNAS LÄN</t>
        </is>
      </c>
      <c r="E469" t="inlineStr">
        <is>
          <t>ORSA</t>
        </is>
      </c>
      <c r="G469" t="n">
        <v>0.4</v>
      </c>
      <c r="H469" t="n">
        <v>0</v>
      </c>
      <c r="I469" t="n">
        <v>0</v>
      </c>
      <c r="J469" t="n">
        <v>0</v>
      </c>
      <c r="K469" t="n">
        <v>0</v>
      </c>
      <c r="L469" t="n">
        <v>0</v>
      </c>
      <c r="M469" t="n">
        <v>0</v>
      </c>
      <c r="N469" t="n">
        <v>0</v>
      </c>
      <c r="O469" t="n">
        <v>0</v>
      </c>
      <c r="P469" t="n">
        <v>0</v>
      </c>
      <c r="Q469" t="n">
        <v>0</v>
      </c>
      <c r="R469" s="2" t="inlineStr"/>
    </row>
    <row r="470" ht="15" customHeight="1">
      <c r="A470" t="inlineStr">
        <is>
          <t>A 4553-2025</t>
        </is>
      </c>
      <c r="B470" s="1" t="n">
        <v>45687.42143518518</v>
      </c>
      <c r="C470" s="1" t="n">
        <v>45991</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51567-2023</t>
        </is>
      </c>
      <c r="B471" s="1" t="n">
        <v>45222.44800925926</v>
      </c>
      <c r="C471" s="1" t="n">
        <v>45991</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17518-2025</t>
        </is>
      </c>
      <c r="B472" s="1" t="n">
        <v>45757.57597222222</v>
      </c>
      <c r="C472" s="1" t="n">
        <v>45991</v>
      </c>
      <c r="D472" t="inlineStr">
        <is>
          <t>DALARNAS LÄN</t>
        </is>
      </c>
      <c r="E472" t="inlineStr">
        <is>
          <t>ORSA</t>
        </is>
      </c>
      <c r="F472" t="inlineStr">
        <is>
          <t>Bergvik skog öst AB</t>
        </is>
      </c>
      <c r="G472" t="n">
        <v>7.3</v>
      </c>
      <c r="H472" t="n">
        <v>0</v>
      </c>
      <c r="I472" t="n">
        <v>0</v>
      </c>
      <c r="J472" t="n">
        <v>0</v>
      </c>
      <c r="K472" t="n">
        <v>0</v>
      </c>
      <c r="L472" t="n">
        <v>0</v>
      </c>
      <c r="M472" t="n">
        <v>0</v>
      </c>
      <c r="N472" t="n">
        <v>0</v>
      </c>
      <c r="O472" t="n">
        <v>0</v>
      </c>
      <c r="P472" t="n">
        <v>0</v>
      </c>
      <c r="Q472" t="n">
        <v>0</v>
      </c>
      <c r="R472" s="2" t="inlineStr"/>
    </row>
    <row r="473" ht="15" customHeight="1">
      <c r="A473" t="inlineStr">
        <is>
          <t>A 29485-2022</t>
        </is>
      </c>
      <c r="B473" s="1" t="n">
        <v>44753</v>
      </c>
      <c r="C473" s="1" t="n">
        <v>45991</v>
      </c>
      <c r="D473" t="inlineStr">
        <is>
          <t>DALARNAS LÄN</t>
        </is>
      </c>
      <c r="E473" t="inlineStr">
        <is>
          <t>ORSA</t>
        </is>
      </c>
      <c r="G473" t="n">
        <v>1.2</v>
      </c>
      <c r="H473" t="n">
        <v>0</v>
      </c>
      <c r="I473" t="n">
        <v>0</v>
      </c>
      <c r="J473" t="n">
        <v>0</v>
      </c>
      <c r="K473" t="n">
        <v>0</v>
      </c>
      <c r="L473" t="n">
        <v>0</v>
      </c>
      <c r="M473" t="n">
        <v>0</v>
      </c>
      <c r="N473" t="n">
        <v>0</v>
      </c>
      <c r="O473" t="n">
        <v>0</v>
      </c>
      <c r="P473" t="n">
        <v>0</v>
      </c>
      <c r="Q473" t="n">
        <v>0</v>
      </c>
      <c r="R473" s="2" t="inlineStr"/>
    </row>
    <row r="474" ht="15" customHeight="1">
      <c r="A474" t="inlineStr">
        <is>
          <t>A 9466-2023</t>
        </is>
      </c>
      <c r="B474" s="1" t="n">
        <v>44981</v>
      </c>
      <c r="C474" s="1" t="n">
        <v>45991</v>
      </c>
      <c r="D474" t="inlineStr">
        <is>
          <t>DALARNAS LÄN</t>
        </is>
      </c>
      <c r="E474" t="inlineStr">
        <is>
          <t>ORSA</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23461-2023</t>
        </is>
      </c>
      <c r="B475" s="1" t="n">
        <v>45076</v>
      </c>
      <c r="C475" s="1" t="n">
        <v>45991</v>
      </c>
      <c r="D475" t="inlineStr">
        <is>
          <t>DALARNAS LÄN</t>
        </is>
      </c>
      <c r="E475" t="inlineStr">
        <is>
          <t>ORSA</t>
        </is>
      </c>
      <c r="G475" t="n">
        <v>0.5</v>
      </c>
      <c r="H475" t="n">
        <v>0</v>
      </c>
      <c r="I475" t="n">
        <v>0</v>
      </c>
      <c r="J475" t="n">
        <v>0</v>
      </c>
      <c r="K475" t="n">
        <v>0</v>
      </c>
      <c r="L475" t="n">
        <v>0</v>
      </c>
      <c r="M475" t="n">
        <v>0</v>
      </c>
      <c r="N475" t="n">
        <v>0</v>
      </c>
      <c r="O475" t="n">
        <v>0</v>
      </c>
      <c r="P475" t="n">
        <v>0</v>
      </c>
      <c r="Q475" t="n">
        <v>0</v>
      </c>
      <c r="R475" s="2" t="inlineStr"/>
    </row>
    <row r="476" ht="15" customHeight="1">
      <c r="A476" t="inlineStr">
        <is>
          <t>A 30290-2024</t>
        </is>
      </c>
      <c r="B476" s="1" t="n">
        <v>45490.64681712963</v>
      </c>
      <c r="C476" s="1" t="n">
        <v>45991</v>
      </c>
      <c r="D476" t="inlineStr">
        <is>
          <t>DALARNAS LÄN</t>
        </is>
      </c>
      <c r="E476" t="inlineStr">
        <is>
          <t>ORSA</t>
        </is>
      </c>
      <c r="F476" t="inlineStr">
        <is>
          <t>Bergvik skog öst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37836-2024</t>
        </is>
      </c>
      <c r="B477" s="1" t="n">
        <v>45544.35747685185</v>
      </c>
      <c r="C477" s="1" t="n">
        <v>45991</v>
      </c>
      <c r="D477" t="inlineStr">
        <is>
          <t>DALARNAS LÄN</t>
        </is>
      </c>
      <c r="E477" t="inlineStr">
        <is>
          <t>ORSA</t>
        </is>
      </c>
      <c r="G477" t="n">
        <v>2.3</v>
      </c>
      <c r="H477" t="n">
        <v>0</v>
      </c>
      <c r="I477" t="n">
        <v>0</v>
      </c>
      <c r="J477" t="n">
        <v>0</v>
      </c>
      <c r="K477" t="n">
        <v>0</v>
      </c>
      <c r="L477" t="n">
        <v>0</v>
      </c>
      <c r="M477" t="n">
        <v>0</v>
      </c>
      <c r="N477" t="n">
        <v>0</v>
      </c>
      <c r="O477" t="n">
        <v>0</v>
      </c>
      <c r="P477" t="n">
        <v>0</v>
      </c>
      <c r="Q477" t="n">
        <v>0</v>
      </c>
      <c r="R477" s="2" t="inlineStr"/>
    </row>
    <row r="478" ht="15" customHeight="1">
      <c r="A478" t="inlineStr">
        <is>
          <t>A 34374-2024</t>
        </is>
      </c>
      <c r="B478" s="1" t="n">
        <v>45525.40091435185</v>
      </c>
      <c r="C478" s="1" t="n">
        <v>45991</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52033-2023</t>
        </is>
      </c>
      <c r="B479" s="1" t="n">
        <v>45223.62680555556</v>
      </c>
      <c r="C479" s="1" t="n">
        <v>45991</v>
      </c>
      <c r="D479" t="inlineStr">
        <is>
          <t>DALARNAS LÄN</t>
        </is>
      </c>
      <c r="E479" t="inlineStr">
        <is>
          <t>ORSA</t>
        </is>
      </c>
      <c r="G479" t="n">
        <v>11.5</v>
      </c>
      <c r="H479" t="n">
        <v>0</v>
      </c>
      <c r="I479" t="n">
        <v>0</v>
      </c>
      <c r="J479" t="n">
        <v>0</v>
      </c>
      <c r="K479" t="n">
        <v>0</v>
      </c>
      <c r="L479" t="n">
        <v>0</v>
      </c>
      <c r="M479" t="n">
        <v>0</v>
      </c>
      <c r="N479" t="n">
        <v>0</v>
      </c>
      <c r="O479" t="n">
        <v>0</v>
      </c>
      <c r="P479" t="n">
        <v>0</v>
      </c>
      <c r="Q479" t="n">
        <v>0</v>
      </c>
      <c r="R479" s="2" t="inlineStr"/>
    </row>
    <row r="480" ht="15" customHeight="1">
      <c r="A480" t="inlineStr">
        <is>
          <t>A 54546-2024</t>
        </is>
      </c>
      <c r="B480" s="1" t="n">
        <v>45617.61476851852</v>
      </c>
      <c r="C480" s="1" t="n">
        <v>45991</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55534-2023</t>
        </is>
      </c>
      <c r="B481" s="1" t="n">
        <v>45238</v>
      </c>
      <c r="C481" s="1" t="n">
        <v>45991</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10261-2022</t>
        </is>
      </c>
      <c r="B482" s="1" t="n">
        <v>44622.6445949074</v>
      </c>
      <c r="C482" s="1" t="n">
        <v>45991</v>
      </c>
      <c r="D482" t="inlineStr">
        <is>
          <t>DALARNAS LÄN</t>
        </is>
      </c>
      <c r="E482" t="inlineStr">
        <is>
          <t>ORSA</t>
        </is>
      </c>
      <c r="G482" t="n">
        <v>3.1</v>
      </c>
      <c r="H482" t="n">
        <v>0</v>
      </c>
      <c r="I482" t="n">
        <v>0</v>
      </c>
      <c r="J482" t="n">
        <v>0</v>
      </c>
      <c r="K482" t="n">
        <v>0</v>
      </c>
      <c r="L482" t="n">
        <v>0</v>
      </c>
      <c r="M482" t="n">
        <v>0</v>
      </c>
      <c r="N482" t="n">
        <v>0</v>
      </c>
      <c r="O482" t="n">
        <v>0</v>
      </c>
      <c r="P482" t="n">
        <v>0</v>
      </c>
      <c r="Q482" t="n">
        <v>0</v>
      </c>
      <c r="R482" s="2" t="inlineStr"/>
    </row>
    <row r="483" ht="15" customHeight="1">
      <c r="A483" t="inlineStr">
        <is>
          <t>A 17848-2025</t>
        </is>
      </c>
      <c r="B483" s="1" t="n">
        <v>45758.59981481481</v>
      </c>
      <c r="C483" s="1" t="n">
        <v>45991</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61684-2024</t>
        </is>
      </c>
      <c r="B484" s="1" t="n">
        <v>45647.56491898148</v>
      </c>
      <c r="C484" s="1" t="n">
        <v>45991</v>
      </c>
      <c r="D484" t="inlineStr">
        <is>
          <t>DALARNAS LÄN</t>
        </is>
      </c>
      <c r="E484" t="inlineStr">
        <is>
          <t>ORSA</t>
        </is>
      </c>
      <c r="G484" t="n">
        <v>5.8</v>
      </c>
      <c r="H484" t="n">
        <v>0</v>
      </c>
      <c r="I484" t="n">
        <v>0</v>
      </c>
      <c r="J484" t="n">
        <v>0</v>
      </c>
      <c r="K484" t="n">
        <v>0</v>
      </c>
      <c r="L484" t="n">
        <v>0</v>
      </c>
      <c r="M484" t="n">
        <v>0</v>
      </c>
      <c r="N484" t="n">
        <v>0</v>
      </c>
      <c r="O484" t="n">
        <v>0</v>
      </c>
      <c r="P484" t="n">
        <v>0</v>
      </c>
      <c r="Q484" t="n">
        <v>0</v>
      </c>
      <c r="R484" s="2" t="inlineStr"/>
    </row>
    <row r="485" ht="15" customHeight="1">
      <c r="A485" t="inlineStr">
        <is>
          <t>A 11784-2024</t>
        </is>
      </c>
      <c r="B485" s="1" t="n">
        <v>45374.67886574074</v>
      </c>
      <c r="C485" s="1" t="n">
        <v>45991</v>
      </c>
      <c r="D485" t="inlineStr">
        <is>
          <t>DALARNAS LÄN</t>
        </is>
      </c>
      <c r="E485" t="inlineStr">
        <is>
          <t>ORSA</t>
        </is>
      </c>
      <c r="G485" t="n">
        <v>1.7</v>
      </c>
      <c r="H485" t="n">
        <v>0</v>
      </c>
      <c r="I485" t="n">
        <v>0</v>
      </c>
      <c r="J485" t="n">
        <v>0</v>
      </c>
      <c r="K485" t="n">
        <v>0</v>
      </c>
      <c r="L485" t="n">
        <v>0</v>
      </c>
      <c r="M485" t="n">
        <v>0</v>
      </c>
      <c r="N485" t="n">
        <v>0</v>
      </c>
      <c r="O485" t="n">
        <v>0</v>
      </c>
      <c r="P485" t="n">
        <v>0</v>
      </c>
      <c r="Q485" t="n">
        <v>0</v>
      </c>
      <c r="R485" s="2" t="inlineStr"/>
    </row>
    <row r="486" ht="15" customHeight="1">
      <c r="A486" t="inlineStr">
        <is>
          <t>A 55338-2022</t>
        </is>
      </c>
      <c r="B486" s="1" t="n">
        <v>44887.45185185185</v>
      </c>
      <c r="C486" s="1" t="n">
        <v>45991</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23350-2024</t>
        </is>
      </c>
      <c r="B487" s="1" t="n">
        <v>45453</v>
      </c>
      <c r="C487" s="1" t="n">
        <v>45991</v>
      </c>
      <c r="D487" t="inlineStr">
        <is>
          <t>DALARNAS LÄN</t>
        </is>
      </c>
      <c r="E487" t="inlineStr">
        <is>
          <t>ORSA</t>
        </is>
      </c>
      <c r="G487" t="n">
        <v>18.7</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45212.67149305555</v>
      </c>
      <c r="C488" s="1" t="n">
        <v>45991</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25591-2022</t>
        </is>
      </c>
      <c r="B489" s="1" t="n">
        <v>44732.67958333333</v>
      </c>
      <c r="C489" s="1" t="n">
        <v>45991</v>
      </c>
      <c r="D489" t="inlineStr">
        <is>
          <t>DALARNAS LÄN</t>
        </is>
      </c>
      <c r="E489" t="inlineStr">
        <is>
          <t>ORSA</t>
        </is>
      </c>
      <c r="G489" t="n">
        <v>6</v>
      </c>
      <c r="H489" t="n">
        <v>0</v>
      </c>
      <c r="I489" t="n">
        <v>0</v>
      </c>
      <c r="J489" t="n">
        <v>0</v>
      </c>
      <c r="K489" t="n">
        <v>0</v>
      </c>
      <c r="L489" t="n">
        <v>0</v>
      </c>
      <c r="M489" t="n">
        <v>0</v>
      </c>
      <c r="N489" t="n">
        <v>0</v>
      </c>
      <c r="O489" t="n">
        <v>0</v>
      </c>
      <c r="P489" t="n">
        <v>0</v>
      </c>
      <c r="Q489" t="n">
        <v>0</v>
      </c>
      <c r="R489" s="2" t="inlineStr"/>
    </row>
    <row r="490" ht="15" customHeight="1">
      <c r="A490" t="inlineStr">
        <is>
          <t>A 67189-2020</t>
        </is>
      </c>
      <c r="B490" s="1" t="n">
        <v>44180</v>
      </c>
      <c r="C490" s="1" t="n">
        <v>45991</v>
      </c>
      <c r="D490" t="inlineStr">
        <is>
          <t>DALARNAS LÄN</t>
        </is>
      </c>
      <c r="E490" t="inlineStr">
        <is>
          <t>ORSA</t>
        </is>
      </c>
      <c r="F490" t="inlineStr">
        <is>
          <t>Allmännings- och besparingsskogar</t>
        </is>
      </c>
      <c r="G490" t="n">
        <v>5</v>
      </c>
      <c r="H490" t="n">
        <v>0</v>
      </c>
      <c r="I490" t="n">
        <v>0</v>
      </c>
      <c r="J490" t="n">
        <v>0</v>
      </c>
      <c r="K490" t="n">
        <v>0</v>
      </c>
      <c r="L490" t="n">
        <v>0</v>
      </c>
      <c r="M490" t="n">
        <v>0</v>
      </c>
      <c r="N490" t="n">
        <v>0</v>
      </c>
      <c r="O490" t="n">
        <v>0</v>
      </c>
      <c r="P490" t="n">
        <v>0</v>
      </c>
      <c r="Q490" t="n">
        <v>0</v>
      </c>
      <c r="R490" s="2" t="inlineStr"/>
    </row>
    <row r="491" ht="15" customHeight="1">
      <c r="A491" t="inlineStr">
        <is>
          <t>A 60189-2022</t>
        </is>
      </c>
      <c r="B491" s="1" t="n">
        <v>44910.36798611111</v>
      </c>
      <c r="C491" s="1" t="n">
        <v>45991</v>
      </c>
      <c r="D491" t="inlineStr">
        <is>
          <t>DALARNAS LÄN</t>
        </is>
      </c>
      <c r="E491" t="inlineStr">
        <is>
          <t>ORSA</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52925-2024</t>
        </is>
      </c>
      <c r="B492" s="1" t="n">
        <v>45610.73276620371</v>
      </c>
      <c r="C492" s="1" t="n">
        <v>45991</v>
      </c>
      <c r="D492" t="inlineStr">
        <is>
          <t>DALARNAS LÄN</t>
        </is>
      </c>
      <c r="E492" t="inlineStr">
        <is>
          <t>ORSA</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6476-2025</t>
        </is>
      </c>
      <c r="B493" s="1" t="n">
        <v>45699</v>
      </c>
      <c r="C493" s="1" t="n">
        <v>45991</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6479-2025</t>
        </is>
      </c>
      <c r="B494" s="1" t="n">
        <v>45699</v>
      </c>
      <c r="C494" s="1" t="n">
        <v>45991</v>
      </c>
      <c r="D494" t="inlineStr">
        <is>
          <t>DALARNAS LÄN</t>
        </is>
      </c>
      <c r="E494" t="inlineStr">
        <is>
          <t>ORSA</t>
        </is>
      </c>
      <c r="G494" t="n">
        <v>3.2</v>
      </c>
      <c r="H494" t="n">
        <v>0</v>
      </c>
      <c r="I494" t="n">
        <v>0</v>
      </c>
      <c r="J494" t="n">
        <v>0</v>
      </c>
      <c r="K494" t="n">
        <v>0</v>
      </c>
      <c r="L494" t="n">
        <v>0</v>
      </c>
      <c r="M494" t="n">
        <v>0</v>
      </c>
      <c r="N494" t="n">
        <v>0</v>
      </c>
      <c r="O494" t="n">
        <v>0</v>
      </c>
      <c r="P494" t="n">
        <v>0</v>
      </c>
      <c r="Q494" t="n">
        <v>0</v>
      </c>
      <c r="R494" s="2" t="inlineStr"/>
    </row>
    <row r="495" ht="15" customHeight="1">
      <c r="A495" t="inlineStr">
        <is>
          <t>A 56807-2024</t>
        </is>
      </c>
      <c r="B495" s="1" t="n">
        <v>45628.47519675926</v>
      </c>
      <c r="C495" s="1" t="n">
        <v>45991</v>
      </c>
      <c r="D495" t="inlineStr">
        <is>
          <t>DALARNAS LÄN</t>
        </is>
      </c>
      <c r="E495" t="inlineStr">
        <is>
          <t>ORSA</t>
        </is>
      </c>
      <c r="G495" t="n">
        <v>1.9</v>
      </c>
      <c r="H495" t="n">
        <v>0</v>
      </c>
      <c r="I495" t="n">
        <v>0</v>
      </c>
      <c r="J495" t="n">
        <v>0</v>
      </c>
      <c r="K495" t="n">
        <v>0</v>
      </c>
      <c r="L495" t="n">
        <v>0</v>
      </c>
      <c r="M495" t="n">
        <v>0</v>
      </c>
      <c r="N495" t="n">
        <v>0</v>
      </c>
      <c r="O495" t="n">
        <v>0</v>
      </c>
      <c r="P495" t="n">
        <v>0</v>
      </c>
      <c r="Q495" t="n">
        <v>0</v>
      </c>
      <c r="R495" s="2" t="inlineStr"/>
    </row>
    <row r="496" ht="15" customHeight="1">
      <c r="A496" t="inlineStr">
        <is>
          <t>A 52643-2024</t>
        </is>
      </c>
      <c r="B496" s="1" t="n">
        <v>45610.34175925926</v>
      </c>
      <c r="C496" s="1" t="n">
        <v>45991</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47732-2021</t>
        </is>
      </c>
      <c r="B497" s="1" t="n">
        <v>44448.52815972222</v>
      </c>
      <c r="C497" s="1" t="n">
        <v>45991</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31170-2023</t>
        </is>
      </c>
      <c r="B498" s="1" t="n">
        <v>45113.84923611111</v>
      </c>
      <c r="C498" s="1" t="n">
        <v>45991</v>
      </c>
      <c r="D498" t="inlineStr">
        <is>
          <t>DALARNAS LÄN</t>
        </is>
      </c>
      <c r="E498" t="inlineStr">
        <is>
          <t>ORSA</t>
        </is>
      </c>
      <c r="G498" t="n">
        <v>2.1</v>
      </c>
      <c r="H498" t="n">
        <v>0</v>
      </c>
      <c r="I498" t="n">
        <v>0</v>
      </c>
      <c r="J498" t="n">
        <v>0</v>
      </c>
      <c r="K498" t="n">
        <v>0</v>
      </c>
      <c r="L498" t="n">
        <v>0</v>
      </c>
      <c r="M498" t="n">
        <v>0</v>
      </c>
      <c r="N498" t="n">
        <v>0</v>
      </c>
      <c r="O498" t="n">
        <v>0</v>
      </c>
      <c r="P498" t="n">
        <v>0</v>
      </c>
      <c r="Q498" t="n">
        <v>0</v>
      </c>
      <c r="R498" s="2" t="inlineStr"/>
    </row>
    <row r="499" ht="15" customHeight="1">
      <c r="A499" t="inlineStr">
        <is>
          <t>A 31171-2023</t>
        </is>
      </c>
      <c r="B499" s="1" t="n">
        <v>45113.85704861111</v>
      </c>
      <c r="C499" s="1" t="n">
        <v>45991</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40101-2024</t>
        </is>
      </c>
      <c r="B500" s="1" t="n">
        <v>45554.42622685185</v>
      </c>
      <c r="C500" s="1" t="n">
        <v>45991</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17503-2025</t>
        </is>
      </c>
      <c r="B501" s="1" t="n">
        <v>45757.55321759259</v>
      </c>
      <c r="C501" s="1" t="n">
        <v>45991</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37830-2024</t>
        </is>
      </c>
      <c r="B502" s="1" t="n">
        <v>45544.34504629629</v>
      </c>
      <c r="C502" s="1" t="n">
        <v>45991</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21905-2022</t>
        </is>
      </c>
      <c r="B503" s="1" t="n">
        <v>44711</v>
      </c>
      <c r="C503" s="1" t="n">
        <v>45991</v>
      </c>
      <c r="D503" t="inlineStr">
        <is>
          <t>DALARNAS LÄN</t>
        </is>
      </c>
      <c r="E503" t="inlineStr">
        <is>
          <t>ORSA</t>
        </is>
      </c>
      <c r="F503" t="inlineStr">
        <is>
          <t>Allmännings- och besparingsskogar</t>
        </is>
      </c>
      <c r="G503" t="n">
        <v>3.1</v>
      </c>
      <c r="H503" t="n">
        <v>0</v>
      </c>
      <c r="I503" t="n">
        <v>0</v>
      </c>
      <c r="J503" t="n">
        <v>0</v>
      </c>
      <c r="K503" t="n">
        <v>0</v>
      </c>
      <c r="L503" t="n">
        <v>0</v>
      </c>
      <c r="M503" t="n">
        <v>0</v>
      </c>
      <c r="N503" t="n">
        <v>0</v>
      </c>
      <c r="O503" t="n">
        <v>0</v>
      </c>
      <c r="P503" t="n">
        <v>0</v>
      </c>
      <c r="Q503" t="n">
        <v>0</v>
      </c>
      <c r="R503" s="2" t="inlineStr"/>
    </row>
    <row r="504" ht="15" customHeight="1">
      <c r="A504" t="inlineStr">
        <is>
          <t>A 48516-2024</t>
        </is>
      </c>
      <c r="B504" s="1" t="n">
        <v>45593.31292824074</v>
      </c>
      <c r="C504" s="1" t="n">
        <v>45991</v>
      </c>
      <c r="D504" t="inlineStr">
        <is>
          <t>DALARNAS LÄN</t>
        </is>
      </c>
      <c r="E504" t="inlineStr">
        <is>
          <t>ORSA</t>
        </is>
      </c>
      <c r="G504" t="n">
        <v>3.3</v>
      </c>
      <c r="H504" t="n">
        <v>0</v>
      </c>
      <c r="I504" t="n">
        <v>0</v>
      </c>
      <c r="J504" t="n">
        <v>0</v>
      </c>
      <c r="K504" t="n">
        <v>0</v>
      </c>
      <c r="L504" t="n">
        <v>0</v>
      </c>
      <c r="M504" t="n">
        <v>0</v>
      </c>
      <c r="N504" t="n">
        <v>0</v>
      </c>
      <c r="O504" t="n">
        <v>0</v>
      </c>
      <c r="P504" t="n">
        <v>0</v>
      </c>
      <c r="Q504" t="n">
        <v>0</v>
      </c>
      <c r="R504" s="2" t="inlineStr"/>
    </row>
    <row r="505" ht="15" customHeight="1">
      <c r="A505" t="inlineStr">
        <is>
          <t>A 48521-2024</t>
        </is>
      </c>
      <c r="B505" s="1" t="n">
        <v>45593.32871527778</v>
      </c>
      <c r="C505" s="1" t="n">
        <v>45991</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48525-2024</t>
        </is>
      </c>
      <c r="B506" s="1" t="n">
        <v>45593.33947916667</v>
      </c>
      <c r="C506" s="1" t="n">
        <v>45991</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41832-2024</t>
        </is>
      </c>
      <c r="B507" s="1" t="n">
        <v>45561.40730324074</v>
      </c>
      <c r="C507" s="1" t="n">
        <v>45991</v>
      </c>
      <c r="D507" t="inlineStr">
        <is>
          <t>DALARNAS LÄN</t>
        </is>
      </c>
      <c r="E507" t="inlineStr">
        <is>
          <t>ORSA</t>
        </is>
      </c>
      <c r="G507" t="n">
        <v>0.5</v>
      </c>
      <c r="H507" t="n">
        <v>0</v>
      </c>
      <c r="I507" t="n">
        <v>0</v>
      </c>
      <c r="J507" t="n">
        <v>0</v>
      </c>
      <c r="K507" t="n">
        <v>0</v>
      </c>
      <c r="L507" t="n">
        <v>0</v>
      </c>
      <c r="M507" t="n">
        <v>0</v>
      </c>
      <c r="N507" t="n">
        <v>0</v>
      </c>
      <c r="O507" t="n">
        <v>0</v>
      </c>
      <c r="P507" t="n">
        <v>0</v>
      </c>
      <c r="Q507" t="n">
        <v>0</v>
      </c>
      <c r="R507" s="2" t="inlineStr"/>
    </row>
    <row r="508" ht="15" customHeight="1">
      <c r="A508" t="inlineStr">
        <is>
          <t>A 53758-2024</t>
        </is>
      </c>
      <c r="B508" s="1" t="n">
        <v>45615.50483796297</v>
      </c>
      <c r="C508" s="1" t="n">
        <v>45991</v>
      </c>
      <c r="D508" t="inlineStr">
        <is>
          <t>DALARNAS LÄN</t>
        </is>
      </c>
      <c r="E508" t="inlineStr">
        <is>
          <t>ORSA</t>
        </is>
      </c>
      <c r="G508" t="n">
        <v>0.5</v>
      </c>
      <c r="H508" t="n">
        <v>0</v>
      </c>
      <c r="I508" t="n">
        <v>0</v>
      </c>
      <c r="J508" t="n">
        <v>0</v>
      </c>
      <c r="K508" t="n">
        <v>0</v>
      </c>
      <c r="L508" t="n">
        <v>0</v>
      </c>
      <c r="M508" t="n">
        <v>0</v>
      </c>
      <c r="N508" t="n">
        <v>0</v>
      </c>
      <c r="O508" t="n">
        <v>0</v>
      </c>
      <c r="P508" t="n">
        <v>0</v>
      </c>
      <c r="Q508" t="n">
        <v>0</v>
      </c>
      <c r="R508" s="2" t="inlineStr"/>
    </row>
    <row r="509" ht="15" customHeight="1">
      <c r="A509" t="inlineStr">
        <is>
          <t>A 27163-2023</t>
        </is>
      </c>
      <c r="B509" s="1" t="n">
        <v>45096.4878125</v>
      </c>
      <c r="C509" s="1" t="n">
        <v>45991</v>
      </c>
      <c r="D509" t="inlineStr">
        <is>
          <t>DALARNAS LÄN</t>
        </is>
      </c>
      <c r="E509" t="inlineStr">
        <is>
          <t>ORSA</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22022-2022</t>
        </is>
      </c>
      <c r="B510" s="1" t="n">
        <v>44711.60145833333</v>
      </c>
      <c r="C510" s="1" t="n">
        <v>45991</v>
      </c>
      <c r="D510" t="inlineStr">
        <is>
          <t>DALARNAS LÄN</t>
        </is>
      </c>
      <c r="E510" t="inlineStr">
        <is>
          <t>ORSA</t>
        </is>
      </c>
      <c r="F510" t="inlineStr">
        <is>
          <t>Bergvik skog öst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56810-2024</t>
        </is>
      </c>
      <c r="B511" s="1" t="n">
        <v>45628</v>
      </c>
      <c r="C511" s="1" t="n">
        <v>45991</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56811-2024</t>
        </is>
      </c>
      <c r="B512" s="1" t="n">
        <v>45628</v>
      </c>
      <c r="C512" s="1" t="n">
        <v>45991</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56803-2024</t>
        </is>
      </c>
      <c r="B513" s="1" t="n">
        <v>45628.47212962963</v>
      </c>
      <c r="C513" s="1" t="n">
        <v>45991</v>
      </c>
      <c r="D513" t="inlineStr">
        <is>
          <t>DALARNAS LÄN</t>
        </is>
      </c>
      <c r="E513" t="inlineStr">
        <is>
          <t>ORSA</t>
        </is>
      </c>
      <c r="G513" t="n">
        <v>1.4</v>
      </c>
      <c r="H513" t="n">
        <v>0</v>
      </c>
      <c r="I513" t="n">
        <v>0</v>
      </c>
      <c r="J513" t="n">
        <v>0</v>
      </c>
      <c r="K513" t="n">
        <v>0</v>
      </c>
      <c r="L513" t="n">
        <v>0</v>
      </c>
      <c r="M513" t="n">
        <v>0</v>
      </c>
      <c r="N513" t="n">
        <v>0</v>
      </c>
      <c r="O513" t="n">
        <v>0</v>
      </c>
      <c r="P513" t="n">
        <v>0</v>
      </c>
      <c r="Q513" t="n">
        <v>0</v>
      </c>
      <c r="R513" s="2" t="inlineStr"/>
    </row>
    <row r="514" ht="15" customHeight="1">
      <c r="A514" t="inlineStr">
        <is>
          <t>A 9836-2022</t>
        </is>
      </c>
      <c r="B514" s="1" t="n">
        <v>44620</v>
      </c>
      <c r="C514" s="1" t="n">
        <v>45991</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890-2024</t>
        </is>
      </c>
      <c r="B515" s="1" t="n">
        <v>45301.40552083333</v>
      </c>
      <c r="C515" s="1" t="n">
        <v>45991</v>
      </c>
      <c r="D515" t="inlineStr">
        <is>
          <t>DALARNAS LÄN</t>
        </is>
      </c>
      <c r="E515" t="inlineStr">
        <is>
          <t>ORSA</t>
        </is>
      </c>
      <c r="G515" t="n">
        <v>2.5</v>
      </c>
      <c r="H515" t="n">
        <v>0</v>
      </c>
      <c r="I515" t="n">
        <v>0</v>
      </c>
      <c r="J515" t="n">
        <v>0</v>
      </c>
      <c r="K515" t="n">
        <v>0</v>
      </c>
      <c r="L515" t="n">
        <v>0</v>
      </c>
      <c r="M515" t="n">
        <v>0</v>
      </c>
      <c r="N515" t="n">
        <v>0</v>
      </c>
      <c r="O515" t="n">
        <v>0</v>
      </c>
      <c r="P515" t="n">
        <v>0</v>
      </c>
      <c r="Q515" t="n">
        <v>0</v>
      </c>
      <c r="R515" s="2" t="inlineStr"/>
    </row>
    <row r="516" ht="15" customHeight="1">
      <c r="A516" t="inlineStr">
        <is>
          <t>A 20808-2025</t>
        </is>
      </c>
      <c r="B516" s="1" t="n">
        <v>45776</v>
      </c>
      <c r="C516" s="1" t="n">
        <v>45991</v>
      </c>
      <c r="D516" t="inlineStr">
        <is>
          <t>DALARNAS LÄN</t>
        </is>
      </c>
      <c r="E516" t="inlineStr">
        <is>
          <t>ORSA</t>
        </is>
      </c>
      <c r="F516" t="inlineStr">
        <is>
          <t>Bergvik skog väst AB</t>
        </is>
      </c>
      <c r="G516" t="n">
        <v>14.3</v>
      </c>
      <c r="H516" t="n">
        <v>0</v>
      </c>
      <c r="I516" t="n">
        <v>0</v>
      </c>
      <c r="J516" t="n">
        <v>0</v>
      </c>
      <c r="K516" t="n">
        <v>0</v>
      </c>
      <c r="L516" t="n">
        <v>0</v>
      </c>
      <c r="M516" t="n">
        <v>0</v>
      </c>
      <c r="N516" t="n">
        <v>0</v>
      </c>
      <c r="O516" t="n">
        <v>0</v>
      </c>
      <c r="P516" t="n">
        <v>0</v>
      </c>
      <c r="Q516" t="n">
        <v>0</v>
      </c>
      <c r="R516" s="2" t="inlineStr"/>
    </row>
    <row r="517" ht="15" customHeight="1">
      <c r="A517" t="inlineStr">
        <is>
          <t>A 21747-2025</t>
        </is>
      </c>
      <c r="B517" s="1" t="n">
        <v>45783.60923611111</v>
      </c>
      <c r="C517" s="1" t="n">
        <v>45991</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21376-2025</t>
        </is>
      </c>
      <c r="B518" s="1" t="n">
        <v>45782.45069444444</v>
      </c>
      <c r="C518" s="1" t="n">
        <v>45991</v>
      </c>
      <c r="D518" t="inlineStr">
        <is>
          <t>DALARNAS LÄN</t>
        </is>
      </c>
      <c r="E518" t="inlineStr">
        <is>
          <t>ORSA</t>
        </is>
      </c>
      <c r="G518" t="n">
        <v>4.6</v>
      </c>
      <c r="H518" t="n">
        <v>0</v>
      </c>
      <c r="I518" t="n">
        <v>0</v>
      </c>
      <c r="J518" t="n">
        <v>0</v>
      </c>
      <c r="K518" t="n">
        <v>0</v>
      </c>
      <c r="L518" t="n">
        <v>0</v>
      </c>
      <c r="M518" t="n">
        <v>0</v>
      </c>
      <c r="N518" t="n">
        <v>0</v>
      </c>
      <c r="O518" t="n">
        <v>0</v>
      </c>
      <c r="P518" t="n">
        <v>0</v>
      </c>
      <c r="Q518" t="n">
        <v>0</v>
      </c>
      <c r="R518" s="2" t="inlineStr"/>
    </row>
    <row r="519" ht="15" customHeight="1">
      <c r="A519" t="inlineStr">
        <is>
          <t>A 21335-2025</t>
        </is>
      </c>
      <c r="B519" s="1" t="n">
        <v>45782.37519675926</v>
      </c>
      <c r="C519" s="1" t="n">
        <v>45991</v>
      </c>
      <c r="D519" t="inlineStr">
        <is>
          <t>DALARNAS LÄN</t>
        </is>
      </c>
      <c r="E519" t="inlineStr">
        <is>
          <t>ORSA</t>
        </is>
      </c>
      <c r="F519" t="inlineStr">
        <is>
          <t>Bergvik skog väst AB</t>
        </is>
      </c>
      <c r="G519" t="n">
        <v>14.3</v>
      </c>
      <c r="H519" t="n">
        <v>0</v>
      </c>
      <c r="I519" t="n">
        <v>0</v>
      </c>
      <c r="J519" t="n">
        <v>0</v>
      </c>
      <c r="K519" t="n">
        <v>0</v>
      </c>
      <c r="L519" t="n">
        <v>0</v>
      </c>
      <c r="M519" t="n">
        <v>0</v>
      </c>
      <c r="N519" t="n">
        <v>0</v>
      </c>
      <c r="O519" t="n">
        <v>0</v>
      </c>
      <c r="P519" t="n">
        <v>0</v>
      </c>
      <c r="Q519" t="n">
        <v>0</v>
      </c>
      <c r="R519" s="2" t="inlineStr"/>
    </row>
    <row r="520" ht="15" customHeight="1">
      <c r="A520" t="inlineStr">
        <is>
          <t>A 10004-2023</t>
        </is>
      </c>
      <c r="B520" s="1" t="n">
        <v>44985.60604166667</v>
      </c>
      <c r="C520" s="1" t="n">
        <v>45991</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879-2024</t>
        </is>
      </c>
      <c r="B521" s="1" t="n">
        <v>45301.36821759259</v>
      </c>
      <c r="C521" s="1" t="n">
        <v>45991</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41835-2024</t>
        </is>
      </c>
      <c r="B522" s="1" t="n">
        <v>45561.40888888889</v>
      </c>
      <c r="C522" s="1" t="n">
        <v>45991</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4566-2025</t>
        </is>
      </c>
      <c r="B523" s="1" t="n">
        <v>45687.46100694445</v>
      </c>
      <c r="C523" s="1" t="n">
        <v>45991</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29984-2025</t>
        </is>
      </c>
      <c r="B524" s="1" t="n">
        <v>45826.49581018519</v>
      </c>
      <c r="C524" s="1" t="n">
        <v>45991</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21949-2025</t>
        </is>
      </c>
      <c r="B525" s="1" t="n">
        <v>45784.59369212963</v>
      </c>
      <c r="C525" s="1" t="n">
        <v>45991</v>
      </c>
      <c r="D525" t="inlineStr">
        <is>
          <t>DALARNAS LÄN</t>
        </is>
      </c>
      <c r="E525" t="inlineStr">
        <is>
          <t>ORSA</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21165-2024</t>
        </is>
      </c>
      <c r="B526" s="1" t="n">
        <v>45440.45225694445</v>
      </c>
      <c r="C526" s="1" t="n">
        <v>45991</v>
      </c>
      <c r="D526" t="inlineStr">
        <is>
          <t>DALARNAS LÄN</t>
        </is>
      </c>
      <c r="E526" t="inlineStr">
        <is>
          <t>ORSA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44904-2024</t>
        </is>
      </c>
      <c r="B527" s="1" t="n">
        <v>45575.38193287037</v>
      </c>
      <c r="C527" s="1" t="n">
        <v>45991</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55843-2023</t>
        </is>
      </c>
      <c r="B528" s="1" t="n">
        <v>45239</v>
      </c>
      <c r="C528" s="1" t="n">
        <v>45991</v>
      </c>
      <c r="D528" t="inlineStr">
        <is>
          <t>DALARNAS LÄN</t>
        </is>
      </c>
      <c r="E528" t="inlineStr">
        <is>
          <t>ORSA</t>
        </is>
      </c>
      <c r="G528" t="n">
        <v>2.4</v>
      </c>
      <c r="H528" t="n">
        <v>0</v>
      </c>
      <c r="I528" t="n">
        <v>0</v>
      </c>
      <c r="J528" t="n">
        <v>0</v>
      </c>
      <c r="K528" t="n">
        <v>0</v>
      </c>
      <c r="L528" t="n">
        <v>0</v>
      </c>
      <c r="M528" t="n">
        <v>0</v>
      </c>
      <c r="N528" t="n">
        <v>0</v>
      </c>
      <c r="O528" t="n">
        <v>0</v>
      </c>
      <c r="P528" t="n">
        <v>0</v>
      </c>
      <c r="Q528" t="n">
        <v>0</v>
      </c>
      <c r="R528" s="2" t="inlineStr"/>
    </row>
    <row r="529" ht="15" customHeight="1">
      <c r="A529" t="inlineStr">
        <is>
          <t>A 23056-2025</t>
        </is>
      </c>
      <c r="B529" s="1" t="n">
        <v>45790.73627314815</v>
      </c>
      <c r="C529" s="1" t="n">
        <v>45991</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23015-2025</t>
        </is>
      </c>
      <c r="B530" s="1" t="n">
        <v>45790.6377662037</v>
      </c>
      <c r="C530" s="1" t="n">
        <v>45991</v>
      </c>
      <c r="D530" t="inlineStr">
        <is>
          <t>DALARNAS LÄN</t>
        </is>
      </c>
      <c r="E530" t="inlineStr">
        <is>
          <t>ORSA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58549-2023</t>
        </is>
      </c>
      <c r="B531" s="1" t="n">
        <v>45251.42627314815</v>
      </c>
      <c r="C531" s="1" t="n">
        <v>45991</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23053-2025</t>
        </is>
      </c>
      <c r="B532" s="1" t="n">
        <v>45790.73072916667</v>
      </c>
      <c r="C532" s="1" t="n">
        <v>45991</v>
      </c>
      <c r="D532" t="inlineStr">
        <is>
          <t>DALARNAS LÄN</t>
        </is>
      </c>
      <c r="E532" t="inlineStr">
        <is>
          <t>ORSA</t>
        </is>
      </c>
      <c r="G532" t="n">
        <v>3.3</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45991</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23055-2025</t>
        </is>
      </c>
      <c r="B534" s="1" t="n">
        <v>45790.73469907408</v>
      </c>
      <c r="C534" s="1" t="n">
        <v>45991</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5302-2024</t>
        </is>
      </c>
      <c r="B535" s="1" t="n">
        <v>45331.38175925926</v>
      </c>
      <c r="C535" s="1" t="n">
        <v>45991</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23740-2025</t>
        </is>
      </c>
      <c r="B536" s="1" t="n">
        <v>45793.43210648148</v>
      </c>
      <c r="C536" s="1" t="n">
        <v>45991</v>
      </c>
      <c r="D536" t="inlineStr">
        <is>
          <t>DALARNAS LÄN</t>
        </is>
      </c>
      <c r="E536" t="inlineStr">
        <is>
          <t>ORSA</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5434-2025</t>
        </is>
      </c>
      <c r="B537" s="1" t="n">
        <v>45692</v>
      </c>
      <c r="C537" s="1" t="n">
        <v>45991</v>
      </c>
      <c r="D537" t="inlineStr">
        <is>
          <t>DALARNAS LÄN</t>
        </is>
      </c>
      <c r="E537" t="inlineStr">
        <is>
          <t>ORSA</t>
        </is>
      </c>
      <c r="G537" t="n">
        <v>6.9</v>
      </c>
      <c r="H537" t="n">
        <v>0</v>
      </c>
      <c r="I537" t="n">
        <v>0</v>
      </c>
      <c r="J537" t="n">
        <v>0</v>
      </c>
      <c r="K537" t="n">
        <v>0</v>
      </c>
      <c r="L537" t="n">
        <v>0</v>
      </c>
      <c r="M537" t="n">
        <v>0</v>
      </c>
      <c r="N537" t="n">
        <v>0</v>
      </c>
      <c r="O537" t="n">
        <v>0</v>
      </c>
      <c r="P537" t="n">
        <v>0</v>
      </c>
      <c r="Q537" t="n">
        <v>0</v>
      </c>
      <c r="R537" s="2" t="inlineStr"/>
    </row>
    <row r="538" ht="15" customHeight="1">
      <c r="A538" t="inlineStr">
        <is>
          <t>A 70332-2021</t>
        </is>
      </c>
      <c r="B538" s="1" t="n">
        <v>44536</v>
      </c>
      <c r="C538" s="1" t="n">
        <v>45991</v>
      </c>
      <c r="D538" t="inlineStr">
        <is>
          <t>DALARNAS LÄN</t>
        </is>
      </c>
      <c r="E538" t="inlineStr">
        <is>
          <t>ORSA</t>
        </is>
      </c>
      <c r="G538" t="n">
        <v>7.2</v>
      </c>
      <c r="H538" t="n">
        <v>0</v>
      </c>
      <c r="I538" t="n">
        <v>0</v>
      </c>
      <c r="J538" t="n">
        <v>0</v>
      </c>
      <c r="K538" t="n">
        <v>0</v>
      </c>
      <c r="L538" t="n">
        <v>0</v>
      </c>
      <c r="M538" t="n">
        <v>0</v>
      </c>
      <c r="N538" t="n">
        <v>0</v>
      </c>
      <c r="O538" t="n">
        <v>0</v>
      </c>
      <c r="P538" t="n">
        <v>0</v>
      </c>
      <c r="Q538" t="n">
        <v>0</v>
      </c>
      <c r="R538" s="2" t="inlineStr"/>
    </row>
    <row r="539" ht="15" customHeight="1">
      <c r="A539" t="inlineStr">
        <is>
          <t>A 1785-2024</t>
        </is>
      </c>
      <c r="B539" s="1" t="n">
        <v>45307</v>
      </c>
      <c r="C539" s="1" t="n">
        <v>45991</v>
      </c>
      <c r="D539" t="inlineStr">
        <is>
          <t>DALARNAS LÄN</t>
        </is>
      </c>
      <c r="E539" t="inlineStr">
        <is>
          <t>ORSA</t>
        </is>
      </c>
      <c r="G539" t="n">
        <v>42.8</v>
      </c>
      <c r="H539" t="n">
        <v>0</v>
      </c>
      <c r="I539" t="n">
        <v>0</v>
      </c>
      <c r="J539" t="n">
        <v>0</v>
      </c>
      <c r="K539" t="n">
        <v>0</v>
      </c>
      <c r="L539" t="n">
        <v>0</v>
      </c>
      <c r="M539" t="n">
        <v>0</v>
      </c>
      <c r="N539" t="n">
        <v>0</v>
      </c>
      <c r="O539" t="n">
        <v>0</v>
      </c>
      <c r="P539" t="n">
        <v>0</v>
      </c>
      <c r="Q539" t="n">
        <v>0</v>
      </c>
      <c r="R539" s="2" t="inlineStr"/>
    </row>
    <row r="540" ht="15" customHeight="1">
      <c r="A540" t="inlineStr">
        <is>
          <t>A 24248-2025</t>
        </is>
      </c>
      <c r="B540" s="1" t="n">
        <v>45797.40101851852</v>
      </c>
      <c r="C540" s="1" t="n">
        <v>45991</v>
      </c>
      <c r="D540" t="inlineStr">
        <is>
          <t>DALARNAS LÄN</t>
        </is>
      </c>
      <c r="E540" t="inlineStr">
        <is>
          <t>ORSA</t>
        </is>
      </c>
      <c r="F540" t="inlineStr">
        <is>
          <t>Bergvik skog öst AB</t>
        </is>
      </c>
      <c r="G540" t="n">
        <v>4.3</v>
      </c>
      <c r="H540" t="n">
        <v>0</v>
      </c>
      <c r="I540" t="n">
        <v>0</v>
      </c>
      <c r="J540" t="n">
        <v>0</v>
      </c>
      <c r="K540" t="n">
        <v>0</v>
      </c>
      <c r="L540" t="n">
        <v>0</v>
      </c>
      <c r="M540" t="n">
        <v>0</v>
      </c>
      <c r="N540" t="n">
        <v>0</v>
      </c>
      <c r="O540" t="n">
        <v>0</v>
      </c>
      <c r="P540" t="n">
        <v>0</v>
      </c>
      <c r="Q540" t="n">
        <v>0</v>
      </c>
      <c r="R540" s="2" t="inlineStr"/>
    </row>
    <row r="541">
      <c r="A541" t="inlineStr">
        <is>
          <t>A 53703-2024</t>
        </is>
      </c>
      <c r="B541" s="1" t="n">
        <v>45615.3990162037</v>
      </c>
      <c r="C541" s="1" t="n">
        <v>45991</v>
      </c>
      <c r="D541" t="inlineStr">
        <is>
          <t>DALARNAS LÄN</t>
        </is>
      </c>
      <c r="E541" t="inlineStr">
        <is>
          <t>ORSA</t>
        </is>
      </c>
      <c r="G541" t="n">
        <v>1.4</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2025-11-30T10:26:12Z</dcterms:created>
  <dcterms:modified xmlns:dcterms="http://purl.org/dc/terms/" xmlns:xsi="http://www.w3.org/2001/XMLSchema-instance" xsi:type="dcterms:W3CDTF">2025-11-30T10:26:13Z</dcterms:modified>
</cp:coreProperties>
</file>