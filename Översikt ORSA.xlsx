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45761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45761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45761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45761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45761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45761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45761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45761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45761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45761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45761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45761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45761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45761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45761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45761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45761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45761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45761</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45761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45761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45761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45761</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45761</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45761</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45761</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45761</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45761</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45761</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45761</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45761</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45761</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45761</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45761</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45761</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45761</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45761</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45761</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45761</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45761</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45761</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45761</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45761</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45761</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45761</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45761</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45761</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45761</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45761</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45761</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45761</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63810-2021</t>
        </is>
      </c>
      <c r="B53" s="1" t="n">
        <v>44509</v>
      </c>
      <c r="C53" s="1" t="n">
        <v>45761</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20914-2022</t>
        </is>
      </c>
      <c r="B54" s="1" t="n">
        <v>44701</v>
      </c>
      <c r="C54" s="1" t="n">
        <v>45761</v>
      </c>
      <c r="D54" t="inlineStr">
        <is>
          <t>DALARNAS LÄN</t>
        </is>
      </c>
      <c r="E54" t="inlineStr">
        <is>
          <t>ORSA</t>
        </is>
      </c>
      <c r="F54" t="inlineStr">
        <is>
          <t>Allmännings- och besparingsskogar</t>
        </is>
      </c>
      <c r="G54" t="n">
        <v>32.6</v>
      </c>
      <c r="H54" t="n">
        <v>1</v>
      </c>
      <c r="I54" t="n">
        <v>1</v>
      </c>
      <c r="J54" t="n">
        <v>1</v>
      </c>
      <c r="K54" t="n">
        <v>0</v>
      </c>
      <c r="L54" t="n">
        <v>0</v>
      </c>
      <c r="M54" t="n">
        <v>0</v>
      </c>
      <c r="N54" t="n">
        <v>0</v>
      </c>
      <c r="O54" t="n">
        <v>1</v>
      </c>
      <c r="P54" t="n">
        <v>0</v>
      </c>
      <c r="Q54" t="n">
        <v>2</v>
      </c>
      <c r="R54" s="2" t="inlineStr">
        <is>
          <t>Kungsörn
Vågbandad barkbock</t>
        </is>
      </c>
      <c r="S54">
        <f>HYPERLINK("https://klasma.github.io/Logging_2034/artfynd/A 20914-2022 artfynd.xlsx", "A 20914-2022")</f>
        <v/>
      </c>
      <c r="T54">
        <f>HYPERLINK("https://klasma.github.io/Logging_2034/kartor/A 20914-2022 karta.png", "A 20914-2022")</f>
        <v/>
      </c>
      <c r="V54">
        <f>HYPERLINK("https://klasma.github.io/Logging_2034/klagomål/A 20914-2022 FSC-klagomål.docx", "A 20914-2022")</f>
        <v/>
      </c>
      <c r="W54">
        <f>HYPERLINK("https://klasma.github.io/Logging_2034/klagomålsmail/A 20914-2022 FSC-klagomål mail.docx", "A 20914-2022")</f>
        <v/>
      </c>
      <c r="X54">
        <f>HYPERLINK("https://klasma.github.io/Logging_2034/tillsyn/A 20914-2022 tillsynsbegäran.docx", "A 20914-2022")</f>
        <v/>
      </c>
      <c r="Y54">
        <f>HYPERLINK("https://klasma.github.io/Logging_2034/tillsynsmail/A 20914-2022 tillsynsbegäran mail.docx", "A 20914-2022")</f>
        <v/>
      </c>
      <c r="Z54">
        <f>HYPERLINK("https://klasma.github.io/Logging_2034/fåglar/A 20914-2022 prioriterade fågelarter.docx", "A 20914-2022")</f>
        <v/>
      </c>
    </row>
    <row r="55" ht="15" customHeight="1">
      <c r="A55" t="inlineStr">
        <is>
          <t>A 47714-2022</t>
        </is>
      </c>
      <c r="B55" s="1" t="n">
        <v>44854</v>
      </c>
      <c r="C55" s="1" t="n">
        <v>45761</v>
      </c>
      <c r="D55" t="inlineStr">
        <is>
          <t>DALARNAS LÄN</t>
        </is>
      </c>
      <c r="E55" t="inlineStr">
        <is>
          <t>ORSA</t>
        </is>
      </c>
      <c r="F55" t="inlineStr">
        <is>
          <t>Bergvik skog öst AB</t>
        </is>
      </c>
      <c r="G55" t="n">
        <v>4.6</v>
      </c>
      <c r="H55" t="n">
        <v>2</v>
      </c>
      <c r="I55" t="n">
        <v>1</v>
      </c>
      <c r="J55" t="n">
        <v>1</v>
      </c>
      <c r="K55" t="n">
        <v>0</v>
      </c>
      <c r="L55" t="n">
        <v>0</v>
      </c>
      <c r="M55" t="n">
        <v>0</v>
      </c>
      <c r="N55" t="n">
        <v>0</v>
      </c>
      <c r="O55" t="n">
        <v>1</v>
      </c>
      <c r="P55" t="n">
        <v>0</v>
      </c>
      <c r="Q55" t="n">
        <v>2</v>
      </c>
      <c r="R55" s="2" t="inlineStr">
        <is>
          <t>Talltita
Plattlummer</t>
        </is>
      </c>
      <c r="S55">
        <f>HYPERLINK("https://klasma.github.io/Logging_2034/artfynd/A 47714-2022 artfynd.xlsx", "A 47714-2022")</f>
        <v/>
      </c>
      <c r="T55">
        <f>HYPERLINK("https://klasma.github.io/Logging_2034/kartor/A 47714-2022 karta.png", "A 47714-2022")</f>
        <v/>
      </c>
      <c r="V55">
        <f>HYPERLINK("https://klasma.github.io/Logging_2034/klagomål/A 47714-2022 FSC-klagomål.docx", "A 47714-2022")</f>
        <v/>
      </c>
      <c r="W55">
        <f>HYPERLINK("https://klasma.github.io/Logging_2034/klagomålsmail/A 47714-2022 FSC-klagomål mail.docx", "A 47714-2022")</f>
        <v/>
      </c>
      <c r="X55">
        <f>HYPERLINK("https://klasma.github.io/Logging_2034/tillsyn/A 47714-2022 tillsynsbegäran.docx", "A 47714-2022")</f>
        <v/>
      </c>
      <c r="Y55">
        <f>HYPERLINK("https://klasma.github.io/Logging_2034/tillsynsmail/A 47714-2022 tillsynsbegäran mail.docx", "A 47714-2022")</f>
        <v/>
      </c>
      <c r="Z55">
        <f>HYPERLINK("https://klasma.github.io/Logging_2034/fåglar/A 47714-2022 prioriterade fågelarter.docx", "A 47714-2022")</f>
        <v/>
      </c>
    </row>
    <row r="56" ht="15" customHeight="1">
      <c r="A56" t="inlineStr">
        <is>
          <t>A 48343-2022</t>
        </is>
      </c>
      <c r="B56" s="1" t="n">
        <v>44858</v>
      </c>
      <c r="C56" s="1" t="n">
        <v>45761</v>
      </c>
      <c r="D56" t="inlineStr">
        <is>
          <t>DALARNAS LÄN</t>
        </is>
      </c>
      <c r="E56" t="inlineStr">
        <is>
          <t>ORSA</t>
        </is>
      </c>
      <c r="G56" t="n">
        <v>1.6</v>
      </c>
      <c r="H56" t="n">
        <v>2</v>
      </c>
      <c r="I56" t="n">
        <v>0</v>
      </c>
      <c r="J56" t="n">
        <v>1</v>
      </c>
      <c r="K56" t="n">
        <v>0</v>
      </c>
      <c r="L56" t="n">
        <v>0</v>
      </c>
      <c r="M56" t="n">
        <v>0</v>
      </c>
      <c r="N56" t="n">
        <v>0</v>
      </c>
      <c r="O56" t="n">
        <v>1</v>
      </c>
      <c r="P56" t="n">
        <v>0</v>
      </c>
      <c r="Q56" t="n">
        <v>2</v>
      </c>
      <c r="R56" s="2" t="inlineStr">
        <is>
          <t>Nordfladdermus
Vattenfladdermus</t>
        </is>
      </c>
      <c r="S56">
        <f>HYPERLINK("https://klasma.github.io/Logging_2034/artfynd/A 48343-2022 artfynd.xlsx", "A 48343-2022")</f>
        <v/>
      </c>
      <c r="T56">
        <f>HYPERLINK("https://klasma.github.io/Logging_2034/kartor/A 48343-2022 karta.png", "A 48343-2022")</f>
        <v/>
      </c>
      <c r="V56">
        <f>HYPERLINK("https://klasma.github.io/Logging_2034/klagomål/A 48343-2022 FSC-klagomål.docx", "A 48343-2022")</f>
        <v/>
      </c>
      <c r="W56">
        <f>HYPERLINK("https://klasma.github.io/Logging_2034/klagomålsmail/A 48343-2022 FSC-klagomål mail.docx", "A 48343-2022")</f>
        <v/>
      </c>
      <c r="X56">
        <f>HYPERLINK("https://klasma.github.io/Logging_2034/tillsyn/A 48343-2022 tillsynsbegäran.docx", "A 48343-2022")</f>
        <v/>
      </c>
      <c r="Y56">
        <f>HYPERLINK("https://klasma.github.io/Logging_2034/tillsynsmail/A 48343-2022 tillsynsbegäran mail.docx", "A 48343-2022")</f>
        <v/>
      </c>
    </row>
    <row r="57" ht="15" customHeight="1">
      <c r="A57" t="inlineStr">
        <is>
          <t>A 53629-2022</t>
        </is>
      </c>
      <c r="B57" s="1" t="n">
        <v>44879</v>
      </c>
      <c r="C57" s="1" t="n">
        <v>45761</v>
      </c>
      <c r="D57" t="inlineStr">
        <is>
          <t>DALARNAS LÄN</t>
        </is>
      </c>
      <c r="E57" t="inlineStr">
        <is>
          <t>ORSA</t>
        </is>
      </c>
      <c r="G57" t="n">
        <v>8.199999999999999</v>
      </c>
      <c r="H57" t="n">
        <v>2</v>
      </c>
      <c r="I57" t="n">
        <v>0</v>
      </c>
      <c r="J57" t="n">
        <v>0</v>
      </c>
      <c r="K57" t="n">
        <v>0</v>
      </c>
      <c r="L57" t="n">
        <v>0</v>
      </c>
      <c r="M57" t="n">
        <v>0</v>
      </c>
      <c r="N57" t="n">
        <v>0</v>
      </c>
      <c r="O57" t="n">
        <v>0</v>
      </c>
      <c r="P57" t="n">
        <v>0</v>
      </c>
      <c r="Q57" t="n">
        <v>2</v>
      </c>
      <c r="R57" s="2" t="inlineStr">
        <is>
          <t>Större vattensalamander
Mindre vattensalamander</t>
        </is>
      </c>
      <c r="S57">
        <f>HYPERLINK("https://klasma.github.io/Logging_2034/artfynd/A 53629-2022 artfynd.xlsx", "A 53629-2022")</f>
        <v/>
      </c>
      <c r="T57">
        <f>HYPERLINK("https://klasma.github.io/Logging_2034/kartor/A 53629-2022 karta.png", "A 53629-2022")</f>
        <v/>
      </c>
      <c r="V57">
        <f>HYPERLINK("https://klasma.github.io/Logging_2034/klagomål/A 53629-2022 FSC-klagomål.docx", "A 53629-2022")</f>
        <v/>
      </c>
      <c r="W57">
        <f>HYPERLINK("https://klasma.github.io/Logging_2034/klagomålsmail/A 53629-2022 FSC-klagomål mail.docx", "A 53629-2022")</f>
        <v/>
      </c>
      <c r="X57">
        <f>HYPERLINK("https://klasma.github.io/Logging_2034/tillsyn/A 53629-2022 tillsynsbegäran.docx", "A 53629-2022")</f>
        <v/>
      </c>
      <c r="Y57">
        <f>HYPERLINK("https://klasma.github.io/Logging_2034/tillsynsmail/A 53629-2022 tillsynsbegäran mail.docx", "A 53629-2022")</f>
        <v/>
      </c>
    </row>
    <row r="58" ht="15" customHeight="1">
      <c r="A58" t="inlineStr">
        <is>
          <t>A 44656-2023</t>
        </is>
      </c>
      <c r="B58" s="1" t="n">
        <v>45189</v>
      </c>
      <c r="C58" s="1" t="n">
        <v>45761</v>
      </c>
      <c r="D58" t="inlineStr">
        <is>
          <t>DALARNAS LÄN</t>
        </is>
      </c>
      <c r="E58" t="inlineStr">
        <is>
          <t>ORSA</t>
        </is>
      </c>
      <c r="F58" t="inlineStr">
        <is>
          <t>Bergvik skog öst AB</t>
        </is>
      </c>
      <c r="G58" t="n">
        <v>3.4</v>
      </c>
      <c r="H58" t="n">
        <v>2</v>
      </c>
      <c r="I58" t="n">
        <v>0</v>
      </c>
      <c r="J58" t="n">
        <v>2</v>
      </c>
      <c r="K58" t="n">
        <v>0</v>
      </c>
      <c r="L58" t="n">
        <v>0</v>
      </c>
      <c r="M58" t="n">
        <v>0</v>
      </c>
      <c r="N58" t="n">
        <v>0</v>
      </c>
      <c r="O58" t="n">
        <v>2</v>
      </c>
      <c r="P58" t="n">
        <v>0</v>
      </c>
      <c r="Q58" t="n">
        <v>2</v>
      </c>
      <c r="R58" s="2" t="inlineStr">
        <is>
          <t>Spillkråka
Tretåig hackspett</t>
        </is>
      </c>
      <c r="S58">
        <f>HYPERLINK("https://klasma.github.io/Logging_2034/artfynd/A 44656-2023 artfynd.xlsx", "A 44656-2023")</f>
        <v/>
      </c>
      <c r="T58">
        <f>HYPERLINK("https://klasma.github.io/Logging_2034/kartor/A 44656-2023 karta.png", "A 44656-2023")</f>
        <v/>
      </c>
      <c r="V58">
        <f>HYPERLINK("https://klasma.github.io/Logging_2034/klagomål/A 44656-2023 FSC-klagomål.docx", "A 44656-2023")</f>
        <v/>
      </c>
      <c r="W58">
        <f>HYPERLINK("https://klasma.github.io/Logging_2034/klagomålsmail/A 44656-2023 FSC-klagomål mail.docx", "A 44656-2023")</f>
        <v/>
      </c>
      <c r="X58">
        <f>HYPERLINK("https://klasma.github.io/Logging_2034/tillsyn/A 44656-2023 tillsynsbegäran.docx", "A 44656-2023")</f>
        <v/>
      </c>
      <c r="Y58">
        <f>HYPERLINK("https://klasma.github.io/Logging_2034/tillsynsmail/A 44656-2023 tillsynsbegäran mail.docx", "A 44656-2023")</f>
        <v/>
      </c>
      <c r="Z58">
        <f>HYPERLINK("https://klasma.github.io/Logging_2034/fåglar/A 44656-2023 prioriterade fågelarter.docx", "A 44656-2023")</f>
        <v/>
      </c>
    </row>
    <row r="59" ht="15" customHeight="1">
      <c r="A59" t="inlineStr">
        <is>
          <t>A 6029-2024</t>
        </is>
      </c>
      <c r="B59" s="1" t="n">
        <v>45336</v>
      </c>
      <c r="C59" s="1" t="n">
        <v>45761</v>
      </c>
      <c r="D59" t="inlineStr">
        <is>
          <t>DALARNAS LÄN</t>
        </is>
      </c>
      <c r="E59" t="inlineStr">
        <is>
          <t>ORSA</t>
        </is>
      </c>
      <c r="F59" t="inlineStr">
        <is>
          <t>Kommuner</t>
        </is>
      </c>
      <c r="G59" t="n">
        <v>0.8</v>
      </c>
      <c r="H59" t="n">
        <v>0</v>
      </c>
      <c r="I59" t="n">
        <v>2</v>
      </c>
      <c r="J59" t="n">
        <v>0</v>
      </c>
      <c r="K59" t="n">
        <v>0</v>
      </c>
      <c r="L59" t="n">
        <v>0</v>
      </c>
      <c r="M59" t="n">
        <v>0</v>
      </c>
      <c r="N59" t="n">
        <v>0</v>
      </c>
      <c r="O59" t="n">
        <v>0</v>
      </c>
      <c r="P59" t="n">
        <v>0</v>
      </c>
      <c r="Q59" t="n">
        <v>2</v>
      </c>
      <c r="R59" s="2" t="inlineStr">
        <is>
          <t>Svart trolldruva
Svavelriska</t>
        </is>
      </c>
      <c r="S59">
        <f>HYPERLINK("https://klasma.github.io/Logging_2034/artfynd/A 6029-2024 artfynd.xlsx", "A 6029-2024")</f>
        <v/>
      </c>
      <c r="T59">
        <f>HYPERLINK("https://klasma.github.io/Logging_2034/kartor/A 6029-2024 karta.png", "A 6029-2024")</f>
        <v/>
      </c>
      <c r="V59">
        <f>HYPERLINK("https://klasma.github.io/Logging_2034/klagomål/A 6029-2024 FSC-klagomål.docx", "A 6029-2024")</f>
        <v/>
      </c>
      <c r="W59">
        <f>HYPERLINK("https://klasma.github.io/Logging_2034/klagomålsmail/A 6029-2024 FSC-klagomål mail.docx", "A 6029-2024")</f>
        <v/>
      </c>
      <c r="X59">
        <f>HYPERLINK("https://klasma.github.io/Logging_2034/tillsyn/A 6029-2024 tillsynsbegäran.docx", "A 6029-2024")</f>
        <v/>
      </c>
      <c r="Y59">
        <f>HYPERLINK("https://klasma.github.io/Logging_2034/tillsynsmail/A 6029-2024 tillsynsbegäran mail.docx", "A 6029-2024")</f>
        <v/>
      </c>
    </row>
    <row r="60" ht="15" customHeight="1">
      <c r="A60" t="inlineStr">
        <is>
          <t>A 52927-2024</t>
        </is>
      </c>
      <c r="B60" s="1" t="n">
        <v>45610</v>
      </c>
      <c r="C60" s="1" t="n">
        <v>45761</v>
      </c>
      <c r="D60" t="inlineStr">
        <is>
          <t>DALARNAS LÄN</t>
        </is>
      </c>
      <c r="E60" t="inlineStr">
        <is>
          <t>ORSA</t>
        </is>
      </c>
      <c r="F60" t="inlineStr">
        <is>
          <t>Allmännings- och besparingsskogar</t>
        </is>
      </c>
      <c r="G60" t="n">
        <v>1.6</v>
      </c>
      <c r="H60" t="n">
        <v>0</v>
      </c>
      <c r="I60" t="n">
        <v>0</v>
      </c>
      <c r="J60" t="n">
        <v>2</v>
      </c>
      <c r="K60" t="n">
        <v>0</v>
      </c>
      <c r="L60" t="n">
        <v>0</v>
      </c>
      <c r="M60" t="n">
        <v>0</v>
      </c>
      <c r="N60" t="n">
        <v>0</v>
      </c>
      <c r="O60" t="n">
        <v>2</v>
      </c>
      <c r="P60" t="n">
        <v>0</v>
      </c>
      <c r="Q60" t="n">
        <v>2</v>
      </c>
      <c r="R60" s="2" t="inlineStr">
        <is>
          <t>Garnlav
Ullticka</t>
        </is>
      </c>
      <c r="S60">
        <f>HYPERLINK("https://klasma.github.io/Logging_2034/artfynd/A 52927-2024 artfynd.xlsx", "A 52927-2024")</f>
        <v/>
      </c>
      <c r="T60">
        <f>HYPERLINK("https://klasma.github.io/Logging_2034/kartor/A 52927-2024 karta.png", "A 52927-2024")</f>
        <v/>
      </c>
      <c r="V60">
        <f>HYPERLINK("https://klasma.github.io/Logging_2034/klagomål/A 52927-2024 FSC-klagomål.docx", "A 52927-2024")</f>
        <v/>
      </c>
      <c r="W60">
        <f>HYPERLINK("https://klasma.github.io/Logging_2034/klagomålsmail/A 52927-2024 FSC-klagomål mail.docx", "A 52927-2024")</f>
        <v/>
      </c>
      <c r="X60">
        <f>HYPERLINK("https://klasma.github.io/Logging_2034/tillsyn/A 52927-2024 tillsynsbegäran.docx", "A 52927-2024")</f>
        <v/>
      </c>
      <c r="Y60">
        <f>HYPERLINK("https://klasma.github.io/Logging_2034/tillsynsmail/A 52927-2024 tillsynsbegäran mail.docx", "A 52927-2024")</f>
        <v/>
      </c>
    </row>
    <row r="61" ht="15" customHeight="1">
      <c r="A61" t="inlineStr">
        <is>
          <t>A 32094-2019</t>
        </is>
      </c>
      <c r="B61" s="1" t="n">
        <v>43643</v>
      </c>
      <c r="C61" s="1" t="n">
        <v>45761</v>
      </c>
      <c r="D61" t="inlineStr">
        <is>
          <t>DALARNAS LÄN</t>
        </is>
      </c>
      <c r="E61" t="inlineStr">
        <is>
          <t>ORSA</t>
        </is>
      </c>
      <c r="F61" t="inlineStr">
        <is>
          <t>Bergvik skog väst AB</t>
        </is>
      </c>
      <c r="G61" t="n">
        <v>19.2</v>
      </c>
      <c r="H61" t="n">
        <v>1</v>
      </c>
      <c r="I61" t="n">
        <v>0</v>
      </c>
      <c r="J61" t="n">
        <v>0</v>
      </c>
      <c r="K61" t="n">
        <v>0</v>
      </c>
      <c r="L61" t="n">
        <v>0</v>
      </c>
      <c r="M61" t="n">
        <v>0</v>
      </c>
      <c r="N61" t="n">
        <v>0</v>
      </c>
      <c r="O61" t="n">
        <v>0</v>
      </c>
      <c r="P61" t="n">
        <v>0</v>
      </c>
      <c r="Q61" t="n">
        <v>1</v>
      </c>
      <c r="R61" s="2" t="inlineStr">
        <is>
          <t>Revlummer</t>
        </is>
      </c>
      <c r="S61">
        <f>HYPERLINK("https://klasma.github.io/Logging_2034/artfynd/A 32094-2019 artfynd.xlsx", "A 32094-2019")</f>
        <v/>
      </c>
      <c r="T61">
        <f>HYPERLINK("https://klasma.github.io/Logging_2034/kartor/A 32094-2019 karta.png", "A 32094-2019")</f>
        <v/>
      </c>
      <c r="V61">
        <f>HYPERLINK("https://klasma.github.io/Logging_2034/klagomål/A 32094-2019 FSC-klagomål.docx", "A 32094-2019")</f>
        <v/>
      </c>
      <c r="W61">
        <f>HYPERLINK("https://klasma.github.io/Logging_2034/klagomålsmail/A 32094-2019 FSC-klagomål mail.docx", "A 32094-2019")</f>
        <v/>
      </c>
      <c r="X61">
        <f>HYPERLINK("https://klasma.github.io/Logging_2034/tillsyn/A 32094-2019 tillsynsbegäran.docx", "A 32094-2019")</f>
        <v/>
      </c>
      <c r="Y61">
        <f>HYPERLINK("https://klasma.github.io/Logging_2034/tillsynsmail/A 32094-2019 tillsynsbegäran mail.docx", "A 32094-2019")</f>
        <v/>
      </c>
    </row>
    <row r="62" ht="15" customHeight="1">
      <c r="A62" t="inlineStr">
        <is>
          <t>A 38211-2020</t>
        </is>
      </c>
      <c r="B62" s="1" t="n">
        <v>44060</v>
      </c>
      <c r="C62" s="1" t="n">
        <v>45761</v>
      </c>
      <c r="D62" t="inlineStr">
        <is>
          <t>DALARNAS LÄN</t>
        </is>
      </c>
      <c r="E62" t="inlineStr">
        <is>
          <t>ORSA</t>
        </is>
      </c>
      <c r="G62" t="n">
        <v>1.2</v>
      </c>
      <c r="H62" t="n">
        <v>1</v>
      </c>
      <c r="I62" t="n">
        <v>0</v>
      </c>
      <c r="J62" t="n">
        <v>1</v>
      </c>
      <c r="K62" t="n">
        <v>0</v>
      </c>
      <c r="L62" t="n">
        <v>0</v>
      </c>
      <c r="M62" t="n">
        <v>0</v>
      </c>
      <c r="N62" t="n">
        <v>0</v>
      </c>
      <c r="O62" t="n">
        <v>1</v>
      </c>
      <c r="P62" t="n">
        <v>0</v>
      </c>
      <c r="Q62" t="n">
        <v>1</v>
      </c>
      <c r="R62" s="2" t="inlineStr">
        <is>
          <t>Utter</t>
        </is>
      </c>
      <c r="S62">
        <f>HYPERLINK("https://klasma.github.io/Logging_2034/artfynd/A 38211-2020 artfynd.xlsx", "A 38211-2020")</f>
        <v/>
      </c>
      <c r="T62">
        <f>HYPERLINK("https://klasma.github.io/Logging_2034/kartor/A 38211-2020 karta.png", "A 38211-2020")</f>
        <v/>
      </c>
      <c r="V62">
        <f>HYPERLINK("https://klasma.github.io/Logging_2034/klagomål/A 38211-2020 FSC-klagomål.docx", "A 38211-2020")</f>
        <v/>
      </c>
      <c r="W62">
        <f>HYPERLINK("https://klasma.github.io/Logging_2034/klagomålsmail/A 38211-2020 FSC-klagomål mail.docx", "A 38211-2020")</f>
        <v/>
      </c>
      <c r="X62">
        <f>HYPERLINK("https://klasma.github.io/Logging_2034/tillsyn/A 38211-2020 tillsynsbegäran.docx", "A 38211-2020")</f>
        <v/>
      </c>
      <c r="Y62">
        <f>HYPERLINK("https://klasma.github.io/Logging_2034/tillsynsmail/A 38211-2020 tillsynsbegäran mail.docx", "A 38211-2020")</f>
        <v/>
      </c>
    </row>
    <row r="63" ht="15" customHeight="1">
      <c r="A63" t="inlineStr">
        <is>
          <t>A 4144-2022</t>
        </is>
      </c>
      <c r="B63" s="1" t="n">
        <v>44588</v>
      </c>
      <c r="C63" s="1" t="n">
        <v>45761</v>
      </c>
      <c r="D63" t="inlineStr">
        <is>
          <t>DALARNAS LÄN</t>
        </is>
      </c>
      <c r="E63" t="inlineStr">
        <is>
          <t>ORSA</t>
        </is>
      </c>
      <c r="G63" t="n">
        <v>1</v>
      </c>
      <c r="H63" t="n">
        <v>0</v>
      </c>
      <c r="I63" t="n">
        <v>1</v>
      </c>
      <c r="J63" t="n">
        <v>0</v>
      </c>
      <c r="K63" t="n">
        <v>0</v>
      </c>
      <c r="L63" t="n">
        <v>0</v>
      </c>
      <c r="M63" t="n">
        <v>0</v>
      </c>
      <c r="N63" t="n">
        <v>0</v>
      </c>
      <c r="O63" t="n">
        <v>0</v>
      </c>
      <c r="P63" t="n">
        <v>0</v>
      </c>
      <c r="Q63" t="n">
        <v>1</v>
      </c>
      <c r="R63" s="2" t="inlineStr">
        <is>
          <t>Svart trolldruva</t>
        </is>
      </c>
      <c r="S63">
        <f>HYPERLINK("https://klasma.github.io/Logging_2034/artfynd/A 4144-2022 artfynd.xlsx", "A 4144-2022")</f>
        <v/>
      </c>
      <c r="T63">
        <f>HYPERLINK("https://klasma.github.io/Logging_2034/kartor/A 4144-2022 karta.png", "A 4144-2022")</f>
        <v/>
      </c>
      <c r="V63">
        <f>HYPERLINK("https://klasma.github.io/Logging_2034/klagomål/A 4144-2022 FSC-klagomål.docx", "A 4144-2022")</f>
        <v/>
      </c>
      <c r="W63">
        <f>HYPERLINK("https://klasma.github.io/Logging_2034/klagomålsmail/A 4144-2022 FSC-klagomål mail.docx", "A 4144-2022")</f>
        <v/>
      </c>
      <c r="X63">
        <f>HYPERLINK("https://klasma.github.io/Logging_2034/tillsyn/A 4144-2022 tillsynsbegäran.docx", "A 4144-2022")</f>
        <v/>
      </c>
      <c r="Y63">
        <f>HYPERLINK("https://klasma.github.io/Logging_2034/tillsynsmail/A 4144-2022 tillsynsbegäran mail.docx", "A 4144-2022")</f>
        <v/>
      </c>
    </row>
    <row r="64" ht="15" customHeight="1">
      <c r="A64" t="inlineStr">
        <is>
          <t>A 48766-2022</t>
        </is>
      </c>
      <c r="B64" s="1" t="n">
        <v>44859</v>
      </c>
      <c r="C64" s="1" t="n">
        <v>45761</v>
      </c>
      <c r="D64" t="inlineStr">
        <is>
          <t>DALARNAS LÄN</t>
        </is>
      </c>
      <c r="E64" t="inlineStr">
        <is>
          <t>ORSA</t>
        </is>
      </c>
      <c r="F64" t="inlineStr">
        <is>
          <t>Allmännings- och besparingsskogar</t>
        </is>
      </c>
      <c r="G64" t="n">
        <v>3.1</v>
      </c>
      <c r="H64" t="n">
        <v>0</v>
      </c>
      <c r="I64" t="n">
        <v>0</v>
      </c>
      <c r="J64" t="n">
        <v>1</v>
      </c>
      <c r="K64" t="n">
        <v>0</v>
      </c>
      <c r="L64" t="n">
        <v>0</v>
      </c>
      <c r="M64" t="n">
        <v>0</v>
      </c>
      <c r="N64" t="n">
        <v>0</v>
      </c>
      <c r="O64" t="n">
        <v>1</v>
      </c>
      <c r="P64" t="n">
        <v>0</v>
      </c>
      <c r="Q64" t="n">
        <v>1</v>
      </c>
      <c r="R64" s="2" t="inlineStr">
        <is>
          <t>Garnlav</t>
        </is>
      </c>
      <c r="S64">
        <f>HYPERLINK("https://klasma.github.io/Logging_2034/artfynd/A 48766-2022 artfynd.xlsx", "A 48766-2022")</f>
        <v/>
      </c>
      <c r="T64">
        <f>HYPERLINK("https://klasma.github.io/Logging_2034/kartor/A 48766-2022 karta.png", "A 48766-2022")</f>
        <v/>
      </c>
      <c r="V64">
        <f>HYPERLINK("https://klasma.github.io/Logging_2034/klagomål/A 48766-2022 FSC-klagomål.docx", "A 48766-2022")</f>
        <v/>
      </c>
      <c r="W64">
        <f>HYPERLINK("https://klasma.github.io/Logging_2034/klagomålsmail/A 48766-2022 FSC-klagomål mail.docx", "A 48766-2022")</f>
        <v/>
      </c>
      <c r="X64">
        <f>HYPERLINK("https://klasma.github.io/Logging_2034/tillsyn/A 48766-2022 tillsynsbegäran.docx", "A 48766-2022")</f>
        <v/>
      </c>
      <c r="Y64">
        <f>HYPERLINK("https://klasma.github.io/Logging_2034/tillsynsmail/A 48766-2022 tillsynsbegäran mail.docx", "A 48766-2022")</f>
        <v/>
      </c>
    </row>
    <row r="65" ht="15" customHeight="1">
      <c r="A65" t="inlineStr">
        <is>
          <t>A 29044-2023</t>
        </is>
      </c>
      <c r="B65" s="1" t="n">
        <v>45104</v>
      </c>
      <c r="C65" s="1" t="n">
        <v>45761</v>
      </c>
      <c r="D65" t="inlineStr">
        <is>
          <t>DALARNAS LÄN</t>
        </is>
      </c>
      <c r="E65" t="inlineStr">
        <is>
          <t>ORSA</t>
        </is>
      </c>
      <c r="G65" t="n">
        <v>1.8</v>
      </c>
      <c r="H65" t="n">
        <v>0</v>
      </c>
      <c r="I65" t="n">
        <v>1</v>
      </c>
      <c r="J65" t="n">
        <v>0</v>
      </c>
      <c r="K65" t="n">
        <v>0</v>
      </c>
      <c r="L65" t="n">
        <v>0</v>
      </c>
      <c r="M65" t="n">
        <v>0</v>
      </c>
      <c r="N65" t="n">
        <v>0</v>
      </c>
      <c r="O65" t="n">
        <v>0</v>
      </c>
      <c r="P65" t="n">
        <v>0</v>
      </c>
      <c r="Q65" t="n">
        <v>1</v>
      </c>
      <c r="R65" s="2" t="inlineStr">
        <is>
          <t>Korallblylav</t>
        </is>
      </c>
      <c r="S65">
        <f>HYPERLINK("https://klasma.github.io/Logging_2034/artfynd/A 29044-2023 artfynd.xlsx", "A 29044-2023")</f>
        <v/>
      </c>
      <c r="T65">
        <f>HYPERLINK("https://klasma.github.io/Logging_2034/kartor/A 29044-2023 karta.png", "A 29044-2023")</f>
        <v/>
      </c>
      <c r="V65">
        <f>HYPERLINK("https://klasma.github.io/Logging_2034/klagomål/A 29044-2023 FSC-klagomål.docx", "A 29044-2023")</f>
        <v/>
      </c>
      <c r="W65">
        <f>HYPERLINK("https://klasma.github.io/Logging_2034/klagomålsmail/A 29044-2023 FSC-klagomål mail.docx", "A 29044-2023")</f>
        <v/>
      </c>
      <c r="X65">
        <f>HYPERLINK("https://klasma.github.io/Logging_2034/tillsyn/A 29044-2023 tillsynsbegäran.docx", "A 29044-2023")</f>
        <v/>
      </c>
      <c r="Y65">
        <f>HYPERLINK("https://klasma.github.io/Logging_2034/tillsynsmail/A 29044-2023 tillsynsbegäran mail.docx", "A 29044-2023")</f>
        <v/>
      </c>
    </row>
    <row r="66" ht="15" customHeight="1">
      <c r="A66" t="inlineStr">
        <is>
          <t>A 35112-2023</t>
        </is>
      </c>
      <c r="B66" s="1" t="n">
        <v>45145</v>
      </c>
      <c r="C66" s="1" t="n">
        <v>45761</v>
      </c>
      <c r="D66" t="inlineStr">
        <is>
          <t>DALARNAS LÄN</t>
        </is>
      </c>
      <c r="E66" t="inlineStr">
        <is>
          <t>ORSA</t>
        </is>
      </c>
      <c r="F66" t="inlineStr">
        <is>
          <t>Allmännings- och besparingsskogar</t>
        </is>
      </c>
      <c r="G66" t="n">
        <v>6.9</v>
      </c>
      <c r="H66" t="n">
        <v>0</v>
      </c>
      <c r="I66" t="n">
        <v>0</v>
      </c>
      <c r="J66" t="n">
        <v>1</v>
      </c>
      <c r="K66" t="n">
        <v>0</v>
      </c>
      <c r="L66" t="n">
        <v>0</v>
      </c>
      <c r="M66" t="n">
        <v>0</v>
      </c>
      <c r="N66" t="n">
        <v>0</v>
      </c>
      <c r="O66" t="n">
        <v>1</v>
      </c>
      <c r="P66" t="n">
        <v>0</v>
      </c>
      <c r="Q66" t="n">
        <v>1</v>
      </c>
      <c r="R66" s="2" t="inlineStr">
        <is>
          <t>Skrovellav</t>
        </is>
      </c>
      <c r="S66">
        <f>HYPERLINK("https://klasma.github.io/Logging_2034/artfynd/A 35112-2023 artfynd.xlsx", "A 35112-2023")</f>
        <v/>
      </c>
      <c r="T66">
        <f>HYPERLINK("https://klasma.github.io/Logging_2034/kartor/A 35112-2023 karta.png", "A 35112-2023")</f>
        <v/>
      </c>
      <c r="V66">
        <f>HYPERLINK("https://klasma.github.io/Logging_2034/klagomål/A 35112-2023 FSC-klagomål.docx", "A 35112-2023")</f>
        <v/>
      </c>
      <c r="W66">
        <f>HYPERLINK("https://klasma.github.io/Logging_2034/klagomålsmail/A 35112-2023 FSC-klagomål mail.docx", "A 35112-2023")</f>
        <v/>
      </c>
      <c r="X66">
        <f>HYPERLINK("https://klasma.github.io/Logging_2034/tillsyn/A 35112-2023 tillsynsbegäran.docx", "A 35112-2023")</f>
        <v/>
      </c>
      <c r="Y66">
        <f>HYPERLINK("https://klasma.github.io/Logging_2034/tillsynsmail/A 35112-2023 tillsynsbegäran mail.docx", "A 35112-2023")</f>
        <v/>
      </c>
    </row>
    <row r="67" ht="15" customHeight="1">
      <c r="A67" t="inlineStr">
        <is>
          <t>A 37887-2023</t>
        </is>
      </c>
      <c r="B67" s="1" t="n">
        <v>45160</v>
      </c>
      <c r="C67" s="1" t="n">
        <v>45761</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40288-2023</t>
        </is>
      </c>
      <c r="B68" s="1" t="n">
        <v>45169</v>
      </c>
      <c r="C68" s="1" t="n">
        <v>45761</v>
      </c>
      <c r="D68" t="inlineStr">
        <is>
          <t>DALARNAS LÄN</t>
        </is>
      </c>
      <c r="E68" t="inlineStr">
        <is>
          <t>ORSA</t>
        </is>
      </c>
      <c r="F68" t="inlineStr">
        <is>
          <t>Allmännings- och besparingsskogar</t>
        </is>
      </c>
      <c r="G68" t="n">
        <v>4.2</v>
      </c>
      <c r="H68" t="n">
        <v>0</v>
      </c>
      <c r="I68" t="n">
        <v>0</v>
      </c>
      <c r="J68" t="n">
        <v>1</v>
      </c>
      <c r="K68" t="n">
        <v>0</v>
      </c>
      <c r="L68" t="n">
        <v>0</v>
      </c>
      <c r="M68" t="n">
        <v>0</v>
      </c>
      <c r="N68" t="n">
        <v>0</v>
      </c>
      <c r="O68" t="n">
        <v>1</v>
      </c>
      <c r="P68" t="n">
        <v>0</v>
      </c>
      <c r="Q68" t="n">
        <v>1</v>
      </c>
      <c r="R68" s="2" t="inlineStr">
        <is>
          <t>Vedflamlav</t>
        </is>
      </c>
      <c r="S68">
        <f>HYPERLINK("https://klasma.github.io/Logging_2034/artfynd/A 40288-2023 artfynd.xlsx", "A 40288-2023")</f>
        <v/>
      </c>
      <c r="T68">
        <f>HYPERLINK("https://klasma.github.io/Logging_2034/kartor/A 40288-2023 karta.png", "A 40288-2023")</f>
        <v/>
      </c>
      <c r="V68">
        <f>HYPERLINK("https://klasma.github.io/Logging_2034/klagomål/A 40288-2023 FSC-klagomål.docx", "A 40288-2023")</f>
        <v/>
      </c>
      <c r="W68">
        <f>HYPERLINK("https://klasma.github.io/Logging_2034/klagomålsmail/A 40288-2023 FSC-klagomål mail.docx", "A 40288-2023")</f>
        <v/>
      </c>
      <c r="X68">
        <f>HYPERLINK("https://klasma.github.io/Logging_2034/tillsyn/A 40288-2023 tillsynsbegäran.docx", "A 40288-2023")</f>
        <v/>
      </c>
      <c r="Y68">
        <f>HYPERLINK("https://klasma.github.io/Logging_2034/tillsynsmail/A 40288-2023 tillsynsbegäran mail.docx", "A 40288-2023")</f>
        <v/>
      </c>
    </row>
    <row r="69" ht="15" customHeight="1">
      <c r="A69" t="inlineStr">
        <is>
          <t>A 46179-2023</t>
        </is>
      </c>
      <c r="B69" s="1" t="n">
        <v>45196</v>
      </c>
      <c r="C69" s="1" t="n">
        <v>45761</v>
      </c>
      <c r="D69" t="inlineStr">
        <is>
          <t>DALARNAS LÄN</t>
        </is>
      </c>
      <c r="E69" t="inlineStr">
        <is>
          <t>ORSA</t>
        </is>
      </c>
      <c r="G69" t="n">
        <v>4.1</v>
      </c>
      <c r="H69" t="n">
        <v>0</v>
      </c>
      <c r="I69" t="n">
        <v>1</v>
      </c>
      <c r="J69" t="n">
        <v>0</v>
      </c>
      <c r="K69" t="n">
        <v>0</v>
      </c>
      <c r="L69" t="n">
        <v>0</v>
      </c>
      <c r="M69" t="n">
        <v>0</v>
      </c>
      <c r="N69" t="n">
        <v>0</v>
      </c>
      <c r="O69" t="n">
        <v>0</v>
      </c>
      <c r="P69" t="n">
        <v>0</v>
      </c>
      <c r="Q69" t="n">
        <v>1</v>
      </c>
      <c r="R69" s="2" t="inlineStr">
        <is>
          <t>Dropptaggsvamp</t>
        </is>
      </c>
      <c r="S69">
        <f>HYPERLINK("https://klasma.github.io/Logging_2034/artfynd/A 46179-2023 artfynd.xlsx", "A 46179-2023")</f>
        <v/>
      </c>
      <c r="T69">
        <f>HYPERLINK("https://klasma.github.io/Logging_2034/kartor/A 46179-2023 karta.png", "A 46179-2023")</f>
        <v/>
      </c>
      <c r="V69">
        <f>HYPERLINK("https://klasma.github.io/Logging_2034/klagomål/A 46179-2023 FSC-klagomål.docx", "A 46179-2023")</f>
        <v/>
      </c>
      <c r="W69">
        <f>HYPERLINK("https://klasma.github.io/Logging_2034/klagomålsmail/A 46179-2023 FSC-klagomål mail.docx", "A 46179-2023")</f>
        <v/>
      </c>
      <c r="X69">
        <f>HYPERLINK("https://klasma.github.io/Logging_2034/tillsyn/A 46179-2023 tillsynsbegäran.docx", "A 46179-2023")</f>
        <v/>
      </c>
      <c r="Y69">
        <f>HYPERLINK("https://klasma.github.io/Logging_2034/tillsynsmail/A 46179-2023 tillsynsbegäran mail.docx", "A 46179-2023")</f>
        <v/>
      </c>
    </row>
    <row r="70" ht="15" customHeight="1">
      <c r="A70" t="inlineStr">
        <is>
          <t>A 48452-2023</t>
        </is>
      </c>
      <c r="B70" s="1" t="n">
        <v>45206</v>
      </c>
      <c r="C70" s="1" t="n">
        <v>45761</v>
      </c>
      <c r="D70" t="inlineStr">
        <is>
          <t>DALARNAS LÄN</t>
        </is>
      </c>
      <c r="E70" t="inlineStr">
        <is>
          <t>ORSA</t>
        </is>
      </c>
      <c r="G70" t="n">
        <v>1.5</v>
      </c>
      <c r="H70" t="n">
        <v>0</v>
      </c>
      <c r="I70" t="n">
        <v>0</v>
      </c>
      <c r="J70" t="n">
        <v>1</v>
      </c>
      <c r="K70" t="n">
        <v>0</v>
      </c>
      <c r="L70" t="n">
        <v>0</v>
      </c>
      <c r="M70" t="n">
        <v>0</v>
      </c>
      <c r="N70" t="n">
        <v>0</v>
      </c>
      <c r="O70" t="n">
        <v>1</v>
      </c>
      <c r="P70" t="n">
        <v>0</v>
      </c>
      <c r="Q70" t="n">
        <v>1</v>
      </c>
      <c r="R70" s="2" t="inlineStr">
        <is>
          <t>Motaggsvamp</t>
        </is>
      </c>
      <c r="S70">
        <f>HYPERLINK("https://klasma.github.io/Logging_2034/artfynd/A 48452-2023 artfynd.xlsx", "A 48452-2023")</f>
        <v/>
      </c>
      <c r="T70">
        <f>HYPERLINK("https://klasma.github.io/Logging_2034/kartor/A 48452-2023 karta.png", "A 48452-2023")</f>
        <v/>
      </c>
      <c r="V70">
        <f>HYPERLINK("https://klasma.github.io/Logging_2034/klagomål/A 48452-2023 FSC-klagomål.docx", "A 48452-2023")</f>
        <v/>
      </c>
      <c r="W70">
        <f>HYPERLINK("https://klasma.github.io/Logging_2034/klagomålsmail/A 48452-2023 FSC-klagomål mail.docx", "A 48452-2023")</f>
        <v/>
      </c>
      <c r="X70">
        <f>HYPERLINK("https://klasma.github.io/Logging_2034/tillsyn/A 48452-2023 tillsynsbegäran.docx", "A 48452-2023")</f>
        <v/>
      </c>
      <c r="Y70">
        <f>HYPERLINK("https://klasma.github.io/Logging_2034/tillsynsmail/A 48452-2023 tillsynsbegäran mail.docx", "A 48452-2023")</f>
        <v/>
      </c>
    </row>
    <row r="71" ht="15" customHeight="1">
      <c r="A71" t="inlineStr">
        <is>
          <t>A 49515-2023</t>
        </is>
      </c>
      <c r="B71" s="1" t="n">
        <v>45211</v>
      </c>
      <c r="C71" s="1" t="n">
        <v>45761</v>
      </c>
      <c r="D71" t="inlineStr">
        <is>
          <t>DALARNAS LÄN</t>
        </is>
      </c>
      <c r="E71" t="inlineStr">
        <is>
          <t>ORSA</t>
        </is>
      </c>
      <c r="F71" t="inlineStr">
        <is>
          <t>Allmännings- och besparingsskogar</t>
        </is>
      </c>
      <c r="G71" t="n">
        <v>17.5</v>
      </c>
      <c r="H71" t="n">
        <v>0</v>
      </c>
      <c r="I71" t="n">
        <v>1</v>
      </c>
      <c r="J71" t="n">
        <v>0</v>
      </c>
      <c r="K71" t="n">
        <v>0</v>
      </c>
      <c r="L71" t="n">
        <v>0</v>
      </c>
      <c r="M71" t="n">
        <v>0</v>
      </c>
      <c r="N71" t="n">
        <v>0</v>
      </c>
      <c r="O71" t="n">
        <v>0</v>
      </c>
      <c r="P71" t="n">
        <v>0</v>
      </c>
      <c r="Q71" t="n">
        <v>1</v>
      </c>
      <c r="R71" s="2" t="inlineStr">
        <is>
          <t>Skarp dropptaggsvamp</t>
        </is>
      </c>
      <c r="S71">
        <f>HYPERLINK("https://klasma.github.io/Logging_2034/artfynd/A 49515-2023 artfynd.xlsx", "A 49515-2023")</f>
        <v/>
      </c>
      <c r="T71">
        <f>HYPERLINK("https://klasma.github.io/Logging_2034/kartor/A 49515-2023 karta.png", "A 49515-2023")</f>
        <v/>
      </c>
      <c r="V71">
        <f>HYPERLINK("https://klasma.github.io/Logging_2034/klagomål/A 49515-2023 FSC-klagomål.docx", "A 49515-2023")</f>
        <v/>
      </c>
      <c r="W71">
        <f>HYPERLINK("https://klasma.github.io/Logging_2034/klagomålsmail/A 49515-2023 FSC-klagomål mail.docx", "A 49515-2023")</f>
        <v/>
      </c>
      <c r="X71">
        <f>HYPERLINK("https://klasma.github.io/Logging_2034/tillsyn/A 49515-2023 tillsynsbegäran.docx", "A 49515-2023")</f>
        <v/>
      </c>
      <c r="Y71">
        <f>HYPERLINK("https://klasma.github.io/Logging_2034/tillsynsmail/A 49515-2023 tillsynsbegäran mail.docx", "A 49515-2023")</f>
        <v/>
      </c>
    </row>
    <row r="72" ht="15" customHeight="1">
      <c r="A72" t="inlineStr">
        <is>
          <t>A 30493-2024</t>
        </is>
      </c>
      <c r="B72" s="1" t="n">
        <v>45492</v>
      </c>
      <c r="C72" s="1" t="n">
        <v>45761</v>
      </c>
      <c r="D72" t="inlineStr">
        <is>
          <t>DALARNAS LÄN</t>
        </is>
      </c>
      <c r="E72" t="inlineStr">
        <is>
          <t>ORSA</t>
        </is>
      </c>
      <c r="F72" t="inlineStr">
        <is>
          <t>Övriga statliga verk och myndigheter</t>
        </is>
      </c>
      <c r="G72" t="n">
        <v>2.2</v>
      </c>
      <c r="H72" t="n">
        <v>0</v>
      </c>
      <c r="I72" t="n">
        <v>0</v>
      </c>
      <c r="J72" t="n">
        <v>1</v>
      </c>
      <c r="K72" t="n">
        <v>0</v>
      </c>
      <c r="L72" t="n">
        <v>0</v>
      </c>
      <c r="M72" t="n">
        <v>0</v>
      </c>
      <c r="N72" t="n">
        <v>0</v>
      </c>
      <c r="O72" t="n">
        <v>1</v>
      </c>
      <c r="P72" t="n">
        <v>0</v>
      </c>
      <c r="Q72" t="n">
        <v>1</v>
      </c>
      <c r="R72" s="2" t="inlineStr">
        <is>
          <t>Garnlav</t>
        </is>
      </c>
      <c r="S72">
        <f>HYPERLINK("https://klasma.github.io/Logging_2034/artfynd/A 30493-2024 artfynd.xlsx", "A 30493-2024")</f>
        <v/>
      </c>
      <c r="T72">
        <f>HYPERLINK("https://klasma.github.io/Logging_2034/kartor/A 30493-2024 karta.png", "A 30493-2024")</f>
        <v/>
      </c>
      <c r="V72">
        <f>HYPERLINK("https://klasma.github.io/Logging_2034/klagomål/A 30493-2024 FSC-klagomål.docx", "A 30493-2024")</f>
        <v/>
      </c>
      <c r="W72">
        <f>HYPERLINK("https://klasma.github.io/Logging_2034/klagomålsmail/A 30493-2024 FSC-klagomål mail.docx", "A 30493-2024")</f>
        <v/>
      </c>
      <c r="X72">
        <f>HYPERLINK("https://klasma.github.io/Logging_2034/tillsyn/A 30493-2024 tillsynsbegäran.docx", "A 30493-2024")</f>
        <v/>
      </c>
      <c r="Y72">
        <f>HYPERLINK("https://klasma.github.io/Logging_2034/tillsynsmail/A 30493-2024 tillsynsbegäran mail.docx", "A 30493-2024")</f>
        <v/>
      </c>
    </row>
    <row r="73" ht="15" customHeight="1">
      <c r="A73" t="inlineStr">
        <is>
          <t>A 26119-2019</t>
        </is>
      </c>
      <c r="B73" s="1" t="n">
        <v>43609</v>
      </c>
      <c r="C73" s="1" t="n">
        <v>45761</v>
      </c>
      <c r="D73" t="inlineStr">
        <is>
          <t>DALARNAS LÄN</t>
        </is>
      </c>
      <c r="E73" t="inlineStr">
        <is>
          <t>ORSA</t>
        </is>
      </c>
      <c r="F73" t="inlineStr">
        <is>
          <t>Allmännings- och besparingsskogar</t>
        </is>
      </c>
      <c r="G73" t="n">
        <v>4.7</v>
      </c>
      <c r="H73" t="n">
        <v>0</v>
      </c>
      <c r="I73" t="n">
        <v>0</v>
      </c>
      <c r="J73" t="n">
        <v>0</v>
      </c>
      <c r="K73" t="n">
        <v>0</v>
      </c>
      <c r="L73" t="n">
        <v>0</v>
      </c>
      <c r="M73" t="n">
        <v>0</v>
      </c>
      <c r="N73" t="n">
        <v>0</v>
      </c>
      <c r="O73" t="n">
        <v>0</v>
      </c>
      <c r="P73" t="n">
        <v>0</v>
      </c>
      <c r="Q73" t="n">
        <v>0</v>
      </c>
      <c r="R73" s="2" t="inlineStr"/>
    </row>
    <row r="74" ht="15" customHeight="1">
      <c r="A74" t="inlineStr">
        <is>
          <t>A 28464-2019</t>
        </is>
      </c>
      <c r="B74" s="1" t="n">
        <v>43626</v>
      </c>
      <c r="C74" s="1" t="n">
        <v>45761</v>
      </c>
      <c r="D74" t="inlineStr">
        <is>
          <t>DALARNAS LÄN</t>
        </is>
      </c>
      <c r="E74" t="inlineStr">
        <is>
          <t>ORSA</t>
        </is>
      </c>
      <c r="F74" t="inlineStr">
        <is>
          <t>Bergvik skog öst AB</t>
        </is>
      </c>
      <c r="G74" t="n">
        <v>0.8</v>
      </c>
      <c r="H74" t="n">
        <v>0</v>
      </c>
      <c r="I74" t="n">
        <v>0</v>
      </c>
      <c r="J74" t="n">
        <v>0</v>
      </c>
      <c r="K74" t="n">
        <v>0</v>
      </c>
      <c r="L74" t="n">
        <v>0</v>
      </c>
      <c r="M74" t="n">
        <v>0</v>
      </c>
      <c r="N74" t="n">
        <v>0</v>
      </c>
      <c r="O74" t="n">
        <v>0</v>
      </c>
      <c r="P74" t="n">
        <v>0</v>
      </c>
      <c r="Q74" t="n">
        <v>0</v>
      </c>
      <c r="R74" s="2" t="inlineStr"/>
    </row>
    <row r="75" ht="15" customHeight="1">
      <c r="A75" t="inlineStr">
        <is>
          <t>A 31099-2019</t>
        </is>
      </c>
      <c r="B75" s="1" t="n">
        <v>43640</v>
      </c>
      <c r="C75" s="1" t="n">
        <v>45761</v>
      </c>
      <c r="D75" t="inlineStr">
        <is>
          <t>DALARNAS LÄN</t>
        </is>
      </c>
      <c r="E75" t="inlineStr">
        <is>
          <t>ORSA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31956-2019</t>
        </is>
      </c>
      <c r="B76" s="1" t="n">
        <v>43643</v>
      </c>
      <c r="C76" s="1" t="n">
        <v>45761</v>
      </c>
      <c r="D76" t="inlineStr">
        <is>
          <t>DALARNAS LÄN</t>
        </is>
      </c>
      <c r="E76" t="inlineStr">
        <is>
          <t>ORSA</t>
        </is>
      </c>
      <c r="F76" t="inlineStr">
        <is>
          <t>Bergvik skog öst AB</t>
        </is>
      </c>
      <c r="G76" t="n">
        <v>1.3</v>
      </c>
      <c r="H76" t="n">
        <v>0</v>
      </c>
      <c r="I76" t="n">
        <v>0</v>
      </c>
      <c r="J76" t="n">
        <v>0</v>
      </c>
      <c r="K76" t="n">
        <v>0</v>
      </c>
      <c r="L76" t="n">
        <v>0</v>
      </c>
      <c r="M76" t="n">
        <v>0</v>
      </c>
      <c r="N76" t="n">
        <v>0</v>
      </c>
      <c r="O76" t="n">
        <v>0</v>
      </c>
      <c r="P76" t="n">
        <v>0</v>
      </c>
      <c r="Q76" t="n">
        <v>0</v>
      </c>
      <c r="R76" s="2" t="inlineStr"/>
    </row>
    <row r="77" ht="15" customHeight="1">
      <c r="A77" t="inlineStr">
        <is>
          <t>A 32933-2019</t>
        </is>
      </c>
      <c r="B77" s="1" t="n">
        <v>43648</v>
      </c>
      <c r="C77" s="1" t="n">
        <v>45761</v>
      </c>
      <c r="D77" t="inlineStr">
        <is>
          <t>DALARNAS LÄN</t>
        </is>
      </c>
      <c r="E77" t="inlineStr">
        <is>
          <t>ORSA</t>
        </is>
      </c>
      <c r="G77" t="n">
        <v>6.3</v>
      </c>
      <c r="H77" t="n">
        <v>0</v>
      </c>
      <c r="I77" t="n">
        <v>0</v>
      </c>
      <c r="J77" t="n">
        <v>0</v>
      </c>
      <c r="K77" t="n">
        <v>0</v>
      </c>
      <c r="L77" t="n">
        <v>0</v>
      </c>
      <c r="M77" t="n">
        <v>0</v>
      </c>
      <c r="N77" t="n">
        <v>0</v>
      </c>
      <c r="O77" t="n">
        <v>0</v>
      </c>
      <c r="P77" t="n">
        <v>0</v>
      </c>
      <c r="Q77" t="n">
        <v>0</v>
      </c>
      <c r="R77" s="2" t="inlineStr"/>
    </row>
    <row r="78" ht="15" customHeight="1">
      <c r="A78" t="inlineStr">
        <is>
          <t>A 34257-2019</t>
        </is>
      </c>
      <c r="B78" s="1" t="n">
        <v>43655</v>
      </c>
      <c r="C78" s="1" t="n">
        <v>45761</v>
      </c>
      <c r="D78" t="inlineStr">
        <is>
          <t>DALARNAS LÄN</t>
        </is>
      </c>
      <c r="E78" t="inlineStr">
        <is>
          <t>ORSA</t>
        </is>
      </c>
      <c r="G78" t="n">
        <v>2.9</v>
      </c>
      <c r="H78" t="n">
        <v>0</v>
      </c>
      <c r="I78" t="n">
        <v>0</v>
      </c>
      <c r="J78" t="n">
        <v>0</v>
      </c>
      <c r="K78" t="n">
        <v>0</v>
      </c>
      <c r="L78" t="n">
        <v>0</v>
      </c>
      <c r="M78" t="n">
        <v>0</v>
      </c>
      <c r="N78" t="n">
        <v>0</v>
      </c>
      <c r="O78" t="n">
        <v>0</v>
      </c>
      <c r="P78" t="n">
        <v>0</v>
      </c>
      <c r="Q78" t="n">
        <v>0</v>
      </c>
      <c r="R78" s="2" t="inlineStr"/>
    </row>
    <row r="79" ht="15" customHeight="1">
      <c r="A79" t="inlineStr">
        <is>
          <t>A 34521-2019</t>
        </is>
      </c>
      <c r="B79" s="1" t="n">
        <v>43657</v>
      </c>
      <c r="C79" s="1" t="n">
        <v>45761</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36274-2019</t>
        </is>
      </c>
      <c r="B80" s="1" t="n">
        <v>43661</v>
      </c>
      <c r="C80" s="1" t="n">
        <v>45761</v>
      </c>
      <c r="D80" t="inlineStr">
        <is>
          <t>DALARNAS LÄN</t>
        </is>
      </c>
      <c r="E80" t="inlineStr">
        <is>
          <t>ORSA</t>
        </is>
      </c>
      <c r="G80" t="n">
        <v>1.4</v>
      </c>
      <c r="H80" t="n">
        <v>0</v>
      </c>
      <c r="I80" t="n">
        <v>0</v>
      </c>
      <c r="J80" t="n">
        <v>0</v>
      </c>
      <c r="K80" t="n">
        <v>0</v>
      </c>
      <c r="L80" t="n">
        <v>0</v>
      </c>
      <c r="M80" t="n">
        <v>0</v>
      </c>
      <c r="N80" t="n">
        <v>0</v>
      </c>
      <c r="O80" t="n">
        <v>0</v>
      </c>
      <c r="P80" t="n">
        <v>0</v>
      </c>
      <c r="Q80" t="n">
        <v>0</v>
      </c>
      <c r="R80" s="2" t="inlineStr"/>
    </row>
    <row r="81" ht="15" customHeight="1">
      <c r="A81" t="inlineStr">
        <is>
          <t>A 35663-2019</t>
        </is>
      </c>
      <c r="B81" s="1" t="n">
        <v>43664</v>
      </c>
      <c r="C81" s="1" t="n">
        <v>45761</v>
      </c>
      <c r="D81" t="inlineStr">
        <is>
          <t>DALARNAS LÄN</t>
        </is>
      </c>
      <c r="E81" t="inlineStr">
        <is>
          <t>ORSA</t>
        </is>
      </c>
      <c r="G81" t="n">
        <v>2.7</v>
      </c>
      <c r="H81" t="n">
        <v>0</v>
      </c>
      <c r="I81" t="n">
        <v>0</v>
      </c>
      <c r="J81" t="n">
        <v>0</v>
      </c>
      <c r="K81" t="n">
        <v>0</v>
      </c>
      <c r="L81" t="n">
        <v>0</v>
      </c>
      <c r="M81" t="n">
        <v>0</v>
      </c>
      <c r="N81" t="n">
        <v>0</v>
      </c>
      <c r="O81" t="n">
        <v>0</v>
      </c>
      <c r="P81" t="n">
        <v>0</v>
      </c>
      <c r="Q81" t="n">
        <v>0</v>
      </c>
      <c r="R81" s="2" t="inlineStr"/>
    </row>
    <row r="82" ht="15" customHeight="1">
      <c r="A82" t="inlineStr">
        <is>
          <t>A 36989-2019</t>
        </is>
      </c>
      <c r="B82" s="1" t="n">
        <v>43676</v>
      </c>
      <c r="C82" s="1" t="n">
        <v>45761</v>
      </c>
      <c r="D82" t="inlineStr">
        <is>
          <t>DALARNAS LÄN</t>
        </is>
      </c>
      <c r="E82" t="inlineStr">
        <is>
          <t>ORSA</t>
        </is>
      </c>
      <c r="G82" t="n">
        <v>0.5</v>
      </c>
      <c r="H82" t="n">
        <v>0</v>
      </c>
      <c r="I82" t="n">
        <v>0</v>
      </c>
      <c r="J82" t="n">
        <v>0</v>
      </c>
      <c r="K82" t="n">
        <v>0</v>
      </c>
      <c r="L82" t="n">
        <v>0</v>
      </c>
      <c r="M82" t="n">
        <v>0</v>
      </c>
      <c r="N82" t="n">
        <v>0</v>
      </c>
      <c r="O82" t="n">
        <v>0</v>
      </c>
      <c r="P82" t="n">
        <v>0</v>
      </c>
      <c r="Q82" t="n">
        <v>0</v>
      </c>
      <c r="R82" s="2" t="inlineStr"/>
    </row>
    <row r="83" ht="15" customHeight="1">
      <c r="A83" t="inlineStr">
        <is>
          <t>A 37001-2019</t>
        </is>
      </c>
      <c r="B83" s="1" t="n">
        <v>43676</v>
      </c>
      <c r="C83" s="1" t="n">
        <v>45761</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37809-2019</t>
        </is>
      </c>
      <c r="B84" s="1" t="n">
        <v>43682</v>
      </c>
      <c r="C84" s="1" t="n">
        <v>45761</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38858-2019</t>
        </is>
      </c>
      <c r="B85" s="1" t="n">
        <v>43689</v>
      </c>
      <c r="C85" s="1" t="n">
        <v>45761</v>
      </c>
      <c r="D85" t="inlineStr">
        <is>
          <t>DALARNAS LÄN</t>
        </is>
      </c>
      <c r="E85" t="inlineStr">
        <is>
          <t>ORSA</t>
        </is>
      </c>
      <c r="G85" t="n">
        <v>2.1</v>
      </c>
      <c r="H85" t="n">
        <v>0</v>
      </c>
      <c r="I85" t="n">
        <v>0</v>
      </c>
      <c r="J85" t="n">
        <v>0</v>
      </c>
      <c r="K85" t="n">
        <v>0</v>
      </c>
      <c r="L85" t="n">
        <v>0</v>
      </c>
      <c r="M85" t="n">
        <v>0</v>
      </c>
      <c r="N85" t="n">
        <v>0</v>
      </c>
      <c r="O85" t="n">
        <v>0</v>
      </c>
      <c r="P85" t="n">
        <v>0</v>
      </c>
      <c r="Q85" t="n">
        <v>0</v>
      </c>
      <c r="R85" s="2" t="inlineStr"/>
    </row>
    <row r="86" ht="15" customHeight="1">
      <c r="A86" t="inlineStr">
        <is>
          <t>A 38857-2019</t>
        </is>
      </c>
      <c r="B86" s="1" t="n">
        <v>43689</v>
      </c>
      <c r="C86" s="1" t="n">
        <v>45761</v>
      </c>
      <c r="D86" t="inlineStr">
        <is>
          <t>DALARNAS LÄN</t>
        </is>
      </c>
      <c r="E86" t="inlineStr">
        <is>
          <t>ORSA</t>
        </is>
      </c>
      <c r="G86" t="n">
        <v>1.7</v>
      </c>
      <c r="H86" t="n">
        <v>0</v>
      </c>
      <c r="I86" t="n">
        <v>0</v>
      </c>
      <c r="J86" t="n">
        <v>0</v>
      </c>
      <c r="K86" t="n">
        <v>0</v>
      </c>
      <c r="L86" t="n">
        <v>0</v>
      </c>
      <c r="M86" t="n">
        <v>0</v>
      </c>
      <c r="N86" t="n">
        <v>0</v>
      </c>
      <c r="O86" t="n">
        <v>0</v>
      </c>
      <c r="P86" t="n">
        <v>0</v>
      </c>
      <c r="Q86" t="n">
        <v>0</v>
      </c>
      <c r="R86" s="2" t="inlineStr"/>
    </row>
    <row r="87" ht="15" customHeight="1">
      <c r="A87" t="inlineStr">
        <is>
          <t>A 43403-2019</t>
        </is>
      </c>
      <c r="B87" s="1" t="n">
        <v>43706</v>
      </c>
      <c r="C87" s="1" t="n">
        <v>45761</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45996-2019</t>
        </is>
      </c>
      <c r="B88" s="1" t="n">
        <v>43713</v>
      </c>
      <c r="C88" s="1" t="n">
        <v>45761</v>
      </c>
      <c r="D88" t="inlineStr">
        <is>
          <t>DALARNAS LÄN</t>
        </is>
      </c>
      <c r="E88" t="inlineStr">
        <is>
          <t>ORSA</t>
        </is>
      </c>
      <c r="G88" t="n">
        <v>0.9</v>
      </c>
      <c r="H88" t="n">
        <v>0</v>
      </c>
      <c r="I88" t="n">
        <v>0</v>
      </c>
      <c r="J88" t="n">
        <v>0</v>
      </c>
      <c r="K88" t="n">
        <v>0</v>
      </c>
      <c r="L88" t="n">
        <v>0</v>
      </c>
      <c r="M88" t="n">
        <v>0</v>
      </c>
      <c r="N88" t="n">
        <v>0</v>
      </c>
      <c r="O88" t="n">
        <v>0</v>
      </c>
      <c r="P88" t="n">
        <v>0</v>
      </c>
      <c r="Q88" t="n">
        <v>0</v>
      </c>
      <c r="R88" s="2" t="inlineStr"/>
    </row>
    <row r="89" ht="15" customHeight="1">
      <c r="A89" t="inlineStr">
        <is>
          <t>A 45612-2019</t>
        </is>
      </c>
      <c r="B89" s="1" t="n">
        <v>43717</v>
      </c>
      <c r="C89" s="1" t="n">
        <v>45761</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49953-2019</t>
        </is>
      </c>
      <c r="B90" s="1" t="n">
        <v>43733</v>
      </c>
      <c r="C90" s="1" t="n">
        <v>45761</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50528-2019</t>
        </is>
      </c>
      <c r="B91" s="1" t="n">
        <v>43735</v>
      </c>
      <c r="C91" s="1" t="n">
        <v>45761</v>
      </c>
      <c r="D91" t="inlineStr">
        <is>
          <t>DALARNAS LÄN</t>
        </is>
      </c>
      <c r="E91" t="inlineStr">
        <is>
          <t>ORSA</t>
        </is>
      </c>
      <c r="F91" t="inlineStr">
        <is>
          <t>Kyrkan</t>
        </is>
      </c>
      <c r="G91" t="n">
        <v>4.2</v>
      </c>
      <c r="H91" t="n">
        <v>0</v>
      </c>
      <c r="I91" t="n">
        <v>0</v>
      </c>
      <c r="J91" t="n">
        <v>0</v>
      </c>
      <c r="K91" t="n">
        <v>0</v>
      </c>
      <c r="L91" t="n">
        <v>0</v>
      </c>
      <c r="M91" t="n">
        <v>0</v>
      </c>
      <c r="N91" t="n">
        <v>0</v>
      </c>
      <c r="O91" t="n">
        <v>0</v>
      </c>
      <c r="P91" t="n">
        <v>0</v>
      </c>
      <c r="Q91" t="n">
        <v>0</v>
      </c>
      <c r="R91" s="2" t="inlineStr"/>
    </row>
    <row r="92" ht="15" customHeight="1">
      <c r="A92" t="inlineStr">
        <is>
          <t>A 50934-2019</t>
        </is>
      </c>
      <c r="B92" s="1" t="n">
        <v>43738</v>
      </c>
      <c r="C92" s="1" t="n">
        <v>45761</v>
      </c>
      <c r="D92" t="inlineStr">
        <is>
          <t>DALARNAS LÄN</t>
        </is>
      </c>
      <c r="E92" t="inlineStr">
        <is>
          <t>ORSA</t>
        </is>
      </c>
      <c r="F92" t="inlineStr">
        <is>
          <t>Allmännings- och besparingsskogar</t>
        </is>
      </c>
      <c r="G92" t="n">
        <v>11.4</v>
      </c>
      <c r="H92" t="n">
        <v>0</v>
      </c>
      <c r="I92" t="n">
        <v>0</v>
      </c>
      <c r="J92" t="n">
        <v>0</v>
      </c>
      <c r="K92" t="n">
        <v>0</v>
      </c>
      <c r="L92" t="n">
        <v>0</v>
      </c>
      <c r="M92" t="n">
        <v>0</v>
      </c>
      <c r="N92" t="n">
        <v>0</v>
      </c>
      <c r="O92" t="n">
        <v>0</v>
      </c>
      <c r="P92" t="n">
        <v>0</v>
      </c>
      <c r="Q92" t="n">
        <v>0</v>
      </c>
      <c r="R92" s="2" t="inlineStr"/>
    </row>
    <row r="93" ht="15" customHeight="1">
      <c r="A93" t="inlineStr">
        <is>
          <t>A 55522-2019</t>
        </is>
      </c>
      <c r="B93" s="1" t="n">
        <v>43759</v>
      </c>
      <c r="C93" s="1" t="n">
        <v>45761</v>
      </c>
      <c r="D93" t="inlineStr">
        <is>
          <t>DALARNAS LÄN</t>
        </is>
      </c>
      <c r="E93" t="inlineStr">
        <is>
          <t>ORSA</t>
        </is>
      </c>
      <c r="G93" t="n">
        <v>8.1</v>
      </c>
      <c r="H93" t="n">
        <v>0</v>
      </c>
      <c r="I93" t="n">
        <v>0</v>
      </c>
      <c r="J93" t="n">
        <v>0</v>
      </c>
      <c r="K93" t="n">
        <v>0</v>
      </c>
      <c r="L93" t="n">
        <v>0</v>
      </c>
      <c r="M93" t="n">
        <v>0</v>
      </c>
      <c r="N93" t="n">
        <v>0</v>
      </c>
      <c r="O93" t="n">
        <v>0</v>
      </c>
      <c r="P93" t="n">
        <v>0</v>
      </c>
      <c r="Q93" t="n">
        <v>0</v>
      </c>
      <c r="R93" s="2" t="inlineStr"/>
    </row>
    <row r="94" ht="15" customHeight="1">
      <c r="A94" t="inlineStr">
        <is>
          <t>A 56862-2019</t>
        </is>
      </c>
      <c r="B94" s="1" t="n">
        <v>43765</v>
      </c>
      <c r="C94" s="1" t="n">
        <v>45761</v>
      </c>
      <c r="D94" t="inlineStr">
        <is>
          <t>DALARNAS LÄN</t>
        </is>
      </c>
      <c r="E94" t="inlineStr">
        <is>
          <t>ORSA</t>
        </is>
      </c>
      <c r="G94" t="n">
        <v>4.4</v>
      </c>
      <c r="H94" t="n">
        <v>0</v>
      </c>
      <c r="I94" t="n">
        <v>0</v>
      </c>
      <c r="J94" t="n">
        <v>0</v>
      </c>
      <c r="K94" t="n">
        <v>0</v>
      </c>
      <c r="L94" t="n">
        <v>0</v>
      </c>
      <c r="M94" t="n">
        <v>0</v>
      </c>
      <c r="N94" t="n">
        <v>0</v>
      </c>
      <c r="O94" t="n">
        <v>0</v>
      </c>
      <c r="P94" t="n">
        <v>0</v>
      </c>
      <c r="Q94" t="n">
        <v>0</v>
      </c>
      <c r="R94" s="2" t="inlineStr"/>
    </row>
    <row r="95" ht="15" customHeight="1">
      <c r="A95" t="inlineStr">
        <is>
          <t>A 59007-2019</t>
        </is>
      </c>
      <c r="B95" s="1" t="n">
        <v>43774</v>
      </c>
      <c r="C95" s="1" t="n">
        <v>45761</v>
      </c>
      <c r="D95" t="inlineStr">
        <is>
          <t>DALARNAS LÄN</t>
        </is>
      </c>
      <c r="E95" t="inlineStr">
        <is>
          <t>ORSA</t>
        </is>
      </c>
      <c r="G95" t="n">
        <v>0.6</v>
      </c>
      <c r="H95" t="n">
        <v>0</v>
      </c>
      <c r="I95" t="n">
        <v>0</v>
      </c>
      <c r="J95" t="n">
        <v>0</v>
      </c>
      <c r="K95" t="n">
        <v>0</v>
      </c>
      <c r="L95" t="n">
        <v>0</v>
      </c>
      <c r="M95" t="n">
        <v>0</v>
      </c>
      <c r="N95" t="n">
        <v>0</v>
      </c>
      <c r="O95" t="n">
        <v>0</v>
      </c>
      <c r="P95" t="n">
        <v>0</v>
      </c>
      <c r="Q95" t="n">
        <v>0</v>
      </c>
      <c r="R95" s="2" t="inlineStr"/>
    </row>
    <row r="96" ht="15" customHeight="1">
      <c r="A96" t="inlineStr">
        <is>
          <t>A 64389-2019</t>
        </is>
      </c>
      <c r="B96" s="1" t="n">
        <v>43797</v>
      </c>
      <c r="C96" s="1" t="n">
        <v>45761</v>
      </c>
      <c r="D96" t="inlineStr">
        <is>
          <t>DALARNAS LÄN</t>
        </is>
      </c>
      <c r="E96" t="inlineStr">
        <is>
          <t>ORSA</t>
        </is>
      </c>
      <c r="G96" t="n">
        <v>0.3</v>
      </c>
      <c r="H96" t="n">
        <v>0</v>
      </c>
      <c r="I96" t="n">
        <v>0</v>
      </c>
      <c r="J96" t="n">
        <v>0</v>
      </c>
      <c r="K96" t="n">
        <v>0</v>
      </c>
      <c r="L96" t="n">
        <v>0</v>
      </c>
      <c r="M96" t="n">
        <v>0</v>
      </c>
      <c r="N96" t="n">
        <v>0</v>
      </c>
      <c r="O96" t="n">
        <v>0</v>
      </c>
      <c r="P96" t="n">
        <v>0</v>
      </c>
      <c r="Q96" t="n">
        <v>0</v>
      </c>
      <c r="R96" s="2" t="inlineStr"/>
    </row>
    <row r="97" ht="15" customHeight="1">
      <c r="A97" t="inlineStr">
        <is>
          <t>A 65252-2019</t>
        </is>
      </c>
      <c r="B97" s="1" t="n">
        <v>43797</v>
      </c>
      <c r="C97" s="1" t="n">
        <v>45761</v>
      </c>
      <c r="D97" t="inlineStr">
        <is>
          <t>DALARNAS LÄN</t>
        </is>
      </c>
      <c r="E97" t="inlineStr">
        <is>
          <t>ORSA</t>
        </is>
      </c>
      <c r="G97" t="n">
        <v>1.8</v>
      </c>
      <c r="H97" t="n">
        <v>0</v>
      </c>
      <c r="I97" t="n">
        <v>0</v>
      </c>
      <c r="J97" t="n">
        <v>0</v>
      </c>
      <c r="K97" t="n">
        <v>0</v>
      </c>
      <c r="L97" t="n">
        <v>0</v>
      </c>
      <c r="M97" t="n">
        <v>0</v>
      </c>
      <c r="N97" t="n">
        <v>0</v>
      </c>
      <c r="O97" t="n">
        <v>0</v>
      </c>
      <c r="P97" t="n">
        <v>0</v>
      </c>
      <c r="Q97" t="n">
        <v>0</v>
      </c>
      <c r="R97" s="2" t="inlineStr"/>
    </row>
    <row r="98" ht="15" customHeight="1">
      <c r="A98" t="inlineStr">
        <is>
          <t>A 67884-2019</t>
        </is>
      </c>
      <c r="B98" s="1" t="n">
        <v>43810</v>
      </c>
      <c r="C98" s="1" t="n">
        <v>45761</v>
      </c>
      <c r="D98" t="inlineStr">
        <is>
          <t>DALARNAS LÄN</t>
        </is>
      </c>
      <c r="E98" t="inlineStr">
        <is>
          <t>ORSA</t>
        </is>
      </c>
      <c r="G98" t="n">
        <v>0.7</v>
      </c>
      <c r="H98" t="n">
        <v>0</v>
      </c>
      <c r="I98" t="n">
        <v>0</v>
      </c>
      <c r="J98" t="n">
        <v>0</v>
      </c>
      <c r="K98" t="n">
        <v>0</v>
      </c>
      <c r="L98" t="n">
        <v>0</v>
      </c>
      <c r="M98" t="n">
        <v>0</v>
      </c>
      <c r="N98" t="n">
        <v>0</v>
      </c>
      <c r="O98" t="n">
        <v>0</v>
      </c>
      <c r="P98" t="n">
        <v>0</v>
      </c>
      <c r="Q98" t="n">
        <v>0</v>
      </c>
      <c r="R98" s="2" t="inlineStr"/>
    </row>
    <row r="99" ht="15" customHeight="1">
      <c r="A99" t="inlineStr">
        <is>
          <t>A 66862-2019</t>
        </is>
      </c>
      <c r="B99" s="1" t="n">
        <v>43810</v>
      </c>
      <c r="C99" s="1" t="n">
        <v>45761</v>
      </c>
      <c r="D99" t="inlineStr">
        <is>
          <t>DALARNAS LÄN</t>
        </is>
      </c>
      <c r="E99" t="inlineStr">
        <is>
          <t>ORSA</t>
        </is>
      </c>
      <c r="G99" t="n">
        <v>2.4</v>
      </c>
      <c r="H99" t="n">
        <v>0</v>
      </c>
      <c r="I99" t="n">
        <v>0</v>
      </c>
      <c r="J99" t="n">
        <v>0</v>
      </c>
      <c r="K99" t="n">
        <v>0</v>
      </c>
      <c r="L99" t="n">
        <v>0</v>
      </c>
      <c r="M99" t="n">
        <v>0</v>
      </c>
      <c r="N99" t="n">
        <v>0</v>
      </c>
      <c r="O99" t="n">
        <v>0</v>
      </c>
      <c r="P99" t="n">
        <v>0</v>
      </c>
      <c r="Q99" t="n">
        <v>0</v>
      </c>
      <c r="R99" s="2" t="inlineStr"/>
    </row>
    <row r="100" ht="15" customHeight="1">
      <c r="A100" t="inlineStr">
        <is>
          <t>A 67295-2019</t>
        </is>
      </c>
      <c r="B100" s="1" t="n">
        <v>43811</v>
      </c>
      <c r="C100" s="1" t="n">
        <v>45761</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67878-2019</t>
        </is>
      </c>
      <c r="B101" s="1" t="n">
        <v>43816</v>
      </c>
      <c r="C101" s="1" t="n">
        <v>45761</v>
      </c>
      <c r="D101" t="inlineStr">
        <is>
          <t>DALARNAS LÄN</t>
        </is>
      </c>
      <c r="E101" t="inlineStr">
        <is>
          <t>ORSA</t>
        </is>
      </c>
      <c r="G101" t="n">
        <v>2.7</v>
      </c>
      <c r="H101" t="n">
        <v>0</v>
      </c>
      <c r="I101" t="n">
        <v>0</v>
      </c>
      <c r="J101" t="n">
        <v>0</v>
      </c>
      <c r="K101" t="n">
        <v>0</v>
      </c>
      <c r="L101" t="n">
        <v>0</v>
      </c>
      <c r="M101" t="n">
        <v>0</v>
      </c>
      <c r="N101" t="n">
        <v>0</v>
      </c>
      <c r="O101" t="n">
        <v>0</v>
      </c>
      <c r="P101" t="n">
        <v>0</v>
      </c>
      <c r="Q101" t="n">
        <v>0</v>
      </c>
      <c r="R101" s="2" t="inlineStr"/>
    </row>
    <row r="102" ht="15" customHeight="1">
      <c r="A102" t="inlineStr">
        <is>
          <t>A 68558-2019</t>
        </is>
      </c>
      <c r="B102" s="1" t="n">
        <v>43818</v>
      </c>
      <c r="C102" s="1" t="n">
        <v>45761</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68376-2019</t>
        </is>
      </c>
      <c r="B103" s="1" t="n">
        <v>43818</v>
      </c>
      <c r="C103" s="1" t="n">
        <v>45761</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1829-2020</t>
        </is>
      </c>
      <c r="B104" s="1" t="n">
        <v>43844</v>
      </c>
      <c r="C104" s="1" t="n">
        <v>45761</v>
      </c>
      <c r="D104" t="inlineStr">
        <is>
          <t>DALARNAS LÄN</t>
        </is>
      </c>
      <c r="E104" t="inlineStr">
        <is>
          <t>ORSA</t>
        </is>
      </c>
      <c r="G104" t="n">
        <v>1</v>
      </c>
      <c r="H104" t="n">
        <v>0</v>
      </c>
      <c r="I104" t="n">
        <v>0</v>
      </c>
      <c r="J104" t="n">
        <v>0</v>
      </c>
      <c r="K104" t="n">
        <v>0</v>
      </c>
      <c r="L104" t="n">
        <v>0</v>
      </c>
      <c r="M104" t="n">
        <v>0</v>
      </c>
      <c r="N104" t="n">
        <v>0</v>
      </c>
      <c r="O104" t="n">
        <v>0</v>
      </c>
      <c r="P104" t="n">
        <v>0</v>
      </c>
      <c r="Q104" t="n">
        <v>0</v>
      </c>
      <c r="R104" s="2" t="inlineStr"/>
    </row>
    <row r="105" ht="15" customHeight="1">
      <c r="A105" t="inlineStr">
        <is>
          <t>A 3337-2020</t>
        </is>
      </c>
      <c r="B105" s="1" t="n">
        <v>43845</v>
      </c>
      <c r="C105" s="1" t="n">
        <v>45761</v>
      </c>
      <c r="D105" t="inlineStr">
        <is>
          <t>DALARNAS LÄN</t>
        </is>
      </c>
      <c r="E105" t="inlineStr">
        <is>
          <t>ORSA</t>
        </is>
      </c>
      <c r="G105" t="n">
        <v>1.3</v>
      </c>
      <c r="H105" t="n">
        <v>0</v>
      </c>
      <c r="I105" t="n">
        <v>0</v>
      </c>
      <c r="J105" t="n">
        <v>0</v>
      </c>
      <c r="K105" t="n">
        <v>0</v>
      </c>
      <c r="L105" t="n">
        <v>0</v>
      </c>
      <c r="M105" t="n">
        <v>0</v>
      </c>
      <c r="N105" t="n">
        <v>0</v>
      </c>
      <c r="O105" t="n">
        <v>0</v>
      </c>
      <c r="P105" t="n">
        <v>0</v>
      </c>
      <c r="Q105" t="n">
        <v>0</v>
      </c>
      <c r="R105" s="2" t="inlineStr"/>
    </row>
    <row r="106" ht="15" customHeight="1">
      <c r="A106" t="inlineStr">
        <is>
          <t>A 2166-2020</t>
        </is>
      </c>
      <c r="B106" s="1" t="n">
        <v>43846</v>
      </c>
      <c r="C106" s="1" t="n">
        <v>45761</v>
      </c>
      <c r="D106" t="inlineStr">
        <is>
          <t>DALARNAS LÄN</t>
        </is>
      </c>
      <c r="E106" t="inlineStr">
        <is>
          <t>ORSA</t>
        </is>
      </c>
      <c r="G106" t="n">
        <v>11.2</v>
      </c>
      <c r="H106" t="n">
        <v>0</v>
      </c>
      <c r="I106" t="n">
        <v>0</v>
      </c>
      <c r="J106" t="n">
        <v>0</v>
      </c>
      <c r="K106" t="n">
        <v>0</v>
      </c>
      <c r="L106" t="n">
        <v>0</v>
      </c>
      <c r="M106" t="n">
        <v>0</v>
      </c>
      <c r="N106" t="n">
        <v>0</v>
      </c>
      <c r="O106" t="n">
        <v>0</v>
      </c>
      <c r="P106" t="n">
        <v>0</v>
      </c>
      <c r="Q106" t="n">
        <v>0</v>
      </c>
      <c r="R106" s="2" t="inlineStr"/>
    </row>
    <row r="107" ht="15" customHeight="1">
      <c r="A107" t="inlineStr">
        <is>
          <t>A 6597-2020</t>
        </is>
      </c>
      <c r="B107" s="1" t="n">
        <v>43865</v>
      </c>
      <c r="C107" s="1" t="n">
        <v>45761</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7249-2020</t>
        </is>
      </c>
      <c r="B108" s="1" t="n">
        <v>43871</v>
      </c>
      <c r="C108" s="1" t="n">
        <v>45761</v>
      </c>
      <c r="D108" t="inlineStr">
        <is>
          <t>DALARNAS LÄN</t>
        </is>
      </c>
      <c r="E108" t="inlineStr">
        <is>
          <t>ORSA</t>
        </is>
      </c>
      <c r="G108" t="n">
        <v>8.300000000000001</v>
      </c>
      <c r="H108" t="n">
        <v>0</v>
      </c>
      <c r="I108" t="n">
        <v>0</v>
      </c>
      <c r="J108" t="n">
        <v>0</v>
      </c>
      <c r="K108" t="n">
        <v>0</v>
      </c>
      <c r="L108" t="n">
        <v>0</v>
      </c>
      <c r="M108" t="n">
        <v>0</v>
      </c>
      <c r="N108" t="n">
        <v>0</v>
      </c>
      <c r="O108" t="n">
        <v>0</v>
      </c>
      <c r="P108" t="n">
        <v>0</v>
      </c>
      <c r="Q108" t="n">
        <v>0</v>
      </c>
      <c r="R108" s="2" t="inlineStr"/>
    </row>
    <row r="109" ht="15" customHeight="1">
      <c r="A109" t="inlineStr">
        <is>
          <t>A 14947-2020</t>
        </is>
      </c>
      <c r="B109" s="1" t="n">
        <v>43906</v>
      </c>
      <c r="C109" s="1" t="n">
        <v>45761</v>
      </c>
      <c r="D109" t="inlineStr">
        <is>
          <t>DALARNAS LÄN</t>
        </is>
      </c>
      <c r="E109" t="inlineStr">
        <is>
          <t>ORSA</t>
        </is>
      </c>
      <c r="F109" t="inlineStr">
        <is>
          <t>Allmännings- och besparingsskogar</t>
        </is>
      </c>
      <c r="G109" t="n">
        <v>26.8</v>
      </c>
      <c r="H109" t="n">
        <v>0</v>
      </c>
      <c r="I109" t="n">
        <v>0</v>
      </c>
      <c r="J109" t="n">
        <v>0</v>
      </c>
      <c r="K109" t="n">
        <v>0</v>
      </c>
      <c r="L109" t="n">
        <v>0</v>
      </c>
      <c r="M109" t="n">
        <v>0</v>
      </c>
      <c r="N109" t="n">
        <v>0</v>
      </c>
      <c r="O109" t="n">
        <v>0</v>
      </c>
      <c r="P109" t="n">
        <v>0</v>
      </c>
      <c r="Q109" t="n">
        <v>0</v>
      </c>
      <c r="R109" s="2" t="inlineStr"/>
    </row>
    <row r="110" ht="15" customHeight="1">
      <c r="A110" t="inlineStr">
        <is>
          <t>A 14682-2020</t>
        </is>
      </c>
      <c r="B110" s="1" t="n">
        <v>43909</v>
      </c>
      <c r="C110" s="1" t="n">
        <v>45761</v>
      </c>
      <c r="D110" t="inlineStr">
        <is>
          <t>DALARNAS LÄN</t>
        </is>
      </c>
      <c r="E110" t="inlineStr">
        <is>
          <t>ORSA</t>
        </is>
      </c>
      <c r="G110" t="n">
        <v>1.7</v>
      </c>
      <c r="H110" t="n">
        <v>0</v>
      </c>
      <c r="I110" t="n">
        <v>0</v>
      </c>
      <c r="J110" t="n">
        <v>0</v>
      </c>
      <c r="K110" t="n">
        <v>0</v>
      </c>
      <c r="L110" t="n">
        <v>0</v>
      </c>
      <c r="M110" t="n">
        <v>0</v>
      </c>
      <c r="N110" t="n">
        <v>0</v>
      </c>
      <c r="O110" t="n">
        <v>0</v>
      </c>
      <c r="P110" t="n">
        <v>0</v>
      </c>
      <c r="Q110" t="n">
        <v>0</v>
      </c>
      <c r="R110" s="2" t="inlineStr"/>
    </row>
    <row r="111" ht="15" customHeight="1">
      <c r="A111" t="inlineStr">
        <is>
          <t>A 17406-2020</t>
        </is>
      </c>
      <c r="B111" s="1" t="n">
        <v>43923</v>
      </c>
      <c r="C111" s="1" t="n">
        <v>45761</v>
      </c>
      <c r="D111" t="inlineStr">
        <is>
          <t>DALARNAS LÄN</t>
        </is>
      </c>
      <c r="E111" t="inlineStr">
        <is>
          <t>ORSA</t>
        </is>
      </c>
      <c r="F111" t="inlineStr">
        <is>
          <t>Allmännings- och besparingsskogar</t>
        </is>
      </c>
      <c r="G111" t="n">
        <v>89.8</v>
      </c>
      <c r="H111" t="n">
        <v>0</v>
      </c>
      <c r="I111" t="n">
        <v>0</v>
      </c>
      <c r="J111" t="n">
        <v>0</v>
      </c>
      <c r="K111" t="n">
        <v>0</v>
      </c>
      <c r="L111" t="n">
        <v>0</v>
      </c>
      <c r="M111" t="n">
        <v>0</v>
      </c>
      <c r="N111" t="n">
        <v>0</v>
      </c>
      <c r="O111" t="n">
        <v>0</v>
      </c>
      <c r="P111" t="n">
        <v>0</v>
      </c>
      <c r="Q111" t="n">
        <v>0</v>
      </c>
      <c r="R111" s="2" t="inlineStr"/>
    </row>
    <row r="112" ht="15" customHeight="1">
      <c r="A112" t="inlineStr">
        <is>
          <t>A 19208-2020</t>
        </is>
      </c>
      <c r="B112" s="1" t="n">
        <v>43937</v>
      </c>
      <c r="C112" s="1" t="n">
        <v>45761</v>
      </c>
      <c r="D112" t="inlineStr">
        <is>
          <t>DALARNAS LÄN</t>
        </is>
      </c>
      <c r="E112" t="inlineStr">
        <is>
          <t>ORSA</t>
        </is>
      </c>
      <c r="G112" t="n">
        <v>0.9</v>
      </c>
      <c r="H112" t="n">
        <v>0</v>
      </c>
      <c r="I112" t="n">
        <v>0</v>
      </c>
      <c r="J112" t="n">
        <v>0</v>
      </c>
      <c r="K112" t="n">
        <v>0</v>
      </c>
      <c r="L112" t="n">
        <v>0</v>
      </c>
      <c r="M112" t="n">
        <v>0</v>
      </c>
      <c r="N112" t="n">
        <v>0</v>
      </c>
      <c r="O112" t="n">
        <v>0</v>
      </c>
      <c r="P112" t="n">
        <v>0</v>
      </c>
      <c r="Q112" t="n">
        <v>0</v>
      </c>
      <c r="R112" s="2" t="inlineStr"/>
    </row>
    <row r="113" ht="15" customHeight="1">
      <c r="A113" t="inlineStr">
        <is>
          <t>A 19404-2020</t>
        </is>
      </c>
      <c r="B113" s="1" t="n">
        <v>43938</v>
      </c>
      <c r="C113" s="1" t="n">
        <v>45761</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20590-2020</t>
        </is>
      </c>
      <c r="B114" s="1" t="n">
        <v>43948</v>
      </c>
      <c r="C114" s="1" t="n">
        <v>45761</v>
      </c>
      <c r="D114" t="inlineStr">
        <is>
          <t>DALARNAS LÄN</t>
        </is>
      </c>
      <c r="E114" t="inlineStr">
        <is>
          <t>ORSA</t>
        </is>
      </c>
      <c r="G114" t="n">
        <v>0.8</v>
      </c>
      <c r="H114" t="n">
        <v>0</v>
      </c>
      <c r="I114" t="n">
        <v>0</v>
      </c>
      <c r="J114" t="n">
        <v>0</v>
      </c>
      <c r="K114" t="n">
        <v>0</v>
      </c>
      <c r="L114" t="n">
        <v>0</v>
      </c>
      <c r="M114" t="n">
        <v>0</v>
      </c>
      <c r="N114" t="n">
        <v>0</v>
      </c>
      <c r="O114" t="n">
        <v>0</v>
      </c>
      <c r="P114" t="n">
        <v>0</v>
      </c>
      <c r="Q114" t="n">
        <v>0</v>
      </c>
      <c r="R114" s="2" t="inlineStr"/>
    </row>
    <row r="115" ht="15" customHeight="1">
      <c r="A115" t="inlineStr">
        <is>
          <t>A 21057-2020</t>
        </is>
      </c>
      <c r="B115" s="1" t="n">
        <v>43951</v>
      </c>
      <c r="C115" s="1" t="n">
        <v>45761</v>
      </c>
      <c r="D115" t="inlineStr">
        <is>
          <t>DALARNAS LÄN</t>
        </is>
      </c>
      <c r="E115" t="inlineStr">
        <is>
          <t>ORSA</t>
        </is>
      </c>
      <c r="G115" t="n">
        <v>2.2</v>
      </c>
      <c r="H115" t="n">
        <v>0</v>
      </c>
      <c r="I115" t="n">
        <v>0</v>
      </c>
      <c r="J115" t="n">
        <v>0</v>
      </c>
      <c r="K115" t="n">
        <v>0</v>
      </c>
      <c r="L115" t="n">
        <v>0</v>
      </c>
      <c r="M115" t="n">
        <v>0</v>
      </c>
      <c r="N115" t="n">
        <v>0</v>
      </c>
      <c r="O115" t="n">
        <v>0</v>
      </c>
      <c r="P115" t="n">
        <v>0</v>
      </c>
      <c r="Q115" t="n">
        <v>0</v>
      </c>
      <c r="R115" s="2" t="inlineStr"/>
    </row>
    <row r="116" ht="15" customHeight="1">
      <c r="A116" t="inlineStr">
        <is>
          <t>A 22785-2020</t>
        </is>
      </c>
      <c r="B116" s="1" t="n">
        <v>43964</v>
      </c>
      <c r="C116" s="1" t="n">
        <v>45761</v>
      </c>
      <c r="D116" t="inlineStr">
        <is>
          <t>DALARNAS LÄN</t>
        </is>
      </c>
      <c r="E116" t="inlineStr">
        <is>
          <t>ORSA</t>
        </is>
      </c>
      <c r="F116" t="inlineStr">
        <is>
          <t>Bergvik skog öst AB</t>
        </is>
      </c>
      <c r="G116" t="n">
        <v>1</v>
      </c>
      <c r="H116" t="n">
        <v>0</v>
      </c>
      <c r="I116" t="n">
        <v>0</v>
      </c>
      <c r="J116" t="n">
        <v>0</v>
      </c>
      <c r="K116" t="n">
        <v>0</v>
      </c>
      <c r="L116" t="n">
        <v>0</v>
      </c>
      <c r="M116" t="n">
        <v>0</v>
      </c>
      <c r="N116" t="n">
        <v>0</v>
      </c>
      <c r="O116" t="n">
        <v>0</v>
      </c>
      <c r="P116" t="n">
        <v>0</v>
      </c>
      <c r="Q116" t="n">
        <v>0</v>
      </c>
      <c r="R116" s="2" t="inlineStr"/>
    </row>
    <row r="117" ht="15" customHeight="1">
      <c r="A117" t="inlineStr">
        <is>
          <t>A 23746-2020</t>
        </is>
      </c>
      <c r="B117" s="1" t="n">
        <v>43970</v>
      </c>
      <c r="C117" s="1" t="n">
        <v>45761</v>
      </c>
      <c r="D117" t="inlineStr">
        <is>
          <t>DALARNAS LÄN</t>
        </is>
      </c>
      <c r="E117" t="inlineStr">
        <is>
          <t>ORSA</t>
        </is>
      </c>
      <c r="F117" t="inlineStr">
        <is>
          <t>Allmännings- och besparingsskogar</t>
        </is>
      </c>
      <c r="G117" t="n">
        <v>13.9</v>
      </c>
      <c r="H117" t="n">
        <v>0</v>
      </c>
      <c r="I117" t="n">
        <v>0</v>
      </c>
      <c r="J117" t="n">
        <v>0</v>
      </c>
      <c r="K117" t="n">
        <v>0</v>
      </c>
      <c r="L117" t="n">
        <v>0</v>
      </c>
      <c r="M117" t="n">
        <v>0</v>
      </c>
      <c r="N117" t="n">
        <v>0</v>
      </c>
      <c r="O117" t="n">
        <v>0</v>
      </c>
      <c r="P117" t="n">
        <v>0</v>
      </c>
      <c r="Q117" t="n">
        <v>0</v>
      </c>
      <c r="R117" s="2" t="inlineStr"/>
    </row>
    <row r="118" ht="15" customHeight="1">
      <c r="A118" t="inlineStr">
        <is>
          <t>A 23766-2020</t>
        </is>
      </c>
      <c r="B118" s="1" t="n">
        <v>43970</v>
      </c>
      <c r="C118" s="1" t="n">
        <v>45761</v>
      </c>
      <c r="D118" t="inlineStr">
        <is>
          <t>DALARNAS LÄN</t>
        </is>
      </c>
      <c r="E118" t="inlineStr">
        <is>
          <t>ORSA</t>
        </is>
      </c>
      <c r="F118" t="inlineStr">
        <is>
          <t>Bergvik skog öst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25664-2020</t>
        </is>
      </c>
      <c r="B119" s="1" t="n">
        <v>43983</v>
      </c>
      <c r="C119" s="1" t="n">
        <v>45761</v>
      </c>
      <c r="D119" t="inlineStr">
        <is>
          <t>DALARNAS LÄN</t>
        </is>
      </c>
      <c r="E119" t="inlineStr">
        <is>
          <t>ORSA</t>
        </is>
      </c>
      <c r="G119" t="n">
        <v>5.3</v>
      </c>
      <c r="H119" t="n">
        <v>0</v>
      </c>
      <c r="I119" t="n">
        <v>0</v>
      </c>
      <c r="J119" t="n">
        <v>0</v>
      </c>
      <c r="K119" t="n">
        <v>0</v>
      </c>
      <c r="L119" t="n">
        <v>0</v>
      </c>
      <c r="M119" t="n">
        <v>0</v>
      </c>
      <c r="N119" t="n">
        <v>0</v>
      </c>
      <c r="O119" t="n">
        <v>0</v>
      </c>
      <c r="P119" t="n">
        <v>0</v>
      </c>
      <c r="Q119" t="n">
        <v>0</v>
      </c>
      <c r="R119" s="2" t="inlineStr"/>
    </row>
    <row r="120" ht="15" customHeight="1">
      <c r="A120" t="inlineStr">
        <is>
          <t>A 27436-2020</t>
        </is>
      </c>
      <c r="B120" s="1" t="n">
        <v>43993</v>
      </c>
      <c r="C120" s="1" t="n">
        <v>45761</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27945-2020</t>
        </is>
      </c>
      <c r="B121" s="1" t="n">
        <v>43997</v>
      </c>
      <c r="C121" s="1" t="n">
        <v>45761</v>
      </c>
      <c r="D121" t="inlineStr">
        <is>
          <t>DALARNAS LÄN</t>
        </is>
      </c>
      <c r="E121" t="inlineStr">
        <is>
          <t>ORSA</t>
        </is>
      </c>
      <c r="F121" t="inlineStr">
        <is>
          <t>Bergvik skog öst AB</t>
        </is>
      </c>
      <c r="G121" t="n">
        <v>0.8</v>
      </c>
      <c r="H121" t="n">
        <v>0</v>
      </c>
      <c r="I121" t="n">
        <v>0</v>
      </c>
      <c r="J121" t="n">
        <v>0</v>
      </c>
      <c r="K121" t="n">
        <v>0</v>
      </c>
      <c r="L121" t="n">
        <v>0</v>
      </c>
      <c r="M121" t="n">
        <v>0</v>
      </c>
      <c r="N121" t="n">
        <v>0</v>
      </c>
      <c r="O121" t="n">
        <v>0</v>
      </c>
      <c r="P121" t="n">
        <v>0</v>
      </c>
      <c r="Q121" t="n">
        <v>0</v>
      </c>
      <c r="R121" s="2" t="inlineStr"/>
    </row>
    <row r="122" ht="15" customHeight="1">
      <c r="A122" t="inlineStr">
        <is>
          <t>A 30153-2020</t>
        </is>
      </c>
      <c r="B122" s="1" t="n">
        <v>44007</v>
      </c>
      <c r="C122" s="1" t="n">
        <v>45761</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30149-2020</t>
        </is>
      </c>
      <c r="B123" s="1" t="n">
        <v>44007</v>
      </c>
      <c r="C123" s="1" t="n">
        <v>45761</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30672-2020</t>
        </is>
      </c>
      <c r="B124" s="1" t="n">
        <v>44008</v>
      </c>
      <c r="C124" s="1" t="n">
        <v>45761</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32096-2020</t>
        </is>
      </c>
      <c r="B125" s="1" t="n">
        <v>44015</v>
      </c>
      <c r="C125" s="1" t="n">
        <v>45761</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32628-2020</t>
        </is>
      </c>
      <c r="B126" s="1" t="n">
        <v>44019</v>
      </c>
      <c r="C126" s="1" t="n">
        <v>45761</v>
      </c>
      <c r="D126" t="inlineStr">
        <is>
          <t>DALARNAS LÄN</t>
        </is>
      </c>
      <c r="E126" t="inlineStr">
        <is>
          <t>ORSA</t>
        </is>
      </c>
      <c r="F126" t="inlineStr">
        <is>
          <t>Bergvik skog öst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34544-2020</t>
        </is>
      </c>
      <c r="B127" s="1" t="n">
        <v>44032</v>
      </c>
      <c r="C127" s="1" t="n">
        <v>45761</v>
      </c>
      <c r="D127" t="inlineStr">
        <is>
          <t>DALARNAS LÄN</t>
        </is>
      </c>
      <c r="E127" t="inlineStr">
        <is>
          <t>ORSA</t>
        </is>
      </c>
      <c r="G127" t="n">
        <v>3.2</v>
      </c>
      <c r="H127" t="n">
        <v>0</v>
      </c>
      <c r="I127" t="n">
        <v>0</v>
      </c>
      <c r="J127" t="n">
        <v>0</v>
      </c>
      <c r="K127" t="n">
        <v>0</v>
      </c>
      <c r="L127" t="n">
        <v>0</v>
      </c>
      <c r="M127" t="n">
        <v>0</v>
      </c>
      <c r="N127" t="n">
        <v>0</v>
      </c>
      <c r="O127" t="n">
        <v>0</v>
      </c>
      <c r="P127" t="n">
        <v>0</v>
      </c>
      <c r="Q127" t="n">
        <v>0</v>
      </c>
      <c r="R127" s="2" t="inlineStr"/>
    </row>
    <row r="128" ht="15" customHeight="1">
      <c r="A128" t="inlineStr">
        <is>
          <t>A 34986-2020</t>
        </is>
      </c>
      <c r="B128" s="1" t="n">
        <v>44039</v>
      </c>
      <c r="C128" s="1" t="n">
        <v>45761</v>
      </c>
      <c r="D128" t="inlineStr">
        <is>
          <t>DALARNAS LÄN</t>
        </is>
      </c>
      <c r="E128" t="inlineStr">
        <is>
          <t>ORSA</t>
        </is>
      </c>
      <c r="F128" t="inlineStr">
        <is>
          <t>Bergvik skog öst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36822-2020</t>
        </is>
      </c>
      <c r="B129" s="1" t="n">
        <v>44053</v>
      </c>
      <c r="C129" s="1" t="n">
        <v>45761</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36919-2020</t>
        </is>
      </c>
      <c r="B130" s="1" t="n">
        <v>44053</v>
      </c>
      <c r="C130" s="1" t="n">
        <v>45761</v>
      </c>
      <c r="D130" t="inlineStr">
        <is>
          <t>DALARNAS LÄN</t>
        </is>
      </c>
      <c r="E130" t="inlineStr">
        <is>
          <t>ORSA</t>
        </is>
      </c>
      <c r="F130" t="inlineStr">
        <is>
          <t>Bergvik skog öst AB</t>
        </is>
      </c>
      <c r="G130" t="n">
        <v>1.6</v>
      </c>
      <c r="H130" t="n">
        <v>0</v>
      </c>
      <c r="I130" t="n">
        <v>0</v>
      </c>
      <c r="J130" t="n">
        <v>0</v>
      </c>
      <c r="K130" t="n">
        <v>0</v>
      </c>
      <c r="L130" t="n">
        <v>0</v>
      </c>
      <c r="M130" t="n">
        <v>0</v>
      </c>
      <c r="N130" t="n">
        <v>0</v>
      </c>
      <c r="O130" t="n">
        <v>0</v>
      </c>
      <c r="P130" t="n">
        <v>0</v>
      </c>
      <c r="Q130" t="n">
        <v>0</v>
      </c>
      <c r="R130" s="2" t="inlineStr"/>
    </row>
    <row r="131" ht="15" customHeight="1">
      <c r="A131" t="inlineStr">
        <is>
          <t>A 39969-2020</t>
        </is>
      </c>
      <c r="B131" s="1" t="n">
        <v>44067</v>
      </c>
      <c r="C131" s="1" t="n">
        <v>45761</v>
      </c>
      <c r="D131" t="inlineStr">
        <is>
          <t>DALARNAS LÄN</t>
        </is>
      </c>
      <c r="E131" t="inlineStr">
        <is>
          <t>ORSA</t>
        </is>
      </c>
      <c r="G131" t="n">
        <v>1.5</v>
      </c>
      <c r="H131" t="n">
        <v>0</v>
      </c>
      <c r="I131" t="n">
        <v>0</v>
      </c>
      <c r="J131" t="n">
        <v>0</v>
      </c>
      <c r="K131" t="n">
        <v>0</v>
      </c>
      <c r="L131" t="n">
        <v>0</v>
      </c>
      <c r="M131" t="n">
        <v>0</v>
      </c>
      <c r="N131" t="n">
        <v>0</v>
      </c>
      <c r="O131" t="n">
        <v>0</v>
      </c>
      <c r="P131" t="n">
        <v>0</v>
      </c>
      <c r="Q131" t="n">
        <v>0</v>
      </c>
      <c r="R131" s="2" t="inlineStr"/>
    </row>
    <row r="132" ht="15" customHeight="1">
      <c r="A132" t="inlineStr">
        <is>
          <t>A 41079-2020</t>
        </is>
      </c>
      <c r="B132" s="1" t="n">
        <v>44071</v>
      </c>
      <c r="C132" s="1" t="n">
        <v>45761</v>
      </c>
      <c r="D132" t="inlineStr">
        <is>
          <t>DALARNAS LÄN</t>
        </is>
      </c>
      <c r="E132" t="inlineStr">
        <is>
          <t>ORSA</t>
        </is>
      </c>
      <c r="G132" t="n">
        <v>2.2</v>
      </c>
      <c r="H132" t="n">
        <v>0</v>
      </c>
      <c r="I132" t="n">
        <v>0</v>
      </c>
      <c r="J132" t="n">
        <v>0</v>
      </c>
      <c r="K132" t="n">
        <v>0</v>
      </c>
      <c r="L132" t="n">
        <v>0</v>
      </c>
      <c r="M132" t="n">
        <v>0</v>
      </c>
      <c r="N132" t="n">
        <v>0</v>
      </c>
      <c r="O132" t="n">
        <v>0</v>
      </c>
      <c r="P132" t="n">
        <v>0</v>
      </c>
      <c r="Q132" t="n">
        <v>0</v>
      </c>
      <c r="R132" s="2" t="inlineStr"/>
    </row>
    <row r="133" ht="15" customHeight="1">
      <c r="A133" t="inlineStr">
        <is>
          <t>A 48954-2020</t>
        </is>
      </c>
      <c r="B133" s="1" t="n">
        <v>44102</v>
      </c>
      <c r="C133" s="1" t="n">
        <v>45761</v>
      </c>
      <c r="D133" t="inlineStr">
        <is>
          <t>DALARNAS LÄN</t>
        </is>
      </c>
      <c r="E133" t="inlineStr">
        <is>
          <t>ORSA</t>
        </is>
      </c>
      <c r="G133" t="n">
        <v>2.7</v>
      </c>
      <c r="H133" t="n">
        <v>0</v>
      </c>
      <c r="I133" t="n">
        <v>0</v>
      </c>
      <c r="J133" t="n">
        <v>0</v>
      </c>
      <c r="K133" t="n">
        <v>0</v>
      </c>
      <c r="L133" t="n">
        <v>0</v>
      </c>
      <c r="M133" t="n">
        <v>0</v>
      </c>
      <c r="N133" t="n">
        <v>0</v>
      </c>
      <c r="O133" t="n">
        <v>0</v>
      </c>
      <c r="P133" t="n">
        <v>0</v>
      </c>
      <c r="Q133" t="n">
        <v>0</v>
      </c>
      <c r="R133" s="2" t="inlineStr"/>
    </row>
    <row r="134" ht="15" customHeight="1">
      <c r="A134" t="inlineStr">
        <is>
          <t>A 48956-2020</t>
        </is>
      </c>
      <c r="B134" s="1" t="n">
        <v>44102</v>
      </c>
      <c r="C134" s="1" t="n">
        <v>45761</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51094-2020</t>
        </is>
      </c>
      <c r="B135" s="1" t="n">
        <v>44112</v>
      </c>
      <c r="C135" s="1" t="n">
        <v>45761</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52495-2020</t>
        </is>
      </c>
      <c r="B136" s="1" t="n">
        <v>44116</v>
      </c>
      <c r="C136" s="1" t="n">
        <v>45761</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55447-2020</t>
        </is>
      </c>
      <c r="B137" s="1" t="n">
        <v>44131</v>
      </c>
      <c r="C137" s="1" t="n">
        <v>45761</v>
      </c>
      <c r="D137" t="inlineStr">
        <is>
          <t>DALARNAS LÄN</t>
        </is>
      </c>
      <c r="E137" t="inlineStr">
        <is>
          <t>ORSA</t>
        </is>
      </c>
      <c r="F137" t="inlineStr">
        <is>
          <t>Bergvik skog öst AB</t>
        </is>
      </c>
      <c r="G137" t="n">
        <v>3.1</v>
      </c>
      <c r="H137" t="n">
        <v>0</v>
      </c>
      <c r="I137" t="n">
        <v>0</v>
      </c>
      <c r="J137" t="n">
        <v>0</v>
      </c>
      <c r="K137" t="n">
        <v>0</v>
      </c>
      <c r="L137" t="n">
        <v>0</v>
      </c>
      <c r="M137" t="n">
        <v>0</v>
      </c>
      <c r="N137" t="n">
        <v>0</v>
      </c>
      <c r="O137" t="n">
        <v>0</v>
      </c>
      <c r="P137" t="n">
        <v>0</v>
      </c>
      <c r="Q137" t="n">
        <v>0</v>
      </c>
      <c r="R137" s="2" t="inlineStr"/>
    </row>
    <row r="138" ht="15" customHeight="1">
      <c r="A138" t="inlineStr">
        <is>
          <t>A 57765-2020</t>
        </is>
      </c>
      <c r="B138" s="1" t="n">
        <v>44141</v>
      </c>
      <c r="C138" s="1" t="n">
        <v>45761</v>
      </c>
      <c r="D138" t="inlineStr">
        <is>
          <t>DALARNAS LÄN</t>
        </is>
      </c>
      <c r="E138" t="inlineStr">
        <is>
          <t>ORSA</t>
        </is>
      </c>
      <c r="F138" t="inlineStr">
        <is>
          <t>Bergvik skog öst AB</t>
        </is>
      </c>
      <c r="G138" t="n">
        <v>3.7</v>
      </c>
      <c r="H138" t="n">
        <v>0</v>
      </c>
      <c r="I138" t="n">
        <v>0</v>
      </c>
      <c r="J138" t="n">
        <v>0</v>
      </c>
      <c r="K138" t="n">
        <v>0</v>
      </c>
      <c r="L138" t="n">
        <v>0</v>
      </c>
      <c r="M138" t="n">
        <v>0</v>
      </c>
      <c r="N138" t="n">
        <v>0</v>
      </c>
      <c r="O138" t="n">
        <v>0</v>
      </c>
      <c r="P138" t="n">
        <v>0</v>
      </c>
      <c r="Q138" t="n">
        <v>0</v>
      </c>
      <c r="R138" s="2" t="inlineStr"/>
    </row>
    <row r="139" ht="15" customHeight="1">
      <c r="A139" t="inlineStr">
        <is>
          <t>A 58556-2020</t>
        </is>
      </c>
      <c r="B139" s="1" t="n">
        <v>44145</v>
      </c>
      <c r="C139" s="1" t="n">
        <v>45761</v>
      </c>
      <c r="D139" t="inlineStr">
        <is>
          <t>DALARNAS LÄN</t>
        </is>
      </c>
      <c r="E139" t="inlineStr">
        <is>
          <t>ORSA</t>
        </is>
      </c>
      <c r="G139" t="n">
        <v>1.2</v>
      </c>
      <c r="H139" t="n">
        <v>0</v>
      </c>
      <c r="I139" t="n">
        <v>0</v>
      </c>
      <c r="J139" t="n">
        <v>0</v>
      </c>
      <c r="K139" t="n">
        <v>0</v>
      </c>
      <c r="L139" t="n">
        <v>0</v>
      </c>
      <c r="M139" t="n">
        <v>0</v>
      </c>
      <c r="N139" t="n">
        <v>0</v>
      </c>
      <c r="O139" t="n">
        <v>0</v>
      </c>
      <c r="P139" t="n">
        <v>0</v>
      </c>
      <c r="Q139" t="n">
        <v>0</v>
      </c>
      <c r="R139" s="2" t="inlineStr"/>
    </row>
    <row r="140" ht="15" customHeight="1">
      <c r="A140" t="inlineStr">
        <is>
          <t>A 61699-2020</t>
        </is>
      </c>
      <c r="B140" s="1" t="n">
        <v>44158</v>
      </c>
      <c r="C140" s="1" t="n">
        <v>45761</v>
      </c>
      <c r="D140" t="inlineStr">
        <is>
          <t>DALARNAS LÄN</t>
        </is>
      </c>
      <c r="E140" t="inlineStr">
        <is>
          <t>ORSA</t>
        </is>
      </c>
      <c r="G140" t="n">
        <v>1.5</v>
      </c>
      <c r="H140" t="n">
        <v>0</v>
      </c>
      <c r="I140" t="n">
        <v>0</v>
      </c>
      <c r="J140" t="n">
        <v>0</v>
      </c>
      <c r="K140" t="n">
        <v>0</v>
      </c>
      <c r="L140" t="n">
        <v>0</v>
      </c>
      <c r="M140" t="n">
        <v>0</v>
      </c>
      <c r="N140" t="n">
        <v>0</v>
      </c>
      <c r="O140" t="n">
        <v>0</v>
      </c>
      <c r="P140" t="n">
        <v>0</v>
      </c>
      <c r="Q140" t="n">
        <v>0</v>
      </c>
      <c r="R140" s="2" t="inlineStr"/>
    </row>
    <row r="141" ht="15" customHeight="1">
      <c r="A141" t="inlineStr">
        <is>
          <t>A 62379-2020</t>
        </is>
      </c>
      <c r="B141" s="1" t="n">
        <v>44160</v>
      </c>
      <c r="C141" s="1" t="n">
        <v>45761</v>
      </c>
      <c r="D141" t="inlineStr">
        <is>
          <t>DALARNAS LÄN</t>
        </is>
      </c>
      <c r="E141" t="inlineStr">
        <is>
          <t>ORSA</t>
        </is>
      </c>
      <c r="F141" t="inlineStr">
        <is>
          <t>Bergvik skog öst AB</t>
        </is>
      </c>
      <c r="G141" t="n">
        <v>1.9</v>
      </c>
      <c r="H141" t="n">
        <v>0</v>
      </c>
      <c r="I141" t="n">
        <v>0</v>
      </c>
      <c r="J141" t="n">
        <v>0</v>
      </c>
      <c r="K141" t="n">
        <v>0</v>
      </c>
      <c r="L141" t="n">
        <v>0</v>
      </c>
      <c r="M141" t="n">
        <v>0</v>
      </c>
      <c r="N141" t="n">
        <v>0</v>
      </c>
      <c r="O141" t="n">
        <v>0</v>
      </c>
      <c r="P141" t="n">
        <v>0</v>
      </c>
      <c r="Q141" t="n">
        <v>0</v>
      </c>
      <c r="R141" s="2" t="inlineStr"/>
    </row>
    <row r="142" ht="15" customHeight="1">
      <c r="A142" t="inlineStr">
        <is>
          <t>A 63367-2020</t>
        </is>
      </c>
      <c r="B142" s="1" t="n">
        <v>44160</v>
      </c>
      <c r="C142" s="1" t="n">
        <v>45761</v>
      </c>
      <c r="D142" t="inlineStr">
        <is>
          <t>DALARNAS LÄN</t>
        </is>
      </c>
      <c r="E142" t="inlineStr">
        <is>
          <t>ORSA</t>
        </is>
      </c>
      <c r="G142" t="n">
        <v>0.8</v>
      </c>
      <c r="H142" t="n">
        <v>0</v>
      </c>
      <c r="I142" t="n">
        <v>0</v>
      </c>
      <c r="J142" t="n">
        <v>0</v>
      </c>
      <c r="K142" t="n">
        <v>0</v>
      </c>
      <c r="L142" t="n">
        <v>0</v>
      </c>
      <c r="M142" t="n">
        <v>0</v>
      </c>
      <c r="N142" t="n">
        <v>0</v>
      </c>
      <c r="O142" t="n">
        <v>0</v>
      </c>
      <c r="P142" t="n">
        <v>0</v>
      </c>
      <c r="Q142" t="n">
        <v>0</v>
      </c>
      <c r="R142" s="2" t="inlineStr"/>
    </row>
    <row r="143" ht="15" customHeight="1">
      <c r="A143" t="inlineStr">
        <is>
          <t>A 63374-2020</t>
        </is>
      </c>
      <c r="B143" s="1" t="n">
        <v>44160</v>
      </c>
      <c r="C143" s="1" t="n">
        <v>45761</v>
      </c>
      <c r="D143" t="inlineStr">
        <is>
          <t>DALARNAS LÄN</t>
        </is>
      </c>
      <c r="E143" t="inlineStr">
        <is>
          <t>ORSA</t>
        </is>
      </c>
      <c r="G143" t="n">
        <v>1.2</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45761</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66323-2020</t>
        </is>
      </c>
      <c r="B145" s="1" t="n">
        <v>44176</v>
      </c>
      <c r="C145" s="1" t="n">
        <v>45761</v>
      </c>
      <c r="D145" t="inlineStr">
        <is>
          <t>DALARNAS LÄN</t>
        </is>
      </c>
      <c r="E145" t="inlineStr">
        <is>
          <t>ORSA</t>
        </is>
      </c>
      <c r="G145" t="n">
        <v>3.1</v>
      </c>
      <c r="H145" t="n">
        <v>0</v>
      </c>
      <c r="I145" t="n">
        <v>0</v>
      </c>
      <c r="J145" t="n">
        <v>0</v>
      </c>
      <c r="K145" t="n">
        <v>0</v>
      </c>
      <c r="L145" t="n">
        <v>0</v>
      </c>
      <c r="M145" t="n">
        <v>0</v>
      </c>
      <c r="N145" t="n">
        <v>0</v>
      </c>
      <c r="O145" t="n">
        <v>0</v>
      </c>
      <c r="P145" t="n">
        <v>0</v>
      </c>
      <c r="Q145" t="n">
        <v>0</v>
      </c>
      <c r="R145" s="2" t="inlineStr"/>
    </row>
    <row r="146" ht="15" customHeight="1">
      <c r="A146" t="inlineStr">
        <is>
          <t>A 66536-2020</t>
        </is>
      </c>
      <c r="B146" s="1" t="n">
        <v>44179</v>
      </c>
      <c r="C146" s="1" t="n">
        <v>45761</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66567-2020</t>
        </is>
      </c>
      <c r="B147" s="1" t="n">
        <v>44179</v>
      </c>
      <c r="C147" s="1" t="n">
        <v>45761</v>
      </c>
      <c r="D147" t="inlineStr">
        <is>
          <t>DALARNAS LÄN</t>
        </is>
      </c>
      <c r="E147" t="inlineStr">
        <is>
          <t>ORSA</t>
        </is>
      </c>
      <c r="G147" t="n">
        <v>7.8</v>
      </c>
      <c r="H147" t="n">
        <v>0</v>
      </c>
      <c r="I147" t="n">
        <v>0</v>
      </c>
      <c r="J147" t="n">
        <v>0</v>
      </c>
      <c r="K147" t="n">
        <v>0</v>
      </c>
      <c r="L147" t="n">
        <v>0</v>
      </c>
      <c r="M147" t="n">
        <v>0</v>
      </c>
      <c r="N147" t="n">
        <v>0</v>
      </c>
      <c r="O147" t="n">
        <v>0</v>
      </c>
      <c r="P147" t="n">
        <v>0</v>
      </c>
      <c r="Q147" t="n">
        <v>0</v>
      </c>
      <c r="R147" s="2" t="inlineStr"/>
    </row>
    <row r="148" ht="15" customHeight="1">
      <c r="A148" t="inlineStr">
        <is>
          <t>A 66533-2020</t>
        </is>
      </c>
      <c r="B148" s="1" t="n">
        <v>44179</v>
      </c>
      <c r="C148" s="1" t="n">
        <v>45761</v>
      </c>
      <c r="D148" t="inlineStr">
        <is>
          <t>DALARNAS LÄN</t>
        </is>
      </c>
      <c r="E148" t="inlineStr">
        <is>
          <t>ORSA</t>
        </is>
      </c>
      <c r="G148" t="n">
        <v>2.3</v>
      </c>
      <c r="H148" t="n">
        <v>0</v>
      </c>
      <c r="I148" t="n">
        <v>0</v>
      </c>
      <c r="J148" t="n">
        <v>0</v>
      </c>
      <c r="K148" t="n">
        <v>0</v>
      </c>
      <c r="L148" t="n">
        <v>0</v>
      </c>
      <c r="M148" t="n">
        <v>0</v>
      </c>
      <c r="N148" t="n">
        <v>0</v>
      </c>
      <c r="O148" t="n">
        <v>0</v>
      </c>
      <c r="P148" t="n">
        <v>0</v>
      </c>
      <c r="Q148" t="n">
        <v>0</v>
      </c>
      <c r="R148" s="2" t="inlineStr"/>
    </row>
    <row r="149" ht="15" customHeight="1">
      <c r="A149" t="inlineStr">
        <is>
          <t>A 66593-2020</t>
        </is>
      </c>
      <c r="B149" s="1" t="n">
        <v>44179</v>
      </c>
      <c r="C149" s="1" t="n">
        <v>45761</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67189-2020</t>
        </is>
      </c>
      <c r="B150" s="1" t="n">
        <v>44180</v>
      </c>
      <c r="C150" s="1" t="n">
        <v>45761</v>
      </c>
      <c r="D150" t="inlineStr">
        <is>
          <t>DALARNAS LÄN</t>
        </is>
      </c>
      <c r="E150" t="inlineStr">
        <is>
          <t>ORSA</t>
        </is>
      </c>
      <c r="F150" t="inlineStr">
        <is>
          <t>Allmännings- och besparingsskogar</t>
        </is>
      </c>
      <c r="G150" t="n">
        <v>5</v>
      </c>
      <c r="H150" t="n">
        <v>0</v>
      </c>
      <c r="I150" t="n">
        <v>0</v>
      </c>
      <c r="J150" t="n">
        <v>0</v>
      </c>
      <c r="K150" t="n">
        <v>0</v>
      </c>
      <c r="L150" t="n">
        <v>0</v>
      </c>
      <c r="M150" t="n">
        <v>0</v>
      </c>
      <c r="N150" t="n">
        <v>0</v>
      </c>
      <c r="O150" t="n">
        <v>0</v>
      </c>
      <c r="P150" t="n">
        <v>0</v>
      </c>
      <c r="Q150" t="n">
        <v>0</v>
      </c>
      <c r="R150" s="2" t="inlineStr"/>
    </row>
    <row r="151" ht="15" customHeight="1">
      <c r="A151" t="inlineStr">
        <is>
          <t>A 67755-2020</t>
        </is>
      </c>
      <c r="B151" s="1" t="n">
        <v>44182</v>
      </c>
      <c r="C151" s="1" t="n">
        <v>45761</v>
      </c>
      <c r="D151" t="inlineStr">
        <is>
          <t>DALARNAS LÄN</t>
        </is>
      </c>
      <c r="E151" t="inlineStr">
        <is>
          <t>ORSA</t>
        </is>
      </c>
      <c r="G151" t="n">
        <v>7.5</v>
      </c>
      <c r="H151" t="n">
        <v>0</v>
      </c>
      <c r="I151" t="n">
        <v>0</v>
      </c>
      <c r="J151" t="n">
        <v>0</v>
      </c>
      <c r="K151" t="n">
        <v>0</v>
      </c>
      <c r="L151" t="n">
        <v>0</v>
      </c>
      <c r="M151" t="n">
        <v>0</v>
      </c>
      <c r="N151" t="n">
        <v>0</v>
      </c>
      <c r="O151" t="n">
        <v>0</v>
      </c>
      <c r="P151" t="n">
        <v>0</v>
      </c>
      <c r="Q151" t="n">
        <v>0</v>
      </c>
      <c r="R151" s="2" t="inlineStr"/>
    </row>
    <row r="152" ht="15" customHeight="1">
      <c r="A152" t="inlineStr">
        <is>
          <t>A 67834-2020</t>
        </is>
      </c>
      <c r="B152" s="1" t="n">
        <v>44182</v>
      </c>
      <c r="C152" s="1" t="n">
        <v>45761</v>
      </c>
      <c r="D152" t="inlineStr">
        <is>
          <t>DALARNAS LÄN</t>
        </is>
      </c>
      <c r="E152" t="inlineStr">
        <is>
          <t>ORSA</t>
        </is>
      </c>
      <c r="G152" t="n">
        <v>4</v>
      </c>
      <c r="H152" t="n">
        <v>0</v>
      </c>
      <c r="I152" t="n">
        <v>0</v>
      </c>
      <c r="J152" t="n">
        <v>0</v>
      </c>
      <c r="K152" t="n">
        <v>0</v>
      </c>
      <c r="L152" t="n">
        <v>0</v>
      </c>
      <c r="M152" t="n">
        <v>0</v>
      </c>
      <c r="N152" t="n">
        <v>0</v>
      </c>
      <c r="O152" t="n">
        <v>0</v>
      </c>
      <c r="P152" t="n">
        <v>0</v>
      </c>
      <c r="Q152" t="n">
        <v>0</v>
      </c>
      <c r="R152" s="2" t="inlineStr"/>
    </row>
    <row r="153" ht="15" customHeight="1">
      <c r="A153" t="inlineStr">
        <is>
          <t>A 67842-2020</t>
        </is>
      </c>
      <c r="B153" s="1" t="n">
        <v>44182</v>
      </c>
      <c r="C153" s="1" t="n">
        <v>45761</v>
      </c>
      <c r="D153" t="inlineStr">
        <is>
          <t>DALARNAS LÄN</t>
        </is>
      </c>
      <c r="E153" t="inlineStr">
        <is>
          <t>ORSA</t>
        </is>
      </c>
      <c r="G153" t="n">
        <v>10.6</v>
      </c>
      <c r="H153" t="n">
        <v>0</v>
      </c>
      <c r="I153" t="n">
        <v>0</v>
      </c>
      <c r="J153" t="n">
        <v>0</v>
      </c>
      <c r="K153" t="n">
        <v>0</v>
      </c>
      <c r="L153" t="n">
        <v>0</v>
      </c>
      <c r="M153" t="n">
        <v>0</v>
      </c>
      <c r="N153" t="n">
        <v>0</v>
      </c>
      <c r="O153" t="n">
        <v>0</v>
      </c>
      <c r="P153" t="n">
        <v>0</v>
      </c>
      <c r="Q153" t="n">
        <v>0</v>
      </c>
      <c r="R153" s="2" t="inlineStr"/>
    </row>
    <row r="154" ht="15" customHeight="1">
      <c r="A154" t="inlineStr">
        <is>
          <t>A 67950-2020</t>
        </is>
      </c>
      <c r="B154" s="1" t="n">
        <v>44182</v>
      </c>
      <c r="C154" s="1" t="n">
        <v>45761</v>
      </c>
      <c r="D154" t="inlineStr">
        <is>
          <t>DALARNAS LÄN</t>
        </is>
      </c>
      <c r="E154" t="inlineStr">
        <is>
          <t>ORSA</t>
        </is>
      </c>
      <c r="G154" t="n">
        <v>1.1</v>
      </c>
      <c r="H154" t="n">
        <v>0</v>
      </c>
      <c r="I154" t="n">
        <v>0</v>
      </c>
      <c r="J154" t="n">
        <v>0</v>
      </c>
      <c r="K154" t="n">
        <v>0</v>
      </c>
      <c r="L154" t="n">
        <v>0</v>
      </c>
      <c r="M154" t="n">
        <v>0</v>
      </c>
      <c r="N154" t="n">
        <v>0</v>
      </c>
      <c r="O154" t="n">
        <v>0</v>
      </c>
      <c r="P154" t="n">
        <v>0</v>
      </c>
      <c r="Q154" t="n">
        <v>0</v>
      </c>
      <c r="R154" s="2" t="inlineStr"/>
    </row>
    <row r="155" ht="15" customHeight="1">
      <c r="A155" t="inlineStr">
        <is>
          <t>A 67971-2020</t>
        </is>
      </c>
      <c r="B155" s="1" t="n">
        <v>44182</v>
      </c>
      <c r="C155" s="1" t="n">
        <v>45761</v>
      </c>
      <c r="D155" t="inlineStr">
        <is>
          <t>DALARNAS LÄN</t>
        </is>
      </c>
      <c r="E155" t="inlineStr">
        <is>
          <t>ORSA</t>
        </is>
      </c>
      <c r="F155" t="inlineStr">
        <is>
          <t>Bergvik skog öst AB</t>
        </is>
      </c>
      <c r="G155" t="n">
        <v>0.7</v>
      </c>
      <c r="H155" t="n">
        <v>0</v>
      </c>
      <c r="I155" t="n">
        <v>0</v>
      </c>
      <c r="J155" t="n">
        <v>0</v>
      </c>
      <c r="K155" t="n">
        <v>0</v>
      </c>
      <c r="L155" t="n">
        <v>0</v>
      </c>
      <c r="M155" t="n">
        <v>0</v>
      </c>
      <c r="N155" t="n">
        <v>0</v>
      </c>
      <c r="O155" t="n">
        <v>0</v>
      </c>
      <c r="P155" t="n">
        <v>0</v>
      </c>
      <c r="Q155" t="n">
        <v>0</v>
      </c>
      <c r="R155" s="2" t="inlineStr"/>
    </row>
    <row r="156" ht="15" customHeight="1">
      <c r="A156" t="inlineStr">
        <is>
          <t>A 67911-2020</t>
        </is>
      </c>
      <c r="B156" s="1" t="n">
        <v>44182</v>
      </c>
      <c r="C156" s="1" t="n">
        <v>45761</v>
      </c>
      <c r="D156" t="inlineStr">
        <is>
          <t>DALARNAS LÄN</t>
        </is>
      </c>
      <c r="E156" t="inlineStr">
        <is>
          <t>ORSA</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67929-2020</t>
        </is>
      </c>
      <c r="B157" s="1" t="n">
        <v>44182</v>
      </c>
      <c r="C157" s="1" t="n">
        <v>45761</v>
      </c>
      <c r="D157" t="inlineStr">
        <is>
          <t>DALARNAS LÄN</t>
        </is>
      </c>
      <c r="E157" t="inlineStr">
        <is>
          <t>ORSA</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67935-2020</t>
        </is>
      </c>
      <c r="B158" s="1" t="n">
        <v>44182</v>
      </c>
      <c r="C158" s="1" t="n">
        <v>45761</v>
      </c>
      <c r="D158" t="inlineStr">
        <is>
          <t>DALARNAS LÄN</t>
        </is>
      </c>
      <c r="E158" t="inlineStr">
        <is>
          <t>ORSA</t>
        </is>
      </c>
      <c r="G158" t="n">
        <v>5</v>
      </c>
      <c r="H158" t="n">
        <v>0</v>
      </c>
      <c r="I158" t="n">
        <v>0</v>
      </c>
      <c r="J158" t="n">
        <v>0</v>
      </c>
      <c r="K158" t="n">
        <v>0</v>
      </c>
      <c r="L158" t="n">
        <v>0</v>
      </c>
      <c r="M158" t="n">
        <v>0</v>
      </c>
      <c r="N158" t="n">
        <v>0</v>
      </c>
      <c r="O158" t="n">
        <v>0</v>
      </c>
      <c r="P158" t="n">
        <v>0</v>
      </c>
      <c r="Q158" t="n">
        <v>0</v>
      </c>
      <c r="R158" s="2" t="inlineStr"/>
    </row>
    <row r="159" ht="15" customHeight="1">
      <c r="A159" t="inlineStr">
        <is>
          <t>A 112-2021</t>
        </is>
      </c>
      <c r="B159" s="1" t="n">
        <v>44200</v>
      </c>
      <c r="C159" s="1" t="n">
        <v>45761</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2112-2021</t>
        </is>
      </c>
      <c r="B160" s="1" t="n">
        <v>44211</v>
      </c>
      <c r="C160" s="1" t="n">
        <v>45761</v>
      </c>
      <c r="D160" t="inlineStr">
        <is>
          <t>DALARNAS LÄN</t>
        </is>
      </c>
      <c r="E160" t="inlineStr">
        <is>
          <t>ORSA</t>
        </is>
      </c>
      <c r="G160" t="n">
        <v>0.8</v>
      </c>
      <c r="H160" t="n">
        <v>0</v>
      </c>
      <c r="I160" t="n">
        <v>0</v>
      </c>
      <c r="J160" t="n">
        <v>0</v>
      </c>
      <c r="K160" t="n">
        <v>0</v>
      </c>
      <c r="L160" t="n">
        <v>0</v>
      </c>
      <c r="M160" t="n">
        <v>0</v>
      </c>
      <c r="N160" t="n">
        <v>0</v>
      </c>
      <c r="O160" t="n">
        <v>0</v>
      </c>
      <c r="P160" t="n">
        <v>0</v>
      </c>
      <c r="Q160" t="n">
        <v>0</v>
      </c>
      <c r="R160" s="2" t="inlineStr"/>
    </row>
    <row r="161" ht="15" customHeight="1">
      <c r="A161" t="inlineStr">
        <is>
          <t>A 3452-2021</t>
        </is>
      </c>
      <c r="B161" s="1" t="n">
        <v>44218</v>
      </c>
      <c r="C161" s="1" t="n">
        <v>45761</v>
      </c>
      <c r="D161" t="inlineStr">
        <is>
          <t>DALARNAS LÄN</t>
        </is>
      </c>
      <c r="E161" t="inlineStr">
        <is>
          <t>ORSA</t>
        </is>
      </c>
      <c r="G161" t="n">
        <v>12.5</v>
      </c>
      <c r="H161" t="n">
        <v>0</v>
      </c>
      <c r="I161" t="n">
        <v>0</v>
      </c>
      <c r="J161" t="n">
        <v>0</v>
      </c>
      <c r="K161" t="n">
        <v>0</v>
      </c>
      <c r="L161" t="n">
        <v>0</v>
      </c>
      <c r="M161" t="n">
        <v>0</v>
      </c>
      <c r="N161" t="n">
        <v>0</v>
      </c>
      <c r="O161" t="n">
        <v>0</v>
      </c>
      <c r="P161" t="n">
        <v>0</v>
      </c>
      <c r="Q161" t="n">
        <v>0</v>
      </c>
      <c r="R161" s="2" t="inlineStr"/>
    </row>
    <row r="162" ht="15" customHeight="1">
      <c r="A162" t="inlineStr">
        <is>
          <t>A 4108-2021</t>
        </is>
      </c>
      <c r="B162" s="1" t="n">
        <v>44222</v>
      </c>
      <c r="C162" s="1" t="n">
        <v>45761</v>
      </c>
      <c r="D162" t="inlineStr">
        <is>
          <t>DALARNAS LÄN</t>
        </is>
      </c>
      <c r="E162" t="inlineStr">
        <is>
          <t>ORSA</t>
        </is>
      </c>
      <c r="G162" t="n">
        <v>0.7</v>
      </c>
      <c r="H162" t="n">
        <v>0</v>
      </c>
      <c r="I162" t="n">
        <v>0</v>
      </c>
      <c r="J162" t="n">
        <v>0</v>
      </c>
      <c r="K162" t="n">
        <v>0</v>
      </c>
      <c r="L162" t="n">
        <v>0</v>
      </c>
      <c r="M162" t="n">
        <v>0</v>
      </c>
      <c r="N162" t="n">
        <v>0</v>
      </c>
      <c r="O162" t="n">
        <v>0</v>
      </c>
      <c r="P162" t="n">
        <v>0</v>
      </c>
      <c r="Q162" t="n">
        <v>0</v>
      </c>
      <c r="R162" s="2" t="inlineStr"/>
    </row>
    <row r="163" ht="15" customHeight="1">
      <c r="A163" t="inlineStr">
        <is>
          <t>A 4454-2021</t>
        </is>
      </c>
      <c r="B163" s="1" t="n">
        <v>44224</v>
      </c>
      <c r="C163" s="1" t="n">
        <v>45761</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9306-2021</t>
        </is>
      </c>
      <c r="B164" s="1" t="n">
        <v>44250</v>
      </c>
      <c r="C164" s="1" t="n">
        <v>45761</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12622-2021</t>
        </is>
      </c>
      <c r="B165" s="1" t="n">
        <v>44270</v>
      </c>
      <c r="C165" s="1" t="n">
        <v>45761</v>
      </c>
      <c r="D165" t="inlineStr">
        <is>
          <t>DALARNAS LÄN</t>
        </is>
      </c>
      <c r="E165" t="inlineStr">
        <is>
          <t>ORSA</t>
        </is>
      </c>
      <c r="G165" t="n">
        <v>5.1</v>
      </c>
      <c r="H165" t="n">
        <v>0</v>
      </c>
      <c r="I165" t="n">
        <v>0</v>
      </c>
      <c r="J165" t="n">
        <v>0</v>
      </c>
      <c r="K165" t="n">
        <v>0</v>
      </c>
      <c r="L165" t="n">
        <v>0</v>
      </c>
      <c r="M165" t="n">
        <v>0</v>
      </c>
      <c r="N165" t="n">
        <v>0</v>
      </c>
      <c r="O165" t="n">
        <v>0</v>
      </c>
      <c r="P165" t="n">
        <v>0</v>
      </c>
      <c r="Q165" t="n">
        <v>0</v>
      </c>
      <c r="R165" s="2" t="inlineStr"/>
    </row>
    <row r="166" ht="15" customHeight="1">
      <c r="A166" t="inlineStr">
        <is>
          <t>A 15914-2021</t>
        </is>
      </c>
      <c r="B166" s="1" t="n">
        <v>44287</v>
      </c>
      <c r="C166" s="1" t="n">
        <v>45761</v>
      </c>
      <c r="D166" t="inlineStr">
        <is>
          <t>DALARNAS LÄN</t>
        </is>
      </c>
      <c r="E166" t="inlineStr">
        <is>
          <t>ORSA</t>
        </is>
      </c>
      <c r="G166" t="n">
        <v>1.3</v>
      </c>
      <c r="H166" t="n">
        <v>0</v>
      </c>
      <c r="I166" t="n">
        <v>0</v>
      </c>
      <c r="J166" t="n">
        <v>0</v>
      </c>
      <c r="K166" t="n">
        <v>0</v>
      </c>
      <c r="L166" t="n">
        <v>0</v>
      </c>
      <c r="M166" t="n">
        <v>0</v>
      </c>
      <c r="N166" t="n">
        <v>0</v>
      </c>
      <c r="O166" t="n">
        <v>0</v>
      </c>
      <c r="P166" t="n">
        <v>0</v>
      </c>
      <c r="Q166" t="n">
        <v>0</v>
      </c>
      <c r="R166" s="2" t="inlineStr"/>
    </row>
    <row r="167" ht="15" customHeight="1">
      <c r="A167" t="inlineStr">
        <is>
          <t>A 16270-2021</t>
        </is>
      </c>
      <c r="B167" s="1" t="n">
        <v>44292</v>
      </c>
      <c r="C167" s="1" t="n">
        <v>45761</v>
      </c>
      <c r="D167" t="inlineStr">
        <is>
          <t>DALARNAS LÄN</t>
        </is>
      </c>
      <c r="E167" t="inlineStr">
        <is>
          <t>ORSA</t>
        </is>
      </c>
      <c r="G167" t="n">
        <v>8.4</v>
      </c>
      <c r="H167" t="n">
        <v>0</v>
      </c>
      <c r="I167" t="n">
        <v>0</v>
      </c>
      <c r="J167" t="n">
        <v>0</v>
      </c>
      <c r="K167" t="n">
        <v>0</v>
      </c>
      <c r="L167" t="n">
        <v>0</v>
      </c>
      <c r="M167" t="n">
        <v>0</v>
      </c>
      <c r="N167" t="n">
        <v>0</v>
      </c>
      <c r="O167" t="n">
        <v>0</v>
      </c>
      <c r="P167" t="n">
        <v>0</v>
      </c>
      <c r="Q167" t="n">
        <v>0</v>
      </c>
      <c r="R167" s="2" t="inlineStr"/>
    </row>
    <row r="168" ht="15" customHeight="1">
      <c r="A168" t="inlineStr">
        <is>
          <t>A 17718-2021</t>
        </is>
      </c>
      <c r="B168" s="1" t="n">
        <v>44300</v>
      </c>
      <c r="C168" s="1" t="n">
        <v>45761</v>
      </c>
      <c r="D168" t="inlineStr">
        <is>
          <t>DALARNAS LÄN</t>
        </is>
      </c>
      <c r="E168" t="inlineStr">
        <is>
          <t>ORSA</t>
        </is>
      </c>
      <c r="G168" t="n">
        <v>0.6</v>
      </c>
      <c r="H168" t="n">
        <v>0</v>
      </c>
      <c r="I168" t="n">
        <v>0</v>
      </c>
      <c r="J168" t="n">
        <v>0</v>
      </c>
      <c r="K168" t="n">
        <v>0</v>
      </c>
      <c r="L168" t="n">
        <v>0</v>
      </c>
      <c r="M168" t="n">
        <v>0</v>
      </c>
      <c r="N168" t="n">
        <v>0</v>
      </c>
      <c r="O168" t="n">
        <v>0</v>
      </c>
      <c r="P168" t="n">
        <v>0</v>
      </c>
      <c r="Q168" t="n">
        <v>0</v>
      </c>
      <c r="R168" s="2" t="inlineStr"/>
    </row>
    <row r="169" ht="15" customHeight="1">
      <c r="A169" t="inlineStr">
        <is>
          <t>A 18708-2021</t>
        </is>
      </c>
      <c r="B169" s="1" t="n">
        <v>44307</v>
      </c>
      <c r="C169" s="1" t="n">
        <v>45761</v>
      </c>
      <c r="D169" t="inlineStr">
        <is>
          <t>DALARNAS LÄN</t>
        </is>
      </c>
      <c r="E169" t="inlineStr">
        <is>
          <t>ORSA</t>
        </is>
      </c>
      <c r="G169" t="n">
        <v>2.8</v>
      </c>
      <c r="H169" t="n">
        <v>0</v>
      </c>
      <c r="I169" t="n">
        <v>0</v>
      </c>
      <c r="J169" t="n">
        <v>0</v>
      </c>
      <c r="K169" t="n">
        <v>0</v>
      </c>
      <c r="L169" t="n">
        <v>0</v>
      </c>
      <c r="M169" t="n">
        <v>0</v>
      </c>
      <c r="N169" t="n">
        <v>0</v>
      </c>
      <c r="O169" t="n">
        <v>0</v>
      </c>
      <c r="P169" t="n">
        <v>0</v>
      </c>
      <c r="Q169" t="n">
        <v>0</v>
      </c>
      <c r="R169" s="2" t="inlineStr"/>
    </row>
    <row r="170" ht="15" customHeight="1">
      <c r="A170" t="inlineStr">
        <is>
          <t>A 19024-2021</t>
        </is>
      </c>
      <c r="B170" s="1" t="n">
        <v>44308</v>
      </c>
      <c r="C170" s="1" t="n">
        <v>45761</v>
      </c>
      <c r="D170" t="inlineStr">
        <is>
          <t>DALARNAS LÄN</t>
        </is>
      </c>
      <c r="E170" t="inlineStr">
        <is>
          <t>ORSA</t>
        </is>
      </c>
      <c r="G170" t="n">
        <v>1.7</v>
      </c>
      <c r="H170" t="n">
        <v>0</v>
      </c>
      <c r="I170" t="n">
        <v>0</v>
      </c>
      <c r="J170" t="n">
        <v>0</v>
      </c>
      <c r="K170" t="n">
        <v>0</v>
      </c>
      <c r="L170" t="n">
        <v>0</v>
      </c>
      <c r="M170" t="n">
        <v>0</v>
      </c>
      <c r="N170" t="n">
        <v>0</v>
      </c>
      <c r="O170" t="n">
        <v>0</v>
      </c>
      <c r="P170" t="n">
        <v>0</v>
      </c>
      <c r="Q170" t="n">
        <v>0</v>
      </c>
      <c r="R170" s="2" t="inlineStr"/>
    </row>
    <row r="171" ht="15" customHeight="1">
      <c r="A171" t="inlineStr">
        <is>
          <t>A 19932-2021</t>
        </is>
      </c>
      <c r="B171" s="1" t="n">
        <v>44313</v>
      </c>
      <c r="C171" s="1" t="n">
        <v>45761</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20349-2021</t>
        </is>
      </c>
      <c r="B172" s="1" t="n">
        <v>44315</v>
      </c>
      <c r="C172" s="1" t="n">
        <v>45761</v>
      </c>
      <c r="D172" t="inlineStr">
        <is>
          <t>DALARNAS LÄN</t>
        </is>
      </c>
      <c r="E172" t="inlineStr">
        <is>
          <t>ORSA</t>
        </is>
      </c>
      <c r="G172" t="n">
        <v>2.3</v>
      </c>
      <c r="H172" t="n">
        <v>0</v>
      </c>
      <c r="I172" t="n">
        <v>0</v>
      </c>
      <c r="J172" t="n">
        <v>0</v>
      </c>
      <c r="K172" t="n">
        <v>0</v>
      </c>
      <c r="L172" t="n">
        <v>0</v>
      </c>
      <c r="M172" t="n">
        <v>0</v>
      </c>
      <c r="N172" t="n">
        <v>0</v>
      </c>
      <c r="O172" t="n">
        <v>0</v>
      </c>
      <c r="P172" t="n">
        <v>0</v>
      </c>
      <c r="Q172" t="n">
        <v>0</v>
      </c>
      <c r="R172" s="2" t="inlineStr"/>
    </row>
    <row r="173" ht="15" customHeight="1">
      <c r="A173" t="inlineStr">
        <is>
          <t>A 21678-2021</t>
        </is>
      </c>
      <c r="B173" s="1" t="n">
        <v>44322</v>
      </c>
      <c r="C173" s="1" t="n">
        <v>45761</v>
      </c>
      <c r="D173" t="inlineStr">
        <is>
          <t>DALARNAS LÄN</t>
        </is>
      </c>
      <c r="E173" t="inlineStr">
        <is>
          <t>ORSA</t>
        </is>
      </c>
      <c r="G173" t="n">
        <v>11.4</v>
      </c>
      <c r="H173" t="n">
        <v>0</v>
      </c>
      <c r="I173" t="n">
        <v>0</v>
      </c>
      <c r="J173" t="n">
        <v>0</v>
      </c>
      <c r="K173" t="n">
        <v>0</v>
      </c>
      <c r="L173" t="n">
        <v>0</v>
      </c>
      <c r="M173" t="n">
        <v>0</v>
      </c>
      <c r="N173" t="n">
        <v>0</v>
      </c>
      <c r="O173" t="n">
        <v>0</v>
      </c>
      <c r="P173" t="n">
        <v>0</v>
      </c>
      <c r="Q173" t="n">
        <v>0</v>
      </c>
      <c r="R173" s="2" t="inlineStr"/>
    </row>
    <row r="174" ht="15" customHeight="1">
      <c r="A174" t="inlineStr">
        <is>
          <t>A 23685-2021</t>
        </is>
      </c>
      <c r="B174" s="1" t="n">
        <v>44334</v>
      </c>
      <c r="C174" s="1" t="n">
        <v>45761</v>
      </c>
      <c r="D174" t="inlineStr">
        <is>
          <t>DALARNAS LÄN</t>
        </is>
      </c>
      <c r="E174" t="inlineStr">
        <is>
          <t>ORSA</t>
        </is>
      </c>
      <c r="F174" t="inlineStr">
        <is>
          <t>Allmännings- och besparingsskogar</t>
        </is>
      </c>
      <c r="G174" t="n">
        <v>20.3</v>
      </c>
      <c r="H174" t="n">
        <v>0</v>
      </c>
      <c r="I174" t="n">
        <v>0</v>
      </c>
      <c r="J174" t="n">
        <v>0</v>
      </c>
      <c r="K174" t="n">
        <v>0</v>
      </c>
      <c r="L174" t="n">
        <v>0</v>
      </c>
      <c r="M174" t="n">
        <v>0</v>
      </c>
      <c r="N174" t="n">
        <v>0</v>
      </c>
      <c r="O174" t="n">
        <v>0</v>
      </c>
      <c r="P174" t="n">
        <v>0</v>
      </c>
      <c r="Q174" t="n">
        <v>0</v>
      </c>
      <c r="R174" s="2" t="inlineStr"/>
    </row>
    <row r="175" ht="15" customHeight="1">
      <c r="A175" t="inlineStr">
        <is>
          <t>A 24083-2021</t>
        </is>
      </c>
      <c r="B175" s="1" t="n">
        <v>44336</v>
      </c>
      <c r="C175" s="1" t="n">
        <v>45761</v>
      </c>
      <c r="D175" t="inlineStr">
        <is>
          <t>DALARNAS LÄN</t>
        </is>
      </c>
      <c r="E175" t="inlineStr">
        <is>
          <t>ORSA</t>
        </is>
      </c>
      <c r="G175" t="n">
        <v>2.3</v>
      </c>
      <c r="H175" t="n">
        <v>0</v>
      </c>
      <c r="I175" t="n">
        <v>0</v>
      </c>
      <c r="J175" t="n">
        <v>0</v>
      </c>
      <c r="K175" t="n">
        <v>0</v>
      </c>
      <c r="L175" t="n">
        <v>0</v>
      </c>
      <c r="M175" t="n">
        <v>0</v>
      </c>
      <c r="N175" t="n">
        <v>0</v>
      </c>
      <c r="O175" t="n">
        <v>0</v>
      </c>
      <c r="P175" t="n">
        <v>0</v>
      </c>
      <c r="Q175" t="n">
        <v>0</v>
      </c>
      <c r="R175" s="2" t="inlineStr"/>
    </row>
    <row r="176" ht="15" customHeight="1">
      <c r="A176" t="inlineStr">
        <is>
          <t>A 25761-2021</t>
        </is>
      </c>
      <c r="B176" s="1" t="n">
        <v>44343</v>
      </c>
      <c r="C176" s="1" t="n">
        <v>45761</v>
      </c>
      <c r="D176" t="inlineStr">
        <is>
          <t>DALARNAS LÄN</t>
        </is>
      </c>
      <c r="E176" t="inlineStr">
        <is>
          <t>ORSA</t>
        </is>
      </c>
      <c r="G176" t="n">
        <v>3.4</v>
      </c>
      <c r="H176" t="n">
        <v>0</v>
      </c>
      <c r="I176" t="n">
        <v>0</v>
      </c>
      <c r="J176" t="n">
        <v>0</v>
      </c>
      <c r="K176" t="n">
        <v>0</v>
      </c>
      <c r="L176" t="n">
        <v>0</v>
      </c>
      <c r="M176" t="n">
        <v>0</v>
      </c>
      <c r="N176" t="n">
        <v>0</v>
      </c>
      <c r="O176" t="n">
        <v>0</v>
      </c>
      <c r="P176" t="n">
        <v>0</v>
      </c>
      <c r="Q176" t="n">
        <v>0</v>
      </c>
      <c r="R176" s="2" t="inlineStr"/>
    </row>
    <row r="177" ht="15" customHeight="1">
      <c r="A177" t="inlineStr">
        <is>
          <t>A 26831-2021</t>
        </is>
      </c>
      <c r="B177" s="1" t="n">
        <v>44349</v>
      </c>
      <c r="C177" s="1" t="n">
        <v>45761</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27146-2021</t>
        </is>
      </c>
      <c r="B178" s="1" t="n">
        <v>44350</v>
      </c>
      <c r="C178" s="1" t="n">
        <v>45761</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27542-2021</t>
        </is>
      </c>
      <c r="B179" s="1" t="n">
        <v>44351</v>
      </c>
      <c r="C179" s="1" t="n">
        <v>45761</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27877-2021</t>
        </is>
      </c>
      <c r="B180" s="1" t="n">
        <v>44354</v>
      </c>
      <c r="C180" s="1" t="n">
        <v>45761</v>
      </c>
      <c r="D180" t="inlineStr">
        <is>
          <t>DALARNAS LÄN</t>
        </is>
      </c>
      <c r="E180" t="inlineStr">
        <is>
          <t>ORSA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28210-2021</t>
        </is>
      </c>
      <c r="B181" s="1" t="n">
        <v>44355</v>
      </c>
      <c r="C181" s="1" t="n">
        <v>45761</v>
      </c>
      <c r="D181" t="inlineStr">
        <is>
          <t>DALARNAS LÄN</t>
        </is>
      </c>
      <c r="E181" t="inlineStr">
        <is>
          <t>ORSA</t>
        </is>
      </c>
      <c r="F181" t="inlineStr">
        <is>
          <t>Bergvik skog öst AB</t>
        </is>
      </c>
      <c r="G181" t="n">
        <v>2.2</v>
      </c>
      <c r="H181" t="n">
        <v>0</v>
      </c>
      <c r="I181" t="n">
        <v>0</v>
      </c>
      <c r="J181" t="n">
        <v>0</v>
      </c>
      <c r="K181" t="n">
        <v>0</v>
      </c>
      <c r="L181" t="n">
        <v>0</v>
      </c>
      <c r="M181" t="n">
        <v>0</v>
      </c>
      <c r="N181" t="n">
        <v>0</v>
      </c>
      <c r="O181" t="n">
        <v>0</v>
      </c>
      <c r="P181" t="n">
        <v>0</v>
      </c>
      <c r="Q181" t="n">
        <v>0</v>
      </c>
      <c r="R181" s="2" t="inlineStr"/>
    </row>
    <row r="182" ht="15" customHeight="1">
      <c r="A182" t="inlineStr">
        <is>
          <t>A 28259-2021</t>
        </is>
      </c>
      <c r="B182" s="1" t="n">
        <v>44355</v>
      </c>
      <c r="C182" s="1" t="n">
        <v>45761</v>
      </c>
      <c r="D182" t="inlineStr">
        <is>
          <t>DALARNAS LÄN</t>
        </is>
      </c>
      <c r="E182" t="inlineStr">
        <is>
          <t>ORSA</t>
        </is>
      </c>
      <c r="G182" t="n">
        <v>1.2</v>
      </c>
      <c r="H182" t="n">
        <v>0</v>
      </c>
      <c r="I182" t="n">
        <v>0</v>
      </c>
      <c r="J182" t="n">
        <v>0</v>
      </c>
      <c r="K182" t="n">
        <v>0</v>
      </c>
      <c r="L182" t="n">
        <v>0</v>
      </c>
      <c r="M182" t="n">
        <v>0</v>
      </c>
      <c r="N182" t="n">
        <v>0</v>
      </c>
      <c r="O182" t="n">
        <v>0</v>
      </c>
      <c r="P182" t="n">
        <v>0</v>
      </c>
      <c r="Q182" t="n">
        <v>0</v>
      </c>
      <c r="R182" s="2" t="inlineStr"/>
    </row>
    <row r="183" ht="15" customHeight="1">
      <c r="A183" t="inlineStr">
        <is>
          <t>A 28630-2021</t>
        </is>
      </c>
      <c r="B183" s="1" t="n">
        <v>44356</v>
      </c>
      <c r="C183" s="1" t="n">
        <v>45761</v>
      </c>
      <c r="D183" t="inlineStr">
        <is>
          <t>DALARNAS LÄN</t>
        </is>
      </c>
      <c r="E183" t="inlineStr">
        <is>
          <t>ORSA</t>
        </is>
      </c>
      <c r="G183" t="n">
        <v>3.5</v>
      </c>
      <c r="H183" t="n">
        <v>0</v>
      </c>
      <c r="I183" t="n">
        <v>0</v>
      </c>
      <c r="J183" t="n">
        <v>0</v>
      </c>
      <c r="K183" t="n">
        <v>0</v>
      </c>
      <c r="L183" t="n">
        <v>0</v>
      </c>
      <c r="M183" t="n">
        <v>0</v>
      </c>
      <c r="N183" t="n">
        <v>0</v>
      </c>
      <c r="O183" t="n">
        <v>0</v>
      </c>
      <c r="P183" t="n">
        <v>0</v>
      </c>
      <c r="Q183" t="n">
        <v>0</v>
      </c>
      <c r="R183" s="2" t="inlineStr"/>
    </row>
    <row r="184" ht="15" customHeight="1">
      <c r="A184" t="inlineStr">
        <is>
          <t>A 29366-2021</t>
        </is>
      </c>
      <c r="B184" s="1" t="n">
        <v>44361</v>
      </c>
      <c r="C184" s="1" t="n">
        <v>45761</v>
      </c>
      <c r="D184" t="inlineStr">
        <is>
          <t>DALARNAS LÄN</t>
        </is>
      </c>
      <c r="E184" t="inlineStr">
        <is>
          <t>ORSA</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29555-2021</t>
        </is>
      </c>
      <c r="B185" s="1" t="n">
        <v>44361</v>
      </c>
      <c r="C185" s="1" t="n">
        <v>45761</v>
      </c>
      <c r="D185" t="inlineStr">
        <is>
          <t>DALARNAS LÄN</t>
        </is>
      </c>
      <c r="E185" t="inlineStr">
        <is>
          <t>ORSA</t>
        </is>
      </c>
      <c r="G185" t="n">
        <v>0.6</v>
      </c>
      <c r="H185" t="n">
        <v>0</v>
      </c>
      <c r="I185" t="n">
        <v>0</v>
      </c>
      <c r="J185" t="n">
        <v>0</v>
      </c>
      <c r="K185" t="n">
        <v>0</v>
      </c>
      <c r="L185" t="n">
        <v>0</v>
      </c>
      <c r="M185" t="n">
        <v>0</v>
      </c>
      <c r="N185" t="n">
        <v>0</v>
      </c>
      <c r="O185" t="n">
        <v>0</v>
      </c>
      <c r="P185" t="n">
        <v>0</v>
      </c>
      <c r="Q185" t="n">
        <v>0</v>
      </c>
      <c r="R185" s="2" t="inlineStr"/>
    </row>
    <row r="186" ht="15" customHeight="1">
      <c r="A186" t="inlineStr">
        <is>
          <t>A 29874-2021</t>
        </is>
      </c>
      <c r="B186" s="1" t="n">
        <v>44362</v>
      </c>
      <c r="C186" s="1" t="n">
        <v>45761</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30125-2021</t>
        </is>
      </c>
      <c r="B187" s="1" t="n">
        <v>44363</v>
      </c>
      <c r="C187" s="1" t="n">
        <v>45761</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31647-2021</t>
        </is>
      </c>
      <c r="B188" s="1" t="n">
        <v>44369</v>
      </c>
      <c r="C188" s="1" t="n">
        <v>45761</v>
      </c>
      <c r="D188" t="inlineStr">
        <is>
          <t>DALARNAS LÄN</t>
        </is>
      </c>
      <c r="E188" t="inlineStr">
        <is>
          <t>ORSA</t>
        </is>
      </c>
      <c r="G188" t="n">
        <v>1.4</v>
      </c>
      <c r="H188" t="n">
        <v>0</v>
      </c>
      <c r="I188" t="n">
        <v>0</v>
      </c>
      <c r="J188" t="n">
        <v>0</v>
      </c>
      <c r="K188" t="n">
        <v>0</v>
      </c>
      <c r="L188" t="n">
        <v>0</v>
      </c>
      <c r="M188" t="n">
        <v>0</v>
      </c>
      <c r="N188" t="n">
        <v>0</v>
      </c>
      <c r="O188" t="n">
        <v>0</v>
      </c>
      <c r="P188" t="n">
        <v>0</v>
      </c>
      <c r="Q188" t="n">
        <v>0</v>
      </c>
      <c r="R188" s="2" t="inlineStr"/>
    </row>
    <row r="189" ht="15" customHeight="1">
      <c r="A189" t="inlineStr">
        <is>
          <t>A 33265-2021</t>
        </is>
      </c>
      <c r="B189" s="1" t="n">
        <v>44377</v>
      </c>
      <c r="C189" s="1" t="n">
        <v>45761</v>
      </c>
      <c r="D189" t="inlineStr">
        <is>
          <t>DALARNAS LÄN</t>
        </is>
      </c>
      <c r="E189" t="inlineStr">
        <is>
          <t>ORSA</t>
        </is>
      </c>
      <c r="G189" t="n">
        <v>1.9</v>
      </c>
      <c r="H189" t="n">
        <v>0</v>
      </c>
      <c r="I189" t="n">
        <v>0</v>
      </c>
      <c r="J189" t="n">
        <v>0</v>
      </c>
      <c r="K189" t="n">
        <v>0</v>
      </c>
      <c r="L189" t="n">
        <v>0</v>
      </c>
      <c r="M189" t="n">
        <v>0</v>
      </c>
      <c r="N189" t="n">
        <v>0</v>
      </c>
      <c r="O189" t="n">
        <v>0</v>
      </c>
      <c r="P189" t="n">
        <v>0</v>
      </c>
      <c r="Q189" t="n">
        <v>0</v>
      </c>
      <c r="R189" s="2" t="inlineStr"/>
    </row>
    <row r="190" ht="15" customHeight="1">
      <c r="A190" t="inlineStr">
        <is>
          <t>A 33480-2021</t>
        </is>
      </c>
      <c r="B190" s="1" t="n">
        <v>44377</v>
      </c>
      <c r="C190" s="1" t="n">
        <v>45761</v>
      </c>
      <c r="D190" t="inlineStr">
        <is>
          <t>DALARNAS LÄN</t>
        </is>
      </c>
      <c r="E190" t="inlineStr">
        <is>
          <t>ORSA</t>
        </is>
      </c>
      <c r="F190" t="inlineStr">
        <is>
          <t>Bergvik skog öst AB</t>
        </is>
      </c>
      <c r="G190" t="n">
        <v>0.6</v>
      </c>
      <c r="H190" t="n">
        <v>0</v>
      </c>
      <c r="I190" t="n">
        <v>0</v>
      </c>
      <c r="J190" t="n">
        <v>0</v>
      </c>
      <c r="K190" t="n">
        <v>0</v>
      </c>
      <c r="L190" t="n">
        <v>0</v>
      </c>
      <c r="M190" t="n">
        <v>0</v>
      </c>
      <c r="N190" t="n">
        <v>0</v>
      </c>
      <c r="O190" t="n">
        <v>0</v>
      </c>
      <c r="P190" t="n">
        <v>0</v>
      </c>
      <c r="Q190" t="n">
        <v>0</v>
      </c>
      <c r="R190" s="2" t="inlineStr"/>
    </row>
    <row r="191" ht="15" customHeight="1">
      <c r="A191" t="inlineStr">
        <is>
          <t>A 34713-2021</t>
        </is>
      </c>
      <c r="B191" s="1" t="n">
        <v>44382</v>
      </c>
      <c r="C191" s="1" t="n">
        <v>45761</v>
      </c>
      <c r="D191" t="inlineStr">
        <is>
          <t>DALARNAS LÄN</t>
        </is>
      </c>
      <c r="E191" t="inlineStr">
        <is>
          <t>ORSA</t>
        </is>
      </c>
      <c r="G191" t="n">
        <v>0.7</v>
      </c>
      <c r="H191" t="n">
        <v>0</v>
      </c>
      <c r="I191" t="n">
        <v>0</v>
      </c>
      <c r="J191" t="n">
        <v>0</v>
      </c>
      <c r="K191" t="n">
        <v>0</v>
      </c>
      <c r="L191" t="n">
        <v>0</v>
      </c>
      <c r="M191" t="n">
        <v>0</v>
      </c>
      <c r="N191" t="n">
        <v>0</v>
      </c>
      <c r="O191" t="n">
        <v>0</v>
      </c>
      <c r="P191" t="n">
        <v>0</v>
      </c>
      <c r="Q191" t="n">
        <v>0</v>
      </c>
      <c r="R191" s="2" t="inlineStr"/>
    </row>
    <row r="192" ht="15" customHeight="1">
      <c r="A192" t="inlineStr">
        <is>
          <t>A 34708-2021</t>
        </is>
      </c>
      <c r="B192" s="1" t="n">
        <v>44382</v>
      </c>
      <c r="C192" s="1" t="n">
        <v>45761</v>
      </c>
      <c r="D192" t="inlineStr">
        <is>
          <t>DALARNAS LÄN</t>
        </is>
      </c>
      <c r="E192" t="inlineStr">
        <is>
          <t>ORSA</t>
        </is>
      </c>
      <c r="G192" t="n">
        <v>4.3</v>
      </c>
      <c r="H192" t="n">
        <v>0</v>
      </c>
      <c r="I192" t="n">
        <v>0</v>
      </c>
      <c r="J192" t="n">
        <v>0</v>
      </c>
      <c r="K192" t="n">
        <v>0</v>
      </c>
      <c r="L192" t="n">
        <v>0</v>
      </c>
      <c r="M192" t="n">
        <v>0</v>
      </c>
      <c r="N192" t="n">
        <v>0</v>
      </c>
      <c r="O192" t="n">
        <v>0</v>
      </c>
      <c r="P192" t="n">
        <v>0</v>
      </c>
      <c r="Q192" t="n">
        <v>0</v>
      </c>
      <c r="R192" s="2" t="inlineStr"/>
    </row>
    <row r="193" ht="15" customHeight="1">
      <c r="A193" t="inlineStr">
        <is>
          <t>A 36559-2021</t>
        </is>
      </c>
      <c r="B193" s="1" t="n">
        <v>44391</v>
      </c>
      <c r="C193" s="1" t="n">
        <v>45761</v>
      </c>
      <c r="D193" t="inlineStr">
        <is>
          <t>DALARNAS LÄN</t>
        </is>
      </c>
      <c r="E193" t="inlineStr">
        <is>
          <t>ORSA</t>
        </is>
      </c>
      <c r="F193" t="inlineStr">
        <is>
          <t>Bergvik skog öst AB</t>
        </is>
      </c>
      <c r="G193" t="n">
        <v>1.8</v>
      </c>
      <c r="H193" t="n">
        <v>0</v>
      </c>
      <c r="I193" t="n">
        <v>0</v>
      </c>
      <c r="J193" t="n">
        <v>0</v>
      </c>
      <c r="K193" t="n">
        <v>0</v>
      </c>
      <c r="L193" t="n">
        <v>0</v>
      </c>
      <c r="M193" t="n">
        <v>0</v>
      </c>
      <c r="N193" t="n">
        <v>0</v>
      </c>
      <c r="O193" t="n">
        <v>0</v>
      </c>
      <c r="P193" t="n">
        <v>0</v>
      </c>
      <c r="Q193" t="n">
        <v>0</v>
      </c>
      <c r="R193" s="2" t="inlineStr"/>
    </row>
    <row r="194" ht="15" customHeight="1">
      <c r="A194" t="inlineStr">
        <is>
          <t>A 36569-2021</t>
        </is>
      </c>
      <c r="B194" s="1" t="n">
        <v>44391</v>
      </c>
      <c r="C194" s="1" t="n">
        <v>45761</v>
      </c>
      <c r="D194" t="inlineStr">
        <is>
          <t>DALARNAS LÄN</t>
        </is>
      </c>
      <c r="E194" t="inlineStr">
        <is>
          <t>ORSA</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36613-2021</t>
        </is>
      </c>
      <c r="B195" s="1" t="n">
        <v>44391</v>
      </c>
      <c r="C195" s="1" t="n">
        <v>45761</v>
      </c>
      <c r="D195" t="inlineStr">
        <is>
          <t>DALARNAS LÄN</t>
        </is>
      </c>
      <c r="E195" t="inlineStr">
        <is>
          <t>ORSA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39920-2021</t>
        </is>
      </c>
      <c r="B196" s="1" t="n">
        <v>44417</v>
      </c>
      <c r="C196" s="1" t="n">
        <v>45761</v>
      </c>
      <c r="D196" t="inlineStr">
        <is>
          <t>DALARNAS LÄN</t>
        </is>
      </c>
      <c r="E196" t="inlineStr">
        <is>
          <t>ORSA</t>
        </is>
      </c>
      <c r="F196" t="inlineStr">
        <is>
          <t>Kyrkan</t>
        </is>
      </c>
      <c r="G196" t="n">
        <v>2.2</v>
      </c>
      <c r="H196" t="n">
        <v>0</v>
      </c>
      <c r="I196" t="n">
        <v>0</v>
      </c>
      <c r="J196" t="n">
        <v>0</v>
      </c>
      <c r="K196" t="n">
        <v>0</v>
      </c>
      <c r="L196" t="n">
        <v>0</v>
      </c>
      <c r="M196" t="n">
        <v>0</v>
      </c>
      <c r="N196" t="n">
        <v>0</v>
      </c>
      <c r="O196" t="n">
        <v>0</v>
      </c>
      <c r="P196" t="n">
        <v>0</v>
      </c>
      <c r="Q196" t="n">
        <v>0</v>
      </c>
      <c r="R196" s="2" t="inlineStr"/>
    </row>
    <row r="197" ht="15" customHeight="1">
      <c r="A197" t="inlineStr">
        <is>
          <t>A 41291-2021</t>
        </is>
      </c>
      <c r="B197" s="1" t="n">
        <v>44424</v>
      </c>
      <c r="C197" s="1" t="n">
        <v>45761</v>
      </c>
      <c r="D197" t="inlineStr">
        <is>
          <t>DALARNAS LÄN</t>
        </is>
      </c>
      <c r="E197" t="inlineStr">
        <is>
          <t>ORSA</t>
        </is>
      </c>
      <c r="G197" t="n">
        <v>2</v>
      </c>
      <c r="H197" t="n">
        <v>0</v>
      </c>
      <c r="I197" t="n">
        <v>0</v>
      </c>
      <c r="J197" t="n">
        <v>0</v>
      </c>
      <c r="K197" t="n">
        <v>0</v>
      </c>
      <c r="L197" t="n">
        <v>0</v>
      </c>
      <c r="M197" t="n">
        <v>0</v>
      </c>
      <c r="N197" t="n">
        <v>0</v>
      </c>
      <c r="O197" t="n">
        <v>0</v>
      </c>
      <c r="P197" t="n">
        <v>0</v>
      </c>
      <c r="Q197" t="n">
        <v>0</v>
      </c>
      <c r="R197" s="2" t="inlineStr"/>
    </row>
    <row r="198" ht="15" customHeight="1">
      <c r="A198" t="inlineStr">
        <is>
          <t>A 41295-2021</t>
        </is>
      </c>
      <c r="B198" s="1" t="n">
        <v>44424</v>
      </c>
      <c r="C198" s="1" t="n">
        <v>45761</v>
      </c>
      <c r="D198" t="inlineStr">
        <is>
          <t>DALARNAS LÄN</t>
        </is>
      </c>
      <c r="E198" t="inlineStr">
        <is>
          <t>ORSA</t>
        </is>
      </c>
      <c r="G198" t="n">
        <v>3.1</v>
      </c>
      <c r="H198" t="n">
        <v>0</v>
      </c>
      <c r="I198" t="n">
        <v>0</v>
      </c>
      <c r="J198" t="n">
        <v>0</v>
      </c>
      <c r="K198" t="n">
        <v>0</v>
      </c>
      <c r="L198" t="n">
        <v>0</v>
      </c>
      <c r="M198" t="n">
        <v>0</v>
      </c>
      <c r="N198" t="n">
        <v>0</v>
      </c>
      <c r="O198" t="n">
        <v>0</v>
      </c>
      <c r="P198" t="n">
        <v>0</v>
      </c>
      <c r="Q198" t="n">
        <v>0</v>
      </c>
      <c r="R198" s="2" t="inlineStr"/>
    </row>
    <row r="199" ht="15" customHeight="1">
      <c r="A199" t="inlineStr">
        <is>
          <t>A 41425-2021</t>
        </is>
      </c>
      <c r="B199" s="1" t="n">
        <v>44424</v>
      </c>
      <c r="C199" s="1" t="n">
        <v>45761</v>
      </c>
      <c r="D199" t="inlineStr">
        <is>
          <t>DALARNAS LÄN</t>
        </is>
      </c>
      <c r="E199" t="inlineStr">
        <is>
          <t>ORSA</t>
        </is>
      </c>
      <c r="G199" t="n">
        <v>0.4</v>
      </c>
      <c r="H199" t="n">
        <v>0</v>
      </c>
      <c r="I199" t="n">
        <v>0</v>
      </c>
      <c r="J199" t="n">
        <v>0</v>
      </c>
      <c r="K199" t="n">
        <v>0</v>
      </c>
      <c r="L199" t="n">
        <v>0</v>
      </c>
      <c r="M199" t="n">
        <v>0</v>
      </c>
      <c r="N199" t="n">
        <v>0</v>
      </c>
      <c r="O199" t="n">
        <v>0</v>
      </c>
      <c r="P199" t="n">
        <v>0</v>
      </c>
      <c r="Q199" t="n">
        <v>0</v>
      </c>
      <c r="R199" s="2" t="inlineStr"/>
    </row>
    <row r="200" ht="15" customHeight="1">
      <c r="A200" t="inlineStr">
        <is>
          <t>A 43391-2021</t>
        </is>
      </c>
      <c r="B200" s="1" t="n">
        <v>44432</v>
      </c>
      <c r="C200" s="1" t="n">
        <v>45761</v>
      </c>
      <c r="D200" t="inlineStr">
        <is>
          <t>DALARNAS LÄN</t>
        </is>
      </c>
      <c r="E200" t="inlineStr">
        <is>
          <t>ORSA</t>
        </is>
      </c>
      <c r="F200" t="inlineStr">
        <is>
          <t>Bergvik skog öst AB</t>
        </is>
      </c>
      <c r="G200" t="n">
        <v>6.8</v>
      </c>
      <c r="H200" t="n">
        <v>0</v>
      </c>
      <c r="I200" t="n">
        <v>0</v>
      </c>
      <c r="J200" t="n">
        <v>0</v>
      </c>
      <c r="K200" t="n">
        <v>0</v>
      </c>
      <c r="L200" t="n">
        <v>0</v>
      </c>
      <c r="M200" t="n">
        <v>0</v>
      </c>
      <c r="N200" t="n">
        <v>0</v>
      </c>
      <c r="O200" t="n">
        <v>0</v>
      </c>
      <c r="P200" t="n">
        <v>0</v>
      </c>
      <c r="Q200" t="n">
        <v>0</v>
      </c>
      <c r="R200" s="2" t="inlineStr"/>
    </row>
    <row r="201" ht="15" customHeight="1">
      <c r="A201" t="inlineStr">
        <is>
          <t>A 47126-2021</t>
        </is>
      </c>
      <c r="B201" s="1" t="n">
        <v>44446</v>
      </c>
      <c r="C201" s="1" t="n">
        <v>45761</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47732-2021</t>
        </is>
      </c>
      <c r="B202" s="1" t="n">
        <v>44448</v>
      </c>
      <c r="C202" s="1" t="n">
        <v>45761</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47778-2021</t>
        </is>
      </c>
      <c r="B203" s="1" t="n">
        <v>44448</v>
      </c>
      <c r="C203" s="1" t="n">
        <v>45761</v>
      </c>
      <c r="D203" t="inlineStr">
        <is>
          <t>DALARNAS LÄN</t>
        </is>
      </c>
      <c r="E203" t="inlineStr">
        <is>
          <t>ORSA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49028-2021</t>
        </is>
      </c>
      <c r="B204" s="1" t="n">
        <v>44453</v>
      </c>
      <c r="C204" s="1" t="n">
        <v>45761</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49004-2021</t>
        </is>
      </c>
      <c r="B205" s="1" t="n">
        <v>44453</v>
      </c>
      <c r="C205" s="1" t="n">
        <v>45761</v>
      </c>
      <c r="D205" t="inlineStr">
        <is>
          <t>DALARNAS LÄN</t>
        </is>
      </c>
      <c r="E205" t="inlineStr">
        <is>
          <t>ORSA</t>
        </is>
      </c>
      <c r="G205" t="n">
        <v>0.9</v>
      </c>
      <c r="H205" t="n">
        <v>0</v>
      </c>
      <c r="I205" t="n">
        <v>0</v>
      </c>
      <c r="J205" t="n">
        <v>0</v>
      </c>
      <c r="K205" t="n">
        <v>0</v>
      </c>
      <c r="L205" t="n">
        <v>0</v>
      </c>
      <c r="M205" t="n">
        <v>0</v>
      </c>
      <c r="N205" t="n">
        <v>0</v>
      </c>
      <c r="O205" t="n">
        <v>0</v>
      </c>
      <c r="P205" t="n">
        <v>0</v>
      </c>
      <c r="Q205" t="n">
        <v>0</v>
      </c>
      <c r="R205" s="2" t="inlineStr"/>
    </row>
    <row r="206" ht="15" customHeight="1">
      <c r="A206" t="inlineStr">
        <is>
          <t>A 49533-2021</t>
        </is>
      </c>
      <c r="B206" s="1" t="n">
        <v>44455</v>
      </c>
      <c r="C206" s="1" t="n">
        <v>45761</v>
      </c>
      <c r="D206" t="inlineStr">
        <is>
          <t>DALARNAS LÄN</t>
        </is>
      </c>
      <c r="E206" t="inlineStr">
        <is>
          <t>ORSA</t>
        </is>
      </c>
      <c r="F206" t="inlineStr">
        <is>
          <t>Allmännings- och besparingsskogar</t>
        </is>
      </c>
      <c r="G206" t="n">
        <v>22.2</v>
      </c>
      <c r="H206" t="n">
        <v>0</v>
      </c>
      <c r="I206" t="n">
        <v>0</v>
      </c>
      <c r="J206" t="n">
        <v>0</v>
      </c>
      <c r="K206" t="n">
        <v>0</v>
      </c>
      <c r="L206" t="n">
        <v>0</v>
      </c>
      <c r="M206" t="n">
        <v>0</v>
      </c>
      <c r="N206" t="n">
        <v>0</v>
      </c>
      <c r="O206" t="n">
        <v>0</v>
      </c>
      <c r="P206" t="n">
        <v>0</v>
      </c>
      <c r="Q206" t="n">
        <v>0</v>
      </c>
      <c r="R206" s="2" t="inlineStr"/>
    </row>
    <row r="207" ht="15" customHeight="1">
      <c r="A207" t="inlineStr">
        <is>
          <t>A 50297-2021</t>
        </is>
      </c>
      <c r="B207" s="1" t="n">
        <v>44459</v>
      </c>
      <c r="C207" s="1" t="n">
        <v>45761</v>
      </c>
      <c r="D207" t="inlineStr">
        <is>
          <t>DALARNAS LÄN</t>
        </is>
      </c>
      <c r="E207" t="inlineStr">
        <is>
          <t>ORSA</t>
        </is>
      </c>
      <c r="G207" t="n">
        <v>0.6</v>
      </c>
      <c r="H207" t="n">
        <v>0</v>
      </c>
      <c r="I207" t="n">
        <v>0</v>
      </c>
      <c r="J207" t="n">
        <v>0</v>
      </c>
      <c r="K207" t="n">
        <v>0</v>
      </c>
      <c r="L207" t="n">
        <v>0</v>
      </c>
      <c r="M207" t="n">
        <v>0</v>
      </c>
      <c r="N207" t="n">
        <v>0</v>
      </c>
      <c r="O207" t="n">
        <v>0</v>
      </c>
      <c r="P207" t="n">
        <v>0</v>
      </c>
      <c r="Q207" t="n">
        <v>0</v>
      </c>
      <c r="R207" s="2" t="inlineStr"/>
    </row>
    <row r="208" ht="15" customHeight="1">
      <c r="A208" t="inlineStr">
        <is>
          <t>A 50843-2021</t>
        </is>
      </c>
      <c r="B208" s="1" t="n">
        <v>44460</v>
      </c>
      <c r="C208" s="1" t="n">
        <v>45761</v>
      </c>
      <c r="D208" t="inlineStr">
        <is>
          <t>DALARNAS LÄN</t>
        </is>
      </c>
      <c r="E208" t="inlineStr">
        <is>
          <t>ORSA</t>
        </is>
      </c>
      <c r="G208" t="n">
        <v>2.5</v>
      </c>
      <c r="H208" t="n">
        <v>0</v>
      </c>
      <c r="I208" t="n">
        <v>0</v>
      </c>
      <c r="J208" t="n">
        <v>0</v>
      </c>
      <c r="K208" t="n">
        <v>0</v>
      </c>
      <c r="L208" t="n">
        <v>0</v>
      </c>
      <c r="M208" t="n">
        <v>0</v>
      </c>
      <c r="N208" t="n">
        <v>0</v>
      </c>
      <c r="O208" t="n">
        <v>0</v>
      </c>
      <c r="P208" t="n">
        <v>0</v>
      </c>
      <c r="Q208" t="n">
        <v>0</v>
      </c>
      <c r="R208" s="2" t="inlineStr"/>
    </row>
    <row r="209" ht="15" customHeight="1">
      <c r="A209" t="inlineStr">
        <is>
          <t>A 50779-2021</t>
        </is>
      </c>
      <c r="B209" s="1" t="n">
        <v>44460</v>
      </c>
      <c r="C209" s="1" t="n">
        <v>45761</v>
      </c>
      <c r="D209" t="inlineStr">
        <is>
          <t>DALARNAS LÄN</t>
        </is>
      </c>
      <c r="E209" t="inlineStr">
        <is>
          <t>ORSA</t>
        </is>
      </c>
      <c r="G209" t="n">
        <v>2.2</v>
      </c>
      <c r="H209" t="n">
        <v>0</v>
      </c>
      <c r="I209" t="n">
        <v>0</v>
      </c>
      <c r="J209" t="n">
        <v>0</v>
      </c>
      <c r="K209" t="n">
        <v>0</v>
      </c>
      <c r="L209" t="n">
        <v>0</v>
      </c>
      <c r="M209" t="n">
        <v>0</v>
      </c>
      <c r="N209" t="n">
        <v>0</v>
      </c>
      <c r="O209" t="n">
        <v>0</v>
      </c>
      <c r="P209" t="n">
        <v>0</v>
      </c>
      <c r="Q209" t="n">
        <v>0</v>
      </c>
      <c r="R209" s="2" t="inlineStr"/>
    </row>
    <row r="210" ht="15" customHeight="1">
      <c r="A210" t="inlineStr">
        <is>
          <t>A 50905-2021</t>
        </is>
      </c>
      <c r="B210" s="1" t="n">
        <v>44460</v>
      </c>
      <c r="C210" s="1" t="n">
        <v>45761</v>
      </c>
      <c r="D210" t="inlineStr">
        <is>
          <t>DALARNAS LÄN</t>
        </is>
      </c>
      <c r="E210" t="inlineStr">
        <is>
          <t>ORSA</t>
        </is>
      </c>
      <c r="G210" t="n">
        <v>2.1</v>
      </c>
      <c r="H210" t="n">
        <v>0</v>
      </c>
      <c r="I210" t="n">
        <v>0</v>
      </c>
      <c r="J210" t="n">
        <v>0</v>
      </c>
      <c r="K210" t="n">
        <v>0</v>
      </c>
      <c r="L210" t="n">
        <v>0</v>
      </c>
      <c r="M210" t="n">
        <v>0</v>
      </c>
      <c r="N210" t="n">
        <v>0</v>
      </c>
      <c r="O210" t="n">
        <v>0</v>
      </c>
      <c r="P210" t="n">
        <v>0</v>
      </c>
      <c r="Q210" t="n">
        <v>0</v>
      </c>
      <c r="R210" s="2" t="inlineStr"/>
    </row>
    <row r="211" ht="15" customHeight="1">
      <c r="A211" t="inlineStr">
        <is>
          <t>A 51001-2021</t>
        </is>
      </c>
      <c r="B211" s="1" t="n">
        <v>44460</v>
      </c>
      <c r="C211" s="1" t="n">
        <v>45761</v>
      </c>
      <c r="D211" t="inlineStr">
        <is>
          <t>DALARNAS LÄN</t>
        </is>
      </c>
      <c r="E211" t="inlineStr">
        <is>
          <t>ORSA</t>
        </is>
      </c>
      <c r="G211" t="n">
        <v>2.6</v>
      </c>
      <c r="H211" t="n">
        <v>0</v>
      </c>
      <c r="I211" t="n">
        <v>0</v>
      </c>
      <c r="J211" t="n">
        <v>0</v>
      </c>
      <c r="K211" t="n">
        <v>0</v>
      </c>
      <c r="L211" t="n">
        <v>0</v>
      </c>
      <c r="M211" t="n">
        <v>0</v>
      </c>
      <c r="N211" t="n">
        <v>0</v>
      </c>
      <c r="O211" t="n">
        <v>0</v>
      </c>
      <c r="P211" t="n">
        <v>0</v>
      </c>
      <c r="Q211" t="n">
        <v>0</v>
      </c>
      <c r="R211" s="2" t="inlineStr"/>
    </row>
    <row r="212" ht="15" customHeight="1">
      <c r="A212" t="inlineStr">
        <is>
          <t>A 50999-2021</t>
        </is>
      </c>
      <c r="B212" s="1" t="n">
        <v>44460</v>
      </c>
      <c r="C212" s="1" t="n">
        <v>45761</v>
      </c>
      <c r="D212" t="inlineStr">
        <is>
          <t>DALARNAS LÄN</t>
        </is>
      </c>
      <c r="E212" t="inlineStr">
        <is>
          <t>ORSA</t>
        </is>
      </c>
      <c r="G212" t="n">
        <v>3</v>
      </c>
      <c r="H212" t="n">
        <v>0</v>
      </c>
      <c r="I212" t="n">
        <v>0</v>
      </c>
      <c r="J212" t="n">
        <v>0</v>
      </c>
      <c r="K212" t="n">
        <v>0</v>
      </c>
      <c r="L212" t="n">
        <v>0</v>
      </c>
      <c r="M212" t="n">
        <v>0</v>
      </c>
      <c r="N212" t="n">
        <v>0</v>
      </c>
      <c r="O212" t="n">
        <v>0</v>
      </c>
      <c r="P212" t="n">
        <v>0</v>
      </c>
      <c r="Q212" t="n">
        <v>0</v>
      </c>
      <c r="R212" s="2" t="inlineStr"/>
    </row>
    <row r="213" ht="15" customHeight="1">
      <c r="A213" t="inlineStr">
        <is>
          <t>A 51277-2021</t>
        </is>
      </c>
      <c r="B213" s="1" t="n">
        <v>44461</v>
      </c>
      <c r="C213" s="1" t="n">
        <v>45761</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51278-2021</t>
        </is>
      </c>
      <c r="B214" s="1" t="n">
        <v>44461</v>
      </c>
      <c r="C214" s="1" t="n">
        <v>45761</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52542-2021</t>
        </is>
      </c>
      <c r="B215" s="1" t="n">
        <v>44466</v>
      </c>
      <c r="C215" s="1" t="n">
        <v>45761</v>
      </c>
      <c r="D215" t="inlineStr">
        <is>
          <t>DALARNAS LÄN</t>
        </is>
      </c>
      <c r="E215" t="inlineStr">
        <is>
          <t>ORSA</t>
        </is>
      </c>
      <c r="G215" t="n">
        <v>0.3</v>
      </c>
      <c r="H215" t="n">
        <v>0</v>
      </c>
      <c r="I215" t="n">
        <v>0</v>
      </c>
      <c r="J215" t="n">
        <v>0</v>
      </c>
      <c r="K215" t="n">
        <v>0</v>
      </c>
      <c r="L215" t="n">
        <v>0</v>
      </c>
      <c r="M215" t="n">
        <v>0</v>
      </c>
      <c r="N215" t="n">
        <v>0</v>
      </c>
      <c r="O215" t="n">
        <v>0</v>
      </c>
      <c r="P215" t="n">
        <v>0</v>
      </c>
      <c r="Q215" t="n">
        <v>0</v>
      </c>
      <c r="R215" s="2" t="inlineStr"/>
    </row>
    <row r="216" ht="15" customHeight="1">
      <c r="A216" t="inlineStr">
        <is>
          <t>A 52574-2021</t>
        </is>
      </c>
      <c r="B216" s="1" t="n">
        <v>44466</v>
      </c>
      <c r="C216" s="1" t="n">
        <v>45761</v>
      </c>
      <c r="D216" t="inlineStr">
        <is>
          <t>DALARNAS LÄN</t>
        </is>
      </c>
      <c r="E216" t="inlineStr">
        <is>
          <t>ORSA</t>
        </is>
      </c>
      <c r="G216" t="n">
        <v>1</v>
      </c>
      <c r="H216" t="n">
        <v>0</v>
      </c>
      <c r="I216" t="n">
        <v>0</v>
      </c>
      <c r="J216" t="n">
        <v>0</v>
      </c>
      <c r="K216" t="n">
        <v>0</v>
      </c>
      <c r="L216" t="n">
        <v>0</v>
      </c>
      <c r="M216" t="n">
        <v>0</v>
      </c>
      <c r="N216" t="n">
        <v>0</v>
      </c>
      <c r="O216" t="n">
        <v>0</v>
      </c>
      <c r="P216" t="n">
        <v>0</v>
      </c>
      <c r="Q216" t="n">
        <v>0</v>
      </c>
      <c r="R216" s="2" t="inlineStr"/>
    </row>
    <row r="217" ht="15" customHeight="1">
      <c r="A217" t="inlineStr">
        <is>
          <t>A 53102-2021</t>
        </is>
      </c>
      <c r="B217" s="1" t="n">
        <v>44467</v>
      </c>
      <c r="C217" s="1" t="n">
        <v>45761</v>
      </c>
      <c r="D217" t="inlineStr">
        <is>
          <t>DALARNAS LÄN</t>
        </is>
      </c>
      <c r="E217" t="inlineStr">
        <is>
          <t>ORSA</t>
        </is>
      </c>
      <c r="G217" t="n">
        <v>1.4</v>
      </c>
      <c r="H217" t="n">
        <v>0</v>
      </c>
      <c r="I217" t="n">
        <v>0</v>
      </c>
      <c r="J217" t="n">
        <v>0</v>
      </c>
      <c r="K217" t="n">
        <v>0</v>
      </c>
      <c r="L217" t="n">
        <v>0</v>
      </c>
      <c r="M217" t="n">
        <v>0</v>
      </c>
      <c r="N217" t="n">
        <v>0</v>
      </c>
      <c r="O217" t="n">
        <v>0</v>
      </c>
      <c r="P217" t="n">
        <v>0</v>
      </c>
      <c r="Q217" t="n">
        <v>0</v>
      </c>
      <c r="R217" s="2" t="inlineStr"/>
    </row>
    <row r="218" ht="15" customHeight="1">
      <c r="A218" t="inlineStr">
        <is>
          <t>A 53104-2021</t>
        </is>
      </c>
      <c r="B218" s="1" t="n">
        <v>44467</v>
      </c>
      <c r="C218" s="1" t="n">
        <v>45761</v>
      </c>
      <c r="D218" t="inlineStr">
        <is>
          <t>DALARNAS LÄN</t>
        </is>
      </c>
      <c r="E218" t="inlineStr">
        <is>
          <t>ORSA</t>
        </is>
      </c>
      <c r="G218" t="n">
        <v>1.2</v>
      </c>
      <c r="H218" t="n">
        <v>0</v>
      </c>
      <c r="I218" t="n">
        <v>0</v>
      </c>
      <c r="J218" t="n">
        <v>0</v>
      </c>
      <c r="K218" t="n">
        <v>0</v>
      </c>
      <c r="L218" t="n">
        <v>0</v>
      </c>
      <c r="M218" t="n">
        <v>0</v>
      </c>
      <c r="N218" t="n">
        <v>0</v>
      </c>
      <c r="O218" t="n">
        <v>0</v>
      </c>
      <c r="P218" t="n">
        <v>0</v>
      </c>
      <c r="Q218" t="n">
        <v>0</v>
      </c>
      <c r="R218" s="2" t="inlineStr"/>
    </row>
    <row r="219" ht="15" customHeight="1">
      <c r="A219" t="inlineStr">
        <is>
          <t>A 53106-2021</t>
        </is>
      </c>
      <c r="B219" s="1" t="n">
        <v>44468</v>
      </c>
      <c r="C219" s="1" t="n">
        <v>45761</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53740-2021</t>
        </is>
      </c>
      <c r="B220" s="1" t="n">
        <v>44469</v>
      </c>
      <c r="C220" s="1" t="n">
        <v>45761</v>
      </c>
      <c r="D220" t="inlineStr">
        <is>
          <t>DALARNAS LÄN</t>
        </is>
      </c>
      <c r="E220" t="inlineStr">
        <is>
          <t>ORSA</t>
        </is>
      </c>
      <c r="G220" t="n">
        <v>1.1</v>
      </c>
      <c r="H220" t="n">
        <v>0</v>
      </c>
      <c r="I220" t="n">
        <v>0</v>
      </c>
      <c r="J220" t="n">
        <v>0</v>
      </c>
      <c r="K220" t="n">
        <v>0</v>
      </c>
      <c r="L220" t="n">
        <v>0</v>
      </c>
      <c r="M220" t="n">
        <v>0</v>
      </c>
      <c r="N220" t="n">
        <v>0</v>
      </c>
      <c r="O220" t="n">
        <v>0</v>
      </c>
      <c r="P220" t="n">
        <v>0</v>
      </c>
      <c r="Q220" t="n">
        <v>0</v>
      </c>
      <c r="R220" s="2" t="inlineStr"/>
    </row>
    <row r="221" ht="15" customHeight="1">
      <c r="A221" t="inlineStr">
        <is>
          <t>A 53745-2021</t>
        </is>
      </c>
      <c r="B221" s="1" t="n">
        <v>44469</v>
      </c>
      <c r="C221" s="1" t="n">
        <v>45761</v>
      </c>
      <c r="D221" t="inlineStr">
        <is>
          <t>DALARNAS LÄN</t>
        </is>
      </c>
      <c r="E221" t="inlineStr">
        <is>
          <t>ORSA</t>
        </is>
      </c>
      <c r="G221" t="n">
        <v>1.8</v>
      </c>
      <c r="H221" t="n">
        <v>0</v>
      </c>
      <c r="I221" t="n">
        <v>0</v>
      </c>
      <c r="J221" t="n">
        <v>0</v>
      </c>
      <c r="K221" t="n">
        <v>0</v>
      </c>
      <c r="L221" t="n">
        <v>0</v>
      </c>
      <c r="M221" t="n">
        <v>0</v>
      </c>
      <c r="N221" t="n">
        <v>0</v>
      </c>
      <c r="O221" t="n">
        <v>0</v>
      </c>
      <c r="P221" t="n">
        <v>0</v>
      </c>
      <c r="Q221" t="n">
        <v>0</v>
      </c>
      <c r="R221" s="2" t="inlineStr"/>
    </row>
    <row r="222" ht="15" customHeight="1">
      <c r="A222" t="inlineStr">
        <is>
          <t>A 54760-2021</t>
        </is>
      </c>
      <c r="B222" s="1" t="n">
        <v>44474</v>
      </c>
      <c r="C222" s="1" t="n">
        <v>45761</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55354-2021</t>
        </is>
      </c>
      <c r="B223" s="1" t="n">
        <v>44475</v>
      </c>
      <c r="C223" s="1" t="n">
        <v>45761</v>
      </c>
      <c r="D223" t="inlineStr">
        <is>
          <t>DALARNAS LÄN</t>
        </is>
      </c>
      <c r="E223" t="inlineStr">
        <is>
          <t>ORSA</t>
        </is>
      </c>
      <c r="G223" t="n">
        <v>0.8</v>
      </c>
      <c r="H223" t="n">
        <v>0</v>
      </c>
      <c r="I223" t="n">
        <v>0</v>
      </c>
      <c r="J223" t="n">
        <v>0</v>
      </c>
      <c r="K223" t="n">
        <v>0</v>
      </c>
      <c r="L223" t="n">
        <v>0</v>
      </c>
      <c r="M223" t="n">
        <v>0</v>
      </c>
      <c r="N223" t="n">
        <v>0</v>
      </c>
      <c r="O223" t="n">
        <v>0</v>
      </c>
      <c r="P223" t="n">
        <v>0</v>
      </c>
      <c r="Q223" t="n">
        <v>0</v>
      </c>
      <c r="R223" s="2" t="inlineStr"/>
    </row>
    <row r="224" ht="15" customHeight="1">
      <c r="A224" t="inlineStr">
        <is>
          <t>A 56162-2021</t>
        </is>
      </c>
      <c r="B224" s="1" t="n">
        <v>44477</v>
      </c>
      <c r="C224" s="1" t="n">
        <v>45761</v>
      </c>
      <c r="D224" t="inlineStr">
        <is>
          <t>DALARNAS LÄN</t>
        </is>
      </c>
      <c r="E224" t="inlineStr">
        <is>
          <t>ORSA</t>
        </is>
      </c>
      <c r="G224" t="n">
        <v>0.6</v>
      </c>
      <c r="H224" t="n">
        <v>0</v>
      </c>
      <c r="I224" t="n">
        <v>0</v>
      </c>
      <c r="J224" t="n">
        <v>0</v>
      </c>
      <c r="K224" t="n">
        <v>0</v>
      </c>
      <c r="L224" t="n">
        <v>0</v>
      </c>
      <c r="M224" t="n">
        <v>0</v>
      </c>
      <c r="N224" t="n">
        <v>0</v>
      </c>
      <c r="O224" t="n">
        <v>0</v>
      </c>
      <c r="P224" t="n">
        <v>0</v>
      </c>
      <c r="Q224" t="n">
        <v>0</v>
      </c>
      <c r="R224" s="2" t="inlineStr"/>
    </row>
    <row r="225" ht="15" customHeight="1">
      <c r="A225" t="inlineStr">
        <is>
          <t>A 56711-2021</t>
        </is>
      </c>
      <c r="B225" s="1" t="n">
        <v>44481</v>
      </c>
      <c r="C225" s="1" t="n">
        <v>45761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56706-2021</t>
        </is>
      </c>
      <c r="B226" s="1" t="n">
        <v>44481</v>
      </c>
      <c r="C226" s="1" t="n">
        <v>45761</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57271-2021</t>
        </is>
      </c>
      <c r="B227" s="1" t="n">
        <v>44483</v>
      </c>
      <c r="C227" s="1" t="n">
        <v>45761</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57685-2021</t>
        </is>
      </c>
      <c r="B228" s="1" t="n">
        <v>44484</v>
      </c>
      <c r="C228" s="1" t="n">
        <v>45761</v>
      </c>
      <c r="D228" t="inlineStr">
        <is>
          <t>DALARNAS LÄN</t>
        </is>
      </c>
      <c r="E228" t="inlineStr">
        <is>
          <t>ORSA</t>
        </is>
      </c>
      <c r="G228" t="n">
        <v>4.1</v>
      </c>
      <c r="H228" t="n">
        <v>0</v>
      </c>
      <c r="I228" t="n">
        <v>0</v>
      </c>
      <c r="J228" t="n">
        <v>0</v>
      </c>
      <c r="K228" t="n">
        <v>0</v>
      </c>
      <c r="L228" t="n">
        <v>0</v>
      </c>
      <c r="M228" t="n">
        <v>0</v>
      </c>
      <c r="N228" t="n">
        <v>0</v>
      </c>
      <c r="O228" t="n">
        <v>0</v>
      </c>
      <c r="P228" t="n">
        <v>0</v>
      </c>
      <c r="Q228" t="n">
        <v>0</v>
      </c>
      <c r="R228" s="2" t="inlineStr"/>
    </row>
    <row r="229" ht="15" customHeight="1">
      <c r="A229" t="inlineStr">
        <is>
          <t>A 59868-2021</t>
        </is>
      </c>
      <c r="B229" s="1" t="n">
        <v>44494</v>
      </c>
      <c r="C229" s="1" t="n">
        <v>45761</v>
      </c>
      <c r="D229" t="inlineStr">
        <is>
          <t>DALARNAS LÄN</t>
        </is>
      </c>
      <c r="E229" t="inlineStr">
        <is>
          <t>ORSA</t>
        </is>
      </c>
      <c r="G229" t="n">
        <v>4.3</v>
      </c>
      <c r="H229" t="n">
        <v>0</v>
      </c>
      <c r="I229" t="n">
        <v>0</v>
      </c>
      <c r="J229" t="n">
        <v>0</v>
      </c>
      <c r="K229" t="n">
        <v>0</v>
      </c>
      <c r="L229" t="n">
        <v>0</v>
      </c>
      <c r="M229" t="n">
        <v>0</v>
      </c>
      <c r="N229" t="n">
        <v>0</v>
      </c>
      <c r="O229" t="n">
        <v>0</v>
      </c>
      <c r="P229" t="n">
        <v>0</v>
      </c>
      <c r="Q229" t="n">
        <v>0</v>
      </c>
      <c r="R229" s="2" t="inlineStr"/>
    </row>
    <row r="230" ht="15" customHeight="1">
      <c r="A230" t="inlineStr">
        <is>
          <t>A 60391-2021</t>
        </is>
      </c>
      <c r="B230" s="1" t="n">
        <v>44496</v>
      </c>
      <c r="C230" s="1" t="n">
        <v>45761</v>
      </c>
      <c r="D230" t="inlineStr">
        <is>
          <t>DALARNAS LÄN</t>
        </is>
      </c>
      <c r="E230" t="inlineStr">
        <is>
          <t>ORSA</t>
        </is>
      </c>
      <c r="G230" t="n">
        <v>1.3</v>
      </c>
      <c r="H230" t="n">
        <v>0</v>
      </c>
      <c r="I230" t="n">
        <v>0</v>
      </c>
      <c r="J230" t="n">
        <v>0</v>
      </c>
      <c r="K230" t="n">
        <v>0</v>
      </c>
      <c r="L230" t="n">
        <v>0</v>
      </c>
      <c r="M230" t="n">
        <v>0</v>
      </c>
      <c r="N230" t="n">
        <v>0</v>
      </c>
      <c r="O230" t="n">
        <v>0</v>
      </c>
      <c r="P230" t="n">
        <v>0</v>
      </c>
      <c r="Q230" t="n">
        <v>0</v>
      </c>
      <c r="R230" s="2" t="inlineStr"/>
    </row>
    <row r="231" ht="15" customHeight="1">
      <c r="A231" t="inlineStr">
        <is>
          <t>A 61005-2021</t>
        </is>
      </c>
      <c r="B231" s="1" t="n">
        <v>44497</v>
      </c>
      <c r="C231" s="1" t="n">
        <v>45761</v>
      </c>
      <c r="D231" t="inlineStr">
        <is>
          <t>DALARNAS LÄN</t>
        </is>
      </c>
      <c r="E231" t="inlineStr">
        <is>
          <t>ORSA</t>
        </is>
      </c>
      <c r="G231" t="n">
        <v>1.4</v>
      </c>
      <c r="H231" t="n">
        <v>0</v>
      </c>
      <c r="I231" t="n">
        <v>0</v>
      </c>
      <c r="J231" t="n">
        <v>0</v>
      </c>
      <c r="K231" t="n">
        <v>0</v>
      </c>
      <c r="L231" t="n">
        <v>0</v>
      </c>
      <c r="M231" t="n">
        <v>0</v>
      </c>
      <c r="N231" t="n">
        <v>0</v>
      </c>
      <c r="O231" t="n">
        <v>0</v>
      </c>
      <c r="P231" t="n">
        <v>0</v>
      </c>
      <c r="Q231" t="n">
        <v>0</v>
      </c>
      <c r="R231" s="2" t="inlineStr"/>
    </row>
    <row r="232" ht="15" customHeight="1">
      <c r="A232" t="inlineStr">
        <is>
          <t>A 60827-2021</t>
        </is>
      </c>
      <c r="B232" s="1" t="n">
        <v>44497</v>
      </c>
      <c r="C232" s="1" t="n">
        <v>45761</v>
      </c>
      <c r="D232" t="inlineStr">
        <is>
          <t>DALARNAS LÄN</t>
        </is>
      </c>
      <c r="E232" t="inlineStr">
        <is>
          <t>ORSA</t>
        </is>
      </c>
      <c r="F232" t="inlineStr">
        <is>
          <t>Bergvik skog öst AB</t>
        </is>
      </c>
      <c r="G232" t="n">
        <v>0.7</v>
      </c>
      <c r="H232" t="n">
        <v>0</v>
      </c>
      <c r="I232" t="n">
        <v>0</v>
      </c>
      <c r="J232" t="n">
        <v>0</v>
      </c>
      <c r="K232" t="n">
        <v>0</v>
      </c>
      <c r="L232" t="n">
        <v>0</v>
      </c>
      <c r="M232" t="n">
        <v>0</v>
      </c>
      <c r="N232" t="n">
        <v>0</v>
      </c>
      <c r="O232" t="n">
        <v>0</v>
      </c>
      <c r="P232" t="n">
        <v>0</v>
      </c>
      <c r="Q232" t="n">
        <v>0</v>
      </c>
      <c r="R232" s="2" t="inlineStr"/>
    </row>
    <row r="233" ht="15" customHeight="1">
      <c r="A233" t="inlineStr">
        <is>
          <t>A 61000-2021</t>
        </is>
      </c>
      <c r="B233" s="1" t="n">
        <v>44497</v>
      </c>
      <c r="C233" s="1" t="n">
        <v>45761</v>
      </c>
      <c r="D233" t="inlineStr">
        <is>
          <t>DALARNAS LÄN</t>
        </is>
      </c>
      <c r="E233" t="inlineStr">
        <is>
          <t>ORSA</t>
        </is>
      </c>
      <c r="G233" t="n">
        <v>4.4</v>
      </c>
      <c r="H233" t="n">
        <v>0</v>
      </c>
      <c r="I233" t="n">
        <v>0</v>
      </c>
      <c r="J233" t="n">
        <v>0</v>
      </c>
      <c r="K233" t="n">
        <v>0</v>
      </c>
      <c r="L233" t="n">
        <v>0</v>
      </c>
      <c r="M233" t="n">
        <v>0</v>
      </c>
      <c r="N233" t="n">
        <v>0</v>
      </c>
      <c r="O233" t="n">
        <v>0</v>
      </c>
      <c r="P233" t="n">
        <v>0</v>
      </c>
      <c r="Q233" t="n">
        <v>0</v>
      </c>
      <c r="R233" s="2" t="inlineStr"/>
    </row>
    <row r="234" ht="15" customHeight="1">
      <c r="A234" t="inlineStr">
        <is>
          <t>A 62370-2021</t>
        </is>
      </c>
      <c r="B234" s="1" t="n">
        <v>44503</v>
      </c>
      <c r="C234" s="1" t="n">
        <v>45761</v>
      </c>
      <c r="D234" t="inlineStr">
        <is>
          <t>DALARNAS LÄN</t>
        </is>
      </c>
      <c r="E234" t="inlineStr">
        <is>
          <t>ORSA</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64776-2021</t>
        </is>
      </c>
      <c r="B235" s="1" t="n">
        <v>44512</v>
      </c>
      <c r="C235" s="1" t="n">
        <v>45761</v>
      </c>
      <c r="D235" t="inlineStr">
        <is>
          <t>DALARNAS LÄN</t>
        </is>
      </c>
      <c r="E235" t="inlineStr">
        <is>
          <t>ORSA</t>
        </is>
      </c>
      <c r="G235" t="n">
        <v>1.7</v>
      </c>
      <c r="H235" t="n">
        <v>0</v>
      </c>
      <c r="I235" t="n">
        <v>0</v>
      </c>
      <c r="J235" t="n">
        <v>0</v>
      </c>
      <c r="K235" t="n">
        <v>0</v>
      </c>
      <c r="L235" t="n">
        <v>0</v>
      </c>
      <c r="M235" t="n">
        <v>0</v>
      </c>
      <c r="N235" t="n">
        <v>0</v>
      </c>
      <c r="O235" t="n">
        <v>0</v>
      </c>
      <c r="P235" t="n">
        <v>0</v>
      </c>
      <c r="Q235" t="n">
        <v>0</v>
      </c>
      <c r="R235" s="2" t="inlineStr"/>
    </row>
    <row r="236" ht="15" customHeight="1">
      <c r="A236" t="inlineStr">
        <is>
          <t>A 64747-2021</t>
        </is>
      </c>
      <c r="B236" s="1" t="n">
        <v>44512</v>
      </c>
      <c r="C236" s="1" t="n">
        <v>45761</v>
      </c>
      <c r="D236" t="inlineStr">
        <is>
          <t>DALARNAS LÄN</t>
        </is>
      </c>
      <c r="E236" t="inlineStr">
        <is>
          <t>ORSA</t>
        </is>
      </c>
      <c r="G236" t="n">
        <v>0.9</v>
      </c>
      <c r="H236" t="n">
        <v>0</v>
      </c>
      <c r="I236" t="n">
        <v>0</v>
      </c>
      <c r="J236" t="n">
        <v>0</v>
      </c>
      <c r="K236" t="n">
        <v>0</v>
      </c>
      <c r="L236" t="n">
        <v>0</v>
      </c>
      <c r="M236" t="n">
        <v>0</v>
      </c>
      <c r="N236" t="n">
        <v>0</v>
      </c>
      <c r="O236" t="n">
        <v>0</v>
      </c>
      <c r="P236" t="n">
        <v>0</v>
      </c>
      <c r="Q236" t="n">
        <v>0</v>
      </c>
      <c r="R236" s="2" t="inlineStr"/>
    </row>
    <row r="237" ht="15" customHeight="1">
      <c r="A237" t="inlineStr">
        <is>
          <t>A 68013-2021</t>
        </is>
      </c>
      <c r="B237" s="1" t="n">
        <v>44525</v>
      </c>
      <c r="C237" s="1" t="n">
        <v>45761</v>
      </c>
      <c r="D237" t="inlineStr">
        <is>
          <t>DALARNAS LÄN</t>
        </is>
      </c>
      <c r="E237" t="inlineStr">
        <is>
          <t>ORSA</t>
        </is>
      </c>
      <c r="G237" t="n">
        <v>2.1</v>
      </c>
      <c r="H237" t="n">
        <v>0</v>
      </c>
      <c r="I237" t="n">
        <v>0</v>
      </c>
      <c r="J237" t="n">
        <v>0</v>
      </c>
      <c r="K237" t="n">
        <v>0</v>
      </c>
      <c r="L237" t="n">
        <v>0</v>
      </c>
      <c r="M237" t="n">
        <v>0</v>
      </c>
      <c r="N237" t="n">
        <v>0</v>
      </c>
      <c r="O237" t="n">
        <v>0</v>
      </c>
      <c r="P237" t="n">
        <v>0</v>
      </c>
      <c r="Q237" t="n">
        <v>0</v>
      </c>
      <c r="R237" s="2" t="inlineStr"/>
    </row>
    <row r="238" ht="15" customHeight="1">
      <c r="A238" t="inlineStr">
        <is>
          <t>A 68230-2021</t>
        </is>
      </c>
      <c r="B238" s="1" t="n">
        <v>44526</v>
      </c>
      <c r="C238" s="1" t="n">
        <v>45761</v>
      </c>
      <c r="D238" t="inlineStr">
        <is>
          <t>DALARNAS LÄN</t>
        </is>
      </c>
      <c r="E238" t="inlineStr">
        <is>
          <t>ORSA</t>
        </is>
      </c>
      <c r="F238" t="inlineStr">
        <is>
          <t>Kyrkan</t>
        </is>
      </c>
      <c r="G238" t="n">
        <v>2.2</v>
      </c>
      <c r="H238" t="n">
        <v>0</v>
      </c>
      <c r="I238" t="n">
        <v>0</v>
      </c>
      <c r="J238" t="n">
        <v>0</v>
      </c>
      <c r="K238" t="n">
        <v>0</v>
      </c>
      <c r="L238" t="n">
        <v>0</v>
      </c>
      <c r="M238" t="n">
        <v>0</v>
      </c>
      <c r="N238" t="n">
        <v>0</v>
      </c>
      <c r="O238" t="n">
        <v>0</v>
      </c>
      <c r="P238" t="n">
        <v>0</v>
      </c>
      <c r="Q238" t="n">
        <v>0</v>
      </c>
      <c r="R238" s="2" t="inlineStr"/>
    </row>
    <row r="239" ht="15" customHeight="1">
      <c r="A239" t="inlineStr">
        <is>
          <t>A 69060-2021</t>
        </is>
      </c>
      <c r="B239" s="1" t="n">
        <v>44530</v>
      </c>
      <c r="C239" s="1" t="n">
        <v>45761</v>
      </c>
      <c r="D239" t="inlineStr">
        <is>
          <t>DALARNAS LÄN</t>
        </is>
      </c>
      <c r="E239" t="inlineStr">
        <is>
          <t>ORSA</t>
        </is>
      </c>
      <c r="F239" t="inlineStr">
        <is>
          <t>Allmännings- och besparingsskogar</t>
        </is>
      </c>
      <c r="G239" t="n">
        <v>2.8</v>
      </c>
      <c r="H239" t="n">
        <v>0</v>
      </c>
      <c r="I239" t="n">
        <v>0</v>
      </c>
      <c r="J239" t="n">
        <v>0</v>
      </c>
      <c r="K239" t="n">
        <v>0</v>
      </c>
      <c r="L239" t="n">
        <v>0</v>
      </c>
      <c r="M239" t="n">
        <v>0</v>
      </c>
      <c r="N239" t="n">
        <v>0</v>
      </c>
      <c r="O239" t="n">
        <v>0</v>
      </c>
      <c r="P239" t="n">
        <v>0</v>
      </c>
      <c r="Q239" t="n">
        <v>0</v>
      </c>
      <c r="R239" s="2" t="inlineStr"/>
    </row>
    <row r="240" ht="15" customHeight="1">
      <c r="A240" t="inlineStr">
        <is>
          <t>A 69046-2021</t>
        </is>
      </c>
      <c r="B240" s="1" t="n">
        <v>44530</v>
      </c>
      <c r="C240" s="1" t="n">
        <v>45761</v>
      </c>
      <c r="D240" t="inlineStr">
        <is>
          <t>DALARNAS LÄN</t>
        </is>
      </c>
      <c r="E240" t="inlineStr">
        <is>
          <t>ORSA</t>
        </is>
      </c>
      <c r="F240" t="inlineStr">
        <is>
          <t>Allmännings- och besparingsskogar</t>
        </is>
      </c>
      <c r="G240" t="n">
        <v>1.3</v>
      </c>
      <c r="H240" t="n">
        <v>0</v>
      </c>
      <c r="I240" t="n">
        <v>0</v>
      </c>
      <c r="J240" t="n">
        <v>0</v>
      </c>
      <c r="K240" t="n">
        <v>0</v>
      </c>
      <c r="L240" t="n">
        <v>0</v>
      </c>
      <c r="M240" t="n">
        <v>0</v>
      </c>
      <c r="N240" t="n">
        <v>0</v>
      </c>
      <c r="O240" t="n">
        <v>0</v>
      </c>
      <c r="P240" t="n">
        <v>0</v>
      </c>
      <c r="Q240" t="n">
        <v>0</v>
      </c>
      <c r="R240" s="2" t="inlineStr"/>
    </row>
    <row r="241" ht="15" customHeight="1">
      <c r="A241" t="inlineStr">
        <is>
          <t>A 69721-2021</t>
        </is>
      </c>
      <c r="B241" s="1" t="n">
        <v>44532</v>
      </c>
      <c r="C241" s="1" t="n">
        <v>45761</v>
      </c>
      <c r="D241" t="inlineStr">
        <is>
          <t>DALARNAS LÄN</t>
        </is>
      </c>
      <c r="E241" t="inlineStr">
        <is>
          <t>ORSA</t>
        </is>
      </c>
      <c r="G241" t="n">
        <v>3.4</v>
      </c>
      <c r="H241" t="n">
        <v>0</v>
      </c>
      <c r="I241" t="n">
        <v>0</v>
      </c>
      <c r="J241" t="n">
        <v>0</v>
      </c>
      <c r="K241" t="n">
        <v>0</v>
      </c>
      <c r="L241" t="n">
        <v>0</v>
      </c>
      <c r="M241" t="n">
        <v>0</v>
      </c>
      <c r="N241" t="n">
        <v>0</v>
      </c>
      <c r="O241" t="n">
        <v>0</v>
      </c>
      <c r="P241" t="n">
        <v>0</v>
      </c>
      <c r="Q241" t="n">
        <v>0</v>
      </c>
      <c r="R241" s="2" t="inlineStr"/>
    </row>
    <row r="242" ht="15" customHeight="1">
      <c r="A242" t="inlineStr">
        <is>
          <t>A 69735-2021</t>
        </is>
      </c>
      <c r="B242" s="1" t="n">
        <v>44532</v>
      </c>
      <c r="C242" s="1" t="n">
        <v>45761</v>
      </c>
      <c r="D242" t="inlineStr">
        <is>
          <t>DALARNAS LÄN</t>
        </is>
      </c>
      <c r="E242" t="inlineStr">
        <is>
          <t>ORSA</t>
        </is>
      </c>
      <c r="G242" t="n">
        <v>2.4</v>
      </c>
      <c r="H242" t="n">
        <v>0</v>
      </c>
      <c r="I242" t="n">
        <v>0</v>
      </c>
      <c r="J242" t="n">
        <v>0</v>
      </c>
      <c r="K242" t="n">
        <v>0</v>
      </c>
      <c r="L242" t="n">
        <v>0</v>
      </c>
      <c r="M242" t="n">
        <v>0</v>
      </c>
      <c r="N242" t="n">
        <v>0</v>
      </c>
      <c r="O242" t="n">
        <v>0</v>
      </c>
      <c r="P242" t="n">
        <v>0</v>
      </c>
      <c r="Q242" t="n">
        <v>0</v>
      </c>
      <c r="R242" s="2" t="inlineStr"/>
    </row>
    <row r="243" ht="15" customHeight="1">
      <c r="A243" t="inlineStr">
        <is>
          <t>A 70332-2021</t>
        </is>
      </c>
      <c r="B243" s="1" t="n">
        <v>44536</v>
      </c>
      <c r="C243" s="1" t="n">
        <v>45761</v>
      </c>
      <c r="D243" t="inlineStr">
        <is>
          <t>DALARNAS LÄN</t>
        </is>
      </c>
      <c r="E243" t="inlineStr">
        <is>
          <t>ORSA</t>
        </is>
      </c>
      <c r="G243" t="n">
        <v>7.2</v>
      </c>
      <c r="H243" t="n">
        <v>0</v>
      </c>
      <c r="I243" t="n">
        <v>0</v>
      </c>
      <c r="J243" t="n">
        <v>0</v>
      </c>
      <c r="K243" t="n">
        <v>0</v>
      </c>
      <c r="L243" t="n">
        <v>0</v>
      </c>
      <c r="M243" t="n">
        <v>0</v>
      </c>
      <c r="N243" t="n">
        <v>0</v>
      </c>
      <c r="O243" t="n">
        <v>0</v>
      </c>
      <c r="P243" t="n">
        <v>0</v>
      </c>
      <c r="Q243" t="n">
        <v>0</v>
      </c>
      <c r="R243" s="2" t="inlineStr"/>
    </row>
    <row r="244" ht="15" customHeight="1">
      <c r="A244" t="inlineStr">
        <is>
          <t>A 71744-2021</t>
        </is>
      </c>
      <c r="B244" s="1" t="n">
        <v>44543</v>
      </c>
      <c r="C244" s="1" t="n">
        <v>45761</v>
      </c>
      <c r="D244" t="inlineStr">
        <is>
          <t>DALARNAS LÄN</t>
        </is>
      </c>
      <c r="E244" t="inlineStr">
        <is>
          <t>ORSA</t>
        </is>
      </c>
      <c r="F244" t="inlineStr">
        <is>
          <t>Kyrkan</t>
        </is>
      </c>
      <c r="G244" t="n">
        <v>1.5</v>
      </c>
      <c r="H244" t="n">
        <v>0</v>
      </c>
      <c r="I244" t="n">
        <v>0</v>
      </c>
      <c r="J244" t="n">
        <v>0</v>
      </c>
      <c r="K244" t="n">
        <v>0</v>
      </c>
      <c r="L244" t="n">
        <v>0</v>
      </c>
      <c r="M244" t="n">
        <v>0</v>
      </c>
      <c r="N244" t="n">
        <v>0</v>
      </c>
      <c r="O244" t="n">
        <v>0</v>
      </c>
      <c r="P244" t="n">
        <v>0</v>
      </c>
      <c r="Q244" t="n">
        <v>0</v>
      </c>
      <c r="R244" s="2" t="inlineStr"/>
    </row>
    <row r="245" ht="15" customHeight="1">
      <c r="A245" t="inlineStr">
        <is>
          <t>A 72310-2021</t>
        </is>
      </c>
      <c r="B245" s="1" t="n">
        <v>44545</v>
      </c>
      <c r="C245" s="1" t="n">
        <v>45761</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72284-2021</t>
        </is>
      </c>
      <c r="B246" s="1" t="n">
        <v>44545</v>
      </c>
      <c r="C246" s="1" t="n">
        <v>45761</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160-2022</t>
        </is>
      </c>
      <c r="B247" s="1" t="n">
        <v>44564</v>
      </c>
      <c r="C247" s="1" t="n">
        <v>45761</v>
      </c>
      <c r="D247" t="inlineStr">
        <is>
          <t>DALARNAS LÄN</t>
        </is>
      </c>
      <c r="E247" t="inlineStr">
        <is>
          <t>ORSA</t>
        </is>
      </c>
      <c r="F247" t="inlineStr">
        <is>
          <t>Kommuner</t>
        </is>
      </c>
      <c r="G247" t="n">
        <v>0.1</v>
      </c>
      <c r="H247" t="n">
        <v>0</v>
      </c>
      <c r="I247" t="n">
        <v>0</v>
      </c>
      <c r="J247" t="n">
        <v>0</v>
      </c>
      <c r="K247" t="n">
        <v>0</v>
      </c>
      <c r="L247" t="n">
        <v>0</v>
      </c>
      <c r="M247" t="n">
        <v>0</v>
      </c>
      <c r="N247" t="n">
        <v>0</v>
      </c>
      <c r="O247" t="n">
        <v>0</v>
      </c>
      <c r="P247" t="n">
        <v>0</v>
      </c>
      <c r="Q247" t="n">
        <v>0</v>
      </c>
      <c r="R247" s="2" t="inlineStr"/>
    </row>
    <row r="248" ht="15" customHeight="1">
      <c r="A248" t="inlineStr">
        <is>
          <t>A 169-2022</t>
        </is>
      </c>
      <c r="B248" s="1" t="n">
        <v>44564</v>
      </c>
      <c r="C248" s="1" t="n">
        <v>45761</v>
      </c>
      <c r="D248" t="inlineStr">
        <is>
          <t>DALARNAS LÄN</t>
        </is>
      </c>
      <c r="E248" t="inlineStr">
        <is>
          <t>ORSA</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2882-2022</t>
        </is>
      </c>
      <c r="B249" s="1" t="n">
        <v>44581</v>
      </c>
      <c r="C249" s="1" t="n">
        <v>45761</v>
      </c>
      <c r="D249" t="inlineStr">
        <is>
          <t>DALARNAS LÄN</t>
        </is>
      </c>
      <c r="E249" t="inlineStr">
        <is>
          <t>ORSA</t>
        </is>
      </c>
      <c r="G249" t="n">
        <v>2.7</v>
      </c>
      <c r="H249" t="n">
        <v>0</v>
      </c>
      <c r="I249" t="n">
        <v>0</v>
      </c>
      <c r="J249" t="n">
        <v>0</v>
      </c>
      <c r="K249" t="n">
        <v>0</v>
      </c>
      <c r="L249" t="n">
        <v>0</v>
      </c>
      <c r="M249" t="n">
        <v>0</v>
      </c>
      <c r="N249" t="n">
        <v>0</v>
      </c>
      <c r="O249" t="n">
        <v>0</v>
      </c>
      <c r="P249" t="n">
        <v>0</v>
      </c>
      <c r="Q249" t="n">
        <v>0</v>
      </c>
      <c r="R249" s="2" t="inlineStr"/>
    </row>
    <row r="250" ht="15" customHeight="1">
      <c r="A250" t="inlineStr">
        <is>
          <t>A 9561-2022</t>
        </is>
      </c>
      <c r="B250" s="1" t="n">
        <v>44617</v>
      </c>
      <c r="C250" s="1" t="n">
        <v>45761</v>
      </c>
      <c r="D250" t="inlineStr">
        <is>
          <t>DALARNAS LÄN</t>
        </is>
      </c>
      <c r="E250" t="inlineStr">
        <is>
          <t>ORSA</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9807-2022</t>
        </is>
      </c>
      <c r="B251" s="1" t="n">
        <v>44620</v>
      </c>
      <c r="C251" s="1" t="n">
        <v>45761</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9836-2022</t>
        </is>
      </c>
      <c r="B252" s="1" t="n">
        <v>44620</v>
      </c>
      <c r="C252" s="1" t="n">
        <v>45761</v>
      </c>
      <c r="D252" t="inlineStr">
        <is>
          <t>DALARNAS LÄN</t>
        </is>
      </c>
      <c r="E252" t="inlineStr">
        <is>
          <t>ORSA</t>
        </is>
      </c>
      <c r="G252" t="n">
        <v>1</v>
      </c>
      <c r="H252" t="n">
        <v>0</v>
      </c>
      <c r="I252" t="n">
        <v>0</v>
      </c>
      <c r="J252" t="n">
        <v>0</v>
      </c>
      <c r="K252" t="n">
        <v>0</v>
      </c>
      <c r="L252" t="n">
        <v>0</v>
      </c>
      <c r="M252" t="n">
        <v>0</v>
      </c>
      <c r="N252" t="n">
        <v>0</v>
      </c>
      <c r="O252" t="n">
        <v>0</v>
      </c>
      <c r="P252" t="n">
        <v>0</v>
      </c>
      <c r="Q252" t="n">
        <v>0</v>
      </c>
      <c r="R252" s="2" t="inlineStr"/>
    </row>
    <row r="253" ht="15" customHeight="1">
      <c r="A253" t="inlineStr">
        <is>
          <t>A 10261-2022</t>
        </is>
      </c>
      <c r="B253" s="1" t="n">
        <v>44622</v>
      </c>
      <c r="C253" s="1" t="n">
        <v>45761</v>
      </c>
      <c r="D253" t="inlineStr">
        <is>
          <t>DALARNAS LÄN</t>
        </is>
      </c>
      <c r="E253" t="inlineStr">
        <is>
          <t>ORSA</t>
        </is>
      </c>
      <c r="G253" t="n">
        <v>3.1</v>
      </c>
      <c r="H253" t="n">
        <v>0</v>
      </c>
      <c r="I253" t="n">
        <v>0</v>
      </c>
      <c r="J253" t="n">
        <v>0</v>
      </c>
      <c r="K253" t="n">
        <v>0</v>
      </c>
      <c r="L253" t="n">
        <v>0</v>
      </c>
      <c r="M253" t="n">
        <v>0</v>
      </c>
      <c r="N253" t="n">
        <v>0</v>
      </c>
      <c r="O253" t="n">
        <v>0</v>
      </c>
      <c r="P253" t="n">
        <v>0</v>
      </c>
      <c r="Q253" t="n">
        <v>0</v>
      </c>
      <c r="R253" s="2" t="inlineStr"/>
    </row>
    <row r="254" ht="15" customHeight="1">
      <c r="A254" t="inlineStr">
        <is>
          <t>A 10262-2022</t>
        </is>
      </c>
      <c r="B254" s="1" t="n">
        <v>44622</v>
      </c>
      <c r="C254" s="1" t="n">
        <v>45761</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10398-2022</t>
        </is>
      </c>
      <c r="B255" s="1" t="n">
        <v>44623</v>
      </c>
      <c r="C255" s="1" t="n">
        <v>45761</v>
      </c>
      <c r="D255" t="inlineStr">
        <is>
          <t>DALARNAS LÄN</t>
        </is>
      </c>
      <c r="E255" t="inlineStr">
        <is>
          <t>ORSA</t>
        </is>
      </c>
      <c r="G255" t="n">
        <v>2.6</v>
      </c>
      <c r="H255" t="n">
        <v>0</v>
      </c>
      <c r="I255" t="n">
        <v>0</v>
      </c>
      <c r="J255" t="n">
        <v>0</v>
      </c>
      <c r="K255" t="n">
        <v>0</v>
      </c>
      <c r="L255" t="n">
        <v>0</v>
      </c>
      <c r="M255" t="n">
        <v>0</v>
      </c>
      <c r="N255" t="n">
        <v>0</v>
      </c>
      <c r="O255" t="n">
        <v>0</v>
      </c>
      <c r="P255" t="n">
        <v>0</v>
      </c>
      <c r="Q255" t="n">
        <v>0</v>
      </c>
      <c r="R255" s="2" t="inlineStr"/>
    </row>
    <row r="256" ht="15" customHeight="1">
      <c r="A256" t="inlineStr">
        <is>
          <t>A 10405-2022</t>
        </is>
      </c>
      <c r="B256" s="1" t="n">
        <v>44623</v>
      </c>
      <c r="C256" s="1" t="n">
        <v>45761</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10375-2022</t>
        </is>
      </c>
      <c r="B257" s="1" t="n">
        <v>44623</v>
      </c>
      <c r="C257" s="1" t="n">
        <v>45761</v>
      </c>
      <c r="D257" t="inlineStr">
        <is>
          <t>DALARNAS LÄN</t>
        </is>
      </c>
      <c r="E257" t="inlineStr">
        <is>
          <t>ORSA</t>
        </is>
      </c>
      <c r="G257" t="n">
        <v>4.8</v>
      </c>
      <c r="H257" t="n">
        <v>0</v>
      </c>
      <c r="I257" t="n">
        <v>0</v>
      </c>
      <c r="J257" t="n">
        <v>0</v>
      </c>
      <c r="K257" t="n">
        <v>0</v>
      </c>
      <c r="L257" t="n">
        <v>0</v>
      </c>
      <c r="M257" t="n">
        <v>0</v>
      </c>
      <c r="N257" t="n">
        <v>0</v>
      </c>
      <c r="O257" t="n">
        <v>0</v>
      </c>
      <c r="P257" t="n">
        <v>0</v>
      </c>
      <c r="Q257" t="n">
        <v>0</v>
      </c>
      <c r="R257" s="2" t="inlineStr"/>
    </row>
    <row r="258" ht="15" customHeight="1">
      <c r="A258" t="inlineStr">
        <is>
          <t>A 10832-2022</t>
        </is>
      </c>
      <c r="B258" s="1" t="n">
        <v>44627</v>
      </c>
      <c r="C258" s="1" t="n">
        <v>45761</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11138-2022</t>
        </is>
      </c>
      <c r="B259" s="1" t="n">
        <v>44629</v>
      </c>
      <c r="C259" s="1" t="n">
        <v>45761</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12704-2022</t>
        </is>
      </c>
      <c r="B260" s="1" t="n">
        <v>44641</v>
      </c>
      <c r="C260" s="1" t="n">
        <v>45761</v>
      </c>
      <c r="D260" t="inlineStr">
        <is>
          <t>DALARNAS LÄN</t>
        </is>
      </c>
      <c r="E260" t="inlineStr">
        <is>
          <t>ORSA</t>
        </is>
      </c>
      <c r="G260" t="n">
        <v>2.4</v>
      </c>
      <c r="H260" t="n">
        <v>0</v>
      </c>
      <c r="I260" t="n">
        <v>0</v>
      </c>
      <c r="J260" t="n">
        <v>0</v>
      </c>
      <c r="K260" t="n">
        <v>0</v>
      </c>
      <c r="L260" t="n">
        <v>0</v>
      </c>
      <c r="M260" t="n">
        <v>0</v>
      </c>
      <c r="N260" t="n">
        <v>0</v>
      </c>
      <c r="O260" t="n">
        <v>0</v>
      </c>
      <c r="P260" t="n">
        <v>0</v>
      </c>
      <c r="Q260" t="n">
        <v>0</v>
      </c>
      <c r="R260" s="2" t="inlineStr"/>
    </row>
    <row r="261" ht="15" customHeight="1">
      <c r="A261" t="inlineStr">
        <is>
          <t>A 13236-2022</t>
        </is>
      </c>
      <c r="B261" s="1" t="n">
        <v>44644</v>
      </c>
      <c r="C261" s="1" t="n">
        <v>45761</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13185-2022</t>
        </is>
      </c>
      <c r="B262" s="1" t="n">
        <v>44644</v>
      </c>
      <c r="C262" s="1" t="n">
        <v>45761</v>
      </c>
      <c r="D262" t="inlineStr">
        <is>
          <t>DALARNAS LÄN</t>
        </is>
      </c>
      <c r="E262" t="inlineStr">
        <is>
          <t>ORSA</t>
        </is>
      </c>
      <c r="G262" t="n">
        <v>0.6</v>
      </c>
      <c r="H262" t="n">
        <v>0</v>
      </c>
      <c r="I262" t="n">
        <v>0</v>
      </c>
      <c r="J262" t="n">
        <v>0</v>
      </c>
      <c r="K262" t="n">
        <v>0</v>
      </c>
      <c r="L262" t="n">
        <v>0</v>
      </c>
      <c r="M262" t="n">
        <v>0</v>
      </c>
      <c r="N262" t="n">
        <v>0</v>
      </c>
      <c r="O262" t="n">
        <v>0</v>
      </c>
      <c r="P262" t="n">
        <v>0</v>
      </c>
      <c r="Q262" t="n">
        <v>0</v>
      </c>
      <c r="R262" s="2" t="inlineStr"/>
    </row>
    <row r="263" ht="15" customHeight="1">
      <c r="A263" t="inlineStr">
        <is>
          <t>A 13209-2022</t>
        </is>
      </c>
      <c r="B263" s="1" t="n">
        <v>44644</v>
      </c>
      <c r="C263" s="1" t="n">
        <v>45761</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14535-2022</t>
        </is>
      </c>
      <c r="B264" s="1" t="n">
        <v>44655</v>
      </c>
      <c r="C264" s="1" t="n">
        <v>45761</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19067-2022</t>
        </is>
      </c>
      <c r="B265" s="1" t="n">
        <v>44691</v>
      </c>
      <c r="C265" s="1" t="n">
        <v>45761</v>
      </c>
      <c r="D265" t="inlineStr">
        <is>
          <t>DALARNAS LÄN</t>
        </is>
      </c>
      <c r="E265" t="inlineStr">
        <is>
          <t>ORSA</t>
        </is>
      </c>
      <c r="F265" t="inlineStr">
        <is>
          <t>Bergvik skog öst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19505-2022</t>
        </is>
      </c>
      <c r="B266" s="1" t="n">
        <v>44693</v>
      </c>
      <c r="C266" s="1" t="n">
        <v>45761</v>
      </c>
      <c r="D266" t="inlineStr">
        <is>
          <t>DALARNAS LÄN</t>
        </is>
      </c>
      <c r="E266" t="inlineStr">
        <is>
          <t>ORSA</t>
        </is>
      </c>
      <c r="G266" t="n">
        <v>2.7</v>
      </c>
      <c r="H266" t="n">
        <v>0</v>
      </c>
      <c r="I266" t="n">
        <v>0</v>
      </c>
      <c r="J266" t="n">
        <v>0</v>
      </c>
      <c r="K266" t="n">
        <v>0</v>
      </c>
      <c r="L266" t="n">
        <v>0</v>
      </c>
      <c r="M266" t="n">
        <v>0</v>
      </c>
      <c r="N266" t="n">
        <v>0</v>
      </c>
      <c r="O266" t="n">
        <v>0</v>
      </c>
      <c r="P266" t="n">
        <v>0</v>
      </c>
      <c r="Q266" t="n">
        <v>0</v>
      </c>
      <c r="R266" s="2" t="inlineStr"/>
    </row>
    <row r="267" ht="15" customHeight="1">
      <c r="A267" t="inlineStr">
        <is>
          <t>A 20493-2022</t>
        </is>
      </c>
      <c r="B267" s="1" t="n">
        <v>44699</v>
      </c>
      <c r="C267" s="1" t="n">
        <v>45761</v>
      </c>
      <c r="D267" t="inlineStr">
        <is>
          <t>DALARNAS LÄN</t>
        </is>
      </c>
      <c r="E267" t="inlineStr">
        <is>
          <t>ORSA</t>
        </is>
      </c>
      <c r="F267" t="inlineStr">
        <is>
          <t>Bergvik skog väst AB</t>
        </is>
      </c>
      <c r="G267" t="n">
        <v>61.7</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45761</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22022-2022</t>
        </is>
      </c>
      <c r="B269" s="1" t="n">
        <v>44711</v>
      </c>
      <c r="C269" s="1" t="n">
        <v>45761</v>
      </c>
      <c r="D269" t="inlineStr">
        <is>
          <t>DALARNAS LÄN</t>
        </is>
      </c>
      <c r="E269" t="inlineStr">
        <is>
          <t>ORSA</t>
        </is>
      </c>
      <c r="F269" t="inlineStr">
        <is>
          <t>Bergvik skog öst AB</t>
        </is>
      </c>
      <c r="G269" t="n">
        <v>1.9</v>
      </c>
      <c r="H269" t="n">
        <v>0</v>
      </c>
      <c r="I269" t="n">
        <v>0</v>
      </c>
      <c r="J269" t="n">
        <v>0</v>
      </c>
      <c r="K269" t="n">
        <v>0</v>
      </c>
      <c r="L269" t="n">
        <v>0</v>
      </c>
      <c r="M269" t="n">
        <v>0</v>
      </c>
      <c r="N269" t="n">
        <v>0</v>
      </c>
      <c r="O269" t="n">
        <v>0</v>
      </c>
      <c r="P269" t="n">
        <v>0</v>
      </c>
      <c r="Q269" t="n">
        <v>0</v>
      </c>
      <c r="R269" s="2" t="inlineStr"/>
    </row>
    <row r="270" ht="15" customHeight="1">
      <c r="A270" t="inlineStr">
        <is>
          <t>A 22371-2022</t>
        </is>
      </c>
      <c r="B270" s="1" t="n">
        <v>44713</v>
      </c>
      <c r="C270" s="1" t="n">
        <v>45761</v>
      </c>
      <c r="D270" t="inlineStr">
        <is>
          <t>DALARNAS LÄN</t>
        </is>
      </c>
      <c r="E270" t="inlineStr">
        <is>
          <t>ORSA</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22813-2022</t>
        </is>
      </c>
      <c r="B271" s="1" t="n">
        <v>44715</v>
      </c>
      <c r="C271" s="1" t="n">
        <v>45761</v>
      </c>
      <c r="D271" t="inlineStr">
        <is>
          <t>DALARNAS LÄN</t>
        </is>
      </c>
      <c r="E271" t="inlineStr">
        <is>
          <t>ORSA</t>
        </is>
      </c>
      <c r="G271" t="n">
        <v>0.4</v>
      </c>
      <c r="H271" t="n">
        <v>0</v>
      </c>
      <c r="I271" t="n">
        <v>0</v>
      </c>
      <c r="J271" t="n">
        <v>0</v>
      </c>
      <c r="K271" t="n">
        <v>0</v>
      </c>
      <c r="L271" t="n">
        <v>0</v>
      </c>
      <c r="M271" t="n">
        <v>0</v>
      </c>
      <c r="N271" t="n">
        <v>0</v>
      </c>
      <c r="O271" t="n">
        <v>0</v>
      </c>
      <c r="P271" t="n">
        <v>0</v>
      </c>
      <c r="Q271" t="n">
        <v>0</v>
      </c>
      <c r="R271" s="2" t="inlineStr"/>
    </row>
    <row r="272" ht="15" customHeight="1">
      <c r="A272" t="inlineStr">
        <is>
          <t>A 23348-2022</t>
        </is>
      </c>
      <c r="B272" s="1" t="n">
        <v>44720</v>
      </c>
      <c r="C272" s="1" t="n">
        <v>45761</v>
      </c>
      <c r="D272" t="inlineStr">
        <is>
          <t>DALARNAS LÄN</t>
        </is>
      </c>
      <c r="E272" t="inlineStr">
        <is>
          <t>ORSA</t>
        </is>
      </c>
      <c r="G272" t="n">
        <v>0.9</v>
      </c>
      <c r="H272" t="n">
        <v>0</v>
      </c>
      <c r="I272" t="n">
        <v>0</v>
      </c>
      <c r="J272" t="n">
        <v>0</v>
      </c>
      <c r="K272" t="n">
        <v>0</v>
      </c>
      <c r="L272" t="n">
        <v>0</v>
      </c>
      <c r="M272" t="n">
        <v>0</v>
      </c>
      <c r="N272" t="n">
        <v>0</v>
      </c>
      <c r="O272" t="n">
        <v>0</v>
      </c>
      <c r="P272" t="n">
        <v>0</v>
      </c>
      <c r="Q272" t="n">
        <v>0</v>
      </c>
      <c r="R272" s="2" t="inlineStr"/>
    </row>
    <row r="273" ht="15" customHeight="1">
      <c r="A273" t="inlineStr">
        <is>
          <t>A 23344-2022</t>
        </is>
      </c>
      <c r="B273" s="1" t="n">
        <v>44720</v>
      </c>
      <c r="C273" s="1" t="n">
        <v>45761</v>
      </c>
      <c r="D273" t="inlineStr">
        <is>
          <t>DALARNAS LÄN</t>
        </is>
      </c>
      <c r="E273" t="inlineStr">
        <is>
          <t>ORSA</t>
        </is>
      </c>
      <c r="G273" t="n">
        <v>0.2</v>
      </c>
      <c r="H273" t="n">
        <v>0</v>
      </c>
      <c r="I273" t="n">
        <v>0</v>
      </c>
      <c r="J273" t="n">
        <v>0</v>
      </c>
      <c r="K273" t="n">
        <v>0</v>
      </c>
      <c r="L273" t="n">
        <v>0</v>
      </c>
      <c r="M273" t="n">
        <v>0</v>
      </c>
      <c r="N273" t="n">
        <v>0</v>
      </c>
      <c r="O273" t="n">
        <v>0</v>
      </c>
      <c r="P273" t="n">
        <v>0</v>
      </c>
      <c r="Q273" t="n">
        <v>0</v>
      </c>
      <c r="R273" s="2" t="inlineStr"/>
    </row>
    <row r="274" ht="15" customHeight="1">
      <c r="A274" t="inlineStr">
        <is>
          <t>A 23725-2022</t>
        </is>
      </c>
      <c r="B274" s="1" t="n">
        <v>44722</v>
      </c>
      <c r="C274" s="1" t="n">
        <v>45761</v>
      </c>
      <c r="D274" t="inlineStr">
        <is>
          <t>DALARNAS LÄN</t>
        </is>
      </c>
      <c r="E274" t="inlineStr">
        <is>
          <t>ORSA</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23821-2022</t>
        </is>
      </c>
      <c r="B275" s="1" t="n">
        <v>44722</v>
      </c>
      <c r="C275" s="1" t="n">
        <v>45761</v>
      </c>
      <c r="D275" t="inlineStr">
        <is>
          <t>DALARNAS LÄN</t>
        </is>
      </c>
      <c r="E275" t="inlineStr">
        <is>
          <t>ORSA</t>
        </is>
      </c>
      <c r="F275" t="inlineStr">
        <is>
          <t>Allmännings- och besparingsskogar</t>
        </is>
      </c>
      <c r="G275" t="n">
        <v>1.7</v>
      </c>
      <c r="H275" t="n">
        <v>0</v>
      </c>
      <c r="I275" t="n">
        <v>0</v>
      </c>
      <c r="J275" t="n">
        <v>0</v>
      </c>
      <c r="K275" t="n">
        <v>0</v>
      </c>
      <c r="L275" t="n">
        <v>0</v>
      </c>
      <c r="M275" t="n">
        <v>0</v>
      </c>
      <c r="N275" t="n">
        <v>0</v>
      </c>
      <c r="O275" t="n">
        <v>0</v>
      </c>
      <c r="P275" t="n">
        <v>0</v>
      </c>
      <c r="Q275" t="n">
        <v>0</v>
      </c>
      <c r="R275" s="2" t="inlineStr"/>
    </row>
    <row r="276" ht="15" customHeight="1">
      <c r="A276" t="inlineStr">
        <is>
          <t>A 24438-2022</t>
        </is>
      </c>
      <c r="B276" s="1" t="n">
        <v>44726</v>
      </c>
      <c r="C276" s="1" t="n">
        <v>45761</v>
      </c>
      <c r="D276" t="inlineStr">
        <is>
          <t>DALARNAS LÄN</t>
        </is>
      </c>
      <c r="E276" t="inlineStr">
        <is>
          <t>ORSA</t>
        </is>
      </c>
      <c r="F276" t="inlineStr">
        <is>
          <t>Allmännings- och besparingsskogar</t>
        </is>
      </c>
      <c r="G276" t="n">
        <v>4.4</v>
      </c>
      <c r="H276" t="n">
        <v>0</v>
      </c>
      <c r="I276" t="n">
        <v>0</v>
      </c>
      <c r="J276" t="n">
        <v>0</v>
      </c>
      <c r="K276" t="n">
        <v>0</v>
      </c>
      <c r="L276" t="n">
        <v>0</v>
      </c>
      <c r="M276" t="n">
        <v>0</v>
      </c>
      <c r="N276" t="n">
        <v>0</v>
      </c>
      <c r="O276" t="n">
        <v>0</v>
      </c>
      <c r="P276" t="n">
        <v>0</v>
      </c>
      <c r="Q276" t="n">
        <v>0</v>
      </c>
      <c r="R276" s="2" t="inlineStr"/>
    </row>
    <row r="277" ht="15" customHeight="1">
      <c r="A277" t="inlineStr">
        <is>
          <t>A 24651-2022</t>
        </is>
      </c>
      <c r="B277" s="1" t="n">
        <v>44727</v>
      </c>
      <c r="C277" s="1" t="n">
        <v>45761</v>
      </c>
      <c r="D277" t="inlineStr">
        <is>
          <t>DALARNAS LÄN</t>
        </is>
      </c>
      <c r="E277" t="inlineStr">
        <is>
          <t>ORSA</t>
        </is>
      </c>
      <c r="F277" t="inlineStr">
        <is>
          <t>Allmännings- och besparingsskogar</t>
        </is>
      </c>
      <c r="G277" t="n">
        <v>0.6</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v>
      </c>
      <c r="C278" s="1" t="n">
        <v>45761</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25591-2022</t>
        </is>
      </c>
      <c r="B279" s="1" t="n">
        <v>44732</v>
      </c>
      <c r="C279" s="1" t="n">
        <v>45761</v>
      </c>
      <c r="D279" t="inlineStr">
        <is>
          <t>DALARNAS LÄN</t>
        </is>
      </c>
      <c r="E279" t="inlineStr">
        <is>
          <t>ORSA</t>
        </is>
      </c>
      <c r="G279" t="n">
        <v>6</v>
      </c>
      <c r="H279" t="n">
        <v>0</v>
      </c>
      <c r="I279" t="n">
        <v>0</v>
      </c>
      <c r="J279" t="n">
        <v>0</v>
      </c>
      <c r="K279" t="n">
        <v>0</v>
      </c>
      <c r="L279" t="n">
        <v>0</v>
      </c>
      <c r="M279" t="n">
        <v>0</v>
      </c>
      <c r="N279" t="n">
        <v>0</v>
      </c>
      <c r="O279" t="n">
        <v>0</v>
      </c>
      <c r="P279" t="n">
        <v>0</v>
      </c>
      <c r="Q279" t="n">
        <v>0</v>
      </c>
      <c r="R279" s="2" t="inlineStr"/>
    </row>
    <row r="280" ht="15" customHeight="1">
      <c r="A280" t="inlineStr">
        <is>
          <t>A 26215-2022</t>
        </is>
      </c>
      <c r="B280" s="1" t="n">
        <v>44735</v>
      </c>
      <c r="C280" s="1" t="n">
        <v>45761</v>
      </c>
      <c r="D280" t="inlineStr">
        <is>
          <t>DALARNAS LÄN</t>
        </is>
      </c>
      <c r="E280" t="inlineStr">
        <is>
          <t>ORSA</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27498-2022</t>
        </is>
      </c>
      <c r="B281" s="1" t="n">
        <v>44742</v>
      </c>
      <c r="C281" s="1" t="n">
        <v>45761</v>
      </c>
      <c r="D281" t="inlineStr">
        <is>
          <t>DALARNAS LÄN</t>
        </is>
      </c>
      <c r="E281" t="inlineStr">
        <is>
          <t>ORSA</t>
        </is>
      </c>
      <c r="G281" t="n">
        <v>5.7</v>
      </c>
      <c r="H281" t="n">
        <v>0</v>
      </c>
      <c r="I281" t="n">
        <v>0</v>
      </c>
      <c r="J281" t="n">
        <v>0</v>
      </c>
      <c r="K281" t="n">
        <v>0</v>
      </c>
      <c r="L281" t="n">
        <v>0</v>
      </c>
      <c r="M281" t="n">
        <v>0</v>
      </c>
      <c r="N281" t="n">
        <v>0</v>
      </c>
      <c r="O281" t="n">
        <v>0</v>
      </c>
      <c r="P281" t="n">
        <v>0</v>
      </c>
      <c r="Q281" t="n">
        <v>0</v>
      </c>
      <c r="R281" s="2" t="inlineStr"/>
    </row>
    <row r="282" ht="15" customHeight="1">
      <c r="A282" t="inlineStr">
        <is>
          <t>A 29485-2022</t>
        </is>
      </c>
      <c r="B282" s="1" t="n">
        <v>44753</v>
      </c>
      <c r="C282" s="1" t="n">
        <v>45761</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30109-2022</t>
        </is>
      </c>
      <c r="B283" s="1" t="n">
        <v>44757</v>
      </c>
      <c r="C283" s="1" t="n">
        <v>45761</v>
      </c>
      <c r="D283" t="inlineStr">
        <is>
          <t>DALARNAS LÄN</t>
        </is>
      </c>
      <c r="E283" t="inlineStr">
        <is>
          <t>ORSA</t>
        </is>
      </c>
      <c r="F283" t="inlineStr">
        <is>
          <t>Allmännings- och besparingsskogar</t>
        </is>
      </c>
      <c r="G283" t="n">
        <v>0.8</v>
      </c>
      <c r="H283" t="n">
        <v>0</v>
      </c>
      <c r="I283" t="n">
        <v>0</v>
      </c>
      <c r="J283" t="n">
        <v>0</v>
      </c>
      <c r="K283" t="n">
        <v>0</v>
      </c>
      <c r="L283" t="n">
        <v>0</v>
      </c>
      <c r="M283" t="n">
        <v>0</v>
      </c>
      <c r="N283" t="n">
        <v>0</v>
      </c>
      <c r="O283" t="n">
        <v>0</v>
      </c>
      <c r="P283" t="n">
        <v>0</v>
      </c>
      <c r="Q283" t="n">
        <v>0</v>
      </c>
      <c r="R283" s="2" t="inlineStr"/>
    </row>
    <row r="284" ht="15" customHeight="1">
      <c r="A284" t="inlineStr">
        <is>
          <t>A 30690-2022</t>
        </is>
      </c>
      <c r="B284" s="1" t="n">
        <v>44763</v>
      </c>
      <c r="C284" s="1" t="n">
        <v>45761</v>
      </c>
      <c r="D284" t="inlineStr">
        <is>
          <t>DALARNAS LÄN</t>
        </is>
      </c>
      <c r="E284" t="inlineStr">
        <is>
          <t>ORSA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30861-2022</t>
        </is>
      </c>
      <c r="B285" s="1" t="n">
        <v>44767</v>
      </c>
      <c r="C285" s="1" t="n">
        <v>45761</v>
      </c>
      <c r="D285" t="inlineStr">
        <is>
          <t>DALARNAS LÄN</t>
        </is>
      </c>
      <c r="E285" t="inlineStr">
        <is>
          <t>ORSA</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31164-2022</t>
        </is>
      </c>
      <c r="B286" s="1" t="n">
        <v>44770</v>
      </c>
      <c r="C286" s="1" t="n">
        <v>45761</v>
      </c>
      <c r="D286" t="inlineStr">
        <is>
          <t>DALARNAS LÄN</t>
        </is>
      </c>
      <c r="E286" t="inlineStr">
        <is>
          <t>ORSA</t>
        </is>
      </c>
      <c r="F286" t="inlineStr">
        <is>
          <t>Bergvik skog öst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31876-2022</t>
        </is>
      </c>
      <c r="B287" s="1" t="n">
        <v>44777</v>
      </c>
      <c r="C287" s="1" t="n">
        <v>45761</v>
      </c>
      <c r="D287" t="inlineStr">
        <is>
          <t>DALARNAS LÄN</t>
        </is>
      </c>
      <c r="E287" t="inlineStr">
        <is>
          <t>ORSA</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32931-2022</t>
        </is>
      </c>
      <c r="B288" s="1" t="n">
        <v>44784</v>
      </c>
      <c r="C288" s="1" t="n">
        <v>45761</v>
      </c>
      <c r="D288" t="inlineStr">
        <is>
          <t>DALARNAS LÄN</t>
        </is>
      </c>
      <c r="E288" t="inlineStr">
        <is>
          <t>ORSA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33384-2022</t>
        </is>
      </c>
      <c r="B289" s="1" t="n">
        <v>44788</v>
      </c>
      <c r="C289" s="1" t="n">
        <v>45761</v>
      </c>
      <c r="D289" t="inlineStr">
        <is>
          <t>DALARNAS LÄN</t>
        </is>
      </c>
      <c r="E289" t="inlineStr">
        <is>
          <t>ORSA</t>
        </is>
      </c>
      <c r="F289" t="inlineStr">
        <is>
          <t>Bergvik skog öst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33945-2022</t>
        </is>
      </c>
      <c r="B290" s="1" t="n">
        <v>44790</v>
      </c>
      <c r="C290" s="1" t="n">
        <v>45761</v>
      </c>
      <c r="D290" t="inlineStr">
        <is>
          <t>DALARNAS LÄN</t>
        </is>
      </c>
      <c r="E290" t="inlineStr">
        <is>
          <t>ORSA</t>
        </is>
      </c>
      <c r="F290" t="inlineStr">
        <is>
          <t>Bergvik skog öst AB</t>
        </is>
      </c>
      <c r="G290" t="n">
        <v>1.9</v>
      </c>
      <c r="H290" t="n">
        <v>0</v>
      </c>
      <c r="I290" t="n">
        <v>0</v>
      </c>
      <c r="J290" t="n">
        <v>0</v>
      </c>
      <c r="K290" t="n">
        <v>0</v>
      </c>
      <c r="L290" t="n">
        <v>0</v>
      </c>
      <c r="M290" t="n">
        <v>0</v>
      </c>
      <c r="N290" t="n">
        <v>0</v>
      </c>
      <c r="O290" t="n">
        <v>0</v>
      </c>
      <c r="P290" t="n">
        <v>0</v>
      </c>
      <c r="Q290" t="n">
        <v>0</v>
      </c>
      <c r="R290" s="2" t="inlineStr"/>
    </row>
    <row r="291" ht="15" customHeight="1">
      <c r="A291" t="inlineStr">
        <is>
          <t>A 38303-2022</t>
        </is>
      </c>
      <c r="B291" s="1" t="n">
        <v>44812</v>
      </c>
      <c r="C291" s="1" t="n">
        <v>45761</v>
      </c>
      <c r="D291" t="inlineStr">
        <is>
          <t>DALARNAS LÄN</t>
        </is>
      </c>
      <c r="E291" t="inlineStr">
        <is>
          <t>ORSA</t>
        </is>
      </c>
      <c r="F291" t="inlineStr">
        <is>
          <t>Allmännings- och besparingsskogar</t>
        </is>
      </c>
      <c r="G291" t="n">
        <v>15.5</v>
      </c>
      <c r="H291" t="n">
        <v>0</v>
      </c>
      <c r="I291" t="n">
        <v>0</v>
      </c>
      <c r="J291" t="n">
        <v>0</v>
      </c>
      <c r="K291" t="n">
        <v>0</v>
      </c>
      <c r="L291" t="n">
        <v>0</v>
      </c>
      <c r="M291" t="n">
        <v>0</v>
      </c>
      <c r="N291" t="n">
        <v>0</v>
      </c>
      <c r="O291" t="n">
        <v>0</v>
      </c>
      <c r="P291" t="n">
        <v>0</v>
      </c>
      <c r="Q291" t="n">
        <v>0</v>
      </c>
      <c r="R291" s="2" t="inlineStr"/>
    </row>
    <row r="292" ht="15" customHeight="1">
      <c r="A292" t="inlineStr">
        <is>
          <t>A 38611-2022</t>
        </is>
      </c>
      <c r="B292" s="1" t="n">
        <v>44813</v>
      </c>
      <c r="C292" s="1" t="n">
        <v>45761</v>
      </c>
      <c r="D292" t="inlineStr">
        <is>
          <t>DALARNAS LÄN</t>
        </is>
      </c>
      <c r="E292" t="inlineStr">
        <is>
          <t>ORSA</t>
        </is>
      </c>
      <c r="G292" t="n">
        <v>3.6</v>
      </c>
      <c r="H292" t="n">
        <v>0</v>
      </c>
      <c r="I292" t="n">
        <v>0</v>
      </c>
      <c r="J292" t="n">
        <v>0</v>
      </c>
      <c r="K292" t="n">
        <v>0</v>
      </c>
      <c r="L292" t="n">
        <v>0</v>
      </c>
      <c r="M292" t="n">
        <v>0</v>
      </c>
      <c r="N292" t="n">
        <v>0</v>
      </c>
      <c r="O292" t="n">
        <v>0</v>
      </c>
      <c r="P292" t="n">
        <v>0</v>
      </c>
      <c r="Q292" t="n">
        <v>0</v>
      </c>
      <c r="R292" s="2" t="inlineStr"/>
    </row>
    <row r="293" ht="15" customHeight="1">
      <c r="A293" t="inlineStr">
        <is>
          <t>A 39818-2022</t>
        </is>
      </c>
      <c r="B293" s="1" t="n">
        <v>44819</v>
      </c>
      <c r="C293" s="1" t="n">
        <v>45761</v>
      </c>
      <c r="D293" t="inlineStr">
        <is>
          <t>DALARNAS LÄN</t>
        </is>
      </c>
      <c r="E293" t="inlineStr">
        <is>
          <t>ORSA</t>
        </is>
      </c>
      <c r="F293" t="inlineStr">
        <is>
          <t>Allmännings- och besparingsskogar</t>
        </is>
      </c>
      <c r="G293" t="n">
        <v>9.6</v>
      </c>
      <c r="H293" t="n">
        <v>0</v>
      </c>
      <c r="I293" t="n">
        <v>0</v>
      </c>
      <c r="J293" t="n">
        <v>0</v>
      </c>
      <c r="K293" t="n">
        <v>0</v>
      </c>
      <c r="L293" t="n">
        <v>0</v>
      </c>
      <c r="M293" t="n">
        <v>0</v>
      </c>
      <c r="N293" t="n">
        <v>0</v>
      </c>
      <c r="O293" t="n">
        <v>0</v>
      </c>
      <c r="P293" t="n">
        <v>0</v>
      </c>
      <c r="Q293" t="n">
        <v>0</v>
      </c>
      <c r="R293" s="2" t="inlineStr"/>
    </row>
    <row r="294" ht="15" customHeight="1">
      <c r="A294" t="inlineStr">
        <is>
          <t>A 39816-2022</t>
        </is>
      </c>
      <c r="B294" s="1" t="n">
        <v>44819</v>
      </c>
      <c r="C294" s="1" t="n">
        <v>45761</v>
      </c>
      <c r="D294" t="inlineStr">
        <is>
          <t>DALARNAS LÄN</t>
        </is>
      </c>
      <c r="E294" t="inlineStr">
        <is>
          <t>ORSA</t>
        </is>
      </c>
      <c r="F294" t="inlineStr">
        <is>
          <t>Allmännings- och besparingsskogar</t>
        </is>
      </c>
      <c r="G294" t="n">
        <v>4.3</v>
      </c>
      <c r="H294" t="n">
        <v>0</v>
      </c>
      <c r="I294" t="n">
        <v>0</v>
      </c>
      <c r="J294" t="n">
        <v>0</v>
      </c>
      <c r="K294" t="n">
        <v>0</v>
      </c>
      <c r="L294" t="n">
        <v>0</v>
      </c>
      <c r="M294" t="n">
        <v>0</v>
      </c>
      <c r="N294" t="n">
        <v>0</v>
      </c>
      <c r="O294" t="n">
        <v>0</v>
      </c>
      <c r="P294" t="n">
        <v>0</v>
      </c>
      <c r="Q294" t="n">
        <v>0</v>
      </c>
      <c r="R294" s="2" t="inlineStr"/>
    </row>
    <row r="295" ht="15" customHeight="1">
      <c r="A295" t="inlineStr">
        <is>
          <t>A 39893-2022</t>
        </is>
      </c>
      <c r="B295" s="1" t="n">
        <v>44819</v>
      </c>
      <c r="C295" s="1" t="n">
        <v>45761</v>
      </c>
      <c r="D295" t="inlineStr">
        <is>
          <t>DALARNAS LÄN</t>
        </is>
      </c>
      <c r="E295" t="inlineStr">
        <is>
          <t>ORSA</t>
        </is>
      </c>
      <c r="G295" t="n">
        <v>1.8</v>
      </c>
      <c r="H295" t="n">
        <v>0</v>
      </c>
      <c r="I295" t="n">
        <v>0</v>
      </c>
      <c r="J295" t="n">
        <v>0</v>
      </c>
      <c r="K295" t="n">
        <v>0</v>
      </c>
      <c r="L295" t="n">
        <v>0</v>
      </c>
      <c r="M295" t="n">
        <v>0</v>
      </c>
      <c r="N295" t="n">
        <v>0</v>
      </c>
      <c r="O295" t="n">
        <v>0</v>
      </c>
      <c r="P295" t="n">
        <v>0</v>
      </c>
      <c r="Q295" t="n">
        <v>0</v>
      </c>
      <c r="R295" s="2" t="inlineStr"/>
    </row>
    <row r="296" ht="15" customHeight="1">
      <c r="A296" t="inlineStr">
        <is>
          <t>A 40945-2022</t>
        </is>
      </c>
      <c r="B296" s="1" t="n">
        <v>44825</v>
      </c>
      <c r="C296" s="1" t="n">
        <v>45761</v>
      </c>
      <c r="D296" t="inlineStr">
        <is>
          <t>DALARNAS LÄN</t>
        </is>
      </c>
      <c r="E296" t="inlineStr">
        <is>
          <t>ORSA</t>
        </is>
      </c>
      <c r="F296" t="inlineStr">
        <is>
          <t>Allmännings- och besparingsskogar</t>
        </is>
      </c>
      <c r="G296" t="n">
        <v>8.9</v>
      </c>
      <c r="H296" t="n">
        <v>0</v>
      </c>
      <c r="I296" t="n">
        <v>0</v>
      </c>
      <c r="J296" t="n">
        <v>0</v>
      </c>
      <c r="K296" t="n">
        <v>0</v>
      </c>
      <c r="L296" t="n">
        <v>0</v>
      </c>
      <c r="M296" t="n">
        <v>0</v>
      </c>
      <c r="N296" t="n">
        <v>0</v>
      </c>
      <c r="O296" t="n">
        <v>0</v>
      </c>
      <c r="P296" t="n">
        <v>0</v>
      </c>
      <c r="Q296" t="n">
        <v>0</v>
      </c>
      <c r="R296" s="2" t="inlineStr"/>
    </row>
    <row r="297" ht="15" customHeight="1">
      <c r="A297" t="inlineStr">
        <is>
          <t>A 42346-2022</t>
        </is>
      </c>
      <c r="B297" s="1" t="n">
        <v>44831</v>
      </c>
      <c r="C297" s="1" t="n">
        <v>45761</v>
      </c>
      <c r="D297" t="inlineStr">
        <is>
          <t>DALARNAS LÄN</t>
        </is>
      </c>
      <c r="E297" t="inlineStr">
        <is>
          <t>ORSA</t>
        </is>
      </c>
      <c r="G297" t="n">
        <v>2.4</v>
      </c>
      <c r="H297" t="n">
        <v>0</v>
      </c>
      <c r="I297" t="n">
        <v>0</v>
      </c>
      <c r="J297" t="n">
        <v>0</v>
      </c>
      <c r="K297" t="n">
        <v>0</v>
      </c>
      <c r="L297" t="n">
        <v>0</v>
      </c>
      <c r="M297" t="n">
        <v>0</v>
      </c>
      <c r="N297" t="n">
        <v>0</v>
      </c>
      <c r="O297" t="n">
        <v>0</v>
      </c>
      <c r="P297" t="n">
        <v>0</v>
      </c>
      <c r="Q297" t="n">
        <v>0</v>
      </c>
      <c r="R297" s="2" t="inlineStr"/>
    </row>
    <row r="298" ht="15" customHeight="1">
      <c r="A298" t="inlineStr">
        <is>
          <t>A 44035-2022</t>
        </is>
      </c>
      <c r="B298" s="1" t="n">
        <v>44839</v>
      </c>
      <c r="C298" s="1" t="n">
        <v>45761</v>
      </c>
      <c r="D298" t="inlineStr">
        <is>
          <t>DALARNAS LÄN</t>
        </is>
      </c>
      <c r="E298" t="inlineStr">
        <is>
          <t>ORSA</t>
        </is>
      </c>
      <c r="G298" t="n">
        <v>5.8</v>
      </c>
      <c r="H298" t="n">
        <v>0</v>
      </c>
      <c r="I298" t="n">
        <v>0</v>
      </c>
      <c r="J298" t="n">
        <v>0</v>
      </c>
      <c r="K298" t="n">
        <v>0</v>
      </c>
      <c r="L298" t="n">
        <v>0</v>
      </c>
      <c r="M298" t="n">
        <v>0</v>
      </c>
      <c r="N298" t="n">
        <v>0</v>
      </c>
      <c r="O298" t="n">
        <v>0</v>
      </c>
      <c r="P298" t="n">
        <v>0</v>
      </c>
      <c r="Q298" t="n">
        <v>0</v>
      </c>
      <c r="R298" s="2" t="inlineStr"/>
    </row>
    <row r="299" ht="15" customHeight="1">
      <c r="A299" t="inlineStr">
        <is>
          <t>A 44033-2022</t>
        </is>
      </c>
      <c r="B299" s="1" t="n">
        <v>44838</v>
      </c>
      <c r="C299" s="1" t="n">
        <v>45761</v>
      </c>
      <c r="D299" t="inlineStr">
        <is>
          <t>DALARNAS LÄN</t>
        </is>
      </c>
      <c r="E299" t="inlineStr">
        <is>
          <t>ORSA</t>
        </is>
      </c>
      <c r="G299" t="n">
        <v>5.3</v>
      </c>
      <c r="H299" t="n">
        <v>0</v>
      </c>
      <c r="I299" t="n">
        <v>0</v>
      </c>
      <c r="J299" t="n">
        <v>0</v>
      </c>
      <c r="K299" t="n">
        <v>0</v>
      </c>
      <c r="L299" t="n">
        <v>0</v>
      </c>
      <c r="M299" t="n">
        <v>0</v>
      </c>
      <c r="N299" t="n">
        <v>0</v>
      </c>
      <c r="O299" t="n">
        <v>0</v>
      </c>
      <c r="P299" t="n">
        <v>0</v>
      </c>
      <c r="Q299" t="n">
        <v>0</v>
      </c>
      <c r="R299" s="2" t="inlineStr"/>
    </row>
    <row r="300" ht="15" customHeight="1">
      <c r="A300" t="inlineStr">
        <is>
          <t>A 44257-2022</t>
        </is>
      </c>
      <c r="B300" s="1" t="n">
        <v>44839</v>
      </c>
      <c r="C300" s="1" t="n">
        <v>45761</v>
      </c>
      <c r="D300" t="inlineStr">
        <is>
          <t>DALARNAS LÄN</t>
        </is>
      </c>
      <c r="E300" t="inlineStr">
        <is>
          <t>ORSA</t>
        </is>
      </c>
      <c r="G300" t="n">
        <v>13.1</v>
      </c>
      <c r="H300" t="n">
        <v>0</v>
      </c>
      <c r="I300" t="n">
        <v>0</v>
      </c>
      <c r="J300" t="n">
        <v>0</v>
      </c>
      <c r="K300" t="n">
        <v>0</v>
      </c>
      <c r="L300" t="n">
        <v>0</v>
      </c>
      <c r="M300" t="n">
        <v>0</v>
      </c>
      <c r="N300" t="n">
        <v>0</v>
      </c>
      <c r="O300" t="n">
        <v>0</v>
      </c>
      <c r="P300" t="n">
        <v>0</v>
      </c>
      <c r="Q300" t="n">
        <v>0</v>
      </c>
      <c r="R300" s="2" t="inlineStr"/>
    </row>
    <row r="301" ht="15" customHeight="1">
      <c r="A301" t="inlineStr">
        <is>
          <t>A 45272-2022</t>
        </is>
      </c>
      <c r="B301" s="1" t="n">
        <v>44844</v>
      </c>
      <c r="C301" s="1" t="n">
        <v>45761</v>
      </c>
      <c r="D301" t="inlineStr">
        <is>
          <t>DALARNAS LÄN</t>
        </is>
      </c>
      <c r="E301" t="inlineStr">
        <is>
          <t>ORSA</t>
        </is>
      </c>
      <c r="G301" t="n">
        <v>0.3</v>
      </c>
      <c r="H301" t="n">
        <v>0</v>
      </c>
      <c r="I301" t="n">
        <v>0</v>
      </c>
      <c r="J301" t="n">
        <v>0</v>
      </c>
      <c r="K301" t="n">
        <v>0</v>
      </c>
      <c r="L301" t="n">
        <v>0</v>
      </c>
      <c r="M301" t="n">
        <v>0</v>
      </c>
      <c r="N301" t="n">
        <v>0</v>
      </c>
      <c r="O301" t="n">
        <v>0</v>
      </c>
      <c r="P301" t="n">
        <v>0</v>
      </c>
      <c r="Q301" t="n">
        <v>0</v>
      </c>
      <c r="R301" s="2" t="inlineStr"/>
    </row>
    <row r="302" ht="15" customHeight="1">
      <c r="A302" t="inlineStr">
        <is>
          <t>A 46244-2022</t>
        </is>
      </c>
      <c r="B302" s="1" t="n">
        <v>44847</v>
      </c>
      <c r="C302" s="1" t="n">
        <v>45761</v>
      </c>
      <c r="D302" t="inlineStr">
        <is>
          <t>DALARNAS LÄN</t>
        </is>
      </c>
      <c r="E302" t="inlineStr">
        <is>
          <t>ORSA</t>
        </is>
      </c>
      <c r="F302" t="inlineStr">
        <is>
          <t>Bergvik skog öst AB</t>
        </is>
      </c>
      <c r="G302" t="n">
        <v>2.6</v>
      </c>
      <c r="H302" t="n">
        <v>0</v>
      </c>
      <c r="I302" t="n">
        <v>0</v>
      </c>
      <c r="J302" t="n">
        <v>0</v>
      </c>
      <c r="K302" t="n">
        <v>0</v>
      </c>
      <c r="L302" t="n">
        <v>0</v>
      </c>
      <c r="M302" t="n">
        <v>0</v>
      </c>
      <c r="N302" t="n">
        <v>0</v>
      </c>
      <c r="O302" t="n">
        <v>0</v>
      </c>
      <c r="P302" t="n">
        <v>0</v>
      </c>
      <c r="Q302" t="n">
        <v>0</v>
      </c>
      <c r="R302" s="2" t="inlineStr"/>
    </row>
    <row r="303" ht="15" customHeight="1">
      <c r="A303" t="inlineStr">
        <is>
          <t>A 47135-2022</t>
        </is>
      </c>
      <c r="B303" s="1" t="n">
        <v>44852</v>
      </c>
      <c r="C303" s="1" t="n">
        <v>45761</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47707-2022</t>
        </is>
      </c>
      <c r="B304" s="1" t="n">
        <v>44854</v>
      </c>
      <c r="C304" s="1" t="n">
        <v>45761</v>
      </c>
      <c r="D304" t="inlineStr">
        <is>
          <t>DALARNAS LÄN</t>
        </is>
      </c>
      <c r="E304" t="inlineStr">
        <is>
          <t>ORSA</t>
        </is>
      </c>
      <c r="F304" t="inlineStr">
        <is>
          <t>Bergvik skog öst AB</t>
        </is>
      </c>
      <c r="G304" t="n">
        <v>6.6</v>
      </c>
      <c r="H304" t="n">
        <v>0</v>
      </c>
      <c r="I304" t="n">
        <v>0</v>
      </c>
      <c r="J304" t="n">
        <v>0</v>
      </c>
      <c r="K304" t="n">
        <v>0</v>
      </c>
      <c r="L304" t="n">
        <v>0</v>
      </c>
      <c r="M304" t="n">
        <v>0</v>
      </c>
      <c r="N304" t="n">
        <v>0</v>
      </c>
      <c r="O304" t="n">
        <v>0</v>
      </c>
      <c r="P304" t="n">
        <v>0</v>
      </c>
      <c r="Q304" t="n">
        <v>0</v>
      </c>
      <c r="R304" s="2" t="inlineStr"/>
    </row>
    <row r="305" ht="15" customHeight="1">
      <c r="A305" t="inlineStr">
        <is>
          <t>A 47740-2022</t>
        </is>
      </c>
      <c r="B305" s="1" t="n">
        <v>44854</v>
      </c>
      <c r="C305" s="1" t="n">
        <v>45761</v>
      </c>
      <c r="D305" t="inlineStr">
        <is>
          <t>DALARNAS LÄN</t>
        </is>
      </c>
      <c r="E305" t="inlineStr">
        <is>
          <t>ORSA</t>
        </is>
      </c>
      <c r="F305" t="inlineStr">
        <is>
          <t>Bergvik skog öst AB</t>
        </is>
      </c>
      <c r="G305" t="n">
        <v>3.5</v>
      </c>
      <c r="H305" t="n">
        <v>0</v>
      </c>
      <c r="I305" t="n">
        <v>0</v>
      </c>
      <c r="J305" t="n">
        <v>0</v>
      </c>
      <c r="K305" t="n">
        <v>0</v>
      </c>
      <c r="L305" t="n">
        <v>0</v>
      </c>
      <c r="M305" t="n">
        <v>0</v>
      </c>
      <c r="N305" t="n">
        <v>0</v>
      </c>
      <c r="O305" t="n">
        <v>0</v>
      </c>
      <c r="P305" t="n">
        <v>0</v>
      </c>
      <c r="Q305" t="n">
        <v>0</v>
      </c>
      <c r="R305" s="2" t="inlineStr"/>
    </row>
    <row r="306" ht="15" customHeight="1">
      <c r="A306" t="inlineStr">
        <is>
          <t>A 47735-2022</t>
        </is>
      </c>
      <c r="B306" s="1" t="n">
        <v>44854</v>
      </c>
      <c r="C306" s="1" t="n">
        <v>45761</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47732-2022</t>
        </is>
      </c>
      <c r="B307" s="1" t="n">
        <v>44854</v>
      </c>
      <c r="C307" s="1" t="n">
        <v>45761</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47746-2022</t>
        </is>
      </c>
      <c r="B308" s="1" t="n">
        <v>44854</v>
      </c>
      <c r="C308" s="1" t="n">
        <v>45761</v>
      </c>
      <c r="D308" t="inlineStr">
        <is>
          <t>DALARNAS LÄN</t>
        </is>
      </c>
      <c r="E308" t="inlineStr">
        <is>
          <t>ORSA</t>
        </is>
      </c>
      <c r="F308" t="inlineStr">
        <is>
          <t>Bergvik skog öst AB</t>
        </is>
      </c>
      <c r="G308" t="n">
        <v>1.4</v>
      </c>
      <c r="H308" t="n">
        <v>0</v>
      </c>
      <c r="I308" t="n">
        <v>0</v>
      </c>
      <c r="J308" t="n">
        <v>0</v>
      </c>
      <c r="K308" t="n">
        <v>0</v>
      </c>
      <c r="L308" t="n">
        <v>0</v>
      </c>
      <c r="M308" t="n">
        <v>0</v>
      </c>
      <c r="N308" t="n">
        <v>0</v>
      </c>
      <c r="O308" t="n">
        <v>0</v>
      </c>
      <c r="P308" t="n">
        <v>0</v>
      </c>
      <c r="Q308" t="n">
        <v>0</v>
      </c>
      <c r="R308" s="2" t="inlineStr"/>
    </row>
    <row r="309" ht="15" customHeight="1">
      <c r="A309" t="inlineStr">
        <is>
          <t>A 47742-2022</t>
        </is>
      </c>
      <c r="B309" s="1" t="n">
        <v>44854</v>
      </c>
      <c r="C309" s="1" t="n">
        <v>45761</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48131-2022</t>
        </is>
      </c>
      <c r="B310" s="1" t="n">
        <v>44857</v>
      </c>
      <c r="C310" s="1" t="n">
        <v>45761</v>
      </c>
      <c r="D310" t="inlineStr">
        <is>
          <t>DALARNAS LÄN</t>
        </is>
      </c>
      <c r="E310" t="inlineStr">
        <is>
          <t>ORSA</t>
        </is>
      </c>
      <c r="F310" t="inlineStr">
        <is>
          <t>Bergvik skog öst AB</t>
        </is>
      </c>
      <c r="G310" t="n">
        <v>3.4</v>
      </c>
      <c r="H310" t="n">
        <v>0</v>
      </c>
      <c r="I310" t="n">
        <v>0</v>
      </c>
      <c r="J310" t="n">
        <v>0</v>
      </c>
      <c r="K310" t="n">
        <v>0</v>
      </c>
      <c r="L310" t="n">
        <v>0</v>
      </c>
      <c r="M310" t="n">
        <v>0</v>
      </c>
      <c r="N310" t="n">
        <v>0</v>
      </c>
      <c r="O310" t="n">
        <v>0</v>
      </c>
      <c r="P310" t="n">
        <v>0</v>
      </c>
      <c r="Q310" t="n">
        <v>0</v>
      </c>
      <c r="R310" s="2" t="inlineStr"/>
    </row>
    <row r="311" ht="15" customHeight="1">
      <c r="A311" t="inlineStr">
        <is>
          <t>A 48132-2022</t>
        </is>
      </c>
      <c r="B311" s="1" t="n">
        <v>44857</v>
      </c>
      <c r="C311" s="1" t="n">
        <v>45761</v>
      </c>
      <c r="D311" t="inlineStr">
        <is>
          <t>DALARNAS LÄN</t>
        </is>
      </c>
      <c r="E311" t="inlineStr">
        <is>
          <t>ORSA</t>
        </is>
      </c>
      <c r="F311" t="inlineStr">
        <is>
          <t>Bergvik skog öst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48213-2022</t>
        </is>
      </c>
      <c r="B312" s="1" t="n">
        <v>44858</v>
      </c>
      <c r="C312" s="1" t="n">
        <v>45761</v>
      </c>
      <c r="D312" t="inlineStr">
        <is>
          <t>DALARNAS LÄN</t>
        </is>
      </c>
      <c r="E312" t="inlineStr">
        <is>
          <t>ORSA</t>
        </is>
      </c>
      <c r="F312" t="inlineStr">
        <is>
          <t>Allmännings- och besparingsskogar</t>
        </is>
      </c>
      <c r="G312" t="n">
        <v>4.1</v>
      </c>
      <c r="H312" t="n">
        <v>0</v>
      </c>
      <c r="I312" t="n">
        <v>0</v>
      </c>
      <c r="J312" t="n">
        <v>0</v>
      </c>
      <c r="K312" t="n">
        <v>0</v>
      </c>
      <c r="L312" t="n">
        <v>0</v>
      </c>
      <c r="M312" t="n">
        <v>0</v>
      </c>
      <c r="N312" t="n">
        <v>0</v>
      </c>
      <c r="O312" t="n">
        <v>0</v>
      </c>
      <c r="P312" t="n">
        <v>0</v>
      </c>
      <c r="Q312" t="n">
        <v>0</v>
      </c>
      <c r="R312" s="2" t="inlineStr"/>
    </row>
    <row r="313" ht="15" customHeight="1">
      <c r="A313" t="inlineStr">
        <is>
          <t>A 48696-2022</t>
        </is>
      </c>
      <c r="B313" s="1" t="n">
        <v>44859</v>
      </c>
      <c r="C313" s="1" t="n">
        <v>45761</v>
      </c>
      <c r="D313" t="inlineStr">
        <is>
          <t>DALARNAS LÄN</t>
        </is>
      </c>
      <c r="E313" t="inlineStr">
        <is>
          <t>ORSA</t>
        </is>
      </c>
      <c r="F313" t="inlineStr">
        <is>
          <t>Bergvik skog öst AB</t>
        </is>
      </c>
      <c r="G313" t="n">
        <v>4.9</v>
      </c>
      <c r="H313" t="n">
        <v>0</v>
      </c>
      <c r="I313" t="n">
        <v>0</v>
      </c>
      <c r="J313" t="n">
        <v>0</v>
      </c>
      <c r="K313" t="n">
        <v>0</v>
      </c>
      <c r="L313" t="n">
        <v>0</v>
      </c>
      <c r="M313" t="n">
        <v>0</v>
      </c>
      <c r="N313" t="n">
        <v>0</v>
      </c>
      <c r="O313" t="n">
        <v>0</v>
      </c>
      <c r="P313" t="n">
        <v>0</v>
      </c>
      <c r="Q313" t="n">
        <v>0</v>
      </c>
      <c r="R313" s="2" t="inlineStr"/>
    </row>
    <row r="314" ht="15" customHeight="1">
      <c r="A314" t="inlineStr">
        <is>
          <t>A 50454-2022</t>
        </is>
      </c>
      <c r="B314" s="1" t="n">
        <v>44866</v>
      </c>
      <c r="C314" s="1" t="n">
        <v>45761</v>
      </c>
      <c r="D314" t="inlineStr">
        <is>
          <t>DALARNAS LÄN</t>
        </is>
      </c>
      <c r="E314" t="inlineStr">
        <is>
          <t>ORSA</t>
        </is>
      </c>
      <c r="G314" t="n">
        <v>1.5</v>
      </c>
      <c r="H314" t="n">
        <v>0</v>
      </c>
      <c r="I314" t="n">
        <v>0</v>
      </c>
      <c r="J314" t="n">
        <v>0</v>
      </c>
      <c r="K314" t="n">
        <v>0</v>
      </c>
      <c r="L314" t="n">
        <v>0</v>
      </c>
      <c r="M314" t="n">
        <v>0</v>
      </c>
      <c r="N314" t="n">
        <v>0</v>
      </c>
      <c r="O314" t="n">
        <v>0</v>
      </c>
      <c r="P314" t="n">
        <v>0</v>
      </c>
      <c r="Q314" t="n">
        <v>0</v>
      </c>
      <c r="R314" s="2" t="inlineStr"/>
    </row>
    <row r="315" ht="15" customHeight="1">
      <c r="A315" t="inlineStr">
        <is>
          <t>A 50474-2022</t>
        </is>
      </c>
      <c r="B315" s="1" t="n">
        <v>44866</v>
      </c>
      <c r="C315" s="1" t="n">
        <v>45761</v>
      </c>
      <c r="D315" t="inlineStr">
        <is>
          <t>DALARNAS LÄN</t>
        </is>
      </c>
      <c r="E315" t="inlineStr">
        <is>
          <t>ORSA</t>
        </is>
      </c>
      <c r="G315" t="n">
        <v>0.6</v>
      </c>
      <c r="H315" t="n">
        <v>0</v>
      </c>
      <c r="I315" t="n">
        <v>0</v>
      </c>
      <c r="J315" t="n">
        <v>0</v>
      </c>
      <c r="K315" t="n">
        <v>0</v>
      </c>
      <c r="L315" t="n">
        <v>0</v>
      </c>
      <c r="M315" t="n">
        <v>0</v>
      </c>
      <c r="N315" t="n">
        <v>0</v>
      </c>
      <c r="O315" t="n">
        <v>0</v>
      </c>
      <c r="P315" t="n">
        <v>0</v>
      </c>
      <c r="Q315" t="n">
        <v>0</v>
      </c>
      <c r="R315" s="2" t="inlineStr"/>
    </row>
    <row r="316" ht="15" customHeight="1">
      <c r="A316" t="inlineStr">
        <is>
          <t>A 51395-2022</t>
        </is>
      </c>
      <c r="B316" s="1" t="n">
        <v>44869</v>
      </c>
      <c r="C316" s="1" t="n">
        <v>45761</v>
      </c>
      <c r="D316" t="inlineStr">
        <is>
          <t>DALARNAS LÄN</t>
        </is>
      </c>
      <c r="E316" t="inlineStr">
        <is>
          <t>ORSA</t>
        </is>
      </c>
      <c r="F316" t="inlineStr">
        <is>
          <t>Kyrkan</t>
        </is>
      </c>
      <c r="G316" t="n">
        <v>11.8</v>
      </c>
      <c r="H316" t="n">
        <v>0</v>
      </c>
      <c r="I316" t="n">
        <v>0</v>
      </c>
      <c r="J316" t="n">
        <v>0</v>
      </c>
      <c r="K316" t="n">
        <v>0</v>
      </c>
      <c r="L316" t="n">
        <v>0</v>
      </c>
      <c r="M316" t="n">
        <v>0</v>
      </c>
      <c r="N316" t="n">
        <v>0</v>
      </c>
      <c r="O316" t="n">
        <v>0</v>
      </c>
      <c r="P316" t="n">
        <v>0</v>
      </c>
      <c r="Q316" t="n">
        <v>0</v>
      </c>
      <c r="R316" s="2" t="inlineStr"/>
    </row>
    <row r="317" ht="15" customHeight="1">
      <c r="A317" t="inlineStr">
        <is>
          <t>A 51915-2022</t>
        </is>
      </c>
      <c r="B317" s="1" t="n">
        <v>44872</v>
      </c>
      <c r="C317" s="1" t="n">
        <v>45761</v>
      </c>
      <c r="D317" t="inlineStr">
        <is>
          <t>DALARNAS LÄN</t>
        </is>
      </c>
      <c r="E317" t="inlineStr">
        <is>
          <t>ORSA</t>
        </is>
      </c>
      <c r="G317" t="n">
        <v>0.7</v>
      </c>
      <c r="H317" t="n">
        <v>0</v>
      </c>
      <c r="I317" t="n">
        <v>0</v>
      </c>
      <c r="J317" t="n">
        <v>0</v>
      </c>
      <c r="K317" t="n">
        <v>0</v>
      </c>
      <c r="L317" t="n">
        <v>0</v>
      </c>
      <c r="M317" t="n">
        <v>0</v>
      </c>
      <c r="N317" t="n">
        <v>0</v>
      </c>
      <c r="O317" t="n">
        <v>0</v>
      </c>
      <c r="P317" t="n">
        <v>0</v>
      </c>
      <c r="Q317" t="n">
        <v>0</v>
      </c>
      <c r="R317" s="2" t="inlineStr"/>
    </row>
    <row r="318" ht="15" customHeight="1">
      <c r="A318" t="inlineStr">
        <is>
          <t>A 51864-2022</t>
        </is>
      </c>
      <c r="B318" s="1" t="n">
        <v>44872</v>
      </c>
      <c r="C318" s="1" t="n">
        <v>45761</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52579-2022</t>
        </is>
      </c>
      <c r="B319" s="1" t="n">
        <v>44874</v>
      </c>
      <c r="C319" s="1" t="n">
        <v>45761</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52776-2022</t>
        </is>
      </c>
      <c r="B320" s="1" t="n">
        <v>44875</v>
      </c>
      <c r="C320" s="1" t="n">
        <v>45761</v>
      </c>
      <c r="D320" t="inlineStr">
        <is>
          <t>DALARNAS LÄN</t>
        </is>
      </c>
      <c r="E320" t="inlineStr">
        <is>
          <t>ORSA</t>
        </is>
      </c>
      <c r="F320" t="inlineStr">
        <is>
          <t>Allmännings- och besparingsskogar</t>
        </is>
      </c>
      <c r="G320" t="n">
        <v>4.4</v>
      </c>
      <c r="H320" t="n">
        <v>0</v>
      </c>
      <c r="I320" t="n">
        <v>0</v>
      </c>
      <c r="J320" t="n">
        <v>0</v>
      </c>
      <c r="K320" t="n">
        <v>0</v>
      </c>
      <c r="L320" t="n">
        <v>0</v>
      </c>
      <c r="M320" t="n">
        <v>0</v>
      </c>
      <c r="N320" t="n">
        <v>0</v>
      </c>
      <c r="O320" t="n">
        <v>0</v>
      </c>
      <c r="P320" t="n">
        <v>0</v>
      </c>
      <c r="Q320" t="n">
        <v>0</v>
      </c>
      <c r="R320" s="2" t="inlineStr"/>
    </row>
    <row r="321" ht="15" customHeight="1">
      <c r="A321" t="inlineStr">
        <is>
          <t>A 53693-2022</t>
        </is>
      </c>
      <c r="B321" s="1" t="n">
        <v>44880</v>
      </c>
      <c r="C321" s="1" t="n">
        <v>45761</v>
      </c>
      <c r="D321" t="inlineStr">
        <is>
          <t>DALARNAS LÄN</t>
        </is>
      </c>
      <c r="E321" t="inlineStr">
        <is>
          <t>ORSA</t>
        </is>
      </c>
      <c r="F321" t="inlineStr">
        <is>
          <t>Allmännings- och besparingsskogar</t>
        </is>
      </c>
      <c r="G321" t="n">
        <v>3</v>
      </c>
      <c r="H321" t="n">
        <v>0</v>
      </c>
      <c r="I321" t="n">
        <v>0</v>
      </c>
      <c r="J321" t="n">
        <v>0</v>
      </c>
      <c r="K321" t="n">
        <v>0</v>
      </c>
      <c r="L321" t="n">
        <v>0</v>
      </c>
      <c r="M321" t="n">
        <v>0</v>
      </c>
      <c r="N321" t="n">
        <v>0</v>
      </c>
      <c r="O321" t="n">
        <v>0</v>
      </c>
      <c r="P321" t="n">
        <v>0</v>
      </c>
      <c r="Q321" t="n">
        <v>0</v>
      </c>
      <c r="R321" s="2" t="inlineStr"/>
    </row>
    <row r="322" ht="15" customHeight="1">
      <c r="A322" t="inlineStr">
        <is>
          <t>A 53704-2022</t>
        </is>
      </c>
      <c r="B322" s="1" t="n">
        <v>44880</v>
      </c>
      <c r="C322" s="1" t="n">
        <v>45761</v>
      </c>
      <c r="D322" t="inlineStr">
        <is>
          <t>DALARNAS LÄN</t>
        </is>
      </c>
      <c r="E322" t="inlineStr">
        <is>
          <t>ORSA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53709-2022</t>
        </is>
      </c>
      <c r="B323" s="1" t="n">
        <v>44880</v>
      </c>
      <c r="C323" s="1" t="n">
        <v>45761</v>
      </c>
      <c r="D323" t="inlineStr">
        <is>
          <t>DALARNAS LÄN</t>
        </is>
      </c>
      <c r="E323" t="inlineStr">
        <is>
          <t>ORSA</t>
        </is>
      </c>
      <c r="F323" t="inlineStr">
        <is>
          <t>Allmännings- och besparingsskogar</t>
        </is>
      </c>
      <c r="G323" t="n">
        <v>3.3</v>
      </c>
      <c r="H323" t="n">
        <v>0</v>
      </c>
      <c r="I323" t="n">
        <v>0</v>
      </c>
      <c r="J323" t="n">
        <v>0</v>
      </c>
      <c r="K323" t="n">
        <v>0</v>
      </c>
      <c r="L323" t="n">
        <v>0</v>
      </c>
      <c r="M323" t="n">
        <v>0</v>
      </c>
      <c r="N323" t="n">
        <v>0</v>
      </c>
      <c r="O323" t="n">
        <v>0</v>
      </c>
      <c r="P323" t="n">
        <v>0</v>
      </c>
      <c r="Q323" t="n">
        <v>0</v>
      </c>
      <c r="R323" s="2" t="inlineStr"/>
    </row>
    <row r="324" ht="15" customHeight="1">
      <c r="A324" t="inlineStr">
        <is>
          <t>A 53831-2022</t>
        </is>
      </c>
      <c r="B324" s="1" t="n">
        <v>44880</v>
      </c>
      <c r="C324" s="1" t="n">
        <v>45761</v>
      </c>
      <c r="D324" t="inlineStr">
        <is>
          <t>DALARNAS LÄN</t>
        </is>
      </c>
      <c r="E324" t="inlineStr">
        <is>
          <t>ORSA</t>
        </is>
      </c>
      <c r="F324" t="inlineStr">
        <is>
          <t>Allmännings- och besparingsskogar</t>
        </is>
      </c>
      <c r="G324" t="n">
        <v>14.6</v>
      </c>
      <c r="H324" t="n">
        <v>0</v>
      </c>
      <c r="I324" t="n">
        <v>0</v>
      </c>
      <c r="J324" t="n">
        <v>0</v>
      </c>
      <c r="K324" t="n">
        <v>0</v>
      </c>
      <c r="L324" t="n">
        <v>0</v>
      </c>
      <c r="M324" t="n">
        <v>0</v>
      </c>
      <c r="N324" t="n">
        <v>0</v>
      </c>
      <c r="O324" t="n">
        <v>0</v>
      </c>
      <c r="P324" t="n">
        <v>0</v>
      </c>
      <c r="Q324" t="n">
        <v>0</v>
      </c>
      <c r="R324" s="2" t="inlineStr"/>
    </row>
    <row r="325" ht="15" customHeight="1">
      <c r="A325" t="inlineStr">
        <is>
          <t>A 55338-2022</t>
        </is>
      </c>
      <c r="B325" s="1" t="n">
        <v>44887</v>
      </c>
      <c r="C325" s="1" t="n">
        <v>45761</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55691-2022</t>
        </is>
      </c>
      <c r="B326" s="1" t="n">
        <v>44888</v>
      </c>
      <c r="C326" s="1" t="n">
        <v>45761</v>
      </c>
      <c r="D326" t="inlineStr">
        <is>
          <t>DALARNAS LÄN</t>
        </is>
      </c>
      <c r="E326" t="inlineStr">
        <is>
          <t>ORSA</t>
        </is>
      </c>
      <c r="G326" t="n">
        <v>0.4</v>
      </c>
      <c r="H326" t="n">
        <v>0</v>
      </c>
      <c r="I326" t="n">
        <v>0</v>
      </c>
      <c r="J326" t="n">
        <v>0</v>
      </c>
      <c r="K326" t="n">
        <v>0</v>
      </c>
      <c r="L326" t="n">
        <v>0</v>
      </c>
      <c r="M326" t="n">
        <v>0</v>
      </c>
      <c r="N326" t="n">
        <v>0</v>
      </c>
      <c r="O326" t="n">
        <v>0</v>
      </c>
      <c r="P326" t="n">
        <v>0</v>
      </c>
      <c r="Q326" t="n">
        <v>0</v>
      </c>
      <c r="R326" s="2" t="inlineStr"/>
    </row>
    <row r="327" ht="15" customHeight="1">
      <c r="A327" t="inlineStr">
        <is>
          <t>A 56587-2022</t>
        </is>
      </c>
      <c r="B327" s="1" t="n">
        <v>44893</v>
      </c>
      <c r="C327" s="1" t="n">
        <v>45761</v>
      </c>
      <c r="D327" t="inlineStr">
        <is>
          <t>DALARNAS LÄN</t>
        </is>
      </c>
      <c r="E327" t="inlineStr">
        <is>
          <t>ORSA</t>
        </is>
      </c>
      <c r="F327" t="inlineStr">
        <is>
          <t>Allmännings- och besparingsskogar</t>
        </is>
      </c>
      <c r="G327" t="n">
        <v>1.1</v>
      </c>
      <c r="H327" t="n">
        <v>0</v>
      </c>
      <c r="I327" t="n">
        <v>0</v>
      </c>
      <c r="J327" t="n">
        <v>0</v>
      </c>
      <c r="K327" t="n">
        <v>0</v>
      </c>
      <c r="L327" t="n">
        <v>0</v>
      </c>
      <c r="M327" t="n">
        <v>0</v>
      </c>
      <c r="N327" t="n">
        <v>0</v>
      </c>
      <c r="O327" t="n">
        <v>0</v>
      </c>
      <c r="P327" t="n">
        <v>0</v>
      </c>
      <c r="Q327" t="n">
        <v>0</v>
      </c>
      <c r="R327" s="2" t="inlineStr"/>
    </row>
    <row r="328" ht="15" customHeight="1">
      <c r="A328" t="inlineStr">
        <is>
          <t>A 56632-2022</t>
        </is>
      </c>
      <c r="B328" s="1" t="n">
        <v>44893</v>
      </c>
      <c r="C328" s="1" t="n">
        <v>45761</v>
      </c>
      <c r="D328" t="inlineStr">
        <is>
          <t>DALARNAS LÄN</t>
        </is>
      </c>
      <c r="E328" t="inlineStr">
        <is>
          <t>ORSA</t>
        </is>
      </c>
      <c r="G328" t="n">
        <v>6.7</v>
      </c>
      <c r="H328" t="n">
        <v>0</v>
      </c>
      <c r="I328" t="n">
        <v>0</v>
      </c>
      <c r="J328" t="n">
        <v>0</v>
      </c>
      <c r="K328" t="n">
        <v>0</v>
      </c>
      <c r="L328" t="n">
        <v>0</v>
      </c>
      <c r="M328" t="n">
        <v>0</v>
      </c>
      <c r="N328" t="n">
        <v>0</v>
      </c>
      <c r="O328" t="n">
        <v>0</v>
      </c>
      <c r="P328" t="n">
        <v>0</v>
      </c>
      <c r="Q328" t="n">
        <v>0</v>
      </c>
      <c r="R328" s="2" t="inlineStr"/>
    </row>
    <row r="329" ht="15" customHeight="1">
      <c r="A329" t="inlineStr">
        <is>
          <t>A 56578-2022</t>
        </is>
      </c>
      <c r="B329" s="1" t="n">
        <v>44893</v>
      </c>
      <c r="C329" s="1" t="n">
        <v>45761</v>
      </c>
      <c r="D329" t="inlineStr">
        <is>
          <t>DALARNAS LÄN</t>
        </is>
      </c>
      <c r="E329" t="inlineStr">
        <is>
          <t>ORSA</t>
        </is>
      </c>
      <c r="F329" t="inlineStr">
        <is>
          <t>Allmännings- och besparingsskogar</t>
        </is>
      </c>
      <c r="G329" t="n">
        <v>2.3</v>
      </c>
      <c r="H329" t="n">
        <v>0</v>
      </c>
      <c r="I329" t="n">
        <v>0</v>
      </c>
      <c r="J329" t="n">
        <v>0</v>
      </c>
      <c r="K329" t="n">
        <v>0</v>
      </c>
      <c r="L329" t="n">
        <v>0</v>
      </c>
      <c r="M329" t="n">
        <v>0</v>
      </c>
      <c r="N329" t="n">
        <v>0</v>
      </c>
      <c r="O329" t="n">
        <v>0</v>
      </c>
      <c r="P329" t="n">
        <v>0</v>
      </c>
      <c r="Q329" t="n">
        <v>0</v>
      </c>
      <c r="R329" s="2" t="inlineStr"/>
    </row>
    <row r="330" ht="15" customHeight="1">
      <c r="A330" t="inlineStr">
        <is>
          <t>A 57552-2022</t>
        </is>
      </c>
      <c r="B330" s="1" t="n">
        <v>44896</v>
      </c>
      <c r="C330" s="1" t="n">
        <v>45761</v>
      </c>
      <c r="D330" t="inlineStr">
        <is>
          <t>DALARNAS LÄN</t>
        </is>
      </c>
      <c r="E330" t="inlineStr">
        <is>
          <t>ORSA</t>
        </is>
      </c>
      <c r="F330" t="inlineStr">
        <is>
          <t>Bergvik skog öst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57533-2022</t>
        </is>
      </c>
      <c r="B331" s="1" t="n">
        <v>44896</v>
      </c>
      <c r="C331" s="1" t="n">
        <v>45761</v>
      </c>
      <c r="D331" t="inlineStr">
        <is>
          <t>DALARNAS LÄN</t>
        </is>
      </c>
      <c r="E331" t="inlineStr">
        <is>
          <t>ORSA</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58068-2022</t>
        </is>
      </c>
      <c r="B332" s="1" t="n">
        <v>44900</v>
      </c>
      <c r="C332" s="1" t="n">
        <v>45761</v>
      </c>
      <c r="D332" t="inlineStr">
        <is>
          <t>DALARNAS LÄN</t>
        </is>
      </c>
      <c r="E332" t="inlineStr">
        <is>
          <t>ORSA</t>
        </is>
      </c>
      <c r="F332" t="inlineStr">
        <is>
          <t>Bergvik skog öst AB</t>
        </is>
      </c>
      <c r="G332" t="n">
        <v>10.6</v>
      </c>
      <c r="H332" t="n">
        <v>0</v>
      </c>
      <c r="I332" t="n">
        <v>0</v>
      </c>
      <c r="J332" t="n">
        <v>0</v>
      </c>
      <c r="K332" t="n">
        <v>0</v>
      </c>
      <c r="L332" t="n">
        <v>0</v>
      </c>
      <c r="M332" t="n">
        <v>0</v>
      </c>
      <c r="N332" t="n">
        <v>0</v>
      </c>
      <c r="O332" t="n">
        <v>0</v>
      </c>
      <c r="P332" t="n">
        <v>0</v>
      </c>
      <c r="Q332" t="n">
        <v>0</v>
      </c>
      <c r="R332" s="2" t="inlineStr"/>
    </row>
    <row r="333" ht="15" customHeight="1">
      <c r="A333" t="inlineStr">
        <is>
          <t>A 58853-2022</t>
        </is>
      </c>
      <c r="B333" s="1" t="n">
        <v>44903</v>
      </c>
      <c r="C333" s="1" t="n">
        <v>45761</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58851-2022</t>
        </is>
      </c>
      <c r="B334" s="1" t="n">
        <v>44903</v>
      </c>
      <c r="C334" s="1" t="n">
        <v>45761</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58846-2022</t>
        </is>
      </c>
      <c r="B335" s="1" t="n">
        <v>44903</v>
      </c>
      <c r="C335" s="1" t="n">
        <v>45761</v>
      </c>
      <c r="D335" t="inlineStr">
        <is>
          <t>DALARNAS LÄN</t>
        </is>
      </c>
      <c r="E335" t="inlineStr">
        <is>
          <t>ORSA</t>
        </is>
      </c>
      <c r="F335" t="inlineStr">
        <is>
          <t>Bergvik skog öst AB</t>
        </is>
      </c>
      <c r="G335" t="n">
        <v>4.1</v>
      </c>
      <c r="H335" t="n">
        <v>0</v>
      </c>
      <c r="I335" t="n">
        <v>0</v>
      </c>
      <c r="J335" t="n">
        <v>0</v>
      </c>
      <c r="K335" t="n">
        <v>0</v>
      </c>
      <c r="L335" t="n">
        <v>0</v>
      </c>
      <c r="M335" t="n">
        <v>0</v>
      </c>
      <c r="N335" t="n">
        <v>0</v>
      </c>
      <c r="O335" t="n">
        <v>0</v>
      </c>
      <c r="P335" t="n">
        <v>0</v>
      </c>
      <c r="Q335" t="n">
        <v>0</v>
      </c>
      <c r="R335" s="2" t="inlineStr"/>
    </row>
    <row r="336" ht="15" customHeight="1">
      <c r="A336" t="inlineStr">
        <is>
          <t>A 59442-2022</t>
        </is>
      </c>
      <c r="B336" s="1" t="n">
        <v>44907</v>
      </c>
      <c r="C336" s="1" t="n">
        <v>45761</v>
      </c>
      <c r="D336" t="inlineStr">
        <is>
          <t>DALARNAS LÄN</t>
        </is>
      </c>
      <c r="E336" t="inlineStr">
        <is>
          <t>ORSA</t>
        </is>
      </c>
      <c r="G336" t="n">
        <v>0.9</v>
      </c>
      <c r="H336" t="n">
        <v>0</v>
      </c>
      <c r="I336" t="n">
        <v>0</v>
      </c>
      <c r="J336" t="n">
        <v>0</v>
      </c>
      <c r="K336" t="n">
        <v>0</v>
      </c>
      <c r="L336" t="n">
        <v>0</v>
      </c>
      <c r="M336" t="n">
        <v>0</v>
      </c>
      <c r="N336" t="n">
        <v>0</v>
      </c>
      <c r="O336" t="n">
        <v>0</v>
      </c>
      <c r="P336" t="n">
        <v>0</v>
      </c>
      <c r="Q336" t="n">
        <v>0</v>
      </c>
      <c r="R336" s="2" t="inlineStr"/>
    </row>
    <row r="337" ht="15" customHeight="1">
      <c r="A337" t="inlineStr">
        <is>
          <t>A 59462-2022</t>
        </is>
      </c>
      <c r="B337" s="1" t="n">
        <v>44907</v>
      </c>
      <c r="C337" s="1" t="n">
        <v>45761</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59737-2022</t>
        </is>
      </c>
      <c r="B338" s="1" t="n">
        <v>44908</v>
      </c>
      <c r="C338" s="1" t="n">
        <v>45761</v>
      </c>
      <c r="D338" t="inlineStr">
        <is>
          <t>DALARNAS LÄN</t>
        </is>
      </c>
      <c r="E338" t="inlineStr">
        <is>
          <t>ORSA</t>
        </is>
      </c>
      <c r="G338" t="n">
        <v>3.5</v>
      </c>
      <c r="H338" t="n">
        <v>0</v>
      </c>
      <c r="I338" t="n">
        <v>0</v>
      </c>
      <c r="J338" t="n">
        <v>0</v>
      </c>
      <c r="K338" t="n">
        <v>0</v>
      </c>
      <c r="L338" t="n">
        <v>0</v>
      </c>
      <c r="M338" t="n">
        <v>0</v>
      </c>
      <c r="N338" t="n">
        <v>0</v>
      </c>
      <c r="O338" t="n">
        <v>0</v>
      </c>
      <c r="P338" t="n">
        <v>0</v>
      </c>
      <c r="Q338" t="n">
        <v>0</v>
      </c>
      <c r="R338" s="2" t="inlineStr"/>
    </row>
    <row r="339" ht="15" customHeight="1">
      <c r="A339" t="inlineStr">
        <is>
          <t>A 59944-2022</t>
        </is>
      </c>
      <c r="B339" s="1" t="n">
        <v>44909</v>
      </c>
      <c r="C339" s="1" t="n">
        <v>45761</v>
      </c>
      <c r="D339" t="inlineStr">
        <is>
          <t>DALARNAS LÄN</t>
        </is>
      </c>
      <c r="E339" t="inlineStr">
        <is>
          <t>ORSA</t>
        </is>
      </c>
      <c r="F339" t="inlineStr">
        <is>
          <t>Allmännings- och besparingsskogar</t>
        </is>
      </c>
      <c r="G339" t="n">
        <v>5</v>
      </c>
      <c r="H339" t="n">
        <v>0</v>
      </c>
      <c r="I339" t="n">
        <v>0</v>
      </c>
      <c r="J339" t="n">
        <v>0</v>
      </c>
      <c r="K339" t="n">
        <v>0</v>
      </c>
      <c r="L339" t="n">
        <v>0</v>
      </c>
      <c r="M339" t="n">
        <v>0</v>
      </c>
      <c r="N339" t="n">
        <v>0</v>
      </c>
      <c r="O339" t="n">
        <v>0</v>
      </c>
      <c r="P339" t="n">
        <v>0</v>
      </c>
      <c r="Q339" t="n">
        <v>0</v>
      </c>
      <c r="R339" s="2" t="inlineStr"/>
    </row>
    <row r="340" ht="15" customHeight="1">
      <c r="A340" t="inlineStr">
        <is>
          <t>A 60189-2022</t>
        </is>
      </c>
      <c r="B340" s="1" t="n">
        <v>44910</v>
      </c>
      <c r="C340" s="1" t="n">
        <v>45761</v>
      </c>
      <c r="D340" t="inlineStr">
        <is>
          <t>DALARNAS LÄN</t>
        </is>
      </c>
      <c r="E340" t="inlineStr">
        <is>
          <t>ORSA</t>
        </is>
      </c>
      <c r="F340" t="inlineStr">
        <is>
          <t>Bergvik skog öst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60803-2022</t>
        </is>
      </c>
      <c r="B341" s="1" t="n">
        <v>44914</v>
      </c>
      <c r="C341" s="1" t="n">
        <v>45761</v>
      </c>
      <c r="D341" t="inlineStr">
        <is>
          <t>DALARNAS LÄN</t>
        </is>
      </c>
      <c r="E341" t="inlineStr">
        <is>
          <t>ORSA</t>
        </is>
      </c>
      <c r="G341" t="n">
        <v>1.2</v>
      </c>
      <c r="H341" t="n">
        <v>0</v>
      </c>
      <c r="I341" t="n">
        <v>0</v>
      </c>
      <c r="J341" t="n">
        <v>0</v>
      </c>
      <c r="K341" t="n">
        <v>0</v>
      </c>
      <c r="L341" t="n">
        <v>0</v>
      </c>
      <c r="M341" t="n">
        <v>0</v>
      </c>
      <c r="N341" t="n">
        <v>0</v>
      </c>
      <c r="O341" t="n">
        <v>0</v>
      </c>
      <c r="P341" t="n">
        <v>0</v>
      </c>
      <c r="Q341" t="n">
        <v>0</v>
      </c>
      <c r="R341" s="2" t="inlineStr"/>
    </row>
    <row r="342" ht="15" customHeight="1">
      <c r="A342" t="inlineStr">
        <is>
          <t>A 61118-2022</t>
        </is>
      </c>
      <c r="B342" s="1" t="n">
        <v>44915</v>
      </c>
      <c r="C342" s="1" t="n">
        <v>45761</v>
      </c>
      <c r="D342" t="inlineStr">
        <is>
          <t>DALARNAS LÄN</t>
        </is>
      </c>
      <c r="E342" t="inlineStr">
        <is>
          <t>ORSA</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61698-2022</t>
        </is>
      </c>
      <c r="B343" s="1" t="n">
        <v>44917</v>
      </c>
      <c r="C343" s="1" t="n">
        <v>45761</v>
      </c>
      <c r="D343" t="inlineStr">
        <is>
          <t>DALARNAS LÄN</t>
        </is>
      </c>
      <c r="E343" t="inlineStr">
        <is>
          <t>ORSA</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61699-2022</t>
        </is>
      </c>
      <c r="B344" s="1" t="n">
        <v>44917</v>
      </c>
      <c r="C344" s="1" t="n">
        <v>45761</v>
      </c>
      <c r="D344" t="inlineStr">
        <is>
          <t>DALARNAS LÄN</t>
        </is>
      </c>
      <c r="E344" t="inlineStr">
        <is>
          <t>ORSA</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61865-2022</t>
        </is>
      </c>
      <c r="B345" s="1" t="n">
        <v>44917</v>
      </c>
      <c r="C345" s="1" t="n">
        <v>45761</v>
      </c>
      <c r="D345" t="inlineStr">
        <is>
          <t>DALARNAS LÄN</t>
        </is>
      </c>
      <c r="E345" t="inlineStr">
        <is>
          <t>ORSA</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159-2023</t>
        </is>
      </c>
      <c r="B346" s="1" t="n">
        <v>44928</v>
      </c>
      <c r="C346" s="1" t="n">
        <v>45761</v>
      </c>
      <c r="D346" t="inlineStr">
        <is>
          <t>DALARNAS LÄN</t>
        </is>
      </c>
      <c r="E346" t="inlineStr">
        <is>
          <t>ORSA</t>
        </is>
      </c>
      <c r="F346" t="inlineStr">
        <is>
          <t>Kyrkan</t>
        </is>
      </c>
      <c r="G346" t="n">
        <v>5.8</v>
      </c>
      <c r="H346" t="n">
        <v>0</v>
      </c>
      <c r="I346" t="n">
        <v>0</v>
      </c>
      <c r="J346" t="n">
        <v>0</v>
      </c>
      <c r="K346" t="n">
        <v>0</v>
      </c>
      <c r="L346" t="n">
        <v>0</v>
      </c>
      <c r="M346" t="n">
        <v>0</v>
      </c>
      <c r="N346" t="n">
        <v>0</v>
      </c>
      <c r="O346" t="n">
        <v>0</v>
      </c>
      <c r="P346" t="n">
        <v>0</v>
      </c>
      <c r="Q346" t="n">
        <v>0</v>
      </c>
      <c r="R346" s="2" t="inlineStr"/>
    </row>
    <row r="347" ht="15" customHeight="1">
      <c r="A347" t="inlineStr">
        <is>
          <t>A 162-2023</t>
        </is>
      </c>
      <c r="B347" s="1" t="n">
        <v>44928</v>
      </c>
      <c r="C347" s="1" t="n">
        <v>45761</v>
      </c>
      <c r="D347" t="inlineStr">
        <is>
          <t>DALARNAS LÄN</t>
        </is>
      </c>
      <c r="E347" t="inlineStr">
        <is>
          <t>ORSA</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160-2023</t>
        </is>
      </c>
      <c r="B348" s="1" t="n">
        <v>44928</v>
      </c>
      <c r="C348" s="1" t="n">
        <v>45761</v>
      </c>
      <c r="D348" t="inlineStr">
        <is>
          <t>DALARNAS LÄN</t>
        </is>
      </c>
      <c r="E348" t="inlineStr">
        <is>
          <t>ORSA</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2044-2023</t>
        </is>
      </c>
      <c r="B349" s="1" t="n">
        <v>44939</v>
      </c>
      <c r="C349" s="1" t="n">
        <v>45761</v>
      </c>
      <c r="D349" t="inlineStr">
        <is>
          <t>DALARNAS LÄN</t>
        </is>
      </c>
      <c r="E349" t="inlineStr">
        <is>
          <t>ORSA</t>
        </is>
      </c>
      <c r="G349" t="n">
        <v>4.1</v>
      </c>
      <c r="H349" t="n">
        <v>0</v>
      </c>
      <c r="I349" t="n">
        <v>0</v>
      </c>
      <c r="J349" t="n">
        <v>0</v>
      </c>
      <c r="K349" t="n">
        <v>0</v>
      </c>
      <c r="L349" t="n">
        <v>0</v>
      </c>
      <c r="M349" t="n">
        <v>0</v>
      </c>
      <c r="N349" t="n">
        <v>0</v>
      </c>
      <c r="O349" t="n">
        <v>0</v>
      </c>
      <c r="P349" t="n">
        <v>0</v>
      </c>
      <c r="Q349" t="n">
        <v>0</v>
      </c>
      <c r="R349" s="2" t="inlineStr"/>
    </row>
    <row r="350" ht="15" customHeight="1">
      <c r="A350" t="inlineStr">
        <is>
          <t>A 2228-2023</t>
        </is>
      </c>
      <c r="B350" s="1" t="n">
        <v>44942</v>
      </c>
      <c r="C350" s="1" t="n">
        <v>45761</v>
      </c>
      <c r="D350" t="inlineStr">
        <is>
          <t>DALARNAS LÄN</t>
        </is>
      </c>
      <c r="E350" t="inlineStr">
        <is>
          <t>ORSA</t>
        </is>
      </c>
      <c r="G350" t="n">
        <v>6.4</v>
      </c>
      <c r="H350" t="n">
        <v>0</v>
      </c>
      <c r="I350" t="n">
        <v>0</v>
      </c>
      <c r="J350" t="n">
        <v>0</v>
      </c>
      <c r="K350" t="n">
        <v>0</v>
      </c>
      <c r="L350" t="n">
        <v>0</v>
      </c>
      <c r="M350" t="n">
        <v>0</v>
      </c>
      <c r="N350" t="n">
        <v>0</v>
      </c>
      <c r="O350" t="n">
        <v>0</v>
      </c>
      <c r="P350" t="n">
        <v>0</v>
      </c>
      <c r="Q350" t="n">
        <v>0</v>
      </c>
      <c r="R350" s="2" t="inlineStr"/>
    </row>
    <row r="351" ht="15" customHeight="1">
      <c r="A351" t="inlineStr">
        <is>
          <t>A 3318-2023</t>
        </is>
      </c>
      <c r="B351" s="1" t="n">
        <v>44949</v>
      </c>
      <c r="C351" s="1" t="n">
        <v>45761</v>
      </c>
      <c r="D351" t="inlineStr">
        <is>
          <t>DALARNAS LÄN</t>
        </is>
      </c>
      <c r="E351" t="inlineStr">
        <is>
          <t>ORSA</t>
        </is>
      </c>
      <c r="G351" t="n">
        <v>4.4</v>
      </c>
      <c r="H351" t="n">
        <v>0</v>
      </c>
      <c r="I351" t="n">
        <v>0</v>
      </c>
      <c r="J351" t="n">
        <v>0</v>
      </c>
      <c r="K351" t="n">
        <v>0</v>
      </c>
      <c r="L351" t="n">
        <v>0</v>
      </c>
      <c r="M351" t="n">
        <v>0</v>
      </c>
      <c r="N351" t="n">
        <v>0</v>
      </c>
      <c r="O351" t="n">
        <v>0</v>
      </c>
      <c r="P351" t="n">
        <v>0</v>
      </c>
      <c r="Q351" t="n">
        <v>0</v>
      </c>
      <c r="R351" s="2" t="inlineStr"/>
    </row>
    <row r="352" ht="15" customHeight="1">
      <c r="A352" t="inlineStr">
        <is>
          <t>A 3320-2023</t>
        </is>
      </c>
      <c r="B352" s="1" t="n">
        <v>44949</v>
      </c>
      <c r="C352" s="1" t="n">
        <v>45761</v>
      </c>
      <c r="D352" t="inlineStr">
        <is>
          <t>DALARNAS LÄN</t>
        </is>
      </c>
      <c r="E352" t="inlineStr">
        <is>
          <t>ORSA</t>
        </is>
      </c>
      <c r="G352" t="n">
        <v>1.9</v>
      </c>
      <c r="H352" t="n">
        <v>0</v>
      </c>
      <c r="I352" t="n">
        <v>0</v>
      </c>
      <c r="J352" t="n">
        <v>0</v>
      </c>
      <c r="K352" t="n">
        <v>0</v>
      </c>
      <c r="L352" t="n">
        <v>0</v>
      </c>
      <c r="M352" t="n">
        <v>0</v>
      </c>
      <c r="N352" t="n">
        <v>0</v>
      </c>
      <c r="O352" t="n">
        <v>0</v>
      </c>
      <c r="P352" t="n">
        <v>0</v>
      </c>
      <c r="Q352" t="n">
        <v>0</v>
      </c>
      <c r="R352" s="2" t="inlineStr"/>
    </row>
    <row r="353" ht="15" customHeight="1">
      <c r="A353" t="inlineStr">
        <is>
          <t>A 3720-2023</t>
        </is>
      </c>
      <c r="B353" s="1" t="n">
        <v>44951</v>
      </c>
      <c r="C353" s="1" t="n">
        <v>45761</v>
      </c>
      <c r="D353" t="inlineStr">
        <is>
          <t>DALARNAS LÄN</t>
        </is>
      </c>
      <c r="E353" t="inlineStr">
        <is>
          <t>ORSA</t>
        </is>
      </c>
      <c r="G353" t="n">
        <v>0.9</v>
      </c>
      <c r="H353" t="n">
        <v>0</v>
      </c>
      <c r="I353" t="n">
        <v>0</v>
      </c>
      <c r="J353" t="n">
        <v>0</v>
      </c>
      <c r="K353" t="n">
        <v>0</v>
      </c>
      <c r="L353" t="n">
        <v>0</v>
      </c>
      <c r="M353" t="n">
        <v>0</v>
      </c>
      <c r="N353" t="n">
        <v>0</v>
      </c>
      <c r="O353" t="n">
        <v>0</v>
      </c>
      <c r="P353" t="n">
        <v>0</v>
      </c>
      <c r="Q353" t="n">
        <v>0</v>
      </c>
      <c r="R353" s="2" t="inlineStr"/>
    </row>
    <row r="354" ht="15" customHeight="1">
      <c r="A354" t="inlineStr">
        <is>
          <t>A 3951-2023</t>
        </is>
      </c>
      <c r="B354" s="1" t="n">
        <v>44952</v>
      </c>
      <c r="C354" s="1" t="n">
        <v>45761</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6047-2023</t>
        </is>
      </c>
      <c r="B355" s="1" t="n">
        <v>44964</v>
      </c>
      <c r="C355" s="1" t="n">
        <v>45761</v>
      </c>
      <c r="D355" t="inlineStr">
        <is>
          <t>DALARNAS LÄN</t>
        </is>
      </c>
      <c r="E355" t="inlineStr">
        <is>
          <t>ORSA</t>
        </is>
      </c>
      <c r="F355" t="inlineStr">
        <is>
          <t>Bergvik skog öst AB</t>
        </is>
      </c>
      <c r="G355" t="n">
        <v>0.2</v>
      </c>
      <c r="H355" t="n">
        <v>0</v>
      </c>
      <c r="I355" t="n">
        <v>0</v>
      </c>
      <c r="J355" t="n">
        <v>0</v>
      </c>
      <c r="K355" t="n">
        <v>0</v>
      </c>
      <c r="L355" t="n">
        <v>0</v>
      </c>
      <c r="M355" t="n">
        <v>0</v>
      </c>
      <c r="N355" t="n">
        <v>0</v>
      </c>
      <c r="O355" t="n">
        <v>0</v>
      </c>
      <c r="P355" t="n">
        <v>0</v>
      </c>
      <c r="Q355" t="n">
        <v>0</v>
      </c>
      <c r="R355" s="2" t="inlineStr"/>
    </row>
    <row r="356" ht="15" customHeight="1">
      <c r="A356" t="inlineStr">
        <is>
          <t>A 7814-2023</t>
        </is>
      </c>
      <c r="B356" s="1" t="n">
        <v>44973</v>
      </c>
      <c r="C356" s="1" t="n">
        <v>45761</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7878-2023</t>
        </is>
      </c>
      <c r="B357" s="1" t="n">
        <v>44973</v>
      </c>
      <c r="C357" s="1" t="n">
        <v>45761</v>
      </c>
      <c r="D357" t="inlineStr">
        <is>
          <t>DALARNAS LÄN</t>
        </is>
      </c>
      <c r="E357" t="inlineStr">
        <is>
          <t>ORSA</t>
        </is>
      </c>
      <c r="G357" t="n">
        <v>1.7</v>
      </c>
      <c r="H357" t="n">
        <v>0</v>
      </c>
      <c r="I357" t="n">
        <v>0</v>
      </c>
      <c r="J357" t="n">
        <v>0</v>
      </c>
      <c r="K357" t="n">
        <v>0</v>
      </c>
      <c r="L357" t="n">
        <v>0</v>
      </c>
      <c r="M357" t="n">
        <v>0</v>
      </c>
      <c r="N357" t="n">
        <v>0</v>
      </c>
      <c r="O357" t="n">
        <v>0</v>
      </c>
      <c r="P357" t="n">
        <v>0</v>
      </c>
      <c r="Q357" t="n">
        <v>0</v>
      </c>
      <c r="R357" s="2" t="inlineStr"/>
    </row>
    <row r="358" ht="15" customHeight="1">
      <c r="A358" t="inlineStr">
        <is>
          <t>A 9466-2023</t>
        </is>
      </c>
      <c r="B358" s="1" t="n">
        <v>44981</v>
      </c>
      <c r="C358" s="1" t="n">
        <v>45761</v>
      </c>
      <c r="D358" t="inlineStr">
        <is>
          <t>DALARNAS LÄN</t>
        </is>
      </c>
      <c r="E358" t="inlineStr">
        <is>
          <t>ORSA</t>
        </is>
      </c>
      <c r="F358" t="inlineStr">
        <is>
          <t>Bergvik skog väst AB</t>
        </is>
      </c>
      <c r="G358" t="n">
        <v>3.8</v>
      </c>
      <c r="H358" t="n">
        <v>0</v>
      </c>
      <c r="I358" t="n">
        <v>0</v>
      </c>
      <c r="J358" t="n">
        <v>0</v>
      </c>
      <c r="K358" t="n">
        <v>0</v>
      </c>
      <c r="L358" t="n">
        <v>0</v>
      </c>
      <c r="M358" t="n">
        <v>0</v>
      </c>
      <c r="N358" t="n">
        <v>0</v>
      </c>
      <c r="O358" t="n">
        <v>0</v>
      </c>
      <c r="P358" t="n">
        <v>0</v>
      </c>
      <c r="Q358" t="n">
        <v>0</v>
      </c>
      <c r="R358" s="2" t="inlineStr"/>
    </row>
    <row r="359" ht="15" customHeight="1">
      <c r="A359" t="inlineStr">
        <is>
          <t>A 10004-2023</t>
        </is>
      </c>
      <c r="B359" s="1" t="n">
        <v>44985</v>
      </c>
      <c r="C359" s="1" t="n">
        <v>45761</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10048-2023</t>
        </is>
      </c>
      <c r="B360" s="1" t="n">
        <v>44985</v>
      </c>
      <c r="C360" s="1" t="n">
        <v>45761</v>
      </c>
      <c r="D360" t="inlineStr">
        <is>
          <t>DALARNAS LÄN</t>
        </is>
      </c>
      <c r="E360" t="inlineStr">
        <is>
          <t>ORSA</t>
        </is>
      </c>
      <c r="G360" t="n">
        <v>4.8</v>
      </c>
      <c r="H360" t="n">
        <v>0</v>
      </c>
      <c r="I360" t="n">
        <v>0</v>
      </c>
      <c r="J360" t="n">
        <v>0</v>
      </c>
      <c r="K360" t="n">
        <v>0</v>
      </c>
      <c r="L360" t="n">
        <v>0</v>
      </c>
      <c r="M360" t="n">
        <v>0</v>
      </c>
      <c r="N360" t="n">
        <v>0</v>
      </c>
      <c r="O360" t="n">
        <v>0</v>
      </c>
      <c r="P360" t="n">
        <v>0</v>
      </c>
      <c r="Q360" t="n">
        <v>0</v>
      </c>
      <c r="R360" s="2" t="inlineStr"/>
    </row>
    <row r="361" ht="15" customHeight="1">
      <c r="A361" t="inlineStr">
        <is>
          <t>A 10227-2023</t>
        </is>
      </c>
      <c r="B361" s="1" t="n">
        <v>44986</v>
      </c>
      <c r="C361" s="1" t="n">
        <v>45761</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10359-2023</t>
        </is>
      </c>
      <c r="B362" s="1" t="n">
        <v>44987</v>
      </c>
      <c r="C362" s="1" t="n">
        <v>45761</v>
      </c>
      <c r="D362" t="inlineStr">
        <is>
          <t>DALARNAS LÄN</t>
        </is>
      </c>
      <c r="E362" t="inlineStr">
        <is>
          <t>ORSA</t>
        </is>
      </c>
      <c r="G362" t="n">
        <v>2.5</v>
      </c>
      <c r="H362" t="n">
        <v>0</v>
      </c>
      <c r="I362" t="n">
        <v>0</v>
      </c>
      <c r="J362" t="n">
        <v>0</v>
      </c>
      <c r="K362" t="n">
        <v>0</v>
      </c>
      <c r="L362" t="n">
        <v>0</v>
      </c>
      <c r="M362" t="n">
        <v>0</v>
      </c>
      <c r="N362" t="n">
        <v>0</v>
      </c>
      <c r="O362" t="n">
        <v>0</v>
      </c>
      <c r="P362" t="n">
        <v>0</v>
      </c>
      <c r="Q362" t="n">
        <v>0</v>
      </c>
      <c r="R362" s="2" t="inlineStr"/>
    </row>
    <row r="363" ht="15" customHeight="1">
      <c r="A363" t="inlineStr">
        <is>
          <t>A 10374-2023</t>
        </is>
      </c>
      <c r="B363" s="1" t="n">
        <v>44987</v>
      </c>
      <c r="C363" s="1" t="n">
        <v>45761</v>
      </c>
      <c r="D363" t="inlineStr">
        <is>
          <t>DALARNAS LÄN</t>
        </is>
      </c>
      <c r="E363" t="inlineStr">
        <is>
          <t>ORSA</t>
        </is>
      </c>
      <c r="G363" t="n">
        <v>1.8</v>
      </c>
      <c r="H363" t="n">
        <v>0</v>
      </c>
      <c r="I363" t="n">
        <v>0</v>
      </c>
      <c r="J363" t="n">
        <v>0</v>
      </c>
      <c r="K363" t="n">
        <v>0</v>
      </c>
      <c r="L363" t="n">
        <v>0</v>
      </c>
      <c r="M363" t="n">
        <v>0</v>
      </c>
      <c r="N363" t="n">
        <v>0</v>
      </c>
      <c r="O363" t="n">
        <v>0</v>
      </c>
      <c r="P363" t="n">
        <v>0</v>
      </c>
      <c r="Q363" t="n">
        <v>0</v>
      </c>
      <c r="R363" s="2" t="inlineStr"/>
    </row>
    <row r="364" ht="15" customHeight="1">
      <c r="A364" t="inlineStr">
        <is>
          <t>A 11595-2023</t>
        </is>
      </c>
      <c r="B364" s="1" t="n">
        <v>44994</v>
      </c>
      <c r="C364" s="1" t="n">
        <v>45761</v>
      </c>
      <c r="D364" t="inlineStr">
        <is>
          <t>DALARNAS LÄN</t>
        </is>
      </c>
      <c r="E364" t="inlineStr">
        <is>
          <t>ORSA</t>
        </is>
      </c>
      <c r="G364" t="n">
        <v>0.8</v>
      </c>
      <c r="H364" t="n">
        <v>0</v>
      </c>
      <c r="I364" t="n">
        <v>0</v>
      </c>
      <c r="J364" t="n">
        <v>0</v>
      </c>
      <c r="K364" t="n">
        <v>0</v>
      </c>
      <c r="L364" t="n">
        <v>0</v>
      </c>
      <c r="M364" t="n">
        <v>0</v>
      </c>
      <c r="N364" t="n">
        <v>0</v>
      </c>
      <c r="O364" t="n">
        <v>0</v>
      </c>
      <c r="P364" t="n">
        <v>0</v>
      </c>
      <c r="Q364" t="n">
        <v>0</v>
      </c>
      <c r="R364" s="2" t="inlineStr"/>
    </row>
    <row r="365" ht="15" customHeight="1">
      <c r="A365" t="inlineStr">
        <is>
          <t>A 12065-2023</t>
        </is>
      </c>
      <c r="B365" s="1" t="n">
        <v>44997</v>
      </c>
      <c r="C365" s="1" t="n">
        <v>45761</v>
      </c>
      <c r="D365" t="inlineStr">
        <is>
          <t>DALARNAS LÄN</t>
        </is>
      </c>
      <c r="E365" t="inlineStr">
        <is>
          <t>ORSA</t>
        </is>
      </c>
      <c r="G365" t="n">
        <v>1.1</v>
      </c>
      <c r="H365" t="n">
        <v>0</v>
      </c>
      <c r="I365" t="n">
        <v>0</v>
      </c>
      <c r="J365" t="n">
        <v>0</v>
      </c>
      <c r="K365" t="n">
        <v>0</v>
      </c>
      <c r="L365" t="n">
        <v>0</v>
      </c>
      <c r="M365" t="n">
        <v>0</v>
      </c>
      <c r="N365" t="n">
        <v>0</v>
      </c>
      <c r="O365" t="n">
        <v>0</v>
      </c>
      <c r="P365" t="n">
        <v>0</v>
      </c>
      <c r="Q365" t="n">
        <v>0</v>
      </c>
      <c r="R365" s="2" t="inlineStr"/>
    </row>
    <row r="366" ht="15" customHeight="1">
      <c r="A366" t="inlineStr">
        <is>
          <t>A 14680-2023</t>
        </is>
      </c>
      <c r="B366" s="1" t="n">
        <v>45014</v>
      </c>
      <c r="C366" s="1" t="n">
        <v>45761</v>
      </c>
      <c r="D366" t="inlineStr">
        <is>
          <t>DALARNAS LÄN</t>
        </is>
      </c>
      <c r="E366" t="inlineStr">
        <is>
          <t>ORSA</t>
        </is>
      </c>
      <c r="G366" t="n">
        <v>4.2</v>
      </c>
      <c r="H366" t="n">
        <v>0</v>
      </c>
      <c r="I366" t="n">
        <v>0</v>
      </c>
      <c r="J366" t="n">
        <v>0</v>
      </c>
      <c r="K366" t="n">
        <v>0</v>
      </c>
      <c r="L366" t="n">
        <v>0</v>
      </c>
      <c r="M366" t="n">
        <v>0</v>
      </c>
      <c r="N366" t="n">
        <v>0</v>
      </c>
      <c r="O366" t="n">
        <v>0</v>
      </c>
      <c r="P366" t="n">
        <v>0</v>
      </c>
      <c r="Q366" t="n">
        <v>0</v>
      </c>
      <c r="R366" s="2" t="inlineStr"/>
    </row>
    <row r="367" ht="15" customHeight="1">
      <c r="A367" t="inlineStr">
        <is>
          <t>A 15594-2023</t>
        </is>
      </c>
      <c r="B367" s="1" t="n">
        <v>45020</v>
      </c>
      <c r="C367" s="1" t="n">
        <v>45761</v>
      </c>
      <c r="D367" t="inlineStr">
        <is>
          <t>DALARNAS LÄN</t>
        </is>
      </c>
      <c r="E367" t="inlineStr">
        <is>
          <t>ORSA</t>
        </is>
      </c>
      <c r="F367" t="inlineStr">
        <is>
          <t>Bergvik skog öst AB</t>
        </is>
      </c>
      <c r="G367" t="n">
        <v>1.9</v>
      </c>
      <c r="H367" t="n">
        <v>0</v>
      </c>
      <c r="I367" t="n">
        <v>0</v>
      </c>
      <c r="J367" t="n">
        <v>0</v>
      </c>
      <c r="K367" t="n">
        <v>0</v>
      </c>
      <c r="L367" t="n">
        <v>0</v>
      </c>
      <c r="M367" t="n">
        <v>0</v>
      </c>
      <c r="N367" t="n">
        <v>0</v>
      </c>
      <c r="O367" t="n">
        <v>0</v>
      </c>
      <c r="P367" t="n">
        <v>0</v>
      </c>
      <c r="Q367" t="n">
        <v>0</v>
      </c>
      <c r="R367" s="2" t="inlineStr"/>
    </row>
    <row r="368" ht="15" customHeight="1">
      <c r="A368" t="inlineStr">
        <is>
          <t>A 16423-2023</t>
        </is>
      </c>
      <c r="B368" s="1" t="n">
        <v>45029</v>
      </c>
      <c r="C368" s="1" t="n">
        <v>45761</v>
      </c>
      <c r="D368" t="inlineStr">
        <is>
          <t>DALARNAS LÄN</t>
        </is>
      </c>
      <c r="E368" t="inlineStr">
        <is>
          <t>ORSA</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16585-2023</t>
        </is>
      </c>
      <c r="B369" s="1" t="n">
        <v>45030</v>
      </c>
      <c r="C369" s="1" t="n">
        <v>45761</v>
      </c>
      <c r="D369" t="inlineStr">
        <is>
          <t>DALARNAS LÄN</t>
        </is>
      </c>
      <c r="E369" t="inlineStr">
        <is>
          <t>ORSA</t>
        </is>
      </c>
      <c r="G369" t="n">
        <v>1</v>
      </c>
      <c r="H369" t="n">
        <v>0</v>
      </c>
      <c r="I369" t="n">
        <v>0</v>
      </c>
      <c r="J369" t="n">
        <v>0</v>
      </c>
      <c r="K369" t="n">
        <v>0</v>
      </c>
      <c r="L369" t="n">
        <v>0</v>
      </c>
      <c r="M369" t="n">
        <v>0</v>
      </c>
      <c r="N369" t="n">
        <v>0</v>
      </c>
      <c r="O369" t="n">
        <v>0</v>
      </c>
      <c r="P369" t="n">
        <v>0</v>
      </c>
      <c r="Q369" t="n">
        <v>0</v>
      </c>
      <c r="R369" s="2" t="inlineStr"/>
    </row>
    <row r="370" ht="15" customHeight="1">
      <c r="A370" t="inlineStr">
        <is>
          <t>A 18037-2023</t>
        </is>
      </c>
      <c r="B370" s="1" t="n">
        <v>45040</v>
      </c>
      <c r="C370" s="1" t="n">
        <v>45761</v>
      </c>
      <c r="D370" t="inlineStr">
        <is>
          <t>DALARNAS LÄN</t>
        </is>
      </c>
      <c r="E370" t="inlineStr">
        <is>
          <t>ORSA</t>
        </is>
      </c>
      <c r="G370" t="n">
        <v>6.6</v>
      </c>
      <c r="H370" t="n">
        <v>0</v>
      </c>
      <c r="I370" t="n">
        <v>0</v>
      </c>
      <c r="J370" t="n">
        <v>0</v>
      </c>
      <c r="K370" t="n">
        <v>0</v>
      </c>
      <c r="L370" t="n">
        <v>0</v>
      </c>
      <c r="M370" t="n">
        <v>0</v>
      </c>
      <c r="N370" t="n">
        <v>0</v>
      </c>
      <c r="O370" t="n">
        <v>0</v>
      </c>
      <c r="P370" t="n">
        <v>0</v>
      </c>
      <c r="Q370" t="n">
        <v>0</v>
      </c>
      <c r="R370" s="2" t="inlineStr"/>
    </row>
    <row r="371" ht="15" customHeight="1">
      <c r="A371" t="inlineStr">
        <is>
          <t>A 18069-2023</t>
        </is>
      </c>
      <c r="B371" s="1" t="n">
        <v>45040</v>
      </c>
      <c r="C371" s="1" t="n">
        <v>45761</v>
      </c>
      <c r="D371" t="inlineStr">
        <is>
          <t>DALARNAS LÄN</t>
        </is>
      </c>
      <c r="E371" t="inlineStr">
        <is>
          <t>ORSA</t>
        </is>
      </c>
      <c r="G371" t="n">
        <v>3.7</v>
      </c>
      <c r="H371" t="n">
        <v>0</v>
      </c>
      <c r="I371" t="n">
        <v>0</v>
      </c>
      <c r="J371" t="n">
        <v>0</v>
      </c>
      <c r="K371" t="n">
        <v>0</v>
      </c>
      <c r="L371" t="n">
        <v>0</v>
      </c>
      <c r="M371" t="n">
        <v>0</v>
      </c>
      <c r="N371" t="n">
        <v>0</v>
      </c>
      <c r="O371" t="n">
        <v>0</v>
      </c>
      <c r="P371" t="n">
        <v>0</v>
      </c>
      <c r="Q371" t="n">
        <v>0</v>
      </c>
      <c r="R371" s="2" t="inlineStr"/>
    </row>
    <row r="372" ht="15" customHeight="1">
      <c r="A372" t="inlineStr">
        <is>
          <t>A 18009-2023</t>
        </is>
      </c>
      <c r="B372" s="1" t="n">
        <v>45040</v>
      </c>
      <c r="C372" s="1" t="n">
        <v>45761</v>
      </c>
      <c r="D372" t="inlineStr">
        <is>
          <t>DALARNAS LÄN</t>
        </is>
      </c>
      <c r="E372" t="inlineStr">
        <is>
          <t>ORSA</t>
        </is>
      </c>
      <c r="G372" t="n">
        <v>5.8</v>
      </c>
      <c r="H372" t="n">
        <v>0</v>
      </c>
      <c r="I372" t="n">
        <v>0</v>
      </c>
      <c r="J372" t="n">
        <v>0</v>
      </c>
      <c r="K372" t="n">
        <v>0</v>
      </c>
      <c r="L372" t="n">
        <v>0</v>
      </c>
      <c r="M372" t="n">
        <v>0</v>
      </c>
      <c r="N372" t="n">
        <v>0</v>
      </c>
      <c r="O372" t="n">
        <v>0</v>
      </c>
      <c r="P372" t="n">
        <v>0</v>
      </c>
      <c r="Q372" t="n">
        <v>0</v>
      </c>
      <c r="R372" s="2" t="inlineStr"/>
    </row>
    <row r="373" ht="15" customHeight="1">
      <c r="A373" t="inlineStr">
        <is>
          <t>A 18070-2023</t>
        </is>
      </c>
      <c r="B373" s="1" t="n">
        <v>45040</v>
      </c>
      <c r="C373" s="1" t="n">
        <v>45761</v>
      </c>
      <c r="D373" t="inlineStr">
        <is>
          <t>DALARNAS LÄN</t>
        </is>
      </c>
      <c r="E373" t="inlineStr">
        <is>
          <t>ORSA</t>
        </is>
      </c>
      <c r="G373" t="n">
        <v>3.3</v>
      </c>
      <c r="H373" t="n">
        <v>0</v>
      </c>
      <c r="I373" t="n">
        <v>0</v>
      </c>
      <c r="J373" t="n">
        <v>0</v>
      </c>
      <c r="K373" t="n">
        <v>0</v>
      </c>
      <c r="L373" t="n">
        <v>0</v>
      </c>
      <c r="M373" t="n">
        <v>0</v>
      </c>
      <c r="N373" t="n">
        <v>0</v>
      </c>
      <c r="O373" t="n">
        <v>0</v>
      </c>
      <c r="P373" t="n">
        <v>0</v>
      </c>
      <c r="Q373" t="n">
        <v>0</v>
      </c>
      <c r="R373" s="2" t="inlineStr"/>
    </row>
    <row r="374" ht="15" customHeight="1">
      <c r="A374" t="inlineStr">
        <is>
          <t>A 18817-2023</t>
        </is>
      </c>
      <c r="B374" s="1" t="n">
        <v>45043</v>
      </c>
      <c r="C374" s="1" t="n">
        <v>45761</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19266-2023</t>
        </is>
      </c>
      <c r="B375" s="1" t="n">
        <v>45049</v>
      </c>
      <c r="C375" s="1" t="n">
        <v>45761</v>
      </c>
      <c r="D375" t="inlineStr">
        <is>
          <t>DALARNAS LÄN</t>
        </is>
      </c>
      <c r="E375" t="inlineStr">
        <is>
          <t>ORSA</t>
        </is>
      </c>
      <c r="G375" t="n">
        <v>1.3</v>
      </c>
      <c r="H375" t="n">
        <v>0</v>
      </c>
      <c r="I375" t="n">
        <v>0</v>
      </c>
      <c r="J375" t="n">
        <v>0</v>
      </c>
      <c r="K375" t="n">
        <v>0</v>
      </c>
      <c r="L375" t="n">
        <v>0</v>
      </c>
      <c r="M375" t="n">
        <v>0</v>
      </c>
      <c r="N375" t="n">
        <v>0</v>
      </c>
      <c r="O375" t="n">
        <v>0</v>
      </c>
      <c r="P375" t="n">
        <v>0</v>
      </c>
      <c r="Q375" t="n">
        <v>0</v>
      </c>
      <c r="R375" s="2" t="inlineStr"/>
    </row>
    <row r="376" ht="15" customHeight="1">
      <c r="A376" t="inlineStr">
        <is>
          <t>A 20302-2023</t>
        </is>
      </c>
      <c r="B376" s="1" t="n">
        <v>45056</v>
      </c>
      <c r="C376" s="1" t="n">
        <v>45761</v>
      </c>
      <c r="D376" t="inlineStr">
        <is>
          <t>DALARNAS LÄN</t>
        </is>
      </c>
      <c r="E376" t="inlineStr">
        <is>
          <t>ORSA</t>
        </is>
      </c>
      <c r="G376" t="n">
        <v>2.1</v>
      </c>
      <c r="H376" t="n">
        <v>0</v>
      </c>
      <c r="I376" t="n">
        <v>0</v>
      </c>
      <c r="J376" t="n">
        <v>0</v>
      </c>
      <c r="K376" t="n">
        <v>0</v>
      </c>
      <c r="L376" t="n">
        <v>0</v>
      </c>
      <c r="M376" t="n">
        <v>0</v>
      </c>
      <c r="N376" t="n">
        <v>0</v>
      </c>
      <c r="O376" t="n">
        <v>0</v>
      </c>
      <c r="P376" t="n">
        <v>0</v>
      </c>
      <c r="Q376" t="n">
        <v>0</v>
      </c>
      <c r="R376" s="2" t="inlineStr"/>
    </row>
    <row r="377" ht="15" customHeight="1">
      <c r="A377" t="inlineStr">
        <is>
          <t>A 20493-2023</t>
        </is>
      </c>
      <c r="B377" s="1" t="n">
        <v>45057</v>
      </c>
      <c r="C377" s="1" t="n">
        <v>45761</v>
      </c>
      <c r="D377" t="inlineStr">
        <is>
          <t>DALARNAS LÄN</t>
        </is>
      </c>
      <c r="E377" t="inlineStr">
        <is>
          <t>ORSA</t>
        </is>
      </c>
      <c r="G377" t="n">
        <v>1.5</v>
      </c>
      <c r="H377" t="n">
        <v>0</v>
      </c>
      <c r="I377" t="n">
        <v>0</v>
      </c>
      <c r="J377" t="n">
        <v>0</v>
      </c>
      <c r="K377" t="n">
        <v>0</v>
      </c>
      <c r="L377" t="n">
        <v>0</v>
      </c>
      <c r="M377" t="n">
        <v>0</v>
      </c>
      <c r="N377" t="n">
        <v>0</v>
      </c>
      <c r="O377" t="n">
        <v>0</v>
      </c>
      <c r="P377" t="n">
        <v>0</v>
      </c>
      <c r="Q377" t="n">
        <v>0</v>
      </c>
      <c r="R377" s="2" t="inlineStr"/>
    </row>
    <row r="378" ht="15" customHeight="1">
      <c r="A378" t="inlineStr">
        <is>
          <t>A 20561-2023</t>
        </is>
      </c>
      <c r="B378" s="1" t="n">
        <v>45057</v>
      </c>
      <c r="C378" s="1" t="n">
        <v>45761</v>
      </c>
      <c r="D378" t="inlineStr">
        <is>
          <t>DALARNAS LÄN</t>
        </is>
      </c>
      <c r="E378" t="inlineStr">
        <is>
          <t>ORSA</t>
        </is>
      </c>
      <c r="F378" t="inlineStr">
        <is>
          <t>Allmännings- och besparingsskogar</t>
        </is>
      </c>
      <c r="G378" t="n">
        <v>4.3</v>
      </c>
      <c r="H378" t="n">
        <v>0</v>
      </c>
      <c r="I378" t="n">
        <v>0</v>
      </c>
      <c r="J378" t="n">
        <v>0</v>
      </c>
      <c r="K378" t="n">
        <v>0</v>
      </c>
      <c r="L378" t="n">
        <v>0</v>
      </c>
      <c r="M378" t="n">
        <v>0</v>
      </c>
      <c r="N378" t="n">
        <v>0</v>
      </c>
      <c r="O378" t="n">
        <v>0</v>
      </c>
      <c r="P378" t="n">
        <v>0</v>
      </c>
      <c r="Q378" t="n">
        <v>0</v>
      </c>
      <c r="R378" s="2" t="inlineStr"/>
    </row>
    <row r="379" ht="15" customHeight="1">
      <c r="A379" t="inlineStr">
        <is>
          <t>A 20741-2023</t>
        </is>
      </c>
      <c r="B379" s="1" t="n">
        <v>45058</v>
      </c>
      <c r="C379" s="1" t="n">
        <v>45761</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20927-2023</t>
        </is>
      </c>
      <c r="B380" s="1" t="n">
        <v>45061</v>
      </c>
      <c r="C380" s="1" t="n">
        <v>45761</v>
      </c>
      <c r="D380" t="inlineStr">
        <is>
          <t>DALARNAS LÄN</t>
        </is>
      </c>
      <c r="E380" t="inlineStr">
        <is>
          <t>ORSA</t>
        </is>
      </c>
      <c r="G380" t="n">
        <v>3.8</v>
      </c>
      <c r="H380" t="n">
        <v>0</v>
      </c>
      <c r="I380" t="n">
        <v>0</v>
      </c>
      <c r="J380" t="n">
        <v>0</v>
      </c>
      <c r="K380" t="n">
        <v>0</v>
      </c>
      <c r="L380" t="n">
        <v>0</v>
      </c>
      <c r="M380" t="n">
        <v>0</v>
      </c>
      <c r="N380" t="n">
        <v>0</v>
      </c>
      <c r="O380" t="n">
        <v>0</v>
      </c>
      <c r="P380" t="n">
        <v>0</v>
      </c>
      <c r="Q380" t="n">
        <v>0</v>
      </c>
      <c r="R380" s="2" t="inlineStr"/>
    </row>
    <row r="381" ht="15" customHeight="1">
      <c r="A381" t="inlineStr">
        <is>
          <t>A 21301-2023</t>
        </is>
      </c>
      <c r="B381" s="1" t="n">
        <v>45062</v>
      </c>
      <c r="C381" s="1" t="n">
        <v>45761</v>
      </c>
      <c r="D381" t="inlineStr">
        <is>
          <t>DALARNAS LÄN</t>
        </is>
      </c>
      <c r="E381" t="inlineStr">
        <is>
          <t>ORSA</t>
        </is>
      </c>
      <c r="G381" t="n">
        <v>2.2</v>
      </c>
      <c r="H381" t="n">
        <v>0</v>
      </c>
      <c r="I381" t="n">
        <v>0</v>
      </c>
      <c r="J381" t="n">
        <v>0</v>
      </c>
      <c r="K381" t="n">
        <v>0</v>
      </c>
      <c r="L381" t="n">
        <v>0</v>
      </c>
      <c r="M381" t="n">
        <v>0</v>
      </c>
      <c r="N381" t="n">
        <v>0</v>
      </c>
      <c r="O381" t="n">
        <v>0</v>
      </c>
      <c r="P381" t="n">
        <v>0</v>
      </c>
      <c r="Q381" t="n">
        <v>0</v>
      </c>
      <c r="R381" s="2" t="inlineStr"/>
    </row>
    <row r="382" ht="15" customHeight="1">
      <c r="A382" t="inlineStr">
        <is>
          <t>A 21216-2023</t>
        </is>
      </c>
      <c r="B382" s="1" t="n">
        <v>45062</v>
      </c>
      <c r="C382" s="1" t="n">
        <v>45761</v>
      </c>
      <c r="D382" t="inlineStr">
        <is>
          <t>DALARNAS LÄN</t>
        </is>
      </c>
      <c r="E382" t="inlineStr">
        <is>
          <t>ORSA</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21560-2023</t>
        </is>
      </c>
      <c r="B383" s="1" t="n">
        <v>45063</v>
      </c>
      <c r="C383" s="1" t="n">
        <v>45761</v>
      </c>
      <c r="D383" t="inlineStr">
        <is>
          <t>DALARNAS LÄN</t>
        </is>
      </c>
      <c r="E383" t="inlineStr">
        <is>
          <t>ORSA</t>
        </is>
      </c>
      <c r="F383" t="inlineStr">
        <is>
          <t>Bergvik skog öst AB</t>
        </is>
      </c>
      <c r="G383" t="n">
        <v>19.1</v>
      </c>
      <c r="H383" t="n">
        <v>0</v>
      </c>
      <c r="I383" t="n">
        <v>0</v>
      </c>
      <c r="J383" t="n">
        <v>0</v>
      </c>
      <c r="K383" t="n">
        <v>0</v>
      </c>
      <c r="L383" t="n">
        <v>0</v>
      </c>
      <c r="M383" t="n">
        <v>0</v>
      </c>
      <c r="N383" t="n">
        <v>0</v>
      </c>
      <c r="O383" t="n">
        <v>0</v>
      </c>
      <c r="P383" t="n">
        <v>0</v>
      </c>
      <c r="Q383" t="n">
        <v>0</v>
      </c>
      <c r="R383" s="2" t="inlineStr"/>
    </row>
    <row r="384" ht="15" customHeight="1">
      <c r="A384" t="inlineStr">
        <is>
          <t>A 21595-2023</t>
        </is>
      </c>
      <c r="B384" s="1" t="n">
        <v>45063</v>
      </c>
      <c r="C384" s="1" t="n">
        <v>45761</v>
      </c>
      <c r="D384" t="inlineStr">
        <is>
          <t>DALARNAS LÄN</t>
        </is>
      </c>
      <c r="E384" t="inlineStr">
        <is>
          <t>ORSA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22902-2023</t>
        </is>
      </c>
      <c r="B385" s="1" t="n">
        <v>45072</v>
      </c>
      <c r="C385" s="1" t="n">
        <v>45761</v>
      </c>
      <c r="D385" t="inlineStr">
        <is>
          <t>DALARNAS LÄN</t>
        </is>
      </c>
      <c r="E385" t="inlineStr">
        <is>
          <t>ORSA</t>
        </is>
      </c>
      <c r="G385" t="n">
        <v>6.3</v>
      </c>
      <c r="H385" t="n">
        <v>0</v>
      </c>
      <c r="I385" t="n">
        <v>0</v>
      </c>
      <c r="J385" t="n">
        <v>0</v>
      </c>
      <c r="K385" t="n">
        <v>0</v>
      </c>
      <c r="L385" t="n">
        <v>0</v>
      </c>
      <c r="M385" t="n">
        <v>0</v>
      </c>
      <c r="N385" t="n">
        <v>0</v>
      </c>
      <c r="O385" t="n">
        <v>0</v>
      </c>
      <c r="P385" t="n">
        <v>0</v>
      </c>
      <c r="Q385" t="n">
        <v>0</v>
      </c>
      <c r="R385" s="2" t="inlineStr"/>
    </row>
    <row r="386" ht="15" customHeight="1">
      <c r="A386" t="inlineStr">
        <is>
          <t>A 22912-2023</t>
        </is>
      </c>
      <c r="B386" s="1" t="n">
        <v>45072</v>
      </c>
      <c r="C386" s="1" t="n">
        <v>45761</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22911-2023</t>
        </is>
      </c>
      <c r="B387" s="1" t="n">
        <v>45072</v>
      </c>
      <c r="C387" s="1" t="n">
        <v>45761</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23031-2023</t>
        </is>
      </c>
      <c r="B388" s="1" t="n">
        <v>45074</v>
      </c>
      <c r="C388" s="1" t="n">
        <v>45761</v>
      </c>
      <c r="D388" t="inlineStr">
        <is>
          <t>DALARNAS LÄN</t>
        </is>
      </c>
      <c r="E388" t="inlineStr">
        <is>
          <t>ORSA</t>
        </is>
      </c>
      <c r="G388" t="n">
        <v>5.9</v>
      </c>
      <c r="H388" t="n">
        <v>0</v>
      </c>
      <c r="I388" t="n">
        <v>0</v>
      </c>
      <c r="J388" t="n">
        <v>0</v>
      </c>
      <c r="K388" t="n">
        <v>0</v>
      </c>
      <c r="L388" t="n">
        <v>0</v>
      </c>
      <c r="M388" t="n">
        <v>0</v>
      </c>
      <c r="N388" t="n">
        <v>0</v>
      </c>
      <c r="O388" t="n">
        <v>0</v>
      </c>
      <c r="P388" t="n">
        <v>0</v>
      </c>
      <c r="Q388" t="n">
        <v>0</v>
      </c>
      <c r="R388" s="2" t="inlineStr"/>
    </row>
    <row r="389" ht="15" customHeight="1">
      <c r="A389" t="inlineStr">
        <is>
          <t>A 23457-2023</t>
        </is>
      </c>
      <c r="B389" s="1" t="n">
        <v>45076</v>
      </c>
      <c r="C389" s="1" t="n">
        <v>45761</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23461-2023</t>
        </is>
      </c>
      <c r="B390" s="1" t="n">
        <v>45076</v>
      </c>
      <c r="C390" s="1" t="n">
        <v>45761</v>
      </c>
      <c r="D390" t="inlineStr">
        <is>
          <t>DALARNAS LÄN</t>
        </is>
      </c>
      <c r="E390" t="inlineStr">
        <is>
          <t>ORSA</t>
        </is>
      </c>
      <c r="G390" t="n">
        <v>0.5</v>
      </c>
      <c r="H390" t="n">
        <v>0</v>
      </c>
      <c r="I390" t="n">
        <v>0</v>
      </c>
      <c r="J390" t="n">
        <v>0</v>
      </c>
      <c r="K390" t="n">
        <v>0</v>
      </c>
      <c r="L390" t="n">
        <v>0</v>
      </c>
      <c r="M390" t="n">
        <v>0</v>
      </c>
      <c r="N390" t="n">
        <v>0</v>
      </c>
      <c r="O390" t="n">
        <v>0</v>
      </c>
      <c r="P390" t="n">
        <v>0</v>
      </c>
      <c r="Q390" t="n">
        <v>0</v>
      </c>
      <c r="R390" s="2" t="inlineStr"/>
    </row>
    <row r="391" ht="15" customHeight="1">
      <c r="A391" t="inlineStr">
        <is>
          <t>A 23987-2023</t>
        </is>
      </c>
      <c r="B391" s="1" t="n">
        <v>45078</v>
      </c>
      <c r="C391" s="1" t="n">
        <v>45761</v>
      </c>
      <c r="D391" t="inlineStr">
        <is>
          <t>DALARNAS LÄN</t>
        </is>
      </c>
      <c r="E391" t="inlineStr">
        <is>
          <t>ORSA</t>
        </is>
      </c>
      <c r="F391" t="inlineStr">
        <is>
          <t>Bergvik skog öst AB</t>
        </is>
      </c>
      <c r="G391" t="n">
        <v>4.1</v>
      </c>
      <c r="H391" t="n">
        <v>0</v>
      </c>
      <c r="I391" t="n">
        <v>0</v>
      </c>
      <c r="J391" t="n">
        <v>0</v>
      </c>
      <c r="K391" t="n">
        <v>0</v>
      </c>
      <c r="L391" t="n">
        <v>0</v>
      </c>
      <c r="M391" t="n">
        <v>0</v>
      </c>
      <c r="N391" t="n">
        <v>0</v>
      </c>
      <c r="O391" t="n">
        <v>0</v>
      </c>
      <c r="P391" t="n">
        <v>0</v>
      </c>
      <c r="Q391" t="n">
        <v>0</v>
      </c>
      <c r="R391" s="2" t="inlineStr"/>
    </row>
    <row r="392" ht="15" customHeight="1">
      <c r="A392" t="inlineStr">
        <is>
          <t>A 23988-2023</t>
        </is>
      </c>
      <c r="B392" s="1" t="n">
        <v>45078</v>
      </c>
      <c r="C392" s="1" t="n">
        <v>45761</v>
      </c>
      <c r="D392" t="inlineStr">
        <is>
          <t>DALARNAS LÄN</t>
        </is>
      </c>
      <c r="E392" t="inlineStr">
        <is>
          <t>ORSA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24126-2023</t>
        </is>
      </c>
      <c r="B393" s="1" t="n">
        <v>45079</v>
      </c>
      <c r="C393" s="1" t="n">
        <v>45761</v>
      </c>
      <c r="D393" t="inlineStr">
        <is>
          <t>DALARNAS LÄN</t>
        </is>
      </c>
      <c r="E393" t="inlineStr">
        <is>
          <t>ORSA</t>
        </is>
      </c>
      <c r="F393" t="inlineStr">
        <is>
          <t>Allmännings- och besparingsskogar</t>
        </is>
      </c>
      <c r="G393" t="n">
        <v>1.6</v>
      </c>
      <c r="H393" t="n">
        <v>0</v>
      </c>
      <c r="I393" t="n">
        <v>0</v>
      </c>
      <c r="J393" t="n">
        <v>0</v>
      </c>
      <c r="K393" t="n">
        <v>0</v>
      </c>
      <c r="L393" t="n">
        <v>0</v>
      </c>
      <c r="M393" t="n">
        <v>0</v>
      </c>
      <c r="N393" t="n">
        <v>0</v>
      </c>
      <c r="O393" t="n">
        <v>0</v>
      </c>
      <c r="P393" t="n">
        <v>0</v>
      </c>
      <c r="Q393" t="n">
        <v>0</v>
      </c>
      <c r="R393" s="2" t="inlineStr"/>
    </row>
    <row r="394" ht="15" customHeight="1">
      <c r="A394" t="inlineStr">
        <is>
          <t>A 24282-2023</t>
        </is>
      </c>
      <c r="B394" s="1" t="n">
        <v>45079</v>
      </c>
      <c r="C394" s="1" t="n">
        <v>45761</v>
      </c>
      <c r="D394" t="inlineStr">
        <is>
          <t>DALARNAS LÄN</t>
        </is>
      </c>
      <c r="E394" t="inlineStr">
        <is>
          <t>ORSA</t>
        </is>
      </c>
      <c r="F394" t="inlineStr">
        <is>
          <t>Allmännings- och besparingsskogar</t>
        </is>
      </c>
      <c r="G394" t="n">
        <v>2.8</v>
      </c>
      <c r="H394" t="n">
        <v>0</v>
      </c>
      <c r="I394" t="n">
        <v>0</v>
      </c>
      <c r="J394" t="n">
        <v>0</v>
      </c>
      <c r="K394" t="n">
        <v>0</v>
      </c>
      <c r="L394" t="n">
        <v>0</v>
      </c>
      <c r="M394" t="n">
        <v>0</v>
      </c>
      <c r="N394" t="n">
        <v>0</v>
      </c>
      <c r="O394" t="n">
        <v>0</v>
      </c>
      <c r="P394" t="n">
        <v>0</v>
      </c>
      <c r="Q394" t="n">
        <v>0</v>
      </c>
      <c r="R394" s="2" t="inlineStr"/>
    </row>
    <row r="395" ht="15" customHeight="1">
      <c r="A395" t="inlineStr">
        <is>
          <t>A 25753-2023</t>
        </is>
      </c>
      <c r="B395" s="1" t="n">
        <v>45090</v>
      </c>
      <c r="C395" s="1" t="n">
        <v>45761</v>
      </c>
      <c r="D395" t="inlineStr">
        <is>
          <t>DALARNAS LÄN</t>
        </is>
      </c>
      <c r="E395" t="inlineStr">
        <is>
          <t>ORSA</t>
        </is>
      </c>
      <c r="G395" t="n">
        <v>20.4</v>
      </c>
      <c r="H395" t="n">
        <v>0</v>
      </c>
      <c r="I395" t="n">
        <v>0</v>
      </c>
      <c r="J395" t="n">
        <v>0</v>
      </c>
      <c r="K395" t="n">
        <v>0</v>
      </c>
      <c r="L395" t="n">
        <v>0</v>
      </c>
      <c r="M395" t="n">
        <v>0</v>
      </c>
      <c r="N395" t="n">
        <v>0</v>
      </c>
      <c r="O395" t="n">
        <v>0</v>
      </c>
      <c r="P395" t="n">
        <v>0</v>
      </c>
      <c r="Q395" t="n">
        <v>0</v>
      </c>
      <c r="R395" s="2" t="inlineStr"/>
    </row>
    <row r="396" ht="15" customHeight="1">
      <c r="A396" t="inlineStr">
        <is>
          <t>A 25862-2023</t>
        </is>
      </c>
      <c r="B396" s="1" t="n">
        <v>45090</v>
      </c>
      <c r="C396" s="1" t="n">
        <v>45761</v>
      </c>
      <c r="D396" t="inlineStr">
        <is>
          <t>DALARNAS LÄN</t>
        </is>
      </c>
      <c r="E396" t="inlineStr">
        <is>
          <t>ORSA</t>
        </is>
      </c>
      <c r="G396" t="n">
        <v>3.1</v>
      </c>
      <c r="H396" t="n">
        <v>0</v>
      </c>
      <c r="I396" t="n">
        <v>0</v>
      </c>
      <c r="J396" t="n">
        <v>0</v>
      </c>
      <c r="K396" t="n">
        <v>0</v>
      </c>
      <c r="L396" t="n">
        <v>0</v>
      </c>
      <c r="M396" t="n">
        <v>0</v>
      </c>
      <c r="N396" t="n">
        <v>0</v>
      </c>
      <c r="O396" t="n">
        <v>0</v>
      </c>
      <c r="P396" t="n">
        <v>0</v>
      </c>
      <c r="Q396" t="n">
        <v>0</v>
      </c>
      <c r="R396" s="2" t="inlineStr"/>
    </row>
    <row r="397" ht="15" customHeight="1">
      <c r="A397" t="inlineStr">
        <is>
          <t>A 25888-2023</t>
        </is>
      </c>
      <c r="B397" s="1" t="n">
        <v>45090</v>
      </c>
      <c r="C397" s="1" t="n">
        <v>45761</v>
      </c>
      <c r="D397" t="inlineStr">
        <is>
          <t>DALARNAS LÄN</t>
        </is>
      </c>
      <c r="E397" t="inlineStr">
        <is>
          <t>ORSA</t>
        </is>
      </c>
      <c r="F397" t="inlineStr">
        <is>
          <t>Bergvik skog öst AB</t>
        </is>
      </c>
      <c r="G397" t="n">
        <v>11.2</v>
      </c>
      <c r="H397" t="n">
        <v>0</v>
      </c>
      <c r="I397" t="n">
        <v>0</v>
      </c>
      <c r="J397" t="n">
        <v>0</v>
      </c>
      <c r="K397" t="n">
        <v>0</v>
      </c>
      <c r="L397" t="n">
        <v>0</v>
      </c>
      <c r="M397" t="n">
        <v>0</v>
      </c>
      <c r="N397" t="n">
        <v>0</v>
      </c>
      <c r="O397" t="n">
        <v>0</v>
      </c>
      <c r="P397" t="n">
        <v>0</v>
      </c>
      <c r="Q397" t="n">
        <v>0</v>
      </c>
      <c r="R397" s="2" t="inlineStr"/>
    </row>
    <row r="398" ht="15" customHeight="1">
      <c r="A398" t="inlineStr">
        <is>
          <t>A 25859-2023</t>
        </is>
      </c>
      <c r="B398" s="1" t="n">
        <v>45090</v>
      </c>
      <c r="C398" s="1" t="n">
        <v>45761</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26285-2023</t>
        </is>
      </c>
      <c r="B399" s="1" t="n">
        <v>45091</v>
      </c>
      <c r="C399" s="1" t="n">
        <v>45761</v>
      </c>
      <c r="D399" t="inlineStr">
        <is>
          <t>DALARNAS LÄN</t>
        </is>
      </c>
      <c r="E399" t="inlineStr">
        <is>
          <t>ORSA</t>
        </is>
      </c>
      <c r="G399" t="n">
        <v>16.7</v>
      </c>
      <c r="H399" t="n">
        <v>0</v>
      </c>
      <c r="I399" t="n">
        <v>0</v>
      </c>
      <c r="J399" t="n">
        <v>0</v>
      </c>
      <c r="K399" t="n">
        <v>0</v>
      </c>
      <c r="L399" t="n">
        <v>0</v>
      </c>
      <c r="M399" t="n">
        <v>0</v>
      </c>
      <c r="N399" t="n">
        <v>0</v>
      </c>
      <c r="O399" t="n">
        <v>0</v>
      </c>
      <c r="P399" t="n">
        <v>0</v>
      </c>
      <c r="Q399" t="n">
        <v>0</v>
      </c>
      <c r="R399" s="2" t="inlineStr"/>
    </row>
    <row r="400" ht="15" customHeight="1">
      <c r="A400" t="inlineStr">
        <is>
          <t>A 26261-2023</t>
        </is>
      </c>
      <c r="B400" s="1" t="n">
        <v>45091</v>
      </c>
      <c r="C400" s="1" t="n">
        <v>45761</v>
      </c>
      <c r="D400" t="inlineStr">
        <is>
          <t>DALARNAS LÄN</t>
        </is>
      </c>
      <c r="E400" t="inlineStr">
        <is>
          <t>ORSA</t>
        </is>
      </c>
      <c r="G400" t="n">
        <v>33.5</v>
      </c>
      <c r="H400" t="n">
        <v>0</v>
      </c>
      <c r="I400" t="n">
        <v>0</v>
      </c>
      <c r="J400" t="n">
        <v>0</v>
      </c>
      <c r="K400" t="n">
        <v>0</v>
      </c>
      <c r="L400" t="n">
        <v>0</v>
      </c>
      <c r="M400" t="n">
        <v>0</v>
      </c>
      <c r="N400" t="n">
        <v>0</v>
      </c>
      <c r="O400" t="n">
        <v>0</v>
      </c>
      <c r="P400" t="n">
        <v>0</v>
      </c>
      <c r="Q400" t="n">
        <v>0</v>
      </c>
      <c r="R400" s="2" t="inlineStr"/>
    </row>
    <row r="401" ht="15" customHeight="1">
      <c r="A401" t="inlineStr">
        <is>
          <t>A 26301-2023</t>
        </is>
      </c>
      <c r="B401" s="1" t="n">
        <v>45091</v>
      </c>
      <c r="C401" s="1" t="n">
        <v>45761</v>
      </c>
      <c r="D401" t="inlineStr">
        <is>
          <t>DALARNAS LÄN</t>
        </is>
      </c>
      <c r="E401" t="inlineStr">
        <is>
          <t>ORSA</t>
        </is>
      </c>
      <c r="G401" t="n">
        <v>1.7</v>
      </c>
      <c r="H401" t="n">
        <v>0</v>
      </c>
      <c r="I401" t="n">
        <v>0</v>
      </c>
      <c r="J401" t="n">
        <v>0</v>
      </c>
      <c r="K401" t="n">
        <v>0</v>
      </c>
      <c r="L401" t="n">
        <v>0</v>
      </c>
      <c r="M401" t="n">
        <v>0</v>
      </c>
      <c r="N401" t="n">
        <v>0</v>
      </c>
      <c r="O401" t="n">
        <v>0</v>
      </c>
      <c r="P401" t="n">
        <v>0</v>
      </c>
      <c r="Q401" t="n">
        <v>0</v>
      </c>
      <c r="R401" s="2" t="inlineStr"/>
    </row>
    <row r="402" ht="15" customHeight="1">
      <c r="A402" t="inlineStr">
        <is>
          <t>A 26288-2023</t>
        </is>
      </c>
      <c r="B402" s="1" t="n">
        <v>45091</v>
      </c>
      <c r="C402" s="1" t="n">
        <v>45761</v>
      </c>
      <c r="D402" t="inlineStr">
        <is>
          <t>DALARNAS LÄN</t>
        </is>
      </c>
      <c r="E402" t="inlineStr">
        <is>
          <t>ORSA</t>
        </is>
      </c>
      <c r="G402" t="n">
        <v>4.8</v>
      </c>
      <c r="H402" t="n">
        <v>0</v>
      </c>
      <c r="I402" t="n">
        <v>0</v>
      </c>
      <c r="J402" t="n">
        <v>0</v>
      </c>
      <c r="K402" t="n">
        <v>0</v>
      </c>
      <c r="L402" t="n">
        <v>0</v>
      </c>
      <c r="M402" t="n">
        <v>0</v>
      </c>
      <c r="N402" t="n">
        <v>0</v>
      </c>
      <c r="O402" t="n">
        <v>0</v>
      </c>
      <c r="P402" t="n">
        <v>0</v>
      </c>
      <c r="Q402" t="n">
        <v>0</v>
      </c>
      <c r="R402" s="2" t="inlineStr"/>
    </row>
    <row r="403" ht="15" customHeight="1">
      <c r="A403" t="inlineStr">
        <is>
          <t>A 26294-2023</t>
        </is>
      </c>
      <c r="B403" s="1" t="n">
        <v>45091</v>
      </c>
      <c r="C403" s="1" t="n">
        <v>45761</v>
      </c>
      <c r="D403" t="inlineStr">
        <is>
          <t>DALARNAS LÄN</t>
        </is>
      </c>
      <c r="E403" t="inlineStr">
        <is>
          <t>ORSA</t>
        </is>
      </c>
      <c r="G403" t="n">
        <v>1.6</v>
      </c>
      <c r="H403" t="n">
        <v>0</v>
      </c>
      <c r="I403" t="n">
        <v>0</v>
      </c>
      <c r="J403" t="n">
        <v>0</v>
      </c>
      <c r="K403" t="n">
        <v>0</v>
      </c>
      <c r="L403" t="n">
        <v>0</v>
      </c>
      <c r="M403" t="n">
        <v>0</v>
      </c>
      <c r="N403" t="n">
        <v>0</v>
      </c>
      <c r="O403" t="n">
        <v>0</v>
      </c>
      <c r="P403" t="n">
        <v>0</v>
      </c>
      <c r="Q403" t="n">
        <v>0</v>
      </c>
      <c r="R403" s="2" t="inlineStr"/>
    </row>
    <row r="404" ht="15" customHeight="1">
      <c r="A404" t="inlineStr">
        <is>
          <t>A 26088-2023</t>
        </is>
      </c>
      <c r="B404" s="1" t="n">
        <v>45091</v>
      </c>
      <c r="C404" s="1" t="n">
        <v>45761</v>
      </c>
      <c r="D404" t="inlineStr">
        <is>
          <t>DALARNAS LÄN</t>
        </is>
      </c>
      <c r="E404" t="inlineStr">
        <is>
          <t>ORSA</t>
        </is>
      </c>
      <c r="G404" t="n">
        <v>2.8</v>
      </c>
      <c r="H404" t="n">
        <v>0</v>
      </c>
      <c r="I404" t="n">
        <v>0</v>
      </c>
      <c r="J404" t="n">
        <v>0</v>
      </c>
      <c r="K404" t="n">
        <v>0</v>
      </c>
      <c r="L404" t="n">
        <v>0</v>
      </c>
      <c r="M404" t="n">
        <v>0</v>
      </c>
      <c r="N404" t="n">
        <v>0</v>
      </c>
      <c r="O404" t="n">
        <v>0</v>
      </c>
      <c r="P404" t="n">
        <v>0</v>
      </c>
      <c r="Q404" t="n">
        <v>0</v>
      </c>
      <c r="R404" s="2" t="inlineStr"/>
    </row>
    <row r="405" ht="15" customHeight="1">
      <c r="A405" t="inlineStr">
        <is>
          <t>A 27163-2023</t>
        </is>
      </c>
      <c r="B405" s="1" t="n">
        <v>45096</v>
      </c>
      <c r="C405" s="1" t="n">
        <v>45761</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27531-2023</t>
        </is>
      </c>
      <c r="B406" s="1" t="n">
        <v>45097</v>
      </c>
      <c r="C406" s="1" t="n">
        <v>45761</v>
      </c>
      <c r="D406" t="inlineStr">
        <is>
          <t>DALARNAS LÄN</t>
        </is>
      </c>
      <c r="E406" t="inlineStr">
        <is>
          <t>ORSA</t>
        </is>
      </c>
      <c r="F406" t="inlineStr">
        <is>
          <t>Allmännings- och besparingsskogar</t>
        </is>
      </c>
      <c r="G406" t="n">
        <v>13.4</v>
      </c>
      <c r="H406" t="n">
        <v>0</v>
      </c>
      <c r="I406" t="n">
        <v>0</v>
      </c>
      <c r="J406" t="n">
        <v>0</v>
      </c>
      <c r="K406" t="n">
        <v>0</v>
      </c>
      <c r="L406" t="n">
        <v>0</v>
      </c>
      <c r="M406" t="n">
        <v>0</v>
      </c>
      <c r="N406" t="n">
        <v>0</v>
      </c>
      <c r="O406" t="n">
        <v>0</v>
      </c>
      <c r="P406" t="n">
        <v>0</v>
      </c>
      <c r="Q406" t="n">
        <v>0</v>
      </c>
      <c r="R406" s="2" t="inlineStr"/>
    </row>
    <row r="407" ht="15" customHeight="1">
      <c r="A407" t="inlineStr">
        <is>
          <t>A 28082-2023</t>
        </is>
      </c>
      <c r="B407" s="1" t="n">
        <v>45099</v>
      </c>
      <c r="C407" s="1" t="n">
        <v>45761</v>
      </c>
      <c r="D407" t="inlineStr">
        <is>
          <t>DALARNAS LÄN</t>
        </is>
      </c>
      <c r="E407" t="inlineStr">
        <is>
          <t>ORSA</t>
        </is>
      </c>
      <c r="G407" t="n">
        <v>0.4</v>
      </c>
      <c r="H407" t="n">
        <v>0</v>
      </c>
      <c r="I407" t="n">
        <v>0</v>
      </c>
      <c r="J407" t="n">
        <v>0</v>
      </c>
      <c r="K407" t="n">
        <v>0</v>
      </c>
      <c r="L407" t="n">
        <v>0</v>
      </c>
      <c r="M407" t="n">
        <v>0</v>
      </c>
      <c r="N407" t="n">
        <v>0</v>
      </c>
      <c r="O407" t="n">
        <v>0</v>
      </c>
      <c r="P407" t="n">
        <v>0</v>
      </c>
      <c r="Q407" t="n">
        <v>0</v>
      </c>
      <c r="R407" s="2" t="inlineStr"/>
    </row>
    <row r="408" ht="15" customHeight="1">
      <c r="A408" t="inlineStr">
        <is>
          <t>A 28196-2023</t>
        </is>
      </c>
      <c r="B408" s="1" t="n">
        <v>45099</v>
      </c>
      <c r="C408" s="1" t="n">
        <v>45761</v>
      </c>
      <c r="D408" t="inlineStr">
        <is>
          <t>DALARNAS LÄN</t>
        </is>
      </c>
      <c r="E408" t="inlineStr">
        <is>
          <t>ORSA</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28155-2023</t>
        </is>
      </c>
      <c r="B409" s="1" t="n">
        <v>45099</v>
      </c>
      <c r="C409" s="1" t="n">
        <v>45761</v>
      </c>
      <c r="D409" t="inlineStr">
        <is>
          <t>DALARNAS LÄN</t>
        </is>
      </c>
      <c r="E409" t="inlineStr">
        <is>
          <t>ORSA</t>
        </is>
      </c>
      <c r="F409" t="inlineStr">
        <is>
          <t>Bergvik skog öst AB</t>
        </is>
      </c>
      <c r="G409" t="n">
        <v>7.8</v>
      </c>
      <c r="H409" t="n">
        <v>0</v>
      </c>
      <c r="I409" t="n">
        <v>0</v>
      </c>
      <c r="J409" t="n">
        <v>0</v>
      </c>
      <c r="K409" t="n">
        <v>0</v>
      </c>
      <c r="L409" t="n">
        <v>0</v>
      </c>
      <c r="M409" t="n">
        <v>0</v>
      </c>
      <c r="N409" t="n">
        <v>0</v>
      </c>
      <c r="O409" t="n">
        <v>0</v>
      </c>
      <c r="P409" t="n">
        <v>0</v>
      </c>
      <c r="Q409" t="n">
        <v>0</v>
      </c>
      <c r="R409" s="2" t="inlineStr"/>
    </row>
    <row r="410" ht="15" customHeight="1">
      <c r="A410" t="inlineStr">
        <is>
          <t>A 28195-2023</t>
        </is>
      </c>
      <c r="B410" s="1" t="n">
        <v>45099</v>
      </c>
      <c r="C410" s="1" t="n">
        <v>45761</v>
      </c>
      <c r="D410" t="inlineStr">
        <is>
          <t>DALARNAS LÄN</t>
        </is>
      </c>
      <c r="E410" t="inlineStr">
        <is>
          <t>ORSA</t>
        </is>
      </c>
      <c r="F410" t="inlineStr">
        <is>
          <t>Bergvik skog öst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30474-2023</t>
        </is>
      </c>
      <c r="B411" s="1" t="n">
        <v>45099</v>
      </c>
      <c r="C411" s="1" t="n">
        <v>45761</v>
      </c>
      <c r="D411" t="inlineStr">
        <is>
          <t>DALARNAS LÄN</t>
        </is>
      </c>
      <c r="E411" t="inlineStr">
        <is>
          <t>ORSA</t>
        </is>
      </c>
      <c r="G411" t="n">
        <v>2.2</v>
      </c>
      <c r="H411" t="n">
        <v>0</v>
      </c>
      <c r="I411" t="n">
        <v>0</v>
      </c>
      <c r="J411" t="n">
        <v>0</v>
      </c>
      <c r="K411" t="n">
        <v>0</v>
      </c>
      <c r="L411" t="n">
        <v>0</v>
      </c>
      <c r="M411" t="n">
        <v>0</v>
      </c>
      <c r="N411" t="n">
        <v>0</v>
      </c>
      <c r="O411" t="n">
        <v>0</v>
      </c>
      <c r="P411" t="n">
        <v>0</v>
      </c>
      <c r="Q411" t="n">
        <v>0</v>
      </c>
      <c r="R411" s="2" t="inlineStr"/>
    </row>
    <row r="412" ht="15" customHeight="1">
      <c r="A412" t="inlineStr">
        <is>
          <t>A 30464-2023</t>
        </is>
      </c>
      <c r="B412" s="1" t="n">
        <v>45099</v>
      </c>
      <c r="C412" s="1" t="n">
        <v>45761</v>
      </c>
      <c r="D412" t="inlineStr">
        <is>
          <t>DALARNAS LÄN</t>
        </is>
      </c>
      <c r="E412" t="inlineStr">
        <is>
          <t>ORSA</t>
        </is>
      </c>
      <c r="G412" t="n">
        <v>1.2</v>
      </c>
      <c r="H412" t="n">
        <v>0</v>
      </c>
      <c r="I412" t="n">
        <v>0</v>
      </c>
      <c r="J412" t="n">
        <v>0</v>
      </c>
      <c r="K412" t="n">
        <v>0</v>
      </c>
      <c r="L412" t="n">
        <v>0</v>
      </c>
      <c r="M412" t="n">
        <v>0</v>
      </c>
      <c r="N412" t="n">
        <v>0</v>
      </c>
      <c r="O412" t="n">
        <v>0</v>
      </c>
      <c r="P412" t="n">
        <v>0</v>
      </c>
      <c r="Q412" t="n">
        <v>0</v>
      </c>
      <c r="R412" s="2" t="inlineStr"/>
    </row>
    <row r="413" ht="15" customHeight="1">
      <c r="A413" t="inlineStr">
        <is>
          <t>A 28451-2023</t>
        </is>
      </c>
      <c r="B413" s="1" t="n">
        <v>45103</v>
      </c>
      <c r="C413" s="1" t="n">
        <v>45761</v>
      </c>
      <c r="D413" t="inlineStr">
        <is>
          <t>DALARNAS LÄN</t>
        </is>
      </c>
      <c r="E413" t="inlineStr">
        <is>
          <t>ORSA</t>
        </is>
      </c>
      <c r="G413" t="n">
        <v>0.5</v>
      </c>
      <c r="H413" t="n">
        <v>0</v>
      </c>
      <c r="I413" t="n">
        <v>0</v>
      </c>
      <c r="J413" t="n">
        <v>0</v>
      </c>
      <c r="K413" t="n">
        <v>0</v>
      </c>
      <c r="L413" t="n">
        <v>0</v>
      </c>
      <c r="M413" t="n">
        <v>0</v>
      </c>
      <c r="N413" t="n">
        <v>0</v>
      </c>
      <c r="O413" t="n">
        <v>0</v>
      </c>
      <c r="P413" t="n">
        <v>0</v>
      </c>
      <c r="Q413" t="n">
        <v>0</v>
      </c>
      <c r="R413" s="2" t="inlineStr"/>
    </row>
    <row r="414" ht="15" customHeight="1">
      <c r="A414" t="inlineStr">
        <is>
          <t>A 28511-2023</t>
        </is>
      </c>
      <c r="B414" s="1" t="n">
        <v>45103</v>
      </c>
      <c r="C414" s="1" t="n">
        <v>45761</v>
      </c>
      <c r="D414" t="inlineStr">
        <is>
          <t>DALARNAS LÄN</t>
        </is>
      </c>
      <c r="E414" t="inlineStr">
        <is>
          <t>ORSA</t>
        </is>
      </c>
      <c r="F414" t="inlineStr">
        <is>
          <t>Allmännings- och besparingsskogar</t>
        </is>
      </c>
      <c r="G414" t="n">
        <v>41.4</v>
      </c>
      <c r="H414" t="n">
        <v>0</v>
      </c>
      <c r="I414" t="n">
        <v>0</v>
      </c>
      <c r="J414" t="n">
        <v>0</v>
      </c>
      <c r="K414" t="n">
        <v>0</v>
      </c>
      <c r="L414" t="n">
        <v>0</v>
      </c>
      <c r="M414" t="n">
        <v>0</v>
      </c>
      <c r="N414" t="n">
        <v>0</v>
      </c>
      <c r="O414" t="n">
        <v>0</v>
      </c>
      <c r="P414" t="n">
        <v>0</v>
      </c>
      <c r="Q414" t="n">
        <v>0</v>
      </c>
      <c r="R414" s="2" t="inlineStr"/>
    </row>
    <row r="415" ht="15" customHeight="1">
      <c r="A415" t="inlineStr">
        <is>
          <t>A 29025-2023</t>
        </is>
      </c>
      <c r="B415" s="1" t="n">
        <v>45104</v>
      </c>
      <c r="C415" s="1" t="n">
        <v>45761</v>
      </c>
      <c r="D415" t="inlineStr">
        <is>
          <t>DALARNAS LÄN</t>
        </is>
      </c>
      <c r="E415" t="inlineStr">
        <is>
          <t>ORSA</t>
        </is>
      </c>
      <c r="G415" t="n">
        <v>6.6</v>
      </c>
      <c r="H415" t="n">
        <v>0</v>
      </c>
      <c r="I415" t="n">
        <v>0</v>
      </c>
      <c r="J415" t="n">
        <v>0</v>
      </c>
      <c r="K415" t="n">
        <v>0</v>
      </c>
      <c r="L415" t="n">
        <v>0</v>
      </c>
      <c r="M415" t="n">
        <v>0</v>
      </c>
      <c r="N415" t="n">
        <v>0</v>
      </c>
      <c r="O415" t="n">
        <v>0</v>
      </c>
      <c r="P415" t="n">
        <v>0</v>
      </c>
      <c r="Q415" t="n">
        <v>0</v>
      </c>
      <c r="R415" s="2" t="inlineStr"/>
    </row>
    <row r="416" ht="15" customHeight="1">
      <c r="A416" t="inlineStr">
        <is>
          <t>A 29041-2023</t>
        </is>
      </c>
      <c r="B416" s="1" t="n">
        <v>45104</v>
      </c>
      <c r="C416" s="1" t="n">
        <v>45761</v>
      </c>
      <c r="D416" t="inlineStr">
        <is>
          <t>DALARNAS LÄN</t>
        </is>
      </c>
      <c r="E416" t="inlineStr">
        <is>
          <t>ORSA</t>
        </is>
      </c>
      <c r="G416" t="n">
        <v>3.2</v>
      </c>
      <c r="H416" t="n">
        <v>0</v>
      </c>
      <c r="I416" t="n">
        <v>0</v>
      </c>
      <c r="J416" t="n">
        <v>0</v>
      </c>
      <c r="K416" t="n">
        <v>0</v>
      </c>
      <c r="L416" t="n">
        <v>0</v>
      </c>
      <c r="M416" t="n">
        <v>0</v>
      </c>
      <c r="N416" t="n">
        <v>0</v>
      </c>
      <c r="O416" t="n">
        <v>0</v>
      </c>
      <c r="P416" t="n">
        <v>0</v>
      </c>
      <c r="Q416" t="n">
        <v>0</v>
      </c>
      <c r="R416" s="2" t="inlineStr"/>
    </row>
    <row r="417" ht="15" customHeight="1">
      <c r="A417" t="inlineStr">
        <is>
          <t>A 30458-2023</t>
        </is>
      </c>
      <c r="B417" s="1" t="n">
        <v>45111</v>
      </c>
      <c r="C417" s="1" t="n">
        <v>45761</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30356-2023</t>
        </is>
      </c>
      <c r="B418" s="1" t="n">
        <v>45111</v>
      </c>
      <c r="C418" s="1" t="n">
        <v>45761</v>
      </c>
      <c r="D418" t="inlineStr">
        <is>
          <t>DALARNAS LÄN</t>
        </is>
      </c>
      <c r="E418" t="inlineStr">
        <is>
          <t>ORSA</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30389-2023</t>
        </is>
      </c>
      <c r="B419" s="1" t="n">
        <v>45111</v>
      </c>
      <c r="C419" s="1" t="n">
        <v>45761</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30382-2023</t>
        </is>
      </c>
      <c r="B420" s="1" t="n">
        <v>45111</v>
      </c>
      <c r="C420" s="1" t="n">
        <v>45761</v>
      </c>
      <c r="D420" t="inlineStr">
        <is>
          <t>DALARNAS LÄN</t>
        </is>
      </c>
      <c r="E420" t="inlineStr">
        <is>
          <t>ORSA</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30392-2023</t>
        </is>
      </c>
      <c r="B421" s="1" t="n">
        <v>45111</v>
      </c>
      <c r="C421" s="1" t="n">
        <v>45761</v>
      </c>
      <c r="D421" t="inlineStr">
        <is>
          <t>DALARNAS LÄN</t>
        </is>
      </c>
      <c r="E421" t="inlineStr">
        <is>
          <t>ORSA</t>
        </is>
      </c>
      <c r="F421" t="inlineStr">
        <is>
          <t>Bergvik skog öst AB</t>
        </is>
      </c>
      <c r="G421" t="n">
        <v>2</v>
      </c>
      <c r="H421" t="n">
        <v>0</v>
      </c>
      <c r="I421" t="n">
        <v>0</v>
      </c>
      <c r="J421" t="n">
        <v>0</v>
      </c>
      <c r="K421" t="n">
        <v>0</v>
      </c>
      <c r="L421" t="n">
        <v>0</v>
      </c>
      <c r="M421" t="n">
        <v>0</v>
      </c>
      <c r="N421" t="n">
        <v>0</v>
      </c>
      <c r="O421" t="n">
        <v>0</v>
      </c>
      <c r="P421" t="n">
        <v>0</v>
      </c>
      <c r="Q421" t="n">
        <v>0</v>
      </c>
      <c r="R421" s="2" t="inlineStr"/>
    </row>
    <row r="422" ht="15" customHeight="1">
      <c r="A422" t="inlineStr">
        <is>
          <t>A 30664-2023</t>
        </is>
      </c>
      <c r="B422" s="1" t="n">
        <v>45112</v>
      </c>
      <c r="C422" s="1" t="n">
        <v>45761</v>
      </c>
      <c r="D422" t="inlineStr">
        <is>
          <t>DALARNAS LÄN</t>
        </is>
      </c>
      <c r="E422" t="inlineStr">
        <is>
          <t>ORSA</t>
        </is>
      </c>
      <c r="F422" t="inlineStr">
        <is>
          <t>Allmännings- och besparingsskogar</t>
        </is>
      </c>
      <c r="G422" t="n">
        <v>18.1</v>
      </c>
      <c r="H422" t="n">
        <v>0</v>
      </c>
      <c r="I422" t="n">
        <v>0</v>
      </c>
      <c r="J422" t="n">
        <v>0</v>
      </c>
      <c r="K422" t="n">
        <v>0</v>
      </c>
      <c r="L422" t="n">
        <v>0</v>
      </c>
      <c r="M422" t="n">
        <v>0</v>
      </c>
      <c r="N422" t="n">
        <v>0</v>
      </c>
      <c r="O422" t="n">
        <v>0</v>
      </c>
      <c r="P422" t="n">
        <v>0</v>
      </c>
      <c r="Q422" t="n">
        <v>0</v>
      </c>
      <c r="R422" s="2" t="inlineStr"/>
    </row>
    <row r="423" ht="15" customHeight="1">
      <c r="A423" t="inlineStr">
        <is>
          <t>A 31031-2023</t>
        </is>
      </c>
      <c r="B423" s="1" t="n">
        <v>45113</v>
      </c>
      <c r="C423" s="1" t="n">
        <v>45761</v>
      </c>
      <c r="D423" t="inlineStr">
        <is>
          <t>DALARNAS LÄN</t>
        </is>
      </c>
      <c r="E423" t="inlineStr">
        <is>
          <t>ORSA</t>
        </is>
      </c>
      <c r="F423" t="inlineStr">
        <is>
          <t>Bergvik skog öst AB</t>
        </is>
      </c>
      <c r="G423" t="n">
        <v>0.4</v>
      </c>
      <c r="H423" t="n">
        <v>0</v>
      </c>
      <c r="I423" t="n">
        <v>0</v>
      </c>
      <c r="J423" t="n">
        <v>0</v>
      </c>
      <c r="K423" t="n">
        <v>0</v>
      </c>
      <c r="L423" t="n">
        <v>0</v>
      </c>
      <c r="M423" t="n">
        <v>0</v>
      </c>
      <c r="N423" t="n">
        <v>0</v>
      </c>
      <c r="O423" t="n">
        <v>0</v>
      </c>
      <c r="P423" t="n">
        <v>0</v>
      </c>
      <c r="Q423" t="n">
        <v>0</v>
      </c>
      <c r="R423" s="2" t="inlineStr"/>
    </row>
    <row r="424" ht="15" customHeight="1">
      <c r="A424" t="inlineStr">
        <is>
          <t>A 31044-2023</t>
        </is>
      </c>
      <c r="B424" s="1" t="n">
        <v>45113</v>
      </c>
      <c r="C424" s="1" t="n">
        <v>45761</v>
      </c>
      <c r="D424" t="inlineStr">
        <is>
          <t>DALARNAS LÄN</t>
        </is>
      </c>
      <c r="E424" t="inlineStr">
        <is>
          <t>ORSA</t>
        </is>
      </c>
      <c r="G424" t="n">
        <v>4.6</v>
      </c>
      <c r="H424" t="n">
        <v>0</v>
      </c>
      <c r="I424" t="n">
        <v>0</v>
      </c>
      <c r="J424" t="n">
        <v>0</v>
      </c>
      <c r="K424" t="n">
        <v>0</v>
      </c>
      <c r="L424" t="n">
        <v>0</v>
      </c>
      <c r="M424" t="n">
        <v>0</v>
      </c>
      <c r="N424" t="n">
        <v>0</v>
      </c>
      <c r="O424" t="n">
        <v>0</v>
      </c>
      <c r="P424" t="n">
        <v>0</v>
      </c>
      <c r="Q424" t="n">
        <v>0</v>
      </c>
      <c r="R424" s="2" t="inlineStr"/>
    </row>
    <row r="425" ht="15" customHeight="1">
      <c r="A425" t="inlineStr">
        <is>
          <t>A 31026-2023</t>
        </is>
      </c>
      <c r="B425" s="1" t="n">
        <v>45113</v>
      </c>
      <c r="C425" s="1" t="n">
        <v>45761</v>
      </c>
      <c r="D425" t="inlineStr">
        <is>
          <t>DALARNAS LÄN</t>
        </is>
      </c>
      <c r="E425" t="inlineStr">
        <is>
          <t>ORSA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31059-2023</t>
        </is>
      </c>
      <c r="B426" s="1" t="n">
        <v>45113</v>
      </c>
      <c r="C426" s="1" t="n">
        <v>45761</v>
      </c>
      <c r="D426" t="inlineStr">
        <is>
          <t>DALARNAS LÄN</t>
        </is>
      </c>
      <c r="E426" t="inlineStr">
        <is>
          <t>ORSA</t>
        </is>
      </c>
      <c r="F426" t="inlineStr">
        <is>
          <t>Bergvik skog öst AB</t>
        </is>
      </c>
      <c r="G426" t="n">
        <v>2.7</v>
      </c>
      <c r="H426" t="n">
        <v>0</v>
      </c>
      <c r="I426" t="n">
        <v>0</v>
      </c>
      <c r="J426" t="n">
        <v>0</v>
      </c>
      <c r="K426" t="n">
        <v>0</v>
      </c>
      <c r="L426" t="n">
        <v>0</v>
      </c>
      <c r="M426" t="n">
        <v>0</v>
      </c>
      <c r="N426" t="n">
        <v>0</v>
      </c>
      <c r="O426" t="n">
        <v>0</v>
      </c>
      <c r="P426" t="n">
        <v>0</v>
      </c>
      <c r="Q426" t="n">
        <v>0</v>
      </c>
      <c r="R426" s="2" t="inlineStr"/>
    </row>
    <row r="427" ht="15" customHeight="1">
      <c r="A427" t="inlineStr">
        <is>
          <t>A 31170-2023</t>
        </is>
      </c>
      <c r="B427" s="1" t="n">
        <v>45113</v>
      </c>
      <c r="C427" s="1" t="n">
        <v>45761</v>
      </c>
      <c r="D427" t="inlineStr">
        <is>
          <t>DALARNAS LÄN</t>
        </is>
      </c>
      <c r="E427" t="inlineStr">
        <is>
          <t>ORSA</t>
        </is>
      </c>
      <c r="G427" t="n">
        <v>2.1</v>
      </c>
      <c r="H427" t="n">
        <v>0</v>
      </c>
      <c r="I427" t="n">
        <v>0</v>
      </c>
      <c r="J427" t="n">
        <v>0</v>
      </c>
      <c r="K427" t="n">
        <v>0</v>
      </c>
      <c r="L427" t="n">
        <v>0</v>
      </c>
      <c r="M427" t="n">
        <v>0</v>
      </c>
      <c r="N427" t="n">
        <v>0</v>
      </c>
      <c r="O427" t="n">
        <v>0</v>
      </c>
      <c r="P427" t="n">
        <v>0</v>
      </c>
      <c r="Q427" t="n">
        <v>0</v>
      </c>
      <c r="R427" s="2" t="inlineStr"/>
    </row>
    <row r="428" ht="15" customHeight="1">
      <c r="A428" t="inlineStr">
        <is>
          <t>A 31174-2023</t>
        </is>
      </c>
      <c r="B428" s="1" t="n">
        <v>45113</v>
      </c>
      <c r="C428" s="1" t="n">
        <v>45761</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v>
      </c>
      <c r="C429" s="1" t="n">
        <v>45761</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31172-2023</t>
        </is>
      </c>
      <c r="B430" s="1" t="n">
        <v>45113</v>
      </c>
      <c r="C430" s="1" t="n">
        <v>45761</v>
      </c>
      <c r="D430" t="inlineStr">
        <is>
          <t>DALARNAS LÄN</t>
        </is>
      </c>
      <c r="E430" t="inlineStr">
        <is>
          <t>ORSA</t>
        </is>
      </c>
      <c r="G430" t="n">
        <v>2.9</v>
      </c>
      <c r="H430" t="n">
        <v>0</v>
      </c>
      <c r="I430" t="n">
        <v>0</v>
      </c>
      <c r="J430" t="n">
        <v>0</v>
      </c>
      <c r="K430" t="n">
        <v>0</v>
      </c>
      <c r="L430" t="n">
        <v>0</v>
      </c>
      <c r="M430" t="n">
        <v>0</v>
      </c>
      <c r="N430" t="n">
        <v>0</v>
      </c>
      <c r="O430" t="n">
        <v>0</v>
      </c>
      <c r="P430" t="n">
        <v>0</v>
      </c>
      <c r="Q430" t="n">
        <v>0</v>
      </c>
      <c r="R430" s="2" t="inlineStr"/>
    </row>
    <row r="431" ht="15" customHeight="1">
      <c r="A431" t="inlineStr">
        <is>
          <t>A 31409-2023</t>
        </is>
      </c>
      <c r="B431" s="1" t="n">
        <v>45114</v>
      </c>
      <c r="C431" s="1" t="n">
        <v>45761</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31782-2023</t>
        </is>
      </c>
      <c r="B432" s="1" t="n">
        <v>45118</v>
      </c>
      <c r="C432" s="1" t="n">
        <v>45761</v>
      </c>
      <c r="D432" t="inlineStr">
        <is>
          <t>DALARNAS LÄN</t>
        </is>
      </c>
      <c r="E432" t="inlineStr">
        <is>
          <t>ORSA</t>
        </is>
      </c>
      <c r="F432" t="inlineStr">
        <is>
          <t>Allmännings- och besparingsskogar</t>
        </is>
      </c>
      <c r="G432" t="n">
        <v>0.6</v>
      </c>
      <c r="H432" t="n">
        <v>0</v>
      </c>
      <c r="I432" t="n">
        <v>0</v>
      </c>
      <c r="J432" t="n">
        <v>0</v>
      </c>
      <c r="K432" t="n">
        <v>0</v>
      </c>
      <c r="L432" t="n">
        <v>0</v>
      </c>
      <c r="M432" t="n">
        <v>0</v>
      </c>
      <c r="N432" t="n">
        <v>0</v>
      </c>
      <c r="O432" t="n">
        <v>0</v>
      </c>
      <c r="P432" t="n">
        <v>0</v>
      </c>
      <c r="Q432" t="n">
        <v>0</v>
      </c>
      <c r="R432" s="2" t="inlineStr"/>
    </row>
    <row r="433" ht="15" customHeight="1">
      <c r="A433" t="inlineStr">
        <is>
          <t>A 31780-2023</t>
        </is>
      </c>
      <c r="B433" s="1" t="n">
        <v>45118</v>
      </c>
      <c r="C433" s="1" t="n">
        <v>45761</v>
      </c>
      <c r="D433" t="inlineStr">
        <is>
          <t>DALARNAS LÄN</t>
        </is>
      </c>
      <c r="E433" t="inlineStr">
        <is>
          <t>ORSA</t>
        </is>
      </c>
      <c r="F433" t="inlineStr">
        <is>
          <t>Allmännings- och besparingsskogar</t>
        </is>
      </c>
      <c r="G433" t="n">
        <v>1.6</v>
      </c>
      <c r="H433" t="n">
        <v>0</v>
      </c>
      <c r="I433" t="n">
        <v>0</v>
      </c>
      <c r="J433" t="n">
        <v>0</v>
      </c>
      <c r="K433" t="n">
        <v>0</v>
      </c>
      <c r="L433" t="n">
        <v>0</v>
      </c>
      <c r="M433" t="n">
        <v>0</v>
      </c>
      <c r="N433" t="n">
        <v>0</v>
      </c>
      <c r="O433" t="n">
        <v>0</v>
      </c>
      <c r="P433" t="n">
        <v>0</v>
      </c>
      <c r="Q433" t="n">
        <v>0</v>
      </c>
      <c r="R433" s="2" t="inlineStr"/>
    </row>
    <row r="434" ht="15" customHeight="1">
      <c r="A434" t="inlineStr">
        <is>
          <t>A 33753-2023</t>
        </is>
      </c>
      <c r="B434" s="1" t="n">
        <v>45120</v>
      </c>
      <c r="C434" s="1" t="n">
        <v>45761</v>
      </c>
      <c r="D434" t="inlineStr">
        <is>
          <t>DALARNAS LÄN</t>
        </is>
      </c>
      <c r="E434" t="inlineStr">
        <is>
          <t>ORSA</t>
        </is>
      </c>
      <c r="G434" t="n">
        <v>1.4</v>
      </c>
      <c r="H434" t="n">
        <v>0</v>
      </c>
      <c r="I434" t="n">
        <v>0</v>
      </c>
      <c r="J434" t="n">
        <v>0</v>
      </c>
      <c r="K434" t="n">
        <v>0</v>
      </c>
      <c r="L434" t="n">
        <v>0</v>
      </c>
      <c r="M434" t="n">
        <v>0</v>
      </c>
      <c r="N434" t="n">
        <v>0</v>
      </c>
      <c r="O434" t="n">
        <v>0</v>
      </c>
      <c r="P434" t="n">
        <v>0</v>
      </c>
      <c r="Q434" t="n">
        <v>0</v>
      </c>
      <c r="R434" s="2" t="inlineStr"/>
    </row>
    <row r="435" ht="15" customHeight="1">
      <c r="A435" t="inlineStr">
        <is>
          <t>A 33348-2023</t>
        </is>
      </c>
      <c r="B435" s="1" t="n">
        <v>45128</v>
      </c>
      <c r="C435" s="1" t="n">
        <v>45761</v>
      </c>
      <c r="D435" t="inlineStr">
        <is>
          <t>DALARNAS LÄN</t>
        </is>
      </c>
      <c r="E435" t="inlineStr">
        <is>
          <t>ORSA</t>
        </is>
      </c>
      <c r="F435" t="inlineStr">
        <is>
          <t>Allmännings- och besparingsskogar</t>
        </is>
      </c>
      <c r="G435" t="n">
        <v>25.9</v>
      </c>
      <c r="H435" t="n">
        <v>0</v>
      </c>
      <c r="I435" t="n">
        <v>0</v>
      </c>
      <c r="J435" t="n">
        <v>0</v>
      </c>
      <c r="K435" t="n">
        <v>0</v>
      </c>
      <c r="L435" t="n">
        <v>0</v>
      </c>
      <c r="M435" t="n">
        <v>0</v>
      </c>
      <c r="N435" t="n">
        <v>0</v>
      </c>
      <c r="O435" t="n">
        <v>0</v>
      </c>
      <c r="P435" t="n">
        <v>0</v>
      </c>
      <c r="Q435" t="n">
        <v>0</v>
      </c>
      <c r="R435" s="2" t="inlineStr"/>
    </row>
    <row r="436" ht="15" customHeight="1">
      <c r="A436" t="inlineStr">
        <is>
          <t>A 33452-2023</t>
        </is>
      </c>
      <c r="B436" s="1" t="n">
        <v>45130</v>
      </c>
      <c r="C436" s="1" t="n">
        <v>45761</v>
      </c>
      <c r="D436" t="inlineStr">
        <is>
          <t>DALARNAS LÄN</t>
        </is>
      </c>
      <c r="E436" t="inlineStr">
        <is>
          <t>ORSA</t>
        </is>
      </c>
      <c r="G436" t="n">
        <v>1.1</v>
      </c>
      <c r="H436" t="n">
        <v>0</v>
      </c>
      <c r="I436" t="n">
        <v>0</v>
      </c>
      <c r="J436" t="n">
        <v>0</v>
      </c>
      <c r="K436" t="n">
        <v>0</v>
      </c>
      <c r="L436" t="n">
        <v>0</v>
      </c>
      <c r="M436" t="n">
        <v>0</v>
      </c>
      <c r="N436" t="n">
        <v>0</v>
      </c>
      <c r="O436" t="n">
        <v>0</v>
      </c>
      <c r="P436" t="n">
        <v>0</v>
      </c>
      <c r="Q436" t="n">
        <v>0</v>
      </c>
      <c r="R436" s="2" t="inlineStr"/>
    </row>
    <row r="437" ht="15" customHeight="1">
      <c r="A437" t="inlineStr">
        <is>
          <t>A 33693-2023</t>
        </is>
      </c>
      <c r="B437" s="1" t="n">
        <v>45132</v>
      </c>
      <c r="C437" s="1" t="n">
        <v>45761</v>
      </c>
      <c r="D437" t="inlineStr">
        <is>
          <t>DALARNAS LÄN</t>
        </is>
      </c>
      <c r="E437" t="inlineStr">
        <is>
          <t>ORSA</t>
        </is>
      </c>
      <c r="G437" t="n">
        <v>22.8</v>
      </c>
      <c r="H437" t="n">
        <v>0</v>
      </c>
      <c r="I437" t="n">
        <v>0</v>
      </c>
      <c r="J437" t="n">
        <v>0</v>
      </c>
      <c r="K437" t="n">
        <v>0</v>
      </c>
      <c r="L437" t="n">
        <v>0</v>
      </c>
      <c r="M437" t="n">
        <v>0</v>
      </c>
      <c r="N437" t="n">
        <v>0</v>
      </c>
      <c r="O437" t="n">
        <v>0</v>
      </c>
      <c r="P437" t="n">
        <v>0</v>
      </c>
      <c r="Q437" t="n">
        <v>0</v>
      </c>
      <c r="R437" s="2" t="inlineStr"/>
    </row>
    <row r="438" ht="15" customHeight="1">
      <c r="A438" t="inlineStr">
        <is>
          <t>A 33673-2023</t>
        </is>
      </c>
      <c r="B438" s="1" t="n">
        <v>45132</v>
      </c>
      <c r="C438" s="1" t="n">
        <v>45761</v>
      </c>
      <c r="D438" t="inlineStr">
        <is>
          <t>DALARNAS LÄN</t>
        </is>
      </c>
      <c r="E438" t="inlineStr">
        <is>
          <t>ORSA</t>
        </is>
      </c>
      <c r="G438" t="n">
        <v>0.9</v>
      </c>
      <c r="H438" t="n">
        <v>0</v>
      </c>
      <c r="I438" t="n">
        <v>0</v>
      </c>
      <c r="J438" t="n">
        <v>0</v>
      </c>
      <c r="K438" t="n">
        <v>0</v>
      </c>
      <c r="L438" t="n">
        <v>0</v>
      </c>
      <c r="M438" t="n">
        <v>0</v>
      </c>
      <c r="N438" t="n">
        <v>0</v>
      </c>
      <c r="O438" t="n">
        <v>0</v>
      </c>
      <c r="P438" t="n">
        <v>0</v>
      </c>
      <c r="Q438" t="n">
        <v>0</v>
      </c>
      <c r="R438" s="2" t="inlineStr"/>
    </row>
    <row r="439" ht="15" customHeight="1">
      <c r="A439" t="inlineStr">
        <is>
          <t>A 33823-2023</t>
        </is>
      </c>
      <c r="B439" s="1" t="n">
        <v>45133</v>
      </c>
      <c r="C439" s="1" t="n">
        <v>45761</v>
      </c>
      <c r="D439" t="inlineStr">
        <is>
          <t>DALARNAS LÄN</t>
        </is>
      </c>
      <c r="E439" t="inlineStr">
        <is>
          <t>ORSA</t>
        </is>
      </c>
      <c r="G439" t="n">
        <v>19.7</v>
      </c>
      <c r="H439" t="n">
        <v>0</v>
      </c>
      <c r="I439" t="n">
        <v>0</v>
      </c>
      <c r="J439" t="n">
        <v>0</v>
      </c>
      <c r="K439" t="n">
        <v>0</v>
      </c>
      <c r="L439" t="n">
        <v>0</v>
      </c>
      <c r="M439" t="n">
        <v>0</v>
      </c>
      <c r="N439" t="n">
        <v>0</v>
      </c>
      <c r="O439" t="n">
        <v>0</v>
      </c>
      <c r="P439" t="n">
        <v>0</v>
      </c>
      <c r="Q439" t="n">
        <v>0</v>
      </c>
      <c r="R439" s="2" t="inlineStr"/>
    </row>
    <row r="440" ht="15" customHeight="1">
      <c r="A440" t="inlineStr">
        <is>
          <t>A 33977-2023</t>
        </is>
      </c>
      <c r="B440" s="1" t="n">
        <v>45134</v>
      </c>
      <c r="C440" s="1" t="n">
        <v>45761</v>
      </c>
      <c r="D440" t="inlineStr">
        <is>
          <t>DALARNAS LÄN</t>
        </is>
      </c>
      <c r="E440" t="inlineStr">
        <is>
          <t>ORSA</t>
        </is>
      </c>
      <c r="G440" t="n">
        <v>2</v>
      </c>
      <c r="H440" t="n">
        <v>0</v>
      </c>
      <c r="I440" t="n">
        <v>0</v>
      </c>
      <c r="J440" t="n">
        <v>0</v>
      </c>
      <c r="K440" t="n">
        <v>0</v>
      </c>
      <c r="L440" t="n">
        <v>0</v>
      </c>
      <c r="M440" t="n">
        <v>0</v>
      </c>
      <c r="N440" t="n">
        <v>0</v>
      </c>
      <c r="O440" t="n">
        <v>0</v>
      </c>
      <c r="P440" t="n">
        <v>0</v>
      </c>
      <c r="Q440" t="n">
        <v>0</v>
      </c>
      <c r="R440" s="2" t="inlineStr"/>
    </row>
    <row r="441" ht="15" customHeight="1">
      <c r="A441" t="inlineStr">
        <is>
          <t>A 34125-2023</t>
        </is>
      </c>
      <c r="B441" s="1" t="n">
        <v>45135</v>
      </c>
      <c r="C441" s="1" t="n">
        <v>45761</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34131-2023</t>
        </is>
      </c>
      <c r="B442" s="1" t="n">
        <v>45135</v>
      </c>
      <c r="C442" s="1" t="n">
        <v>45761</v>
      </c>
      <c r="D442" t="inlineStr">
        <is>
          <t>DALARNAS LÄN</t>
        </is>
      </c>
      <c r="E442" t="inlineStr">
        <is>
          <t>ORSA</t>
        </is>
      </c>
      <c r="G442" t="n">
        <v>5.1</v>
      </c>
      <c r="H442" t="n">
        <v>0</v>
      </c>
      <c r="I442" t="n">
        <v>0</v>
      </c>
      <c r="J442" t="n">
        <v>0</v>
      </c>
      <c r="K442" t="n">
        <v>0</v>
      </c>
      <c r="L442" t="n">
        <v>0</v>
      </c>
      <c r="M442" t="n">
        <v>0</v>
      </c>
      <c r="N442" t="n">
        <v>0</v>
      </c>
      <c r="O442" t="n">
        <v>0</v>
      </c>
      <c r="P442" t="n">
        <v>0</v>
      </c>
      <c r="Q442" t="n">
        <v>0</v>
      </c>
      <c r="R442" s="2" t="inlineStr"/>
    </row>
    <row r="443" ht="15" customHeight="1">
      <c r="A443" t="inlineStr">
        <is>
          <t>A 34169-2023</t>
        </is>
      </c>
      <c r="B443" s="1" t="n">
        <v>45138</v>
      </c>
      <c r="C443" s="1" t="n">
        <v>45761</v>
      </c>
      <c r="D443" t="inlineStr">
        <is>
          <t>DALARNAS LÄN</t>
        </is>
      </c>
      <c r="E443" t="inlineStr">
        <is>
          <t>ORSA</t>
        </is>
      </c>
      <c r="F443" t="inlineStr">
        <is>
          <t>Allmännings- och besparingsskogar</t>
        </is>
      </c>
      <c r="G443" t="n">
        <v>0.7</v>
      </c>
      <c r="H443" t="n">
        <v>0</v>
      </c>
      <c r="I443" t="n">
        <v>0</v>
      </c>
      <c r="J443" t="n">
        <v>0</v>
      </c>
      <c r="K443" t="n">
        <v>0</v>
      </c>
      <c r="L443" t="n">
        <v>0</v>
      </c>
      <c r="M443" t="n">
        <v>0</v>
      </c>
      <c r="N443" t="n">
        <v>0</v>
      </c>
      <c r="O443" t="n">
        <v>0</v>
      </c>
      <c r="P443" t="n">
        <v>0</v>
      </c>
      <c r="Q443" t="n">
        <v>0</v>
      </c>
      <c r="R443" s="2" t="inlineStr"/>
    </row>
    <row r="444" ht="15" customHeight="1">
      <c r="A444" t="inlineStr">
        <is>
          <t>A 34406-2023</t>
        </is>
      </c>
      <c r="B444" s="1" t="n">
        <v>45139</v>
      </c>
      <c r="C444" s="1" t="n">
        <v>45761</v>
      </c>
      <c r="D444" t="inlineStr">
        <is>
          <t>DALARNAS LÄN</t>
        </is>
      </c>
      <c r="E444" t="inlineStr">
        <is>
          <t>ORSA</t>
        </is>
      </c>
      <c r="F444" t="inlineStr">
        <is>
          <t>Allmännings- och besparingsskogar</t>
        </is>
      </c>
      <c r="G444" t="n">
        <v>30.8</v>
      </c>
      <c r="H444" t="n">
        <v>0</v>
      </c>
      <c r="I444" t="n">
        <v>0</v>
      </c>
      <c r="J444" t="n">
        <v>0</v>
      </c>
      <c r="K444" t="n">
        <v>0</v>
      </c>
      <c r="L444" t="n">
        <v>0</v>
      </c>
      <c r="M444" t="n">
        <v>0</v>
      </c>
      <c r="N444" t="n">
        <v>0</v>
      </c>
      <c r="O444" t="n">
        <v>0</v>
      </c>
      <c r="P444" t="n">
        <v>0</v>
      </c>
      <c r="Q444" t="n">
        <v>0</v>
      </c>
      <c r="R444" s="2" t="inlineStr"/>
    </row>
    <row r="445" ht="15" customHeight="1">
      <c r="A445" t="inlineStr">
        <is>
          <t>A 34345-2023</t>
        </is>
      </c>
      <c r="B445" s="1" t="n">
        <v>45139</v>
      </c>
      <c r="C445" s="1" t="n">
        <v>45761</v>
      </c>
      <c r="D445" t="inlineStr">
        <is>
          <t>DALARNAS LÄN</t>
        </is>
      </c>
      <c r="E445" t="inlineStr">
        <is>
          <t>ORSA</t>
        </is>
      </c>
      <c r="G445" t="n">
        <v>2.7</v>
      </c>
      <c r="H445" t="n">
        <v>0</v>
      </c>
      <c r="I445" t="n">
        <v>0</v>
      </c>
      <c r="J445" t="n">
        <v>0</v>
      </c>
      <c r="K445" t="n">
        <v>0</v>
      </c>
      <c r="L445" t="n">
        <v>0</v>
      </c>
      <c r="M445" t="n">
        <v>0</v>
      </c>
      <c r="N445" t="n">
        <v>0</v>
      </c>
      <c r="O445" t="n">
        <v>0</v>
      </c>
      <c r="P445" t="n">
        <v>0</v>
      </c>
      <c r="Q445" t="n">
        <v>0</v>
      </c>
      <c r="R445" s="2" t="inlineStr"/>
    </row>
    <row r="446" ht="15" customHeight="1">
      <c r="A446" t="inlineStr">
        <is>
          <t>A 35235-2023</t>
        </is>
      </c>
      <c r="B446" s="1" t="n">
        <v>45145</v>
      </c>
      <c r="C446" s="1" t="n">
        <v>45761</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35177-2023</t>
        </is>
      </c>
      <c r="B447" s="1" t="n">
        <v>45145</v>
      </c>
      <c r="C447" s="1" t="n">
        <v>45761</v>
      </c>
      <c r="D447" t="inlineStr">
        <is>
          <t>DALARNAS LÄN</t>
        </is>
      </c>
      <c r="E447" t="inlineStr">
        <is>
          <t>ORSA</t>
        </is>
      </c>
      <c r="F447" t="inlineStr">
        <is>
          <t>Allmännings- och besparingsskogar</t>
        </is>
      </c>
      <c r="G447" t="n">
        <v>2.5</v>
      </c>
      <c r="H447" t="n">
        <v>0</v>
      </c>
      <c r="I447" t="n">
        <v>0</v>
      </c>
      <c r="J447" t="n">
        <v>0</v>
      </c>
      <c r="K447" t="n">
        <v>0</v>
      </c>
      <c r="L447" t="n">
        <v>0</v>
      </c>
      <c r="M447" t="n">
        <v>0</v>
      </c>
      <c r="N447" t="n">
        <v>0</v>
      </c>
      <c r="O447" t="n">
        <v>0</v>
      </c>
      <c r="P447" t="n">
        <v>0</v>
      </c>
      <c r="Q447" t="n">
        <v>0</v>
      </c>
      <c r="R447" s="2" t="inlineStr"/>
    </row>
    <row r="448" ht="15" customHeight="1">
      <c r="A448" t="inlineStr">
        <is>
          <t>A 35397-2023</t>
        </is>
      </c>
      <c r="B448" s="1" t="n">
        <v>45146</v>
      </c>
      <c r="C448" s="1" t="n">
        <v>45761</v>
      </c>
      <c r="D448" t="inlineStr">
        <is>
          <t>DALARNAS LÄN</t>
        </is>
      </c>
      <c r="E448" t="inlineStr">
        <is>
          <t>ORSA</t>
        </is>
      </c>
      <c r="F448" t="inlineStr">
        <is>
          <t>Allmännings- och besparingsskogar</t>
        </is>
      </c>
      <c r="G448" t="n">
        <v>1.4</v>
      </c>
      <c r="H448" t="n">
        <v>0</v>
      </c>
      <c r="I448" t="n">
        <v>0</v>
      </c>
      <c r="J448" t="n">
        <v>0</v>
      </c>
      <c r="K448" t="n">
        <v>0</v>
      </c>
      <c r="L448" t="n">
        <v>0</v>
      </c>
      <c r="M448" t="n">
        <v>0</v>
      </c>
      <c r="N448" t="n">
        <v>0</v>
      </c>
      <c r="O448" t="n">
        <v>0</v>
      </c>
      <c r="P448" t="n">
        <v>0</v>
      </c>
      <c r="Q448" t="n">
        <v>0</v>
      </c>
      <c r="R448" s="2" t="inlineStr"/>
    </row>
    <row r="449" ht="15" customHeight="1">
      <c r="A449" t="inlineStr">
        <is>
          <t>A 35333-2023</t>
        </is>
      </c>
      <c r="B449" s="1" t="n">
        <v>45146</v>
      </c>
      <c r="C449" s="1" t="n">
        <v>45761</v>
      </c>
      <c r="D449" t="inlineStr">
        <is>
          <t>DALARNAS LÄN</t>
        </is>
      </c>
      <c r="E449" t="inlineStr">
        <is>
          <t>ORSA</t>
        </is>
      </c>
      <c r="F449" t="inlineStr">
        <is>
          <t>Allmännings- och besparingsskogar</t>
        </is>
      </c>
      <c r="G449" t="n">
        <v>3.4</v>
      </c>
      <c r="H449" t="n">
        <v>0</v>
      </c>
      <c r="I449" t="n">
        <v>0</v>
      </c>
      <c r="J449" t="n">
        <v>0</v>
      </c>
      <c r="K449" t="n">
        <v>0</v>
      </c>
      <c r="L449" t="n">
        <v>0</v>
      </c>
      <c r="M449" t="n">
        <v>0</v>
      </c>
      <c r="N449" t="n">
        <v>0</v>
      </c>
      <c r="O449" t="n">
        <v>0</v>
      </c>
      <c r="P449" t="n">
        <v>0</v>
      </c>
      <c r="Q449" t="n">
        <v>0</v>
      </c>
      <c r="R449" s="2" t="inlineStr"/>
    </row>
    <row r="450" ht="15" customHeight="1">
      <c r="A450" t="inlineStr">
        <is>
          <t>A 35460-2023</t>
        </is>
      </c>
      <c r="B450" s="1" t="n">
        <v>45146</v>
      </c>
      <c r="C450" s="1" t="n">
        <v>45761</v>
      </c>
      <c r="D450" t="inlineStr">
        <is>
          <t>DALARNAS LÄN</t>
        </is>
      </c>
      <c r="E450" t="inlineStr">
        <is>
          <t>ORSA</t>
        </is>
      </c>
      <c r="G450" t="n">
        <v>3</v>
      </c>
      <c r="H450" t="n">
        <v>0</v>
      </c>
      <c r="I450" t="n">
        <v>0</v>
      </c>
      <c r="J450" t="n">
        <v>0</v>
      </c>
      <c r="K450" t="n">
        <v>0</v>
      </c>
      <c r="L450" t="n">
        <v>0</v>
      </c>
      <c r="M450" t="n">
        <v>0</v>
      </c>
      <c r="N450" t="n">
        <v>0</v>
      </c>
      <c r="O450" t="n">
        <v>0</v>
      </c>
      <c r="P450" t="n">
        <v>0</v>
      </c>
      <c r="Q450" t="n">
        <v>0</v>
      </c>
      <c r="R450" s="2" t="inlineStr"/>
    </row>
    <row r="451" ht="15" customHeight="1">
      <c r="A451" t="inlineStr">
        <is>
          <t>A 35477-2023</t>
        </is>
      </c>
      <c r="B451" s="1" t="n">
        <v>45146</v>
      </c>
      <c r="C451" s="1" t="n">
        <v>45761</v>
      </c>
      <c r="D451" t="inlineStr">
        <is>
          <t>DALARNAS LÄN</t>
        </is>
      </c>
      <c r="E451" t="inlineStr">
        <is>
          <t>ORSA</t>
        </is>
      </c>
      <c r="G451" t="n">
        <v>7.7</v>
      </c>
      <c r="H451" t="n">
        <v>0</v>
      </c>
      <c r="I451" t="n">
        <v>0</v>
      </c>
      <c r="J451" t="n">
        <v>0</v>
      </c>
      <c r="K451" t="n">
        <v>0</v>
      </c>
      <c r="L451" t="n">
        <v>0</v>
      </c>
      <c r="M451" t="n">
        <v>0</v>
      </c>
      <c r="N451" t="n">
        <v>0</v>
      </c>
      <c r="O451" t="n">
        <v>0</v>
      </c>
      <c r="P451" t="n">
        <v>0</v>
      </c>
      <c r="Q451" t="n">
        <v>0</v>
      </c>
      <c r="R451" s="2" t="inlineStr"/>
    </row>
    <row r="452" ht="15" customHeight="1">
      <c r="A452" t="inlineStr">
        <is>
          <t>A 36133-2023</t>
        </is>
      </c>
      <c r="B452" s="1" t="n">
        <v>45149</v>
      </c>
      <c r="C452" s="1" t="n">
        <v>45761</v>
      </c>
      <c r="D452" t="inlineStr">
        <is>
          <t>DALARNAS LÄN</t>
        </is>
      </c>
      <c r="E452" t="inlineStr">
        <is>
          <t>ORSA</t>
        </is>
      </c>
      <c r="G452" t="n">
        <v>9</v>
      </c>
      <c r="H452" t="n">
        <v>0</v>
      </c>
      <c r="I452" t="n">
        <v>0</v>
      </c>
      <c r="J452" t="n">
        <v>0</v>
      </c>
      <c r="K452" t="n">
        <v>0</v>
      </c>
      <c r="L452" t="n">
        <v>0</v>
      </c>
      <c r="M452" t="n">
        <v>0</v>
      </c>
      <c r="N452" t="n">
        <v>0</v>
      </c>
      <c r="O452" t="n">
        <v>0</v>
      </c>
      <c r="P452" t="n">
        <v>0</v>
      </c>
      <c r="Q452" t="n">
        <v>0</v>
      </c>
      <c r="R452" s="2" t="inlineStr"/>
    </row>
    <row r="453" ht="15" customHeight="1">
      <c r="A453" t="inlineStr">
        <is>
          <t>A 36089-2023</t>
        </is>
      </c>
      <c r="B453" s="1" t="n">
        <v>45149</v>
      </c>
      <c r="C453" s="1" t="n">
        <v>45761</v>
      </c>
      <c r="D453" t="inlineStr">
        <is>
          <t>DALARNAS LÄN</t>
        </is>
      </c>
      <c r="E453" t="inlineStr">
        <is>
          <t>ORSA</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36093-2023</t>
        </is>
      </c>
      <c r="B454" s="1" t="n">
        <v>45149</v>
      </c>
      <c r="C454" s="1" t="n">
        <v>45761</v>
      </c>
      <c r="D454" t="inlineStr">
        <is>
          <t>DALARNAS LÄN</t>
        </is>
      </c>
      <c r="E454" t="inlineStr">
        <is>
          <t>ORSA</t>
        </is>
      </c>
      <c r="F454" t="inlineStr">
        <is>
          <t>Allmännings- och besparingsskogar</t>
        </is>
      </c>
      <c r="G454" t="n">
        <v>1.9</v>
      </c>
      <c r="H454" t="n">
        <v>0</v>
      </c>
      <c r="I454" t="n">
        <v>0</v>
      </c>
      <c r="J454" t="n">
        <v>0</v>
      </c>
      <c r="K454" t="n">
        <v>0</v>
      </c>
      <c r="L454" t="n">
        <v>0</v>
      </c>
      <c r="M454" t="n">
        <v>0</v>
      </c>
      <c r="N454" t="n">
        <v>0</v>
      </c>
      <c r="O454" t="n">
        <v>0</v>
      </c>
      <c r="P454" t="n">
        <v>0</v>
      </c>
      <c r="Q454" t="n">
        <v>0</v>
      </c>
      <c r="R454" s="2" t="inlineStr"/>
    </row>
    <row r="455" ht="15" customHeight="1">
      <c r="A455" t="inlineStr">
        <is>
          <t>A 36427-2023</t>
        </is>
      </c>
      <c r="B455" s="1" t="n">
        <v>45152</v>
      </c>
      <c r="C455" s="1" t="n">
        <v>45761</v>
      </c>
      <c r="D455" t="inlineStr">
        <is>
          <t>DALARNAS LÄN</t>
        </is>
      </c>
      <c r="E455" t="inlineStr">
        <is>
          <t>ORSA</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37023-2023</t>
        </is>
      </c>
      <c r="B456" s="1" t="n">
        <v>45155</v>
      </c>
      <c r="C456" s="1" t="n">
        <v>45761</v>
      </c>
      <c r="D456" t="inlineStr">
        <is>
          <t>DALARNAS LÄN</t>
        </is>
      </c>
      <c r="E456" t="inlineStr">
        <is>
          <t>ORSA</t>
        </is>
      </c>
      <c r="F456" t="inlineStr">
        <is>
          <t>Bergvik skog öst AB</t>
        </is>
      </c>
      <c r="G456" t="n">
        <v>2.8</v>
      </c>
      <c r="H456" t="n">
        <v>0</v>
      </c>
      <c r="I456" t="n">
        <v>0</v>
      </c>
      <c r="J456" t="n">
        <v>0</v>
      </c>
      <c r="K456" t="n">
        <v>0</v>
      </c>
      <c r="L456" t="n">
        <v>0</v>
      </c>
      <c r="M456" t="n">
        <v>0</v>
      </c>
      <c r="N456" t="n">
        <v>0</v>
      </c>
      <c r="O456" t="n">
        <v>0</v>
      </c>
      <c r="P456" t="n">
        <v>0</v>
      </c>
      <c r="Q456" t="n">
        <v>0</v>
      </c>
      <c r="R456" s="2" t="inlineStr"/>
    </row>
    <row r="457" ht="15" customHeight="1">
      <c r="A457" t="inlineStr">
        <is>
          <t>A 37116-2023</t>
        </is>
      </c>
      <c r="B457" s="1" t="n">
        <v>45155</v>
      </c>
      <c r="C457" s="1" t="n">
        <v>45761</v>
      </c>
      <c r="D457" t="inlineStr">
        <is>
          <t>DALARNAS LÄN</t>
        </is>
      </c>
      <c r="E457" t="inlineStr">
        <is>
          <t>ORSA</t>
        </is>
      </c>
      <c r="F457" t="inlineStr">
        <is>
          <t>Allmännings- och besparingsskogar</t>
        </is>
      </c>
      <c r="G457" t="n">
        <v>4.5</v>
      </c>
      <c r="H457" t="n">
        <v>0</v>
      </c>
      <c r="I457" t="n">
        <v>0</v>
      </c>
      <c r="J457" t="n">
        <v>0</v>
      </c>
      <c r="K457" t="n">
        <v>0</v>
      </c>
      <c r="L457" t="n">
        <v>0</v>
      </c>
      <c r="M457" t="n">
        <v>0</v>
      </c>
      <c r="N457" t="n">
        <v>0</v>
      </c>
      <c r="O457" t="n">
        <v>0</v>
      </c>
      <c r="P457" t="n">
        <v>0</v>
      </c>
      <c r="Q457" t="n">
        <v>0</v>
      </c>
      <c r="R457" s="2" t="inlineStr"/>
    </row>
    <row r="458" ht="15" customHeight="1">
      <c r="A458" t="inlineStr">
        <is>
          <t>A 37124-2023</t>
        </is>
      </c>
      <c r="B458" s="1" t="n">
        <v>45155</v>
      </c>
      <c r="C458" s="1" t="n">
        <v>45761</v>
      </c>
      <c r="D458" t="inlineStr">
        <is>
          <t>DALARNAS LÄN</t>
        </is>
      </c>
      <c r="E458" t="inlineStr">
        <is>
          <t>ORSA</t>
        </is>
      </c>
      <c r="F458" t="inlineStr">
        <is>
          <t>Allmännings- och besparingsskogar</t>
        </is>
      </c>
      <c r="G458" t="n">
        <v>1.5</v>
      </c>
      <c r="H458" t="n">
        <v>0</v>
      </c>
      <c r="I458" t="n">
        <v>0</v>
      </c>
      <c r="J458" t="n">
        <v>0</v>
      </c>
      <c r="K458" t="n">
        <v>0</v>
      </c>
      <c r="L458" t="n">
        <v>0</v>
      </c>
      <c r="M458" t="n">
        <v>0</v>
      </c>
      <c r="N458" t="n">
        <v>0</v>
      </c>
      <c r="O458" t="n">
        <v>0</v>
      </c>
      <c r="P458" t="n">
        <v>0</v>
      </c>
      <c r="Q458" t="n">
        <v>0</v>
      </c>
      <c r="R458" s="2" t="inlineStr"/>
    </row>
    <row r="459" ht="15" customHeight="1">
      <c r="A459" t="inlineStr">
        <is>
          <t>A 37151-2023</t>
        </is>
      </c>
      <c r="B459" s="1" t="n">
        <v>45155</v>
      </c>
      <c r="C459" s="1" t="n">
        <v>45761</v>
      </c>
      <c r="D459" t="inlineStr">
        <is>
          <t>DALARNAS LÄN</t>
        </is>
      </c>
      <c r="E459" t="inlineStr">
        <is>
          <t>ORSA</t>
        </is>
      </c>
      <c r="F459" t="inlineStr">
        <is>
          <t>Allmännings- och besparingsskogar</t>
        </is>
      </c>
      <c r="G459" t="n">
        <v>2.2</v>
      </c>
      <c r="H459" t="n">
        <v>0</v>
      </c>
      <c r="I459" t="n">
        <v>0</v>
      </c>
      <c r="J459" t="n">
        <v>0</v>
      </c>
      <c r="K459" t="n">
        <v>0</v>
      </c>
      <c r="L459" t="n">
        <v>0</v>
      </c>
      <c r="M459" t="n">
        <v>0</v>
      </c>
      <c r="N459" t="n">
        <v>0</v>
      </c>
      <c r="O459" t="n">
        <v>0</v>
      </c>
      <c r="P459" t="n">
        <v>0</v>
      </c>
      <c r="Q459" t="n">
        <v>0</v>
      </c>
      <c r="R459" s="2" t="inlineStr"/>
    </row>
    <row r="460" ht="15" customHeight="1">
      <c r="A460" t="inlineStr">
        <is>
          <t>A 37193-2023</t>
        </is>
      </c>
      <c r="B460" s="1" t="n">
        <v>45155</v>
      </c>
      <c r="C460" s="1" t="n">
        <v>45761</v>
      </c>
      <c r="D460" t="inlineStr">
        <is>
          <t>DALARNAS LÄN</t>
        </is>
      </c>
      <c r="E460" t="inlineStr">
        <is>
          <t>ORSA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37647-2023</t>
        </is>
      </c>
      <c r="B461" s="1" t="n">
        <v>45159</v>
      </c>
      <c r="C461" s="1" t="n">
        <v>45761</v>
      </c>
      <c r="D461" t="inlineStr">
        <is>
          <t>DALARNAS LÄN</t>
        </is>
      </c>
      <c r="E461" t="inlineStr">
        <is>
          <t>ORSA</t>
        </is>
      </c>
      <c r="F461" t="inlineStr">
        <is>
          <t>Allmännings- och besparingsskogar</t>
        </is>
      </c>
      <c r="G461" t="n">
        <v>2.1</v>
      </c>
      <c r="H461" t="n">
        <v>0</v>
      </c>
      <c r="I461" t="n">
        <v>0</v>
      </c>
      <c r="J461" t="n">
        <v>0</v>
      </c>
      <c r="K461" t="n">
        <v>0</v>
      </c>
      <c r="L461" t="n">
        <v>0</v>
      </c>
      <c r="M461" t="n">
        <v>0</v>
      </c>
      <c r="N461" t="n">
        <v>0</v>
      </c>
      <c r="O461" t="n">
        <v>0</v>
      </c>
      <c r="P461" t="n">
        <v>0</v>
      </c>
      <c r="Q461" t="n">
        <v>0</v>
      </c>
      <c r="R461" s="2" t="inlineStr"/>
    </row>
    <row r="462" ht="15" customHeight="1">
      <c r="A462" t="inlineStr">
        <is>
          <t>A 37770-2023</t>
        </is>
      </c>
      <c r="B462" s="1" t="n">
        <v>45159</v>
      </c>
      <c r="C462" s="1" t="n">
        <v>45761</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37931-2023</t>
        </is>
      </c>
      <c r="B463" s="1" t="n">
        <v>45160</v>
      </c>
      <c r="C463" s="1" t="n">
        <v>45761</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38534-2023</t>
        </is>
      </c>
      <c r="B464" s="1" t="n">
        <v>45162</v>
      </c>
      <c r="C464" s="1" t="n">
        <v>45761</v>
      </c>
      <c r="D464" t="inlineStr">
        <is>
          <t>DALARNAS LÄN</t>
        </is>
      </c>
      <c r="E464" t="inlineStr">
        <is>
          <t>ORSA</t>
        </is>
      </c>
      <c r="F464" t="inlineStr">
        <is>
          <t>Bergvik skog öst AB</t>
        </is>
      </c>
      <c r="G464" t="n">
        <v>4.1</v>
      </c>
      <c r="H464" t="n">
        <v>0</v>
      </c>
      <c r="I464" t="n">
        <v>0</v>
      </c>
      <c r="J464" t="n">
        <v>0</v>
      </c>
      <c r="K464" t="n">
        <v>0</v>
      </c>
      <c r="L464" t="n">
        <v>0</v>
      </c>
      <c r="M464" t="n">
        <v>0</v>
      </c>
      <c r="N464" t="n">
        <v>0</v>
      </c>
      <c r="O464" t="n">
        <v>0</v>
      </c>
      <c r="P464" t="n">
        <v>0</v>
      </c>
      <c r="Q464" t="n">
        <v>0</v>
      </c>
      <c r="R464" s="2" t="inlineStr"/>
    </row>
    <row r="465" ht="15" customHeight="1">
      <c r="A465" t="inlineStr">
        <is>
          <t>A 40003-2023</t>
        </is>
      </c>
      <c r="B465" s="1" t="n">
        <v>45168</v>
      </c>
      <c r="C465" s="1" t="n">
        <v>45761</v>
      </c>
      <c r="D465" t="inlineStr">
        <is>
          <t>DALARNAS LÄN</t>
        </is>
      </c>
      <c r="E465" t="inlineStr">
        <is>
          <t>ORSA</t>
        </is>
      </c>
      <c r="G465" t="n">
        <v>2.3</v>
      </c>
      <c r="H465" t="n">
        <v>0</v>
      </c>
      <c r="I465" t="n">
        <v>0</v>
      </c>
      <c r="J465" t="n">
        <v>0</v>
      </c>
      <c r="K465" t="n">
        <v>0</v>
      </c>
      <c r="L465" t="n">
        <v>0</v>
      </c>
      <c r="M465" t="n">
        <v>0</v>
      </c>
      <c r="N465" t="n">
        <v>0</v>
      </c>
      <c r="O465" t="n">
        <v>0</v>
      </c>
      <c r="P465" t="n">
        <v>0</v>
      </c>
      <c r="Q465" t="n">
        <v>0</v>
      </c>
      <c r="R465" s="2" t="inlineStr"/>
    </row>
    <row r="466" ht="15" customHeight="1">
      <c r="A466" t="inlineStr">
        <is>
          <t>A 40234-2023</t>
        </is>
      </c>
      <c r="B466" s="1" t="n">
        <v>45169</v>
      </c>
      <c r="C466" s="1" t="n">
        <v>45761</v>
      </c>
      <c r="D466" t="inlineStr">
        <is>
          <t>DALARNAS LÄN</t>
        </is>
      </c>
      <c r="E466" t="inlineStr">
        <is>
          <t>ORSA</t>
        </is>
      </c>
      <c r="F466" t="inlineStr">
        <is>
          <t>Allmännings- och besparingsskogar</t>
        </is>
      </c>
      <c r="G466" t="n">
        <v>0.8</v>
      </c>
      <c r="H466" t="n">
        <v>0</v>
      </c>
      <c r="I466" t="n">
        <v>0</v>
      </c>
      <c r="J466" t="n">
        <v>0</v>
      </c>
      <c r="K466" t="n">
        <v>0</v>
      </c>
      <c r="L466" t="n">
        <v>0</v>
      </c>
      <c r="M466" t="n">
        <v>0</v>
      </c>
      <c r="N466" t="n">
        <v>0</v>
      </c>
      <c r="O466" t="n">
        <v>0</v>
      </c>
      <c r="P466" t="n">
        <v>0</v>
      </c>
      <c r="Q466" t="n">
        <v>0</v>
      </c>
      <c r="R466" s="2" t="inlineStr"/>
    </row>
    <row r="467" ht="15" customHeight="1">
      <c r="A467" t="inlineStr">
        <is>
          <t>A 40283-2023</t>
        </is>
      </c>
      <c r="B467" s="1" t="n">
        <v>45169</v>
      </c>
      <c r="C467" s="1" t="n">
        <v>45761</v>
      </c>
      <c r="D467" t="inlineStr">
        <is>
          <t>DALARNAS LÄN</t>
        </is>
      </c>
      <c r="E467" t="inlineStr">
        <is>
          <t>ORSA</t>
        </is>
      </c>
      <c r="G467" t="n">
        <v>4.3</v>
      </c>
      <c r="H467" t="n">
        <v>0</v>
      </c>
      <c r="I467" t="n">
        <v>0</v>
      </c>
      <c r="J467" t="n">
        <v>0</v>
      </c>
      <c r="K467" t="n">
        <v>0</v>
      </c>
      <c r="L467" t="n">
        <v>0</v>
      </c>
      <c r="M467" t="n">
        <v>0</v>
      </c>
      <c r="N467" t="n">
        <v>0</v>
      </c>
      <c r="O467" t="n">
        <v>0</v>
      </c>
      <c r="P467" t="n">
        <v>0</v>
      </c>
      <c r="Q467" t="n">
        <v>0</v>
      </c>
      <c r="R467" s="2" t="inlineStr"/>
    </row>
    <row r="468" ht="15" customHeight="1">
      <c r="A468" t="inlineStr">
        <is>
          <t>A 41119-2023</t>
        </is>
      </c>
      <c r="B468" s="1" t="n">
        <v>45173</v>
      </c>
      <c r="C468" s="1" t="n">
        <v>45761</v>
      </c>
      <c r="D468" t="inlineStr">
        <is>
          <t>DALARNAS LÄN</t>
        </is>
      </c>
      <c r="E468" t="inlineStr">
        <is>
          <t>ORSA</t>
        </is>
      </c>
      <c r="G468" t="n">
        <v>6</v>
      </c>
      <c r="H468" t="n">
        <v>0</v>
      </c>
      <c r="I468" t="n">
        <v>0</v>
      </c>
      <c r="J468" t="n">
        <v>0</v>
      </c>
      <c r="K468" t="n">
        <v>0</v>
      </c>
      <c r="L468" t="n">
        <v>0</v>
      </c>
      <c r="M468" t="n">
        <v>0</v>
      </c>
      <c r="N468" t="n">
        <v>0</v>
      </c>
      <c r="O468" t="n">
        <v>0</v>
      </c>
      <c r="P468" t="n">
        <v>0</v>
      </c>
      <c r="Q468" t="n">
        <v>0</v>
      </c>
      <c r="R468" s="2" t="inlineStr"/>
    </row>
    <row r="469" ht="15" customHeight="1">
      <c r="A469" t="inlineStr">
        <is>
          <t>A 41120-2023</t>
        </is>
      </c>
      <c r="B469" s="1" t="n">
        <v>45173</v>
      </c>
      <c r="C469" s="1" t="n">
        <v>45761</v>
      </c>
      <c r="D469" t="inlineStr">
        <is>
          <t>DALARNAS LÄN</t>
        </is>
      </c>
      <c r="E469" t="inlineStr">
        <is>
          <t>ORSA</t>
        </is>
      </c>
      <c r="G469" t="n">
        <v>13.2</v>
      </c>
      <c r="H469" t="n">
        <v>0</v>
      </c>
      <c r="I469" t="n">
        <v>0</v>
      </c>
      <c r="J469" t="n">
        <v>0</v>
      </c>
      <c r="K469" t="n">
        <v>0</v>
      </c>
      <c r="L469" t="n">
        <v>0</v>
      </c>
      <c r="M469" t="n">
        <v>0</v>
      </c>
      <c r="N469" t="n">
        <v>0</v>
      </c>
      <c r="O469" t="n">
        <v>0</v>
      </c>
      <c r="P469" t="n">
        <v>0</v>
      </c>
      <c r="Q469" t="n">
        <v>0</v>
      </c>
      <c r="R469" s="2" t="inlineStr"/>
    </row>
    <row r="470" ht="15" customHeight="1">
      <c r="A470" t="inlineStr">
        <is>
          <t>A 42043-2023</t>
        </is>
      </c>
      <c r="B470" s="1" t="n">
        <v>45177</v>
      </c>
      <c r="C470" s="1" t="n">
        <v>45761</v>
      </c>
      <c r="D470" t="inlineStr">
        <is>
          <t>DALARNAS LÄN</t>
        </is>
      </c>
      <c r="E470" t="inlineStr">
        <is>
          <t>ORSA</t>
        </is>
      </c>
      <c r="G470" t="n">
        <v>3.3</v>
      </c>
      <c r="H470" t="n">
        <v>0</v>
      </c>
      <c r="I470" t="n">
        <v>0</v>
      </c>
      <c r="J470" t="n">
        <v>0</v>
      </c>
      <c r="K470" t="n">
        <v>0</v>
      </c>
      <c r="L470" t="n">
        <v>0</v>
      </c>
      <c r="M470" t="n">
        <v>0</v>
      </c>
      <c r="N470" t="n">
        <v>0</v>
      </c>
      <c r="O470" t="n">
        <v>0</v>
      </c>
      <c r="P470" t="n">
        <v>0</v>
      </c>
      <c r="Q470" t="n">
        <v>0</v>
      </c>
      <c r="R470" s="2" t="inlineStr"/>
    </row>
    <row r="471" ht="15" customHeight="1">
      <c r="A471" t="inlineStr">
        <is>
          <t>A 42238-2023</t>
        </is>
      </c>
      <c r="B471" s="1" t="n">
        <v>45180</v>
      </c>
      <c r="C471" s="1" t="n">
        <v>45761</v>
      </c>
      <c r="D471" t="inlineStr">
        <is>
          <t>DALARNAS LÄN</t>
        </is>
      </c>
      <c r="E471" t="inlineStr">
        <is>
          <t>ORSA</t>
        </is>
      </c>
      <c r="F471" t="inlineStr">
        <is>
          <t>Allmännings- och besparingsskogar</t>
        </is>
      </c>
      <c r="G471" t="n">
        <v>0.5</v>
      </c>
      <c r="H471" t="n">
        <v>0</v>
      </c>
      <c r="I471" t="n">
        <v>0</v>
      </c>
      <c r="J471" t="n">
        <v>0</v>
      </c>
      <c r="K471" t="n">
        <v>0</v>
      </c>
      <c r="L471" t="n">
        <v>0</v>
      </c>
      <c r="M471" t="n">
        <v>0</v>
      </c>
      <c r="N471" t="n">
        <v>0</v>
      </c>
      <c r="O471" t="n">
        <v>0</v>
      </c>
      <c r="P471" t="n">
        <v>0</v>
      </c>
      <c r="Q471" t="n">
        <v>0</v>
      </c>
      <c r="R471" s="2" t="inlineStr"/>
    </row>
    <row r="472" ht="15" customHeight="1">
      <c r="A472" t="inlineStr">
        <is>
          <t>A 42236-2023</t>
        </is>
      </c>
      <c r="B472" s="1" t="n">
        <v>45180</v>
      </c>
      <c r="C472" s="1" t="n">
        <v>45761</v>
      </c>
      <c r="D472" t="inlineStr">
        <is>
          <t>DALARNAS LÄN</t>
        </is>
      </c>
      <c r="E472" t="inlineStr">
        <is>
          <t>ORSA</t>
        </is>
      </c>
      <c r="F472" t="inlineStr">
        <is>
          <t>Allmännings- och besparingsskogar</t>
        </is>
      </c>
      <c r="G472" t="n">
        <v>9.1</v>
      </c>
      <c r="H472" t="n">
        <v>0</v>
      </c>
      <c r="I472" t="n">
        <v>0</v>
      </c>
      <c r="J472" t="n">
        <v>0</v>
      </c>
      <c r="K472" t="n">
        <v>0</v>
      </c>
      <c r="L472" t="n">
        <v>0</v>
      </c>
      <c r="M472" t="n">
        <v>0</v>
      </c>
      <c r="N472" t="n">
        <v>0</v>
      </c>
      <c r="O472" t="n">
        <v>0</v>
      </c>
      <c r="P472" t="n">
        <v>0</v>
      </c>
      <c r="Q472" t="n">
        <v>0</v>
      </c>
      <c r="R472" s="2" t="inlineStr"/>
    </row>
    <row r="473" ht="15" customHeight="1">
      <c r="A473" t="inlineStr">
        <is>
          <t>A 42240-2023</t>
        </is>
      </c>
      <c r="B473" s="1" t="n">
        <v>45180</v>
      </c>
      <c r="C473" s="1" t="n">
        <v>45761</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44600-2023</t>
        </is>
      </c>
      <c r="B474" s="1" t="n">
        <v>45189</v>
      </c>
      <c r="C474" s="1" t="n">
        <v>45761</v>
      </c>
      <c r="D474" t="inlineStr">
        <is>
          <t>DALARNAS LÄN</t>
        </is>
      </c>
      <c r="E474" t="inlineStr">
        <is>
          <t>ORSA</t>
        </is>
      </c>
      <c r="G474" t="n">
        <v>3.9</v>
      </c>
      <c r="H474" t="n">
        <v>0</v>
      </c>
      <c r="I474" t="n">
        <v>0</v>
      </c>
      <c r="J474" t="n">
        <v>0</v>
      </c>
      <c r="K474" t="n">
        <v>0</v>
      </c>
      <c r="L474" t="n">
        <v>0</v>
      </c>
      <c r="M474" t="n">
        <v>0</v>
      </c>
      <c r="N474" t="n">
        <v>0</v>
      </c>
      <c r="O474" t="n">
        <v>0</v>
      </c>
      <c r="P474" t="n">
        <v>0</v>
      </c>
      <c r="Q474" t="n">
        <v>0</v>
      </c>
      <c r="R474" s="2" t="inlineStr"/>
    </row>
    <row r="475" ht="15" customHeight="1">
      <c r="A475" t="inlineStr">
        <is>
          <t>A 44592-2023</t>
        </is>
      </c>
      <c r="B475" s="1" t="n">
        <v>45189</v>
      </c>
      <c r="C475" s="1" t="n">
        <v>45761</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45256-2023</t>
        </is>
      </c>
      <c r="B476" s="1" t="n">
        <v>45191</v>
      </c>
      <c r="C476" s="1" t="n">
        <v>45761</v>
      </c>
      <c r="D476" t="inlineStr">
        <is>
          <t>DALARNAS LÄN</t>
        </is>
      </c>
      <c r="E476" t="inlineStr">
        <is>
          <t>ORSA</t>
        </is>
      </c>
      <c r="F476" t="inlineStr">
        <is>
          <t>Bergvik skog öst AB</t>
        </is>
      </c>
      <c r="G476" t="n">
        <v>8.5</v>
      </c>
      <c r="H476" t="n">
        <v>0</v>
      </c>
      <c r="I476" t="n">
        <v>0</v>
      </c>
      <c r="J476" t="n">
        <v>0</v>
      </c>
      <c r="K476" t="n">
        <v>0</v>
      </c>
      <c r="L476" t="n">
        <v>0</v>
      </c>
      <c r="M476" t="n">
        <v>0</v>
      </c>
      <c r="N476" t="n">
        <v>0</v>
      </c>
      <c r="O476" t="n">
        <v>0</v>
      </c>
      <c r="P476" t="n">
        <v>0</v>
      </c>
      <c r="Q476" t="n">
        <v>0</v>
      </c>
      <c r="R476" s="2" t="inlineStr"/>
    </row>
    <row r="477" ht="15" customHeight="1">
      <c r="A477" t="inlineStr">
        <is>
          <t>A 46494-2023</t>
        </is>
      </c>
      <c r="B477" s="1" t="n">
        <v>45197</v>
      </c>
      <c r="C477" s="1" t="n">
        <v>45761</v>
      </c>
      <c r="D477" t="inlineStr">
        <is>
          <t>DALARNAS LÄN</t>
        </is>
      </c>
      <c r="E477" t="inlineStr">
        <is>
          <t>ORSA</t>
        </is>
      </c>
      <c r="F477" t="inlineStr">
        <is>
          <t>Bergvik skog öst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46726-2023</t>
        </is>
      </c>
      <c r="B478" s="1" t="n">
        <v>45198</v>
      </c>
      <c r="C478" s="1" t="n">
        <v>45761</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47579-2023</t>
        </is>
      </c>
      <c r="B479" s="1" t="n">
        <v>45203</v>
      </c>
      <c r="C479" s="1" t="n">
        <v>45761</v>
      </c>
      <c r="D479" t="inlineStr">
        <is>
          <t>DALARNAS LÄN</t>
        </is>
      </c>
      <c r="E479" t="inlineStr">
        <is>
          <t>ORSA</t>
        </is>
      </c>
      <c r="G479" t="n">
        <v>2.9</v>
      </c>
      <c r="H479" t="n">
        <v>0</v>
      </c>
      <c r="I479" t="n">
        <v>0</v>
      </c>
      <c r="J479" t="n">
        <v>0</v>
      </c>
      <c r="K479" t="n">
        <v>0</v>
      </c>
      <c r="L479" t="n">
        <v>0</v>
      </c>
      <c r="M479" t="n">
        <v>0</v>
      </c>
      <c r="N479" t="n">
        <v>0</v>
      </c>
      <c r="O479" t="n">
        <v>0</v>
      </c>
      <c r="P479" t="n">
        <v>0</v>
      </c>
      <c r="Q479" t="n">
        <v>0</v>
      </c>
      <c r="R479" s="2" t="inlineStr"/>
    </row>
    <row r="480" ht="15" customHeight="1">
      <c r="A480" t="inlineStr">
        <is>
          <t>A 47564-2023</t>
        </is>
      </c>
      <c r="B480" s="1" t="n">
        <v>45203</v>
      </c>
      <c r="C480" s="1" t="n">
        <v>45761</v>
      </c>
      <c r="D480" t="inlineStr">
        <is>
          <t>DALARNAS LÄN</t>
        </is>
      </c>
      <c r="E480" t="inlineStr">
        <is>
          <t>ORSA</t>
        </is>
      </c>
      <c r="F480" t="inlineStr">
        <is>
          <t>Allmännings- och besparingsskogar</t>
        </is>
      </c>
      <c r="G480" t="n">
        <v>0.8</v>
      </c>
      <c r="H480" t="n">
        <v>0</v>
      </c>
      <c r="I480" t="n">
        <v>0</v>
      </c>
      <c r="J480" t="n">
        <v>0</v>
      </c>
      <c r="K480" t="n">
        <v>0</v>
      </c>
      <c r="L480" t="n">
        <v>0</v>
      </c>
      <c r="M480" t="n">
        <v>0</v>
      </c>
      <c r="N480" t="n">
        <v>0</v>
      </c>
      <c r="O480" t="n">
        <v>0</v>
      </c>
      <c r="P480" t="n">
        <v>0</v>
      </c>
      <c r="Q480" t="n">
        <v>0</v>
      </c>
      <c r="R480" s="2" t="inlineStr"/>
    </row>
    <row r="481" ht="15" customHeight="1">
      <c r="A481" t="inlineStr">
        <is>
          <t>A 47583-2023</t>
        </is>
      </c>
      <c r="B481" s="1" t="n">
        <v>45203</v>
      </c>
      <c r="C481" s="1" t="n">
        <v>45761</v>
      </c>
      <c r="D481" t="inlineStr">
        <is>
          <t>DALARNAS LÄN</t>
        </is>
      </c>
      <c r="E481" t="inlineStr">
        <is>
          <t>ORSA</t>
        </is>
      </c>
      <c r="G481" t="n">
        <v>5.6</v>
      </c>
      <c r="H481" t="n">
        <v>0</v>
      </c>
      <c r="I481" t="n">
        <v>0</v>
      </c>
      <c r="J481" t="n">
        <v>0</v>
      </c>
      <c r="K481" t="n">
        <v>0</v>
      </c>
      <c r="L481" t="n">
        <v>0</v>
      </c>
      <c r="M481" t="n">
        <v>0</v>
      </c>
      <c r="N481" t="n">
        <v>0</v>
      </c>
      <c r="O481" t="n">
        <v>0</v>
      </c>
      <c r="P481" t="n">
        <v>0</v>
      </c>
      <c r="Q481" t="n">
        <v>0</v>
      </c>
      <c r="R481" s="2" t="inlineStr"/>
    </row>
    <row r="482" ht="15" customHeight="1">
      <c r="A482" t="inlineStr">
        <is>
          <t>A 47586-2023</t>
        </is>
      </c>
      <c r="B482" s="1" t="n">
        <v>45203</v>
      </c>
      <c r="C482" s="1" t="n">
        <v>45761</v>
      </c>
      <c r="D482" t="inlineStr">
        <is>
          <t>DALARNAS LÄN</t>
        </is>
      </c>
      <c r="E482" t="inlineStr">
        <is>
          <t>ORSA</t>
        </is>
      </c>
      <c r="G482" t="n">
        <v>3.2</v>
      </c>
      <c r="H482" t="n">
        <v>0</v>
      </c>
      <c r="I482" t="n">
        <v>0</v>
      </c>
      <c r="J482" t="n">
        <v>0</v>
      </c>
      <c r="K482" t="n">
        <v>0</v>
      </c>
      <c r="L482" t="n">
        <v>0</v>
      </c>
      <c r="M482" t="n">
        <v>0</v>
      </c>
      <c r="N482" t="n">
        <v>0</v>
      </c>
      <c r="O482" t="n">
        <v>0</v>
      </c>
      <c r="P482" t="n">
        <v>0</v>
      </c>
      <c r="Q482" t="n">
        <v>0</v>
      </c>
      <c r="R482" s="2" t="inlineStr"/>
    </row>
    <row r="483" ht="15" customHeight="1">
      <c r="A483" t="inlineStr">
        <is>
          <t>A 48311-2023</t>
        </is>
      </c>
      <c r="B483" s="1" t="n">
        <v>45205</v>
      </c>
      <c r="C483" s="1" t="n">
        <v>45761</v>
      </c>
      <c r="D483" t="inlineStr">
        <is>
          <t>DALARNAS LÄN</t>
        </is>
      </c>
      <c r="E483" t="inlineStr">
        <is>
          <t>ORSA</t>
        </is>
      </c>
      <c r="F483" t="inlineStr">
        <is>
          <t>Allmännings- och besparingsskogar</t>
        </is>
      </c>
      <c r="G483" t="n">
        <v>7</v>
      </c>
      <c r="H483" t="n">
        <v>0</v>
      </c>
      <c r="I483" t="n">
        <v>0</v>
      </c>
      <c r="J483" t="n">
        <v>0</v>
      </c>
      <c r="K483" t="n">
        <v>0</v>
      </c>
      <c r="L483" t="n">
        <v>0</v>
      </c>
      <c r="M483" t="n">
        <v>0</v>
      </c>
      <c r="N483" t="n">
        <v>0</v>
      </c>
      <c r="O483" t="n">
        <v>0</v>
      </c>
      <c r="P483" t="n">
        <v>0</v>
      </c>
      <c r="Q483" t="n">
        <v>0</v>
      </c>
      <c r="R483" s="2" t="inlineStr"/>
    </row>
    <row r="484" ht="15" customHeight="1">
      <c r="A484" t="inlineStr">
        <is>
          <t>A 48448-2023</t>
        </is>
      </c>
      <c r="B484" s="1" t="n">
        <v>45206</v>
      </c>
      <c r="C484" s="1" t="n">
        <v>45761</v>
      </c>
      <c r="D484" t="inlineStr">
        <is>
          <t>DALARNAS LÄN</t>
        </is>
      </c>
      <c r="E484" t="inlineStr">
        <is>
          <t>ORSA</t>
        </is>
      </c>
      <c r="G484" t="n">
        <v>3.4</v>
      </c>
      <c r="H484" t="n">
        <v>0</v>
      </c>
      <c r="I484" t="n">
        <v>0</v>
      </c>
      <c r="J484" t="n">
        <v>0</v>
      </c>
      <c r="K484" t="n">
        <v>0</v>
      </c>
      <c r="L484" t="n">
        <v>0</v>
      </c>
      <c r="M484" t="n">
        <v>0</v>
      </c>
      <c r="N484" t="n">
        <v>0</v>
      </c>
      <c r="O484" t="n">
        <v>0</v>
      </c>
      <c r="P484" t="n">
        <v>0</v>
      </c>
      <c r="Q484" t="n">
        <v>0</v>
      </c>
      <c r="R484" s="2" t="inlineStr"/>
    </row>
    <row r="485" ht="15" customHeight="1">
      <c r="A485" t="inlineStr">
        <is>
          <t>A 48447-2023</t>
        </is>
      </c>
      <c r="B485" s="1" t="n">
        <v>45206</v>
      </c>
      <c r="C485" s="1" t="n">
        <v>45761</v>
      </c>
      <c r="D485" t="inlineStr">
        <is>
          <t>DALARNAS LÄN</t>
        </is>
      </c>
      <c r="E485" t="inlineStr">
        <is>
          <t>ORSA</t>
        </is>
      </c>
      <c r="G485" t="n">
        <v>0.6</v>
      </c>
      <c r="H485" t="n">
        <v>0</v>
      </c>
      <c r="I485" t="n">
        <v>0</v>
      </c>
      <c r="J485" t="n">
        <v>0</v>
      </c>
      <c r="K485" t="n">
        <v>0</v>
      </c>
      <c r="L485" t="n">
        <v>0</v>
      </c>
      <c r="M485" t="n">
        <v>0</v>
      </c>
      <c r="N485" t="n">
        <v>0</v>
      </c>
      <c r="O485" t="n">
        <v>0</v>
      </c>
      <c r="P485" t="n">
        <v>0</v>
      </c>
      <c r="Q485" t="n">
        <v>0</v>
      </c>
      <c r="R485" s="2" t="inlineStr"/>
    </row>
    <row r="486" ht="15" customHeight="1">
      <c r="A486" t="inlineStr">
        <is>
          <t>A 48451-2023</t>
        </is>
      </c>
      <c r="B486" s="1" t="n">
        <v>45206</v>
      </c>
      <c r="C486" s="1" t="n">
        <v>45761</v>
      </c>
      <c r="D486" t="inlineStr">
        <is>
          <t>DALARNAS LÄN</t>
        </is>
      </c>
      <c r="E486" t="inlineStr">
        <is>
          <t>ORSA</t>
        </is>
      </c>
      <c r="G486" t="n">
        <v>3.6</v>
      </c>
      <c r="H486" t="n">
        <v>0</v>
      </c>
      <c r="I486" t="n">
        <v>0</v>
      </c>
      <c r="J486" t="n">
        <v>0</v>
      </c>
      <c r="K486" t="n">
        <v>0</v>
      </c>
      <c r="L486" t="n">
        <v>0</v>
      </c>
      <c r="M486" t="n">
        <v>0</v>
      </c>
      <c r="N486" t="n">
        <v>0</v>
      </c>
      <c r="O486" t="n">
        <v>0</v>
      </c>
      <c r="P486" t="n">
        <v>0</v>
      </c>
      <c r="Q486" t="n">
        <v>0</v>
      </c>
      <c r="R486" s="2" t="inlineStr"/>
    </row>
    <row r="487" ht="15" customHeight="1">
      <c r="A487" t="inlineStr">
        <is>
          <t>A 48985-2023</t>
        </is>
      </c>
      <c r="B487" s="1" t="n">
        <v>45209</v>
      </c>
      <c r="C487" s="1" t="n">
        <v>45761</v>
      </c>
      <c r="D487" t="inlineStr">
        <is>
          <t>DALARNAS LÄN</t>
        </is>
      </c>
      <c r="E487" t="inlineStr">
        <is>
          <t>ORSA</t>
        </is>
      </c>
      <c r="F487" t="inlineStr">
        <is>
          <t>Allmännings- och besparingsskogar</t>
        </is>
      </c>
      <c r="G487" t="n">
        <v>2.1</v>
      </c>
      <c r="H487" t="n">
        <v>0</v>
      </c>
      <c r="I487" t="n">
        <v>0</v>
      </c>
      <c r="J487" t="n">
        <v>0</v>
      </c>
      <c r="K487" t="n">
        <v>0</v>
      </c>
      <c r="L487" t="n">
        <v>0</v>
      </c>
      <c r="M487" t="n">
        <v>0</v>
      </c>
      <c r="N487" t="n">
        <v>0</v>
      </c>
      <c r="O487" t="n">
        <v>0</v>
      </c>
      <c r="P487" t="n">
        <v>0</v>
      </c>
      <c r="Q487" t="n">
        <v>0</v>
      </c>
      <c r="R487" s="2" t="inlineStr"/>
    </row>
    <row r="488" ht="15" customHeight="1">
      <c r="A488" t="inlineStr">
        <is>
          <t>A 48990-2023</t>
        </is>
      </c>
      <c r="B488" s="1" t="n">
        <v>45209</v>
      </c>
      <c r="C488" s="1" t="n">
        <v>45761</v>
      </c>
      <c r="D488" t="inlineStr">
        <is>
          <t>DALARNAS LÄN</t>
        </is>
      </c>
      <c r="E488" t="inlineStr">
        <is>
          <t>ORSA</t>
        </is>
      </c>
      <c r="F488" t="inlineStr">
        <is>
          <t>Allmännings- och besparingsskogar</t>
        </is>
      </c>
      <c r="G488" t="n">
        <v>0.9</v>
      </c>
      <c r="H488" t="n">
        <v>0</v>
      </c>
      <c r="I488" t="n">
        <v>0</v>
      </c>
      <c r="J488" t="n">
        <v>0</v>
      </c>
      <c r="K488" t="n">
        <v>0</v>
      </c>
      <c r="L488" t="n">
        <v>0</v>
      </c>
      <c r="M488" t="n">
        <v>0</v>
      </c>
      <c r="N488" t="n">
        <v>0</v>
      </c>
      <c r="O488" t="n">
        <v>0</v>
      </c>
      <c r="P488" t="n">
        <v>0</v>
      </c>
      <c r="Q488" t="n">
        <v>0</v>
      </c>
      <c r="R488" s="2" t="inlineStr"/>
    </row>
    <row r="489" ht="15" customHeight="1">
      <c r="A489" t="inlineStr">
        <is>
          <t>A 49806-2023</t>
        </is>
      </c>
      <c r="B489" s="1" t="n">
        <v>45212</v>
      </c>
      <c r="C489" s="1" t="n">
        <v>45761</v>
      </c>
      <c r="D489" t="inlineStr">
        <is>
          <t>DALARNAS LÄN</t>
        </is>
      </c>
      <c r="E489" t="inlineStr">
        <is>
          <t>ORSA</t>
        </is>
      </c>
      <c r="G489" t="n">
        <v>1.6</v>
      </c>
      <c r="H489" t="n">
        <v>0</v>
      </c>
      <c r="I489" t="n">
        <v>0</v>
      </c>
      <c r="J489" t="n">
        <v>0</v>
      </c>
      <c r="K489" t="n">
        <v>0</v>
      </c>
      <c r="L489" t="n">
        <v>0</v>
      </c>
      <c r="M489" t="n">
        <v>0</v>
      </c>
      <c r="N489" t="n">
        <v>0</v>
      </c>
      <c r="O489" t="n">
        <v>0</v>
      </c>
      <c r="P489" t="n">
        <v>0</v>
      </c>
      <c r="Q489" t="n">
        <v>0</v>
      </c>
      <c r="R489" s="2" t="inlineStr"/>
    </row>
    <row r="490" ht="15" customHeight="1">
      <c r="A490" t="inlineStr">
        <is>
          <t>A 49812-2023</t>
        </is>
      </c>
      <c r="B490" s="1" t="n">
        <v>45212</v>
      </c>
      <c r="C490" s="1" t="n">
        <v>45761</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49781-2023</t>
        </is>
      </c>
      <c r="B491" s="1" t="n">
        <v>45212</v>
      </c>
      <c r="C491" s="1" t="n">
        <v>45761</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49814-2023</t>
        </is>
      </c>
      <c r="B492" s="1" t="n">
        <v>45212</v>
      </c>
      <c r="C492" s="1" t="n">
        <v>45761</v>
      </c>
      <c r="D492" t="inlineStr">
        <is>
          <t>DALARNAS LÄN</t>
        </is>
      </c>
      <c r="E492" t="inlineStr">
        <is>
          <t>ORSA</t>
        </is>
      </c>
      <c r="G492" t="n">
        <v>0.7</v>
      </c>
      <c r="H492" t="n">
        <v>0</v>
      </c>
      <c r="I492" t="n">
        <v>0</v>
      </c>
      <c r="J492" t="n">
        <v>0</v>
      </c>
      <c r="K492" t="n">
        <v>0</v>
      </c>
      <c r="L492" t="n">
        <v>0</v>
      </c>
      <c r="M492" t="n">
        <v>0</v>
      </c>
      <c r="N492" t="n">
        <v>0</v>
      </c>
      <c r="O492" t="n">
        <v>0</v>
      </c>
      <c r="P492" t="n">
        <v>0</v>
      </c>
      <c r="Q492" t="n">
        <v>0</v>
      </c>
      <c r="R492" s="2" t="inlineStr"/>
    </row>
    <row r="493" ht="15" customHeight="1">
      <c r="A493" t="inlineStr">
        <is>
          <t>A 50312-2023</t>
        </is>
      </c>
      <c r="B493" s="1" t="n">
        <v>45216</v>
      </c>
      <c r="C493" s="1" t="n">
        <v>45761</v>
      </c>
      <c r="D493" t="inlineStr">
        <is>
          <t>DALARNAS LÄN</t>
        </is>
      </c>
      <c r="E493" t="inlineStr">
        <is>
          <t>ORSA</t>
        </is>
      </c>
      <c r="F493" t="inlineStr">
        <is>
          <t>Allmännings- och besparingsskogar</t>
        </is>
      </c>
      <c r="G493" t="n">
        <v>7.5</v>
      </c>
      <c r="H493" t="n">
        <v>0</v>
      </c>
      <c r="I493" t="n">
        <v>0</v>
      </c>
      <c r="J493" t="n">
        <v>0</v>
      </c>
      <c r="K493" t="n">
        <v>0</v>
      </c>
      <c r="L493" t="n">
        <v>0</v>
      </c>
      <c r="M493" t="n">
        <v>0</v>
      </c>
      <c r="N493" t="n">
        <v>0</v>
      </c>
      <c r="O493" t="n">
        <v>0</v>
      </c>
      <c r="P493" t="n">
        <v>0</v>
      </c>
      <c r="Q493" t="n">
        <v>0</v>
      </c>
      <c r="R493" s="2" t="inlineStr"/>
    </row>
    <row r="494" ht="15" customHeight="1">
      <c r="A494" t="inlineStr">
        <is>
          <t>A 50623-2023</t>
        </is>
      </c>
      <c r="B494" s="1" t="n">
        <v>45217</v>
      </c>
      <c r="C494" s="1" t="n">
        <v>45761</v>
      </c>
      <c r="D494" t="inlineStr">
        <is>
          <t>DALARNAS LÄN</t>
        </is>
      </c>
      <c r="E494" t="inlineStr">
        <is>
          <t>ORSA</t>
        </is>
      </c>
      <c r="G494" t="n">
        <v>5.9</v>
      </c>
      <c r="H494" t="n">
        <v>0</v>
      </c>
      <c r="I494" t="n">
        <v>0</v>
      </c>
      <c r="J494" t="n">
        <v>0</v>
      </c>
      <c r="K494" t="n">
        <v>0</v>
      </c>
      <c r="L494" t="n">
        <v>0</v>
      </c>
      <c r="M494" t="n">
        <v>0</v>
      </c>
      <c r="N494" t="n">
        <v>0</v>
      </c>
      <c r="O494" t="n">
        <v>0</v>
      </c>
      <c r="P494" t="n">
        <v>0</v>
      </c>
      <c r="Q494" t="n">
        <v>0</v>
      </c>
      <c r="R494" s="2" t="inlineStr"/>
    </row>
    <row r="495" ht="15" customHeight="1">
      <c r="A495" t="inlineStr">
        <is>
          <t>A 50714-2023</t>
        </is>
      </c>
      <c r="B495" s="1" t="n">
        <v>45217</v>
      </c>
      <c r="C495" s="1" t="n">
        <v>45761</v>
      </c>
      <c r="D495" t="inlineStr">
        <is>
          <t>DALARNAS LÄN</t>
        </is>
      </c>
      <c r="E495" t="inlineStr">
        <is>
          <t>ORSA</t>
        </is>
      </c>
      <c r="G495" t="n">
        <v>1.1</v>
      </c>
      <c r="H495" t="n">
        <v>0</v>
      </c>
      <c r="I495" t="n">
        <v>0</v>
      </c>
      <c r="J495" t="n">
        <v>0</v>
      </c>
      <c r="K495" t="n">
        <v>0</v>
      </c>
      <c r="L495" t="n">
        <v>0</v>
      </c>
      <c r="M495" t="n">
        <v>0</v>
      </c>
      <c r="N495" t="n">
        <v>0</v>
      </c>
      <c r="O495" t="n">
        <v>0</v>
      </c>
      <c r="P495" t="n">
        <v>0</v>
      </c>
      <c r="Q495" t="n">
        <v>0</v>
      </c>
      <c r="R495" s="2" t="inlineStr"/>
    </row>
    <row r="496" ht="15" customHeight="1">
      <c r="A496" t="inlineStr">
        <is>
          <t>A 50734-2023</t>
        </is>
      </c>
      <c r="B496" s="1" t="n">
        <v>45217</v>
      </c>
      <c r="C496" s="1" t="n">
        <v>45761</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50742-2023</t>
        </is>
      </c>
      <c r="B497" s="1" t="n">
        <v>45217</v>
      </c>
      <c r="C497" s="1" t="n">
        <v>45761</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51289-2023</t>
        </is>
      </c>
      <c r="B498" s="1" t="n">
        <v>45219</v>
      </c>
      <c r="C498" s="1" t="n">
        <v>45761</v>
      </c>
      <c r="D498" t="inlineStr">
        <is>
          <t>DALARNAS LÄN</t>
        </is>
      </c>
      <c r="E498" t="inlineStr">
        <is>
          <t>ORSA</t>
        </is>
      </c>
      <c r="G498" t="n">
        <v>1.5</v>
      </c>
      <c r="H498" t="n">
        <v>0</v>
      </c>
      <c r="I498" t="n">
        <v>0</v>
      </c>
      <c r="J498" t="n">
        <v>0</v>
      </c>
      <c r="K498" t="n">
        <v>0</v>
      </c>
      <c r="L498" t="n">
        <v>0</v>
      </c>
      <c r="M498" t="n">
        <v>0</v>
      </c>
      <c r="N498" t="n">
        <v>0</v>
      </c>
      <c r="O498" t="n">
        <v>0</v>
      </c>
      <c r="P498" t="n">
        <v>0</v>
      </c>
      <c r="Q498" t="n">
        <v>0</v>
      </c>
      <c r="R498" s="2" t="inlineStr"/>
    </row>
    <row r="499" ht="15" customHeight="1">
      <c r="A499" t="inlineStr">
        <is>
          <t>A 51303-2023</t>
        </is>
      </c>
      <c r="B499" s="1" t="n">
        <v>45219</v>
      </c>
      <c r="C499" s="1" t="n">
        <v>45761</v>
      </c>
      <c r="D499" t="inlineStr">
        <is>
          <t>DALARNAS LÄN</t>
        </is>
      </c>
      <c r="E499" t="inlineStr">
        <is>
          <t>ORSA</t>
        </is>
      </c>
      <c r="G499" t="n">
        <v>1.8</v>
      </c>
      <c r="H499" t="n">
        <v>0</v>
      </c>
      <c r="I499" t="n">
        <v>0</v>
      </c>
      <c r="J499" t="n">
        <v>0</v>
      </c>
      <c r="K499" t="n">
        <v>0</v>
      </c>
      <c r="L499" t="n">
        <v>0</v>
      </c>
      <c r="M499" t="n">
        <v>0</v>
      </c>
      <c r="N499" t="n">
        <v>0</v>
      </c>
      <c r="O499" t="n">
        <v>0</v>
      </c>
      <c r="P499" t="n">
        <v>0</v>
      </c>
      <c r="Q499" t="n">
        <v>0</v>
      </c>
      <c r="R499" s="2" t="inlineStr"/>
    </row>
    <row r="500" ht="15" customHeight="1">
      <c r="A500" t="inlineStr">
        <is>
          <t>A 51574-2023</t>
        </is>
      </c>
      <c r="B500" s="1" t="n">
        <v>45222</v>
      </c>
      <c r="C500" s="1" t="n">
        <v>45761</v>
      </c>
      <c r="D500" t="inlineStr">
        <is>
          <t>DALARNAS LÄN</t>
        </is>
      </c>
      <c r="E500" t="inlineStr">
        <is>
          <t>ORSA</t>
        </is>
      </c>
      <c r="G500" t="n">
        <v>0.9</v>
      </c>
      <c r="H500" t="n">
        <v>0</v>
      </c>
      <c r="I500" t="n">
        <v>0</v>
      </c>
      <c r="J500" t="n">
        <v>0</v>
      </c>
      <c r="K500" t="n">
        <v>0</v>
      </c>
      <c r="L500" t="n">
        <v>0</v>
      </c>
      <c r="M500" t="n">
        <v>0</v>
      </c>
      <c r="N500" t="n">
        <v>0</v>
      </c>
      <c r="O500" t="n">
        <v>0</v>
      </c>
      <c r="P500" t="n">
        <v>0</v>
      </c>
      <c r="Q500" t="n">
        <v>0</v>
      </c>
      <c r="R500" s="2" t="inlineStr"/>
    </row>
    <row r="501" ht="15" customHeight="1">
      <c r="A501" t="inlineStr">
        <is>
          <t>A 51583-2023</t>
        </is>
      </c>
      <c r="B501" s="1" t="n">
        <v>45222</v>
      </c>
      <c r="C501" s="1" t="n">
        <v>45761</v>
      </c>
      <c r="D501" t="inlineStr">
        <is>
          <t>DALARNAS LÄN</t>
        </is>
      </c>
      <c r="E501" t="inlineStr">
        <is>
          <t>ORSA</t>
        </is>
      </c>
      <c r="G501" t="n">
        <v>2.4</v>
      </c>
      <c r="H501" t="n">
        <v>0</v>
      </c>
      <c r="I501" t="n">
        <v>0</v>
      </c>
      <c r="J501" t="n">
        <v>0</v>
      </c>
      <c r="K501" t="n">
        <v>0</v>
      </c>
      <c r="L501" t="n">
        <v>0</v>
      </c>
      <c r="M501" t="n">
        <v>0</v>
      </c>
      <c r="N501" t="n">
        <v>0</v>
      </c>
      <c r="O501" t="n">
        <v>0</v>
      </c>
      <c r="P501" t="n">
        <v>0</v>
      </c>
      <c r="Q501" t="n">
        <v>0</v>
      </c>
      <c r="R501" s="2" t="inlineStr"/>
    </row>
    <row r="502" ht="15" customHeight="1">
      <c r="A502" t="inlineStr">
        <is>
          <t>A 51563-2023</t>
        </is>
      </c>
      <c r="B502" s="1" t="n">
        <v>45222</v>
      </c>
      <c r="C502" s="1" t="n">
        <v>45761</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51567-2023</t>
        </is>
      </c>
      <c r="B503" s="1" t="n">
        <v>45222</v>
      </c>
      <c r="C503" s="1" t="n">
        <v>45761</v>
      </c>
      <c r="D503" t="inlineStr">
        <is>
          <t>DALARNAS LÄN</t>
        </is>
      </c>
      <c r="E503" t="inlineStr">
        <is>
          <t>ORSA</t>
        </is>
      </c>
      <c r="G503" t="n">
        <v>0.7</v>
      </c>
      <c r="H503" t="n">
        <v>0</v>
      </c>
      <c r="I503" t="n">
        <v>0</v>
      </c>
      <c r="J503" t="n">
        <v>0</v>
      </c>
      <c r="K503" t="n">
        <v>0</v>
      </c>
      <c r="L503" t="n">
        <v>0</v>
      </c>
      <c r="M503" t="n">
        <v>0</v>
      </c>
      <c r="N503" t="n">
        <v>0</v>
      </c>
      <c r="O503" t="n">
        <v>0</v>
      </c>
      <c r="P503" t="n">
        <v>0</v>
      </c>
      <c r="Q503" t="n">
        <v>0</v>
      </c>
      <c r="R503" s="2" t="inlineStr"/>
    </row>
    <row r="504" ht="15" customHeight="1">
      <c r="A504" t="inlineStr">
        <is>
          <t>A 51994-2023</t>
        </is>
      </c>
      <c r="B504" s="1" t="n">
        <v>45223</v>
      </c>
      <c r="C504" s="1" t="n">
        <v>45761</v>
      </c>
      <c r="D504" t="inlineStr">
        <is>
          <t>DALARNAS LÄN</t>
        </is>
      </c>
      <c r="E504" t="inlineStr">
        <is>
          <t>ORSA</t>
        </is>
      </c>
      <c r="G504" t="n">
        <v>10.7</v>
      </c>
      <c r="H504" t="n">
        <v>0</v>
      </c>
      <c r="I504" t="n">
        <v>0</v>
      </c>
      <c r="J504" t="n">
        <v>0</v>
      </c>
      <c r="K504" t="n">
        <v>0</v>
      </c>
      <c r="L504" t="n">
        <v>0</v>
      </c>
      <c r="M504" t="n">
        <v>0</v>
      </c>
      <c r="N504" t="n">
        <v>0</v>
      </c>
      <c r="O504" t="n">
        <v>0</v>
      </c>
      <c r="P504" t="n">
        <v>0</v>
      </c>
      <c r="Q504" t="n">
        <v>0</v>
      </c>
      <c r="R504" s="2" t="inlineStr"/>
    </row>
    <row r="505" ht="15" customHeight="1">
      <c r="A505" t="inlineStr">
        <is>
          <t>A 52055-2023</t>
        </is>
      </c>
      <c r="B505" s="1" t="n">
        <v>45223</v>
      </c>
      <c r="C505" s="1" t="n">
        <v>45761</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51905-2023</t>
        </is>
      </c>
      <c r="B506" s="1" t="n">
        <v>45223</v>
      </c>
      <c r="C506" s="1" t="n">
        <v>45761</v>
      </c>
      <c r="D506" t="inlineStr">
        <is>
          <t>DALARNAS LÄN</t>
        </is>
      </c>
      <c r="E506" t="inlineStr">
        <is>
          <t>ORSA</t>
        </is>
      </c>
      <c r="F506" t="inlineStr">
        <is>
          <t>Allmännings- och besparingsskogar</t>
        </is>
      </c>
      <c r="G506" t="n">
        <v>2.6</v>
      </c>
      <c r="H506" t="n">
        <v>0</v>
      </c>
      <c r="I506" t="n">
        <v>0</v>
      </c>
      <c r="J506" t="n">
        <v>0</v>
      </c>
      <c r="K506" t="n">
        <v>0</v>
      </c>
      <c r="L506" t="n">
        <v>0</v>
      </c>
      <c r="M506" t="n">
        <v>0</v>
      </c>
      <c r="N506" t="n">
        <v>0</v>
      </c>
      <c r="O506" t="n">
        <v>0</v>
      </c>
      <c r="P506" t="n">
        <v>0</v>
      </c>
      <c r="Q506" t="n">
        <v>0</v>
      </c>
      <c r="R506" s="2" t="inlineStr"/>
    </row>
    <row r="507" ht="15" customHeight="1">
      <c r="A507" t="inlineStr">
        <is>
          <t>A 52033-2023</t>
        </is>
      </c>
      <c r="B507" s="1" t="n">
        <v>45223</v>
      </c>
      <c r="C507" s="1" t="n">
        <v>45761</v>
      </c>
      <c r="D507" t="inlineStr">
        <is>
          <t>DALARNAS LÄN</t>
        </is>
      </c>
      <c r="E507" t="inlineStr">
        <is>
          <t>ORSA</t>
        </is>
      </c>
      <c r="G507" t="n">
        <v>11.5</v>
      </c>
      <c r="H507" t="n">
        <v>0</v>
      </c>
      <c r="I507" t="n">
        <v>0</v>
      </c>
      <c r="J507" t="n">
        <v>0</v>
      </c>
      <c r="K507" t="n">
        <v>0</v>
      </c>
      <c r="L507" t="n">
        <v>0</v>
      </c>
      <c r="M507" t="n">
        <v>0</v>
      </c>
      <c r="N507" t="n">
        <v>0</v>
      </c>
      <c r="O507" t="n">
        <v>0</v>
      </c>
      <c r="P507" t="n">
        <v>0</v>
      </c>
      <c r="Q507" t="n">
        <v>0</v>
      </c>
      <c r="R507" s="2" t="inlineStr"/>
    </row>
    <row r="508" ht="15" customHeight="1">
      <c r="A508" t="inlineStr">
        <is>
          <t>A 52044-2023</t>
        </is>
      </c>
      <c r="B508" s="1" t="n">
        <v>45223</v>
      </c>
      <c r="C508" s="1" t="n">
        <v>45761</v>
      </c>
      <c r="D508" t="inlineStr">
        <is>
          <t>DALARNAS LÄN</t>
        </is>
      </c>
      <c r="E508" t="inlineStr">
        <is>
          <t>ORSA</t>
        </is>
      </c>
      <c r="G508" t="n">
        <v>2.6</v>
      </c>
      <c r="H508" t="n">
        <v>0</v>
      </c>
      <c r="I508" t="n">
        <v>0</v>
      </c>
      <c r="J508" t="n">
        <v>0</v>
      </c>
      <c r="K508" t="n">
        <v>0</v>
      </c>
      <c r="L508" t="n">
        <v>0</v>
      </c>
      <c r="M508" t="n">
        <v>0</v>
      </c>
      <c r="N508" t="n">
        <v>0</v>
      </c>
      <c r="O508" t="n">
        <v>0</v>
      </c>
      <c r="P508" t="n">
        <v>0</v>
      </c>
      <c r="Q508" t="n">
        <v>0</v>
      </c>
      <c r="R508" s="2" t="inlineStr"/>
    </row>
    <row r="509" ht="15" customHeight="1">
      <c r="A509" t="inlineStr">
        <is>
          <t>A 52458-2023</t>
        </is>
      </c>
      <c r="B509" s="1" t="n">
        <v>45225</v>
      </c>
      <c r="C509" s="1" t="n">
        <v>45761</v>
      </c>
      <c r="D509" t="inlineStr">
        <is>
          <t>DALARNAS LÄN</t>
        </is>
      </c>
      <c r="E509" t="inlineStr">
        <is>
          <t>ORSA</t>
        </is>
      </c>
      <c r="F509" t="inlineStr">
        <is>
          <t>Allmännings- och besparingsskogar</t>
        </is>
      </c>
      <c r="G509" t="n">
        <v>1.9</v>
      </c>
      <c r="H509" t="n">
        <v>0</v>
      </c>
      <c r="I509" t="n">
        <v>0</v>
      </c>
      <c r="J509" t="n">
        <v>0</v>
      </c>
      <c r="K509" t="n">
        <v>0</v>
      </c>
      <c r="L509" t="n">
        <v>0</v>
      </c>
      <c r="M509" t="n">
        <v>0</v>
      </c>
      <c r="N509" t="n">
        <v>0</v>
      </c>
      <c r="O509" t="n">
        <v>0</v>
      </c>
      <c r="P509" t="n">
        <v>0</v>
      </c>
      <c r="Q509" t="n">
        <v>0</v>
      </c>
      <c r="R509" s="2" t="inlineStr"/>
    </row>
    <row r="510" ht="15" customHeight="1">
      <c r="A510" t="inlineStr">
        <is>
          <t>A 52506-2023</t>
        </is>
      </c>
      <c r="B510" s="1" t="n">
        <v>45225</v>
      </c>
      <c r="C510" s="1" t="n">
        <v>45761</v>
      </c>
      <c r="D510" t="inlineStr">
        <is>
          <t>DALARNAS LÄN</t>
        </is>
      </c>
      <c r="E510" t="inlineStr">
        <is>
          <t>ORSA</t>
        </is>
      </c>
      <c r="F510" t="inlineStr">
        <is>
          <t>Bergvik skog öst AB</t>
        </is>
      </c>
      <c r="G510" t="n">
        <v>13.2</v>
      </c>
      <c r="H510" t="n">
        <v>0</v>
      </c>
      <c r="I510" t="n">
        <v>0</v>
      </c>
      <c r="J510" t="n">
        <v>0</v>
      </c>
      <c r="K510" t="n">
        <v>0</v>
      </c>
      <c r="L510" t="n">
        <v>0</v>
      </c>
      <c r="M510" t="n">
        <v>0</v>
      </c>
      <c r="N510" t="n">
        <v>0</v>
      </c>
      <c r="O510" t="n">
        <v>0</v>
      </c>
      <c r="P510" t="n">
        <v>0</v>
      </c>
      <c r="Q510" t="n">
        <v>0</v>
      </c>
      <c r="R510" s="2" t="inlineStr"/>
    </row>
    <row r="511" ht="15" customHeight="1">
      <c r="A511" t="inlineStr">
        <is>
          <t>A 52912-2023</t>
        </is>
      </c>
      <c r="B511" s="1" t="n">
        <v>45226</v>
      </c>
      <c r="C511" s="1" t="n">
        <v>45761</v>
      </c>
      <c r="D511" t="inlineStr">
        <is>
          <t>DALARNAS LÄN</t>
        </is>
      </c>
      <c r="E511" t="inlineStr">
        <is>
          <t>ORSA</t>
        </is>
      </c>
      <c r="G511" t="n">
        <v>10.9</v>
      </c>
      <c r="H511" t="n">
        <v>0</v>
      </c>
      <c r="I511" t="n">
        <v>0</v>
      </c>
      <c r="J511" t="n">
        <v>0</v>
      </c>
      <c r="K511" t="n">
        <v>0</v>
      </c>
      <c r="L511" t="n">
        <v>0</v>
      </c>
      <c r="M511" t="n">
        <v>0</v>
      </c>
      <c r="N511" t="n">
        <v>0</v>
      </c>
      <c r="O511" t="n">
        <v>0</v>
      </c>
      <c r="P511" t="n">
        <v>0</v>
      </c>
      <c r="Q511" t="n">
        <v>0</v>
      </c>
      <c r="R511" s="2" t="inlineStr"/>
    </row>
    <row r="512" ht="15" customHeight="1">
      <c r="A512" t="inlineStr">
        <is>
          <t>A 52985-2023</t>
        </is>
      </c>
      <c r="B512" s="1" t="n">
        <v>45226</v>
      </c>
      <c r="C512" s="1" t="n">
        <v>45761</v>
      </c>
      <c r="D512" t="inlineStr">
        <is>
          <t>DALARNAS LÄN</t>
        </is>
      </c>
      <c r="E512" t="inlineStr">
        <is>
          <t>ORSA</t>
        </is>
      </c>
      <c r="G512" t="n">
        <v>5.9</v>
      </c>
      <c r="H512" t="n">
        <v>0</v>
      </c>
      <c r="I512" t="n">
        <v>0</v>
      </c>
      <c r="J512" t="n">
        <v>0</v>
      </c>
      <c r="K512" t="n">
        <v>0</v>
      </c>
      <c r="L512" t="n">
        <v>0</v>
      </c>
      <c r="M512" t="n">
        <v>0</v>
      </c>
      <c r="N512" t="n">
        <v>0</v>
      </c>
      <c r="O512" t="n">
        <v>0</v>
      </c>
      <c r="P512" t="n">
        <v>0</v>
      </c>
      <c r="Q512" t="n">
        <v>0</v>
      </c>
      <c r="R512" s="2" t="inlineStr"/>
    </row>
    <row r="513" ht="15" customHeight="1">
      <c r="A513" t="inlineStr">
        <is>
          <t>A 53229-2023</t>
        </is>
      </c>
      <c r="B513" s="1" t="n">
        <v>45229</v>
      </c>
      <c r="C513" s="1" t="n">
        <v>45761</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54553-2023</t>
        </is>
      </c>
      <c r="B514" s="1" t="n">
        <v>45233</v>
      </c>
      <c r="C514" s="1" t="n">
        <v>45761</v>
      </c>
      <c r="D514" t="inlineStr">
        <is>
          <t>DALARNAS LÄN</t>
        </is>
      </c>
      <c r="E514" t="inlineStr">
        <is>
          <t>ORSA</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54519-2023</t>
        </is>
      </c>
      <c r="B515" s="1" t="n">
        <v>45233</v>
      </c>
      <c r="C515" s="1" t="n">
        <v>45761</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54402-2023</t>
        </is>
      </c>
      <c r="B516" s="1" t="n">
        <v>45233</v>
      </c>
      <c r="C516" s="1" t="n">
        <v>45761</v>
      </c>
      <c r="D516" t="inlineStr">
        <is>
          <t>DALARNAS LÄN</t>
        </is>
      </c>
      <c r="E516" t="inlineStr">
        <is>
          <t>ORSA</t>
        </is>
      </c>
      <c r="F516" t="inlineStr">
        <is>
          <t>Bergvik skog öst AB</t>
        </is>
      </c>
      <c r="G516" t="n">
        <v>44.4</v>
      </c>
      <c r="H516" t="n">
        <v>0</v>
      </c>
      <c r="I516" t="n">
        <v>0</v>
      </c>
      <c r="J516" t="n">
        <v>0</v>
      </c>
      <c r="K516" t="n">
        <v>0</v>
      </c>
      <c r="L516" t="n">
        <v>0</v>
      </c>
      <c r="M516" t="n">
        <v>0</v>
      </c>
      <c r="N516" t="n">
        <v>0</v>
      </c>
      <c r="O516" t="n">
        <v>0</v>
      </c>
      <c r="P516" t="n">
        <v>0</v>
      </c>
      <c r="Q516" t="n">
        <v>0</v>
      </c>
      <c r="R516" s="2" t="inlineStr"/>
    </row>
    <row r="517" ht="15" customHeight="1">
      <c r="A517" t="inlineStr">
        <is>
          <t>A 55234-2023</t>
        </is>
      </c>
      <c r="B517" s="1" t="n">
        <v>45237</v>
      </c>
      <c r="C517" s="1" t="n">
        <v>45761</v>
      </c>
      <c r="D517" t="inlineStr">
        <is>
          <t>DALARNAS LÄN</t>
        </is>
      </c>
      <c r="E517" t="inlineStr">
        <is>
          <t>ORSA</t>
        </is>
      </c>
      <c r="G517" t="n">
        <v>3.9</v>
      </c>
      <c r="H517" t="n">
        <v>0</v>
      </c>
      <c r="I517" t="n">
        <v>0</v>
      </c>
      <c r="J517" t="n">
        <v>0</v>
      </c>
      <c r="K517" t="n">
        <v>0</v>
      </c>
      <c r="L517" t="n">
        <v>0</v>
      </c>
      <c r="M517" t="n">
        <v>0</v>
      </c>
      <c r="N517" t="n">
        <v>0</v>
      </c>
      <c r="O517" t="n">
        <v>0</v>
      </c>
      <c r="P517" t="n">
        <v>0</v>
      </c>
      <c r="Q517" t="n">
        <v>0</v>
      </c>
      <c r="R517" s="2" t="inlineStr"/>
    </row>
    <row r="518" ht="15" customHeight="1">
      <c r="A518" t="inlineStr">
        <is>
          <t>A 55283-2023</t>
        </is>
      </c>
      <c r="B518" s="1" t="n">
        <v>45237</v>
      </c>
      <c r="C518" s="1" t="n">
        <v>45761</v>
      </c>
      <c r="D518" t="inlineStr">
        <is>
          <t>DALARNAS LÄN</t>
        </is>
      </c>
      <c r="E518" t="inlineStr">
        <is>
          <t>ORSA</t>
        </is>
      </c>
      <c r="G518" t="n">
        <v>1.2</v>
      </c>
      <c r="H518" t="n">
        <v>0</v>
      </c>
      <c r="I518" t="n">
        <v>0</v>
      </c>
      <c r="J518" t="n">
        <v>0</v>
      </c>
      <c r="K518" t="n">
        <v>0</v>
      </c>
      <c r="L518" t="n">
        <v>0</v>
      </c>
      <c r="M518" t="n">
        <v>0</v>
      </c>
      <c r="N518" t="n">
        <v>0</v>
      </c>
      <c r="O518" t="n">
        <v>0</v>
      </c>
      <c r="P518" t="n">
        <v>0</v>
      </c>
      <c r="Q518" t="n">
        <v>0</v>
      </c>
      <c r="R518" s="2" t="inlineStr"/>
    </row>
    <row r="519" ht="15" customHeight="1">
      <c r="A519" t="inlineStr">
        <is>
          <t>A 55540-2023</t>
        </is>
      </c>
      <c r="B519" s="1" t="n">
        <v>45238</v>
      </c>
      <c r="C519" s="1" t="n">
        <v>45761</v>
      </c>
      <c r="D519" t="inlineStr">
        <is>
          <t>DALARNAS LÄN</t>
        </is>
      </c>
      <c r="E519" t="inlineStr">
        <is>
          <t>ORSA</t>
        </is>
      </c>
      <c r="G519" t="n">
        <v>3.3</v>
      </c>
      <c r="H519" t="n">
        <v>0</v>
      </c>
      <c r="I519" t="n">
        <v>0</v>
      </c>
      <c r="J519" t="n">
        <v>0</v>
      </c>
      <c r="K519" t="n">
        <v>0</v>
      </c>
      <c r="L519" t="n">
        <v>0</v>
      </c>
      <c r="M519" t="n">
        <v>0</v>
      </c>
      <c r="N519" t="n">
        <v>0</v>
      </c>
      <c r="O519" t="n">
        <v>0</v>
      </c>
      <c r="P519" t="n">
        <v>0</v>
      </c>
      <c r="Q519" t="n">
        <v>0</v>
      </c>
      <c r="R519" s="2" t="inlineStr"/>
    </row>
    <row r="520" ht="15" customHeight="1">
      <c r="A520" t="inlineStr">
        <is>
          <t>A 55534-2023</t>
        </is>
      </c>
      <c r="B520" s="1" t="n">
        <v>45238</v>
      </c>
      <c r="C520" s="1" t="n">
        <v>45761</v>
      </c>
      <c r="D520" t="inlineStr">
        <is>
          <t>DALARNAS LÄN</t>
        </is>
      </c>
      <c r="E520" t="inlineStr">
        <is>
          <t>ORSA</t>
        </is>
      </c>
      <c r="G520" t="n">
        <v>0.8</v>
      </c>
      <c r="H520" t="n">
        <v>0</v>
      </c>
      <c r="I520" t="n">
        <v>0</v>
      </c>
      <c r="J520" t="n">
        <v>0</v>
      </c>
      <c r="K520" t="n">
        <v>0</v>
      </c>
      <c r="L520" t="n">
        <v>0</v>
      </c>
      <c r="M520" t="n">
        <v>0</v>
      </c>
      <c r="N520" t="n">
        <v>0</v>
      </c>
      <c r="O520" t="n">
        <v>0</v>
      </c>
      <c r="P520" t="n">
        <v>0</v>
      </c>
      <c r="Q520" t="n">
        <v>0</v>
      </c>
      <c r="R520" s="2" t="inlineStr"/>
    </row>
    <row r="521" ht="15" customHeight="1">
      <c r="A521" t="inlineStr">
        <is>
          <t>A 55538-2023</t>
        </is>
      </c>
      <c r="B521" s="1" t="n">
        <v>45238</v>
      </c>
      <c r="C521" s="1" t="n">
        <v>45761</v>
      </c>
      <c r="D521" t="inlineStr">
        <is>
          <t>DALARNAS LÄN</t>
        </is>
      </c>
      <c r="E521" t="inlineStr">
        <is>
          <t>ORSA</t>
        </is>
      </c>
      <c r="G521" t="n">
        <v>0.5</v>
      </c>
      <c r="H521" t="n">
        <v>0</v>
      </c>
      <c r="I521" t="n">
        <v>0</v>
      </c>
      <c r="J521" t="n">
        <v>0</v>
      </c>
      <c r="K521" t="n">
        <v>0</v>
      </c>
      <c r="L521" t="n">
        <v>0</v>
      </c>
      <c r="M521" t="n">
        <v>0</v>
      </c>
      <c r="N521" t="n">
        <v>0</v>
      </c>
      <c r="O521" t="n">
        <v>0</v>
      </c>
      <c r="P521" t="n">
        <v>0</v>
      </c>
      <c r="Q521" t="n">
        <v>0</v>
      </c>
      <c r="R521" s="2" t="inlineStr"/>
    </row>
    <row r="522" ht="15" customHeight="1">
      <c r="A522" t="inlineStr">
        <is>
          <t>A 55709-2023</t>
        </is>
      </c>
      <c r="B522" s="1" t="n">
        <v>45239</v>
      </c>
      <c r="C522" s="1" t="n">
        <v>45761</v>
      </c>
      <c r="D522" t="inlineStr">
        <is>
          <t>DALARNAS LÄN</t>
        </is>
      </c>
      <c r="E522" t="inlineStr">
        <is>
          <t>ORSA</t>
        </is>
      </c>
      <c r="G522" t="n">
        <v>3.2</v>
      </c>
      <c r="H522" t="n">
        <v>0</v>
      </c>
      <c r="I522" t="n">
        <v>0</v>
      </c>
      <c r="J522" t="n">
        <v>0</v>
      </c>
      <c r="K522" t="n">
        <v>0</v>
      </c>
      <c r="L522" t="n">
        <v>0</v>
      </c>
      <c r="M522" t="n">
        <v>0</v>
      </c>
      <c r="N522" t="n">
        <v>0</v>
      </c>
      <c r="O522" t="n">
        <v>0</v>
      </c>
      <c r="P522" t="n">
        <v>0</v>
      </c>
      <c r="Q522" t="n">
        <v>0</v>
      </c>
      <c r="R522" s="2" t="inlineStr"/>
    </row>
    <row r="523" ht="15" customHeight="1">
      <c r="A523" t="inlineStr">
        <is>
          <t>A 55701-2023</t>
        </is>
      </c>
      <c r="B523" s="1" t="n">
        <v>45239</v>
      </c>
      <c r="C523" s="1" t="n">
        <v>45761</v>
      </c>
      <c r="D523" t="inlineStr">
        <is>
          <t>DALARNAS LÄN</t>
        </is>
      </c>
      <c r="E523" t="inlineStr">
        <is>
          <t>ORSA</t>
        </is>
      </c>
      <c r="G523" t="n">
        <v>1.7</v>
      </c>
      <c r="H523" t="n">
        <v>0</v>
      </c>
      <c r="I523" t="n">
        <v>0</v>
      </c>
      <c r="J523" t="n">
        <v>0</v>
      </c>
      <c r="K523" t="n">
        <v>0</v>
      </c>
      <c r="L523" t="n">
        <v>0</v>
      </c>
      <c r="M523" t="n">
        <v>0</v>
      </c>
      <c r="N523" t="n">
        <v>0</v>
      </c>
      <c r="O523" t="n">
        <v>0</v>
      </c>
      <c r="P523" t="n">
        <v>0</v>
      </c>
      <c r="Q523" t="n">
        <v>0</v>
      </c>
      <c r="R523" s="2" t="inlineStr"/>
    </row>
    <row r="524" ht="15" customHeight="1">
      <c r="A524" t="inlineStr">
        <is>
          <t>A 55843-2023</t>
        </is>
      </c>
      <c r="B524" s="1" t="n">
        <v>45239</v>
      </c>
      <c r="C524" s="1" t="n">
        <v>45761</v>
      </c>
      <c r="D524" t="inlineStr">
        <is>
          <t>DALARNAS LÄN</t>
        </is>
      </c>
      <c r="E524" t="inlineStr">
        <is>
          <t>ORSA</t>
        </is>
      </c>
      <c r="G524" t="n">
        <v>2.4</v>
      </c>
      <c r="H524" t="n">
        <v>0</v>
      </c>
      <c r="I524" t="n">
        <v>0</v>
      </c>
      <c r="J524" t="n">
        <v>0</v>
      </c>
      <c r="K524" t="n">
        <v>0</v>
      </c>
      <c r="L524" t="n">
        <v>0</v>
      </c>
      <c r="M524" t="n">
        <v>0</v>
      </c>
      <c r="N524" t="n">
        <v>0</v>
      </c>
      <c r="O524" t="n">
        <v>0</v>
      </c>
      <c r="P524" t="n">
        <v>0</v>
      </c>
      <c r="Q524" t="n">
        <v>0</v>
      </c>
      <c r="R524" s="2" t="inlineStr"/>
    </row>
    <row r="525" ht="15" customHeight="1">
      <c r="A525" t="inlineStr">
        <is>
          <t>A 55689-2023</t>
        </is>
      </c>
      <c r="B525" s="1" t="n">
        <v>45239</v>
      </c>
      <c r="C525" s="1" t="n">
        <v>45761</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56196-2023</t>
        </is>
      </c>
      <c r="B526" s="1" t="n">
        <v>45240</v>
      </c>
      <c r="C526" s="1" t="n">
        <v>45761</v>
      </c>
      <c r="D526" t="inlineStr">
        <is>
          <t>DALARNAS LÄN</t>
        </is>
      </c>
      <c r="E526" t="inlineStr">
        <is>
          <t>ORSA</t>
        </is>
      </c>
      <c r="G526" t="n">
        <v>1</v>
      </c>
      <c r="H526" t="n">
        <v>0</v>
      </c>
      <c r="I526" t="n">
        <v>0</v>
      </c>
      <c r="J526" t="n">
        <v>0</v>
      </c>
      <c r="K526" t="n">
        <v>0</v>
      </c>
      <c r="L526" t="n">
        <v>0</v>
      </c>
      <c r="M526" t="n">
        <v>0</v>
      </c>
      <c r="N526" t="n">
        <v>0</v>
      </c>
      <c r="O526" t="n">
        <v>0</v>
      </c>
      <c r="P526" t="n">
        <v>0</v>
      </c>
      <c r="Q526" t="n">
        <v>0</v>
      </c>
      <c r="R526" s="2" t="inlineStr"/>
    </row>
    <row r="527" ht="15" customHeight="1">
      <c r="A527" t="inlineStr">
        <is>
          <t>A 56298-2023</t>
        </is>
      </c>
      <c r="B527" s="1" t="n">
        <v>45242</v>
      </c>
      <c r="C527" s="1" t="n">
        <v>45761</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56648-2023</t>
        </is>
      </c>
      <c r="B528" s="1" t="n">
        <v>45243</v>
      </c>
      <c r="C528" s="1" t="n">
        <v>45761</v>
      </c>
      <c r="D528" t="inlineStr">
        <is>
          <t>DALARNAS LÄN</t>
        </is>
      </c>
      <c r="E528" t="inlineStr">
        <is>
          <t>ORSA</t>
        </is>
      </c>
      <c r="F528" t="inlineStr">
        <is>
          <t>Bergvik skog öst AB</t>
        </is>
      </c>
      <c r="G528" t="n">
        <v>5.7</v>
      </c>
      <c r="H528" t="n">
        <v>0</v>
      </c>
      <c r="I528" t="n">
        <v>0</v>
      </c>
      <c r="J528" t="n">
        <v>0</v>
      </c>
      <c r="K528" t="n">
        <v>0</v>
      </c>
      <c r="L528" t="n">
        <v>0</v>
      </c>
      <c r="M528" t="n">
        <v>0</v>
      </c>
      <c r="N528" t="n">
        <v>0</v>
      </c>
      <c r="O528" t="n">
        <v>0</v>
      </c>
      <c r="P528" t="n">
        <v>0</v>
      </c>
      <c r="Q528" t="n">
        <v>0</v>
      </c>
      <c r="R528" s="2" t="inlineStr"/>
    </row>
    <row r="529" ht="15" customHeight="1">
      <c r="A529" t="inlineStr">
        <is>
          <t>A 57059-2023</t>
        </is>
      </c>
      <c r="B529" s="1" t="n">
        <v>45244</v>
      </c>
      <c r="C529" s="1" t="n">
        <v>45761</v>
      </c>
      <c r="D529" t="inlineStr">
        <is>
          <t>DALARNAS LÄN</t>
        </is>
      </c>
      <c r="E529" t="inlineStr">
        <is>
          <t>ORSA</t>
        </is>
      </c>
      <c r="G529" t="n">
        <v>6.3</v>
      </c>
      <c r="H529" t="n">
        <v>0</v>
      </c>
      <c r="I529" t="n">
        <v>0</v>
      </c>
      <c r="J529" t="n">
        <v>0</v>
      </c>
      <c r="K529" t="n">
        <v>0</v>
      </c>
      <c r="L529" t="n">
        <v>0</v>
      </c>
      <c r="M529" t="n">
        <v>0</v>
      </c>
      <c r="N529" t="n">
        <v>0</v>
      </c>
      <c r="O529" t="n">
        <v>0</v>
      </c>
      <c r="P529" t="n">
        <v>0</v>
      </c>
      <c r="Q529" t="n">
        <v>0</v>
      </c>
      <c r="R529" s="2" t="inlineStr"/>
    </row>
    <row r="530" ht="15" customHeight="1">
      <c r="A530" t="inlineStr">
        <is>
          <t>A 56975-2023</t>
        </is>
      </c>
      <c r="B530" s="1" t="n">
        <v>45244</v>
      </c>
      <c r="C530" s="1" t="n">
        <v>45761</v>
      </c>
      <c r="D530" t="inlineStr">
        <is>
          <t>DALARNAS LÄN</t>
        </is>
      </c>
      <c r="E530" t="inlineStr">
        <is>
          <t>ORSA</t>
        </is>
      </c>
      <c r="G530" t="n">
        <v>1.6</v>
      </c>
      <c r="H530" t="n">
        <v>0</v>
      </c>
      <c r="I530" t="n">
        <v>0</v>
      </c>
      <c r="J530" t="n">
        <v>0</v>
      </c>
      <c r="K530" t="n">
        <v>0</v>
      </c>
      <c r="L530" t="n">
        <v>0</v>
      </c>
      <c r="M530" t="n">
        <v>0</v>
      </c>
      <c r="N530" t="n">
        <v>0</v>
      </c>
      <c r="O530" t="n">
        <v>0</v>
      </c>
      <c r="P530" t="n">
        <v>0</v>
      </c>
      <c r="Q530" t="n">
        <v>0</v>
      </c>
      <c r="R530" s="2" t="inlineStr"/>
    </row>
    <row r="531" ht="15" customHeight="1">
      <c r="A531" t="inlineStr">
        <is>
          <t>A 57192-2023</t>
        </is>
      </c>
      <c r="B531" s="1" t="n">
        <v>45245</v>
      </c>
      <c r="C531" s="1" t="n">
        <v>45761</v>
      </c>
      <c r="D531" t="inlineStr">
        <is>
          <t>DALARNAS LÄN</t>
        </is>
      </c>
      <c r="E531" t="inlineStr">
        <is>
          <t>ORSA</t>
        </is>
      </c>
      <c r="F531" t="inlineStr">
        <is>
          <t>Övriga statliga verk och myndigheter</t>
        </is>
      </c>
      <c r="G531" t="n">
        <v>1.7</v>
      </c>
      <c r="H531" t="n">
        <v>0</v>
      </c>
      <c r="I531" t="n">
        <v>0</v>
      </c>
      <c r="J531" t="n">
        <v>0</v>
      </c>
      <c r="K531" t="n">
        <v>0</v>
      </c>
      <c r="L531" t="n">
        <v>0</v>
      </c>
      <c r="M531" t="n">
        <v>0</v>
      </c>
      <c r="N531" t="n">
        <v>0</v>
      </c>
      <c r="O531" t="n">
        <v>0</v>
      </c>
      <c r="P531" t="n">
        <v>0</v>
      </c>
      <c r="Q531" t="n">
        <v>0</v>
      </c>
      <c r="R531" s="2" t="inlineStr"/>
    </row>
    <row r="532" ht="15" customHeight="1">
      <c r="A532" t="inlineStr">
        <is>
          <t>A 57960-2023</t>
        </is>
      </c>
      <c r="B532" s="1" t="n">
        <v>45247</v>
      </c>
      <c r="C532" s="1" t="n">
        <v>45761</v>
      </c>
      <c r="D532" t="inlineStr">
        <is>
          <t>DALARNAS LÄN</t>
        </is>
      </c>
      <c r="E532" t="inlineStr">
        <is>
          <t>ORSA</t>
        </is>
      </c>
      <c r="G532" t="n">
        <v>11.8</v>
      </c>
      <c r="H532" t="n">
        <v>0</v>
      </c>
      <c r="I532" t="n">
        <v>0</v>
      </c>
      <c r="J532" t="n">
        <v>0</v>
      </c>
      <c r="K532" t="n">
        <v>0</v>
      </c>
      <c r="L532" t="n">
        <v>0</v>
      </c>
      <c r="M532" t="n">
        <v>0</v>
      </c>
      <c r="N532" t="n">
        <v>0</v>
      </c>
      <c r="O532" t="n">
        <v>0</v>
      </c>
      <c r="P532" t="n">
        <v>0</v>
      </c>
      <c r="Q532" t="n">
        <v>0</v>
      </c>
      <c r="R532" s="2" t="inlineStr"/>
    </row>
    <row r="533" ht="15" customHeight="1">
      <c r="A533" t="inlineStr">
        <is>
          <t>A 58074-2023</t>
        </is>
      </c>
      <c r="B533" s="1" t="n">
        <v>45247</v>
      </c>
      <c r="C533" s="1" t="n">
        <v>45761</v>
      </c>
      <c r="D533" t="inlineStr">
        <is>
          <t>DALARNAS LÄN</t>
        </is>
      </c>
      <c r="E533" t="inlineStr">
        <is>
          <t>ORSA</t>
        </is>
      </c>
      <c r="G533" t="n">
        <v>9.5</v>
      </c>
      <c r="H533" t="n">
        <v>0</v>
      </c>
      <c r="I533" t="n">
        <v>0</v>
      </c>
      <c r="J533" t="n">
        <v>0</v>
      </c>
      <c r="K533" t="n">
        <v>0</v>
      </c>
      <c r="L533" t="n">
        <v>0</v>
      </c>
      <c r="M533" t="n">
        <v>0</v>
      </c>
      <c r="N533" t="n">
        <v>0</v>
      </c>
      <c r="O533" t="n">
        <v>0</v>
      </c>
      <c r="P533" t="n">
        <v>0</v>
      </c>
      <c r="Q533" t="n">
        <v>0</v>
      </c>
      <c r="R533" s="2" t="inlineStr"/>
    </row>
    <row r="534" ht="15" customHeight="1">
      <c r="A534" t="inlineStr">
        <is>
          <t>A 58549-2023</t>
        </is>
      </c>
      <c r="B534" s="1" t="n">
        <v>45251</v>
      </c>
      <c r="C534" s="1" t="n">
        <v>45761</v>
      </c>
      <c r="D534" t="inlineStr">
        <is>
          <t>DALARNAS LÄN</t>
        </is>
      </c>
      <c r="E534" t="inlineStr">
        <is>
          <t>ORSA</t>
        </is>
      </c>
      <c r="G534" t="n">
        <v>0.9</v>
      </c>
      <c r="H534" t="n">
        <v>0</v>
      </c>
      <c r="I534" t="n">
        <v>0</v>
      </c>
      <c r="J534" t="n">
        <v>0</v>
      </c>
      <c r="K534" t="n">
        <v>0</v>
      </c>
      <c r="L534" t="n">
        <v>0</v>
      </c>
      <c r="M534" t="n">
        <v>0</v>
      </c>
      <c r="N534" t="n">
        <v>0</v>
      </c>
      <c r="O534" t="n">
        <v>0</v>
      </c>
      <c r="P534" t="n">
        <v>0</v>
      </c>
      <c r="Q534" t="n">
        <v>0</v>
      </c>
      <c r="R534" s="2" t="inlineStr"/>
    </row>
    <row r="535" ht="15" customHeight="1">
      <c r="A535" t="inlineStr">
        <is>
          <t>A 58793-2023</t>
        </is>
      </c>
      <c r="B535" s="1" t="n">
        <v>45252</v>
      </c>
      <c r="C535" s="1" t="n">
        <v>45761</v>
      </c>
      <c r="D535" t="inlineStr">
        <is>
          <t>DALARNAS LÄN</t>
        </is>
      </c>
      <c r="E535" t="inlineStr">
        <is>
          <t>ORSA</t>
        </is>
      </c>
      <c r="G535" t="n">
        <v>2.2</v>
      </c>
      <c r="H535" t="n">
        <v>0</v>
      </c>
      <c r="I535" t="n">
        <v>0</v>
      </c>
      <c r="J535" t="n">
        <v>0</v>
      </c>
      <c r="K535" t="n">
        <v>0</v>
      </c>
      <c r="L535" t="n">
        <v>0</v>
      </c>
      <c r="M535" t="n">
        <v>0</v>
      </c>
      <c r="N535" t="n">
        <v>0</v>
      </c>
      <c r="O535" t="n">
        <v>0</v>
      </c>
      <c r="P535" t="n">
        <v>0</v>
      </c>
      <c r="Q535" t="n">
        <v>0</v>
      </c>
      <c r="R535" s="2" t="inlineStr"/>
    </row>
    <row r="536" ht="15" customHeight="1">
      <c r="A536" t="inlineStr">
        <is>
          <t>A 59012-2023</t>
        </is>
      </c>
      <c r="B536" s="1" t="n">
        <v>45252</v>
      </c>
      <c r="C536" s="1" t="n">
        <v>45761</v>
      </c>
      <c r="D536" t="inlineStr">
        <is>
          <t>DALARNAS LÄN</t>
        </is>
      </c>
      <c r="E536" t="inlineStr">
        <is>
          <t>ORSA</t>
        </is>
      </c>
      <c r="F536" t="inlineStr">
        <is>
          <t>Bergvik skog öst AB</t>
        </is>
      </c>
      <c r="G536" t="n">
        <v>16.6</v>
      </c>
      <c r="H536" t="n">
        <v>0</v>
      </c>
      <c r="I536" t="n">
        <v>0</v>
      </c>
      <c r="J536" t="n">
        <v>0</v>
      </c>
      <c r="K536" t="n">
        <v>0</v>
      </c>
      <c r="L536" t="n">
        <v>0</v>
      </c>
      <c r="M536" t="n">
        <v>0</v>
      </c>
      <c r="N536" t="n">
        <v>0</v>
      </c>
      <c r="O536" t="n">
        <v>0</v>
      </c>
      <c r="P536" t="n">
        <v>0</v>
      </c>
      <c r="Q536" t="n">
        <v>0</v>
      </c>
      <c r="R536" s="2" t="inlineStr"/>
    </row>
    <row r="537" ht="15" customHeight="1">
      <c r="A537" t="inlineStr">
        <is>
          <t>A 59321-2023</t>
        </is>
      </c>
      <c r="B537" s="1" t="n">
        <v>45253</v>
      </c>
      <c r="C537" s="1" t="n">
        <v>45761</v>
      </c>
      <c r="D537" t="inlineStr">
        <is>
          <t>DALARNAS LÄN</t>
        </is>
      </c>
      <c r="E537" t="inlineStr">
        <is>
          <t>ORSA</t>
        </is>
      </c>
      <c r="G537" t="n">
        <v>4.8</v>
      </c>
      <c r="H537" t="n">
        <v>0</v>
      </c>
      <c r="I537" t="n">
        <v>0</v>
      </c>
      <c r="J537" t="n">
        <v>0</v>
      </c>
      <c r="K537" t="n">
        <v>0</v>
      </c>
      <c r="L537" t="n">
        <v>0</v>
      </c>
      <c r="M537" t="n">
        <v>0</v>
      </c>
      <c r="N537" t="n">
        <v>0</v>
      </c>
      <c r="O537" t="n">
        <v>0</v>
      </c>
      <c r="P537" t="n">
        <v>0</v>
      </c>
      <c r="Q537" t="n">
        <v>0</v>
      </c>
      <c r="R537" s="2" t="inlineStr"/>
    </row>
    <row r="538" ht="15" customHeight="1">
      <c r="A538" t="inlineStr">
        <is>
          <t>A 61048-2023</t>
        </is>
      </c>
      <c r="B538" s="1" t="n">
        <v>45261</v>
      </c>
      <c r="C538" s="1" t="n">
        <v>45761</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61277-2023</t>
        </is>
      </c>
      <c r="B539" s="1" t="n">
        <v>45264</v>
      </c>
      <c r="C539" s="1" t="n">
        <v>45761</v>
      </c>
      <c r="D539" t="inlineStr">
        <is>
          <t>DALARNAS LÄN</t>
        </is>
      </c>
      <c r="E539" t="inlineStr">
        <is>
          <t>ORSA</t>
        </is>
      </c>
      <c r="G539" t="n">
        <v>0.7</v>
      </c>
      <c r="H539" t="n">
        <v>0</v>
      </c>
      <c r="I539" t="n">
        <v>0</v>
      </c>
      <c r="J539" t="n">
        <v>0</v>
      </c>
      <c r="K539" t="n">
        <v>0</v>
      </c>
      <c r="L539" t="n">
        <v>0</v>
      </c>
      <c r="M539" t="n">
        <v>0</v>
      </c>
      <c r="N539" t="n">
        <v>0</v>
      </c>
      <c r="O539" t="n">
        <v>0</v>
      </c>
      <c r="P539" t="n">
        <v>0</v>
      </c>
      <c r="Q539" t="n">
        <v>0</v>
      </c>
      <c r="R539" s="2" t="inlineStr"/>
    </row>
    <row r="540" ht="15" customHeight="1">
      <c r="A540" t="inlineStr">
        <is>
          <t>A 61279-2023</t>
        </is>
      </c>
      <c r="B540" s="1" t="n">
        <v>45264</v>
      </c>
      <c r="C540" s="1" t="n">
        <v>45761</v>
      </c>
      <c r="D540" t="inlineStr">
        <is>
          <t>DALARNAS LÄN</t>
        </is>
      </c>
      <c r="E540" t="inlineStr">
        <is>
          <t>ORSA</t>
        </is>
      </c>
      <c r="G540" t="n">
        <v>0.2</v>
      </c>
      <c r="H540" t="n">
        <v>0</v>
      </c>
      <c r="I540" t="n">
        <v>0</v>
      </c>
      <c r="J540" t="n">
        <v>0</v>
      </c>
      <c r="K540" t="n">
        <v>0</v>
      </c>
      <c r="L540" t="n">
        <v>0</v>
      </c>
      <c r="M540" t="n">
        <v>0</v>
      </c>
      <c r="N540" t="n">
        <v>0</v>
      </c>
      <c r="O540" t="n">
        <v>0</v>
      </c>
      <c r="P540" t="n">
        <v>0</v>
      </c>
      <c r="Q540" t="n">
        <v>0</v>
      </c>
      <c r="R540" s="2" t="inlineStr"/>
    </row>
    <row r="541" ht="15" customHeight="1">
      <c r="A541" t="inlineStr">
        <is>
          <t>A 62289-2023</t>
        </is>
      </c>
      <c r="B541" s="1" t="n">
        <v>45266</v>
      </c>
      <c r="C541" s="1" t="n">
        <v>45761</v>
      </c>
      <c r="D541" t="inlineStr">
        <is>
          <t>DALARNAS LÄN</t>
        </is>
      </c>
      <c r="E541" t="inlineStr">
        <is>
          <t>ORSA</t>
        </is>
      </c>
      <c r="G541" t="n">
        <v>1.9</v>
      </c>
      <c r="H541" t="n">
        <v>0</v>
      </c>
      <c r="I541" t="n">
        <v>0</v>
      </c>
      <c r="J541" t="n">
        <v>0</v>
      </c>
      <c r="K541" t="n">
        <v>0</v>
      </c>
      <c r="L541" t="n">
        <v>0</v>
      </c>
      <c r="M541" t="n">
        <v>0</v>
      </c>
      <c r="N541" t="n">
        <v>0</v>
      </c>
      <c r="O541" t="n">
        <v>0</v>
      </c>
      <c r="P541" t="n">
        <v>0</v>
      </c>
      <c r="Q541" t="n">
        <v>0</v>
      </c>
      <c r="R541" s="2" t="inlineStr"/>
    </row>
    <row r="542" ht="15" customHeight="1">
      <c r="A542" t="inlineStr">
        <is>
          <t>A 62342-2023</t>
        </is>
      </c>
      <c r="B542" s="1" t="n">
        <v>45267</v>
      </c>
      <c r="C542" s="1" t="n">
        <v>45761</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62945-2023</t>
        </is>
      </c>
      <c r="B543" s="1" t="n">
        <v>45271</v>
      </c>
      <c r="C543" s="1" t="n">
        <v>45761</v>
      </c>
      <c r="D543" t="inlineStr">
        <is>
          <t>DALARNAS LÄN</t>
        </is>
      </c>
      <c r="E543" t="inlineStr">
        <is>
          <t>ORSA</t>
        </is>
      </c>
      <c r="G543" t="n">
        <v>1.6</v>
      </c>
      <c r="H543" t="n">
        <v>0</v>
      </c>
      <c r="I543" t="n">
        <v>0</v>
      </c>
      <c r="J543" t="n">
        <v>0</v>
      </c>
      <c r="K543" t="n">
        <v>0</v>
      </c>
      <c r="L543" t="n">
        <v>0</v>
      </c>
      <c r="M543" t="n">
        <v>0</v>
      </c>
      <c r="N543" t="n">
        <v>0</v>
      </c>
      <c r="O543" t="n">
        <v>0</v>
      </c>
      <c r="P543" t="n">
        <v>0</v>
      </c>
      <c r="Q543" t="n">
        <v>0</v>
      </c>
      <c r="R543" s="2" t="inlineStr"/>
    </row>
    <row r="544" ht="15" customHeight="1">
      <c r="A544" t="inlineStr">
        <is>
          <t>A 63371-2023</t>
        </is>
      </c>
      <c r="B544" s="1" t="n">
        <v>45274</v>
      </c>
      <c r="C544" s="1" t="n">
        <v>45761</v>
      </c>
      <c r="D544" t="inlineStr">
        <is>
          <t>DALARNAS LÄN</t>
        </is>
      </c>
      <c r="E544" t="inlineStr">
        <is>
          <t>ORSA</t>
        </is>
      </c>
      <c r="G544" t="n">
        <v>1.3</v>
      </c>
      <c r="H544" t="n">
        <v>0</v>
      </c>
      <c r="I544" t="n">
        <v>0</v>
      </c>
      <c r="J544" t="n">
        <v>0</v>
      </c>
      <c r="K544" t="n">
        <v>0</v>
      </c>
      <c r="L544" t="n">
        <v>0</v>
      </c>
      <c r="M544" t="n">
        <v>0</v>
      </c>
      <c r="N544" t="n">
        <v>0</v>
      </c>
      <c r="O544" t="n">
        <v>0</v>
      </c>
      <c r="P544" t="n">
        <v>0</v>
      </c>
      <c r="Q544" t="n">
        <v>0</v>
      </c>
      <c r="R544" s="2" t="inlineStr"/>
    </row>
    <row r="545" ht="15" customHeight="1">
      <c r="A545" t="inlineStr">
        <is>
          <t>A 63453-2023</t>
        </is>
      </c>
      <c r="B545" s="1" t="n">
        <v>45274</v>
      </c>
      <c r="C545" s="1" t="n">
        <v>45761</v>
      </c>
      <c r="D545" t="inlineStr">
        <is>
          <t>DALARNAS LÄN</t>
        </is>
      </c>
      <c r="E545" t="inlineStr">
        <is>
          <t>ORSA</t>
        </is>
      </c>
      <c r="G545" t="n">
        <v>3.2</v>
      </c>
      <c r="H545" t="n">
        <v>0</v>
      </c>
      <c r="I545" t="n">
        <v>0</v>
      </c>
      <c r="J545" t="n">
        <v>0</v>
      </c>
      <c r="K545" t="n">
        <v>0</v>
      </c>
      <c r="L545" t="n">
        <v>0</v>
      </c>
      <c r="M545" t="n">
        <v>0</v>
      </c>
      <c r="N545" t="n">
        <v>0</v>
      </c>
      <c r="O545" t="n">
        <v>0</v>
      </c>
      <c r="P545" t="n">
        <v>0</v>
      </c>
      <c r="Q545" t="n">
        <v>0</v>
      </c>
      <c r="R545" s="2" t="inlineStr"/>
    </row>
    <row r="546" ht="15" customHeight="1">
      <c r="A546" t="inlineStr">
        <is>
          <t>A 63457-2023</t>
        </is>
      </c>
      <c r="B546" s="1" t="n">
        <v>45274</v>
      </c>
      <c r="C546" s="1" t="n">
        <v>45761</v>
      </c>
      <c r="D546" t="inlineStr">
        <is>
          <t>DALARNAS LÄN</t>
        </is>
      </c>
      <c r="E546" t="inlineStr">
        <is>
          <t>ORSA</t>
        </is>
      </c>
      <c r="G546" t="n">
        <v>1.7</v>
      </c>
      <c r="H546" t="n">
        <v>0</v>
      </c>
      <c r="I546" t="n">
        <v>0</v>
      </c>
      <c r="J546" t="n">
        <v>0</v>
      </c>
      <c r="K546" t="n">
        <v>0</v>
      </c>
      <c r="L546" t="n">
        <v>0</v>
      </c>
      <c r="M546" t="n">
        <v>0</v>
      </c>
      <c r="N546" t="n">
        <v>0</v>
      </c>
      <c r="O546" t="n">
        <v>0</v>
      </c>
      <c r="P546" t="n">
        <v>0</v>
      </c>
      <c r="Q546" t="n">
        <v>0</v>
      </c>
      <c r="R546" s="2" t="inlineStr"/>
    </row>
    <row r="547" ht="15" customHeight="1">
      <c r="A547" t="inlineStr">
        <is>
          <t>A 63917-2023</t>
        </is>
      </c>
      <c r="B547" s="1" t="n">
        <v>45278</v>
      </c>
      <c r="C547" s="1" t="n">
        <v>45761</v>
      </c>
      <c r="D547" t="inlineStr">
        <is>
          <t>DALARNAS LÄN</t>
        </is>
      </c>
      <c r="E547" t="inlineStr">
        <is>
          <t>ORSA</t>
        </is>
      </c>
      <c r="G547" t="n">
        <v>0.8</v>
      </c>
      <c r="H547" t="n">
        <v>0</v>
      </c>
      <c r="I547" t="n">
        <v>0</v>
      </c>
      <c r="J547" t="n">
        <v>0</v>
      </c>
      <c r="K547" t="n">
        <v>0</v>
      </c>
      <c r="L547" t="n">
        <v>0</v>
      </c>
      <c r="M547" t="n">
        <v>0</v>
      </c>
      <c r="N547" t="n">
        <v>0</v>
      </c>
      <c r="O547" t="n">
        <v>0</v>
      </c>
      <c r="P547" t="n">
        <v>0</v>
      </c>
      <c r="Q547" t="n">
        <v>0</v>
      </c>
      <c r="R547" s="2" t="inlineStr"/>
    </row>
    <row r="548" ht="15" customHeight="1">
      <c r="A548" t="inlineStr">
        <is>
          <t>A 593-2024</t>
        </is>
      </c>
      <c r="B548" s="1" t="n">
        <v>45299</v>
      </c>
      <c r="C548" s="1" t="n">
        <v>45761</v>
      </c>
      <c r="D548" t="inlineStr">
        <is>
          <t>DALARNAS LÄN</t>
        </is>
      </c>
      <c r="E548" t="inlineStr">
        <is>
          <t>ORSA</t>
        </is>
      </c>
      <c r="G548" t="n">
        <v>1.5</v>
      </c>
      <c r="H548" t="n">
        <v>0</v>
      </c>
      <c r="I548" t="n">
        <v>0</v>
      </c>
      <c r="J548" t="n">
        <v>0</v>
      </c>
      <c r="K548" t="n">
        <v>0</v>
      </c>
      <c r="L548" t="n">
        <v>0</v>
      </c>
      <c r="M548" t="n">
        <v>0</v>
      </c>
      <c r="N548" t="n">
        <v>0</v>
      </c>
      <c r="O548" t="n">
        <v>0</v>
      </c>
      <c r="P548" t="n">
        <v>0</v>
      </c>
      <c r="Q548" t="n">
        <v>0</v>
      </c>
      <c r="R548" s="2" t="inlineStr"/>
    </row>
    <row r="549" ht="15" customHeight="1">
      <c r="A549" t="inlineStr">
        <is>
          <t>A 597-2024</t>
        </is>
      </c>
      <c r="B549" s="1" t="n">
        <v>45299</v>
      </c>
      <c r="C549" s="1" t="n">
        <v>45761</v>
      </c>
      <c r="D549" t="inlineStr">
        <is>
          <t>DALARNAS LÄN</t>
        </is>
      </c>
      <c r="E549" t="inlineStr">
        <is>
          <t>ORSA</t>
        </is>
      </c>
      <c r="G549" t="n">
        <v>4.4</v>
      </c>
      <c r="H549" t="n">
        <v>0</v>
      </c>
      <c r="I549" t="n">
        <v>0</v>
      </c>
      <c r="J549" t="n">
        <v>0</v>
      </c>
      <c r="K549" t="n">
        <v>0</v>
      </c>
      <c r="L549" t="n">
        <v>0</v>
      </c>
      <c r="M549" t="n">
        <v>0</v>
      </c>
      <c r="N549" t="n">
        <v>0</v>
      </c>
      <c r="O549" t="n">
        <v>0</v>
      </c>
      <c r="P549" t="n">
        <v>0</v>
      </c>
      <c r="Q549" t="n">
        <v>0</v>
      </c>
      <c r="R549" s="2" t="inlineStr"/>
    </row>
    <row r="550" ht="15" customHeight="1">
      <c r="A550" t="inlineStr">
        <is>
          <t>A 879-2024</t>
        </is>
      </c>
      <c r="B550" s="1" t="n">
        <v>45301</v>
      </c>
      <c r="C550" s="1" t="n">
        <v>45761</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892-2024</t>
        </is>
      </c>
      <c r="B551" s="1" t="n">
        <v>45301</v>
      </c>
      <c r="C551" s="1" t="n">
        <v>45761</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890-2024</t>
        </is>
      </c>
      <c r="B552" s="1" t="n">
        <v>45301</v>
      </c>
      <c r="C552" s="1" t="n">
        <v>45761</v>
      </c>
      <c r="D552" t="inlineStr">
        <is>
          <t>DALARNAS LÄN</t>
        </is>
      </c>
      <c r="E552" t="inlineStr">
        <is>
          <t>ORSA</t>
        </is>
      </c>
      <c r="G552" t="n">
        <v>2.5</v>
      </c>
      <c r="H552" t="n">
        <v>0</v>
      </c>
      <c r="I552" t="n">
        <v>0</v>
      </c>
      <c r="J552" t="n">
        <v>0</v>
      </c>
      <c r="K552" t="n">
        <v>0</v>
      </c>
      <c r="L552" t="n">
        <v>0</v>
      </c>
      <c r="M552" t="n">
        <v>0</v>
      </c>
      <c r="N552" t="n">
        <v>0</v>
      </c>
      <c r="O552" t="n">
        <v>0</v>
      </c>
      <c r="P552" t="n">
        <v>0</v>
      </c>
      <c r="Q552" t="n">
        <v>0</v>
      </c>
      <c r="R552" s="2" t="inlineStr"/>
    </row>
    <row r="553" ht="15" customHeight="1">
      <c r="A553" t="inlineStr">
        <is>
          <t>A 1304-2024</t>
        </is>
      </c>
      <c r="B553" s="1" t="n">
        <v>45303</v>
      </c>
      <c r="C553" s="1" t="n">
        <v>45761</v>
      </c>
      <c r="D553" t="inlineStr">
        <is>
          <t>DALARNAS LÄN</t>
        </is>
      </c>
      <c r="E553" t="inlineStr">
        <is>
          <t>ORSA</t>
        </is>
      </c>
      <c r="G553" t="n">
        <v>3.8</v>
      </c>
      <c r="H553" t="n">
        <v>0</v>
      </c>
      <c r="I553" t="n">
        <v>0</v>
      </c>
      <c r="J553" t="n">
        <v>0</v>
      </c>
      <c r="K553" t="n">
        <v>0</v>
      </c>
      <c r="L553" t="n">
        <v>0</v>
      </c>
      <c r="M553" t="n">
        <v>0</v>
      </c>
      <c r="N553" t="n">
        <v>0</v>
      </c>
      <c r="O553" t="n">
        <v>0</v>
      </c>
      <c r="P553" t="n">
        <v>0</v>
      </c>
      <c r="Q553" t="n">
        <v>0</v>
      </c>
      <c r="R553" s="2" t="inlineStr"/>
    </row>
    <row r="554" ht="15" customHeight="1">
      <c r="A554" t="inlineStr">
        <is>
          <t>A 1337-2024</t>
        </is>
      </c>
      <c r="B554" s="1" t="n">
        <v>45303</v>
      </c>
      <c r="C554" s="1" t="n">
        <v>45761</v>
      </c>
      <c r="D554" t="inlineStr">
        <is>
          <t>DALARNAS LÄN</t>
        </is>
      </c>
      <c r="E554" t="inlineStr">
        <is>
          <t>ORSA</t>
        </is>
      </c>
      <c r="G554" t="n">
        <v>5.2</v>
      </c>
      <c r="H554" t="n">
        <v>0</v>
      </c>
      <c r="I554" t="n">
        <v>0</v>
      </c>
      <c r="J554" t="n">
        <v>0</v>
      </c>
      <c r="K554" t="n">
        <v>0</v>
      </c>
      <c r="L554" t="n">
        <v>0</v>
      </c>
      <c r="M554" t="n">
        <v>0</v>
      </c>
      <c r="N554" t="n">
        <v>0</v>
      </c>
      <c r="O554" t="n">
        <v>0</v>
      </c>
      <c r="P554" t="n">
        <v>0</v>
      </c>
      <c r="Q554" t="n">
        <v>0</v>
      </c>
      <c r="R554" s="2" t="inlineStr"/>
    </row>
    <row r="555" ht="15" customHeight="1">
      <c r="A555" t="inlineStr">
        <is>
          <t>A 1298-2024</t>
        </is>
      </c>
      <c r="B555" s="1" t="n">
        <v>45303</v>
      </c>
      <c r="C555" s="1" t="n">
        <v>45761</v>
      </c>
      <c r="D555" t="inlineStr">
        <is>
          <t>DALARNAS LÄN</t>
        </is>
      </c>
      <c r="E555" t="inlineStr">
        <is>
          <t>ORSA</t>
        </is>
      </c>
      <c r="G555" t="n">
        <v>1.2</v>
      </c>
      <c r="H555" t="n">
        <v>0</v>
      </c>
      <c r="I555" t="n">
        <v>0</v>
      </c>
      <c r="J555" t="n">
        <v>0</v>
      </c>
      <c r="K555" t="n">
        <v>0</v>
      </c>
      <c r="L555" t="n">
        <v>0</v>
      </c>
      <c r="M555" t="n">
        <v>0</v>
      </c>
      <c r="N555" t="n">
        <v>0</v>
      </c>
      <c r="O555" t="n">
        <v>0</v>
      </c>
      <c r="P555" t="n">
        <v>0</v>
      </c>
      <c r="Q555" t="n">
        <v>0</v>
      </c>
      <c r="R555" s="2" t="inlineStr"/>
    </row>
    <row r="556" ht="15" customHeight="1">
      <c r="A556" t="inlineStr">
        <is>
          <t>A 1569-2024</t>
        </is>
      </c>
      <c r="B556" s="1" t="n">
        <v>45306</v>
      </c>
      <c r="C556" s="1" t="n">
        <v>45761</v>
      </c>
      <c r="D556" t="inlineStr">
        <is>
          <t>DALARNAS LÄN</t>
        </is>
      </c>
      <c r="E556" t="inlineStr">
        <is>
          <t>ORSA</t>
        </is>
      </c>
      <c r="G556" t="n">
        <v>15.3</v>
      </c>
      <c r="H556" t="n">
        <v>0</v>
      </c>
      <c r="I556" t="n">
        <v>0</v>
      </c>
      <c r="J556" t="n">
        <v>0</v>
      </c>
      <c r="K556" t="n">
        <v>0</v>
      </c>
      <c r="L556" t="n">
        <v>0</v>
      </c>
      <c r="M556" t="n">
        <v>0</v>
      </c>
      <c r="N556" t="n">
        <v>0</v>
      </c>
      <c r="O556" t="n">
        <v>0</v>
      </c>
      <c r="P556" t="n">
        <v>0</v>
      </c>
      <c r="Q556" t="n">
        <v>0</v>
      </c>
      <c r="R556" s="2" t="inlineStr"/>
    </row>
    <row r="557" ht="15" customHeight="1">
      <c r="A557" t="inlineStr">
        <is>
          <t>A 1624-2024</t>
        </is>
      </c>
      <c r="B557" s="1" t="n">
        <v>45306</v>
      </c>
      <c r="C557" s="1" t="n">
        <v>45761</v>
      </c>
      <c r="D557" t="inlineStr">
        <is>
          <t>DALARNAS LÄN</t>
        </is>
      </c>
      <c r="E557" t="inlineStr">
        <is>
          <t>ORSA</t>
        </is>
      </c>
      <c r="G557" t="n">
        <v>1.9</v>
      </c>
      <c r="H557" t="n">
        <v>0</v>
      </c>
      <c r="I557" t="n">
        <v>0</v>
      </c>
      <c r="J557" t="n">
        <v>0</v>
      </c>
      <c r="K557" t="n">
        <v>0</v>
      </c>
      <c r="L557" t="n">
        <v>0</v>
      </c>
      <c r="M557" t="n">
        <v>0</v>
      </c>
      <c r="N557" t="n">
        <v>0</v>
      </c>
      <c r="O557" t="n">
        <v>0</v>
      </c>
      <c r="P557" t="n">
        <v>0</v>
      </c>
      <c r="Q557" t="n">
        <v>0</v>
      </c>
      <c r="R557" s="2" t="inlineStr"/>
    </row>
    <row r="558" ht="15" customHeight="1">
      <c r="A558" t="inlineStr">
        <is>
          <t>A 1755-2024</t>
        </is>
      </c>
      <c r="B558" s="1" t="n">
        <v>45307</v>
      </c>
      <c r="C558" s="1" t="n">
        <v>45761</v>
      </c>
      <c r="D558" t="inlineStr">
        <is>
          <t>DALARNAS LÄN</t>
        </is>
      </c>
      <c r="E558" t="inlineStr">
        <is>
          <t>ORSA</t>
        </is>
      </c>
      <c r="G558" t="n">
        <v>1.2</v>
      </c>
      <c r="H558" t="n">
        <v>0</v>
      </c>
      <c r="I558" t="n">
        <v>0</v>
      </c>
      <c r="J558" t="n">
        <v>0</v>
      </c>
      <c r="K558" t="n">
        <v>0</v>
      </c>
      <c r="L558" t="n">
        <v>0</v>
      </c>
      <c r="M558" t="n">
        <v>0</v>
      </c>
      <c r="N558" t="n">
        <v>0</v>
      </c>
      <c r="O558" t="n">
        <v>0</v>
      </c>
      <c r="P558" t="n">
        <v>0</v>
      </c>
      <c r="Q558" t="n">
        <v>0</v>
      </c>
      <c r="R558" s="2" t="inlineStr"/>
    </row>
    <row r="559" ht="15" customHeight="1">
      <c r="A559" t="inlineStr">
        <is>
          <t>A 1785-2024</t>
        </is>
      </c>
      <c r="B559" s="1" t="n">
        <v>45307</v>
      </c>
      <c r="C559" s="1" t="n">
        <v>45761</v>
      </c>
      <c r="D559" t="inlineStr">
        <is>
          <t>DALARNAS LÄN</t>
        </is>
      </c>
      <c r="E559" t="inlineStr">
        <is>
          <t>ORSA</t>
        </is>
      </c>
      <c r="G559" t="n">
        <v>42.8</v>
      </c>
      <c r="H559" t="n">
        <v>0</v>
      </c>
      <c r="I559" t="n">
        <v>0</v>
      </c>
      <c r="J559" t="n">
        <v>0</v>
      </c>
      <c r="K559" t="n">
        <v>0</v>
      </c>
      <c r="L559" t="n">
        <v>0</v>
      </c>
      <c r="M559" t="n">
        <v>0</v>
      </c>
      <c r="N559" t="n">
        <v>0</v>
      </c>
      <c r="O559" t="n">
        <v>0</v>
      </c>
      <c r="P559" t="n">
        <v>0</v>
      </c>
      <c r="Q559" t="n">
        <v>0</v>
      </c>
      <c r="R559" s="2" t="inlineStr"/>
    </row>
    <row r="560" ht="15" customHeight="1">
      <c r="A560" t="inlineStr">
        <is>
          <t>A 2717-2024</t>
        </is>
      </c>
      <c r="B560" s="1" t="n">
        <v>45314</v>
      </c>
      <c r="C560" s="1" t="n">
        <v>45761</v>
      </c>
      <c r="D560" t="inlineStr">
        <is>
          <t>DALARNAS LÄN</t>
        </is>
      </c>
      <c r="E560" t="inlineStr">
        <is>
          <t>ORSA</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2714-2024</t>
        </is>
      </c>
      <c r="B561" s="1" t="n">
        <v>45314</v>
      </c>
      <c r="C561" s="1" t="n">
        <v>45761</v>
      </c>
      <c r="D561" t="inlineStr">
        <is>
          <t>DALARNAS LÄN</t>
        </is>
      </c>
      <c r="E561" t="inlineStr">
        <is>
          <t>ORSA</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2728-2024</t>
        </is>
      </c>
      <c r="B562" s="1" t="n">
        <v>45314</v>
      </c>
      <c r="C562" s="1" t="n">
        <v>45761</v>
      </c>
      <c r="D562" t="inlineStr">
        <is>
          <t>DALARNAS LÄN</t>
        </is>
      </c>
      <c r="E562" t="inlineStr">
        <is>
          <t>ORSA</t>
        </is>
      </c>
      <c r="F562" t="inlineStr">
        <is>
          <t>Bergvik skog öst AB</t>
        </is>
      </c>
      <c r="G562" t="n">
        <v>0.7</v>
      </c>
      <c r="H562" t="n">
        <v>0</v>
      </c>
      <c r="I562" t="n">
        <v>0</v>
      </c>
      <c r="J562" t="n">
        <v>0</v>
      </c>
      <c r="K562" t="n">
        <v>0</v>
      </c>
      <c r="L562" t="n">
        <v>0</v>
      </c>
      <c r="M562" t="n">
        <v>0</v>
      </c>
      <c r="N562" t="n">
        <v>0</v>
      </c>
      <c r="O562" t="n">
        <v>0</v>
      </c>
      <c r="P562" t="n">
        <v>0</v>
      </c>
      <c r="Q562" t="n">
        <v>0</v>
      </c>
      <c r="R562" s="2" t="inlineStr"/>
    </row>
    <row r="563" ht="15" customHeight="1">
      <c r="A563" t="inlineStr">
        <is>
          <t>A 3166-2024</t>
        </is>
      </c>
      <c r="B563" s="1" t="n">
        <v>45316</v>
      </c>
      <c r="C563" s="1" t="n">
        <v>45761</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3168-2024</t>
        </is>
      </c>
      <c r="B564" s="1" t="n">
        <v>45316</v>
      </c>
      <c r="C564" s="1" t="n">
        <v>45761</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5303-2024</t>
        </is>
      </c>
      <c r="B565" s="1" t="n">
        <v>45331</v>
      </c>
      <c r="C565" s="1" t="n">
        <v>45761</v>
      </c>
      <c r="D565" t="inlineStr">
        <is>
          <t>DALARNAS LÄN</t>
        </is>
      </c>
      <c r="E565" t="inlineStr">
        <is>
          <t>ORSA</t>
        </is>
      </c>
      <c r="G565" t="n">
        <v>1.7</v>
      </c>
      <c r="H565" t="n">
        <v>0</v>
      </c>
      <c r="I565" t="n">
        <v>0</v>
      </c>
      <c r="J565" t="n">
        <v>0</v>
      </c>
      <c r="K565" t="n">
        <v>0</v>
      </c>
      <c r="L565" t="n">
        <v>0</v>
      </c>
      <c r="M565" t="n">
        <v>0</v>
      </c>
      <c r="N565" t="n">
        <v>0</v>
      </c>
      <c r="O565" t="n">
        <v>0</v>
      </c>
      <c r="P565" t="n">
        <v>0</v>
      </c>
      <c r="Q565" t="n">
        <v>0</v>
      </c>
      <c r="R565" s="2" t="inlineStr"/>
    </row>
    <row r="566" ht="15" customHeight="1">
      <c r="A566" t="inlineStr">
        <is>
          <t>A 5302-2024</t>
        </is>
      </c>
      <c r="B566" s="1" t="n">
        <v>45331</v>
      </c>
      <c r="C566" s="1" t="n">
        <v>45761</v>
      </c>
      <c r="D566" t="inlineStr">
        <is>
          <t>DALARNAS LÄN</t>
        </is>
      </c>
      <c r="E566" t="inlineStr">
        <is>
          <t>ORSA</t>
        </is>
      </c>
      <c r="G566" t="n">
        <v>0.8</v>
      </c>
      <c r="H566" t="n">
        <v>0</v>
      </c>
      <c r="I566" t="n">
        <v>0</v>
      </c>
      <c r="J566" t="n">
        <v>0</v>
      </c>
      <c r="K566" t="n">
        <v>0</v>
      </c>
      <c r="L566" t="n">
        <v>0</v>
      </c>
      <c r="M566" t="n">
        <v>0</v>
      </c>
      <c r="N566" t="n">
        <v>0</v>
      </c>
      <c r="O566" t="n">
        <v>0</v>
      </c>
      <c r="P566" t="n">
        <v>0</v>
      </c>
      <c r="Q566" t="n">
        <v>0</v>
      </c>
      <c r="R566" s="2" t="inlineStr"/>
    </row>
    <row r="567" ht="15" customHeight="1">
      <c r="A567" t="inlineStr">
        <is>
          <t>A 8107-2024</t>
        </is>
      </c>
      <c r="B567" s="1" t="n">
        <v>45351</v>
      </c>
      <c r="C567" s="1" t="n">
        <v>45761</v>
      </c>
      <c r="D567" t="inlineStr">
        <is>
          <t>DALARNAS LÄN</t>
        </is>
      </c>
      <c r="E567" t="inlineStr">
        <is>
          <t>ORSA</t>
        </is>
      </c>
      <c r="G567" t="n">
        <v>13.6</v>
      </c>
      <c r="H567" t="n">
        <v>0</v>
      </c>
      <c r="I567" t="n">
        <v>0</v>
      </c>
      <c r="J567" t="n">
        <v>0</v>
      </c>
      <c r="K567" t="n">
        <v>0</v>
      </c>
      <c r="L567" t="n">
        <v>0</v>
      </c>
      <c r="M567" t="n">
        <v>0</v>
      </c>
      <c r="N567" t="n">
        <v>0</v>
      </c>
      <c r="O567" t="n">
        <v>0</v>
      </c>
      <c r="P567" t="n">
        <v>0</v>
      </c>
      <c r="Q567" t="n">
        <v>0</v>
      </c>
      <c r="R567" s="2" t="inlineStr"/>
    </row>
    <row r="568" ht="15" customHeight="1">
      <c r="A568" t="inlineStr">
        <is>
          <t>A 8110-2024</t>
        </is>
      </c>
      <c r="B568" s="1" t="n">
        <v>45351</v>
      </c>
      <c r="C568" s="1" t="n">
        <v>45761</v>
      </c>
      <c r="D568" t="inlineStr">
        <is>
          <t>DALARNAS LÄN</t>
        </is>
      </c>
      <c r="E568" t="inlineStr">
        <is>
          <t>ORSA</t>
        </is>
      </c>
      <c r="G568" t="n">
        <v>1.1</v>
      </c>
      <c r="H568" t="n">
        <v>0</v>
      </c>
      <c r="I568" t="n">
        <v>0</v>
      </c>
      <c r="J568" t="n">
        <v>0</v>
      </c>
      <c r="K568" t="n">
        <v>0</v>
      </c>
      <c r="L568" t="n">
        <v>0</v>
      </c>
      <c r="M568" t="n">
        <v>0</v>
      </c>
      <c r="N568" t="n">
        <v>0</v>
      </c>
      <c r="O568" t="n">
        <v>0</v>
      </c>
      <c r="P568" t="n">
        <v>0</v>
      </c>
      <c r="Q568" t="n">
        <v>0</v>
      </c>
      <c r="R568" s="2" t="inlineStr"/>
    </row>
    <row r="569" ht="15" customHeight="1">
      <c r="A569" t="inlineStr">
        <is>
          <t>A 8430-2024</t>
        </is>
      </c>
      <c r="B569" s="1" t="n">
        <v>45353</v>
      </c>
      <c r="C569" s="1" t="n">
        <v>45761</v>
      </c>
      <c r="D569" t="inlineStr">
        <is>
          <t>DALARNAS LÄN</t>
        </is>
      </c>
      <c r="E569" t="inlineStr">
        <is>
          <t>ORSA</t>
        </is>
      </c>
      <c r="G569" t="n">
        <v>14.4</v>
      </c>
      <c r="H569" t="n">
        <v>0</v>
      </c>
      <c r="I569" t="n">
        <v>0</v>
      </c>
      <c r="J569" t="n">
        <v>0</v>
      </c>
      <c r="K569" t="n">
        <v>0</v>
      </c>
      <c r="L569" t="n">
        <v>0</v>
      </c>
      <c r="M569" t="n">
        <v>0</v>
      </c>
      <c r="N569" t="n">
        <v>0</v>
      </c>
      <c r="O569" t="n">
        <v>0</v>
      </c>
      <c r="P569" t="n">
        <v>0</v>
      </c>
      <c r="Q569" t="n">
        <v>0</v>
      </c>
      <c r="R569" s="2" t="inlineStr"/>
    </row>
    <row r="570" ht="15" customHeight="1">
      <c r="A570" t="inlineStr">
        <is>
          <t>A 8429-2024</t>
        </is>
      </c>
      <c r="B570" s="1" t="n">
        <v>45353</v>
      </c>
      <c r="C570" s="1" t="n">
        <v>45761</v>
      </c>
      <c r="D570" t="inlineStr">
        <is>
          <t>DALARNAS LÄN</t>
        </is>
      </c>
      <c r="E570" t="inlineStr">
        <is>
          <t>ORSA</t>
        </is>
      </c>
      <c r="G570" t="n">
        <v>0.3</v>
      </c>
      <c r="H570" t="n">
        <v>0</v>
      </c>
      <c r="I570" t="n">
        <v>0</v>
      </c>
      <c r="J570" t="n">
        <v>0</v>
      </c>
      <c r="K570" t="n">
        <v>0</v>
      </c>
      <c r="L570" t="n">
        <v>0</v>
      </c>
      <c r="M570" t="n">
        <v>0</v>
      </c>
      <c r="N570" t="n">
        <v>0</v>
      </c>
      <c r="O570" t="n">
        <v>0</v>
      </c>
      <c r="P570" t="n">
        <v>0</v>
      </c>
      <c r="Q570" t="n">
        <v>0</v>
      </c>
      <c r="R570" s="2" t="inlineStr"/>
    </row>
    <row r="571" ht="15" customHeight="1">
      <c r="A571" t="inlineStr">
        <is>
          <t>A 9014-2024</t>
        </is>
      </c>
      <c r="B571" s="1" t="n">
        <v>45357</v>
      </c>
      <c r="C571" s="1" t="n">
        <v>45761</v>
      </c>
      <c r="D571" t="inlineStr">
        <is>
          <t>DALARNAS LÄN</t>
        </is>
      </c>
      <c r="E571" t="inlineStr">
        <is>
          <t>ORSA</t>
        </is>
      </c>
      <c r="G571" t="n">
        <v>0.9</v>
      </c>
      <c r="H571" t="n">
        <v>0</v>
      </c>
      <c r="I571" t="n">
        <v>0</v>
      </c>
      <c r="J571" t="n">
        <v>0</v>
      </c>
      <c r="K571" t="n">
        <v>0</v>
      </c>
      <c r="L571" t="n">
        <v>0</v>
      </c>
      <c r="M571" t="n">
        <v>0</v>
      </c>
      <c r="N571" t="n">
        <v>0</v>
      </c>
      <c r="O571" t="n">
        <v>0</v>
      </c>
      <c r="P571" t="n">
        <v>0</v>
      </c>
      <c r="Q571" t="n">
        <v>0</v>
      </c>
      <c r="R571" s="2" t="inlineStr"/>
    </row>
    <row r="572" ht="15" customHeight="1">
      <c r="A572" t="inlineStr">
        <is>
          <t>A 9794-2024</t>
        </is>
      </c>
      <c r="B572" s="1" t="n">
        <v>45362</v>
      </c>
      <c r="C572" s="1" t="n">
        <v>45761</v>
      </c>
      <c r="D572" t="inlineStr">
        <is>
          <t>DALARNAS LÄN</t>
        </is>
      </c>
      <c r="E572" t="inlineStr">
        <is>
          <t>ORSA</t>
        </is>
      </c>
      <c r="G572" t="n">
        <v>3.6</v>
      </c>
      <c r="H572" t="n">
        <v>0</v>
      </c>
      <c r="I572" t="n">
        <v>0</v>
      </c>
      <c r="J572" t="n">
        <v>0</v>
      </c>
      <c r="K572" t="n">
        <v>0</v>
      </c>
      <c r="L572" t="n">
        <v>0</v>
      </c>
      <c r="M572" t="n">
        <v>0</v>
      </c>
      <c r="N572" t="n">
        <v>0</v>
      </c>
      <c r="O572" t="n">
        <v>0</v>
      </c>
      <c r="P572" t="n">
        <v>0</v>
      </c>
      <c r="Q572" t="n">
        <v>0</v>
      </c>
      <c r="R572" s="2" t="inlineStr"/>
    </row>
    <row r="573" ht="15" customHeight="1">
      <c r="A573" t="inlineStr">
        <is>
          <t>A 10523-2024</t>
        </is>
      </c>
      <c r="B573" s="1" t="n">
        <v>45366</v>
      </c>
      <c r="C573" s="1" t="n">
        <v>45761</v>
      </c>
      <c r="D573" t="inlineStr">
        <is>
          <t>DALARNAS LÄN</t>
        </is>
      </c>
      <c r="E573" t="inlineStr">
        <is>
          <t>ORSA</t>
        </is>
      </c>
      <c r="G573" t="n">
        <v>1.5</v>
      </c>
      <c r="H573" t="n">
        <v>0</v>
      </c>
      <c r="I573" t="n">
        <v>0</v>
      </c>
      <c r="J573" t="n">
        <v>0</v>
      </c>
      <c r="K573" t="n">
        <v>0</v>
      </c>
      <c r="L573" t="n">
        <v>0</v>
      </c>
      <c r="M573" t="n">
        <v>0</v>
      </c>
      <c r="N573" t="n">
        <v>0</v>
      </c>
      <c r="O573" t="n">
        <v>0</v>
      </c>
      <c r="P573" t="n">
        <v>0</v>
      </c>
      <c r="Q573" t="n">
        <v>0</v>
      </c>
      <c r="R573" s="2" t="inlineStr"/>
    </row>
    <row r="574" ht="15" customHeight="1">
      <c r="A574" t="inlineStr">
        <is>
          <t>A 11712-2024</t>
        </is>
      </c>
      <c r="B574" s="1" t="n">
        <v>45373</v>
      </c>
      <c r="C574" s="1" t="n">
        <v>45761</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11733-2024</t>
        </is>
      </c>
      <c r="B575" s="1" t="n">
        <v>45373</v>
      </c>
      <c r="C575" s="1" t="n">
        <v>45761</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11784-2024</t>
        </is>
      </c>
      <c r="B576" s="1" t="n">
        <v>45374</v>
      </c>
      <c r="C576" s="1" t="n">
        <v>45761</v>
      </c>
      <c r="D576" t="inlineStr">
        <is>
          <t>DALARNAS LÄN</t>
        </is>
      </c>
      <c r="E576" t="inlineStr">
        <is>
          <t>ORSA</t>
        </is>
      </c>
      <c r="G576" t="n">
        <v>1.7</v>
      </c>
      <c r="H576" t="n">
        <v>0</v>
      </c>
      <c r="I576" t="n">
        <v>0</v>
      </c>
      <c r="J576" t="n">
        <v>0</v>
      </c>
      <c r="K576" t="n">
        <v>0</v>
      </c>
      <c r="L576" t="n">
        <v>0</v>
      </c>
      <c r="M576" t="n">
        <v>0</v>
      </c>
      <c r="N576" t="n">
        <v>0</v>
      </c>
      <c r="O576" t="n">
        <v>0</v>
      </c>
      <c r="P576" t="n">
        <v>0</v>
      </c>
      <c r="Q576" t="n">
        <v>0</v>
      </c>
      <c r="R576" s="2" t="inlineStr"/>
    </row>
    <row r="577" ht="15" customHeight="1">
      <c r="A577" t="inlineStr">
        <is>
          <t>A 15268-2024</t>
        </is>
      </c>
      <c r="B577" s="1" t="n">
        <v>45400</v>
      </c>
      <c r="C577" s="1" t="n">
        <v>45761</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16383-2024</t>
        </is>
      </c>
      <c r="B578" s="1" t="n">
        <v>45407</v>
      </c>
      <c r="C578" s="1" t="n">
        <v>45761</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16388-2024</t>
        </is>
      </c>
      <c r="B579" s="1" t="n">
        <v>45407</v>
      </c>
      <c r="C579" s="1" t="n">
        <v>45761</v>
      </c>
      <c r="D579" t="inlineStr">
        <is>
          <t>DALARNAS LÄN</t>
        </is>
      </c>
      <c r="E579" t="inlineStr">
        <is>
          <t>ORSA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16392-2024</t>
        </is>
      </c>
      <c r="B580" s="1" t="n">
        <v>45407</v>
      </c>
      <c r="C580" s="1" t="n">
        <v>45761</v>
      </c>
      <c r="D580" t="inlineStr">
        <is>
          <t>DALARNAS LÄN</t>
        </is>
      </c>
      <c r="E580" t="inlineStr">
        <is>
          <t>ORSA</t>
        </is>
      </c>
      <c r="G580" t="n">
        <v>3.4</v>
      </c>
      <c r="H580" t="n">
        <v>0</v>
      </c>
      <c r="I580" t="n">
        <v>0</v>
      </c>
      <c r="J580" t="n">
        <v>0</v>
      </c>
      <c r="K580" t="n">
        <v>0</v>
      </c>
      <c r="L580" t="n">
        <v>0</v>
      </c>
      <c r="M580" t="n">
        <v>0</v>
      </c>
      <c r="N580" t="n">
        <v>0</v>
      </c>
      <c r="O580" t="n">
        <v>0</v>
      </c>
      <c r="P580" t="n">
        <v>0</v>
      </c>
      <c r="Q580" t="n">
        <v>0</v>
      </c>
      <c r="R580" s="2" t="inlineStr"/>
    </row>
    <row r="581" ht="15" customHeight="1">
      <c r="A581" t="inlineStr">
        <is>
          <t>A 16396-2024</t>
        </is>
      </c>
      <c r="B581" s="1" t="n">
        <v>45407</v>
      </c>
      <c r="C581" s="1" t="n">
        <v>45761</v>
      </c>
      <c r="D581" t="inlineStr">
        <is>
          <t>DALARNAS LÄN</t>
        </is>
      </c>
      <c r="E581" t="inlineStr">
        <is>
          <t>ORSA</t>
        </is>
      </c>
      <c r="F581" t="inlineStr">
        <is>
          <t>Bergvik skog öst AB</t>
        </is>
      </c>
      <c r="G581" t="n">
        <v>3.9</v>
      </c>
      <c r="H581" t="n">
        <v>0</v>
      </c>
      <c r="I581" t="n">
        <v>0</v>
      </c>
      <c r="J581" t="n">
        <v>0</v>
      </c>
      <c r="K581" t="n">
        <v>0</v>
      </c>
      <c r="L581" t="n">
        <v>0</v>
      </c>
      <c r="M581" t="n">
        <v>0</v>
      </c>
      <c r="N581" t="n">
        <v>0</v>
      </c>
      <c r="O581" t="n">
        <v>0</v>
      </c>
      <c r="P581" t="n">
        <v>0</v>
      </c>
      <c r="Q581" t="n">
        <v>0</v>
      </c>
      <c r="R581" s="2" t="inlineStr"/>
    </row>
    <row r="582" ht="15" customHeight="1">
      <c r="A582" t="inlineStr">
        <is>
          <t>A 16481-2024</t>
        </is>
      </c>
      <c r="B582" s="1" t="n">
        <v>45408</v>
      </c>
      <c r="C582" s="1" t="n">
        <v>45761</v>
      </c>
      <c r="D582" t="inlineStr">
        <is>
          <t>DALARNAS LÄN</t>
        </is>
      </c>
      <c r="E582" t="inlineStr">
        <is>
          <t>ORSA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16848-2024</t>
        </is>
      </c>
      <c r="B583" s="1" t="n">
        <v>45411</v>
      </c>
      <c r="C583" s="1" t="n">
        <v>45761</v>
      </c>
      <c r="D583" t="inlineStr">
        <is>
          <t>DALARNAS LÄN</t>
        </is>
      </c>
      <c r="E583" t="inlineStr">
        <is>
          <t>ORSA</t>
        </is>
      </c>
      <c r="F583" t="inlineStr">
        <is>
          <t>Bergvik skog öst AB</t>
        </is>
      </c>
      <c r="G583" t="n">
        <v>2.4</v>
      </c>
      <c r="H583" t="n">
        <v>0</v>
      </c>
      <c r="I583" t="n">
        <v>0</v>
      </c>
      <c r="J583" t="n">
        <v>0</v>
      </c>
      <c r="K583" t="n">
        <v>0</v>
      </c>
      <c r="L583" t="n">
        <v>0</v>
      </c>
      <c r="M583" t="n">
        <v>0</v>
      </c>
      <c r="N583" t="n">
        <v>0</v>
      </c>
      <c r="O583" t="n">
        <v>0</v>
      </c>
      <c r="P583" t="n">
        <v>0</v>
      </c>
      <c r="Q583" t="n">
        <v>0</v>
      </c>
      <c r="R583" s="2" t="inlineStr"/>
    </row>
    <row r="584" ht="15" customHeight="1">
      <c r="A584" t="inlineStr">
        <is>
          <t>A 16811-2024</t>
        </is>
      </c>
      <c r="B584" s="1" t="n">
        <v>45411</v>
      </c>
      <c r="C584" s="1" t="n">
        <v>45761</v>
      </c>
      <c r="D584" t="inlineStr">
        <is>
          <t>DALARNAS LÄN</t>
        </is>
      </c>
      <c r="E584" t="inlineStr">
        <is>
          <t>ORSA</t>
        </is>
      </c>
      <c r="F584" t="inlineStr">
        <is>
          <t>Bergvik skog öst AB</t>
        </is>
      </c>
      <c r="G584" t="n">
        <v>5</v>
      </c>
      <c r="H584" t="n">
        <v>0</v>
      </c>
      <c r="I584" t="n">
        <v>0</v>
      </c>
      <c r="J584" t="n">
        <v>0</v>
      </c>
      <c r="K584" t="n">
        <v>0</v>
      </c>
      <c r="L584" t="n">
        <v>0</v>
      </c>
      <c r="M584" t="n">
        <v>0</v>
      </c>
      <c r="N584" t="n">
        <v>0</v>
      </c>
      <c r="O584" t="n">
        <v>0</v>
      </c>
      <c r="P584" t="n">
        <v>0</v>
      </c>
      <c r="Q584" t="n">
        <v>0</v>
      </c>
      <c r="R584" s="2" t="inlineStr"/>
    </row>
    <row r="585" ht="15" customHeight="1">
      <c r="A585" t="inlineStr">
        <is>
          <t>A 16777-2024</t>
        </is>
      </c>
      <c r="B585" s="1" t="n">
        <v>45411</v>
      </c>
      <c r="C585" s="1" t="n">
        <v>45761</v>
      </c>
      <c r="D585" t="inlineStr">
        <is>
          <t>DALARNAS LÄN</t>
        </is>
      </c>
      <c r="E585" t="inlineStr">
        <is>
          <t>ORSA</t>
        </is>
      </c>
      <c r="G585" t="n">
        <v>0.9</v>
      </c>
      <c r="H585" t="n">
        <v>0</v>
      </c>
      <c r="I585" t="n">
        <v>0</v>
      </c>
      <c r="J585" t="n">
        <v>0</v>
      </c>
      <c r="K585" t="n">
        <v>0</v>
      </c>
      <c r="L585" t="n">
        <v>0</v>
      </c>
      <c r="M585" t="n">
        <v>0</v>
      </c>
      <c r="N585" t="n">
        <v>0</v>
      </c>
      <c r="O585" t="n">
        <v>0</v>
      </c>
      <c r="P585" t="n">
        <v>0</v>
      </c>
      <c r="Q585" t="n">
        <v>0</v>
      </c>
      <c r="R585" s="2" t="inlineStr"/>
    </row>
    <row r="586" ht="15" customHeight="1">
      <c r="A586" t="inlineStr">
        <is>
          <t>A 17769-2024</t>
        </is>
      </c>
      <c r="B586" s="1" t="n">
        <v>45418</v>
      </c>
      <c r="C586" s="1" t="n">
        <v>45761</v>
      </c>
      <c r="D586" t="inlineStr">
        <is>
          <t>DALARNAS LÄN</t>
        </is>
      </c>
      <c r="E586" t="inlineStr">
        <is>
          <t>ORSA</t>
        </is>
      </c>
      <c r="G586" t="n">
        <v>1.6</v>
      </c>
      <c r="H586" t="n">
        <v>0</v>
      </c>
      <c r="I586" t="n">
        <v>0</v>
      </c>
      <c r="J586" t="n">
        <v>0</v>
      </c>
      <c r="K586" t="n">
        <v>0</v>
      </c>
      <c r="L586" t="n">
        <v>0</v>
      </c>
      <c r="M586" t="n">
        <v>0</v>
      </c>
      <c r="N586" t="n">
        <v>0</v>
      </c>
      <c r="O586" t="n">
        <v>0</v>
      </c>
      <c r="P586" t="n">
        <v>0</v>
      </c>
      <c r="Q586" t="n">
        <v>0</v>
      </c>
      <c r="R586" s="2" t="inlineStr"/>
    </row>
    <row r="587" ht="15" customHeight="1">
      <c r="A587" t="inlineStr">
        <is>
          <t>A 17913-2024</t>
        </is>
      </c>
      <c r="B587" s="1" t="n">
        <v>45419</v>
      </c>
      <c r="C587" s="1" t="n">
        <v>45761</v>
      </c>
      <c r="D587" t="inlineStr">
        <is>
          <t>DALARNAS LÄN</t>
        </is>
      </c>
      <c r="E587" t="inlineStr">
        <is>
          <t>ORSA</t>
        </is>
      </c>
      <c r="G587" t="n">
        <v>1.9</v>
      </c>
      <c r="H587" t="n">
        <v>0</v>
      </c>
      <c r="I587" t="n">
        <v>0</v>
      </c>
      <c r="J587" t="n">
        <v>0</v>
      </c>
      <c r="K587" t="n">
        <v>0</v>
      </c>
      <c r="L587" t="n">
        <v>0</v>
      </c>
      <c r="M587" t="n">
        <v>0</v>
      </c>
      <c r="N587" t="n">
        <v>0</v>
      </c>
      <c r="O587" t="n">
        <v>0</v>
      </c>
      <c r="P587" t="n">
        <v>0</v>
      </c>
      <c r="Q587" t="n">
        <v>0</v>
      </c>
      <c r="R587" s="2" t="inlineStr"/>
    </row>
    <row r="588" ht="15" customHeight="1">
      <c r="A588" t="inlineStr">
        <is>
          <t>A 17896-2024</t>
        </is>
      </c>
      <c r="B588" s="1" t="n">
        <v>45419</v>
      </c>
      <c r="C588" s="1" t="n">
        <v>45761</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18094-2024</t>
        </is>
      </c>
      <c r="B589" s="1" t="n">
        <v>45420</v>
      </c>
      <c r="C589" s="1" t="n">
        <v>45761</v>
      </c>
      <c r="D589" t="inlineStr">
        <is>
          <t>DALARNAS LÄN</t>
        </is>
      </c>
      <c r="E589" t="inlineStr">
        <is>
          <t>ORSA</t>
        </is>
      </c>
      <c r="F589" t="inlineStr">
        <is>
          <t>Bergvik skog öst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18198-2024</t>
        </is>
      </c>
      <c r="B590" s="1" t="n">
        <v>45420</v>
      </c>
      <c r="C590" s="1" t="n">
        <v>45761</v>
      </c>
      <c r="D590" t="inlineStr">
        <is>
          <t>DALARNAS LÄN</t>
        </is>
      </c>
      <c r="E590" t="inlineStr">
        <is>
          <t>ORSA</t>
        </is>
      </c>
      <c r="F590" t="inlineStr">
        <is>
          <t>Bergvik skog öst AB</t>
        </is>
      </c>
      <c r="G590" t="n">
        <v>4.6</v>
      </c>
      <c r="H590" t="n">
        <v>0</v>
      </c>
      <c r="I590" t="n">
        <v>0</v>
      </c>
      <c r="J590" t="n">
        <v>0</v>
      </c>
      <c r="K590" t="n">
        <v>0</v>
      </c>
      <c r="L590" t="n">
        <v>0</v>
      </c>
      <c r="M590" t="n">
        <v>0</v>
      </c>
      <c r="N590" t="n">
        <v>0</v>
      </c>
      <c r="O590" t="n">
        <v>0</v>
      </c>
      <c r="P590" t="n">
        <v>0</v>
      </c>
      <c r="Q590" t="n">
        <v>0</v>
      </c>
      <c r="R590" s="2" t="inlineStr"/>
    </row>
    <row r="591" ht="15" customHeight="1">
      <c r="A591" t="inlineStr">
        <is>
          <t>A 18312-2024</t>
        </is>
      </c>
      <c r="B591" s="1" t="n">
        <v>45422</v>
      </c>
      <c r="C591" s="1" t="n">
        <v>45761</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18413-2024</t>
        </is>
      </c>
      <c r="B592" s="1" t="n">
        <v>45425</v>
      </c>
      <c r="C592" s="1" t="n">
        <v>45761</v>
      </c>
      <c r="D592" t="inlineStr">
        <is>
          <t>DALARNAS LÄN</t>
        </is>
      </c>
      <c r="E592" t="inlineStr">
        <is>
          <t>ORSA</t>
        </is>
      </c>
      <c r="G592" t="n">
        <v>1.8</v>
      </c>
      <c r="H592" t="n">
        <v>0</v>
      </c>
      <c r="I592" t="n">
        <v>0</v>
      </c>
      <c r="J592" t="n">
        <v>0</v>
      </c>
      <c r="K592" t="n">
        <v>0</v>
      </c>
      <c r="L592" t="n">
        <v>0</v>
      </c>
      <c r="M592" t="n">
        <v>0</v>
      </c>
      <c r="N592" t="n">
        <v>0</v>
      </c>
      <c r="O592" t="n">
        <v>0</v>
      </c>
      <c r="P592" t="n">
        <v>0</v>
      </c>
      <c r="Q592" t="n">
        <v>0</v>
      </c>
      <c r="R592" s="2" t="inlineStr"/>
    </row>
    <row r="593" ht="15" customHeight="1">
      <c r="A593" t="inlineStr">
        <is>
          <t>A 18945-2024</t>
        </is>
      </c>
      <c r="B593" s="1" t="n">
        <v>45427</v>
      </c>
      <c r="C593" s="1" t="n">
        <v>45761</v>
      </c>
      <c r="D593" t="inlineStr">
        <is>
          <t>DALARNAS LÄN</t>
        </is>
      </c>
      <c r="E593" t="inlineStr">
        <is>
          <t>ORSA</t>
        </is>
      </c>
      <c r="G593" t="n">
        <v>7</v>
      </c>
      <c r="H593" t="n">
        <v>0</v>
      </c>
      <c r="I593" t="n">
        <v>0</v>
      </c>
      <c r="J593" t="n">
        <v>0</v>
      </c>
      <c r="K593" t="n">
        <v>0</v>
      </c>
      <c r="L593" t="n">
        <v>0</v>
      </c>
      <c r="M593" t="n">
        <v>0</v>
      </c>
      <c r="N593" t="n">
        <v>0</v>
      </c>
      <c r="O593" t="n">
        <v>0</v>
      </c>
      <c r="P593" t="n">
        <v>0</v>
      </c>
      <c r="Q593" t="n">
        <v>0</v>
      </c>
      <c r="R593" s="2" t="inlineStr"/>
    </row>
    <row r="594" ht="15" customHeight="1">
      <c r="A594" t="inlineStr">
        <is>
          <t>A 18944-2024</t>
        </is>
      </c>
      <c r="B594" s="1" t="n">
        <v>45427</v>
      </c>
      <c r="C594" s="1" t="n">
        <v>45761</v>
      </c>
      <c r="D594" t="inlineStr">
        <is>
          <t>DALARNAS LÄN</t>
        </is>
      </c>
      <c r="E594" t="inlineStr">
        <is>
          <t>ORSA</t>
        </is>
      </c>
      <c r="G594" t="n">
        <v>5.4</v>
      </c>
      <c r="H594" t="n">
        <v>0</v>
      </c>
      <c r="I594" t="n">
        <v>0</v>
      </c>
      <c r="J594" t="n">
        <v>0</v>
      </c>
      <c r="K594" t="n">
        <v>0</v>
      </c>
      <c r="L594" t="n">
        <v>0</v>
      </c>
      <c r="M594" t="n">
        <v>0</v>
      </c>
      <c r="N594" t="n">
        <v>0</v>
      </c>
      <c r="O594" t="n">
        <v>0</v>
      </c>
      <c r="P594" t="n">
        <v>0</v>
      </c>
      <c r="Q594" t="n">
        <v>0</v>
      </c>
      <c r="R594" s="2" t="inlineStr"/>
    </row>
    <row r="595" ht="15" customHeight="1">
      <c r="A595" t="inlineStr">
        <is>
          <t>A 20327-2024</t>
        </is>
      </c>
      <c r="B595" s="1" t="n">
        <v>45435</v>
      </c>
      <c r="C595" s="1" t="n">
        <v>45761</v>
      </c>
      <c r="D595" t="inlineStr">
        <is>
          <t>DALARNAS LÄN</t>
        </is>
      </c>
      <c r="E595" t="inlineStr">
        <is>
          <t>ORSA</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20357-2024</t>
        </is>
      </c>
      <c r="B596" s="1" t="n">
        <v>45435</v>
      </c>
      <c r="C596" s="1" t="n">
        <v>45761</v>
      </c>
      <c r="D596" t="inlineStr">
        <is>
          <t>DALARNAS LÄN</t>
        </is>
      </c>
      <c r="E596" t="inlineStr">
        <is>
          <t>ORSA</t>
        </is>
      </c>
      <c r="G596" t="n">
        <v>0.9</v>
      </c>
      <c r="H596" t="n">
        <v>0</v>
      </c>
      <c r="I596" t="n">
        <v>0</v>
      </c>
      <c r="J596" t="n">
        <v>0</v>
      </c>
      <c r="K596" t="n">
        <v>0</v>
      </c>
      <c r="L596" t="n">
        <v>0</v>
      </c>
      <c r="M596" t="n">
        <v>0</v>
      </c>
      <c r="N596" t="n">
        <v>0</v>
      </c>
      <c r="O596" t="n">
        <v>0</v>
      </c>
      <c r="P596" t="n">
        <v>0</v>
      </c>
      <c r="Q596" t="n">
        <v>0</v>
      </c>
      <c r="R596" s="2" t="inlineStr"/>
    </row>
    <row r="597" ht="15" customHeight="1">
      <c r="A597" t="inlineStr">
        <is>
          <t>A 20452-2024</t>
        </is>
      </c>
      <c r="B597" s="1" t="n">
        <v>45435</v>
      </c>
      <c r="C597" s="1" t="n">
        <v>45761</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21168-2024</t>
        </is>
      </c>
      <c r="B598" s="1" t="n">
        <v>45440</v>
      </c>
      <c r="C598" s="1" t="n">
        <v>45761</v>
      </c>
      <c r="D598" t="inlineStr">
        <is>
          <t>DALARNAS LÄN</t>
        </is>
      </c>
      <c r="E598" t="inlineStr">
        <is>
          <t>ORSA</t>
        </is>
      </c>
      <c r="F598" t="inlineStr">
        <is>
          <t>Bergvik skog öst AB</t>
        </is>
      </c>
      <c r="G598" t="n">
        <v>4.7</v>
      </c>
      <c r="H598" t="n">
        <v>0</v>
      </c>
      <c r="I598" t="n">
        <v>0</v>
      </c>
      <c r="J598" t="n">
        <v>0</v>
      </c>
      <c r="K598" t="n">
        <v>0</v>
      </c>
      <c r="L598" t="n">
        <v>0</v>
      </c>
      <c r="M598" t="n">
        <v>0</v>
      </c>
      <c r="N598" t="n">
        <v>0</v>
      </c>
      <c r="O598" t="n">
        <v>0</v>
      </c>
      <c r="P598" t="n">
        <v>0</v>
      </c>
      <c r="Q598" t="n">
        <v>0</v>
      </c>
      <c r="R598" s="2" t="inlineStr"/>
    </row>
    <row r="599" ht="15" customHeight="1">
      <c r="A599" t="inlineStr">
        <is>
          <t>A 21162-2024</t>
        </is>
      </c>
      <c r="B599" s="1" t="n">
        <v>45440</v>
      </c>
      <c r="C599" s="1" t="n">
        <v>45761</v>
      </c>
      <c r="D599" t="inlineStr">
        <is>
          <t>DALARNAS LÄN</t>
        </is>
      </c>
      <c r="E599" t="inlineStr">
        <is>
          <t>ORSA</t>
        </is>
      </c>
      <c r="F599" t="inlineStr">
        <is>
          <t>Bergvik skog öst AB</t>
        </is>
      </c>
      <c r="G599" t="n">
        <v>32.3</v>
      </c>
      <c r="H599" t="n">
        <v>0</v>
      </c>
      <c r="I599" t="n">
        <v>0</v>
      </c>
      <c r="J599" t="n">
        <v>0</v>
      </c>
      <c r="K599" t="n">
        <v>0</v>
      </c>
      <c r="L599" t="n">
        <v>0</v>
      </c>
      <c r="M599" t="n">
        <v>0</v>
      </c>
      <c r="N599" t="n">
        <v>0</v>
      </c>
      <c r="O599" t="n">
        <v>0</v>
      </c>
      <c r="P599" t="n">
        <v>0</v>
      </c>
      <c r="Q599" t="n">
        <v>0</v>
      </c>
      <c r="R599" s="2" t="inlineStr"/>
    </row>
    <row r="600" ht="15" customHeight="1">
      <c r="A600" t="inlineStr">
        <is>
          <t>A 21165-2024</t>
        </is>
      </c>
      <c r="B600" s="1" t="n">
        <v>45440</v>
      </c>
      <c r="C600" s="1" t="n">
        <v>45761</v>
      </c>
      <c r="D600" t="inlineStr">
        <is>
          <t>DALARNAS LÄN</t>
        </is>
      </c>
      <c r="E600" t="inlineStr">
        <is>
          <t>ORSA</t>
        </is>
      </c>
      <c r="F600" t="inlineStr">
        <is>
          <t>Bergvik skog öst AB</t>
        </is>
      </c>
      <c r="G600" t="n">
        <v>1.3</v>
      </c>
      <c r="H600" t="n">
        <v>0</v>
      </c>
      <c r="I600" t="n">
        <v>0</v>
      </c>
      <c r="J600" t="n">
        <v>0</v>
      </c>
      <c r="K600" t="n">
        <v>0</v>
      </c>
      <c r="L600" t="n">
        <v>0</v>
      </c>
      <c r="M600" t="n">
        <v>0</v>
      </c>
      <c r="N600" t="n">
        <v>0</v>
      </c>
      <c r="O600" t="n">
        <v>0</v>
      </c>
      <c r="P600" t="n">
        <v>0</v>
      </c>
      <c r="Q600" t="n">
        <v>0</v>
      </c>
      <c r="R600" s="2" t="inlineStr"/>
    </row>
    <row r="601" ht="15" customHeight="1">
      <c r="A601" t="inlineStr">
        <is>
          <t>A 21189-2024</t>
        </is>
      </c>
      <c r="B601" s="1" t="n">
        <v>45440</v>
      </c>
      <c r="C601" s="1" t="n">
        <v>45761</v>
      </c>
      <c r="D601" t="inlineStr">
        <is>
          <t>DALARNAS LÄN</t>
        </is>
      </c>
      <c r="E601" t="inlineStr">
        <is>
          <t>ORSA</t>
        </is>
      </c>
      <c r="F601" t="inlineStr">
        <is>
          <t>Bergvik skog öst AB</t>
        </is>
      </c>
      <c r="G601" t="n">
        <v>23.4</v>
      </c>
      <c r="H601" t="n">
        <v>0</v>
      </c>
      <c r="I601" t="n">
        <v>0</v>
      </c>
      <c r="J601" t="n">
        <v>0</v>
      </c>
      <c r="K601" t="n">
        <v>0</v>
      </c>
      <c r="L601" t="n">
        <v>0</v>
      </c>
      <c r="M601" t="n">
        <v>0</v>
      </c>
      <c r="N601" t="n">
        <v>0</v>
      </c>
      <c r="O601" t="n">
        <v>0</v>
      </c>
      <c r="P601" t="n">
        <v>0</v>
      </c>
      <c r="Q601" t="n">
        <v>0</v>
      </c>
      <c r="R601" s="2" t="inlineStr"/>
    </row>
    <row r="602" ht="15" customHeight="1">
      <c r="A602" t="inlineStr">
        <is>
          <t>A 21446-2024</t>
        </is>
      </c>
      <c r="B602" s="1" t="n">
        <v>45441</v>
      </c>
      <c r="C602" s="1" t="n">
        <v>45761</v>
      </c>
      <c r="D602" t="inlineStr">
        <is>
          <t>DALARNAS LÄN</t>
        </is>
      </c>
      <c r="E602" t="inlineStr">
        <is>
          <t>ORSA</t>
        </is>
      </c>
      <c r="G602" t="n">
        <v>1.6</v>
      </c>
      <c r="H602" t="n">
        <v>0</v>
      </c>
      <c r="I602" t="n">
        <v>0</v>
      </c>
      <c r="J602" t="n">
        <v>0</v>
      </c>
      <c r="K602" t="n">
        <v>0</v>
      </c>
      <c r="L602" t="n">
        <v>0</v>
      </c>
      <c r="M602" t="n">
        <v>0</v>
      </c>
      <c r="N602" t="n">
        <v>0</v>
      </c>
      <c r="O602" t="n">
        <v>0</v>
      </c>
      <c r="P602" t="n">
        <v>0</v>
      </c>
      <c r="Q602" t="n">
        <v>0</v>
      </c>
      <c r="R602" s="2" t="inlineStr"/>
    </row>
    <row r="603" ht="15" customHeight="1">
      <c r="A603" t="inlineStr">
        <is>
          <t>A 22154-2024</t>
        </is>
      </c>
      <c r="B603" s="1" t="n">
        <v>45445</v>
      </c>
      <c r="C603" s="1" t="n">
        <v>45761</v>
      </c>
      <c r="D603" t="inlineStr">
        <is>
          <t>DALARNAS LÄN</t>
        </is>
      </c>
      <c r="E603" t="inlineStr">
        <is>
          <t>ORSA</t>
        </is>
      </c>
      <c r="G603" t="n">
        <v>1.8</v>
      </c>
      <c r="H603" t="n">
        <v>0</v>
      </c>
      <c r="I603" t="n">
        <v>0</v>
      </c>
      <c r="J603" t="n">
        <v>0</v>
      </c>
      <c r="K603" t="n">
        <v>0</v>
      </c>
      <c r="L603" t="n">
        <v>0</v>
      </c>
      <c r="M603" t="n">
        <v>0</v>
      </c>
      <c r="N603" t="n">
        <v>0</v>
      </c>
      <c r="O603" t="n">
        <v>0</v>
      </c>
      <c r="P603" t="n">
        <v>0</v>
      </c>
      <c r="Q603" t="n">
        <v>0</v>
      </c>
      <c r="R603" s="2" t="inlineStr"/>
    </row>
    <row r="604" ht="15" customHeight="1">
      <c r="A604" t="inlineStr">
        <is>
          <t>A 22739-2024</t>
        </is>
      </c>
      <c r="B604" s="1" t="n">
        <v>45448</v>
      </c>
      <c r="C604" s="1" t="n">
        <v>45761</v>
      </c>
      <c r="D604" t="inlineStr">
        <is>
          <t>DALARNAS LÄN</t>
        </is>
      </c>
      <c r="E604" t="inlineStr">
        <is>
          <t>ORSA</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22731-2024</t>
        </is>
      </c>
      <c r="B605" s="1" t="n">
        <v>45448</v>
      </c>
      <c r="C605" s="1" t="n">
        <v>45761</v>
      </c>
      <c r="D605" t="inlineStr">
        <is>
          <t>DALARNAS LÄN</t>
        </is>
      </c>
      <c r="E605" t="inlineStr">
        <is>
          <t>ORSA</t>
        </is>
      </c>
      <c r="F605" t="inlineStr">
        <is>
          <t>Allmännings- och besparingsskogar</t>
        </is>
      </c>
      <c r="G605" t="n">
        <v>9.300000000000001</v>
      </c>
      <c r="H605" t="n">
        <v>0</v>
      </c>
      <c r="I605" t="n">
        <v>0</v>
      </c>
      <c r="J605" t="n">
        <v>0</v>
      </c>
      <c r="K605" t="n">
        <v>0</v>
      </c>
      <c r="L605" t="n">
        <v>0</v>
      </c>
      <c r="M605" t="n">
        <v>0</v>
      </c>
      <c r="N605" t="n">
        <v>0</v>
      </c>
      <c r="O605" t="n">
        <v>0</v>
      </c>
      <c r="P605" t="n">
        <v>0</v>
      </c>
      <c r="Q605" t="n">
        <v>0</v>
      </c>
      <c r="R605" s="2" t="inlineStr"/>
    </row>
    <row r="606" ht="15" customHeight="1">
      <c r="A606" t="inlineStr">
        <is>
          <t>A 23074-2024</t>
        </is>
      </c>
      <c r="B606" s="1" t="n">
        <v>45450</v>
      </c>
      <c r="C606" s="1" t="n">
        <v>45761</v>
      </c>
      <c r="D606" t="inlineStr">
        <is>
          <t>DALARNAS LÄN</t>
        </is>
      </c>
      <c r="E606" t="inlineStr">
        <is>
          <t>ORSA</t>
        </is>
      </c>
      <c r="G606" t="n">
        <v>1.1</v>
      </c>
      <c r="H606" t="n">
        <v>0</v>
      </c>
      <c r="I606" t="n">
        <v>0</v>
      </c>
      <c r="J606" t="n">
        <v>0</v>
      </c>
      <c r="K606" t="n">
        <v>0</v>
      </c>
      <c r="L606" t="n">
        <v>0</v>
      </c>
      <c r="M606" t="n">
        <v>0</v>
      </c>
      <c r="N606" t="n">
        <v>0</v>
      </c>
      <c r="O606" t="n">
        <v>0</v>
      </c>
      <c r="P606" t="n">
        <v>0</v>
      </c>
      <c r="Q606" t="n">
        <v>0</v>
      </c>
      <c r="R606" s="2" t="inlineStr"/>
    </row>
    <row r="607" ht="15" customHeight="1">
      <c r="A607" t="inlineStr">
        <is>
          <t>A 23022-2024</t>
        </is>
      </c>
      <c r="B607" s="1" t="n">
        <v>45450</v>
      </c>
      <c r="C607" s="1" t="n">
        <v>45761</v>
      </c>
      <c r="D607" t="inlineStr">
        <is>
          <t>DALARNAS LÄN</t>
        </is>
      </c>
      <c r="E607" t="inlineStr">
        <is>
          <t>ORSA</t>
        </is>
      </c>
      <c r="G607" t="n">
        <v>2.4</v>
      </c>
      <c r="H607" t="n">
        <v>0</v>
      </c>
      <c r="I607" t="n">
        <v>0</v>
      </c>
      <c r="J607" t="n">
        <v>0</v>
      </c>
      <c r="K607" t="n">
        <v>0</v>
      </c>
      <c r="L607" t="n">
        <v>0</v>
      </c>
      <c r="M607" t="n">
        <v>0</v>
      </c>
      <c r="N607" t="n">
        <v>0</v>
      </c>
      <c r="O607" t="n">
        <v>0</v>
      </c>
      <c r="P607" t="n">
        <v>0</v>
      </c>
      <c r="Q607" t="n">
        <v>0</v>
      </c>
      <c r="R607" s="2" t="inlineStr"/>
    </row>
    <row r="608" ht="15" customHeight="1">
      <c r="A608" t="inlineStr">
        <is>
          <t>A 23350-2024</t>
        </is>
      </c>
      <c r="B608" s="1" t="n">
        <v>45453</v>
      </c>
      <c r="C608" s="1" t="n">
        <v>45761</v>
      </c>
      <c r="D608" t="inlineStr">
        <is>
          <t>DALARNAS LÄN</t>
        </is>
      </c>
      <c r="E608" t="inlineStr">
        <is>
          <t>ORSA</t>
        </is>
      </c>
      <c r="G608" t="n">
        <v>18.7</v>
      </c>
      <c r="H608" t="n">
        <v>0</v>
      </c>
      <c r="I608" t="n">
        <v>0</v>
      </c>
      <c r="J608" t="n">
        <v>0</v>
      </c>
      <c r="K608" t="n">
        <v>0</v>
      </c>
      <c r="L608" t="n">
        <v>0</v>
      </c>
      <c r="M608" t="n">
        <v>0</v>
      </c>
      <c r="N608" t="n">
        <v>0</v>
      </c>
      <c r="O608" t="n">
        <v>0</v>
      </c>
      <c r="P608" t="n">
        <v>0</v>
      </c>
      <c r="Q608" t="n">
        <v>0</v>
      </c>
      <c r="R608" s="2" t="inlineStr"/>
    </row>
    <row r="609" ht="15" customHeight="1">
      <c r="A609" t="inlineStr">
        <is>
          <t>A 23339-2024</t>
        </is>
      </c>
      <c r="B609" s="1" t="n">
        <v>45453</v>
      </c>
      <c r="C609" s="1" t="n">
        <v>45761</v>
      </c>
      <c r="D609" t="inlineStr">
        <is>
          <t>DALARNAS LÄN</t>
        </is>
      </c>
      <c r="E609" t="inlineStr">
        <is>
          <t>ORSA</t>
        </is>
      </c>
      <c r="G609" t="n">
        <v>3.8</v>
      </c>
      <c r="H609" t="n">
        <v>0</v>
      </c>
      <c r="I609" t="n">
        <v>0</v>
      </c>
      <c r="J609" t="n">
        <v>0</v>
      </c>
      <c r="K609" t="n">
        <v>0</v>
      </c>
      <c r="L609" t="n">
        <v>0</v>
      </c>
      <c r="M609" t="n">
        <v>0</v>
      </c>
      <c r="N609" t="n">
        <v>0</v>
      </c>
      <c r="O609" t="n">
        <v>0</v>
      </c>
      <c r="P609" t="n">
        <v>0</v>
      </c>
      <c r="Q609" t="n">
        <v>0</v>
      </c>
      <c r="R609" s="2" t="inlineStr"/>
    </row>
    <row r="610" ht="15" customHeight="1">
      <c r="A610" t="inlineStr">
        <is>
          <t>A 23757-2024</t>
        </is>
      </c>
      <c r="B610" s="1" t="n">
        <v>45455</v>
      </c>
      <c r="C610" s="1" t="n">
        <v>45761</v>
      </c>
      <c r="D610" t="inlineStr">
        <is>
          <t>DALARNAS LÄN</t>
        </is>
      </c>
      <c r="E610" t="inlineStr">
        <is>
          <t>ORSA</t>
        </is>
      </c>
      <c r="G610" t="n">
        <v>1</v>
      </c>
      <c r="H610" t="n">
        <v>0</v>
      </c>
      <c r="I610" t="n">
        <v>0</v>
      </c>
      <c r="J610" t="n">
        <v>0</v>
      </c>
      <c r="K610" t="n">
        <v>0</v>
      </c>
      <c r="L610" t="n">
        <v>0</v>
      </c>
      <c r="M610" t="n">
        <v>0</v>
      </c>
      <c r="N610" t="n">
        <v>0</v>
      </c>
      <c r="O610" t="n">
        <v>0</v>
      </c>
      <c r="P610" t="n">
        <v>0</v>
      </c>
      <c r="Q610" t="n">
        <v>0</v>
      </c>
      <c r="R610" s="2" t="inlineStr"/>
    </row>
    <row r="611" ht="15" customHeight="1">
      <c r="A611" t="inlineStr">
        <is>
          <t>A 23774-2024</t>
        </is>
      </c>
      <c r="B611" s="1" t="n">
        <v>45455</v>
      </c>
      <c r="C611" s="1" t="n">
        <v>45761</v>
      </c>
      <c r="D611" t="inlineStr">
        <is>
          <t>DALARNAS LÄN</t>
        </is>
      </c>
      <c r="E611" t="inlineStr">
        <is>
          <t>ORSA</t>
        </is>
      </c>
      <c r="F611" t="inlineStr">
        <is>
          <t>Allmännings- och besparingsskogar</t>
        </is>
      </c>
      <c r="G611" t="n">
        <v>4.2</v>
      </c>
      <c r="H611" t="n">
        <v>0</v>
      </c>
      <c r="I611" t="n">
        <v>0</v>
      </c>
      <c r="J611" t="n">
        <v>0</v>
      </c>
      <c r="K611" t="n">
        <v>0</v>
      </c>
      <c r="L611" t="n">
        <v>0</v>
      </c>
      <c r="M611" t="n">
        <v>0</v>
      </c>
      <c r="N611" t="n">
        <v>0</v>
      </c>
      <c r="O611" t="n">
        <v>0</v>
      </c>
      <c r="P611" t="n">
        <v>0</v>
      </c>
      <c r="Q611" t="n">
        <v>0</v>
      </c>
      <c r="R611" s="2" t="inlineStr"/>
    </row>
    <row r="612" ht="15" customHeight="1">
      <c r="A612" t="inlineStr">
        <is>
          <t>A 24120-2024</t>
        </is>
      </c>
      <c r="B612" s="1" t="n">
        <v>45456</v>
      </c>
      <c r="C612" s="1" t="n">
        <v>45761</v>
      </c>
      <c r="D612" t="inlineStr">
        <is>
          <t>DALARNAS LÄN</t>
        </is>
      </c>
      <c r="E612" t="inlineStr">
        <is>
          <t>ORSA</t>
        </is>
      </c>
      <c r="F612" t="inlineStr">
        <is>
          <t>Bergvik skog öst AB</t>
        </is>
      </c>
      <c r="G612" t="n">
        <v>2.1</v>
      </c>
      <c r="H612" t="n">
        <v>0</v>
      </c>
      <c r="I612" t="n">
        <v>0</v>
      </c>
      <c r="J612" t="n">
        <v>0</v>
      </c>
      <c r="K612" t="n">
        <v>0</v>
      </c>
      <c r="L612" t="n">
        <v>0</v>
      </c>
      <c r="M612" t="n">
        <v>0</v>
      </c>
      <c r="N612" t="n">
        <v>0</v>
      </c>
      <c r="O612" t="n">
        <v>0</v>
      </c>
      <c r="P612" t="n">
        <v>0</v>
      </c>
      <c r="Q612" t="n">
        <v>0</v>
      </c>
      <c r="R612" s="2" t="inlineStr"/>
    </row>
    <row r="613" ht="15" customHeight="1">
      <c r="A613" t="inlineStr">
        <is>
          <t>A 24142-2024</t>
        </is>
      </c>
      <c r="B613" s="1" t="n">
        <v>45456</v>
      </c>
      <c r="C613" s="1" t="n">
        <v>45761</v>
      </c>
      <c r="D613" t="inlineStr">
        <is>
          <t>DALARNAS LÄN</t>
        </is>
      </c>
      <c r="E613" t="inlineStr">
        <is>
          <t>ORSA</t>
        </is>
      </c>
      <c r="F613" t="inlineStr">
        <is>
          <t>Bergvik skog öst AB</t>
        </is>
      </c>
      <c r="G613" t="n">
        <v>3</v>
      </c>
      <c r="H613" t="n">
        <v>0</v>
      </c>
      <c r="I613" t="n">
        <v>0</v>
      </c>
      <c r="J613" t="n">
        <v>0</v>
      </c>
      <c r="K613" t="n">
        <v>0</v>
      </c>
      <c r="L613" t="n">
        <v>0</v>
      </c>
      <c r="M613" t="n">
        <v>0</v>
      </c>
      <c r="N613" t="n">
        <v>0</v>
      </c>
      <c r="O613" t="n">
        <v>0</v>
      </c>
      <c r="P613" t="n">
        <v>0</v>
      </c>
      <c r="Q613" t="n">
        <v>0</v>
      </c>
      <c r="R613" s="2" t="inlineStr"/>
    </row>
    <row r="614" ht="15" customHeight="1">
      <c r="A614" t="inlineStr">
        <is>
          <t>A 24215-2024</t>
        </is>
      </c>
      <c r="B614" s="1" t="n">
        <v>45457</v>
      </c>
      <c r="C614" s="1" t="n">
        <v>45761</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24217-2024</t>
        </is>
      </c>
      <c r="B615" s="1" t="n">
        <v>45457</v>
      </c>
      <c r="C615" s="1" t="n">
        <v>45761</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24396-2024</t>
        </is>
      </c>
      <c r="B616" s="1" t="n">
        <v>45457</v>
      </c>
      <c r="C616" s="1" t="n">
        <v>45761</v>
      </c>
      <c r="D616" t="inlineStr">
        <is>
          <t>DALARNAS LÄN</t>
        </is>
      </c>
      <c r="E616" t="inlineStr">
        <is>
          <t>ORSA</t>
        </is>
      </c>
      <c r="G616" t="n">
        <v>6.7</v>
      </c>
      <c r="H616" t="n">
        <v>0</v>
      </c>
      <c r="I616" t="n">
        <v>0</v>
      </c>
      <c r="J616" t="n">
        <v>0</v>
      </c>
      <c r="K616" t="n">
        <v>0</v>
      </c>
      <c r="L616" t="n">
        <v>0</v>
      </c>
      <c r="M616" t="n">
        <v>0</v>
      </c>
      <c r="N616" t="n">
        <v>0</v>
      </c>
      <c r="O616" t="n">
        <v>0</v>
      </c>
      <c r="P616" t="n">
        <v>0</v>
      </c>
      <c r="Q616" t="n">
        <v>0</v>
      </c>
      <c r="R616" s="2" t="inlineStr"/>
    </row>
    <row r="617" ht="15" customHeight="1">
      <c r="A617" t="inlineStr">
        <is>
          <t>A 24564-2024</t>
        </is>
      </c>
      <c r="B617" s="1" t="n">
        <v>45460</v>
      </c>
      <c r="C617" s="1" t="n">
        <v>45761</v>
      </c>
      <c r="D617" t="inlineStr">
        <is>
          <t>DALARNAS LÄN</t>
        </is>
      </c>
      <c r="E617" t="inlineStr">
        <is>
          <t>ORSA</t>
        </is>
      </c>
      <c r="G617" t="n">
        <v>1.4</v>
      </c>
      <c r="H617" t="n">
        <v>0</v>
      </c>
      <c r="I617" t="n">
        <v>0</v>
      </c>
      <c r="J617" t="n">
        <v>0</v>
      </c>
      <c r="K617" t="n">
        <v>0</v>
      </c>
      <c r="L617" t="n">
        <v>0</v>
      </c>
      <c r="M617" t="n">
        <v>0</v>
      </c>
      <c r="N617" t="n">
        <v>0</v>
      </c>
      <c r="O617" t="n">
        <v>0</v>
      </c>
      <c r="P617" t="n">
        <v>0</v>
      </c>
      <c r="Q617" t="n">
        <v>0</v>
      </c>
      <c r="R617" s="2" t="inlineStr"/>
    </row>
    <row r="618" ht="15" customHeight="1">
      <c r="A618" t="inlineStr">
        <is>
          <t>A 26670-2024</t>
        </is>
      </c>
      <c r="B618" s="1" t="n">
        <v>45469</v>
      </c>
      <c r="C618" s="1" t="n">
        <v>45761</v>
      </c>
      <c r="D618" t="inlineStr">
        <is>
          <t>DALARNAS LÄN</t>
        </is>
      </c>
      <c r="E618" t="inlineStr">
        <is>
          <t>ORSA</t>
        </is>
      </c>
      <c r="F618" t="inlineStr">
        <is>
          <t>Allmännings- och besparingsskogar</t>
        </is>
      </c>
      <c r="G618" t="n">
        <v>2.8</v>
      </c>
      <c r="H618" t="n">
        <v>0</v>
      </c>
      <c r="I618" t="n">
        <v>0</v>
      </c>
      <c r="J618" t="n">
        <v>0</v>
      </c>
      <c r="K618" t="n">
        <v>0</v>
      </c>
      <c r="L618" t="n">
        <v>0</v>
      </c>
      <c r="M618" t="n">
        <v>0</v>
      </c>
      <c r="N618" t="n">
        <v>0</v>
      </c>
      <c r="O618" t="n">
        <v>0</v>
      </c>
      <c r="P618" t="n">
        <v>0</v>
      </c>
      <c r="Q618" t="n">
        <v>0</v>
      </c>
      <c r="R618" s="2" t="inlineStr"/>
    </row>
    <row r="619" ht="15" customHeight="1">
      <c r="A619" t="inlineStr">
        <is>
          <t>A 27156-2024</t>
        </is>
      </c>
      <c r="B619" s="1" t="n">
        <v>45471</v>
      </c>
      <c r="C619" s="1" t="n">
        <v>45761</v>
      </c>
      <c r="D619" t="inlineStr">
        <is>
          <t>DALARNAS LÄN</t>
        </is>
      </c>
      <c r="E619" t="inlineStr">
        <is>
          <t>ORSA</t>
        </is>
      </c>
      <c r="F619" t="inlineStr">
        <is>
          <t>Bergvik skog öst AB</t>
        </is>
      </c>
      <c r="G619" t="n">
        <v>6.9</v>
      </c>
      <c r="H619" t="n">
        <v>0</v>
      </c>
      <c r="I619" t="n">
        <v>0</v>
      </c>
      <c r="J619" t="n">
        <v>0</v>
      </c>
      <c r="K619" t="n">
        <v>0</v>
      </c>
      <c r="L619" t="n">
        <v>0</v>
      </c>
      <c r="M619" t="n">
        <v>0</v>
      </c>
      <c r="N619" t="n">
        <v>0</v>
      </c>
      <c r="O619" t="n">
        <v>0</v>
      </c>
      <c r="P619" t="n">
        <v>0</v>
      </c>
      <c r="Q619" t="n">
        <v>0</v>
      </c>
      <c r="R619" s="2" t="inlineStr"/>
    </row>
    <row r="620" ht="15" customHeight="1">
      <c r="A620" t="inlineStr">
        <is>
          <t>A 27989-2024</t>
        </is>
      </c>
      <c r="B620" s="1" t="n">
        <v>45476</v>
      </c>
      <c r="C620" s="1" t="n">
        <v>45761</v>
      </c>
      <c r="D620" t="inlineStr">
        <is>
          <t>DALARNAS LÄN</t>
        </is>
      </c>
      <c r="E620" t="inlineStr">
        <is>
          <t>ORSA</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28417-2024</t>
        </is>
      </c>
      <c r="B621" s="1" t="n">
        <v>45477</v>
      </c>
      <c r="C621" s="1" t="n">
        <v>45761</v>
      </c>
      <c r="D621" t="inlineStr">
        <is>
          <t>DALARNAS LÄN</t>
        </is>
      </c>
      <c r="E621" t="inlineStr">
        <is>
          <t>ORSA</t>
        </is>
      </c>
      <c r="F621" t="inlineStr">
        <is>
          <t>Bergvik skog öst AB</t>
        </is>
      </c>
      <c r="G621" t="n">
        <v>8</v>
      </c>
      <c r="H621" t="n">
        <v>0</v>
      </c>
      <c r="I621" t="n">
        <v>0</v>
      </c>
      <c r="J621" t="n">
        <v>0</v>
      </c>
      <c r="K621" t="n">
        <v>0</v>
      </c>
      <c r="L621" t="n">
        <v>0</v>
      </c>
      <c r="M621" t="n">
        <v>0</v>
      </c>
      <c r="N621" t="n">
        <v>0</v>
      </c>
      <c r="O621" t="n">
        <v>0</v>
      </c>
      <c r="P621" t="n">
        <v>0</v>
      </c>
      <c r="Q621" t="n">
        <v>0</v>
      </c>
      <c r="R621" s="2" t="inlineStr"/>
    </row>
    <row r="622" ht="15" customHeight="1">
      <c r="A622" t="inlineStr">
        <is>
          <t>A 28388-2024</t>
        </is>
      </c>
      <c r="B622" s="1" t="n">
        <v>45477</v>
      </c>
      <c r="C622" s="1" t="n">
        <v>45761</v>
      </c>
      <c r="D622" t="inlineStr">
        <is>
          <t>DALARNAS LÄN</t>
        </is>
      </c>
      <c r="E622" t="inlineStr">
        <is>
          <t>ORSA</t>
        </is>
      </c>
      <c r="F622" t="inlineStr">
        <is>
          <t>Bergvik skog öst AB</t>
        </is>
      </c>
      <c r="G622" t="n">
        <v>3.8</v>
      </c>
      <c r="H622" t="n">
        <v>0</v>
      </c>
      <c r="I622" t="n">
        <v>0</v>
      </c>
      <c r="J622" t="n">
        <v>0</v>
      </c>
      <c r="K622" t="n">
        <v>0</v>
      </c>
      <c r="L622" t="n">
        <v>0</v>
      </c>
      <c r="M622" t="n">
        <v>0</v>
      </c>
      <c r="N622" t="n">
        <v>0</v>
      </c>
      <c r="O622" t="n">
        <v>0</v>
      </c>
      <c r="P622" t="n">
        <v>0</v>
      </c>
      <c r="Q622" t="n">
        <v>0</v>
      </c>
      <c r="R622" s="2" t="inlineStr"/>
    </row>
    <row r="623" ht="15" customHeight="1">
      <c r="A623" t="inlineStr">
        <is>
          <t>A 28923-2024</t>
        </is>
      </c>
      <c r="B623" s="1" t="n">
        <v>45481</v>
      </c>
      <c r="C623" s="1" t="n">
        <v>45761</v>
      </c>
      <c r="D623" t="inlineStr">
        <is>
          <t>DALARNAS LÄN</t>
        </is>
      </c>
      <c r="E623" t="inlineStr">
        <is>
          <t>ORSA</t>
        </is>
      </c>
      <c r="F623" t="inlineStr">
        <is>
          <t>Allmännings- och besparingsskogar</t>
        </is>
      </c>
      <c r="G623" t="n">
        <v>13.9</v>
      </c>
      <c r="H623" t="n">
        <v>0</v>
      </c>
      <c r="I623" t="n">
        <v>0</v>
      </c>
      <c r="J623" t="n">
        <v>0</v>
      </c>
      <c r="K623" t="n">
        <v>0</v>
      </c>
      <c r="L623" t="n">
        <v>0</v>
      </c>
      <c r="M623" t="n">
        <v>0</v>
      </c>
      <c r="N623" t="n">
        <v>0</v>
      </c>
      <c r="O623" t="n">
        <v>0</v>
      </c>
      <c r="P623" t="n">
        <v>0</v>
      </c>
      <c r="Q623" t="n">
        <v>0</v>
      </c>
      <c r="R623" s="2" t="inlineStr"/>
    </row>
    <row r="624" ht="15" customHeight="1">
      <c r="A624" t="inlineStr">
        <is>
          <t>A 28971-2024</t>
        </is>
      </c>
      <c r="B624" s="1" t="n">
        <v>45481</v>
      </c>
      <c r="C624" s="1" t="n">
        <v>45761</v>
      </c>
      <c r="D624" t="inlineStr">
        <is>
          <t>DALARNAS LÄN</t>
        </is>
      </c>
      <c r="E624" t="inlineStr">
        <is>
          <t>ORSA</t>
        </is>
      </c>
      <c r="F624" t="inlineStr">
        <is>
          <t>Bergvik skog öst AB</t>
        </is>
      </c>
      <c r="G624" t="n">
        <v>7.7</v>
      </c>
      <c r="H624" t="n">
        <v>0</v>
      </c>
      <c r="I624" t="n">
        <v>0</v>
      </c>
      <c r="J624" t="n">
        <v>0</v>
      </c>
      <c r="K624" t="n">
        <v>0</v>
      </c>
      <c r="L624" t="n">
        <v>0</v>
      </c>
      <c r="M624" t="n">
        <v>0</v>
      </c>
      <c r="N624" t="n">
        <v>0</v>
      </c>
      <c r="O624" t="n">
        <v>0</v>
      </c>
      <c r="P624" t="n">
        <v>0</v>
      </c>
      <c r="Q624" t="n">
        <v>0</v>
      </c>
      <c r="R624" s="2" t="inlineStr"/>
    </row>
    <row r="625" ht="15" customHeight="1">
      <c r="A625" t="inlineStr">
        <is>
          <t>A 29038-2024</t>
        </is>
      </c>
      <c r="B625" s="1" t="n">
        <v>45481</v>
      </c>
      <c r="C625" s="1" t="n">
        <v>45761</v>
      </c>
      <c r="D625" t="inlineStr">
        <is>
          <t>DALARNAS LÄN</t>
        </is>
      </c>
      <c r="E625" t="inlineStr">
        <is>
          <t>ORSA</t>
        </is>
      </c>
      <c r="G625" t="n">
        <v>3</v>
      </c>
      <c r="H625" t="n">
        <v>0</v>
      </c>
      <c r="I625" t="n">
        <v>0</v>
      </c>
      <c r="J625" t="n">
        <v>0</v>
      </c>
      <c r="K625" t="n">
        <v>0</v>
      </c>
      <c r="L625" t="n">
        <v>0</v>
      </c>
      <c r="M625" t="n">
        <v>0</v>
      </c>
      <c r="N625" t="n">
        <v>0</v>
      </c>
      <c r="O625" t="n">
        <v>0</v>
      </c>
      <c r="P625" t="n">
        <v>0</v>
      </c>
      <c r="Q625" t="n">
        <v>0</v>
      </c>
      <c r="R625" s="2" t="inlineStr"/>
    </row>
    <row r="626" ht="15" customHeight="1">
      <c r="A626" t="inlineStr">
        <is>
          <t>A 28974-2024</t>
        </is>
      </c>
      <c r="B626" s="1" t="n">
        <v>45481</v>
      </c>
      <c r="C626" s="1" t="n">
        <v>45761</v>
      </c>
      <c r="D626" t="inlineStr">
        <is>
          <t>DALARNAS LÄN</t>
        </is>
      </c>
      <c r="E626" t="inlineStr">
        <is>
          <t>ORSA</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28970-2024</t>
        </is>
      </c>
      <c r="B627" s="1" t="n">
        <v>45481</v>
      </c>
      <c r="C627" s="1" t="n">
        <v>45761</v>
      </c>
      <c r="D627" t="inlineStr">
        <is>
          <t>DALARNAS LÄN</t>
        </is>
      </c>
      <c r="E627" t="inlineStr">
        <is>
          <t>ORSA</t>
        </is>
      </c>
      <c r="F627" t="inlineStr">
        <is>
          <t>Bergvik skog öst AB</t>
        </is>
      </c>
      <c r="G627" t="n">
        <v>1.9</v>
      </c>
      <c r="H627" t="n">
        <v>0</v>
      </c>
      <c r="I627" t="n">
        <v>0</v>
      </c>
      <c r="J627" t="n">
        <v>0</v>
      </c>
      <c r="K627" t="n">
        <v>0</v>
      </c>
      <c r="L627" t="n">
        <v>0</v>
      </c>
      <c r="M627" t="n">
        <v>0</v>
      </c>
      <c r="N627" t="n">
        <v>0</v>
      </c>
      <c r="O627" t="n">
        <v>0</v>
      </c>
      <c r="P627" t="n">
        <v>0</v>
      </c>
      <c r="Q627" t="n">
        <v>0</v>
      </c>
      <c r="R627" s="2" t="inlineStr"/>
    </row>
    <row r="628" ht="15" customHeight="1">
      <c r="A628" t="inlineStr">
        <is>
          <t>A 29499-2024</t>
        </is>
      </c>
      <c r="B628" s="1" t="n">
        <v>45484</v>
      </c>
      <c r="C628" s="1" t="n">
        <v>45761</v>
      </c>
      <c r="D628" t="inlineStr">
        <is>
          <t>DALARNAS LÄN</t>
        </is>
      </c>
      <c r="E628" t="inlineStr">
        <is>
          <t>ORSA</t>
        </is>
      </c>
      <c r="G628" t="n">
        <v>1.7</v>
      </c>
      <c r="H628" t="n">
        <v>0</v>
      </c>
      <c r="I628" t="n">
        <v>0</v>
      </c>
      <c r="J628" t="n">
        <v>0</v>
      </c>
      <c r="K628" t="n">
        <v>0</v>
      </c>
      <c r="L628" t="n">
        <v>0</v>
      </c>
      <c r="M628" t="n">
        <v>0</v>
      </c>
      <c r="N628" t="n">
        <v>0</v>
      </c>
      <c r="O628" t="n">
        <v>0</v>
      </c>
      <c r="P628" t="n">
        <v>0</v>
      </c>
      <c r="Q628" t="n">
        <v>0</v>
      </c>
      <c r="R628" s="2" t="inlineStr"/>
    </row>
    <row r="629" ht="15" customHeight="1">
      <c r="A629" t="inlineStr">
        <is>
          <t>A 30290-2024</t>
        </is>
      </c>
      <c r="B629" s="1" t="n">
        <v>45490</v>
      </c>
      <c r="C629" s="1" t="n">
        <v>45761</v>
      </c>
      <c r="D629" t="inlineStr">
        <is>
          <t>DALARNAS LÄN</t>
        </is>
      </c>
      <c r="E629" t="inlineStr">
        <is>
          <t>ORSA</t>
        </is>
      </c>
      <c r="F629" t="inlineStr">
        <is>
          <t>Bergvik skog öst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30189-2024</t>
        </is>
      </c>
      <c r="B630" s="1" t="n">
        <v>45490</v>
      </c>
      <c r="C630" s="1" t="n">
        <v>45761</v>
      </c>
      <c r="D630" t="inlineStr">
        <is>
          <t>DALARNAS LÄN</t>
        </is>
      </c>
      <c r="E630" t="inlineStr">
        <is>
          <t>ORSA</t>
        </is>
      </c>
      <c r="G630" t="n">
        <v>3.9</v>
      </c>
      <c r="H630" t="n">
        <v>0</v>
      </c>
      <c r="I630" t="n">
        <v>0</v>
      </c>
      <c r="J630" t="n">
        <v>0</v>
      </c>
      <c r="K630" t="n">
        <v>0</v>
      </c>
      <c r="L630" t="n">
        <v>0</v>
      </c>
      <c r="M630" t="n">
        <v>0</v>
      </c>
      <c r="N630" t="n">
        <v>0</v>
      </c>
      <c r="O630" t="n">
        <v>0</v>
      </c>
      <c r="P630" t="n">
        <v>0</v>
      </c>
      <c r="Q630" t="n">
        <v>0</v>
      </c>
      <c r="R630" s="2" t="inlineStr"/>
    </row>
    <row r="631" ht="15" customHeight="1">
      <c r="A631" t="inlineStr">
        <is>
          <t>A 30291-2024</t>
        </is>
      </c>
      <c r="B631" s="1" t="n">
        <v>45490</v>
      </c>
      <c r="C631" s="1" t="n">
        <v>45761</v>
      </c>
      <c r="D631" t="inlineStr">
        <is>
          <t>DALARNAS LÄN</t>
        </is>
      </c>
      <c r="E631" t="inlineStr">
        <is>
          <t>ORSA</t>
        </is>
      </c>
      <c r="F631" t="inlineStr">
        <is>
          <t>Bergvik skog öst AB</t>
        </is>
      </c>
      <c r="G631" t="n">
        <v>7.5</v>
      </c>
      <c r="H631" t="n">
        <v>0</v>
      </c>
      <c r="I631" t="n">
        <v>0</v>
      </c>
      <c r="J631" t="n">
        <v>0</v>
      </c>
      <c r="K631" t="n">
        <v>0</v>
      </c>
      <c r="L631" t="n">
        <v>0</v>
      </c>
      <c r="M631" t="n">
        <v>0</v>
      </c>
      <c r="N631" t="n">
        <v>0</v>
      </c>
      <c r="O631" t="n">
        <v>0</v>
      </c>
      <c r="P631" t="n">
        <v>0</v>
      </c>
      <c r="Q631" t="n">
        <v>0</v>
      </c>
      <c r="R631" s="2" t="inlineStr"/>
    </row>
    <row r="632" ht="15" customHeight="1">
      <c r="A632" t="inlineStr">
        <is>
          <t>A 31008-2024</t>
        </is>
      </c>
      <c r="B632" s="1" t="n">
        <v>45499</v>
      </c>
      <c r="C632" s="1" t="n">
        <v>45761</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31262-2024</t>
        </is>
      </c>
      <c r="B633" s="1" t="n">
        <v>45504</v>
      </c>
      <c r="C633" s="1" t="n">
        <v>45761</v>
      </c>
      <c r="D633" t="inlineStr">
        <is>
          <t>DALARNAS LÄN</t>
        </is>
      </c>
      <c r="E633" t="inlineStr">
        <is>
          <t>ORSA</t>
        </is>
      </c>
      <c r="G633" t="n">
        <v>4.8</v>
      </c>
      <c r="H633" t="n">
        <v>0</v>
      </c>
      <c r="I633" t="n">
        <v>0</v>
      </c>
      <c r="J633" t="n">
        <v>0</v>
      </c>
      <c r="K633" t="n">
        <v>0</v>
      </c>
      <c r="L633" t="n">
        <v>0</v>
      </c>
      <c r="M633" t="n">
        <v>0</v>
      </c>
      <c r="N633" t="n">
        <v>0</v>
      </c>
      <c r="O633" t="n">
        <v>0</v>
      </c>
      <c r="P633" t="n">
        <v>0</v>
      </c>
      <c r="Q633" t="n">
        <v>0</v>
      </c>
      <c r="R633" s="2" t="inlineStr"/>
    </row>
    <row r="634" ht="15" customHeight="1">
      <c r="A634" t="inlineStr">
        <is>
          <t>A 31688-2024</t>
        </is>
      </c>
      <c r="B634" s="1" t="n">
        <v>45507</v>
      </c>
      <c r="C634" s="1" t="n">
        <v>45761</v>
      </c>
      <c r="D634" t="inlineStr">
        <is>
          <t>DALARNAS LÄN</t>
        </is>
      </c>
      <c r="E634" t="inlineStr">
        <is>
          <t>ORSA</t>
        </is>
      </c>
      <c r="G634" t="n">
        <v>0.7</v>
      </c>
      <c r="H634" t="n">
        <v>0</v>
      </c>
      <c r="I634" t="n">
        <v>0</v>
      </c>
      <c r="J634" t="n">
        <v>0</v>
      </c>
      <c r="K634" t="n">
        <v>0</v>
      </c>
      <c r="L634" t="n">
        <v>0</v>
      </c>
      <c r="M634" t="n">
        <v>0</v>
      </c>
      <c r="N634" t="n">
        <v>0</v>
      </c>
      <c r="O634" t="n">
        <v>0</v>
      </c>
      <c r="P634" t="n">
        <v>0</v>
      </c>
      <c r="Q634" t="n">
        <v>0</v>
      </c>
      <c r="R634" s="2" t="inlineStr"/>
    </row>
    <row r="635" ht="15" customHeight="1">
      <c r="A635" t="inlineStr">
        <is>
          <t>A 32087-2024</t>
        </is>
      </c>
      <c r="B635" s="1" t="n">
        <v>45511</v>
      </c>
      <c r="C635" s="1" t="n">
        <v>45761</v>
      </c>
      <c r="D635" t="inlineStr">
        <is>
          <t>DALARNAS LÄN</t>
        </is>
      </c>
      <c r="E635" t="inlineStr">
        <is>
          <t>ORSA</t>
        </is>
      </c>
      <c r="F635" t="inlineStr">
        <is>
          <t>Allmännings- och besparingsskogar</t>
        </is>
      </c>
      <c r="G635" t="n">
        <v>4.3</v>
      </c>
      <c r="H635" t="n">
        <v>0</v>
      </c>
      <c r="I635" t="n">
        <v>0</v>
      </c>
      <c r="J635" t="n">
        <v>0</v>
      </c>
      <c r="K635" t="n">
        <v>0</v>
      </c>
      <c r="L635" t="n">
        <v>0</v>
      </c>
      <c r="M635" t="n">
        <v>0</v>
      </c>
      <c r="N635" t="n">
        <v>0</v>
      </c>
      <c r="O635" t="n">
        <v>0</v>
      </c>
      <c r="P635" t="n">
        <v>0</v>
      </c>
      <c r="Q635" t="n">
        <v>0</v>
      </c>
      <c r="R635" s="2" t="inlineStr"/>
    </row>
    <row r="636" ht="15" customHeight="1">
      <c r="A636" t="inlineStr">
        <is>
          <t>A 32088-2024</t>
        </is>
      </c>
      <c r="B636" s="1" t="n">
        <v>45511</v>
      </c>
      <c r="C636" s="1" t="n">
        <v>45761</v>
      </c>
      <c r="D636" t="inlineStr">
        <is>
          <t>DALARNAS LÄN</t>
        </is>
      </c>
      <c r="E636" t="inlineStr">
        <is>
          <t>ORSA</t>
        </is>
      </c>
      <c r="F636" t="inlineStr">
        <is>
          <t>Allmännings- och besparingsskogar</t>
        </is>
      </c>
      <c r="G636" t="n">
        <v>5.6</v>
      </c>
      <c r="H636" t="n">
        <v>0</v>
      </c>
      <c r="I636" t="n">
        <v>0</v>
      </c>
      <c r="J636" t="n">
        <v>0</v>
      </c>
      <c r="K636" t="n">
        <v>0</v>
      </c>
      <c r="L636" t="n">
        <v>0</v>
      </c>
      <c r="M636" t="n">
        <v>0</v>
      </c>
      <c r="N636" t="n">
        <v>0</v>
      </c>
      <c r="O636" t="n">
        <v>0</v>
      </c>
      <c r="P636" t="n">
        <v>0</v>
      </c>
      <c r="Q636" t="n">
        <v>0</v>
      </c>
      <c r="R636" s="2" t="inlineStr"/>
    </row>
    <row r="637" ht="15" customHeight="1">
      <c r="A637" t="inlineStr">
        <is>
          <t>A 32125-2024</t>
        </is>
      </c>
      <c r="B637" s="1" t="n">
        <v>45511</v>
      </c>
      <c r="C637" s="1" t="n">
        <v>45761</v>
      </c>
      <c r="D637" t="inlineStr">
        <is>
          <t>DALARNAS LÄN</t>
        </is>
      </c>
      <c r="E637" t="inlineStr">
        <is>
          <t>ORSA</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32333-2024</t>
        </is>
      </c>
      <c r="B638" s="1" t="n">
        <v>45512</v>
      </c>
      <c r="C638" s="1" t="n">
        <v>45761</v>
      </c>
      <c r="D638" t="inlineStr">
        <is>
          <t>DALARNAS LÄN</t>
        </is>
      </c>
      <c r="E638" t="inlineStr">
        <is>
          <t>ORSA</t>
        </is>
      </c>
      <c r="G638" t="n">
        <v>1</v>
      </c>
      <c r="H638" t="n">
        <v>0</v>
      </c>
      <c r="I638" t="n">
        <v>0</v>
      </c>
      <c r="J638" t="n">
        <v>0</v>
      </c>
      <c r="K638" t="n">
        <v>0</v>
      </c>
      <c r="L638" t="n">
        <v>0</v>
      </c>
      <c r="M638" t="n">
        <v>0</v>
      </c>
      <c r="N638" t="n">
        <v>0</v>
      </c>
      <c r="O638" t="n">
        <v>0</v>
      </c>
      <c r="P638" t="n">
        <v>0</v>
      </c>
      <c r="Q638" t="n">
        <v>0</v>
      </c>
      <c r="R638" s="2" t="inlineStr"/>
    </row>
    <row r="639" ht="15" customHeight="1">
      <c r="A639" t="inlineStr">
        <is>
          <t>A 33170-2024</t>
        </is>
      </c>
      <c r="B639" s="1" t="n">
        <v>45518</v>
      </c>
      <c r="C639" s="1" t="n">
        <v>45761</v>
      </c>
      <c r="D639" t="inlineStr">
        <is>
          <t>DALARNAS LÄN</t>
        </is>
      </c>
      <c r="E639" t="inlineStr">
        <is>
          <t>ORSA</t>
        </is>
      </c>
      <c r="F639" t="inlineStr">
        <is>
          <t>Allmännings- och besparingsskogar</t>
        </is>
      </c>
      <c r="G639" t="n">
        <v>4.5</v>
      </c>
      <c r="H639" t="n">
        <v>0</v>
      </c>
      <c r="I639" t="n">
        <v>0</v>
      </c>
      <c r="J639" t="n">
        <v>0</v>
      </c>
      <c r="K639" t="n">
        <v>0</v>
      </c>
      <c r="L639" t="n">
        <v>0</v>
      </c>
      <c r="M639" t="n">
        <v>0</v>
      </c>
      <c r="N639" t="n">
        <v>0</v>
      </c>
      <c r="O639" t="n">
        <v>0</v>
      </c>
      <c r="P639" t="n">
        <v>0</v>
      </c>
      <c r="Q639" t="n">
        <v>0</v>
      </c>
      <c r="R639" s="2" t="inlineStr"/>
    </row>
    <row r="640" ht="15" customHeight="1">
      <c r="A640" t="inlineStr">
        <is>
          <t>A 33473-2024</t>
        </is>
      </c>
      <c r="B640" s="1" t="n">
        <v>45519</v>
      </c>
      <c r="C640" s="1" t="n">
        <v>45761</v>
      </c>
      <c r="D640" t="inlineStr">
        <is>
          <t>DALARNAS LÄN</t>
        </is>
      </c>
      <c r="E640" t="inlineStr">
        <is>
          <t>ORSA</t>
        </is>
      </c>
      <c r="F640" t="inlineStr">
        <is>
          <t>Övriga statliga verk och myndigheter</t>
        </is>
      </c>
      <c r="G640" t="n">
        <v>2.3</v>
      </c>
      <c r="H640" t="n">
        <v>0</v>
      </c>
      <c r="I640" t="n">
        <v>0</v>
      </c>
      <c r="J640" t="n">
        <v>0</v>
      </c>
      <c r="K640" t="n">
        <v>0</v>
      </c>
      <c r="L640" t="n">
        <v>0</v>
      </c>
      <c r="M640" t="n">
        <v>0</v>
      </c>
      <c r="N640" t="n">
        <v>0</v>
      </c>
      <c r="O640" t="n">
        <v>0</v>
      </c>
      <c r="P640" t="n">
        <v>0</v>
      </c>
      <c r="Q640" t="n">
        <v>0</v>
      </c>
      <c r="R640" s="2" t="inlineStr"/>
    </row>
    <row r="641" ht="15" customHeight="1">
      <c r="A641" t="inlineStr">
        <is>
          <t>A 33458-2024</t>
        </is>
      </c>
      <c r="B641" s="1" t="n">
        <v>45519</v>
      </c>
      <c r="C641" s="1" t="n">
        <v>45761</v>
      </c>
      <c r="D641" t="inlineStr">
        <is>
          <t>DALARNAS LÄN</t>
        </is>
      </c>
      <c r="E641" t="inlineStr">
        <is>
          <t>ORSA</t>
        </is>
      </c>
      <c r="F641" t="inlineStr">
        <is>
          <t>Övriga statliga verk och myndigheter</t>
        </is>
      </c>
      <c r="G641" t="n">
        <v>0.9</v>
      </c>
      <c r="H641" t="n">
        <v>0</v>
      </c>
      <c r="I641" t="n">
        <v>0</v>
      </c>
      <c r="J641" t="n">
        <v>0</v>
      </c>
      <c r="K641" t="n">
        <v>0</v>
      </c>
      <c r="L641" t="n">
        <v>0</v>
      </c>
      <c r="M641" t="n">
        <v>0</v>
      </c>
      <c r="N641" t="n">
        <v>0</v>
      </c>
      <c r="O641" t="n">
        <v>0</v>
      </c>
      <c r="P641" t="n">
        <v>0</v>
      </c>
      <c r="Q641" t="n">
        <v>0</v>
      </c>
      <c r="R641" s="2" t="inlineStr"/>
    </row>
    <row r="642" ht="15" customHeight="1">
      <c r="A642" t="inlineStr">
        <is>
          <t>A 33488-2024</t>
        </is>
      </c>
      <c r="B642" s="1" t="n">
        <v>45519</v>
      </c>
      <c r="C642" s="1" t="n">
        <v>45761</v>
      </c>
      <c r="D642" t="inlineStr">
        <is>
          <t>DALARNAS LÄN</t>
        </is>
      </c>
      <c r="E642" t="inlineStr">
        <is>
          <t>ORSA</t>
        </is>
      </c>
      <c r="F642" t="inlineStr">
        <is>
          <t>Övriga statliga verk och myndigheter</t>
        </is>
      </c>
      <c r="G642" t="n">
        <v>0.5</v>
      </c>
      <c r="H642" t="n">
        <v>0</v>
      </c>
      <c r="I642" t="n">
        <v>0</v>
      </c>
      <c r="J642" t="n">
        <v>0</v>
      </c>
      <c r="K642" t="n">
        <v>0</v>
      </c>
      <c r="L642" t="n">
        <v>0</v>
      </c>
      <c r="M642" t="n">
        <v>0</v>
      </c>
      <c r="N642" t="n">
        <v>0</v>
      </c>
      <c r="O642" t="n">
        <v>0</v>
      </c>
      <c r="P642" t="n">
        <v>0</v>
      </c>
      <c r="Q642" t="n">
        <v>0</v>
      </c>
      <c r="R642" s="2" t="inlineStr"/>
    </row>
    <row r="643" ht="15" customHeight="1">
      <c r="A643" t="inlineStr">
        <is>
          <t>A 33808-2024</t>
        </is>
      </c>
      <c r="B643" s="1" t="n">
        <v>45520</v>
      </c>
      <c r="C643" s="1" t="n">
        <v>45761</v>
      </c>
      <c r="D643" t="inlineStr">
        <is>
          <t>DALARNAS LÄN</t>
        </is>
      </c>
      <c r="E643" t="inlineStr">
        <is>
          <t>ORSA</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33820-2024</t>
        </is>
      </c>
      <c r="B644" s="1" t="n">
        <v>45520</v>
      </c>
      <c r="C644" s="1" t="n">
        <v>45761</v>
      </c>
      <c r="D644" t="inlineStr">
        <is>
          <t>DALARNAS LÄN</t>
        </is>
      </c>
      <c r="E644" t="inlineStr">
        <is>
          <t>ORSA</t>
        </is>
      </c>
      <c r="F644" t="inlineStr">
        <is>
          <t>Bergvik skog öst AB</t>
        </is>
      </c>
      <c r="G644" t="n">
        <v>4.5</v>
      </c>
      <c r="H644" t="n">
        <v>0</v>
      </c>
      <c r="I644" t="n">
        <v>0</v>
      </c>
      <c r="J644" t="n">
        <v>0</v>
      </c>
      <c r="K644" t="n">
        <v>0</v>
      </c>
      <c r="L644" t="n">
        <v>0</v>
      </c>
      <c r="M644" t="n">
        <v>0</v>
      </c>
      <c r="N644" t="n">
        <v>0</v>
      </c>
      <c r="O644" t="n">
        <v>0</v>
      </c>
      <c r="P644" t="n">
        <v>0</v>
      </c>
      <c r="Q644" t="n">
        <v>0</v>
      </c>
      <c r="R644" s="2" t="inlineStr"/>
    </row>
    <row r="645" ht="15" customHeight="1">
      <c r="A645" t="inlineStr">
        <is>
          <t>A 34374-2024</t>
        </is>
      </c>
      <c r="B645" s="1" t="n">
        <v>45525</v>
      </c>
      <c r="C645" s="1" t="n">
        <v>45761</v>
      </c>
      <c r="D645" t="inlineStr">
        <is>
          <t>DALARNAS LÄN</t>
        </is>
      </c>
      <c r="E645" t="inlineStr">
        <is>
          <t>ORSA</t>
        </is>
      </c>
      <c r="G645" t="n">
        <v>0.5</v>
      </c>
      <c r="H645" t="n">
        <v>0</v>
      </c>
      <c r="I645" t="n">
        <v>0</v>
      </c>
      <c r="J645" t="n">
        <v>0</v>
      </c>
      <c r="K645" t="n">
        <v>0</v>
      </c>
      <c r="L645" t="n">
        <v>0</v>
      </c>
      <c r="M645" t="n">
        <v>0</v>
      </c>
      <c r="N645" t="n">
        <v>0</v>
      </c>
      <c r="O645" t="n">
        <v>0</v>
      </c>
      <c r="P645" t="n">
        <v>0</v>
      </c>
      <c r="Q645" t="n">
        <v>0</v>
      </c>
      <c r="R645" s="2" t="inlineStr"/>
    </row>
    <row r="646" ht="15" customHeight="1">
      <c r="A646" t="inlineStr">
        <is>
          <t>A 34431-2024</t>
        </is>
      </c>
      <c r="B646" s="1" t="n">
        <v>45525</v>
      </c>
      <c r="C646" s="1" t="n">
        <v>45761</v>
      </c>
      <c r="D646" t="inlineStr">
        <is>
          <t>DALARNAS LÄN</t>
        </is>
      </c>
      <c r="E646" t="inlineStr">
        <is>
          <t>ORSA</t>
        </is>
      </c>
      <c r="F646" t="inlineStr">
        <is>
          <t>Allmännings- och besparingsskogar</t>
        </is>
      </c>
      <c r="G646" t="n">
        <v>3.3</v>
      </c>
      <c r="H646" t="n">
        <v>0</v>
      </c>
      <c r="I646" t="n">
        <v>0</v>
      </c>
      <c r="J646" t="n">
        <v>0</v>
      </c>
      <c r="K646" t="n">
        <v>0</v>
      </c>
      <c r="L646" t="n">
        <v>0</v>
      </c>
      <c r="M646" t="n">
        <v>0</v>
      </c>
      <c r="N646" t="n">
        <v>0</v>
      </c>
      <c r="O646" t="n">
        <v>0</v>
      </c>
      <c r="P646" t="n">
        <v>0</v>
      </c>
      <c r="Q646" t="n">
        <v>0</v>
      </c>
      <c r="R646" s="2" t="inlineStr"/>
    </row>
    <row r="647" ht="15" customHeight="1">
      <c r="A647" t="inlineStr">
        <is>
          <t>A 34503-2024</t>
        </is>
      </c>
      <c r="B647" s="1" t="n">
        <v>45525</v>
      </c>
      <c r="C647" s="1" t="n">
        <v>45761</v>
      </c>
      <c r="D647" t="inlineStr">
        <is>
          <t>DALARNAS LÄN</t>
        </is>
      </c>
      <c r="E647" t="inlineStr">
        <is>
          <t>ORSA</t>
        </is>
      </c>
      <c r="G647" t="n">
        <v>1.5</v>
      </c>
      <c r="H647" t="n">
        <v>0</v>
      </c>
      <c r="I647" t="n">
        <v>0</v>
      </c>
      <c r="J647" t="n">
        <v>0</v>
      </c>
      <c r="K647" t="n">
        <v>0</v>
      </c>
      <c r="L647" t="n">
        <v>0</v>
      </c>
      <c r="M647" t="n">
        <v>0</v>
      </c>
      <c r="N647" t="n">
        <v>0</v>
      </c>
      <c r="O647" t="n">
        <v>0</v>
      </c>
      <c r="P647" t="n">
        <v>0</v>
      </c>
      <c r="Q647" t="n">
        <v>0</v>
      </c>
      <c r="R647" s="2" t="inlineStr"/>
    </row>
    <row r="648" ht="15" customHeight="1">
      <c r="A648" t="inlineStr">
        <is>
          <t>A 35727-2024</t>
        </is>
      </c>
      <c r="B648" s="1" t="n">
        <v>45532</v>
      </c>
      <c r="C648" s="1" t="n">
        <v>45761</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35730-2024</t>
        </is>
      </c>
      <c r="B649" s="1" t="n">
        <v>45532</v>
      </c>
      <c r="C649" s="1" t="n">
        <v>45761</v>
      </c>
      <c r="D649" t="inlineStr">
        <is>
          <t>DALARNAS LÄN</t>
        </is>
      </c>
      <c r="E649" t="inlineStr">
        <is>
          <t>ORSA</t>
        </is>
      </c>
      <c r="G649" t="n">
        <v>2.3</v>
      </c>
      <c r="H649" t="n">
        <v>0</v>
      </c>
      <c r="I649" t="n">
        <v>0</v>
      </c>
      <c r="J649" t="n">
        <v>0</v>
      </c>
      <c r="K649" t="n">
        <v>0</v>
      </c>
      <c r="L649" t="n">
        <v>0</v>
      </c>
      <c r="M649" t="n">
        <v>0</v>
      </c>
      <c r="N649" t="n">
        <v>0</v>
      </c>
      <c r="O649" t="n">
        <v>0</v>
      </c>
      <c r="P649" t="n">
        <v>0</v>
      </c>
      <c r="Q649" t="n">
        <v>0</v>
      </c>
      <c r="R649" s="2" t="inlineStr"/>
    </row>
    <row r="650" ht="15" customHeight="1">
      <c r="A650" t="inlineStr">
        <is>
          <t>A 36236-2024</t>
        </is>
      </c>
      <c r="B650" s="1" t="n">
        <v>45534</v>
      </c>
      <c r="C650" s="1" t="n">
        <v>45761</v>
      </c>
      <c r="D650" t="inlineStr">
        <is>
          <t>DALARNAS LÄN</t>
        </is>
      </c>
      <c r="E650" t="inlineStr">
        <is>
          <t>ORSA</t>
        </is>
      </c>
      <c r="F650" t="inlineStr">
        <is>
          <t>Allmännings- och besparingsskogar</t>
        </is>
      </c>
      <c r="G650" t="n">
        <v>3.7</v>
      </c>
      <c r="H650" t="n">
        <v>0</v>
      </c>
      <c r="I650" t="n">
        <v>0</v>
      </c>
      <c r="J650" t="n">
        <v>0</v>
      </c>
      <c r="K650" t="n">
        <v>0</v>
      </c>
      <c r="L650" t="n">
        <v>0</v>
      </c>
      <c r="M650" t="n">
        <v>0</v>
      </c>
      <c r="N650" t="n">
        <v>0</v>
      </c>
      <c r="O650" t="n">
        <v>0</v>
      </c>
      <c r="P650" t="n">
        <v>0</v>
      </c>
      <c r="Q650" t="n">
        <v>0</v>
      </c>
      <c r="R650" s="2" t="inlineStr"/>
    </row>
    <row r="651" ht="15" customHeight="1">
      <c r="A651" t="inlineStr">
        <is>
          <t>A 36682-2024</t>
        </is>
      </c>
      <c r="B651" s="1" t="n">
        <v>45537</v>
      </c>
      <c r="C651" s="1" t="n">
        <v>45761</v>
      </c>
      <c r="D651" t="inlineStr">
        <is>
          <t>DALARNAS LÄN</t>
        </is>
      </c>
      <c r="E651" t="inlineStr">
        <is>
          <t>ORSA</t>
        </is>
      </c>
      <c r="G651" t="n">
        <v>1.2</v>
      </c>
      <c r="H651" t="n">
        <v>0</v>
      </c>
      <c r="I651" t="n">
        <v>0</v>
      </c>
      <c r="J651" t="n">
        <v>0</v>
      </c>
      <c r="K651" t="n">
        <v>0</v>
      </c>
      <c r="L651" t="n">
        <v>0</v>
      </c>
      <c r="M651" t="n">
        <v>0</v>
      </c>
      <c r="N651" t="n">
        <v>0</v>
      </c>
      <c r="O651" t="n">
        <v>0</v>
      </c>
      <c r="P651" t="n">
        <v>0</v>
      </c>
      <c r="Q651" t="n">
        <v>0</v>
      </c>
      <c r="R651" s="2" t="inlineStr"/>
    </row>
    <row r="652" ht="15" customHeight="1">
      <c r="A652" t="inlineStr">
        <is>
          <t>A 36798-2024</t>
        </is>
      </c>
      <c r="B652" s="1" t="n">
        <v>45538</v>
      </c>
      <c r="C652" s="1" t="n">
        <v>45761</v>
      </c>
      <c r="D652" t="inlineStr">
        <is>
          <t>DALARNAS LÄN</t>
        </is>
      </c>
      <c r="E652" t="inlineStr">
        <is>
          <t>ORSA</t>
        </is>
      </c>
      <c r="G652" t="n">
        <v>2.8</v>
      </c>
      <c r="H652" t="n">
        <v>0</v>
      </c>
      <c r="I652" t="n">
        <v>0</v>
      </c>
      <c r="J652" t="n">
        <v>0</v>
      </c>
      <c r="K652" t="n">
        <v>0</v>
      </c>
      <c r="L652" t="n">
        <v>0</v>
      </c>
      <c r="M652" t="n">
        <v>0</v>
      </c>
      <c r="N652" t="n">
        <v>0</v>
      </c>
      <c r="O652" t="n">
        <v>0</v>
      </c>
      <c r="P652" t="n">
        <v>0</v>
      </c>
      <c r="Q652" t="n">
        <v>0</v>
      </c>
      <c r="R652" s="2" t="inlineStr"/>
    </row>
    <row r="653" ht="15" customHeight="1">
      <c r="A653" t="inlineStr">
        <is>
          <t>A 36808-2024</t>
        </is>
      </c>
      <c r="B653" s="1" t="n">
        <v>45538</v>
      </c>
      <c r="C653" s="1" t="n">
        <v>45761</v>
      </c>
      <c r="D653" t="inlineStr">
        <is>
          <t>DALARNAS LÄN</t>
        </is>
      </c>
      <c r="E653" t="inlineStr">
        <is>
          <t>ORSA</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37836-2024</t>
        </is>
      </c>
      <c r="B654" s="1" t="n">
        <v>45544</v>
      </c>
      <c r="C654" s="1" t="n">
        <v>45761</v>
      </c>
      <c r="D654" t="inlineStr">
        <is>
          <t>DALARNAS LÄN</t>
        </is>
      </c>
      <c r="E654" t="inlineStr">
        <is>
          <t>ORSA</t>
        </is>
      </c>
      <c r="G654" t="n">
        <v>2.3</v>
      </c>
      <c r="H654" t="n">
        <v>0</v>
      </c>
      <c r="I654" t="n">
        <v>0</v>
      </c>
      <c r="J654" t="n">
        <v>0</v>
      </c>
      <c r="K654" t="n">
        <v>0</v>
      </c>
      <c r="L654" t="n">
        <v>0</v>
      </c>
      <c r="M654" t="n">
        <v>0</v>
      </c>
      <c r="N654" t="n">
        <v>0</v>
      </c>
      <c r="O654" t="n">
        <v>0</v>
      </c>
      <c r="P654" t="n">
        <v>0</v>
      </c>
      <c r="Q654" t="n">
        <v>0</v>
      </c>
      <c r="R654" s="2" t="inlineStr"/>
    </row>
    <row r="655" ht="15" customHeight="1">
      <c r="A655" t="inlineStr">
        <is>
          <t>A 37852-2024</t>
        </is>
      </c>
      <c r="B655" s="1" t="n">
        <v>45544</v>
      </c>
      <c r="C655" s="1" t="n">
        <v>45761</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37981-2024</t>
        </is>
      </c>
      <c r="B656" s="1" t="n">
        <v>45544</v>
      </c>
      <c r="C656" s="1" t="n">
        <v>45761</v>
      </c>
      <c r="D656" t="inlineStr">
        <is>
          <t>DALARNAS LÄN</t>
        </is>
      </c>
      <c r="E656" t="inlineStr">
        <is>
          <t>ORSA</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37830-2024</t>
        </is>
      </c>
      <c r="B657" s="1" t="n">
        <v>45544</v>
      </c>
      <c r="C657" s="1" t="n">
        <v>45761</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37838-2024</t>
        </is>
      </c>
      <c r="B658" s="1" t="n">
        <v>45544</v>
      </c>
      <c r="C658" s="1" t="n">
        <v>45761</v>
      </c>
      <c r="D658" t="inlineStr">
        <is>
          <t>DALARNAS LÄN</t>
        </is>
      </c>
      <c r="E658" t="inlineStr">
        <is>
          <t>ORSA</t>
        </is>
      </c>
      <c r="G658" t="n">
        <v>2.9</v>
      </c>
      <c r="H658" t="n">
        <v>0</v>
      </c>
      <c r="I658" t="n">
        <v>0</v>
      </c>
      <c r="J658" t="n">
        <v>0</v>
      </c>
      <c r="K658" t="n">
        <v>0</v>
      </c>
      <c r="L658" t="n">
        <v>0</v>
      </c>
      <c r="M658" t="n">
        <v>0</v>
      </c>
      <c r="N658" t="n">
        <v>0</v>
      </c>
      <c r="O658" t="n">
        <v>0</v>
      </c>
      <c r="P658" t="n">
        <v>0</v>
      </c>
      <c r="Q658" t="n">
        <v>0</v>
      </c>
      <c r="R658" s="2" t="inlineStr"/>
    </row>
    <row r="659" ht="15" customHeight="1">
      <c r="A659" t="inlineStr">
        <is>
          <t>A 38777-2024</t>
        </is>
      </c>
      <c r="B659" s="1" t="n">
        <v>45547</v>
      </c>
      <c r="C659" s="1" t="n">
        <v>45761</v>
      </c>
      <c r="D659" t="inlineStr">
        <is>
          <t>DALARNAS LÄN</t>
        </is>
      </c>
      <c r="E659" t="inlineStr">
        <is>
          <t>ORSA</t>
        </is>
      </c>
      <c r="G659" t="n">
        <v>3.3</v>
      </c>
      <c r="H659" t="n">
        <v>0</v>
      </c>
      <c r="I659" t="n">
        <v>0</v>
      </c>
      <c r="J659" t="n">
        <v>0</v>
      </c>
      <c r="K659" t="n">
        <v>0</v>
      </c>
      <c r="L659" t="n">
        <v>0</v>
      </c>
      <c r="M659" t="n">
        <v>0</v>
      </c>
      <c r="N659" t="n">
        <v>0</v>
      </c>
      <c r="O659" t="n">
        <v>0</v>
      </c>
      <c r="P659" t="n">
        <v>0</v>
      </c>
      <c r="Q659" t="n">
        <v>0</v>
      </c>
      <c r="R659" s="2" t="inlineStr"/>
    </row>
    <row r="660" ht="15" customHeight="1">
      <c r="A660" t="inlineStr">
        <is>
          <t>A 39336-2024</t>
        </is>
      </c>
      <c r="B660" s="1" t="n">
        <v>45551</v>
      </c>
      <c r="C660" s="1" t="n">
        <v>45761</v>
      </c>
      <c r="D660" t="inlineStr">
        <is>
          <t>DALARNAS LÄN</t>
        </is>
      </c>
      <c r="E660" t="inlineStr">
        <is>
          <t>ORSA</t>
        </is>
      </c>
      <c r="F660" t="inlineStr">
        <is>
          <t>Allmännings- och besparingsskogar</t>
        </is>
      </c>
      <c r="G660" t="n">
        <v>5.2</v>
      </c>
      <c r="H660" t="n">
        <v>0</v>
      </c>
      <c r="I660" t="n">
        <v>0</v>
      </c>
      <c r="J660" t="n">
        <v>0</v>
      </c>
      <c r="K660" t="n">
        <v>0</v>
      </c>
      <c r="L660" t="n">
        <v>0</v>
      </c>
      <c r="M660" t="n">
        <v>0</v>
      </c>
      <c r="N660" t="n">
        <v>0</v>
      </c>
      <c r="O660" t="n">
        <v>0</v>
      </c>
      <c r="P660" t="n">
        <v>0</v>
      </c>
      <c r="Q660" t="n">
        <v>0</v>
      </c>
      <c r="R660" s="2" t="inlineStr"/>
    </row>
    <row r="661" ht="15" customHeight="1">
      <c r="A661" t="inlineStr">
        <is>
          <t>A 39475-2024</t>
        </is>
      </c>
      <c r="B661" s="1" t="n">
        <v>45551</v>
      </c>
      <c r="C661" s="1" t="n">
        <v>45761</v>
      </c>
      <c r="D661" t="inlineStr">
        <is>
          <t>DALARNAS LÄN</t>
        </is>
      </c>
      <c r="E661" t="inlineStr">
        <is>
          <t>ORSA</t>
        </is>
      </c>
      <c r="F661" t="inlineStr">
        <is>
          <t>Bergvik skog öst AB</t>
        </is>
      </c>
      <c r="G661" t="n">
        <v>11.4</v>
      </c>
      <c r="H661" t="n">
        <v>0</v>
      </c>
      <c r="I661" t="n">
        <v>0</v>
      </c>
      <c r="J661" t="n">
        <v>0</v>
      </c>
      <c r="K661" t="n">
        <v>0</v>
      </c>
      <c r="L661" t="n">
        <v>0</v>
      </c>
      <c r="M661" t="n">
        <v>0</v>
      </c>
      <c r="N661" t="n">
        <v>0</v>
      </c>
      <c r="O661" t="n">
        <v>0</v>
      </c>
      <c r="P661" t="n">
        <v>0</v>
      </c>
      <c r="Q661" t="n">
        <v>0</v>
      </c>
      <c r="R661" s="2" t="inlineStr"/>
    </row>
    <row r="662" ht="15" customHeight="1">
      <c r="A662" t="inlineStr">
        <is>
          <t>A 39476-2024</t>
        </is>
      </c>
      <c r="B662" s="1" t="n">
        <v>45551</v>
      </c>
      <c r="C662" s="1" t="n">
        <v>45761</v>
      </c>
      <c r="D662" t="inlineStr">
        <is>
          <t>DALARNAS LÄN</t>
        </is>
      </c>
      <c r="E662" t="inlineStr">
        <is>
          <t>ORSA</t>
        </is>
      </c>
      <c r="F662" t="inlineStr">
        <is>
          <t>Bergvik skog öst AB</t>
        </is>
      </c>
      <c r="G662" t="n">
        <v>3</v>
      </c>
      <c r="H662" t="n">
        <v>0</v>
      </c>
      <c r="I662" t="n">
        <v>0</v>
      </c>
      <c r="J662" t="n">
        <v>0</v>
      </c>
      <c r="K662" t="n">
        <v>0</v>
      </c>
      <c r="L662" t="n">
        <v>0</v>
      </c>
      <c r="M662" t="n">
        <v>0</v>
      </c>
      <c r="N662" t="n">
        <v>0</v>
      </c>
      <c r="O662" t="n">
        <v>0</v>
      </c>
      <c r="P662" t="n">
        <v>0</v>
      </c>
      <c r="Q662" t="n">
        <v>0</v>
      </c>
      <c r="R662" s="2" t="inlineStr"/>
    </row>
    <row r="663" ht="15" customHeight="1">
      <c r="A663" t="inlineStr">
        <is>
          <t>A 40101-2024</t>
        </is>
      </c>
      <c r="B663" s="1" t="n">
        <v>45554</v>
      </c>
      <c r="C663" s="1" t="n">
        <v>45761</v>
      </c>
      <c r="D663" t="inlineStr">
        <is>
          <t>DALARNAS LÄN</t>
        </is>
      </c>
      <c r="E663" t="inlineStr">
        <is>
          <t>ORSA</t>
        </is>
      </c>
      <c r="G663" t="n">
        <v>1.3</v>
      </c>
      <c r="H663" t="n">
        <v>0</v>
      </c>
      <c r="I663" t="n">
        <v>0</v>
      </c>
      <c r="J663" t="n">
        <v>0</v>
      </c>
      <c r="K663" t="n">
        <v>0</v>
      </c>
      <c r="L663" t="n">
        <v>0</v>
      </c>
      <c r="M663" t="n">
        <v>0</v>
      </c>
      <c r="N663" t="n">
        <v>0</v>
      </c>
      <c r="O663" t="n">
        <v>0</v>
      </c>
      <c r="P663" t="n">
        <v>0</v>
      </c>
      <c r="Q663" t="n">
        <v>0</v>
      </c>
      <c r="R663" s="2" t="inlineStr"/>
    </row>
    <row r="664" ht="15" customHeight="1">
      <c r="A664" t="inlineStr">
        <is>
          <t>A 41835-2024</t>
        </is>
      </c>
      <c r="B664" s="1" t="n">
        <v>45561</v>
      </c>
      <c r="C664" s="1" t="n">
        <v>45761</v>
      </c>
      <c r="D664" t="inlineStr">
        <is>
          <t>DALARNAS LÄN</t>
        </is>
      </c>
      <c r="E664" t="inlineStr">
        <is>
          <t>ORSA</t>
        </is>
      </c>
      <c r="G664" t="n">
        <v>0.7</v>
      </c>
      <c r="H664" t="n">
        <v>0</v>
      </c>
      <c r="I664" t="n">
        <v>0</v>
      </c>
      <c r="J664" t="n">
        <v>0</v>
      </c>
      <c r="K664" t="n">
        <v>0</v>
      </c>
      <c r="L664" t="n">
        <v>0</v>
      </c>
      <c r="M664" t="n">
        <v>0</v>
      </c>
      <c r="N664" t="n">
        <v>0</v>
      </c>
      <c r="O664" t="n">
        <v>0</v>
      </c>
      <c r="P664" t="n">
        <v>0</v>
      </c>
      <c r="Q664" t="n">
        <v>0</v>
      </c>
      <c r="R664" s="2" t="inlineStr"/>
    </row>
    <row r="665" ht="15" customHeight="1">
      <c r="A665" t="inlineStr">
        <is>
          <t>A 41832-2024</t>
        </is>
      </c>
      <c r="B665" s="1" t="n">
        <v>45561</v>
      </c>
      <c r="C665" s="1" t="n">
        <v>45761</v>
      </c>
      <c r="D665" t="inlineStr">
        <is>
          <t>DALARNAS LÄN</t>
        </is>
      </c>
      <c r="E665" t="inlineStr">
        <is>
          <t>ORSA</t>
        </is>
      </c>
      <c r="G665" t="n">
        <v>0.5</v>
      </c>
      <c r="H665" t="n">
        <v>0</v>
      </c>
      <c r="I665" t="n">
        <v>0</v>
      </c>
      <c r="J665" t="n">
        <v>0</v>
      </c>
      <c r="K665" t="n">
        <v>0</v>
      </c>
      <c r="L665" t="n">
        <v>0</v>
      </c>
      <c r="M665" t="n">
        <v>0</v>
      </c>
      <c r="N665" t="n">
        <v>0</v>
      </c>
      <c r="O665" t="n">
        <v>0</v>
      </c>
      <c r="P665" t="n">
        <v>0</v>
      </c>
      <c r="Q665" t="n">
        <v>0</v>
      </c>
      <c r="R665" s="2" t="inlineStr"/>
    </row>
    <row r="666" ht="15" customHeight="1">
      <c r="A666" t="inlineStr">
        <is>
          <t>A 42411-2024</t>
        </is>
      </c>
      <c r="B666" s="1" t="n">
        <v>45565</v>
      </c>
      <c r="C666" s="1" t="n">
        <v>45761</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42517-2024</t>
        </is>
      </c>
      <c r="B667" s="1" t="n">
        <v>45565</v>
      </c>
      <c r="C667" s="1" t="n">
        <v>45761</v>
      </c>
      <c r="D667" t="inlineStr">
        <is>
          <t>DALARNAS LÄN</t>
        </is>
      </c>
      <c r="E667" t="inlineStr">
        <is>
          <t>ORSA</t>
        </is>
      </c>
      <c r="G667" t="n">
        <v>3</v>
      </c>
      <c r="H667" t="n">
        <v>0</v>
      </c>
      <c r="I667" t="n">
        <v>0</v>
      </c>
      <c r="J667" t="n">
        <v>0</v>
      </c>
      <c r="K667" t="n">
        <v>0</v>
      </c>
      <c r="L667" t="n">
        <v>0</v>
      </c>
      <c r="M667" t="n">
        <v>0</v>
      </c>
      <c r="N667" t="n">
        <v>0</v>
      </c>
      <c r="O667" t="n">
        <v>0</v>
      </c>
      <c r="P667" t="n">
        <v>0</v>
      </c>
      <c r="Q667" t="n">
        <v>0</v>
      </c>
      <c r="R667" s="2" t="inlineStr"/>
    </row>
    <row r="668" ht="15" customHeight="1">
      <c r="A668" t="inlineStr">
        <is>
          <t>A 42513-2024</t>
        </is>
      </c>
      <c r="B668" s="1" t="n">
        <v>45565</v>
      </c>
      <c r="C668" s="1" t="n">
        <v>45761</v>
      </c>
      <c r="D668" t="inlineStr">
        <is>
          <t>DALARNAS LÄN</t>
        </is>
      </c>
      <c r="E668" t="inlineStr">
        <is>
          <t>ORSA</t>
        </is>
      </c>
      <c r="G668" t="n">
        <v>1.6</v>
      </c>
      <c r="H668" t="n">
        <v>0</v>
      </c>
      <c r="I668" t="n">
        <v>0</v>
      </c>
      <c r="J668" t="n">
        <v>0</v>
      </c>
      <c r="K668" t="n">
        <v>0</v>
      </c>
      <c r="L668" t="n">
        <v>0</v>
      </c>
      <c r="M668" t="n">
        <v>0</v>
      </c>
      <c r="N668" t="n">
        <v>0</v>
      </c>
      <c r="O668" t="n">
        <v>0</v>
      </c>
      <c r="P668" t="n">
        <v>0</v>
      </c>
      <c r="Q668" t="n">
        <v>0</v>
      </c>
      <c r="R668" s="2" t="inlineStr"/>
    </row>
    <row r="669" ht="15" customHeight="1">
      <c r="A669" t="inlineStr">
        <is>
          <t>A 42669-2024</t>
        </is>
      </c>
      <c r="B669" s="1" t="n">
        <v>45566</v>
      </c>
      <c r="C669" s="1" t="n">
        <v>45761</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row r="670" ht="15" customHeight="1">
      <c r="A670" t="inlineStr">
        <is>
          <t>A 43757-2024</t>
        </is>
      </c>
      <c r="B670" s="1" t="n">
        <v>45569</v>
      </c>
      <c r="C670" s="1" t="n">
        <v>45761</v>
      </c>
      <c r="D670" t="inlineStr">
        <is>
          <t>DALARNAS LÄN</t>
        </is>
      </c>
      <c r="E670" t="inlineStr">
        <is>
          <t>ORSA</t>
        </is>
      </c>
      <c r="G670" t="n">
        <v>3.6</v>
      </c>
      <c r="H670" t="n">
        <v>0</v>
      </c>
      <c r="I670" t="n">
        <v>0</v>
      </c>
      <c r="J670" t="n">
        <v>0</v>
      </c>
      <c r="K670" t="n">
        <v>0</v>
      </c>
      <c r="L670" t="n">
        <v>0</v>
      </c>
      <c r="M670" t="n">
        <v>0</v>
      </c>
      <c r="N670" t="n">
        <v>0</v>
      </c>
      <c r="O670" t="n">
        <v>0</v>
      </c>
      <c r="P670" t="n">
        <v>0</v>
      </c>
      <c r="Q670" t="n">
        <v>0</v>
      </c>
      <c r="R670" s="2" t="inlineStr"/>
    </row>
    <row r="671" ht="15" customHeight="1">
      <c r="A671" t="inlineStr">
        <is>
          <t>A 43759-2024</t>
        </is>
      </c>
      <c r="B671" s="1" t="n">
        <v>45569</v>
      </c>
      <c r="C671" s="1" t="n">
        <v>45761</v>
      </c>
      <c r="D671" t="inlineStr">
        <is>
          <t>DALARNAS LÄN</t>
        </is>
      </c>
      <c r="E671" t="inlineStr">
        <is>
          <t>ORSA</t>
        </is>
      </c>
      <c r="G671" t="n">
        <v>2.1</v>
      </c>
      <c r="H671" t="n">
        <v>0</v>
      </c>
      <c r="I671" t="n">
        <v>0</v>
      </c>
      <c r="J671" t="n">
        <v>0</v>
      </c>
      <c r="K671" t="n">
        <v>0</v>
      </c>
      <c r="L671" t="n">
        <v>0</v>
      </c>
      <c r="M671" t="n">
        <v>0</v>
      </c>
      <c r="N671" t="n">
        <v>0</v>
      </c>
      <c r="O671" t="n">
        <v>0</v>
      </c>
      <c r="P671" t="n">
        <v>0</v>
      </c>
      <c r="Q671" t="n">
        <v>0</v>
      </c>
      <c r="R671" s="2" t="inlineStr"/>
    </row>
    <row r="672" ht="15" customHeight="1">
      <c r="A672" t="inlineStr">
        <is>
          <t>A 45096-2024</t>
        </is>
      </c>
      <c r="B672" s="1" t="n">
        <v>45575</v>
      </c>
      <c r="C672" s="1" t="n">
        <v>45761</v>
      </c>
      <c r="D672" t="inlineStr">
        <is>
          <t>DALARNAS LÄN</t>
        </is>
      </c>
      <c r="E672" t="inlineStr">
        <is>
          <t>ORSA</t>
        </is>
      </c>
      <c r="G672" t="n">
        <v>13.4</v>
      </c>
      <c r="H672" t="n">
        <v>0</v>
      </c>
      <c r="I672" t="n">
        <v>0</v>
      </c>
      <c r="J672" t="n">
        <v>0</v>
      </c>
      <c r="K672" t="n">
        <v>0</v>
      </c>
      <c r="L672" t="n">
        <v>0</v>
      </c>
      <c r="M672" t="n">
        <v>0</v>
      </c>
      <c r="N672" t="n">
        <v>0</v>
      </c>
      <c r="O672" t="n">
        <v>0</v>
      </c>
      <c r="P672" t="n">
        <v>0</v>
      </c>
      <c r="Q672" t="n">
        <v>0</v>
      </c>
      <c r="R672" s="2" t="inlineStr"/>
    </row>
    <row r="673" ht="15" customHeight="1">
      <c r="A673" t="inlineStr">
        <is>
          <t>A 44904-2024</t>
        </is>
      </c>
      <c r="B673" s="1" t="n">
        <v>45575</v>
      </c>
      <c r="C673" s="1" t="n">
        <v>45761</v>
      </c>
      <c r="D673" t="inlineStr">
        <is>
          <t>DALARNAS LÄN</t>
        </is>
      </c>
      <c r="E673" t="inlineStr">
        <is>
          <t>ORSA</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44909-2024</t>
        </is>
      </c>
      <c r="B674" s="1" t="n">
        <v>45575</v>
      </c>
      <c r="C674" s="1" t="n">
        <v>45761</v>
      </c>
      <c r="D674" t="inlineStr">
        <is>
          <t>DALARNAS LÄN</t>
        </is>
      </c>
      <c r="E674" t="inlineStr">
        <is>
          <t>ORSA</t>
        </is>
      </c>
      <c r="F674" t="inlineStr">
        <is>
          <t>Bergvik skog öst AB</t>
        </is>
      </c>
      <c r="G674" t="n">
        <v>0.7</v>
      </c>
      <c r="H674" t="n">
        <v>0</v>
      </c>
      <c r="I674" t="n">
        <v>0</v>
      </c>
      <c r="J674" t="n">
        <v>0</v>
      </c>
      <c r="K674" t="n">
        <v>0</v>
      </c>
      <c r="L674" t="n">
        <v>0</v>
      </c>
      <c r="M674" t="n">
        <v>0</v>
      </c>
      <c r="N674" t="n">
        <v>0</v>
      </c>
      <c r="O674" t="n">
        <v>0</v>
      </c>
      <c r="P674" t="n">
        <v>0</v>
      </c>
      <c r="Q674" t="n">
        <v>0</v>
      </c>
      <c r="R674" s="2" t="inlineStr"/>
    </row>
    <row r="675" ht="15" customHeight="1">
      <c r="A675" t="inlineStr">
        <is>
          <t>A 45028-2024</t>
        </is>
      </c>
      <c r="B675" s="1" t="n">
        <v>45575</v>
      </c>
      <c r="C675" s="1" t="n">
        <v>45761</v>
      </c>
      <c r="D675" t="inlineStr">
        <is>
          <t>DALARNAS LÄN</t>
        </is>
      </c>
      <c r="E675" t="inlineStr">
        <is>
          <t>ORSA</t>
        </is>
      </c>
      <c r="G675" t="n">
        <v>2.4</v>
      </c>
      <c r="H675" t="n">
        <v>0</v>
      </c>
      <c r="I675" t="n">
        <v>0</v>
      </c>
      <c r="J675" t="n">
        <v>0</v>
      </c>
      <c r="K675" t="n">
        <v>0</v>
      </c>
      <c r="L675" t="n">
        <v>0</v>
      </c>
      <c r="M675" t="n">
        <v>0</v>
      </c>
      <c r="N675" t="n">
        <v>0</v>
      </c>
      <c r="O675" t="n">
        <v>0</v>
      </c>
      <c r="P675" t="n">
        <v>0</v>
      </c>
      <c r="Q675" t="n">
        <v>0</v>
      </c>
      <c r="R675" s="2" t="inlineStr"/>
    </row>
    <row r="676" ht="15" customHeight="1">
      <c r="A676" t="inlineStr">
        <is>
          <t>A 45020-2024</t>
        </is>
      </c>
      <c r="B676" s="1" t="n">
        <v>45575</v>
      </c>
      <c r="C676" s="1" t="n">
        <v>45761</v>
      </c>
      <c r="D676" t="inlineStr">
        <is>
          <t>DALARNAS LÄN</t>
        </is>
      </c>
      <c r="E676" t="inlineStr">
        <is>
          <t>ORSA</t>
        </is>
      </c>
      <c r="G676" t="n">
        <v>5.1</v>
      </c>
      <c r="H676" t="n">
        <v>0</v>
      </c>
      <c r="I676" t="n">
        <v>0</v>
      </c>
      <c r="J676" t="n">
        <v>0</v>
      </c>
      <c r="K676" t="n">
        <v>0</v>
      </c>
      <c r="L676" t="n">
        <v>0</v>
      </c>
      <c r="M676" t="n">
        <v>0</v>
      </c>
      <c r="N676" t="n">
        <v>0</v>
      </c>
      <c r="O676" t="n">
        <v>0</v>
      </c>
      <c r="P676" t="n">
        <v>0</v>
      </c>
      <c r="Q676" t="n">
        <v>0</v>
      </c>
      <c r="R676" s="2" t="inlineStr"/>
    </row>
    <row r="677" ht="15" customHeight="1">
      <c r="A677" t="inlineStr">
        <is>
          <t>A 46454-2024</t>
        </is>
      </c>
      <c r="B677" s="1" t="n">
        <v>45582</v>
      </c>
      <c r="C677" s="1" t="n">
        <v>45761</v>
      </c>
      <c r="D677" t="inlineStr">
        <is>
          <t>DALARNAS LÄN</t>
        </is>
      </c>
      <c r="E677" t="inlineStr">
        <is>
          <t>ORSA</t>
        </is>
      </c>
      <c r="F677" t="inlineStr">
        <is>
          <t>Övriga statliga verk och myndigheter</t>
        </is>
      </c>
      <c r="G677" t="n">
        <v>1</v>
      </c>
      <c r="H677" t="n">
        <v>0</v>
      </c>
      <c r="I677" t="n">
        <v>0</v>
      </c>
      <c r="J677" t="n">
        <v>0</v>
      </c>
      <c r="K677" t="n">
        <v>0</v>
      </c>
      <c r="L677" t="n">
        <v>0</v>
      </c>
      <c r="M677" t="n">
        <v>0</v>
      </c>
      <c r="N677" t="n">
        <v>0</v>
      </c>
      <c r="O677" t="n">
        <v>0</v>
      </c>
      <c r="P677" t="n">
        <v>0</v>
      </c>
      <c r="Q677" t="n">
        <v>0</v>
      </c>
      <c r="R677" s="2" t="inlineStr"/>
    </row>
    <row r="678" ht="15" customHeight="1">
      <c r="A678" t="inlineStr">
        <is>
          <t>A 46606-2024</t>
        </is>
      </c>
      <c r="B678" s="1" t="n">
        <v>45582</v>
      </c>
      <c r="C678" s="1" t="n">
        <v>45761</v>
      </c>
      <c r="D678" t="inlineStr">
        <is>
          <t>DALARNAS LÄN</t>
        </is>
      </c>
      <c r="E678" t="inlineStr">
        <is>
          <t>ORSA</t>
        </is>
      </c>
      <c r="G678" t="n">
        <v>1.7</v>
      </c>
      <c r="H678" t="n">
        <v>0</v>
      </c>
      <c r="I678" t="n">
        <v>0</v>
      </c>
      <c r="J678" t="n">
        <v>0</v>
      </c>
      <c r="K678" t="n">
        <v>0</v>
      </c>
      <c r="L678" t="n">
        <v>0</v>
      </c>
      <c r="M678" t="n">
        <v>0</v>
      </c>
      <c r="N678" t="n">
        <v>0</v>
      </c>
      <c r="O678" t="n">
        <v>0</v>
      </c>
      <c r="P678" t="n">
        <v>0</v>
      </c>
      <c r="Q678" t="n">
        <v>0</v>
      </c>
      <c r="R678" s="2" t="inlineStr"/>
    </row>
    <row r="679" ht="15" customHeight="1">
      <c r="A679" t="inlineStr">
        <is>
          <t>A 46939-2024</t>
        </is>
      </c>
      <c r="B679" s="1" t="n">
        <v>45585</v>
      </c>
      <c r="C679" s="1" t="n">
        <v>45761</v>
      </c>
      <c r="D679" t="inlineStr">
        <is>
          <t>DALARNAS LÄN</t>
        </is>
      </c>
      <c r="E679" t="inlineStr">
        <is>
          <t>ORSA</t>
        </is>
      </c>
      <c r="F679" t="inlineStr">
        <is>
          <t>Bergvik skog öst AB</t>
        </is>
      </c>
      <c r="G679" t="n">
        <v>3.7</v>
      </c>
      <c r="H679" t="n">
        <v>0</v>
      </c>
      <c r="I679" t="n">
        <v>0</v>
      </c>
      <c r="J679" t="n">
        <v>0</v>
      </c>
      <c r="K679" t="n">
        <v>0</v>
      </c>
      <c r="L679" t="n">
        <v>0</v>
      </c>
      <c r="M679" t="n">
        <v>0</v>
      </c>
      <c r="N679" t="n">
        <v>0</v>
      </c>
      <c r="O679" t="n">
        <v>0</v>
      </c>
      <c r="P679" t="n">
        <v>0</v>
      </c>
      <c r="Q679" t="n">
        <v>0</v>
      </c>
      <c r="R679" s="2" t="inlineStr"/>
    </row>
    <row r="680" ht="15" customHeight="1">
      <c r="A680" t="inlineStr">
        <is>
          <t>A 46938-2024</t>
        </is>
      </c>
      <c r="B680" s="1" t="n">
        <v>45585</v>
      </c>
      <c r="C680" s="1" t="n">
        <v>45761</v>
      </c>
      <c r="D680" t="inlineStr">
        <is>
          <t>DALARNAS LÄN</t>
        </is>
      </c>
      <c r="E680" t="inlineStr">
        <is>
          <t>ORSA</t>
        </is>
      </c>
      <c r="F680" t="inlineStr">
        <is>
          <t>Bergvik skog öst AB</t>
        </is>
      </c>
      <c r="G680" t="n">
        <v>3.3</v>
      </c>
      <c r="H680" t="n">
        <v>0</v>
      </c>
      <c r="I680" t="n">
        <v>0</v>
      </c>
      <c r="J680" t="n">
        <v>0</v>
      </c>
      <c r="K680" t="n">
        <v>0</v>
      </c>
      <c r="L680" t="n">
        <v>0</v>
      </c>
      <c r="M680" t="n">
        <v>0</v>
      </c>
      <c r="N680" t="n">
        <v>0</v>
      </c>
      <c r="O680" t="n">
        <v>0</v>
      </c>
      <c r="P680" t="n">
        <v>0</v>
      </c>
      <c r="Q680" t="n">
        <v>0</v>
      </c>
      <c r="R680" s="2" t="inlineStr"/>
    </row>
    <row r="681" ht="15" customHeight="1">
      <c r="A681" t="inlineStr">
        <is>
          <t>A 47134-2024</t>
        </is>
      </c>
      <c r="B681" s="1" t="n">
        <v>45586</v>
      </c>
      <c r="C681" s="1" t="n">
        <v>45761</v>
      </c>
      <c r="D681" t="inlineStr">
        <is>
          <t>DALARNAS LÄN</t>
        </is>
      </c>
      <c r="E681" t="inlineStr">
        <is>
          <t>ORSA</t>
        </is>
      </c>
      <c r="G681" t="n">
        <v>0.3</v>
      </c>
      <c r="H681" t="n">
        <v>0</v>
      </c>
      <c r="I681" t="n">
        <v>0</v>
      </c>
      <c r="J681" t="n">
        <v>0</v>
      </c>
      <c r="K681" t="n">
        <v>0</v>
      </c>
      <c r="L681" t="n">
        <v>0</v>
      </c>
      <c r="M681" t="n">
        <v>0</v>
      </c>
      <c r="N681" t="n">
        <v>0</v>
      </c>
      <c r="O681" t="n">
        <v>0</v>
      </c>
      <c r="P681" t="n">
        <v>0</v>
      </c>
      <c r="Q681" t="n">
        <v>0</v>
      </c>
      <c r="R681" s="2" t="inlineStr"/>
    </row>
    <row r="682" ht="15" customHeight="1">
      <c r="A682" t="inlineStr">
        <is>
          <t>A 47128-2024</t>
        </is>
      </c>
      <c r="B682" s="1" t="n">
        <v>45586</v>
      </c>
      <c r="C682" s="1" t="n">
        <v>45761</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47315-2024</t>
        </is>
      </c>
      <c r="B683" s="1" t="n">
        <v>45587</v>
      </c>
      <c r="C683" s="1" t="n">
        <v>45761</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47691-2024</t>
        </is>
      </c>
      <c r="B684" s="1" t="n">
        <v>45588</v>
      </c>
      <c r="C684" s="1" t="n">
        <v>45761</v>
      </c>
      <c r="D684" t="inlineStr">
        <is>
          <t>DALARNAS LÄN</t>
        </is>
      </c>
      <c r="E684" t="inlineStr">
        <is>
          <t>ORSA</t>
        </is>
      </c>
      <c r="G684" t="n">
        <v>0.5</v>
      </c>
      <c r="H684" t="n">
        <v>0</v>
      </c>
      <c r="I684" t="n">
        <v>0</v>
      </c>
      <c r="J684" t="n">
        <v>0</v>
      </c>
      <c r="K684" t="n">
        <v>0</v>
      </c>
      <c r="L684" t="n">
        <v>0</v>
      </c>
      <c r="M684" t="n">
        <v>0</v>
      </c>
      <c r="N684" t="n">
        <v>0</v>
      </c>
      <c r="O684" t="n">
        <v>0</v>
      </c>
      <c r="P684" t="n">
        <v>0</v>
      </c>
      <c r="Q684" t="n">
        <v>0</v>
      </c>
      <c r="R684" s="2" t="inlineStr"/>
    </row>
    <row r="685" ht="15" customHeight="1">
      <c r="A685" t="inlineStr">
        <is>
          <t>A 47809-2024</t>
        </is>
      </c>
      <c r="B685" s="1" t="n">
        <v>45588</v>
      </c>
      <c r="C685" s="1" t="n">
        <v>45761</v>
      </c>
      <c r="D685" t="inlineStr">
        <is>
          <t>DALARNAS LÄN</t>
        </is>
      </c>
      <c r="E685" t="inlineStr">
        <is>
          <t>ORSA</t>
        </is>
      </c>
      <c r="G685" t="n">
        <v>1.2</v>
      </c>
      <c r="H685" t="n">
        <v>0</v>
      </c>
      <c r="I685" t="n">
        <v>0</v>
      </c>
      <c r="J685" t="n">
        <v>0</v>
      </c>
      <c r="K685" t="n">
        <v>0</v>
      </c>
      <c r="L685" t="n">
        <v>0</v>
      </c>
      <c r="M685" t="n">
        <v>0</v>
      </c>
      <c r="N685" t="n">
        <v>0</v>
      </c>
      <c r="O685" t="n">
        <v>0</v>
      </c>
      <c r="P685" t="n">
        <v>0</v>
      </c>
      <c r="Q685" t="n">
        <v>0</v>
      </c>
      <c r="R685" s="2" t="inlineStr"/>
    </row>
    <row r="686" ht="15" customHeight="1">
      <c r="A686" t="inlineStr">
        <is>
          <t>A 48500-2024</t>
        </is>
      </c>
      <c r="B686" s="1" t="n">
        <v>45592</v>
      </c>
      <c r="C686" s="1" t="n">
        <v>45761</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45761</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45761</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45761</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45761</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45761</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45761</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45761</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45761</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45761</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45761</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45761</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45761</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45761</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45761</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45761</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45761</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45761</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45761</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45761</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45761</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45761</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45761</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45761</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45761</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45761</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45761</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45761</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45761</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45761</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45761</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45761</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45761</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45761</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45761</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45761</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45761</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45761</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45761</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45761</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45761</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45761</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45761</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45761</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45761</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45761</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45761</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45761</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45761</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45761</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45761</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45761</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45761</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45761</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45761</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45761</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45761</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45761</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45761</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45761</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45761</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45761</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45761</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45761</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45761</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45761</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45761</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45761</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45761</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45761</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45761</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45761</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45761</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45761</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45761</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45761</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45761</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45761</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45761</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45761</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45761</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45761</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45761</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7534-2025</t>
        </is>
      </c>
      <c r="B769" s="1" t="n">
        <v>45705</v>
      </c>
      <c r="C769" s="1" t="n">
        <v>45761</v>
      </c>
      <c r="D769" t="inlineStr">
        <is>
          <t>DALARNAS LÄN</t>
        </is>
      </c>
      <c r="E769" t="inlineStr">
        <is>
          <t>ORSA</t>
        </is>
      </c>
      <c r="G769" t="n">
        <v>1.1</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45761</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10644-2025</t>
        </is>
      </c>
      <c r="B771" s="1" t="n">
        <v>45721</v>
      </c>
      <c r="C771" s="1" t="n">
        <v>45761</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10645-2025</t>
        </is>
      </c>
      <c r="B772" s="1" t="n">
        <v>45721</v>
      </c>
      <c r="C772" s="1" t="n">
        <v>45761</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12101-2025</t>
        </is>
      </c>
      <c r="B773" s="1" t="n">
        <v>45729</v>
      </c>
      <c r="C773" s="1" t="n">
        <v>45761</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row r="774" ht="15" customHeight="1">
      <c r="A774" t="inlineStr">
        <is>
          <t>A 12825-2025</t>
        </is>
      </c>
      <c r="B774" s="1" t="n">
        <v>45733</v>
      </c>
      <c r="C774" s="1" t="n">
        <v>45761</v>
      </c>
      <c r="D774" t="inlineStr">
        <is>
          <t>DALARNAS LÄN</t>
        </is>
      </c>
      <c r="E774" t="inlineStr">
        <is>
          <t>ORSA</t>
        </is>
      </c>
      <c r="G774" t="n">
        <v>4.4</v>
      </c>
      <c r="H774" t="n">
        <v>0</v>
      </c>
      <c r="I774" t="n">
        <v>0</v>
      </c>
      <c r="J774" t="n">
        <v>0</v>
      </c>
      <c r="K774" t="n">
        <v>0</v>
      </c>
      <c r="L774" t="n">
        <v>0</v>
      </c>
      <c r="M774" t="n">
        <v>0</v>
      </c>
      <c r="N774" t="n">
        <v>0</v>
      </c>
      <c r="O774" t="n">
        <v>0</v>
      </c>
      <c r="P774" t="n">
        <v>0</v>
      </c>
      <c r="Q774" t="n">
        <v>0</v>
      </c>
      <c r="R774" s="2" t="inlineStr"/>
    </row>
    <row r="775" ht="15" customHeight="1">
      <c r="A775" t="inlineStr">
        <is>
          <t>A 13575-2025</t>
        </is>
      </c>
      <c r="B775" s="1" t="n">
        <v>45736</v>
      </c>
      <c r="C775" s="1" t="n">
        <v>45761</v>
      </c>
      <c r="D775" t="inlineStr">
        <is>
          <t>DALARNAS LÄN</t>
        </is>
      </c>
      <c r="E775" t="inlineStr">
        <is>
          <t>ORSA</t>
        </is>
      </c>
      <c r="F775" t="inlineStr">
        <is>
          <t>Bergvik skog öst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13580-2025</t>
        </is>
      </c>
      <c r="B776" s="1" t="n">
        <v>45736</v>
      </c>
      <c r="C776" s="1" t="n">
        <v>45761</v>
      </c>
      <c r="D776" t="inlineStr">
        <is>
          <t>DALARNAS LÄN</t>
        </is>
      </c>
      <c r="E776" t="inlineStr">
        <is>
          <t>ORSA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14229-2025</t>
        </is>
      </c>
      <c r="B777" s="1" t="n">
        <v>45740</v>
      </c>
      <c r="C777" s="1" t="n">
        <v>45761</v>
      </c>
      <c r="D777" t="inlineStr">
        <is>
          <t>DALARNAS LÄN</t>
        </is>
      </c>
      <c r="E777" t="inlineStr">
        <is>
          <t>ORSA</t>
        </is>
      </c>
      <c r="G777" t="n">
        <v>11.9</v>
      </c>
      <c r="H777" t="n">
        <v>0</v>
      </c>
      <c r="I777" t="n">
        <v>0</v>
      </c>
      <c r="J777" t="n">
        <v>0</v>
      </c>
      <c r="K777" t="n">
        <v>0</v>
      </c>
      <c r="L777" t="n">
        <v>0</v>
      </c>
      <c r="M777" t="n">
        <v>0</v>
      </c>
      <c r="N777" t="n">
        <v>0</v>
      </c>
      <c r="O777" t="n">
        <v>0</v>
      </c>
      <c r="P777" t="n">
        <v>0</v>
      </c>
      <c r="Q777" t="n">
        <v>0</v>
      </c>
      <c r="R777" s="2" t="inlineStr"/>
    </row>
    <row r="778" ht="15" customHeight="1">
      <c r="A778" t="inlineStr">
        <is>
          <t>A 15114-2025</t>
        </is>
      </c>
      <c r="B778" s="1" t="n">
        <v>45744</v>
      </c>
      <c r="C778" s="1" t="n">
        <v>45761</v>
      </c>
      <c r="D778" t="inlineStr">
        <is>
          <t>DALARNAS LÄN</t>
        </is>
      </c>
      <c r="E778" t="inlineStr">
        <is>
          <t>ORSA</t>
        </is>
      </c>
      <c r="F778" t="inlineStr">
        <is>
          <t>Allmännings- och besparingsskogar</t>
        </is>
      </c>
      <c r="G778" t="n">
        <v>1.9</v>
      </c>
      <c r="H778" t="n">
        <v>0</v>
      </c>
      <c r="I778" t="n">
        <v>0</v>
      </c>
      <c r="J778" t="n">
        <v>0</v>
      </c>
      <c r="K778" t="n">
        <v>0</v>
      </c>
      <c r="L778" t="n">
        <v>0</v>
      </c>
      <c r="M778" t="n">
        <v>0</v>
      </c>
      <c r="N778" t="n">
        <v>0</v>
      </c>
      <c r="O778" t="n">
        <v>0</v>
      </c>
      <c r="P778" t="n">
        <v>0</v>
      </c>
      <c r="Q778" t="n">
        <v>0</v>
      </c>
      <c r="R778" s="2" t="inlineStr"/>
    </row>
    <row r="779" ht="15" customHeight="1">
      <c r="A779" t="inlineStr">
        <is>
          <t>A 15113-2025</t>
        </is>
      </c>
      <c r="B779" s="1" t="n">
        <v>45744</v>
      </c>
      <c r="C779" s="1" t="n">
        <v>45761</v>
      </c>
      <c r="D779" t="inlineStr">
        <is>
          <t>DALARNAS LÄN</t>
        </is>
      </c>
      <c r="E779" t="inlineStr">
        <is>
          <t>ORSA</t>
        </is>
      </c>
      <c r="F779" t="inlineStr">
        <is>
          <t>Allmännings- och besparingsskogar</t>
        </is>
      </c>
      <c r="G779" t="n">
        <v>3.3</v>
      </c>
      <c r="H779" t="n">
        <v>0</v>
      </c>
      <c r="I779" t="n">
        <v>0</v>
      </c>
      <c r="J779" t="n">
        <v>0</v>
      </c>
      <c r="K779" t="n">
        <v>0</v>
      </c>
      <c r="L779" t="n">
        <v>0</v>
      </c>
      <c r="M779" t="n">
        <v>0</v>
      </c>
      <c r="N779" t="n">
        <v>0</v>
      </c>
      <c r="O779" t="n">
        <v>0</v>
      </c>
      <c r="P779" t="n">
        <v>0</v>
      </c>
      <c r="Q779" t="n">
        <v>0</v>
      </c>
      <c r="R779" s="2" t="inlineStr"/>
    </row>
    <row r="780" ht="15" customHeight="1">
      <c r="A780" t="inlineStr">
        <is>
          <t>A 15769-2025</t>
        </is>
      </c>
      <c r="B780" s="1" t="n">
        <v>45748</v>
      </c>
      <c r="C780" s="1" t="n">
        <v>45761</v>
      </c>
      <c r="D780" t="inlineStr">
        <is>
          <t>DALARNAS LÄN</t>
        </is>
      </c>
      <c r="E780" t="inlineStr">
        <is>
          <t>ORSA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45761</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45761</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15865-2025</t>
        </is>
      </c>
      <c r="B783" s="1" t="n">
        <v>45749</v>
      </c>
      <c r="C783" s="1" t="n">
        <v>45761</v>
      </c>
      <c r="D783" t="inlineStr">
        <is>
          <t>DALARNAS LÄN</t>
        </is>
      </c>
      <c r="E783" t="inlineStr">
        <is>
          <t>ORSA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45761</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16992-2025</t>
        </is>
      </c>
      <c r="B785" s="1" t="n">
        <v>45755</v>
      </c>
      <c r="C785" s="1" t="n">
        <v>45761</v>
      </c>
      <c r="D785" t="inlineStr">
        <is>
          <t>DALARNAS LÄN</t>
        </is>
      </c>
      <c r="E785" t="inlineStr">
        <is>
          <t>ORSA</t>
        </is>
      </c>
      <c r="G785" t="n">
        <v>1.5</v>
      </c>
      <c r="H785" t="n">
        <v>0</v>
      </c>
      <c r="I785" t="n">
        <v>0</v>
      </c>
      <c r="J785" t="n">
        <v>0</v>
      </c>
      <c r="K785" t="n">
        <v>0</v>
      </c>
      <c r="L785" t="n">
        <v>0</v>
      </c>
      <c r="M785" t="n">
        <v>0</v>
      </c>
      <c r="N785" t="n">
        <v>0</v>
      </c>
      <c r="O785" t="n">
        <v>0</v>
      </c>
      <c r="P785" t="n">
        <v>0</v>
      </c>
      <c r="Q785" t="n">
        <v>0</v>
      </c>
      <c r="R785" s="2" t="inlineStr"/>
    </row>
    <row r="786" ht="15" customHeight="1">
      <c r="A786" t="inlineStr">
        <is>
          <t>A 17500-2025</t>
        </is>
      </c>
      <c r="B786" s="1" t="n">
        <v>45757</v>
      </c>
      <c r="C786" s="1" t="n">
        <v>45761</v>
      </c>
      <c r="D786" t="inlineStr">
        <is>
          <t>DALARNAS LÄN</t>
        </is>
      </c>
      <c r="E786" t="inlineStr">
        <is>
          <t>ORSA</t>
        </is>
      </c>
      <c r="G786" t="n">
        <v>1.9</v>
      </c>
      <c r="H786" t="n">
        <v>0</v>
      </c>
      <c r="I786" t="n">
        <v>0</v>
      </c>
      <c r="J786" t="n">
        <v>0</v>
      </c>
      <c r="K786" t="n">
        <v>0</v>
      </c>
      <c r="L786" t="n">
        <v>0</v>
      </c>
      <c r="M786" t="n">
        <v>0</v>
      </c>
      <c r="N786" t="n">
        <v>0</v>
      </c>
      <c r="O786" t="n">
        <v>0</v>
      </c>
      <c r="P786" t="n">
        <v>0</v>
      </c>
      <c r="Q786" t="n">
        <v>0</v>
      </c>
      <c r="R786" s="2" t="inlineStr"/>
    </row>
    <row r="787" ht="15" customHeight="1">
      <c r="A787" t="inlineStr">
        <is>
          <t>A 17508-2025</t>
        </is>
      </c>
      <c r="B787" s="1" t="n">
        <v>45757</v>
      </c>
      <c r="C787" s="1" t="n">
        <v>45761</v>
      </c>
      <c r="D787" t="inlineStr">
        <is>
          <t>DALARNAS LÄN</t>
        </is>
      </c>
      <c r="E787" t="inlineStr">
        <is>
          <t>ORSA</t>
        </is>
      </c>
      <c r="F787" t="inlineStr">
        <is>
          <t>Bergvik skog öst AB</t>
        </is>
      </c>
      <c r="G787" t="n">
        <v>9.4</v>
      </c>
      <c r="H787" t="n">
        <v>0</v>
      </c>
      <c r="I787" t="n">
        <v>0</v>
      </c>
      <c r="J787" t="n">
        <v>0</v>
      </c>
      <c r="K787" t="n">
        <v>0</v>
      </c>
      <c r="L787" t="n">
        <v>0</v>
      </c>
      <c r="M787" t="n">
        <v>0</v>
      </c>
      <c r="N787" t="n">
        <v>0</v>
      </c>
      <c r="O787" t="n">
        <v>0</v>
      </c>
      <c r="P787" t="n">
        <v>0</v>
      </c>
      <c r="Q787" t="n">
        <v>0</v>
      </c>
      <c r="R787" s="2" t="inlineStr"/>
    </row>
    <row r="788" ht="15" customHeight="1">
      <c r="A788" t="inlineStr">
        <is>
          <t>A 17421-2025</t>
        </is>
      </c>
      <c r="B788" s="1" t="n">
        <v>45757</v>
      </c>
      <c r="C788" s="1" t="n">
        <v>45761</v>
      </c>
      <c r="D788" t="inlineStr">
        <is>
          <t>DALARNAS LÄN</t>
        </is>
      </c>
      <c r="E788" t="inlineStr">
        <is>
          <t>ORSA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17521-2025</t>
        </is>
      </c>
      <c r="B789" s="1" t="n">
        <v>45757</v>
      </c>
      <c r="C789" s="1" t="n">
        <v>45761</v>
      </c>
      <c r="D789" t="inlineStr">
        <is>
          <t>DALARNAS LÄN</t>
        </is>
      </c>
      <c r="E789" t="inlineStr">
        <is>
          <t>ORSA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17503-2025</t>
        </is>
      </c>
      <c r="B790" s="1" t="n">
        <v>45757</v>
      </c>
      <c r="C790" s="1" t="n">
        <v>45761</v>
      </c>
      <c r="D790" t="inlineStr">
        <is>
          <t>DALARNAS LÄN</t>
        </is>
      </c>
      <c r="E790" t="inlineStr">
        <is>
          <t>ORSA</t>
        </is>
      </c>
      <c r="G790" t="n">
        <v>0.8</v>
      </c>
      <c r="H790" t="n">
        <v>0</v>
      </c>
      <c r="I790" t="n">
        <v>0</v>
      </c>
      <c r="J790" t="n">
        <v>0</v>
      </c>
      <c r="K790" t="n">
        <v>0</v>
      </c>
      <c r="L790" t="n">
        <v>0</v>
      </c>
      <c r="M790" t="n">
        <v>0</v>
      </c>
      <c r="N790" t="n">
        <v>0</v>
      </c>
      <c r="O790" t="n">
        <v>0</v>
      </c>
      <c r="P790" t="n">
        <v>0</v>
      </c>
      <c r="Q790" t="n">
        <v>0</v>
      </c>
      <c r="R790" s="2" t="inlineStr"/>
    </row>
    <row r="791" ht="15" customHeight="1">
      <c r="A791" t="inlineStr">
        <is>
          <t>A 17518-2025</t>
        </is>
      </c>
      <c r="B791" s="1" t="n">
        <v>45757</v>
      </c>
      <c r="C791" s="1" t="n">
        <v>45761</v>
      </c>
      <c r="D791" t="inlineStr">
        <is>
          <t>DALARNAS LÄN</t>
        </is>
      </c>
      <c r="E791" t="inlineStr">
        <is>
          <t>ORSA</t>
        </is>
      </c>
      <c r="F791" t="inlineStr">
        <is>
          <t>Bergvik skog öst AB</t>
        </is>
      </c>
      <c r="G791" t="n">
        <v>7.3</v>
      </c>
      <c r="H791" t="n">
        <v>0</v>
      </c>
      <c r="I791" t="n">
        <v>0</v>
      </c>
      <c r="J791" t="n">
        <v>0</v>
      </c>
      <c r="K791" t="n">
        <v>0</v>
      </c>
      <c r="L791" t="n">
        <v>0</v>
      </c>
      <c r="M791" t="n">
        <v>0</v>
      </c>
      <c r="N791" t="n">
        <v>0</v>
      </c>
      <c r="O791" t="n">
        <v>0</v>
      </c>
      <c r="P791" t="n">
        <v>0</v>
      </c>
      <c r="Q791" t="n">
        <v>0</v>
      </c>
      <c r="R791" s="2" t="inlineStr"/>
    </row>
    <row r="792" ht="15" customHeight="1">
      <c r="A792" t="inlineStr">
        <is>
          <t>A 17850-2025</t>
        </is>
      </c>
      <c r="B792" s="1" t="n">
        <v>45758</v>
      </c>
      <c r="C792" s="1" t="n">
        <v>45761</v>
      </c>
      <c r="D792" t="inlineStr">
        <is>
          <t>DALARNAS LÄN</t>
        </is>
      </c>
      <c r="E792" t="inlineStr">
        <is>
          <t>ORSA</t>
        </is>
      </c>
      <c r="G792" t="n">
        <v>2</v>
      </c>
      <c r="H792" t="n">
        <v>0</v>
      </c>
      <c r="I792" t="n">
        <v>0</v>
      </c>
      <c r="J792" t="n">
        <v>0</v>
      </c>
      <c r="K792" t="n">
        <v>0</v>
      </c>
      <c r="L792" t="n">
        <v>0</v>
      </c>
      <c r="M792" t="n">
        <v>0</v>
      </c>
      <c r="N792" t="n">
        <v>0</v>
      </c>
      <c r="O792" t="n">
        <v>0</v>
      </c>
      <c r="P792" t="n">
        <v>0</v>
      </c>
      <c r="Q792" t="n">
        <v>0</v>
      </c>
      <c r="R792" s="2" t="inlineStr"/>
    </row>
    <row r="793">
      <c r="A793" t="inlineStr">
        <is>
          <t>A 17848-2025</t>
        </is>
      </c>
      <c r="B793" s="1" t="n">
        <v>45758</v>
      </c>
      <c r="C793" s="1" t="n">
        <v>45761</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2025-04-14T16:46:14Z</dcterms:created>
  <dcterms:modified xmlns:dcterms="http://purl.org/dc/terms/" xmlns:xsi="http://www.w3.org/2001/XMLSchema-instance" xsi:type="dcterms:W3CDTF">2025-04-14T16:46:15Z</dcterms:modified>
</cp:coreProperties>
</file>