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45935</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45935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45935</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45935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45935</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45935</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45935</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45935</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45935</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v>
      </c>
      <c r="C18" s="1" t="n">
        <v>45935</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v>
      </c>
      <c r="C19" s="1" t="n">
        <v>45935</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7507-2025</t>
        </is>
      </c>
      <c r="B20" s="1" t="n">
        <v>45705</v>
      </c>
      <c r="C20" s="1" t="n">
        <v>45935</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45935</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45935</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45935</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45935</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45935</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45935</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50728-2022</t>
        </is>
      </c>
      <c r="B27" s="1" t="n">
        <v>44867</v>
      </c>
      <c r="C27" s="1" t="n">
        <v>45935</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33841-2023</t>
        </is>
      </c>
      <c r="B28" s="1" t="n">
        <v>45133.66758101852</v>
      </c>
      <c r="C28" s="1" t="n">
        <v>45935</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22172-2025</t>
        </is>
      </c>
      <c r="B29" s="1" t="n">
        <v>45785.6050925926</v>
      </c>
      <c r="C29" s="1" t="n">
        <v>45935</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48499-2024</t>
        </is>
      </c>
      <c r="B30" s="1" t="n">
        <v>45592</v>
      </c>
      <c r="C30" s="1" t="n">
        <v>45935</v>
      </c>
      <c r="D30" t="inlineStr">
        <is>
          <t>DALARNAS LÄN</t>
        </is>
      </c>
      <c r="E30" t="inlineStr">
        <is>
          <t>ORSA</t>
        </is>
      </c>
      <c r="G30" t="n">
        <v>11.1</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48499-2024 artfynd.xlsx", "A 48499-2024")</f>
        <v/>
      </c>
      <c r="T30">
        <f>HYPERLINK("https://klasma.github.io/Logging_2034/kartor/A 48499-2024 karta.png", "A 48499-2024")</f>
        <v/>
      </c>
      <c r="V30">
        <f>HYPERLINK("https://klasma.github.io/Logging_2034/klagomål/A 48499-2024 FSC-klagomål.docx", "A 48499-2024")</f>
        <v/>
      </c>
      <c r="W30">
        <f>HYPERLINK("https://klasma.github.io/Logging_2034/klagomålsmail/A 48499-2024 FSC-klagomål mail.docx", "A 48499-2024")</f>
        <v/>
      </c>
      <c r="X30">
        <f>HYPERLINK("https://klasma.github.io/Logging_2034/tillsyn/A 48499-2024 tillsynsbegäran.docx", "A 48499-2024")</f>
        <v/>
      </c>
      <c r="Y30">
        <f>HYPERLINK("https://klasma.github.io/Logging_2034/tillsynsmail/A 48499-2024 tillsynsbegäran mail.docx", "A 48499-2024")</f>
        <v/>
      </c>
      <c r="Z30">
        <f>HYPERLINK("https://klasma.github.io/Logging_2034/fåglar/A 48499-2024 prioriterade fågelarter.docx", "A 48499-2024")</f>
        <v/>
      </c>
    </row>
    <row r="31" ht="15" customHeight="1">
      <c r="A31" t="inlineStr">
        <is>
          <t>A 35570-2024</t>
        </is>
      </c>
      <c r="B31" s="1" t="n">
        <v>45531</v>
      </c>
      <c r="C31" s="1" t="n">
        <v>45935</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22701-2025</t>
        </is>
      </c>
      <c r="B32" s="1" t="n">
        <v>45787</v>
      </c>
      <c r="C32" s="1" t="n">
        <v>45935</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45935</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45935</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45935</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3421-2021</t>
        </is>
      </c>
      <c r="B36" s="1" t="n">
        <v>44218</v>
      </c>
      <c r="C36" s="1" t="n">
        <v>45935</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31161-2025</t>
        </is>
      </c>
      <c r="B37" s="1" t="n">
        <v>45832</v>
      </c>
      <c r="C37" s="1" t="n">
        <v>45935</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45935</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6029-2024</t>
        </is>
      </c>
      <c r="B39" s="1" t="n">
        <v>45336</v>
      </c>
      <c r="C39" s="1" t="n">
        <v>45935</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45935</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v>
      </c>
      <c r="C41" s="1" t="n">
        <v>45935</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63810-2021</t>
        </is>
      </c>
      <c r="B42" s="1" t="n">
        <v>44509</v>
      </c>
      <c r="C42" s="1" t="n">
        <v>45935</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45029-2025</t>
        </is>
      </c>
      <c r="B43" s="1" t="n">
        <v>45918.69835648148</v>
      </c>
      <c r="C43" s="1" t="n">
        <v>45935</v>
      </c>
      <c r="D43" t="inlineStr">
        <is>
          <t>DALARNAS LÄN</t>
        </is>
      </c>
      <c r="E43" t="inlineStr">
        <is>
          <t>ORSA</t>
        </is>
      </c>
      <c r="G43" t="n">
        <v>1.4</v>
      </c>
      <c r="H43" t="n">
        <v>1</v>
      </c>
      <c r="I43" t="n">
        <v>0</v>
      </c>
      <c r="J43" t="n">
        <v>1</v>
      </c>
      <c r="K43" t="n">
        <v>0</v>
      </c>
      <c r="L43" t="n">
        <v>0</v>
      </c>
      <c r="M43" t="n">
        <v>0</v>
      </c>
      <c r="N43" t="n">
        <v>0</v>
      </c>
      <c r="O43" t="n">
        <v>1</v>
      </c>
      <c r="P43" t="n">
        <v>0</v>
      </c>
      <c r="Q43" t="n">
        <v>1</v>
      </c>
      <c r="R43" s="2" t="inlineStr">
        <is>
          <t>Spillkråka</t>
        </is>
      </c>
      <c r="S43">
        <f>HYPERLINK("https://klasma.github.io/Logging_2034/artfynd/A 45029-2025 artfynd.xlsx", "A 45029-2025")</f>
        <v/>
      </c>
      <c r="T43">
        <f>HYPERLINK("https://klasma.github.io/Logging_2034/kartor/A 45029-2025 karta.png", "A 45029-2025")</f>
        <v/>
      </c>
      <c r="V43">
        <f>HYPERLINK("https://klasma.github.io/Logging_2034/klagomål/A 45029-2025 FSC-klagomål.docx", "A 45029-2025")</f>
        <v/>
      </c>
      <c r="W43">
        <f>HYPERLINK("https://klasma.github.io/Logging_2034/klagomålsmail/A 45029-2025 FSC-klagomål mail.docx", "A 45029-2025")</f>
        <v/>
      </c>
      <c r="X43">
        <f>HYPERLINK("https://klasma.github.io/Logging_2034/tillsyn/A 45029-2025 tillsynsbegäran.docx", "A 45029-2025")</f>
        <v/>
      </c>
      <c r="Y43">
        <f>HYPERLINK("https://klasma.github.io/Logging_2034/tillsynsmail/A 45029-2025 tillsynsbegäran mail.docx", "A 45029-2025")</f>
        <v/>
      </c>
      <c r="Z43">
        <f>HYPERLINK("https://klasma.github.io/Logging_2034/fåglar/A 45029-2025 prioriterade fågelarter.docx", "A 45029-2025")</f>
        <v/>
      </c>
    </row>
    <row r="44" ht="15" customHeight="1">
      <c r="A44" t="inlineStr">
        <is>
          <t>A 30493-2024</t>
        </is>
      </c>
      <c r="B44" s="1" t="n">
        <v>45492.34811342593</v>
      </c>
      <c r="C44" s="1" t="n">
        <v>45935</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41553-2025</t>
        </is>
      </c>
      <c r="B45" s="1" t="n">
        <v>45901.59108796297</v>
      </c>
      <c r="C45" s="1" t="n">
        <v>45935</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45935</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45935</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37887-2023</t>
        </is>
      </c>
      <c r="B48" s="1" t="n">
        <v>45160</v>
      </c>
      <c r="C48" s="1" t="n">
        <v>45935</v>
      </c>
      <c r="D48" t="inlineStr">
        <is>
          <t>DALARNAS LÄN</t>
        </is>
      </c>
      <c r="E48" t="inlineStr">
        <is>
          <t>ORSA</t>
        </is>
      </c>
      <c r="F48" t="inlineStr">
        <is>
          <t>Allmännings- och besparingsskogar</t>
        </is>
      </c>
      <c r="G48" t="n">
        <v>20.5</v>
      </c>
      <c r="H48" t="n">
        <v>1</v>
      </c>
      <c r="I48" t="n">
        <v>0</v>
      </c>
      <c r="J48" t="n">
        <v>1</v>
      </c>
      <c r="K48" t="n">
        <v>0</v>
      </c>
      <c r="L48" t="n">
        <v>0</v>
      </c>
      <c r="M48" t="n">
        <v>0</v>
      </c>
      <c r="N48" t="n">
        <v>0</v>
      </c>
      <c r="O48" t="n">
        <v>1</v>
      </c>
      <c r="P48" t="n">
        <v>0</v>
      </c>
      <c r="Q48" t="n">
        <v>1</v>
      </c>
      <c r="R48" s="2" t="inlineStr">
        <is>
          <t>Varglav</t>
        </is>
      </c>
      <c r="S48">
        <f>HYPERLINK("https://klasma.github.io/Logging_2034/artfynd/A 37887-2023 artfynd.xlsx", "A 37887-2023")</f>
        <v/>
      </c>
      <c r="T48">
        <f>HYPERLINK("https://klasma.github.io/Logging_2034/kartor/A 37887-2023 karta.png", "A 37887-2023")</f>
        <v/>
      </c>
      <c r="V48">
        <f>HYPERLINK("https://klasma.github.io/Logging_2034/klagomål/A 37887-2023 FSC-klagomål.docx", "A 37887-2023")</f>
        <v/>
      </c>
      <c r="W48">
        <f>HYPERLINK("https://klasma.github.io/Logging_2034/klagomålsmail/A 37887-2023 FSC-klagomål mail.docx", "A 37887-2023")</f>
        <v/>
      </c>
      <c r="X48">
        <f>HYPERLINK("https://klasma.github.io/Logging_2034/tillsyn/A 37887-2023 tillsynsbegäran.docx", "A 37887-2023")</f>
        <v/>
      </c>
      <c r="Y48">
        <f>HYPERLINK("https://klasma.github.io/Logging_2034/tillsynsmail/A 37887-2023 tillsynsbegäran mail.docx", "A 37887-2023")</f>
        <v/>
      </c>
    </row>
    <row r="49" ht="15" customHeight="1">
      <c r="A49" t="inlineStr">
        <is>
          <t>A 34713-2021</t>
        </is>
      </c>
      <c r="B49" s="1" t="n">
        <v>44382</v>
      </c>
      <c r="C49" s="1" t="n">
        <v>45935</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45935</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45935</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45935</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45935</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45935</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45935</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45935</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45935</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45935</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45935</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45935</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45935</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45935</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45935</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45935</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45935</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45935</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45935</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45935</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45935</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45935</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45935</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45935</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45935</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45935</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45935</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45935</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45935</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45935</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45935</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45935</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45935</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44033-2022</t>
        </is>
      </c>
      <c r="B82" s="1" t="n">
        <v>44838</v>
      </c>
      <c r="C82" s="1" t="n">
        <v>45935</v>
      </c>
      <c r="D82" t="inlineStr">
        <is>
          <t>DALARNAS LÄN</t>
        </is>
      </c>
      <c r="E82" t="inlineStr">
        <is>
          <t>ORSA</t>
        </is>
      </c>
      <c r="G82" t="n">
        <v>5.3</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45935</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45935</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45935</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45935</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66536-2020</t>
        </is>
      </c>
      <c r="B87" s="1" t="n">
        <v>44179</v>
      </c>
      <c r="C87" s="1" t="n">
        <v>45935</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26215-2022</t>
        </is>
      </c>
      <c r="B88" s="1" t="n">
        <v>44735.4421412037</v>
      </c>
      <c r="C88" s="1" t="n">
        <v>45935</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45935</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169-2022</t>
        </is>
      </c>
      <c r="B90" s="1" t="n">
        <v>44564</v>
      </c>
      <c r="C90" s="1" t="n">
        <v>45935</v>
      </c>
      <c r="D90" t="inlineStr">
        <is>
          <t>DALARNAS LÄN</t>
        </is>
      </c>
      <c r="E90" t="inlineStr">
        <is>
          <t>ORSA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45935</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45935</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61000-2021</t>
        </is>
      </c>
      <c r="B93" s="1" t="n">
        <v>44497</v>
      </c>
      <c r="C93" s="1" t="n">
        <v>45935</v>
      </c>
      <c r="D93" t="inlineStr">
        <is>
          <t>DALARNAS LÄN</t>
        </is>
      </c>
      <c r="E93" t="inlineStr">
        <is>
          <t>ORSA</t>
        </is>
      </c>
      <c r="G93" t="n">
        <v>4.4</v>
      </c>
      <c r="H93" t="n">
        <v>0</v>
      </c>
      <c r="I93" t="n">
        <v>0</v>
      </c>
      <c r="J93" t="n">
        <v>0</v>
      </c>
      <c r="K93" t="n">
        <v>0</v>
      </c>
      <c r="L93" t="n">
        <v>0</v>
      </c>
      <c r="M93" t="n">
        <v>0</v>
      </c>
      <c r="N93" t="n">
        <v>0</v>
      </c>
      <c r="O93" t="n">
        <v>0</v>
      </c>
      <c r="P93" t="n">
        <v>0</v>
      </c>
      <c r="Q93" t="n">
        <v>0</v>
      </c>
      <c r="R93" s="2" t="inlineStr"/>
    </row>
    <row r="94" ht="15" customHeight="1">
      <c r="A94" t="inlineStr">
        <is>
          <t>A 61005-2021</t>
        </is>
      </c>
      <c r="B94" s="1" t="n">
        <v>44497</v>
      </c>
      <c r="C94" s="1" t="n">
        <v>45935</v>
      </c>
      <c r="D94" t="inlineStr">
        <is>
          <t>DALARNAS LÄN</t>
        </is>
      </c>
      <c r="E94" t="inlineStr">
        <is>
          <t>ORSA</t>
        </is>
      </c>
      <c r="G94" t="n">
        <v>1.4</v>
      </c>
      <c r="H94" t="n">
        <v>0</v>
      </c>
      <c r="I94" t="n">
        <v>0</v>
      </c>
      <c r="J94" t="n">
        <v>0</v>
      </c>
      <c r="K94" t="n">
        <v>0</v>
      </c>
      <c r="L94" t="n">
        <v>0</v>
      </c>
      <c r="M94" t="n">
        <v>0</v>
      </c>
      <c r="N94" t="n">
        <v>0</v>
      </c>
      <c r="O94" t="n">
        <v>0</v>
      </c>
      <c r="P94" t="n">
        <v>0</v>
      </c>
      <c r="Q94" t="n">
        <v>0</v>
      </c>
      <c r="R94" s="2" t="inlineStr"/>
    </row>
    <row r="95" ht="15" customHeight="1">
      <c r="A95" t="inlineStr">
        <is>
          <t>A 51277-2021</t>
        </is>
      </c>
      <c r="B95" s="1" t="n">
        <v>44461</v>
      </c>
      <c r="C95" s="1" t="n">
        <v>45935</v>
      </c>
      <c r="D95" t="inlineStr">
        <is>
          <t>DALARNAS LÄN</t>
        </is>
      </c>
      <c r="E95" t="inlineStr">
        <is>
          <t>ORSA</t>
        </is>
      </c>
      <c r="F95" t="inlineStr">
        <is>
          <t>Allmännings- och besparingsskogar</t>
        </is>
      </c>
      <c r="G95" t="n">
        <v>0.2</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45935</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45935</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45935</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51278-2021</t>
        </is>
      </c>
      <c r="B99" s="1" t="n">
        <v>44461</v>
      </c>
      <c r="C99" s="1" t="n">
        <v>45935</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45935</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45935</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4454-2021</t>
        </is>
      </c>
      <c r="B102" s="1" t="n">
        <v>44224</v>
      </c>
      <c r="C102" s="1" t="n">
        <v>45935</v>
      </c>
      <c r="D102" t="inlineStr">
        <is>
          <t>DALARNAS LÄN</t>
        </is>
      </c>
      <c r="E102" t="inlineStr">
        <is>
          <t>ORSA</t>
        </is>
      </c>
      <c r="G102" t="n">
        <v>1.2</v>
      </c>
      <c r="H102" t="n">
        <v>0</v>
      </c>
      <c r="I102" t="n">
        <v>0</v>
      </c>
      <c r="J102" t="n">
        <v>0</v>
      </c>
      <c r="K102" t="n">
        <v>0</v>
      </c>
      <c r="L102" t="n">
        <v>0</v>
      </c>
      <c r="M102" t="n">
        <v>0</v>
      </c>
      <c r="N102" t="n">
        <v>0</v>
      </c>
      <c r="O102" t="n">
        <v>0</v>
      </c>
      <c r="P102" t="n">
        <v>0</v>
      </c>
      <c r="Q102" t="n">
        <v>0</v>
      </c>
      <c r="R102" s="2" t="inlineStr"/>
    </row>
    <row r="103" ht="15" customHeight="1">
      <c r="A103" t="inlineStr">
        <is>
          <t>A 68230-2021</t>
        </is>
      </c>
      <c r="B103" s="1" t="n">
        <v>44526</v>
      </c>
      <c r="C103" s="1" t="n">
        <v>45935</v>
      </c>
      <c r="D103" t="inlineStr">
        <is>
          <t>DALARNAS LÄN</t>
        </is>
      </c>
      <c r="E103" t="inlineStr">
        <is>
          <t>ORSA</t>
        </is>
      </c>
      <c r="F103" t="inlineStr">
        <is>
          <t>Kyrkan</t>
        </is>
      </c>
      <c r="G103" t="n">
        <v>2.2</v>
      </c>
      <c r="H103" t="n">
        <v>0</v>
      </c>
      <c r="I103" t="n">
        <v>0</v>
      </c>
      <c r="J103" t="n">
        <v>0</v>
      </c>
      <c r="K103" t="n">
        <v>0</v>
      </c>
      <c r="L103" t="n">
        <v>0</v>
      </c>
      <c r="M103" t="n">
        <v>0</v>
      </c>
      <c r="N103" t="n">
        <v>0</v>
      </c>
      <c r="O103" t="n">
        <v>0</v>
      </c>
      <c r="P103" t="n">
        <v>0</v>
      </c>
      <c r="Q103" t="n">
        <v>0</v>
      </c>
      <c r="R103" s="2" t="inlineStr"/>
    </row>
    <row r="104" ht="15" customHeight="1">
      <c r="A104" t="inlineStr">
        <is>
          <t>A 56711-2021</t>
        </is>
      </c>
      <c r="B104" s="1" t="n">
        <v>44481.41222222222</v>
      </c>
      <c r="C104" s="1" t="n">
        <v>45935</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49781-2023</t>
        </is>
      </c>
      <c r="B105" s="1" t="n">
        <v>45212.60275462963</v>
      </c>
      <c r="C105" s="1" t="n">
        <v>45935</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44035-2022</t>
        </is>
      </c>
      <c r="B106" s="1" t="n">
        <v>44838.94439814815</v>
      </c>
      <c r="C106" s="1" t="n">
        <v>45935</v>
      </c>
      <c r="D106" t="inlineStr">
        <is>
          <t>DALARNAS LÄN</t>
        </is>
      </c>
      <c r="E106" t="inlineStr">
        <is>
          <t>ORSA</t>
        </is>
      </c>
      <c r="G106" t="n">
        <v>5.8</v>
      </c>
      <c r="H106" t="n">
        <v>0</v>
      </c>
      <c r="I106" t="n">
        <v>0</v>
      </c>
      <c r="J106" t="n">
        <v>0</v>
      </c>
      <c r="K106" t="n">
        <v>0</v>
      </c>
      <c r="L106" t="n">
        <v>0</v>
      </c>
      <c r="M106" t="n">
        <v>0</v>
      </c>
      <c r="N106" t="n">
        <v>0</v>
      </c>
      <c r="O106" t="n">
        <v>0</v>
      </c>
      <c r="P106" t="n">
        <v>0</v>
      </c>
      <c r="Q106" t="n">
        <v>0</v>
      </c>
      <c r="R106" s="2" t="inlineStr"/>
    </row>
    <row r="107" ht="15" customHeight="1">
      <c r="A107" t="inlineStr">
        <is>
          <t>A 46244-2022</t>
        </is>
      </c>
      <c r="B107" s="1" t="n">
        <v>44847.62055555556</v>
      </c>
      <c r="C107" s="1" t="n">
        <v>45935</v>
      </c>
      <c r="D107" t="inlineStr">
        <is>
          <t>DALARNAS LÄN</t>
        </is>
      </c>
      <c r="E107" t="inlineStr">
        <is>
          <t>ORSA</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3452-2021</t>
        </is>
      </c>
      <c r="B108" s="1" t="n">
        <v>44218</v>
      </c>
      <c r="C108" s="1" t="n">
        <v>45935</v>
      </c>
      <c r="D108" t="inlineStr">
        <is>
          <t>DALARNAS LÄN</t>
        </is>
      </c>
      <c r="E108" t="inlineStr">
        <is>
          <t>ORSA</t>
        </is>
      </c>
      <c r="G108" t="n">
        <v>12.5</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45935</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33265-2021</t>
        </is>
      </c>
      <c r="B110" s="1" t="n">
        <v>44377</v>
      </c>
      <c r="C110" s="1" t="n">
        <v>45935</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45935</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58842-2024</t>
        </is>
      </c>
      <c r="B112" s="1" t="n">
        <v>45636.3859837963</v>
      </c>
      <c r="C112" s="1" t="n">
        <v>45935</v>
      </c>
      <c r="D112" t="inlineStr">
        <is>
          <t>DALARNAS LÄN</t>
        </is>
      </c>
      <c r="E112" t="inlineStr">
        <is>
          <t>ORSA</t>
        </is>
      </c>
      <c r="G112" t="n">
        <v>2.8</v>
      </c>
      <c r="H112" t="n">
        <v>0</v>
      </c>
      <c r="I112" t="n">
        <v>0</v>
      </c>
      <c r="J112" t="n">
        <v>0</v>
      </c>
      <c r="K112" t="n">
        <v>0</v>
      </c>
      <c r="L112" t="n">
        <v>0</v>
      </c>
      <c r="M112" t="n">
        <v>0</v>
      </c>
      <c r="N112" t="n">
        <v>0</v>
      </c>
      <c r="O112" t="n">
        <v>0</v>
      </c>
      <c r="P112" t="n">
        <v>0</v>
      </c>
      <c r="Q112" t="n">
        <v>0</v>
      </c>
      <c r="R112" s="2" t="inlineStr"/>
    </row>
    <row r="113" ht="15" customHeight="1">
      <c r="A113" t="inlineStr">
        <is>
          <t>A 48447-2023</t>
        </is>
      </c>
      <c r="B113" s="1" t="n">
        <v>45206.39274305556</v>
      </c>
      <c r="C113" s="1" t="n">
        <v>45935</v>
      </c>
      <c r="D113" t="inlineStr">
        <is>
          <t>DALARNAS LÄN</t>
        </is>
      </c>
      <c r="E113" t="inlineStr">
        <is>
          <t>ORSA</t>
        </is>
      </c>
      <c r="G113" t="n">
        <v>0.6</v>
      </c>
      <c r="H113" t="n">
        <v>0</v>
      </c>
      <c r="I113" t="n">
        <v>0</v>
      </c>
      <c r="J113" t="n">
        <v>0</v>
      </c>
      <c r="K113" t="n">
        <v>0</v>
      </c>
      <c r="L113" t="n">
        <v>0</v>
      </c>
      <c r="M113" t="n">
        <v>0</v>
      </c>
      <c r="N113" t="n">
        <v>0</v>
      </c>
      <c r="O113" t="n">
        <v>0</v>
      </c>
      <c r="P113" t="n">
        <v>0</v>
      </c>
      <c r="Q113" t="n">
        <v>0</v>
      </c>
      <c r="R113" s="2" t="inlineStr"/>
    </row>
    <row r="114" ht="15" customHeight="1">
      <c r="A114" t="inlineStr">
        <is>
          <t>A 17508-2025</t>
        </is>
      </c>
      <c r="B114" s="1" t="n">
        <v>45757.55929398148</v>
      </c>
      <c r="C114" s="1" t="n">
        <v>45935</v>
      </c>
      <c r="D114" t="inlineStr">
        <is>
          <t>DALARNAS LÄN</t>
        </is>
      </c>
      <c r="E114" t="inlineStr">
        <is>
          <t>ORSA</t>
        </is>
      </c>
      <c r="F114" t="inlineStr">
        <is>
          <t>Bergvik skog öst AB</t>
        </is>
      </c>
      <c r="G114" t="n">
        <v>9.4</v>
      </c>
      <c r="H114" t="n">
        <v>0</v>
      </c>
      <c r="I114" t="n">
        <v>0</v>
      </c>
      <c r="J114" t="n">
        <v>0</v>
      </c>
      <c r="K114" t="n">
        <v>0</v>
      </c>
      <c r="L114" t="n">
        <v>0</v>
      </c>
      <c r="M114" t="n">
        <v>0</v>
      </c>
      <c r="N114" t="n">
        <v>0</v>
      </c>
      <c r="O114" t="n">
        <v>0</v>
      </c>
      <c r="P114" t="n">
        <v>0</v>
      </c>
      <c r="Q114" t="n">
        <v>0</v>
      </c>
      <c r="R114" s="2" t="inlineStr"/>
    </row>
    <row r="115" ht="15" customHeight="1">
      <c r="A115" t="inlineStr">
        <is>
          <t>A 3720-2023</t>
        </is>
      </c>
      <c r="B115" s="1" t="n">
        <v>44951.36688657408</v>
      </c>
      <c r="C115" s="1" t="n">
        <v>45935</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45935</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62342-2023</t>
        </is>
      </c>
      <c r="B117" s="1" t="n">
        <v>45267.9268287037</v>
      </c>
      <c r="C117" s="1" t="n">
        <v>45935</v>
      </c>
      <c r="D117" t="inlineStr">
        <is>
          <t>DALARNAS LÄN</t>
        </is>
      </c>
      <c r="E117" t="inlineStr">
        <is>
          <t>ORSA</t>
        </is>
      </c>
      <c r="G117" t="n">
        <v>2.5</v>
      </c>
      <c r="H117" t="n">
        <v>0</v>
      </c>
      <c r="I117" t="n">
        <v>0</v>
      </c>
      <c r="J117" t="n">
        <v>0</v>
      </c>
      <c r="K117" t="n">
        <v>0</v>
      </c>
      <c r="L117" t="n">
        <v>0</v>
      </c>
      <c r="M117" t="n">
        <v>0</v>
      </c>
      <c r="N117" t="n">
        <v>0</v>
      </c>
      <c r="O117" t="n">
        <v>0</v>
      </c>
      <c r="P117" t="n">
        <v>0</v>
      </c>
      <c r="Q117" t="n">
        <v>0</v>
      </c>
      <c r="R117" s="2" t="inlineStr"/>
    </row>
    <row r="118" ht="15" customHeight="1">
      <c r="A118" t="inlineStr">
        <is>
          <t>A 67842-2020</t>
        </is>
      </c>
      <c r="B118" s="1" t="n">
        <v>44182</v>
      </c>
      <c r="C118" s="1" t="n">
        <v>45935</v>
      </c>
      <c r="D118" t="inlineStr">
        <is>
          <t>DALARNAS LÄN</t>
        </is>
      </c>
      <c r="E118" t="inlineStr">
        <is>
          <t>ORSA</t>
        </is>
      </c>
      <c r="G118" t="n">
        <v>10.6</v>
      </c>
      <c r="H118" t="n">
        <v>0</v>
      </c>
      <c r="I118" t="n">
        <v>0</v>
      </c>
      <c r="J118" t="n">
        <v>0</v>
      </c>
      <c r="K118" t="n">
        <v>0</v>
      </c>
      <c r="L118" t="n">
        <v>0</v>
      </c>
      <c r="M118" t="n">
        <v>0</v>
      </c>
      <c r="N118" t="n">
        <v>0</v>
      </c>
      <c r="O118" t="n">
        <v>0</v>
      </c>
      <c r="P118" t="n">
        <v>0</v>
      </c>
      <c r="Q118" t="n">
        <v>0</v>
      </c>
      <c r="R118" s="2" t="inlineStr"/>
    </row>
    <row r="119" ht="15" customHeight="1">
      <c r="A119" t="inlineStr">
        <is>
          <t>A 15769-2025</t>
        </is>
      </c>
      <c r="B119" s="1" t="n">
        <v>45748.58792824074</v>
      </c>
      <c r="C119" s="1" t="n">
        <v>45935</v>
      </c>
      <c r="D119" t="inlineStr">
        <is>
          <t>DALARNAS LÄN</t>
        </is>
      </c>
      <c r="E119" t="inlineStr">
        <is>
          <t>ORSA</t>
        </is>
      </c>
      <c r="F119" t="inlineStr">
        <is>
          <t>Bergvik skog öst AB</t>
        </is>
      </c>
      <c r="G119" t="n">
        <v>4.7</v>
      </c>
      <c r="H119" t="n">
        <v>0</v>
      </c>
      <c r="I119" t="n">
        <v>0</v>
      </c>
      <c r="J119" t="n">
        <v>0</v>
      </c>
      <c r="K119" t="n">
        <v>0</v>
      </c>
      <c r="L119" t="n">
        <v>0</v>
      </c>
      <c r="M119" t="n">
        <v>0</v>
      </c>
      <c r="N119" t="n">
        <v>0</v>
      </c>
      <c r="O119" t="n">
        <v>0</v>
      </c>
      <c r="P119" t="n">
        <v>0</v>
      </c>
      <c r="Q119" t="n">
        <v>0</v>
      </c>
      <c r="R119" s="2" t="inlineStr"/>
    </row>
    <row r="120" ht="15" customHeight="1">
      <c r="A120" t="inlineStr">
        <is>
          <t>A 52044-2023</t>
        </is>
      </c>
      <c r="B120" s="1" t="n">
        <v>45223.6365625</v>
      </c>
      <c r="C120" s="1" t="n">
        <v>45935</v>
      </c>
      <c r="D120" t="inlineStr">
        <is>
          <t>DALARNAS LÄN</t>
        </is>
      </c>
      <c r="E120" t="inlineStr">
        <is>
          <t>ORSA</t>
        </is>
      </c>
      <c r="G120" t="n">
        <v>2.6</v>
      </c>
      <c r="H120" t="n">
        <v>0</v>
      </c>
      <c r="I120" t="n">
        <v>0</v>
      </c>
      <c r="J120" t="n">
        <v>0</v>
      </c>
      <c r="K120" t="n">
        <v>0</v>
      </c>
      <c r="L120" t="n">
        <v>0</v>
      </c>
      <c r="M120" t="n">
        <v>0</v>
      </c>
      <c r="N120" t="n">
        <v>0</v>
      </c>
      <c r="O120" t="n">
        <v>0</v>
      </c>
      <c r="P120" t="n">
        <v>0</v>
      </c>
      <c r="Q120" t="n">
        <v>0</v>
      </c>
      <c r="R120" s="2" t="inlineStr"/>
    </row>
    <row r="121" ht="15" customHeight="1">
      <c r="A121" t="inlineStr">
        <is>
          <t>A 33384-2022</t>
        </is>
      </c>
      <c r="B121" s="1" t="n">
        <v>44788</v>
      </c>
      <c r="C121" s="1" t="n">
        <v>45935</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23344-2022</t>
        </is>
      </c>
      <c r="B122" s="1" t="n">
        <v>44720.54599537037</v>
      </c>
      <c r="C122" s="1" t="n">
        <v>45935</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61333-2024</t>
        </is>
      </c>
      <c r="B123" s="1" t="n">
        <v>45646.35832175926</v>
      </c>
      <c r="C123" s="1" t="n">
        <v>45935</v>
      </c>
      <c r="D123" t="inlineStr">
        <is>
          <t>DALARNAS LÄN</t>
        </is>
      </c>
      <c r="E123" t="inlineStr">
        <is>
          <t>ORSA</t>
        </is>
      </c>
      <c r="G123" t="n">
        <v>11.5</v>
      </c>
      <c r="H123" t="n">
        <v>0</v>
      </c>
      <c r="I123" t="n">
        <v>0</v>
      </c>
      <c r="J123" t="n">
        <v>0</v>
      </c>
      <c r="K123" t="n">
        <v>0</v>
      </c>
      <c r="L123" t="n">
        <v>0</v>
      </c>
      <c r="M123" t="n">
        <v>0</v>
      </c>
      <c r="N123" t="n">
        <v>0</v>
      </c>
      <c r="O123" t="n">
        <v>0</v>
      </c>
      <c r="P123" t="n">
        <v>0</v>
      </c>
      <c r="Q123" t="n">
        <v>0</v>
      </c>
      <c r="R123" s="2" t="inlineStr"/>
    </row>
    <row r="124" ht="15" customHeight="1">
      <c r="A124" t="inlineStr">
        <is>
          <t>A 10048-2023</t>
        </is>
      </c>
      <c r="B124" s="1" t="n">
        <v>44985.67237268519</v>
      </c>
      <c r="C124" s="1" t="n">
        <v>45935</v>
      </c>
      <c r="D124" t="inlineStr">
        <is>
          <t>DALARNAS LÄN</t>
        </is>
      </c>
      <c r="E124" t="inlineStr">
        <is>
          <t>ORSA</t>
        </is>
      </c>
      <c r="G124" t="n">
        <v>4.8</v>
      </c>
      <c r="H124" t="n">
        <v>0</v>
      </c>
      <c r="I124" t="n">
        <v>0</v>
      </c>
      <c r="J124" t="n">
        <v>0</v>
      </c>
      <c r="K124" t="n">
        <v>0</v>
      </c>
      <c r="L124" t="n">
        <v>0</v>
      </c>
      <c r="M124" t="n">
        <v>0</v>
      </c>
      <c r="N124" t="n">
        <v>0</v>
      </c>
      <c r="O124" t="n">
        <v>0</v>
      </c>
      <c r="P124" t="n">
        <v>0</v>
      </c>
      <c r="Q124" t="n">
        <v>0</v>
      </c>
      <c r="R124" s="2" t="inlineStr"/>
    </row>
    <row r="125" ht="15" customHeight="1">
      <c r="A125" t="inlineStr">
        <is>
          <t>A 15914-2021</t>
        </is>
      </c>
      <c r="B125" s="1" t="n">
        <v>44287</v>
      </c>
      <c r="C125" s="1" t="n">
        <v>45935</v>
      </c>
      <c r="D125" t="inlineStr">
        <is>
          <t>DALARNAS LÄN</t>
        </is>
      </c>
      <c r="E125" t="inlineStr">
        <is>
          <t>ORSA</t>
        </is>
      </c>
      <c r="G125" t="n">
        <v>1.3</v>
      </c>
      <c r="H125" t="n">
        <v>0</v>
      </c>
      <c r="I125" t="n">
        <v>0</v>
      </c>
      <c r="J125" t="n">
        <v>0</v>
      </c>
      <c r="K125" t="n">
        <v>0</v>
      </c>
      <c r="L125" t="n">
        <v>0</v>
      </c>
      <c r="M125" t="n">
        <v>0</v>
      </c>
      <c r="N125" t="n">
        <v>0</v>
      </c>
      <c r="O125" t="n">
        <v>0</v>
      </c>
      <c r="P125" t="n">
        <v>0</v>
      </c>
      <c r="Q125" t="n">
        <v>0</v>
      </c>
      <c r="R125" s="2" t="inlineStr"/>
    </row>
    <row r="126" ht="15" customHeight="1">
      <c r="A126" t="inlineStr">
        <is>
          <t>A 21216-2023</t>
        </is>
      </c>
      <c r="B126" s="1" t="n">
        <v>45062</v>
      </c>
      <c r="C126" s="1" t="n">
        <v>45935</v>
      </c>
      <c r="D126" t="inlineStr">
        <is>
          <t>DALARNAS LÄN</t>
        </is>
      </c>
      <c r="E126" t="inlineStr">
        <is>
          <t>ORSA</t>
        </is>
      </c>
      <c r="F126" t="inlineStr">
        <is>
          <t>Bergvik skog öst AB</t>
        </is>
      </c>
      <c r="G126" t="n">
        <v>3.8</v>
      </c>
      <c r="H126" t="n">
        <v>0</v>
      </c>
      <c r="I126" t="n">
        <v>0</v>
      </c>
      <c r="J126" t="n">
        <v>0</v>
      </c>
      <c r="K126" t="n">
        <v>0</v>
      </c>
      <c r="L126" t="n">
        <v>0</v>
      </c>
      <c r="M126" t="n">
        <v>0</v>
      </c>
      <c r="N126" t="n">
        <v>0</v>
      </c>
      <c r="O126" t="n">
        <v>0</v>
      </c>
      <c r="P126" t="n">
        <v>0</v>
      </c>
      <c r="Q126" t="n">
        <v>0</v>
      </c>
      <c r="R126" s="2" t="inlineStr"/>
    </row>
    <row r="127" ht="15" customHeight="1">
      <c r="A127" t="inlineStr">
        <is>
          <t>A 51001-2021</t>
        </is>
      </c>
      <c r="B127" s="1" t="n">
        <v>44460.86221064815</v>
      </c>
      <c r="C127" s="1" t="n">
        <v>45935</v>
      </c>
      <c r="D127" t="inlineStr">
        <is>
          <t>DALARNAS LÄN</t>
        </is>
      </c>
      <c r="E127" t="inlineStr">
        <is>
          <t>ORSA</t>
        </is>
      </c>
      <c r="G127" t="n">
        <v>2.6</v>
      </c>
      <c r="H127" t="n">
        <v>0</v>
      </c>
      <c r="I127" t="n">
        <v>0</v>
      </c>
      <c r="J127" t="n">
        <v>0</v>
      </c>
      <c r="K127" t="n">
        <v>0</v>
      </c>
      <c r="L127" t="n">
        <v>0</v>
      </c>
      <c r="M127" t="n">
        <v>0</v>
      </c>
      <c r="N127" t="n">
        <v>0</v>
      </c>
      <c r="O127" t="n">
        <v>0</v>
      </c>
      <c r="P127" t="n">
        <v>0</v>
      </c>
      <c r="Q127" t="n">
        <v>0</v>
      </c>
      <c r="R127" s="2" t="inlineStr"/>
    </row>
    <row r="128" ht="15" customHeight="1">
      <c r="A128" t="inlineStr">
        <is>
          <t>A 892-2024</t>
        </is>
      </c>
      <c r="B128" s="1" t="n">
        <v>45301</v>
      </c>
      <c r="C128" s="1" t="n">
        <v>45935</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16585-2023</t>
        </is>
      </c>
      <c r="B129" s="1" t="n">
        <v>45030</v>
      </c>
      <c r="C129" s="1" t="n">
        <v>45935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44121-2025</t>
        </is>
      </c>
      <c r="B130" s="1" t="n">
        <v>45915.57792824074</v>
      </c>
      <c r="C130" s="1" t="n">
        <v>45935</v>
      </c>
      <c r="D130" t="inlineStr">
        <is>
          <t>DALARNAS LÄN</t>
        </is>
      </c>
      <c r="E130" t="inlineStr">
        <is>
          <t>ORSA</t>
        </is>
      </c>
      <c r="F130" t="inlineStr">
        <is>
          <t>Allmännings- och besparingsskogar</t>
        </is>
      </c>
      <c r="G130" t="n">
        <v>2.5</v>
      </c>
      <c r="H130" t="n">
        <v>0</v>
      </c>
      <c r="I130" t="n">
        <v>0</v>
      </c>
      <c r="J130" t="n">
        <v>0</v>
      </c>
      <c r="K130" t="n">
        <v>0</v>
      </c>
      <c r="L130" t="n">
        <v>0</v>
      </c>
      <c r="M130" t="n">
        <v>0</v>
      </c>
      <c r="N130" t="n">
        <v>0</v>
      </c>
      <c r="O130" t="n">
        <v>0</v>
      </c>
      <c r="P130" t="n">
        <v>0</v>
      </c>
      <c r="Q130" t="n">
        <v>0</v>
      </c>
      <c r="R130" s="2" t="inlineStr"/>
    </row>
    <row r="131" ht="15" customHeight="1">
      <c r="A131" t="inlineStr">
        <is>
          <t>A 44129-2025</t>
        </is>
      </c>
      <c r="B131" s="1" t="n">
        <v>45915.58392361111</v>
      </c>
      <c r="C131" s="1" t="n">
        <v>45935</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44053-2025</t>
        </is>
      </c>
      <c r="B132" s="1" t="n">
        <v>45915.51239583334</v>
      </c>
      <c r="C132" s="1" t="n">
        <v>45935</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43967-2025</t>
        </is>
      </c>
      <c r="B133" s="1" t="n">
        <v>45915.40188657407</v>
      </c>
      <c r="C133" s="1" t="n">
        <v>45935</v>
      </c>
      <c r="D133" t="inlineStr">
        <is>
          <t>DALARNAS LÄN</t>
        </is>
      </c>
      <c r="E133" t="inlineStr">
        <is>
          <t>ORSA</t>
        </is>
      </c>
      <c r="F133" t="inlineStr">
        <is>
          <t>Allmännings- och besparingsskogar</t>
        </is>
      </c>
      <c r="G133" t="n">
        <v>8.4</v>
      </c>
      <c r="H133" t="n">
        <v>0</v>
      </c>
      <c r="I133" t="n">
        <v>0</v>
      </c>
      <c r="J133" t="n">
        <v>0</v>
      </c>
      <c r="K133" t="n">
        <v>0</v>
      </c>
      <c r="L133" t="n">
        <v>0</v>
      </c>
      <c r="M133" t="n">
        <v>0</v>
      </c>
      <c r="N133" t="n">
        <v>0</v>
      </c>
      <c r="O133" t="n">
        <v>0</v>
      </c>
      <c r="P133" t="n">
        <v>0</v>
      </c>
      <c r="Q133" t="n">
        <v>0</v>
      </c>
      <c r="R133" s="2" t="inlineStr"/>
    </row>
    <row r="134" ht="15" customHeight="1">
      <c r="A134" t="inlineStr">
        <is>
          <t>A 30382-2023</t>
        </is>
      </c>
      <c r="B134" s="1" t="n">
        <v>45111</v>
      </c>
      <c r="C134" s="1" t="n">
        <v>45935</v>
      </c>
      <c r="D134" t="inlineStr">
        <is>
          <t>DALARNAS LÄN</t>
        </is>
      </c>
      <c r="E134" t="inlineStr">
        <is>
          <t>ORSA</t>
        </is>
      </c>
      <c r="F134" t="inlineStr">
        <is>
          <t>Bergvik skog öst AB</t>
        </is>
      </c>
      <c r="G134" t="n">
        <v>1.4</v>
      </c>
      <c r="H134" t="n">
        <v>0</v>
      </c>
      <c r="I134" t="n">
        <v>0</v>
      </c>
      <c r="J134" t="n">
        <v>0</v>
      </c>
      <c r="K134" t="n">
        <v>0</v>
      </c>
      <c r="L134" t="n">
        <v>0</v>
      </c>
      <c r="M134" t="n">
        <v>0</v>
      </c>
      <c r="N134" t="n">
        <v>0</v>
      </c>
      <c r="O134" t="n">
        <v>0</v>
      </c>
      <c r="P134" t="n">
        <v>0</v>
      </c>
      <c r="Q134" t="n">
        <v>0</v>
      </c>
      <c r="R134" s="2" t="inlineStr"/>
    </row>
    <row r="135" ht="15" customHeight="1">
      <c r="A135" t="inlineStr">
        <is>
          <t>A 54519-2023</t>
        </is>
      </c>
      <c r="B135" s="1" t="n">
        <v>45233.58359953704</v>
      </c>
      <c r="C135" s="1" t="n">
        <v>45935</v>
      </c>
      <c r="D135" t="inlineStr">
        <is>
          <t>DALARNAS LÄN</t>
        </is>
      </c>
      <c r="E135" t="inlineStr">
        <is>
          <t>ORSA</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43965-2025</t>
        </is>
      </c>
      <c r="B136" s="1" t="n">
        <v>45915.40027777778</v>
      </c>
      <c r="C136" s="1" t="n">
        <v>45935</v>
      </c>
      <c r="D136" t="inlineStr">
        <is>
          <t>DALARNAS LÄN</t>
        </is>
      </c>
      <c r="E136" t="inlineStr">
        <is>
          <t>ORSA</t>
        </is>
      </c>
      <c r="F136" t="inlineStr">
        <is>
          <t>Allmännings- och besparingsskogar</t>
        </is>
      </c>
      <c r="G136" t="n">
        <v>11.5</v>
      </c>
      <c r="H136" t="n">
        <v>0</v>
      </c>
      <c r="I136" t="n">
        <v>0</v>
      </c>
      <c r="J136" t="n">
        <v>0</v>
      </c>
      <c r="K136" t="n">
        <v>0</v>
      </c>
      <c r="L136" t="n">
        <v>0</v>
      </c>
      <c r="M136" t="n">
        <v>0</v>
      </c>
      <c r="N136" t="n">
        <v>0</v>
      </c>
      <c r="O136" t="n">
        <v>0</v>
      </c>
      <c r="P136" t="n">
        <v>0</v>
      </c>
      <c r="Q136" t="n">
        <v>0</v>
      </c>
      <c r="R136" s="2" t="inlineStr"/>
    </row>
    <row r="137" ht="15" customHeight="1">
      <c r="A137" t="inlineStr">
        <is>
          <t>A 10645-2025</t>
        </is>
      </c>
      <c r="B137" s="1" t="n">
        <v>45721.66297453704</v>
      </c>
      <c r="C137" s="1" t="n">
        <v>45935</v>
      </c>
      <c r="D137" t="inlineStr">
        <is>
          <t>DALARNAS LÄN</t>
        </is>
      </c>
      <c r="E137" t="inlineStr">
        <is>
          <t>ORSA</t>
        </is>
      </c>
      <c r="F137" t="inlineStr">
        <is>
          <t>Bergvik skog öst AB</t>
        </is>
      </c>
      <c r="G137" t="n">
        <v>5.8</v>
      </c>
      <c r="H137" t="n">
        <v>0</v>
      </c>
      <c r="I137" t="n">
        <v>0</v>
      </c>
      <c r="J137" t="n">
        <v>0</v>
      </c>
      <c r="K137" t="n">
        <v>0</v>
      </c>
      <c r="L137" t="n">
        <v>0</v>
      </c>
      <c r="M137" t="n">
        <v>0</v>
      </c>
      <c r="N137" t="n">
        <v>0</v>
      </c>
      <c r="O137" t="n">
        <v>0</v>
      </c>
      <c r="P137" t="n">
        <v>0</v>
      </c>
      <c r="Q137" t="n">
        <v>0</v>
      </c>
      <c r="R137" s="2" t="inlineStr"/>
    </row>
    <row r="138" ht="15" customHeight="1">
      <c r="A138" t="inlineStr">
        <is>
          <t>A 13185-2022</t>
        </is>
      </c>
      <c r="B138" s="1" t="n">
        <v>44644.48491898148</v>
      </c>
      <c r="C138" s="1" t="n">
        <v>45935</v>
      </c>
      <c r="D138" t="inlineStr">
        <is>
          <t>DALARNAS LÄN</t>
        </is>
      </c>
      <c r="E138" t="inlineStr">
        <is>
          <t>ORSA</t>
        </is>
      </c>
      <c r="G138" t="n">
        <v>0.6</v>
      </c>
      <c r="H138" t="n">
        <v>0</v>
      </c>
      <c r="I138" t="n">
        <v>0</v>
      </c>
      <c r="J138" t="n">
        <v>0</v>
      </c>
      <c r="K138" t="n">
        <v>0</v>
      </c>
      <c r="L138" t="n">
        <v>0</v>
      </c>
      <c r="M138" t="n">
        <v>0</v>
      </c>
      <c r="N138" t="n">
        <v>0</v>
      </c>
      <c r="O138" t="n">
        <v>0</v>
      </c>
      <c r="P138" t="n">
        <v>0</v>
      </c>
      <c r="Q138" t="n">
        <v>0</v>
      </c>
      <c r="R138" s="2" t="inlineStr"/>
    </row>
    <row r="139" ht="15" customHeight="1">
      <c r="A139" t="inlineStr">
        <is>
          <t>A 43778-2025</t>
        </is>
      </c>
      <c r="B139" s="1" t="n">
        <v>45912.5147337963</v>
      </c>
      <c r="C139" s="1" t="n">
        <v>45935</v>
      </c>
      <c r="D139" t="inlineStr">
        <is>
          <t>DALARNAS LÄN</t>
        </is>
      </c>
      <c r="E139" t="inlineStr">
        <is>
          <t>ORSA</t>
        </is>
      </c>
      <c r="G139" t="n">
        <v>1.1</v>
      </c>
      <c r="H139" t="n">
        <v>0</v>
      </c>
      <c r="I139" t="n">
        <v>0</v>
      </c>
      <c r="J139" t="n">
        <v>0</v>
      </c>
      <c r="K139" t="n">
        <v>0</v>
      </c>
      <c r="L139" t="n">
        <v>0</v>
      </c>
      <c r="M139" t="n">
        <v>0</v>
      </c>
      <c r="N139" t="n">
        <v>0</v>
      </c>
      <c r="O139" t="n">
        <v>0</v>
      </c>
      <c r="P139" t="n">
        <v>0</v>
      </c>
      <c r="Q139" t="n">
        <v>0</v>
      </c>
      <c r="R139" s="2" t="inlineStr"/>
    </row>
    <row r="140" ht="15" customHeight="1">
      <c r="A140" t="inlineStr">
        <is>
          <t>A 3168-2024</t>
        </is>
      </c>
      <c r="B140" s="1" t="n">
        <v>45316.62863425926</v>
      </c>
      <c r="C140" s="1" t="n">
        <v>45935</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36633-2025</t>
        </is>
      </c>
      <c r="B141" s="1" t="n">
        <v>45870</v>
      </c>
      <c r="C141" s="1" t="n">
        <v>45935</v>
      </c>
      <c r="D141" t="inlineStr">
        <is>
          <t>DALARNAS LÄN</t>
        </is>
      </c>
      <c r="E141" t="inlineStr">
        <is>
          <t>ORSA</t>
        </is>
      </c>
      <c r="G141" t="n">
        <v>0.9</v>
      </c>
      <c r="H141" t="n">
        <v>0</v>
      </c>
      <c r="I141" t="n">
        <v>0</v>
      </c>
      <c r="J141" t="n">
        <v>0</v>
      </c>
      <c r="K141" t="n">
        <v>0</v>
      </c>
      <c r="L141" t="n">
        <v>0</v>
      </c>
      <c r="M141" t="n">
        <v>0</v>
      </c>
      <c r="N141" t="n">
        <v>0</v>
      </c>
      <c r="O141" t="n">
        <v>0</v>
      </c>
      <c r="P141" t="n">
        <v>0</v>
      </c>
      <c r="Q141" t="n">
        <v>0</v>
      </c>
      <c r="R141" s="2" t="inlineStr"/>
    </row>
    <row r="142" ht="15" customHeight="1">
      <c r="A142" t="inlineStr">
        <is>
          <t>A 12101-2025</t>
        </is>
      </c>
      <c r="B142" s="1" t="n">
        <v>45729.33743055556</v>
      </c>
      <c r="C142" s="1" t="n">
        <v>45935</v>
      </c>
      <c r="D142" t="inlineStr">
        <is>
          <t>DALARNAS LÄN</t>
        </is>
      </c>
      <c r="E142" t="inlineStr">
        <is>
          <t>ORSA</t>
        </is>
      </c>
      <c r="G142" t="n">
        <v>1</v>
      </c>
      <c r="H142" t="n">
        <v>0</v>
      </c>
      <c r="I142" t="n">
        <v>0</v>
      </c>
      <c r="J142" t="n">
        <v>0</v>
      </c>
      <c r="K142" t="n">
        <v>0</v>
      </c>
      <c r="L142" t="n">
        <v>0</v>
      </c>
      <c r="M142" t="n">
        <v>0</v>
      </c>
      <c r="N142" t="n">
        <v>0</v>
      </c>
      <c r="O142" t="n">
        <v>0</v>
      </c>
      <c r="P142" t="n">
        <v>0</v>
      </c>
      <c r="Q142" t="n">
        <v>0</v>
      </c>
      <c r="R142" s="2" t="inlineStr"/>
    </row>
    <row r="143" ht="15" customHeight="1">
      <c r="A143" t="inlineStr">
        <is>
          <t>A 37852-2024</t>
        </is>
      </c>
      <c r="B143" s="1" t="n">
        <v>45544.3786574074</v>
      </c>
      <c r="C143" s="1" t="n">
        <v>45935</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53717-2024</t>
        </is>
      </c>
      <c r="B144" s="1" t="n">
        <v>45615.43141203704</v>
      </c>
      <c r="C144" s="1" t="n">
        <v>45935</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31688-2024</t>
        </is>
      </c>
      <c r="B145" s="1" t="n">
        <v>45507.46103009259</v>
      </c>
      <c r="C145" s="1" t="n">
        <v>45935</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56706-2021</t>
        </is>
      </c>
      <c r="B146" s="1" t="n">
        <v>44481.4037962963</v>
      </c>
      <c r="C146" s="1" t="n">
        <v>45935</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34125-2023</t>
        </is>
      </c>
      <c r="B147" s="1" t="n">
        <v>45135</v>
      </c>
      <c r="C147" s="1" t="n">
        <v>45935</v>
      </c>
      <c r="D147" t="inlineStr">
        <is>
          <t>DALARNAS LÄN</t>
        </is>
      </c>
      <c r="E147" t="inlineStr">
        <is>
          <t>ORSA</t>
        </is>
      </c>
      <c r="G147" t="n">
        <v>2.7</v>
      </c>
      <c r="H147" t="n">
        <v>0</v>
      </c>
      <c r="I147" t="n">
        <v>0</v>
      </c>
      <c r="J147" t="n">
        <v>0</v>
      </c>
      <c r="K147" t="n">
        <v>0</v>
      </c>
      <c r="L147" t="n">
        <v>0</v>
      </c>
      <c r="M147" t="n">
        <v>0</v>
      </c>
      <c r="N147" t="n">
        <v>0</v>
      </c>
      <c r="O147" t="n">
        <v>0</v>
      </c>
      <c r="P147" t="n">
        <v>0</v>
      </c>
      <c r="Q147" t="n">
        <v>0</v>
      </c>
      <c r="R147" s="2" t="inlineStr"/>
    </row>
    <row r="148" ht="15" customHeight="1">
      <c r="A148" t="inlineStr">
        <is>
          <t>A 28974-2024</t>
        </is>
      </c>
      <c r="B148" s="1" t="n">
        <v>45481.45445601852</v>
      </c>
      <c r="C148" s="1" t="n">
        <v>45935</v>
      </c>
      <c r="D148" t="inlineStr">
        <is>
          <t>DALARNAS LÄN</t>
        </is>
      </c>
      <c r="E148" t="inlineStr">
        <is>
          <t>ORSA</t>
        </is>
      </c>
      <c r="F148" t="inlineStr">
        <is>
          <t>Bergvik skog öst AB</t>
        </is>
      </c>
      <c r="G148" t="n">
        <v>0.6</v>
      </c>
      <c r="H148" t="n">
        <v>0</v>
      </c>
      <c r="I148" t="n">
        <v>0</v>
      </c>
      <c r="J148" t="n">
        <v>0</v>
      </c>
      <c r="K148" t="n">
        <v>0</v>
      </c>
      <c r="L148" t="n">
        <v>0</v>
      </c>
      <c r="M148" t="n">
        <v>0</v>
      </c>
      <c r="N148" t="n">
        <v>0</v>
      </c>
      <c r="O148" t="n">
        <v>0</v>
      </c>
      <c r="P148" t="n">
        <v>0</v>
      </c>
      <c r="Q148" t="n">
        <v>0</v>
      </c>
      <c r="R148" s="2" t="inlineStr"/>
    </row>
    <row r="149" ht="15" customHeight="1">
      <c r="A149" t="inlineStr">
        <is>
          <t>A 50999-2021</t>
        </is>
      </c>
      <c r="B149" s="1" t="n">
        <v>44460.85565972222</v>
      </c>
      <c r="C149" s="1" t="n">
        <v>45935</v>
      </c>
      <c r="D149" t="inlineStr">
        <is>
          <t>DALARNAS LÄN</t>
        </is>
      </c>
      <c r="E149" t="inlineStr">
        <is>
          <t>ORSA</t>
        </is>
      </c>
      <c r="G149" t="n">
        <v>3</v>
      </c>
      <c r="H149" t="n">
        <v>0</v>
      </c>
      <c r="I149" t="n">
        <v>0</v>
      </c>
      <c r="J149" t="n">
        <v>0</v>
      </c>
      <c r="K149" t="n">
        <v>0</v>
      </c>
      <c r="L149" t="n">
        <v>0</v>
      </c>
      <c r="M149" t="n">
        <v>0</v>
      </c>
      <c r="N149" t="n">
        <v>0</v>
      </c>
      <c r="O149" t="n">
        <v>0</v>
      </c>
      <c r="P149" t="n">
        <v>0</v>
      </c>
      <c r="Q149" t="n">
        <v>0</v>
      </c>
      <c r="R149" s="2" t="inlineStr"/>
    </row>
    <row r="150" ht="15" customHeight="1">
      <c r="A150" t="inlineStr">
        <is>
          <t>A 55691-2022</t>
        </is>
      </c>
      <c r="B150" s="1" t="n">
        <v>44888</v>
      </c>
      <c r="C150" s="1" t="n">
        <v>45935</v>
      </c>
      <c r="D150" t="inlineStr">
        <is>
          <t>DALARNAS LÄN</t>
        </is>
      </c>
      <c r="E150" t="inlineStr">
        <is>
          <t>ORSA</t>
        </is>
      </c>
      <c r="G150" t="n">
        <v>0.4</v>
      </c>
      <c r="H150" t="n">
        <v>0</v>
      </c>
      <c r="I150" t="n">
        <v>0</v>
      </c>
      <c r="J150" t="n">
        <v>0</v>
      </c>
      <c r="K150" t="n">
        <v>0</v>
      </c>
      <c r="L150" t="n">
        <v>0</v>
      </c>
      <c r="M150" t="n">
        <v>0</v>
      </c>
      <c r="N150" t="n">
        <v>0</v>
      </c>
      <c r="O150" t="n">
        <v>0</v>
      </c>
      <c r="P150" t="n">
        <v>0</v>
      </c>
      <c r="Q150" t="n">
        <v>0</v>
      </c>
      <c r="R150" s="2" t="inlineStr"/>
    </row>
    <row r="151" ht="15" customHeight="1">
      <c r="A151" t="inlineStr">
        <is>
          <t>A 29499-2024</t>
        </is>
      </c>
      <c r="B151" s="1" t="n">
        <v>45484</v>
      </c>
      <c r="C151" s="1" t="n">
        <v>45935</v>
      </c>
      <c r="D151" t="inlineStr">
        <is>
          <t>DALARNAS LÄN</t>
        </is>
      </c>
      <c r="E151" t="inlineStr">
        <is>
          <t>ORSA</t>
        </is>
      </c>
      <c r="G151" t="n">
        <v>1.7</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44354.6446875</v>
      </c>
      <c r="C152" s="1" t="n">
        <v>45935</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51303-2023</t>
        </is>
      </c>
      <c r="B153" s="1" t="n">
        <v>45219.55793981482</v>
      </c>
      <c r="C153" s="1" t="n">
        <v>45935</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593-2024</t>
        </is>
      </c>
      <c r="B154" s="1" t="n">
        <v>45299.63049768518</v>
      </c>
      <c r="C154" s="1" t="n">
        <v>45935</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49270-2024</t>
        </is>
      </c>
      <c r="B155" s="1" t="n">
        <v>45595.49896990741</v>
      </c>
      <c r="C155" s="1" t="n">
        <v>45935</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28082-2023</t>
        </is>
      </c>
      <c r="B156" s="1" t="n">
        <v>45099</v>
      </c>
      <c r="C156" s="1" t="n">
        <v>45935</v>
      </c>
      <c r="D156" t="inlineStr">
        <is>
          <t>DALARNAS LÄN</t>
        </is>
      </c>
      <c r="E156" t="inlineStr">
        <is>
          <t>ORSA</t>
        </is>
      </c>
      <c r="G156" t="n">
        <v>0.4</v>
      </c>
      <c r="H156" t="n">
        <v>0</v>
      </c>
      <c r="I156" t="n">
        <v>0</v>
      </c>
      <c r="J156" t="n">
        <v>0</v>
      </c>
      <c r="K156" t="n">
        <v>0</v>
      </c>
      <c r="L156" t="n">
        <v>0</v>
      </c>
      <c r="M156" t="n">
        <v>0</v>
      </c>
      <c r="N156" t="n">
        <v>0</v>
      </c>
      <c r="O156" t="n">
        <v>0</v>
      </c>
      <c r="P156" t="n">
        <v>0</v>
      </c>
      <c r="Q156" t="n">
        <v>0</v>
      </c>
      <c r="R156" s="2" t="inlineStr"/>
    </row>
    <row r="157" ht="15" customHeight="1">
      <c r="A157" t="inlineStr">
        <is>
          <t>A 53229-2023</t>
        </is>
      </c>
      <c r="B157" s="1" t="n">
        <v>45229.48306712963</v>
      </c>
      <c r="C157" s="1" t="n">
        <v>45935</v>
      </c>
      <c r="D157" t="inlineStr">
        <is>
          <t>DALARNAS LÄN</t>
        </is>
      </c>
      <c r="E157" t="inlineStr">
        <is>
          <t>ORSA</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37770-2023</t>
        </is>
      </c>
      <c r="B158" s="1" t="n">
        <v>45159</v>
      </c>
      <c r="C158" s="1" t="n">
        <v>45935</v>
      </c>
      <c r="D158" t="inlineStr">
        <is>
          <t>DALARNAS LÄN</t>
        </is>
      </c>
      <c r="E158" t="inlineStr">
        <is>
          <t>ORSA</t>
        </is>
      </c>
      <c r="G158" t="n">
        <v>2.6</v>
      </c>
      <c r="H158" t="n">
        <v>0</v>
      </c>
      <c r="I158" t="n">
        <v>0</v>
      </c>
      <c r="J158" t="n">
        <v>0</v>
      </c>
      <c r="K158" t="n">
        <v>0</v>
      </c>
      <c r="L158" t="n">
        <v>0</v>
      </c>
      <c r="M158" t="n">
        <v>0</v>
      </c>
      <c r="N158" t="n">
        <v>0</v>
      </c>
      <c r="O158" t="n">
        <v>0</v>
      </c>
      <c r="P158" t="n">
        <v>0</v>
      </c>
      <c r="Q158" t="n">
        <v>0</v>
      </c>
      <c r="R158" s="2" t="inlineStr"/>
    </row>
    <row r="159" ht="15" customHeight="1">
      <c r="A159" t="inlineStr">
        <is>
          <t>A 4553-2025</t>
        </is>
      </c>
      <c r="B159" s="1" t="n">
        <v>45687.42143518518</v>
      </c>
      <c r="C159" s="1" t="n">
        <v>45935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18312-2024</t>
        </is>
      </c>
      <c r="B160" s="1" t="n">
        <v>45422.48225694444</v>
      </c>
      <c r="C160" s="1" t="n">
        <v>45935</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2717-2024</t>
        </is>
      </c>
      <c r="B161" s="1" t="n">
        <v>45314.49222222222</v>
      </c>
      <c r="C161" s="1" t="n">
        <v>45935</v>
      </c>
      <c r="D161" t="inlineStr">
        <is>
          <t>DALARNAS LÄN</t>
        </is>
      </c>
      <c r="E161" t="inlineStr">
        <is>
          <t>ORSA</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37181-2025</t>
        </is>
      </c>
      <c r="B162" s="1" t="n">
        <v>45875.62668981482</v>
      </c>
      <c r="C162" s="1" t="n">
        <v>45935</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44531-2025</t>
        </is>
      </c>
      <c r="B163" s="1" t="n">
        <v>45916.77120370371</v>
      </c>
      <c r="C163" s="1" t="n">
        <v>45935</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45031-2025</t>
        </is>
      </c>
      <c r="B164" s="1" t="n">
        <v>45918.70020833334</v>
      </c>
      <c r="C164" s="1" t="n">
        <v>45935</v>
      </c>
      <c r="D164" t="inlineStr">
        <is>
          <t>DALARNAS LÄN</t>
        </is>
      </c>
      <c r="E164" t="inlineStr">
        <is>
          <t>ORSA</t>
        </is>
      </c>
      <c r="G164" t="n">
        <v>5</v>
      </c>
      <c r="H164" t="n">
        <v>0</v>
      </c>
      <c r="I164" t="n">
        <v>0</v>
      </c>
      <c r="J164" t="n">
        <v>0</v>
      </c>
      <c r="K164" t="n">
        <v>0</v>
      </c>
      <c r="L164" t="n">
        <v>0</v>
      </c>
      <c r="M164" t="n">
        <v>0</v>
      </c>
      <c r="N164" t="n">
        <v>0</v>
      </c>
      <c r="O164" t="n">
        <v>0</v>
      </c>
      <c r="P164" t="n">
        <v>0</v>
      </c>
      <c r="Q164" t="n">
        <v>0</v>
      </c>
      <c r="R164" s="2" t="inlineStr"/>
    </row>
    <row r="165" ht="15" customHeight="1">
      <c r="A165" t="inlineStr">
        <is>
          <t>A 51567-2023</t>
        </is>
      </c>
      <c r="B165" s="1" t="n">
        <v>45222.44800925926</v>
      </c>
      <c r="C165" s="1" t="n">
        <v>45935</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37439-2025</t>
        </is>
      </c>
      <c r="B166" s="1" t="n">
        <v>45877.53644675926</v>
      </c>
      <c r="C166" s="1" t="n">
        <v>45935</v>
      </c>
      <c r="D166" t="inlineStr">
        <is>
          <t>DALARNAS LÄN</t>
        </is>
      </c>
      <c r="E166" t="inlineStr">
        <is>
          <t>ORSA</t>
        </is>
      </c>
      <c r="F166" t="inlineStr">
        <is>
          <t>Allmännings- och besparingsskogar</t>
        </is>
      </c>
      <c r="G166" t="n">
        <v>7.9</v>
      </c>
      <c r="H166" t="n">
        <v>0</v>
      </c>
      <c r="I166" t="n">
        <v>0</v>
      </c>
      <c r="J166" t="n">
        <v>0</v>
      </c>
      <c r="K166" t="n">
        <v>0</v>
      </c>
      <c r="L166" t="n">
        <v>0</v>
      </c>
      <c r="M166" t="n">
        <v>0</v>
      </c>
      <c r="N166" t="n">
        <v>0</v>
      </c>
      <c r="O166" t="n">
        <v>0</v>
      </c>
      <c r="P166" t="n">
        <v>0</v>
      </c>
      <c r="Q166" t="n">
        <v>0</v>
      </c>
      <c r="R166" s="2" t="inlineStr"/>
    </row>
    <row r="167" ht="15" customHeight="1">
      <c r="A167" t="inlineStr">
        <is>
          <t>A 37457-2025</t>
        </is>
      </c>
      <c r="B167" s="1" t="n">
        <v>45877.56829861111</v>
      </c>
      <c r="C167" s="1" t="n">
        <v>45935</v>
      </c>
      <c r="D167" t="inlineStr">
        <is>
          <t>DALARNAS LÄN</t>
        </is>
      </c>
      <c r="E167" t="inlineStr">
        <is>
          <t>ORSA</t>
        </is>
      </c>
      <c r="F167" t="inlineStr">
        <is>
          <t>Allmännings- och besparingsskogar</t>
        </is>
      </c>
      <c r="G167" t="n">
        <v>6.5</v>
      </c>
      <c r="H167" t="n">
        <v>0</v>
      </c>
      <c r="I167" t="n">
        <v>0</v>
      </c>
      <c r="J167" t="n">
        <v>0</v>
      </c>
      <c r="K167" t="n">
        <v>0</v>
      </c>
      <c r="L167" t="n">
        <v>0</v>
      </c>
      <c r="M167" t="n">
        <v>0</v>
      </c>
      <c r="N167" t="n">
        <v>0</v>
      </c>
      <c r="O167" t="n">
        <v>0</v>
      </c>
      <c r="P167" t="n">
        <v>0</v>
      </c>
      <c r="Q167" t="n">
        <v>0</v>
      </c>
      <c r="R167" s="2" t="inlineStr"/>
    </row>
    <row r="168" ht="15" customHeight="1">
      <c r="A168" t="inlineStr">
        <is>
          <t>A 45155-2025</t>
        </is>
      </c>
      <c r="B168" s="1" t="n">
        <v>45919.47872685185</v>
      </c>
      <c r="C168" s="1" t="n">
        <v>45935</v>
      </c>
      <c r="D168" t="inlineStr">
        <is>
          <t>DALARNAS LÄN</t>
        </is>
      </c>
      <c r="E168" t="inlineStr">
        <is>
          <t>ORSA</t>
        </is>
      </c>
      <c r="G168" t="n">
        <v>1.5</v>
      </c>
      <c r="H168" t="n">
        <v>0</v>
      </c>
      <c r="I168" t="n">
        <v>0</v>
      </c>
      <c r="J168" t="n">
        <v>0</v>
      </c>
      <c r="K168" t="n">
        <v>0</v>
      </c>
      <c r="L168" t="n">
        <v>0</v>
      </c>
      <c r="M168" t="n">
        <v>0</v>
      </c>
      <c r="N168" t="n">
        <v>0</v>
      </c>
      <c r="O168" t="n">
        <v>0</v>
      </c>
      <c r="P168" t="n">
        <v>0</v>
      </c>
      <c r="Q168" t="n">
        <v>0</v>
      </c>
      <c r="R168" s="2" t="inlineStr"/>
    </row>
    <row r="169" ht="15" customHeight="1">
      <c r="A169" t="inlineStr">
        <is>
          <t>A 37496-2025</t>
        </is>
      </c>
      <c r="B169" s="1" t="n">
        <v>45877.64424768519</v>
      </c>
      <c r="C169" s="1" t="n">
        <v>45935</v>
      </c>
      <c r="D169" t="inlineStr">
        <is>
          <t>DALARNAS LÄN</t>
        </is>
      </c>
      <c r="E169" t="inlineStr">
        <is>
          <t>ORSA</t>
        </is>
      </c>
      <c r="F169" t="inlineStr">
        <is>
          <t>Bergvik skog öst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37445-2025</t>
        </is>
      </c>
      <c r="B170" s="1" t="n">
        <v>45877.54615740741</v>
      </c>
      <c r="C170" s="1" t="n">
        <v>45935</v>
      </c>
      <c r="D170" t="inlineStr">
        <is>
          <t>DALARNAS LÄN</t>
        </is>
      </c>
      <c r="E170" t="inlineStr">
        <is>
          <t>ORSA</t>
        </is>
      </c>
      <c r="F170" t="inlineStr">
        <is>
          <t>Bergvik skog öst AB</t>
        </is>
      </c>
      <c r="G170" t="n">
        <v>13.4</v>
      </c>
      <c r="H170" t="n">
        <v>0</v>
      </c>
      <c r="I170" t="n">
        <v>0</v>
      </c>
      <c r="J170" t="n">
        <v>0</v>
      </c>
      <c r="K170" t="n">
        <v>0</v>
      </c>
      <c r="L170" t="n">
        <v>0</v>
      </c>
      <c r="M170" t="n">
        <v>0</v>
      </c>
      <c r="N170" t="n">
        <v>0</v>
      </c>
      <c r="O170" t="n">
        <v>0</v>
      </c>
      <c r="P170" t="n">
        <v>0</v>
      </c>
      <c r="Q170" t="n">
        <v>0</v>
      </c>
      <c r="R170" s="2" t="inlineStr"/>
    </row>
    <row r="171" ht="15" customHeight="1">
      <c r="A171" t="inlineStr">
        <is>
          <t>A 17518-2025</t>
        </is>
      </c>
      <c r="B171" s="1" t="n">
        <v>45757.57597222222</v>
      </c>
      <c r="C171" s="1" t="n">
        <v>45935</v>
      </c>
      <c r="D171" t="inlineStr">
        <is>
          <t>DALARNAS LÄN</t>
        </is>
      </c>
      <c r="E171" t="inlineStr">
        <is>
          <t>ORSA</t>
        </is>
      </c>
      <c r="F171" t="inlineStr">
        <is>
          <t>Bergvik skog öst AB</t>
        </is>
      </c>
      <c r="G171" t="n">
        <v>7.3</v>
      </c>
      <c r="H171" t="n">
        <v>0</v>
      </c>
      <c r="I171" t="n">
        <v>0</v>
      </c>
      <c r="J171" t="n">
        <v>0</v>
      </c>
      <c r="K171" t="n">
        <v>0</v>
      </c>
      <c r="L171" t="n">
        <v>0</v>
      </c>
      <c r="M171" t="n">
        <v>0</v>
      </c>
      <c r="N171" t="n">
        <v>0</v>
      </c>
      <c r="O171" t="n">
        <v>0</v>
      </c>
      <c r="P171" t="n">
        <v>0</v>
      </c>
      <c r="Q171" t="n">
        <v>0</v>
      </c>
      <c r="R171" s="2" t="inlineStr"/>
    </row>
    <row r="172" ht="15" customHeight="1">
      <c r="A172" t="inlineStr">
        <is>
          <t>A 51574-2023</t>
        </is>
      </c>
      <c r="B172" s="1" t="n">
        <v>45222.45090277777</v>
      </c>
      <c r="C172" s="1" t="n">
        <v>45935</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29485-2022</t>
        </is>
      </c>
      <c r="B173" s="1" t="n">
        <v>44753</v>
      </c>
      <c r="C173" s="1" t="n">
        <v>45935</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9466-2023</t>
        </is>
      </c>
      <c r="B174" s="1" t="n">
        <v>44981</v>
      </c>
      <c r="C174" s="1" t="n">
        <v>45935</v>
      </c>
      <c r="D174" t="inlineStr">
        <is>
          <t>DALARNAS LÄN</t>
        </is>
      </c>
      <c r="E174" t="inlineStr">
        <is>
          <t>ORSA</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23461-2023</t>
        </is>
      </c>
      <c r="B175" s="1" t="n">
        <v>45076</v>
      </c>
      <c r="C175" s="1" t="n">
        <v>45935</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46454-2024</t>
        </is>
      </c>
      <c r="B176" s="1" t="n">
        <v>45582</v>
      </c>
      <c r="C176" s="1" t="n">
        <v>45935</v>
      </c>
      <c r="D176" t="inlineStr">
        <is>
          <t>DALARNAS LÄN</t>
        </is>
      </c>
      <c r="E176" t="inlineStr">
        <is>
          <t>ORSA</t>
        </is>
      </c>
      <c r="F176" t="inlineStr">
        <is>
          <t>Övriga statliga verk och myndigheter</t>
        </is>
      </c>
      <c r="G176" t="n">
        <v>1</v>
      </c>
      <c r="H176" t="n">
        <v>0</v>
      </c>
      <c r="I176" t="n">
        <v>0</v>
      </c>
      <c r="J176" t="n">
        <v>0</v>
      </c>
      <c r="K176" t="n">
        <v>0</v>
      </c>
      <c r="L176" t="n">
        <v>0</v>
      </c>
      <c r="M176" t="n">
        <v>0</v>
      </c>
      <c r="N176" t="n">
        <v>0</v>
      </c>
      <c r="O176" t="n">
        <v>0</v>
      </c>
      <c r="P176" t="n">
        <v>0</v>
      </c>
      <c r="Q176" t="n">
        <v>0</v>
      </c>
      <c r="R176" s="2" t="inlineStr"/>
    </row>
    <row r="177" ht="15" customHeight="1">
      <c r="A177" t="inlineStr">
        <is>
          <t>A 72310-2021</t>
        </is>
      </c>
      <c r="B177" s="1" t="n">
        <v>44545</v>
      </c>
      <c r="C177" s="1" t="n">
        <v>45935</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60803-2022</t>
        </is>
      </c>
      <c r="B178" s="1" t="n">
        <v>44914</v>
      </c>
      <c r="C178" s="1" t="n">
        <v>45935</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1624-2024</t>
        </is>
      </c>
      <c r="B179" s="1" t="n">
        <v>45306</v>
      </c>
      <c r="C179" s="1" t="n">
        <v>45935</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47134-2024</t>
        </is>
      </c>
      <c r="B180" s="1" t="n">
        <v>45586.58081018519</v>
      </c>
      <c r="C180" s="1" t="n">
        <v>45935</v>
      </c>
      <c r="D180" t="inlineStr">
        <is>
          <t>DALARNAS LÄN</t>
        </is>
      </c>
      <c r="E180" t="inlineStr">
        <is>
          <t>ORSA</t>
        </is>
      </c>
      <c r="G180" t="n">
        <v>0.3</v>
      </c>
      <c r="H180" t="n">
        <v>0</v>
      </c>
      <c r="I180" t="n">
        <v>0</v>
      </c>
      <c r="J180" t="n">
        <v>0</v>
      </c>
      <c r="K180" t="n">
        <v>0</v>
      </c>
      <c r="L180" t="n">
        <v>0</v>
      </c>
      <c r="M180" t="n">
        <v>0</v>
      </c>
      <c r="N180" t="n">
        <v>0</v>
      </c>
      <c r="O180" t="n">
        <v>0</v>
      </c>
      <c r="P180" t="n">
        <v>0</v>
      </c>
      <c r="Q180" t="n">
        <v>0</v>
      </c>
      <c r="R180" s="2" t="inlineStr"/>
    </row>
    <row r="181" ht="15" customHeight="1">
      <c r="A181" t="inlineStr">
        <is>
          <t>A 37897-2025</t>
        </is>
      </c>
      <c r="B181" s="1" t="n">
        <v>45881.55274305555</v>
      </c>
      <c r="C181" s="1" t="n">
        <v>45935</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37899-2025</t>
        </is>
      </c>
      <c r="B182" s="1" t="n">
        <v>45881.56083333334</v>
      </c>
      <c r="C182" s="1" t="n">
        <v>45935</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7628-2025</t>
        </is>
      </c>
      <c r="B183" s="1" t="n">
        <v>45705.73394675926</v>
      </c>
      <c r="C183" s="1" t="n">
        <v>45935</v>
      </c>
      <c r="D183" t="inlineStr">
        <is>
          <t>DALARNAS LÄN</t>
        </is>
      </c>
      <c r="E183" t="inlineStr">
        <is>
          <t>ORSA</t>
        </is>
      </c>
      <c r="G183" t="n">
        <v>1.8</v>
      </c>
      <c r="H183" t="n">
        <v>0</v>
      </c>
      <c r="I183" t="n">
        <v>0</v>
      </c>
      <c r="J183" t="n">
        <v>0</v>
      </c>
      <c r="K183" t="n">
        <v>0</v>
      </c>
      <c r="L183" t="n">
        <v>0</v>
      </c>
      <c r="M183" t="n">
        <v>0</v>
      </c>
      <c r="N183" t="n">
        <v>0</v>
      </c>
      <c r="O183" t="n">
        <v>0</v>
      </c>
      <c r="P183" t="n">
        <v>0</v>
      </c>
      <c r="Q183" t="n">
        <v>0</v>
      </c>
      <c r="R183" s="2" t="inlineStr"/>
    </row>
    <row r="184" ht="15" customHeight="1">
      <c r="A184" t="inlineStr">
        <is>
          <t>A 19505-2022</t>
        </is>
      </c>
      <c r="B184" s="1" t="n">
        <v>44693</v>
      </c>
      <c r="C184" s="1" t="n">
        <v>45935</v>
      </c>
      <c r="D184" t="inlineStr">
        <is>
          <t>DALARNAS LÄN</t>
        </is>
      </c>
      <c r="E184" t="inlineStr">
        <is>
          <t>ORSA</t>
        </is>
      </c>
      <c r="G184" t="n">
        <v>2.7</v>
      </c>
      <c r="H184" t="n">
        <v>0</v>
      </c>
      <c r="I184" t="n">
        <v>0</v>
      </c>
      <c r="J184" t="n">
        <v>0</v>
      </c>
      <c r="K184" t="n">
        <v>0</v>
      </c>
      <c r="L184" t="n">
        <v>0</v>
      </c>
      <c r="M184" t="n">
        <v>0</v>
      </c>
      <c r="N184" t="n">
        <v>0</v>
      </c>
      <c r="O184" t="n">
        <v>0</v>
      </c>
      <c r="P184" t="n">
        <v>0</v>
      </c>
      <c r="Q184" t="n">
        <v>0</v>
      </c>
      <c r="R184" s="2" t="inlineStr"/>
    </row>
    <row r="185" ht="15" customHeight="1">
      <c r="A185" t="inlineStr">
        <is>
          <t>A 61685-2024</t>
        </is>
      </c>
      <c r="B185" s="1" t="n">
        <v>45647.56972222222</v>
      </c>
      <c r="C185" s="1" t="n">
        <v>45935</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6939-2021</t>
        </is>
      </c>
      <c r="B186" s="1" t="n">
        <v>44237</v>
      </c>
      <c r="C186" s="1" t="n">
        <v>45935</v>
      </c>
      <c r="D186" t="inlineStr">
        <is>
          <t>DALARNAS LÄN</t>
        </is>
      </c>
      <c r="E186" t="inlineStr">
        <is>
          <t>ORSA</t>
        </is>
      </c>
      <c r="F186" t="inlineStr">
        <is>
          <t>Övriga statliga verk och myndigheter</t>
        </is>
      </c>
      <c r="G186" t="n">
        <v>1.5</v>
      </c>
      <c r="H186" t="n">
        <v>0</v>
      </c>
      <c r="I186" t="n">
        <v>0</v>
      </c>
      <c r="J186" t="n">
        <v>0</v>
      </c>
      <c r="K186" t="n">
        <v>0</v>
      </c>
      <c r="L186" t="n">
        <v>0</v>
      </c>
      <c r="M186" t="n">
        <v>0</v>
      </c>
      <c r="N186" t="n">
        <v>0</v>
      </c>
      <c r="O186" t="n">
        <v>0</v>
      </c>
      <c r="P186" t="n">
        <v>0</v>
      </c>
      <c r="Q186" t="n">
        <v>0</v>
      </c>
      <c r="R186" s="2" t="inlineStr"/>
    </row>
    <row r="187" ht="15" customHeight="1">
      <c r="A187" t="inlineStr">
        <is>
          <t>A 30290-2024</t>
        </is>
      </c>
      <c r="B187" s="1" t="n">
        <v>45490.64681712963</v>
      </c>
      <c r="C187" s="1" t="n">
        <v>45935</v>
      </c>
      <c r="D187" t="inlineStr">
        <is>
          <t>DALARNAS LÄN</t>
        </is>
      </c>
      <c r="E187" t="inlineStr">
        <is>
          <t>ORSA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34169-2023</t>
        </is>
      </c>
      <c r="B188" s="1" t="n">
        <v>45138.3071412037</v>
      </c>
      <c r="C188" s="1" t="n">
        <v>45935</v>
      </c>
      <c r="D188" t="inlineStr">
        <is>
          <t>DALARNAS LÄN</t>
        </is>
      </c>
      <c r="E188" t="inlineStr">
        <is>
          <t>ORSA</t>
        </is>
      </c>
      <c r="F188" t="inlineStr">
        <is>
          <t>Allmännings- och besparingsskogar</t>
        </is>
      </c>
      <c r="G188" t="n">
        <v>0.7</v>
      </c>
      <c r="H188" t="n">
        <v>0</v>
      </c>
      <c r="I188" t="n">
        <v>0</v>
      </c>
      <c r="J188" t="n">
        <v>0</v>
      </c>
      <c r="K188" t="n">
        <v>0</v>
      </c>
      <c r="L188" t="n">
        <v>0</v>
      </c>
      <c r="M188" t="n">
        <v>0</v>
      </c>
      <c r="N188" t="n">
        <v>0</v>
      </c>
      <c r="O188" t="n">
        <v>0</v>
      </c>
      <c r="P188" t="n">
        <v>0</v>
      </c>
      <c r="Q188" t="n">
        <v>0</v>
      </c>
      <c r="R188" s="2" t="inlineStr"/>
    </row>
    <row r="189" ht="15" customHeight="1">
      <c r="A189" t="inlineStr">
        <is>
          <t>A 7534-2025</t>
        </is>
      </c>
      <c r="B189" s="1" t="n">
        <v>45705.56287037037</v>
      </c>
      <c r="C189" s="1" t="n">
        <v>45935</v>
      </c>
      <c r="D189" t="inlineStr">
        <is>
          <t>DALARNAS LÄN</t>
        </is>
      </c>
      <c r="E189" t="inlineStr">
        <is>
          <t>ORSA</t>
        </is>
      </c>
      <c r="G189" t="n">
        <v>1.1</v>
      </c>
      <c r="H189" t="n">
        <v>0</v>
      </c>
      <c r="I189" t="n">
        <v>0</v>
      </c>
      <c r="J189" t="n">
        <v>0</v>
      </c>
      <c r="K189" t="n">
        <v>0</v>
      </c>
      <c r="L189" t="n">
        <v>0</v>
      </c>
      <c r="M189" t="n">
        <v>0</v>
      </c>
      <c r="N189" t="n">
        <v>0</v>
      </c>
      <c r="O189" t="n">
        <v>0</v>
      </c>
      <c r="P189" t="n">
        <v>0</v>
      </c>
      <c r="Q189" t="n">
        <v>0</v>
      </c>
      <c r="R189" s="2" t="inlineStr"/>
    </row>
    <row r="190" ht="15" customHeight="1">
      <c r="A190" t="inlineStr">
        <is>
          <t>A 13575-2025</t>
        </is>
      </c>
      <c r="B190" s="1" t="n">
        <v>45736.57871527778</v>
      </c>
      <c r="C190" s="1" t="n">
        <v>45935</v>
      </c>
      <c r="D190" t="inlineStr">
        <is>
          <t>DALARNAS LÄN</t>
        </is>
      </c>
      <c r="E190" t="inlineStr">
        <is>
          <t>ORSA</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37836-2024</t>
        </is>
      </c>
      <c r="B191" s="1" t="n">
        <v>45544.35747685185</v>
      </c>
      <c r="C191" s="1" t="n">
        <v>45935</v>
      </c>
      <c r="D191" t="inlineStr">
        <is>
          <t>DALARNAS LÄN</t>
        </is>
      </c>
      <c r="E191" t="inlineStr">
        <is>
          <t>ORSA</t>
        </is>
      </c>
      <c r="G191" t="n">
        <v>2.3</v>
      </c>
      <c r="H191" t="n">
        <v>0</v>
      </c>
      <c r="I191" t="n">
        <v>0</v>
      </c>
      <c r="J191" t="n">
        <v>0</v>
      </c>
      <c r="K191" t="n">
        <v>0</v>
      </c>
      <c r="L191" t="n">
        <v>0</v>
      </c>
      <c r="M191" t="n">
        <v>0</v>
      </c>
      <c r="N191" t="n">
        <v>0</v>
      </c>
      <c r="O191" t="n">
        <v>0</v>
      </c>
      <c r="P191" t="n">
        <v>0</v>
      </c>
      <c r="Q191" t="n">
        <v>0</v>
      </c>
      <c r="R191" s="2" t="inlineStr"/>
    </row>
    <row r="192" ht="15" customHeight="1">
      <c r="A192" t="inlineStr">
        <is>
          <t>A 15870-2025</t>
        </is>
      </c>
      <c r="B192" s="1" t="n">
        <v>45749.37135416667</v>
      </c>
      <c r="C192" s="1" t="n">
        <v>45935</v>
      </c>
      <c r="D192" t="inlineStr">
        <is>
          <t>DALARNAS LÄN</t>
        </is>
      </c>
      <c r="E192" t="inlineStr">
        <is>
          <t>ORSA</t>
        </is>
      </c>
      <c r="F192" t="inlineStr">
        <is>
          <t>Bergvik skog öst AB</t>
        </is>
      </c>
      <c r="G192" t="n">
        <v>2.7</v>
      </c>
      <c r="H192" t="n">
        <v>0</v>
      </c>
      <c r="I192" t="n">
        <v>0</v>
      </c>
      <c r="J192" t="n">
        <v>0</v>
      </c>
      <c r="K192" t="n">
        <v>0</v>
      </c>
      <c r="L192" t="n">
        <v>0</v>
      </c>
      <c r="M192" t="n">
        <v>0</v>
      </c>
      <c r="N192" t="n">
        <v>0</v>
      </c>
      <c r="O192" t="n">
        <v>0</v>
      </c>
      <c r="P192" t="n">
        <v>0</v>
      </c>
      <c r="Q192" t="n">
        <v>0</v>
      </c>
      <c r="R192" s="2" t="inlineStr"/>
    </row>
    <row r="193" ht="15" customHeight="1">
      <c r="A193" t="inlineStr">
        <is>
          <t>A 27146-2021</t>
        </is>
      </c>
      <c r="B193" s="1" t="n">
        <v>44350</v>
      </c>
      <c r="C193" s="1" t="n">
        <v>45935</v>
      </c>
      <c r="D193" t="inlineStr">
        <is>
          <t>DALARNAS LÄN</t>
        </is>
      </c>
      <c r="E193" t="inlineStr">
        <is>
          <t>ORSA</t>
        </is>
      </c>
      <c r="G193" t="n">
        <v>1</v>
      </c>
      <c r="H193" t="n">
        <v>0</v>
      </c>
      <c r="I193" t="n">
        <v>0</v>
      </c>
      <c r="J193" t="n">
        <v>0</v>
      </c>
      <c r="K193" t="n">
        <v>0</v>
      </c>
      <c r="L193" t="n">
        <v>0</v>
      </c>
      <c r="M193" t="n">
        <v>0</v>
      </c>
      <c r="N193" t="n">
        <v>0</v>
      </c>
      <c r="O193" t="n">
        <v>0</v>
      </c>
      <c r="P193" t="n">
        <v>0</v>
      </c>
      <c r="Q193" t="n">
        <v>0</v>
      </c>
      <c r="R193" s="2" t="inlineStr"/>
    </row>
    <row r="194" ht="15" customHeight="1">
      <c r="A194" t="inlineStr">
        <is>
          <t>A 58793-2023</t>
        </is>
      </c>
      <c r="B194" s="1" t="n">
        <v>45252.34607638889</v>
      </c>
      <c r="C194" s="1" t="n">
        <v>45935</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34374-2024</t>
        </is>
      </c>
      <c r="B195" s="1" t="n">
        <v>45525.40091435185</v>
      </c>
      <c r="C195" s="1" t="n">
        <v>45935</v>
      </c>
      <c r="D195" t="inlineStr">
        <is>
          <t>DALARNAS LÄN</t>
        </is>
      </c>
      <c r="E195" t="inlineStr">
        <is>
          <t>ORSA</t>
        </is>
      </c>
      <c r="G195" t="n">
        <v>0.5</v>
      </c>
      <c r="H195" t="n">
        <v>0</v>
      </c>
      <c r="I195" t="n">
        <v>0</v>
      </c>
      <c r="J195" t="n">
        <v>0</v>
      </c>
      <c r="K195" t="n">
        <v>0</v>
      </c>
      <c r="L195" t="n">
        <v>0</v>
      </c>
      <c r="M195" t="n">
        <v>0</v>
      </c>
      <c r="N195" t="n">
        <v>0</v>
      </c>
      <c r="O195" t="n">
        <v>0</v>
      </c>
      <c r="P195" t="n">
        <v>0</v>
      </c>
      <c r="Q195" t="n">
        <v>0</v>
      </c>
      <c r="R195" s="2" t="inlineStr"/>
    </row>
    <row r="196" ht="15" customHeight="1">
      <c r="A196" t="inlineStr">
        <is>
          <t>A 36427-2023</t>
        </is>
      </c>
      <c r="B196" s="1" t="n">
        <v>45152.60333333333</v>
      </c>
      <c r="C196" s="1" t="n">
        <v>45935</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47126-2021</t>
        </is>
      </c>
      <c r="B197" s="1" t="n">
        <v>44446.78168981482</v>
      </c>
      <c r="C197" s="1" t="n">
        <v>45935</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29025-2023</t>
        </is>
      </c>
      <c r="B198" s="1" t="n">
        <v>45104.70399305555</v>
      </c>
      <c r="C198" s="1" t="n">
        <v>45935</v>
      </c>
      <c r="D198" t="inlineStr">
        <is>
          <t>DALARNAS LÄN</t>
        </is>
      </c>
      <c r="E198" t="inlineStr">
        <is>
          <t>ORSA</t>
        </is>
      </c>
      <c r="G198" t="n">
        <v>6.6</v>
      </c>
      <c r="H198" t="n">
        <v>0</v>
      </c>
      <c r="I198" t="n">
        <v>0</v>
      </c>
      <c r="J198" t="n">
        <v>0</v>
      </c>
      <c r="K198" t="n">
        <v>0</v>
      </c>
      <c r="L198" t="n">
        <v>0</v>
      </c>
      <c r="M198" t="n">
        <v>0</v>
      </c>
      <c r="N198" t="n">
        <v>0</v>
      </c>
      <c r="O198" t="n">
        <v>0</v>
      </c>
      <c r="P198" t="n">
        <v>0</v>
      </c>
      <c r="Q198" t="n">
        <v>0</v>
      </c>
      <c r="R198" s="2" t="inlineStr"/>
    </row>
    <row r="199" ht="15" customHeight="1">
      <c r="A199" t="inlineStr">
        <is>
          <t>A 52033-2023</t>
        </is>
      </c>
      <c r="B199" s="1" t="n">
        <v>45223.62680555556</v>
      </c>
      <c r="C199" s="1" t="n">
        <v>45935</v>
      </c>
      <c r="D199" t="inlineStr">
        <is>
          <t>DALARNAS LÄN</t>
        </is>
      </c>
      <c r="E199" t="inlineStr">
        <is>
          <t>ORSA</t>
        </is>
      </c>
      <c r="G199" t="n">
        <v>11.5</v>
      </c>
      <c r="H199" t="n">
        <v>0</v>
      </c>
      <c r="I199" t="n">
        <v>0</v>
      </c>
      <c r="J199" t="n">
        <v>0</v>
      </c>
      <c r="K199" t="n">
        <v>0</v>
      </c>
      <c r="L199" t="n">
        <v>0</v>
      </c>
      <c r="M199" t="n">
        <v>0</v>
      </c>
      <c r="N199" t="n">
        <v>0</v>
      </c>
      <c r="O199" t="n">
        <v>0</v>
      </c>
      <c r="P199" t="n">
        <v>0</v>
      </c>
      <c r="Q199" t="n">
        <v>0</v>
      </c>
      <c r="R199" s="2" t="inlineStr"/>
    </row>
    <row r="200" ht="15" customHeight="1">
      <c r="A200" t="inlineStr">
        <is>
          <t>A 17500-2025</t>
        </is>
      </c>
      <c r="B200" s="1" t="n">
        <v>45757.54954861111</v>
      </c>
      <c r="C200" s="1" t="n">
        <v>45935</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6171-2025</t>
        </is>
      </c>
      <c r="B201" s="1" t="n">
        <v>45698.43287037037</v>
      </c>
      <c r="C201" s="1" t="n">
        <v>45935</v>
      </c>
      <c r="D201" t="inlineStr">
        <is>
          <t>DALARNAS LÄN</t>
        </is>
      </c>
      <c r="E201" t="inlineStr">
        <is>
          <t>ORSA</t>
        </is>
      </c>
      <c r="G201" t="n">
        <v>11.1</v>
      </c>
      <c r="H201" t="n">
        <v>0</v>
      </c>
      <c r="I201" t="n">
        <v>0</v>
      </c>
      <c r="J201" t="n">
        <v>0</v>
      </c>
      <c r="K201" t="n">
        <v>0</v>
      </c>
      <c r="L201" t="n">
        <v>0</v>
      </c>
      <c r="M201" t="n">
        <v>0</v>
      </c>
      <c r="N201" t="n">
        <v>0</v>
      </c>
      <c r="O201" t="n">
        <v>0</v>
      </c>
      <c r="P201" t="n">
        <v>0</v>
      </c>
      <c r="Q201" t="n">
        <v>0</v>
      </c>
      <c r="R201" s="2" t="inlineStr"/>
    </row>
    <row r="202" ht="15" customHeight="1">
      <c r="A202" t="inlineStr">
        <is>
          <t>A 54546-2024</t>
        </is>
      </c>
      <c r="B202" s="1" t="n">
        <v>45617.61476851852</v>
      </c>
      <c r="C202" s="1" t="n">
        <v>45935</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55534-2023</t>
        </is>
      </c>
      <c r="B203" s="1" t="n">
        <v>45238</v>
      </c>
      <c r="C203" s="1" t="n">
        <v>45935</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45935</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26301-2023</t>
        </is>
      </c>
      <c r="B205" s="1" t="n">
        <v>45091</v>
      </c>
      <c r="C205" s="1" t="n">
        <v>45935</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13236-2022</t>
        </is>
      </c>
      <c r="B206" s="1" t="n">
        <v>44644.61106481482</v>
      </c>
      <c r="C206" s="1" t="n">
        <v>45935</v>
      </c>
      <c r="D206" t="inlineStr">
        <is>
          <t>DALARNAS LÄN</t>
        </is>
      </c>
      <c r="E206" t="inlineStr">
        <is>
          <t>ORSA</t>
        </is>
      </c>
      <c r="G206" t="n">
        <v>0.5</v>
      </c>
      <c r="H206" t="n">
        <v>0</v>
      </c>
      <c r="I206" t="n">
        <v>0</v>
      </c>
      <c r="J206" t="n">
        <v>0</v>
      </c>
      <c r="K206" t="n">
        <v>0</v>
      </c>
      <c r="L206" t="n">
        <v>0</v>
      </c>
      <c r="M206" t="n">
        <v>0</v>
      </c>
      <c r="N206" t="n">
        <v>0</v>
      </c>
      <c r="O206" t="n">
        <v>0</v>
      </c>
      <c r="P206" t="n">
        <v>0</v>
      </c>
      <c r="Q206" t="n">
        <v>0</v>
      </c>
      <c r="R206" s="2" t="inlineStr"/>
    </row>
    <row r="207" ht="15" customHeight="1">
      <c r="A207" t="inlineStr">
        <is>
          <t>A 8429-2024</t>
        </is>
      </c>
      <c r="B207" s="1" t="n">
        <v>45353.38880787037</v>
      </c>
      <c r="C207" s="1" t="n">
        <v>45935</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48990-2023</t>
        </is>
      </c>
      <c r="B208" s="1" t="n">
        <v>45209.64740740741</v>
      </c>
      <c r="C208" s="1" t="n">
        <v>45935</v>
      </c>
      <c r="D208" t="inlineStr">
        <is>
          <t>DALARNAS LÄN</t>
        </is>
      </c>
      <c r="E208" t="inlineStr">
        <is>
          <t>ORSA</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45803-2025</t>
        </is>
      </c>
      <c r="B209" s="1" t="n">
        <v>45923.58125</v>
      </c>
      <c r="C209" s="1" t="n">
        <v>45935</v>
      </c>
      <c r="D209" t="inlineStr">
        <is>
          <t>DALARNAS LÄN</t>
        </is>
      </c>
      <c r="E209" t="inlineStr">
        <is>
          <t>ORSA</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37893-2025</t>
        </is>
      </c>
      <c r="B210" s="1" t="n">
        <v>45881.54469907407</v>
      </c>
      <c r="C210" s="1" t="n">
        <v>45935</v>
      </c>
      <c r="D210" t="inlineStr">
        <is>
          <t>DALARNAS LÄN</t>
        </is>
      </c>
      <c r="E210" t="inlineStr">
        <is>
          <t>ORSA</t>
        </is>
      </c>
      <c r="G210" t="n">
        <v>4.4</v>
      </c>
      <c r="H210" t="n">
        <v>0</v>
      </c>
      <c r="I210" t="n">
        <v>0</v>
      </c>
      <c r="J210" t="n">
        <v>0</v>
      </c>
      <c r="K210" t="n">
        <v>0</v>
      </c>
      <c r="L210" t="n">
        <v>0</v>
      </c>
      <c r="M210" t="n">
        <v>0</v>
      </c>
      <c r="N210" t="n">
        <v>0</v>
      </c>
      <c r="O210" t="n">
        <v>0</v>
      </c>
      <c r="P210" t="n">
        <v>0</v>
      </c>
      <c r="Q210" t="n">
        <v>0</v>
      </c>
      <c r="R210" s="2" t="inlineStr"/>
    </row>
    <row r="211" ht="15" customHeight="1">
      <c r="A211" t="inlineStr">
        <is>
          <t>A 37906-2025</t>
        </is>
      </c>
      <c r="B211" s="1" t="n">
        <v>45881.56803240741</v>
      </c>
      <c r="C211" s="1" t="n">
        <v>45935</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10261-2022</t>
        </is>
      </c>
      <c r="B212" s="1" t="n">
        <v>44622.6445949074</v>
      </c>
      <c r="C212" s="1" t="n">
        <v>45935</v>
      </c>
      <c r="D212" t="inlineStr">
        <is>
          <t>DALARNAS LÄN</t>
        </is>
      </c>
      <c r="E212" t="inlineStr">
        <is>
          <t>ORSA</t>
        </is>
      </c>
      <c r="G212" t="n">
        <v>3.1</v>
      </c>
      <c r="H212" t="n">
        <v>0</v>
      </c>
      <c r="I212" t="n">
        <v>0</v>
      </c>
      <c r="J212" t="n">
        <v>0</v>
      </c>
      <c r="K212" t="n">
        <v>0</v>
      </c>
      <c r="L212" t="n">
        <v>0</v>
      </c>
      <c r="M212" t="n">
        <v>0</v>
      </c>
      <c r="N212" t="n">
        <v>0</v>
      </c>
      <c r="O212" t="n">
        <v>0</v>
      </c>
      <c r="P212" t="n">
        <v>0</v>
      </c>
      <c r="Q212" t="n">
        <v>0</v>
      </c>
      <c r="R212" s="2" t="inlineStr"/>
    </row>
    <row r="213" ht="15" customHeight="1">
      <c r="A213" t="inlineStr">
        <is>
          <t>A 46272-2025</t>
        </is>
      </c>
      <c r="B213" s="1" t="n">
        <v>45925.36988425926</v>
      </c>
      <c r="C213" s="1" t="n">
        <v>45935</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46279-2025</t>
        </is>
      </c>
      <c r="B214" s="1" t="n">
        <v>45925.37534722222</v>
      </c>
      <c r="C214" s="1" t="n">
        <v>45935</v>
      </c>
      <c r="D214" t="inlineStr">
        <is>
          <t>DALARNAS LÄN</t>
        </is>
      </c>
      <c r="E214" t="inlineStr">
        <is>
          <t>ORSA</t>
        </is>
      </c>
      <c r="G214" t="n">
        <v>2.2</v>
      </c>
      <c r="H214" t="n">
        <v>0</v>
      </c>
      <c r="I214" t="n">
        <v>0</v>
      </c>
      <c r="J214" t="n">
        <v>0</v>
      </c>
      <c r="K214" t="n">
        <v>0</v>
      </c>
      <c r="L214" t="n">
        <v>0</v>
      </c>
      <c r="M214" t="n">
        <v>0</v>
      </c>
      <c r="N214" t="n">
        <v>0</v>
      </c>
      <c r="O214" t="n">
        <v>0</v>
      </c>
      <c r="P214" t="n">
        <v>0</v>
      </c>
      <c r="Q214" t="n">
        <v>0</v>
      </c>
      <c r="R214" s="2" t="inlineStr"/>
    </row>
    <row r="215" ht="15" customHeight="1">
      <c r="A215" t="inlineStr">
        <is>
          <t>A 17848-2025</t>
        </is>
      </c>
      <c r="B215" s="1" t="n">
        <v>45758.59981481481</v>
      </c>
      <c r="C215" s="1" t="n">
        <v>45935</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58853-2022</t>
        </is>
      </c>
      <c r="B216" s="1" t="n">
        <v>44903</v>
      </c>
      <c r="C216" s="1" t="n">
        <v>45935</v>
      </c>
      <c r="D216" t="inlineStr">
        <is>
          <t>DALARNAS LÄN</t>
        </is>
      </c>
      <c r="E216" t="inlineStr">
        <is>
          <t>ORSA</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30291-2024</t>
        </is>
      </c>
      <c r="B217" s="1" t="n">
        <v>45490.64978009259</v>
      </c>
      <c r="C217" s="1" t="n">
        <v>45935</v>
      </c>
      <c r="D217" t="inlineStr">
        <is>
          <t>DALARNAS LÄN</t>
        </is>
      </c>
      <c r="E217" t="inlineStr">
        <is>
          <t>ORSA</t>
        </is>
      </c>
      <c r="F217" t="inlineStr">
        <is>
          <t>Bergvik skog öst AB</t>
        </is>
      </c>
      <c r="G217" t="n">
        <v>7.5</v>
      </c>
      <c r="H217" t="n">
        <v>0</v>
      </c>
      <c r="I217" t="n">
        <v>0</v>
      </c>
      <c r="J217" t="n">
        <v>0</v>
      </c>
      <c r="K217" t="n">
        <v>0</v>
      </c>
      <c r="L217" t="n">
        <v>0</v>
      </c>
      <c r="M217" t="n">
        <v>0</v>
      </c>
      <c r="N217" t="n">
        <v>0</v>
      </c>
      <c r="O217" t="n">
        <v>0</v>
      </c>
      <c r="P217" t="n">
        <v>0</v>
      </c>
      <c r="Q217" t="n">
        <v>0</v>
      </c>
      <c r="R217" s="2" t="inlineStr"/>
    </row>
    <row r="218" ht="15" customHeight="1">
      <c r="A218" t="inlineStr">
        <is>
          <t>A 47579-2023</t>
        </is>
      </c>
      <c r="B218" s="1" t="n">
        <v>45203.42181712963</v>
      </c>
      <c r="C218" s="1" t="n">
        <v>45935</v>
      </c>
      <c r="D218" t="inlineStr">
        <is>
          <t>DALARNAS LÄN</t>
        </is>
      </c>
      <c r="E218" t="inlineStr">
        <is>
          <t>ORSA</t>
        </is>
      </c>
      <c r="G218" t="n">
        <v>2.9</v>
      </c>
      <c r="H218" t="n">
        <v>0</v>
      </c>
      <c r="I218" t="n">
        <v>0</v>
      </c>
      <c r="J218" t="n">
        <v>0</v>
      </c>
      <c r="K218" t="n">
        <v>0</v>
      </c>
      <c r="L218" t="n">
        <v>0</v>
      </c>
      <c r="M218" t="n">
        <v>0</v>
      </c>
      <c r="N218" t="n">
        <v>0</v>
      </c>
      <c r="O218" t="n">
        <v>0</v>
      </c>
      <c r="P218" t="n">
        <v>0</v>
      </c>
      <c r="Q218" t="n">
        <v>0</v>
      </c>
      <c r="R218" s="2" t="inlineStr"/>
    </row>
    <row r="219" ht="15" customHeight="1">
      <c r="A219" t="inlineStr">
        <is>
          <t>A 61684-2024</t>
        </is>
      </c>
      <c r="B219" s="1" t="n">
        <v>45647.56491898148</v>
      </c>
      <c r="C219" s="1" t="n">
        <v>45935</v>
      </c>
      <c r="D219" t="inlineStr">
        <is>
          <t>DALARNAS LÄN</t>
        </is>
      </c>
      <c r="E219" t="inlineStr">
        <is>
          <t>ORSA</t>
        </is>
      </c>
      <c r="G219" t="n">
        <v>5.8</v>
      </c>
      <c r="H219" t="n">
        <v>0</v>
      </c>
      <c r="I219" t="n">
        <v>0</v>
      </c>
      <c r="J219" t="n">
        <v>0</v>
      </c>
      <c r="K219" t="n">
        <v>0</v>
      </c>
      <c r="L219" t="n">
        <v>0</v>
      </c>
      <c r="M219" t="n">
        <v>0</v>
      </c>
      <c r="N219" t="n">
        <v>0</v>
      </c>
      <c r="O219" t="n">
        <v>0</v>
      </c>
      <c r="P219" t="n">
        <v>0</v>
      </c>
      <c r="Q219" t="n">
        <v>0</v>
      </c>
      <c r="R219" s="2" t="inlineStr"/>
    </row>
    <row r="220" ht="15" customHeight="1">
      <c r="A220" t="inlineStr">
        <is>
          <t>A 11784-2024</t>
        </is>
      </c>
      <c r="B220" s="1" t="n">
        <v>45374.67886574074</v>
      </c>
      <c r="C220" s="1" t="n">
        <v>45935</v>
      </c>
      <c r="D220" t="inlineStr">
        <is>
          <t>DALARNAS LÄN</t>
        </is>
      </c>
      <c r="E220" t="inlineStr">
        <is>
          <t>ORSA</t>
        </is>
      </c>
      <c r="G220" t="n">
        <v>1.7</v>
      </c>
      <c r="H220" t="n">
        <v>0</v>
      </c>
      <c r="I220" t="n">
        <v>0</v>
      </c>
      <c r="J220" t="n">
        <v>0</v>
      </c>
      <c r="K220" t="n">
        <v>0</v>
      </c>
      <c r="L220" t="n">
        <v>0</v>
      </c>
      <c r="M220" t="n">
        <v>0</v>
      </c>
      <c r="N220" t="n">
        <v>0</v>
      </c>
      <c r="O220" t="n">
        <v>0</v>
      </c>
      <c r="P220" t="n">
        <v>0</v>
      </c>
      <c r="Q220" t="n">
        <v>0</v>
      </c>
      <c r="R220" s="2" t="inlineStr"/>
    </row>
    <row r="221" ht="15" customHeight="1">
      <c r="A221" t="inlineStr">
        <is>
          <t>A 55338-2022</t>
        </is>
      </c>
      <c r="B221" s="1" t="n">
        <v>44887.45185185185</v>
      </c>
      <c r="C221" s="1" t="n">
        <v>45935</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8430-2024</t>
        </is>
      </c>
      <c r="B222" s="1" t="n">
        <v>45353.41157407407</v>
      </c>
      <c r="C222" s="1" t="n">
        <v>45935</v>
      </c>
      <c r="D222" t="inlineStr">
        <is>
          <t>DALARNAS LÄN</t>
        </is>
      </c>
      <c r="E222" t="inlineStr">
        <is>
          <t>ORSA</t>
        </is>
      </c>
      <c r="G222" t="n">
        <v>14.4</v>
      </c>
      <c r="H222" t="n">
        <v>0</v>
      </c>
      <c r="I222" t="n">
        <v>0</v>
      </c>
      <c r="J222" t="n">
        <v>0</v>
      </c>
      <c r="K222" t="n">
        <v>0</v>
      </c>
      <c r="L222" t="n">
        <v>0</v>
      </c>
      <c r="M222" t="n">
        <v>0</v>
      </c>
      <c r="N222" t="n">
        <v>0</v>
      </c>
      <c r="O222" t="n">
        <v>0</v>
      </c>
      <c r="P222" t="n">
        <v>0</v>
      </c>
      <c r="Q222" t="n">
        <v>0</v>
      </c>
      <c r="R222" s="2" t="inlineStr"/>
    </row>
    <row r="223" ht="15" customHeight="1">
      <c r="A223" t="inlineStr">
        <is>
          <t>A 15114-2025</t>
        </is>
      </c>
      <c r="B223" s="1" t="n">
        <v>45744.36232638889</v>
      </c>
      <c r="C223" s="1" t="n">
        <v>45935</v>
      </c>
      <c r="D223" t="inlineStr">
        <is>
          <t>DALARNAS LÄN</t>
        </is>
      </c>
      <c r="E223" t="inlineStr">
        <is>
          <t>ORSA</t>
        </is>
      </c>
      <c r="F223" t="inlineStr">
        <is>
          <t>Allmännings- och besparingsskogar</t>
        </is>
      </c>
      <c r="G223" t="n">
        <v>1.9</v>
      </c>
      <c r="H223" t="n">
        <v>0</v>
      </c>
      <c r="I223" t="n">
        <v>0</v>
      </c>
      <c r="J223" t="n">
        <v>0</v>
      </c>
      <c r="K223" t="n">
        <v>0</v>
      </c>
      <c r="L223" t="n">
        <v>0</v>
      </c>
      <c r="M223" t="n">
        <v>0</v>
      </c>
      <c r="N223" t="n">
        <v>0</v>
      </c>
      <c r="O223" t="n">
        <v>0</v>
      </c>
      <c r="P223" t="n">
        <v>0</v>
      </c>
      <c r="Q223" t="n">
        <v>0</v>
      </c>
      <c r="R223" s="2" t="inlineStr"/>
    </row>
    <row r="224" ht="15" customHeight="1">
      <c r="A224" t="inlineStr">
        <is>
          <t>A 46242-2025</t>
        </is>
      </c>
      <c r="B224" s="1" t="n">
        <v>45925.31876157408</v>
      </c>
      <c r="C224" s="1" t="n">
        <v>45935</v>
      </c>
      <c r="D224" t="inlineStr">
        <is>
          <t>DALARNAS LÄN</t>
        </is>
      </c>
      <c r="E224" t="inlineStr">
        <is>
          <t>ORSA</t>
        </is>
      </c>
      <c r="G224" t="n">
        <v>5.6</v>
      </c>
      <c r="H224" t="n">
        <v>0</v>
      </c>
      <c r="I224" t="n">
        <v>0</v>
      </c>
      <c r="J224" t="n">
        <v>0</v>
      </c>
      <c r="K224" t="n">
        <v>0</v>
      </c>
      <c r="L224" t="n">
        <v>0</v>
      </c>
      <c r="M224" t="n">
        <v>0</v>
      </c>
      <c r="N224" t="n">
        <v>0</v>
      </c>
      <c r="O224" t="n">
        <v>0</v>
      </c>
      <c r="P224" t="n">
        <v>0</v>
      </c>
      <c r="Q224" t="n">
        <v>0</v>
      </c>
      <c r="R224" s="2" t="inlineStr"/>
    </row>
    <row r="225" ht="15" customHeight="1">
      <c r="A225" t="inlineStr">
        <is>
          <t>A 10359-2023</t>
        </is>
      </c>
      <c r="B225" s="1" t="n">
        <v>44987.37292824074</v>
      </c>
      <c r="C225" s="1" t="n">
        <v>45935</v>
      </c>
      <c r="D225" t="inlineStr">
        <is>
          <t>DALARNAS LÄN</t>
        </is>
      </c>
      <c r="E225" t="inlineStr">
        <is>
          <t>ORSA</t>
        </is>
      </c>
      <c r="G225" t="n">
        <v>2.5</v>
      </c>
      <c r="H225" t="n">
        <v>0</v>
      </c>
      <c r="I225" t="n">
        <v>0</v>
      </c>
      <c r="J225" t="n">
        <v>0</v>
      </c>
      <c r="K225" t="n">
        <v>0</v>
      </c>
      <c r="L225" t="n">
        <v>0</v>
      </c>
      <c r="M225" t="n">
        <v>0</v>
      </c>
      <c r="N225" t="n">
        <v>0</v>
      </c>
      <c r="O225" t="n">
        <v>0</v>
      </c>
      <c r="P225" t="n">
        <v>0</v>
      </c>
      <c r="Q225" t="n">
        <v>0</v>
      </c>
      <c r="R225" s="2" t="inlineStr"/>
    </row>
    <row r="226" ht="15" customHeight="1">
      <c r="A226" t="inlineStr">
        <is>
          <t>A 46421-2025</t>
        </is>
      </c>
      <c r="B226" s="1" t="n">
        <v>45925.59936342593</v>
      </c>
      <c r="C226" s="1" t="n">
        <v>45935</v>
      </c>
      <c r="D226" t="inlineStr">
        <is>
          <t>DALARNAS LÄN</t>
        </is>
      </c>
      <c r="E226" t="inlineStr">
        <is>
          <t>ORSA</t>
        </is>
      </c>
      <c r="F226" t="inlineStr">
        <is>
          <t>Allmännings- och besparingsskogar</t>
        </is>
      </c>
      <c r="G226" t="n">
        <v>6.2</v>
      </c>
      <c r="H226" t="n">
        <v>0</v>
      </c>
      <c r="I226" t="n">
        <v>0</v>
      </c>
      <c r="J226" t="n">
        <v>0</v>
      </c>
      <c r="K226" t="n">
        <v>0</v>
      </c>
      <c r="L226" t="n">
        <v>0</v>
      </c>
      <c r="M226" t="n">
        <v>0</v>
      </c>
      <c r="N226" t="n">
        <v>0</v>
      </c>
      <c r="O226" t="n">
        <v>0</v>
      </c>
      <c r="P226" t="n">
        <v>0</v>
      </c>
      <c r="Q226" t="n">
        <v>0</v>
      </c>
      <c r="R226" s="2" t="inlineStr"/>
    </row>
    <row r="227" ht="15" customHeight="1">
      <c r="A227" t="inlineStr">
        <is>
          <t>A 46277-2025</t>
        </is>
      </c>
      <c r="B227" s="1" t="n">
        <v>45925.37229166667</v>
      </c>
      <c r="C227" s="1" t="n">
        <v>45935</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46402-2025</t>
        </is>
      </c>
      <c r="B228" s="1" t="n">
        <v>45925.56084490741</v>
      </c>
      <c r="C228" s="1" t="n">
        <v>45935</v>
      </c>
      <c r="D228" t="inlineStr">
        <is>
          <t>DALARNAS LÄN</t>
        </is>
      </c>
      <c r="E228" t="inlineStr">
        <is>
          <t>ORSA</t>
        </is>
      </c>
      <c r="F228" t="inlineStr">
        <is>
          <t>Allmännings- och besparingsskogar</t>
        </is>
      </c>
      <c r="G228" t="n">
        <v>0.7</v>
      </c>
      <c r="H228" t="n">
        <v>0</v>
      </c>
      <c r="I228" t="n">
        <v>0</v>
      </c>
      <c r="J228" t="n">
        <v>0</v>
      </c>
      <c r="K228" t="n">
        <v>0</v>
      </c>
      <c r="L228" t="n">
        <v>0</v>
      </c>
      <c r="M228" t="n">
        <v>0</v>
      </c>
      <c r="N228" t="n">
        <v>0</v>
      </c>
      <c r="O228" t="n">
        <v>0</v>
      </c>
      <c r="P228" t="n">
        <v>0</v>
      </c>
      <c r="Q228" t="n">
        <v>0</v>
      </c>
      <c r="R228" s="2" t="inlineStr"/>
    </row>
    <row r="229" ht="15" customHeight="1">
      <c r="A229" t="inlineStr">
        <is>
          <t>A 23350-2024</t>
        </is>
      </c>
      <c r="B229" s="1" t="n">
        <v>45453</v>
      </c>
      <c r="C229" s="1" t="n">
        <v>45935</v>
      </c>
      <c r="D229" t="inlineStr">
        <is>
          <t>DALARNAS LÄN</t>
        </is>
      </c>
      <c r="E229" t="inlineStr">
        <is>
          <t>ORSA</t>
        </is>
      </c>
      <c r="G229" t="n">
        <v>18.7</v>
      </c>
      <c r="H229" t="n">
        <v>0</v>
      </c>
      <c r="I229" t="n">
        <v>0</v>
      </c>
      <c r="J229" t="n">
        <v>0</v>
      </c>
      <c r="K229" t="n">
        <v>0</v>
      </c>
      <c r="L229" t="n">
        <v>0</v>
      </c>
      <c r="M229" t="n">
        <v>0</v>
      </c>
      <c r="N229" t="n">
        <v>0</v>
      </c>
      <c r="O229" t="n">
        <v>0</v>
      </c>
      <c r="P229" t="n">
        <v>0</v>
      </c>
      <c r="Q229" t="n">
        <v>0</v>
      </c>
      <c r="R229" s="2" t="inlineStr"/>
    </row>
    <row r="230" ht="15" customHeight="1">
      <c r="A230" t="inlineStr">
        <is>
          <t>A 3951-2023</t>
        </is>
      </c>
      <c r="B230" s="1" t="n">
        <v>44952.38577546296</v>
      </c>
      <c r="C230" s="1" t="n">
        <v>45935</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6097-2025</t>
        </is>
      </c>
      <c r="B231" s="1" t="n">
        <v>45697</v>
      </c>
      <c r="C231" s="1" t="n">
        <v>45935</v>
      </c>
      <c r="D231" t="inlineStr">
        <is>
          <t>DALARNAS LÄN</t>
        </is>
      </c>
      <c r="E231" t="inlineStr">
        <is>
          <t>ORSA</t>
        </is>
      </c>
      <c r="G231" t="n">
        <v>11.1</v>
      </c>
      <c r="H231" t="n">
        <v>0</v>
      </c>
      <c r="I231" t="n">
        <v>0</v>
      </c>
      <c r="J231" t="n">
        <v>0</v>
      </c>
      <c r="K231" t="n">
        <v>0</v>
      </c>
      <c r="L231" t="n">
        <v>0</v>
      </c>
      <c r="M231" t="n">
        <v>0</v>
      </c>
      <c r="N231" t="n">
        <v>0</v>
      </c>
      <c r="O231" t="n">
        <v>0</v>
      </c>
      <c r="P231" t="n">
        <v>0</v>
      </c>
      <c r="Q231" t="n">
        <v>0</v>
      </c>
      <c r="R231" s="2" t="inlineStr"/>
    </row>
    <row r="232" ht="15" customHeight="1">
      <c r="A232" t="inlineStr">
        <is>
          <t>A 38588-2025</t>
        </is>
      </c>
      <c r="B232" s="1" t="n">
        <v>45884.47355324074</v>
      </c>
      <c r="C232" s="1" t="n">
        <v>45935</v>
      </c>
      <c r="D232" t="inlineStr">
        <is>
          <t>DALARNAS LÄN</t>
        </is>
      </c>
      <c r="E232" t="inlineStr">
        <is>
          <t>ORSA</t>
        </is>
      </c>
      <c r="F232" t="inlineStr">
        <is>
          <t>Bergvik skog öst AB</t>
        </is>
      </c>
      <c r="G232" t="n">
        <v>9.5</v>
      </c>
      <c r="H232" t="n">
        <v>0</v>
      </c>
      <c r="I232" t="n">
        <v>0</v>
      </c>
      <c r="J232" t="n">
        <v>0</v>
      </c>
      <c r="K232" t="n">
        <v>0</v>
      </c>
      <c r="L232" t="n">
        <v>0</v>
      </c>
      <c r="M232" t="n">
        <v>0</v>
      </c>
      <c r="N232" t="n">
        <v>0</v>
      </c>
      <c r="O232" t="n">
        <v>0</v>
      </c>
      <c r="P232" t="n">
        <v>0</v>
      </c>
      <c r="Q232" t="n">
        <v>0</v>
      </c>
      <c r="R232" s="2" t="inlineStr"/>
    </row>
    <row r="233" ht="15" customHeight="1">
      <c r="A233" t="inlineStr">
        <is>
          <t>A 49814-2023</t>
        </is>
      </c>
      <c r="B233" s="1" t="n">
        <v>45212.67149305555</v>
      </c>
      <c r="C233" s="1" t="n">
        <v>45935</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57533-2022</t>
        </is>
      </c>
      <c r="B234" s="1" t="n">
        <v>44896.68393518519</v>
      </c>
      <c r="C234" s="1" t="n">
        <v>45935</v>
      </c>
      <c r="D234" t="inlineStr">
        <is>
          <t>DALARNAS LÄN</t>
        </is>
      </c>
      <c r="E234" t="inlineStr">
        <is>
          <t>ORSA</t>
        </is>
      </c>
      <c r="F234" t="inlineStr">
        <is>
          <t>Bergvik skog öst AB</t>
        </is>
      </c>
      <c r="G234" t="n">
        <v>2.2</v>
      </c>
      <c r="H234" t="n">
        <v>0</v>
      </c>
      <c r="I234" t="n">
        <v>0</v>
      </c>
      <c r="J234" t="n">
        <v>0</v>
      </c>
      <c r="K234" t="n">
        <v>0</v>
      </c>
      <c r="L234" t="n">
        <v>0</v>
      </c>
      <c r="M234" t="n">
        <v>0</v>
      </c>
      <c r="N234" t="n">
        <v>0</v>
      </c>
      <c r="O234" t="n">
        <v>0</v>
      </c>
      <c r="P234" t="n">
        <v>0</v>
      </c>
      <c r="Q234" t="n">
        <v>0</v>
      </c>
      <c r="R234" s="2" t="inlineStr"/>
    </row>
    <row r="235" ht="15" customHeight="1">
      <c r="A235" t="inlineStr">
        <is>
          <t>A 25591-2022</t>
        </is>
      </c>
      <c r="B235" s="1" t="n">
        <v>44732.67958333333</v>
      </c>
      <c r="C235" s="1" t="n">
        <v>45935</v>
      </c>
      <c r="D235" t="inlineStr">
        <is>
          <t>DALARNAS LÄN</t>
        </is>
      </c>
      <c r="E235" t="inlineStr">
        <is>
          <t>ORSA</t>
        </is>
      </c>
      <c r="G235" t="n">
        <v>6</v>
      </c>
      <c r="H235" t="n">
        <v>0</v>
      </c>
      <c r="I235" t="n">
        <v>0</v>
      </c>
      <c r="J235" t="n">
        <v>0</v>
      </c>
      <c r="K235" t="n">
        <v>0</v>
      </c>
      <c r="L235" t="n">
        <v>0</v>
      </c>
      <c r="M235" t="n">
        <v>0</v>
      </c>
      <c r="N235" t="n">
        <v>0</v>
      </c>
      <c r="O235" t="n">
        <v>0</v>
      </c>
      <c r="P235" t="n">
        <v>0</v>
      </c>
      <c r="Q235" t="n">
        <v>0</v>
      </c>
      <c r="R235" s="2" t="inlineStr"/>
    </row>
    <row r="236" ht="15" customHeight="1">
      <c r="A236" t="inlineStr">
        <is>
          <t>A 67189-2020</t>
        </is>
      </c>
      <c r="B236" s="1" t="n">
        <v>44180</v>
      </c>
      <c r="C236" s="1" t="n">
        <v>45935</v>
      </c>
      <c r="D236" t="inlineStr">
        <is>
          <t>DALARNAS LÄN</t>
        </is>
      </c>
      <c r="E236" t="inlineStr">
        <is>
          <t>ORSA</t>
        </is>
      </c>
      <c r="F236" t="inlineStr">
        <is>
          <t>Allmännings- och besparingsskogar</t>
        </is>
      </c>
      <c r="G236" t="n">
        <v>5</v>
      </c>
      <c r="H236" t="n">
        <v>0</v>
      </c>
      <c r="I236" t="n">
        <v>0</v>
      </c>
      <c r="J236" t="n">
        <v>0</v>
      </c>
      <c r="K236" t="n">
        <v>0</v>
      </c>
      <c r="L236" t="n">
        <v>0</v>
      </c>
      <c r="M236" t="n">
        <v>0</v>
      </c>
      <c r="N236" t="n">
        <v>0</v>
      </c>
      <c r="O236" t="n">
        <v>0</v>
      </c>
      <c r="P236" t="n">
        <v>0</v>
      </c>
      <c r="Q236" t="n">
        <v>0</v>
      </c>
      <c r="R236" s="2" t="inlineStr"/>
    </row>
    <row r="237" ht="15" customHeight="1">
      <c r="A237" t="inlineStr">
        <is>
          <t>A 47778-2021</t>
        </is>
      </c>
      <c r="B237" s="1" t="n">
        <v>44448</v>
      </c>
      <c r="C237" s="1" t="n">
        <v>45935</v>
      </c>
      <c r="D237" t="inlineStr">
        <is>
          <t>DALARNAS LÄN</t>
        </is>
      </c>
      <c r="E237" t="inlineStr">
        <is>
          <t>ORSA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60189-2022</t>
        </is>
      </c>
      <c r="B238" s="1" t="n">
        <v>44910.36798611111</v>
      </c>
      <c r="C238" s="1" t="n">
        <v>45935</v>
      </c>
      <c r="D238" t="inlineStr">
        <is>
          <t>DALARNAS LÄN</t>
        </is>
      </c>
      <c r="E238" t="inlineStr">
        <is>
          <t>ORSA</t>
        </is>
      </c>
      <c r="F238" t="inlineStr">
        <is>
          <t>Bergvik skog öst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15772-2025</t>
        </is>
      </c>
      <c r="B239" s="1" t="n">
        <v>45748.59069444444</v>
      </c>
      <c r="C239" s="1" t="n">
        <v>45935</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38844-2025</t>
        </is>
      </c>
      <c r="B240" s="1" t="n">
        <v>45887.54075231482</v>
      </c>
      <c r="C240" s="1" t="n">
        <v>45935</v>
      </c>
      <c r="D240" t="inlineStr">
        <is>
          <t>DALARNAS LÄN</t>
        </is>
      </c>
      <c r="E240" t="inlineStr">
        <is>
          <t>ORSA</t>
        </is>
      </c>
      <c r="G240" t="n">
        <v>1.6</v>
      </c>
      <c r="H240" t="n">
        <v>0</v>
      </c>
      <c r="I240" t="n">
        <v>0</v>
      </c>
      <c r="J240" t="n">
        <v>0</v>
      </c>
      <c r="K240" t="n">
        <v>0</v>
      </c>
      <c r="L240" t="n">
        <v>0</v>
      </c>
      <c r="M240" t="n">
        <v>0</v>
      </c>
      <c r="N240" t="n">
        <v>0</v>
      </c>
      <c r="O240" t="n">
        <v>0</v>
      </c>
      <c r="P240" t="n">
        <v>0</v>
      </c>
      <c r="Q240" t="n">
        <v>0</v>
      </c>
      <c r="R240" s="2" t="inlineStr"/>
    </row>
    <row r="241" ht="15" customHeight="1">
      <c r="A241" t="inlineStr">
        <is>
          <t>A 51305-2023</t>
        </is>
      </c>
      <c r="B241" s="1" t="n">
        <v>45219</v>
      </c>
      <c r="C241" s="1" t="n">
        <v>45935</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52925-2024</t>
        </is>
      </c>
      <c r="B242" s="1" t="n">
        <v>45610.73276620371</v>
      </c>
      <c r="C242" s="1" t="n">
        <v>45935</v>
      </c>
      <c r="D242" t="inlineStr">
        <is>
          <t>DALARNAS LÄN</t>
        </is>
      </c>
      <c r="E242" t="inlineStr">
        <is>
          <t>ORSA</t>
        </is>
      </c>
      <c r="F242" t="inlineStr">
        <is>
          <t>Allmännings- och besparingsskogar</t>
        </is>
      </c>
      <c r="G242" t="n">
        <v>2.5</v>
      </c>
      <c r="H242" t="n">
        <v>0</v>
      </c>
      <c r="I242" t="n">
        <v>0</v>
      </c>
      <c r="J242" t="n">
        <v>0</v>
      </c>
      <c r="K242" t="n">
        <v>0</v>
      </c>
      <c r="L242" t="n">
        <v>0</v>
      </c>
      <c r="M242" t="n">
        <v>0</v>
      </c>
      <c r="N242" t="n">
        <v>0</v>
      </c>
      <c r="O242" t="n">
        <v>0</v>
      </c>
      <c r="P242" t="n">
        <v>0</v>
      </c>
      <c r="Q242" t="n">
        <v>0</v>
      </c>
      <c r="R242" s="2" t="inlineStr"/>
    </row>
    <row r="243" ht="15" customHeight="1">
      <c r="A243" t="inlineStr">
        <is>
          <t>A 13580-2025</t>
        </is>
      </c>
      <c r="B243" s="1" t="n">
        <v>45736.58362268518</v>
      </c>
      <c r="C243" s="1" t="n">
        <v>45935</v>
      </c>
      <c r="D243" t="inlineStr">
        <is>
          <t>DALARNAS LÄN</t>
        </is>
      </c>
      <c r="E243" t="inlineStr">
        <is>
          <t>ORSA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6476-2025</t>
        </is>
      </c>
      <c r="B244" s="1" t="n">
        <v>45699</v>
      </c>
      <c r="C244" s="1" t="n">
        <v>45935</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6479-2025</t>
        </is>
      </c>
      <c r="B245" s="1" t="n">
        <v>45699</v>
      </c>
      <c r="C245" s="1" t="n">
        <v>45935</v>
      </c>
      <c r="D245" t="inlineStr">
        <is>
          <t>DALARNAS LÄN</t>
        </is>
      </c>
      <c r="E245" t="inlineStr">
        <is>
          <t>ORSA</t>
        </is>
      </c>
      <c r="G245" t="n">
        <v>3.2</v>
      </c>
      <c r="H245" t="n">
        <v>0</v>
      </c>
      <c r="I245" t="n">
        <v>0</v>
      </c>
      <c r="J245" t="n">
        <v>0</v>
      </c>
      <c r="K245" t="n">
        <v>0</v>
      </c>
      <c r="L245" t="n">
        <v>0</v>
      </c>
      <c r="M245" t="n">
        <v>0</v>
      </c>
      <c r="N245" t="n">
        <v>0</v>
      </c>
      <c r="O245" t="n">
        <v>0</v>
      </c>
      <c r="P245" t="n">
        <v>0</v>
      </c>
      <c r="Q245" t="n">
        <v>0</v>
      </c>
      <c r="R245" s="2" t="inlineStr"/>
    </row>
    <row r="246" ht="15" customHeight="1">
      <c r="A246" t="inlineStr">
        <is>
          <t>A 56807-2024</t>
        </is>
      </c>
      <c r="B246" s="1" t="n">
        <v>45628.47519675926</v>
      </c>
      <c r="C246" s="1" t="n">
        <v>45935</v>
      </c>
      <c r="D246" t="inlineStr">
        <is>
          <t>DALARNAS LÄN</t>
        </is>
      </c>
      <c r="E246" t="inlineStr">
        <is>
          <t>ORSA</t>
        </is>
      </c>
      <c r="G246" t="n">
        <v>1.9</v>
      </c>
      <c r="H246" t="n">
        <v>0</v>
      </c>
      <c r="I246" t="n">
        <v>0</v>
      </c>
      <c r="J246" t="n">
        <v>0</v>
      </c>
      <c r="K246" t="n">
        <v>0</v>
      </c>
      <c r="L246" t="n">
        <v>0</v>
      </c>
      <c r="M246" t="n">
        <v>0</v>
      </c>
      <c r="N246" t="n">
        <v>0</v>
      </c>
      <c r="O246" t="n">
        <v>0</v>
      </c>
      <c r="P246" t="n">
        <v>0</v>
      </c>
      <c r="Q246" t="n">
        <v>0</v>
      </c>
      <c r="R246" s="2" t="inlineStr"/>
    </row>
    <row r="247" ht="15" customHeight="1">
      <c r="A247" t="inlineStr">
        <is>
          <t>A 17850-2025</t>
        </is>
      </c>
      <c r="B247" s="1" t="n">
        <v>45758.60162037037</v>
      </c>
      <c r="C247" s="1" t="n">
        <v>45935</v>
      </c>
      <c r="D247" t="inlineStr">
        <is>
          <t>DALARNAS LÄN</t>
        </is>
      </c>
      <c r="E247" t="inlineStr">
        <is>
          <t>ORSA</t>
        </is>
      </c>
      <c r="G247" t="n">
        <v>2</v>
      </c>
      <c r="H247" t="n">
        <v>0</v>
      </c>
      <c r="I247" t="n">
        <v>0</v>
      </c>
      <c r="J247" t="n">
        <v>0</v>
      </c>
      <c r="K247" t="n">
        <v>0</v>
      </c>
      <c r="L247" t="n">
        <v>0</v>
      </c>
      <c r="M247" t="n">
        <v>0</v>
      </c>
      <c r="N247" t="n">
        <v>0</v>
      </c>
      <c r="O247" t="n">
        <v>0</v>
      </c>
      <c r="P247" t="n">
        <v>0</v>
      </c>
      <c r="Q247" t="n">
        <v>0</v>
      </c>
      <c r="R247" s="2" t="inlineStr"/>
    </row>
    <row r="248" ht="15" customHeight="1">
      <c r="A248" t="inlineStr">
        <is>
          <t>A 63917-2023</t>
        </is>
      </c>
      <c r="B248" s="1" t="n">
        <v>45278</v>
      </c>
      <c r="C248" s="1" t="n">
        <v>45935</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16992-2025</t>
        </is>
      </c>
      <c r="B249" s="1" t="n">
        <v>45755.50215277778</v>
      </c>
      <c r="C249" s="1" t="n">
        <v>45935</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52643-2024</t>
        </is>
      </c>
      <c r="B250" s="1" t="n">
        <v>45610.34175925926</v>
      </c>
      <c r="C250" s="1" t="n">
        <v>45935</v>
      </c>
      <c r="D250" t="inlineStr">
        <is>
          <t>DALARNAS LÄN</t>
        </is>
      </c>
      <c r="E250" t="inlineStr">
        <is>
          <t>ORSA</t>
        </is>
      </c>
      <c r="G250" t="n">
        <v>1.5</v>
      </c>
      <c r="H250" t="n">
        <v>0</v>
      </c>
      <c r="I250" t="n">
        <v>0</v>
      </c>
      <c r="J250" t="n">
        <v>0</v>
      </c>
      <c r="K250" t="n">
        <v>0</v>
      </c>
      <c r="L250" t="n">
        <v>0</v>
      </c>
      <c r="M250" t="n">
        <v>0</v>
      </c>
      <c r="N250" t="n">
        <v>0</v>
      </c>
      <c r="O250" t="n">
        <v>0</v>
      </c>
      <c r="P250" t="n">
        <v>0</v>
      </c>
      <c r="Q250" t="n">
        <v>0</v>
      </c>
      <c r="R250" s="2" t="inlineStr"/>
    </row>
    <row r="251" ht="15" customHeight="1">
      <c r="A251" t="inlineStr">
        <is>
          <t>A 47732-2021</t>
        </is>
      </c>
      <c r="B251" s="1" t="n">
        <v>44448.52815972222</v>
      </c>
      <c r="C251" s="1" t="n">
        <v>45935</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41291-2021</t>
        </is>
      </c>
      <c r="B252" s="1" t="n">
        <v>44424</v>
      </c>
      <c r="C252" s="1" t="n">
        <v>45935</v>
      </c>
      <c r="D252" t="inlineStr">
        <is>
          <t>DALARNAS LÄN</t>
        </is>
      </c>
      <c r="E252" t="inlineStr">
        <is>
          <t>ORSA</t>
        </is>
      </c>
      <c r="G252" t="n">
        <v>2</v>
      </c>
      <c r="H252" t="n">
        <v>0</v>
      </c>
      <c r="I252" t="n">
        <v>0</v>
      </c>
      <c r="J252" t="n">
        <v>0</v>
      </c>
      <c r="K252" t="n">
        <v>0</v>
      </c>
      <c r="L252" t="n">
        <v>0</v>
      </c>
      <c r="M252" t="n">
        <v>0</v>
      </c>
      <c r="N252" t="n">
        <v>0</v>
      </c>
      <c r="O252" t="n">
        <v>0</v>
      </c>
      <c r="P252" t="n">
        <v>0</v>
      </c>
      <c r="Q252" t="n">
        <v>0</v>
      </c>
      <c r="R252" s="2" t="inlineStr"/>
    </row>
    <row r="253" ht="15" customHeight="1">
      <c r="A253" t="inlineStr">
        <is>
          <t>A 21446-2024</t>
        </is>
      </c>
      <c r="B253" s="1" t="n">
        <v>45441.45840277777</v>
      </c>
      <c r="C253" s="1" t="n">
        <v>45935</v>
      </c>
      <c r="D253" t="inlineStr">
        <is>
          <t>DALARNAS LÄN</t>
        </is>
      </c>
      <c r="E253" t="inlineStr">
        <is>
          <t>ORSA</t>
        </is>
      </c>
      <c r="G253" t="n">
        <v>1.6</v>
      </c>
      <c r="H253" t="n">
        <v>0</v>
      </c>
      <c r="I253" t="n">
        <v>0</v>
      </c>
      <c r="J253" t="n">
        <v>0</v>
      </c>
      <c r="K253" t="n">
        <v>0</v>
      </c>
      <c r="L253" t="n">
        <v>0</v>
      </c>
      <c r="M253" t="n">
        <v>0</v>
      </c>
      <c r="N253" t="n">
        <v>0</v>
      </c>
      <c r="O253" t="n">
        <v>0</v>
      </c>
      <c r="P253" t="n">
        <v>0</v>
      </c>
      <c r="Q253" t="n">
        <v>0</v>
      </c>
      <c r="R253" s="2" t="inlineStr"/>
    </row>
    <row r="254" ht="15" customHeight="1">
      <c r="A254" t="inlineStr">
        <is>
          <t>A 31170-2023</t>
        </is>
      </c>
      <c r="B254" s="1" t="n">
        <v>45113.84923611111</v>
      </c>
      <c r="C254" s="1" t="n">
        <v>45935</v>
      </c>
      <c r="D254" t="inlineStr">
        <is>
          <t>DALARNAS LÄN</t>
        </is>
      </c>
      <c r="E254" t="inlineStr">
        <is>
          <t>ORSA</t>
        </is>
      </c>
      <c r="G254" t="n">
        <v>2.1</v>
      </c>
      <c r="H254" t="n">
        <v>0</v>
      </c>
      <c r="I254" t="n">
        <v>0</v>
      </c>
      <c r="J254" t="n">
        <v>0</v>
      </c>
      <c r="K254" t="n">
        <v>0</v>
      </c>
      <c r="L254" t="n">
        <v>0</v>
      </c>
      <c r="M254" t="n">
        <v>0</v>
      </c>
      <c r="N254" t="n">
        <v>0</v>
      </c>
      <c r="O254" t="n">
        <v>0</v>
      </c>
      <c r="P254" t="n">
        <v>0</v>
      </c>
      <c r="Q254" t="n">
        <v>0</v>
      </c>
      <c r="R254" s="2" t="inlineStr"/>
    </row>
    <row r="255" ht="15" customHeight="1">
      <c r="A255" t="inlineStr">
        <is>
          <t>A 31171-2023</t>
        </is>
      </c>
      <c r="B255" s="1" t="n">
        <v>45113.85704861111</v>
      </c>
      <c r="C255" s="1" t="n">
        <v>45935</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40101-2024</t>
        </is>
      </c>
      <c r="B256" s="1" t="n">
        <v>45554.42622685185</v>
      </c>
      <c r="C256" s="1" t="n">
        <v>45935</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32125-2024</t>
        </is>
      </c>
      <c r="B257" s="1" t="n">
        <v>45511</v>
      </c>
      <c r="C257" s="1" t="n">
        <v>45935</v>
      </c>
      <c r="D257" t="inlineStr">
        <is>
          <t>DALARNAS LÄN</t>
        </is>
      </c>
      <c r="E257" t="inlineStr">
        <is>
          <t>ORSA</t>
        </is>
      </c>
      <c r="F257" t="inlineStr">
        <is>
          <t>Allmännings- och besparingsskogar</t>
        </is>
      </c>
      <c r="G257" t="n">
        <v>5.2</v>
      </c>
      <c r="H257" t="n">
        <v>0</v>
      </c>
      <c r="I257" t="n">
        <v>0</v>
      </c>
      <c r="J257" t="n">
        <v>0</v>
      </c>
      <c r="K257" t="n">
        <v>0</v>
      </c>
      <c r="L257" t="n">
        <v>0</v>
      </c>
      <c r="M257" t="n">
        <v>0</v>
      </c>
      <c r="N257" t="n">
        <v>0</v>
      </c>
      <c r="O257" t="n">
        <v>0</v>
      </c>
      <c r="P257" t="n">
        <v>0</v>
      </c>
      <c r="Q257" t="n">
        <v>0</v>
      </c>
      <c r="R257" s="2" t="inlineStr"/>
    </row>
    <row r="258" ht="15" customHeight="1">
      <c r="A258" t="inlineStr">
        <is>
          <t>A 51563-2023</t>
        </is>
      </c>
      <c r="B258" s="1" t="n">
        <v>45222</v>
      </c>
      <c r="C258" s="1" t="n">
        <v>45935</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38672-2025</t>
        </is>
      </c>
      <c r="B259" s="1" t="n">
        <v>45884.63340277778</v>
      </c>
      <c r="C259" s="1" t="n">
        <v>45935</v>
      </c>
      <c r="D259" t="inlineStr">
        <is>
          <t>DALARNAS LÄN</t>
        </is>
      </c>
      <c r="E259" t="inlineStr">
        <is>
          <t>ORSA</t>
        </is>
      </c>
      <c r="G259" t="n">
        <v>4.6</v>
      </c>
      <c r="H259" t="n">
        <v>0</v>
      </c>
      <c r="I259" t="n">
        <v>0</v>
      </c>
      <c r="J259" t="n">
        <v>0</v>
      </c>
      <c r="K259" t="n">
        <v>0</v>
      </c>
      <c r="L259" t="n">
        <v>0</v>
      </c>
      <c r="M259" t="n">
        <v>0</v>
      </c>
      <c r="N259" t="n">
        <v>0</v>
      </c>
      <c r="O259" t="n">
        <v>0</v>
      </c>
      <c r="P259" t="n">
        <v>0</v>
      </c>
      <c r="Q259" t="n">
        <v>0</v>
      </c>
      <c r="R259" s="2" t="inlineStr"/>
    </row>
    <row r="260" ht="15" customHeight="1">
      <c r="A260" t="inlineStr">
        <is>
          <t>A 56975-2023</t>
        </is>
      </c>
      <c r="B260" s="1" t="n">
        <v>45244</v>
      </c>
      <c r="C260" s="1" t="n">
        <v>45935</v>
      </c>
      <c r="D260" t="inlineStr">
        <is>
          <t>DALARNAS LÄN</t>
        </is>
      </c>
      <c r="E260" t="inlineStr">
        <is>
          <t>ORSA</t>
        </is>
      </c>
      <c r="G260" t="n">
        <v>1.6</v>
      </c>
      <c r="H260" t="n">
        <v>0</v>
      </c>
      <c r="I260" t="n">
        <v>0</v>
      </c>
      <c r="J260" t="n">
        <v>0</v>
      </c>
      <c r="K260" t="n">
        <v>0</v>
      </c>
      <c r="L260" t="n">
        <v>0</v>
      </c>
      <c r="M260" t="n">
        <v>0</v>
      </c>
      <c r="N260" t="n">
        <v>0</v>
      </c>
      <c r="O260" t="n">
        <v>0</v>
      </c>
      <c r="P260" t="n">
        <v>0</v>
      </c>
      <c r="Q260" t="n">
        <v>0</v>
      </c>
      <c r="R260" s="2" t="inlineStr"/>
    </row>
    <row r="261" ht="15" customHeight="1">
      <c r="A261" t="inlineStr">
        <is>
          <t>A 17503-2025</t>
        </is>
      </c>
      <c r="B261" s="1" t="n">
        <v>45757.55321759259</v>
      </c>
      <c r="C261" s="1" t="n">
        <v>45935</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48985-2023</t>
        </is>
      </c>
      <c r="B262" s="1" t="n">
        <v>45209.64077546296</v>
      </c>
      <c r="C262" s="1" t="n">
        <v>45935</v>
      </c>
      <c r="D262" t="inlineStr">
        <is>
          <t>DALARNAS LÄN</t>
        </is>
      </c>
      <c r="E262" t="inlineStr">
        <is>
          <t>ORSA</t>
        </is>
      </c>
      <c r="F262" t="inlineStr">
        <is>
          <t>Allmännings- och besparingsskogar</t>
        </is>
      </c>
      <c r="G262" t="n">
        <v>2.1</v>
      </c>
      <c r="H262" t="n">
        <v>0</v>
      </c>
      <c r="I262" t="n">
        <v>0</v>
      </c>
      <c r="J262" t="n">
        <v>0</v>
      </c>
      <c r="K262" t="n">
        <v>0</v>
      </c>
      <c r="L262" t="n">
        <v>0</v>
      </c>
      <c r="M262" t="n">
        <v>0</v>
      </c>
      <c r="N262" t="n">
        <v>0</v>
      </c>
      <c r="O262" t="n">
        <v>0</v>
      </c>
      <c r="P262" t="n">
        <v>0</v>
      </c>
      <c r="Q262" t="n">
        <v>0</v>
      </c>
      <c r="R262" s="2" t="inlineStr"/>
    </row>
    <row r="263" ht="15" customHeight="1">
      <c r="A263" t="inlineStr">
        <is>
          <t>A 61279-2023</t>
        </is>
      </c>
      <c r="B263" s="1" t="n">
        <v>45264.5270949074</v>
      </c>
      <c r="C263" s="1" t="n">
        <v>45935</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37830-2024</t>
        </is>
      </c>
      <c r="B264" s="1" t="n">
        <v>45544.34504629629</v>
      </c>
      <c r="C264" s="1" t="n">
        <v>45935</v>
      </c>
      <c r="D264" t="inlineStr">
        <is>
          <t>DALARNAS LÄN</t>
        </is>
      </c>
      <c r="E264" t="inlineStr">
        <is>
          <t>ORSA</t>
        </is>
      </c>
      <c r="G264" t="n">
        <v>0.8</v>
      </c>
      <c r="H264" t="n">
        <v>0</v>
      </c>
      <c r="I264" t="n">
        <v>0</v>
      </c>
      <c r="J264" t="n">
        <v>0</v>
      </c>
      <c r="K264" t="n">
        <v>0</v>
      </c>
      <c r="L264" t="n">
        <v>0</v>
      </c>
      <c r="M264" t="n">
        <v>0</v>
      </c>
      <c r="N264" t="n">
        <v>0</v>
      </c>
      <c r="O264" t="n">
        <v>0</v>
      </c>
      <c r="P264" t="n">
        <v>0</v>
      </c>
      <c r="Q264" t="n">
        <v>0</v>
      </c>
      <c r="R264" s="2" t="inlineStr"/>
    </row>
    <row r="265" ht="15" customHeight="1">
      <c r="A265" t="inlineStr">
        <is>
          <t>A 42346-2022</t>
        </is>
      </c>
      <c r="B265" s="1" t="n">
        <v>44831.35561342593</v>
      </c>
      <c r="C265" s="1" t="n">
        <v>45935</v>
      </c>
      <c r="D265" t="inlineStr">
        <is>
          <t>DALARNAS LÄN</t>
        </is>
      </c>
      <c r="E265" t="inlineStr">
        <is>
          <t>ORSA</t>
        </is>
      </c>
      <c r="G265" t="n">
        <v>2.4</v>
      </c>
      <c r="H265" t="n">
        <v>0</v>
      </c>
      <c r="I265" t="n">
        <v>0</v>
      </c>
      <c r="J265" t="n">
        <v>0</v>
      </c>
      <c r="K265" t="n">
        <v>0</v>
      </c>
      <c r="L265" t="n">
        <v>0</v>
      </c>
      <c r="M265" t="n">
        <v>0</v>
      </c>
      <c r="N265" t="n">
        <v>0</v>
      </c>
      <c r="O265" t="n">
        <v>0</v>
      </c>
      <c r="P265" t="n">
        <v>0</v>
      </c>
      <c r="Q265" t="n">
        <v>0</v>
      </c>
      <c r="R265" s="2" t="inlineStr"/>
    </row>
    <row r="266" ht="15" customHeight="1">
      <c r="A266" t="inlineStr">
        <is>
          <t>A 38688-2025</t>
        </is>
      </c>
      <c r="B266" s="1" t="n">
        <v>45884.66097222222</v>
      </c>
      <c r="C266" s="1" t="n">
        <v>45935</v>
      </c>
      <c r="D266" t="inlineStr">
        <is>
          <t>DALARNAS LÄN</t>
        </is>
      </c>
      <c r="E266" t="inlineStr">
        <is>
          <t>ORSA</t>
        </is>
      </c>
      <c r="F266" t="inlineStr">
        <is>
          <t>Allmännings- och besparingsskogar</t>
        </is>
      </c>
      <c r="G266" t="n">
        <v>10.2</v>
      </c>
      <c r="H266" t="n">
        <v>0</v>
      </c>
      <c r="I266" t="n">
        <v>0</v>
      </c>
      <c r="J266" t="n">
        <v>0</v>
      </c>
      <c r="K266" t="n">
        <v>0</v>
      </c>
      <c r="L266" t="n">
        <v>0</v>
      </c>
      <c r="M266" t="n">
        <v>0</v>
      </c>
      <c r="N266" t="n">
        <v>0</v>
      </c>
      <c r="O266" t="n">
        <v>0</v>
      </c>
      <c r="P266" t="n">
        <v>0</v>
      </c>
      <c r="Q266" t="n">
        <v>0</v>
      </c>
      <c r="R266" s="2" t="inlineStr"/>
    </row>
    <row r="267" ht="15" customHeight="1">
      <c r="A267" t="inlineStr">
        <is>
          <t>A 63371-2023</t>
        </is>
      </c>
      <c r="B267" s="1" t="n">
        <v>45274.47642361111</v>
      </c>
      <c r="C267" s="1" t="n">
        <v>45935</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45935</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48516-2024</t>
        </is>
      </c>
      <c r="B269" s="1" t="n">
        <v>45593.31292824074</v>
      </c>
      <c r="C269" s="1" t="n">
        <v>45935</v>
      </c>
      <c r="D269" t="inlineStr">
        <is>
          <t>DALARNAS LÄN</t>
        </is>
      </c>
      <c r="E269" t="inlineStr">
        <is>
          <t>ORSA</t>
        </is>
      </c>
      <c r="G269" t="n">
        <v>3.3</v>
      </c>
      <c r="H269" t="n">
        <v>0</v>
      </c>
      <c r="I269" t="n">
        <v>0</v>
      </c>
      <c r="J269" t="n">
        <v>0</v>
      </c>
      <c r="K269" t="n">
        <v>0</v>
      </c>
      <c r="L269" t="n">
        <v>0</v>
      </c>
      <c r="M269" t="n">
        <v>0</v>
      </c>
      <c r="N269" t="n">
        <v>0</v>
      </c>
      <c r="O269" t="n">
        <v>0</v>
      </c>
      <c r="P269" t="n">
        <v>0</v>
      </c>
      <c r="Q269" t="n">
        <v>0</v>
      </c>
      <c r="R269" s="2" t="inlineStr"/>
    </row>
    <row r="270" ht="15" customHeight="1">
      <c r="A270" t="inlineStr">
        <is>
          <t>A 48521-2024</t>
        </is>
      </c>
      <c r="B270" s="1" t="n">
        <v>45593.32871527778</v>
      </c>
      <c r="C270" s="1" t="n">
        <v>45935</v>
      </c>
      <c r="D270" t="inlineStr">
        <is>
          <t>DALARNAS LÄN</t>
        </is>
      </c>
      <c r="E270" t="inlineStr">
        <is>
          <t>ORSA</t>
        </is>
      </c>
      <c r="G270" t="n">
        <v>1.6</v>
      </c>
      <c r="H270" t="n">
        <v>0</v>
      </c>
      <c r="I270" t="n">
        <v>0</v>
      </c>
      <c r="J270" t="n">
        <v>0</v>
      </c>
      <c r="K270" t="n">
        <v>0</v>
      </c>
      <c r="L270" t="n">
        <v>0</v>
      </c>
      <c r="M270" t="n">
        <v>0</v>
      </c>
      <c r="N270" t="n">
        <v>0</v>
      </c>
      <c r="O270" t="n">
        <v>0</v>
      </c>
      <c r="P270" t="n">
        <v>0</v>
      </c>
      <c r="Q270" t="n">
        <v>0</v>
      </c>
      <c r="R270" s="2" t="inlineStr"/>
    </row>
    <row r="271" ht="15" customHeight="1">
      <c r="A271" t="inlineStr">
        <is>
          <t>A 48525-2024</t>
        </is>
      </c>
      <c r="B271" s="1" t="n">
        <v>45593.33947916667</v>
      </c>
      <c r="C271" s="1" t="n">
        <v>45935</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28451-2023</t>
        </is>
      </c>
      <c r="B272" s="1" t="n">
        <v>45103.33896990741</v>
      </c>
      <c r="C272" s="1" t="n">
        <v>45935</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16392-2024</t>
        </is>
      </c>
      <c r="B273" s="1" t="n">
        <v>45407.62380787037</v>
      </c>
      <c r="C273" s="1" t="n">
        <v>45935</v>
      </c>
      <c r="D273" t="inlineStr">
        <is>
          <t>DALARNAS LÄN</t>
        </is>
      </c>
      <c r="E273" t="inlineStr">
        <is>
          <t>ORSA</t>
        </is>
      </c>
      <c r="G273" t="n">
        <v>3.4</v>
      </c>
      <c r="H273" t="n">
        <v>0</v>
      </c>
      <c r="I273" t="n">
        <v>0</v>
      </c>
      <c r="J273" t="n">
        <v>0</v>
      </c>
      <c r="K273" t="n">
        <v>0</v>
      </c>
      <c r="L273" t="n">
        <v>0</v>
      </c>
      <c r="M273" t="n">
        <v>0</v>
      </c>
      <c r="N273" t="n">
        <v>0</v>
      </c>
      <c r="O273" t="n">
        <v>0</v>
      </c>
      <c r="P273" t="n">
        <v>0</v>
      </c>
      <c r="Q273" t="n">
        <v>0</v>
      </c>
      <c r="R273" s="2" t="inlineStr"/>
    </row>
    <row r="274" ht="15" customHeight="1">
      <c r="A274" t="inlineStr">
        <is>
          <t>A 41832-2024</t>
        </is>
      </c>
      <c r="B274" s="1" t="n">
        <v>45561.40730324074</v>
      </c>
      <c r="C274" s="1" t="n">
        <v>45935</v>
      </c>
      <c r="D274" t="inlineStr">
        <is>
          <t>DALARNAS LÄN</t>
        </is>
      </c>
      <c r="E274" t="inlineStr">
        <is>
          <t>ORSA</t>
        </is>
      </c>
      <c r="G274" t="n">
        <v>0.5</v>
      </c>
      <c r="H274" t="n">
        <v>0</v>
      </c>
      <c r="I274" t="n">
        <v>0</v>
      </c>
      <c r="J274" t="n">
        <v>0</v>
      </c>
      <c r="K274" t="n">
        <v>0</v>
      </c>
      <c r="L274" t="n">
        <v>0</v>
      </c>
      <c r="M274" t="n">
        <v>0</v>
      </c>
      <c r="N274" t="n">
        <v>0</v>
      </c>
      <c r="O274" t="n">
        <v>0</v>
      </c>
      <c r="P274" t="n">
        <v>0</v>
      </c>
      <c r="Q274" t="n">
        <v>0</v>
      </c>
      <c r="R274" s="2" t="inlineStr"/>
    </row>
    <row r="275" ht="15" customHeight="1">
      <c r="A275" t="inlineStr">
        <is>
          <t>A 56942-2024</t>
        </is>
      </c>
      <c r="B275" s="1" t="n">
        <v>45628.62292824074</v>
      </c>
      <c r="C275" s="1" t="n">
        <v>45935</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53758-2024</t>
        </is>
      </c>
      <c r="B276" s="1" t="n">
        <v>45615.50483796297</v>
      </c>
      <c r="C276" s="1" t="n">
        <v>45935</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20349-2021</t>
        </is>
      </c>
      <c r="B277" s="1" t="n">
        <v>44315.41582175926</v>
      </c>
      <c r="C277" s="1" t="n">
        <v>45935</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16777-2024</t>
        </is>
      </c>
      <c r="B278" s="1" t="n">
        <v>45411</v>
      </c>
      <c r="C278" s="1" t="n">
        <v>45935</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45935</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53102-2021</t>
        </is>
      </c>
      <c r="B280" s="1" t="n">
        <v>44467</v>
      </c>
      <c r="C280" s="1" t="n">
        <v>45935</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8579-2025</t>
        </is>
      </c>
      <c r="B281" s="1" t="n">
        <v>45709</v>
      </c>
      <c r="C281" s="1" t="n">
        <v>45935</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33673-2023</t>
        </is>
      </c>
      <c r="B282" s="1" t="n">
        <v>45132</v>
      </c>
      <c r="C282" s="1" t="n">
        <v>45935</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61699-2020</t>
        </is>
      </c>
      <c r="B283" s="1" t="n">
        <v>44158</v>
      </c>
      <c r="C283" s="1" t="n">
        <v>45935</v>
      </c>
      <c r="D283" t="inlineStr">
        <is>
          <t>DALARNAS LÄN</t>
        </is>
      </c>
      <c r="E283" t="inlineStr">
        <is>
          <t>ORSA</t>
        </is>
      </c>
      <c r="G283" t="n">
        <v>1.5</v>
      </c>
      <c r="H283" t="n">
        <v>0</v>
      </c>
      <c r="I283" t="n">
        <v>0</v>
      </c>
      <c r="J283" t="n">
        <v>0</v>
      </c>
      <c r="K283" t="n">
        <v>0</v>
      </c>
      <c r="L283" t="n">
        <v>0</v>
      </c>
      <c r="M283" t="n">
        <v>0</v>
      </c>
      <c r="N283" t="n">
        <v>0</v>
      </c>
      <c r="O283" t="n">
        <v>0</v>
      </c>
      <c r="P283" t="n">
        <v>0</v>
      </c>
      <c r="Q283" t="n">
        <v>0</v>
      </c>
      <c r="R283" s="2" t="inlineStr"/>
    </row>
    <row r="284" ht="15" customHeight="1">
      <c r="A284" t="inlineStr">
        <is>
          <t>A 24083-2021</t>
        </is>
      </c>
      <c r="B284" s="1" t="n">
        <v>44336</v>
      </c>
      <c r="C284" s="1" t="n">
        <v>45935</v>
      </c>
      <c r="D284" t="inlineStr">
        <is>
          <t>DALARNAS LÄN</t>
        </is>
      </c>
      <c r="E284" t="inlineStr">
        <is>
          <t>ORSA</t>
        </is>
      </c>
      <c r="G284" t="n">
        <v>2.3</v>
      </c>
      <c r="H284" t="n">
        <v>0</v>
      </c>
      <c r="I284" t="n">
        <v>0</v>
      </c>
      <c r="J284" t="n">
        <v>0</v>
      </c>
      <c r="K284" t="n">
        <v>0</v>
      </c>
      <c r="L284" t="n">
        <v>0</v>
      </c>
      <c r="M284" t="n">
        <v>0</v>
      </c>
      <c r="N284" t="n">
        <v>0</v>
      </c>
      <c r="O284" t="n">
        <v>0</v>
      </c>
      <c r="P284" t="n">
        <v>0</v>
      </c>
      <c r="Q284" t="n">
        <v>0</v>
      </c>
      <c r="R284" s="2" t="inlineStr"/>
    </row>
    <row r="285" ht="15" customHeight="1">
      <c r="A285" t="inlineStr">
        <is>
          <t>A 6047-2023</t>
        </is>
      </c>
      <c r="B285" s="1" t="n">
        <v>44964</v>
      </c>
      <c r="C285" s="1" t="n">
        <v>45935</v>
      </c>
      <c r="D285" t="inlineStr">
        <is>
          <t>DALARNAS LÄN</t>
        </is>
      </c>
      <c r="E285" t="inlineStr">
        <is>
          <t>ORSA</t>
        </is>
      </c>
      <c r="F285" t="inlineStr">
        <is>
          <t>Bergvik skog öst AB</t>
        </is>
      </c>
      <c r="G285" t="n">
        <v>0.2</v>
      </c>
      <c r="H285" t="n">
        <v>0</v>
      </c>
      <c r="I285" t="n">
        <v>0</v>
      </c>
      <c r="J285" t="n">
        <v>0</v>
      </c>
      <c r="K285" t="n">
        <v>0</v>
      </c>
      <c r="L285" t="n">
        <v>0</v>
      </c>
      <c r="M285" t="n">
        <v>0</v>
      </c>
      <c r="N285" t="n">
        <v>0</v>
      </c>
      <c r="O285" t="n">
        <v>0</v>
      </c>
      <c r="P285" t="n">
        <v>0</v>
      </c>
      <c r="Q285" t="n">
        <v>0</v>
      </c>
      <c r="R285" s="2" t="inlineStr"/>
    </row>
    <row r="286" ht="15" customHeight="1">
      <c r="A286" t="inlineStr">
        <is>
          <t>A 38840-2025</t>
        </is>
      </c>
      <c r="B286" s="1" t="n">
        <v>45887.5375</v>
      </c>
      <c r="C286" s="1" t="n">
        <v>45935</v>
      </c>
      <c r="D286" t="inlineStr">
        <is>
          <t>DALARNAS LÄN</t>
        </is>
      </c>
      <c r="E286" t="inlineStr">
        <is>
          <t>ORSA</t>
        </is>
      </c>
      <c r="G286" t="n">
        <v>1.5</v>
      </c>
      <c r="H286" t="n">
        <v>0</v>
      </c>
      <c r="I286" t="n">
        <v>0</v>
      </c>
      <c r="J286" t="n">
        <v>0</v>
      </c>
      <c r="K286" t="n">
        <v>0</v>
      </c>
      <c r="L286" t="n">
        <v>0</v>
      </c>
      <c r="M286" t="n">
        <v>0</v>
      </c>
      <c r="N286" t="n">
        <v>0</v>
      </c>
      <c r="O286" t="n">
        <v>0</v>
      </c>
      <c r="P286" t="n">
        <v>0</v>
      </c>
      <c r="Q286" t="n">
        <v>0</v>
      </c>
      <c r="R286" s="2" t="inlineStr"/>
    </row>
    <row r="287" ht="15" customHeight="1">
      <c r="A287" t="inlineStr">
        <is>
          <t>A 27163-2023</t>
        </is>
      </c>
      <c r="B287" s="1" t="n">
        <v>45096.4878125</v>
      </c>
      <c r="C287" s="1" t="n">
        <v>45935</v>
      </c>
      <c r="D287" t="inlineStr">
        <is>
          <t>DALARNAS LÄN</t>
        </is>
      </c>
      <c r="E287" t="inlineStr">
        <is>
          <t>ORSA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22022-2022</t>
        </is>
      </c>
      <c r="B288" s="1" t="n">
        <v>44711.60145833333</v>
      </c>
      <c r="C288" s="1" t="n">
        <v>45935</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28155-2023</t>
        </is>
      </c>
      <c r="B289" s="1" t="n">
        <v>45099</v>
      </c>
      <c r="C289" s="1" t="n">
        <v>45935</v>
      </c>
      <c r="D289" t="inlineStr">
        <is>
          <t>DALARNAS LÄN</t>
        </is>
      </c>
      <c r="E289" t="inlineStr">
        <is>
          <t>ORSA</t>
        </is>
      </c>
      <c r="F289" t="inlineStr">
        <is>
          <t>Bergvik skog öst AB</t>
        </is>
      </c>
      <c r="G289" t="n">
        <v>7.8</v>
      </c>
      <c r="H289" t="n">
        <v>0</v>
      </c>
      <c r="I289" t="n">
        <v>0</v>
      </c>
      <c r="J289" t="n">
        <v>0</v>
      </c>
      <c r="K289" t="n">
        <v>0</v>
      </c>
      <c r="L289" t="n">
        <v>0</v>
      </c>
      <c r="M289" t="n">
        <v>0</v>
      </c>
      <c r="N289" t="n">
        <v>0</v>
      </c>
      <c r="O289" t="n">
        <v>0</v>
      </c>
      <c r="P289" t="n">
        <v>0</v>
      </c>
      <c r="Q289" t="n">
        <v>0</v>
      </c>
      <c r="R289" s="2" t="inlineStr"/>
    </row>
    <row r="290" ht="15" customHeight="1">
      <c r="A290" t="inlineStr">
        <is>
          <t>A 51994-2023</t>
        </is>
      </c>
      <c r="B290" s="1" t="n">
        <v>45223.5884375</v>
      </c>
      <c r="C290" s="1" t="n">
        <v>45935</v>
      </c>
      <c r="D290" t="inlineStr">
        <is>
          <t>DALARNAS LÄN</t>
        </is>
      </c>
      <c r="E290" t="inlineStr">
        <is>
          <t>ORSA</t>
        </is>
      </c>
      <c r="G290" t="n">
        <v>10.7</v>
      </c>
      <c r="H290" t="n">
        <v>0</v>
      </c>
      <c r="I290" t="n">
        <v>0</v>
      </c>
      <c r="J290" t="n">
        <v>0</v>
      </c>
      <c r="K290" t="n">
        <v>0</v>
      </c>
      <c r="L290" t="n">
        <v>0</v>
      </c>
      <c r="M290" t="n">
        <v>0</v>
      </c>
      <c r="N290" t="n">
        <v>0</v>
      </c>
      <c r="O290" t="n">
        <v>0</v>
      </c>
      <c r="P290" t="n">
        <v>0</v>
      </c>
      <c r="Q290" t="n">
        <v>0</v>
      </c>
      <c r="R290" s="2" t="inlineStr"/>
    </row>
    <row r="291" ht="15" customHeight="1">
      <c r="A291" t="inlineStr">
        <is>
          <t>A 17521-2025</t>
        </is>
      </c>
      <c r="B291" s="1" t="n">
        <v>45757.57952546296</v>
      </c>
      <c r="C291" s="1" t="n">
        <v>45935</v>
      </c>
      <c r="D291" t="inlineStr">
        <is>
          <t>DALARNAS LÄN</t>
        </is>
      </c>
      <c r="E291" t="inlineStr">
        <is>
          <t>ORSA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28388-2024</t>
        </is>
      </c>
      <c r="B292" s="1" t="n">
        <v>45477.59960648148</v>
      </c>
      <c r="C292" s="1" t="n">
        <v>45935</v>
      </c>
      <c r="D292" t="inlineStr">
        <is>
          <t>DALARNAS LÄN</t>
        </is>
      </c>
      <c r="E292" t="inlineStr">
        <is>
          <t>ORSA</t>
        </is>
      </c>
      <c r="F292" t="inlineStr">
        <is>
          <t>Bergvik skog öst AB</t>
        </is>
      </c>
      <c r="G292" t="n">
        <v>3.8</v>
      </c>
      <c r="H292" t="n">
        <v>0</v>
      </c>
      <c r="I292" t="n">
        <v>0</v>
      </c>
      <c r="J292" t="n">
        <v>0</v>
      </c>
      <c r="K292" t="n">
        <v>0</v>
      </c>
      <c r="L292" t="n">
        <v>0</v>
      </c>
      <c r="M292" t="n">
        <v>0</v>
      </c>
      <c r="N292" t="n">
        <v>0</v>
      </c>
      <c r="O292" t="n">
        <v>0</v>
      </c>
      <c r="P292" t="n">
        <v>0</v>
      </c>
      <c r="Q292" t="n">
        <v>0</v>
      </c>
      <c r="R292" s="2" t="inlineStr"/>
    </row>
    <row r="293" ht="15" customHeight="1">
      <c r="A293" t="inlineStr">
        <is>
          <t>A 56810-2024</t>
        </is>
      </c>
      <c r="B293" s="1" t="n">
        <v>45628</v>
      </c>
      <c r="C293" s="1" t="n">
        <v>45935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56811-2024</t>
        </is>
      </c>
      <c r="B294" s="1" t="n">
        <v>45628</v>
      </c>
      <c r="C294" s="1" t="n">
        <v>45935</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52903-2024</t>
        </is>
      </c>
      <c r="B295" s="1" t="n">
        <v>45610.6875462963</v>
      </c>
      <c r="C295" s="1" t="n">
        <v>45935</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56803-2024</t>
        </is>
      </c>
      <c r="B296" s="1" t="n">
        <v>45628.47212962963</v>
      </c>
      <c r="C296" s="1" t="n">
        <v>45935</v>
      </c>
      <c r="D296" t="inlineStr">
        <is>
          <t>DALARNAS LÄN</t>
        </is>
      </c>
      <c r="E296" t="inlineStr">
        <is>
          <t>ORSA</t>
        </is>
      </c>
      <c r="G296" t="n">
        <v>1.4</v>
      </c>
      <c r="H296" t="n">
        <v>0</v>
      </c>
      <c r="I296" t="n">
        <v>0</v>
      </c>
      <c r="J296" t="n">
        <v>0</v>
      </c>
      <c r="K296" t="n">
        <v>0</v>
      </c>
      <c r="L296" t="n">
        <v>0</v>
      </c>
      <c r="M296" t="n">
        <v>0</v>
      </c>
      <c r="N296" t="n">
        <v>0</v>
      </c>
      <c r="O296" t="n">
        <v>0</v>
      </c>
      <c r="P296" t="n">
        <v>0</v>
      </c>
      <c r="Q296" t="n">
        <v>0</v>
      </c>
      <c r="R296" s="2" t="inlineStr"/>
    </row>
    <row r="297" ht="15" customHeight="1">
      <c r="A297" t="inlineStr">
        <is>
          <t>A 3166-2024</t>
        </is>
      </c>
      <c r="B297" s="1" t="n">
        <v>45316.62592592592</v>
      </c>
      <c r="C297" s="1" t="n">
        <v>45935</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56887-2024</t>
        </is>
      </c>
      <c r="B298" s="1" t="n">
        <v>45628.57388888889</v>
      </c>
      <c r="C298" s="1" t="n">
        <v>45935</v>
      </c>
      <c r="D298" t="inlineStr">
        <is>
          <t>DALARNAS LÄN</t>
        </is>
      </c>
      <c r="E298" t="inlineStr">
        <is>
          <t>ORSA</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9836-2022</t>
        </is>
      </c>
      <c r="B299" s="1" t="n">
        <v>44620</v>
      </c>
      <c r="C299" s="1" t="n">
        <v>45935</v>
      </c>
      <c r="D299" t="inlineStr">
        <is>
          <t>DALARNAS LÄN</t>
        </is>
      </c>
      <c r="E299" t="inlineStr">
        <is>
          <t>ORSA</t>
        </is>
      </c>
      <c r="G299" t="n">
        <v>1</v>
      </c>
      <c r="H299" t="n">
        <v>0</v>
      </c>
      <c r="I299" t="n">
        <v>0</v>
      </c>
      <c r="J299" t="n">
        <v>0</v>
      </c>
      <c r="K299" t="n">
        <v>0</v>
      </c>
      <c r="L299" t="n">
        <v>0</v>
      </c>
      <c r="M299" t="n">
        <v>0</v>
      </c>
      <c r="N299" t="n">
        <v>0</v>
      </c>
      <c r="O299" t="n">
        <v>0</v>
      </c>
      <c r="P299" t="n">
        <v>0</v>
      </c>
      <c r="Q299" t="n">
        <v>0</v>
      </c>
      <c r="R299" s="2" t="inlineStr"/>
    </row>
    <row r="300" ht="15" customHeight="1">
      <c r="A300" t="inlineStr">
        <is>
          <t>A 55280-2024</t>
        </is>
      </c>
      <c r="B300" s="1" t="n">
        <v>45621.62524305555</v>
      </c>
      <c r="C300" s="1" t="n">
        <v>45935</v>
      </c>
      <c r="D300" t="inlineStr">
        <is>
          <t>DALARNAS LÄN</t>
        </is>
      </c>
      <c r="E300" t="inlineStr">
        <is>
          <t>ORSA</t>
        </is>
      </c>
      <c r="G300" t="n">
        <v>2.3</v>
      </c>
      <c r="H300" t="n">
        <v>0</v>
      </c>
      <c r="I300" t="n">
        <v>0</v>
      </c>
      <c r="J300" t="n">
        <v>0</v>
      </c>
      <c r="K300" t="n">
        <v>0</v>
      </c>
      <c r="L300" t="n">
        <v>0</v>
      </c>
      <c r="M300" t="n">
        <v>0</v>
      </c>
      <c r="N300" t="n">
        <v>0</v>
      </c>
      <c r="O300" t="n">
        <v>0</v>
      </c>
      <c r="P300" t="n">
        <v>0</v>
      </c>
      <c r="Q300" t="n">
        <v>0</v>
      </c>
      <c r="R300" s="2" t="inlineStr"/>
    </row>
    <row r="301" ht="15" customHeight="1">
      <c r="A301" t="inlineStr">
        <is>
          <t>A 890-2024</t>
        </is>
      </c>
      <c r="B301" s="1" t="n">
        <v>45301.40552083333</v>
      </c>
      <c r="C301" s="1" t="n">
        <v>45935</v>
      </c>
      <c r="D301" t="inlineStr">
        <is>
          <t>DALARNAS LÄN</t>
        </is>
      </c>
      <c r="E301" t="inlineStr">
        <is>
          <t>ORSA</t>
        </is>
      </c>
      <c r="G301" t="n">
        <v>2.5</v>
      </c>
      <c r="H301" t="n">
        <v>0</v>
      </c>
      <c r="I301" t="n">
        <v>0</v>
      </c>
      <c r="J301" t="n">
        <v>0</v>
      </c>
      <c r="K301" t="n">
        <v>0</v>
      </c>
      <c r="L301" t="n">
        <v>0</v>
      </c>
      <c r="M301" t="n">
        <v>0</v>
      </c>
      <c r="N301" t="n">
        <v>0</v>
      </c>
      <c r="O301" t="n">
        <v>0</v>
      </c>
      <c r="P301" t="n">
        <v>0</v>
      </c>
      <c r="Q301" t="n">
        <v>0</v>
      </c>
      <c r="R301" s="2" t="inlineStr"/>
    </row>
    <row r="302" ht="15" customHeight="1">
      <c r="A302" t="inlineStr">
        <is>
          <t>A 2563-2025</t>
        </is>
      </c>
      <c r="B302" s="1" t="n">
        <v>45674.65692129629</v>
      </c>
      <c r="C302" s="1" t="n">
        <v>45935</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19024-2021</t>
        </is>
      </c>
      <c r="B303" s="1" t="n">
        <v>44308.5053587963</v>
      </c>
      <c r="C303" s="1" t="n">
        <v>45935</v>
      </c>
      <c r="D303" t="inlineStr">
        <is>
          <t>DALARNAS LÄN</t>
        </is>
      </c>
      <c r="E303" t="inlineStr">
        <is>
          <t>ORSA</t>
        </is>
      </c>
      <c r="G303" t="n">
        <v>1.7</v>
      </c>
      <c r="H303" t="n">
        <v>0</v>
      </c>
      <c r="I303" t="n">
        <v>0</v>
      </c>
      <c r="J303" t="n">
        <v>0</v>
      </c>
      <c r="K303" t="n">
        <v>0</v>
      </c>
      <c r="L303" t="n">
        <v>0</v>
      </c>
      <c r="M303" t="n">
        <v>0</v>
      </c>
      <c r="N303" t="n">
        <v>0</v>
      </c>
      <c r="O303" t="n">
        <v>0</v>
      </c>
      <c r="P303" t="n">
        <v>0</v>
      </c>
      <c r="Q303" t="n">
        <v>0</v>
      </c>
      <c r="R303" s="2" t="inlineStr"/>
    </row>
    <row r="304" ht="15" customHeight="1">
      <c r="A304" t="inlineStr">
        <is>
          <t>A 25761-2021</t>
        </is>
      </c>
      <c r="B304" s="1" t="n">
        <v>44343</v>
      </c>
      <c r="C304" s="1" t="n">
        <v>45935</v>
      </c>
      <c r="D304" t="inlineStr">
        <is>
          <t>DALARNAS LÄN</t>
        </is>
      </c>
      <c r="E304" t="inlineStr">
        <is>
          <t>ORSA</t>
        </is>
      </c>
      <c r="G304" t="n">
        <v>3.4</v>
      </c>
      <c r="H304" t="n">
        <v>0</v>
      </c>
      <c r="I304" t="n">
        <v>0</v>
      </c>
      <c r="J304" t="n">
        <v>0</v>
      </c>
      <c r="K304" t="n">
        <v>0</v>
      </c>
      <c r="L304" t="n">
        <v>0</v>
      </c>
      <c r="M304" t="n">
        <v>0</v>
      </c>
      <c r="N304" t="n">
        <v>0</v>
      </c>
      <c r="O304" t="n">
        <v>0</v>
      </c>
      <c r="P304" t="n">
        <v>0</v>
      </c>
      <c r="Q304" t="n">
        <v>0</v>
      </c>
      <c r="R304" s="2" t="inlineStr"/>
    </row>
    <row r="305" ht="15" customHeight="1">
      <c r="A305" t="inlineStr">
        <is>
          <t>A 50392-2024</t>
        </is>
      </c>
      <c r="B305" s="1" t="n">
        <v>45601.33789351852</v>
      </c>
      <c r="C305" s="1" t="n">
        <v>45935</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21301-2023</t>
        </is>
      </c>
      <c r="B306" s="1" t="n">
        <v>45062.66613425926</v>
      </c>
      <c r="C306" s="1" t="n">
        <v>45935</v>
      </c>
      <c r="D306" t="inlineStr">
        <is>
          <t>DALARNAS LÄN</t>
        </is>
      </c>
      <c r="E306" t="inlineStr">
        <is>
          <t>ORSA</t>
        </is>
      </c>
      <c r="G306" t="n">
        <v>2.2</v>
      </c>
      <c r="H306" t="n">
        <v>0</v>
      </c>
      <c r="I306" t="n">
        <v>0</v>
      </c>
      <c r="J306" t="n">
        <v>0</v>
      </c>
      <c r="K306" t="n">
        <v>0</v>
      </c>
      <c r="L306" t="n">
        <v>0</v>
      </c>
      <c r="M306" t="n">
        <v>0</v>
      </c>
      <c r="N306" t="n">
        <v>0</v>
      </c>
      <c r="O306" t="n">
        <v>0</v>
      </c>
      <c r="P306" t="n">
        <v>0</v>
      </c>
      <c r="Q306" t="n">
        <v>0</v>
      </c>
      <c r="R306" s="2" t="inlineStr"/>
    </row>
    <row r="307" ht="15" customHeight="1">
      <c r="A307" t="inlineStr">
        <is>
          <t>A 10374-2023</t>
        </is>
      </c>
      <c r="B307" s="1" t="n">
        <v>44987.41359953704</v>
      </c>
      <c r="C307" s="1" t="n">
        <v>45935</v>
      </c>
      <c r="D307" t="inlineStr">
        <is>
          <t>DALARNAS LÄN</t>
        </is>
      </c>
      <c r="E307" t="inlineStr">
        <is>
          <t>ORSA</t>
        </is>
      </c>
      <c r="G307" t="n">
        <v>1.8</v>
      </c>
      <c r="H307" t="n">
        <v>0</v>
      </c>
      <c r="I307" t="n">
        <v>0</v>
      </c>
      <c r="J307" t="n">
        <v>0</v>
      </c>
      <c r="K307" t="n">
        <v>0</v>
      </c>
      <c r="L307" t="n">
        <v>0</v>
      </c>
      <c r="M307" t="n">
        <v>0</v>
      </c>
      <c r="N307" t="n">
        <v>0</v>
      </c>
      <c r="O307" t="n">
        <v>0</v>
      </c>
      <c r="P307" t="n">
        <v>0</v>
      </c>
      <c r="Q307" t="n">
        <v>0</v>
      </c>
      <c r="R307" s="2" t="inlineStr"/>
    </row>
    <row r="308" ht="15" customHeight="1">
      <c r="A308" t="inlineStr">
        <is>
          <t>A 28923-2024</t>
        </is>
      </c>
      <c r="B308" s="1" t="n">
        <v>45481</v>
      </c>
      <c r="C308" s="1" t="n">
        <v>45935</v>
      </c>
      <c r="D308" t="inlineStr">
        <is>
          <t>DALARNAS LÄN</t>
        </is>
      </c>
      <c r="E308" t="inlineStr">
        <is>
          <t>ORSA</t>
        </is>
      </c>
      <c r="F308" t="inlineStr">
        <is>
          <t>Allmännings- och besparingsskogar</t>
        </is>
      </c>
      <c r="G308" t="n">
        <v>13.9</v>
      </c>
      <c r="H308" t="n">
        <v>0</v>
      </c>
      <c r="I308" t="n">
        <v>0</v>
      </c>
      <c r="J308" t="n">
        <v>0</v>
      </c>
      <c r="K308" t="n">
        <v>0</v>
      </c>
      <c r="L308" t="n">
        <v>0</v>
      </c>
      <c r="M308" t="n">
        <v>0</v>
      </c>
      <c r="N308" t="n">
        <v>0</v>
      </c>
      <c r="O308" t="n">
        <v>0</v>
      </c>
      <c r="P308" t="n">
        <v>0</v>
      </c>
      <c r="Q308" t="n">
        <v>0</v>
      </c>
      <c r="R308" s="2" t="inlineStr"/>
    </row>
    <row r="309" ht="15" customHeight="1">
      <c r="A309" t="inlineStr">
        <is>
          <t>A 15113-2025</t>
        </is>
      </c>
      <c r="B309" s="1" t="n">
        <v>45744.36179398148</v>
      </c>
      <c r="C309" s="1" t="n">
        <v>45935</v>
      </c>
      <c r="D309" t="inlineStr">
        <is>
          <t>DALARNAS LÄN</t>
        </is>
      </c>
      <c r="E309" t="inlineStr">
        <is>
          <t>ORSA</t>
        </is>
      </c>
      <c r="F309" t="inlineStr">
        <is>
          <t>Allmännings- och besparingsskogar</t>
        </is>
      </c>
      <c r="G309" t="n">
        <v>3.3</v>
      </c>
      <c r="H309" t="n">
        <v>0</v>
      </c>
      <c r="I309" t="n">
        <v>0</v>
      </c>
      <c r="J309" t="n">
        <v>0</v>
      </c>
      <c r="K309" t="n">
        <v>0</v>
      </c>
      <c r="L309" t="n">
        <v>0</v>
      </c>
      <c r="M309" t="n">
        <v>0</v>
      </c>
      <c r="N309" t="n">
        <v>0</v>
      </c>
      <c r="O309" t="n">
        <v>0</v>
      </c>
      <c r="P309" t="n">
        <v>0</v>
      </c>
      <c r="Q309" t="n">
        <v>0</v>
      </c>
      <c r="R309" s="2" t="inlineStr"/>
    </row>
    <row r="310" ht="15" customHeight="1">
      <c r="A310" t="inlineStr">
        <is>
          <t>A 19932-2021</t>
        </is>
      </c>
      <c r="B310" s="1" t="n">
        <v>44313.60207175926</v>
      </c>
      <c r="C310" s="1" t="n">
        <v>45935</v>
      </c>
      <c r="D310" t="inlineStr">
        <is>
          <t>DALARNAS LÄN</t>
        </is>
      </c>
      <c r="E310" t="inlineStr">
        <is>
          <t>ORSA</t>
        </is>
      </c>
      <c r="G310" t="n">
        <v>2</v>
      </c>
      <c r="H310" t="n">
        <v>0</v>
      </c>
      <c r="I310" t="n">
        <v>0</v>
      </c>
      <c r="J310" t="n">
        <v>0</v>
      </c>
      <c r="K310" t="n">
        <v>0</v>
      </c>
      <c r="L310" t="n">
        <v>0</v>
      </c>
      <c r="M310" t="n">
        <v>0</v>
      </c>
      <c r="N310" t="n">
        <v>0</v>
      </c>
      <c r="O310" t="n">
        <v>0</v>
      </c>
      <c r="P310" t="n">
        <v>0</v>
      </c>
      <c r="Q310" t="n">
        <v>0</v>
      </c>
      <c r="R310" s="2" t="inlineStr"/>
    </row>
    <row r="311" ht="15" customHeight="1">
      <c r="A311" t="inlineStr">
        <is>
          <t>A 47732-2022</t>
        </is>
      </c>
      <c r="B311" s="1" t="n">
        <v>44854.63668981481</v>
      </c>
      <c r="C311" s="1" t="n">
        <v>45935</v>
      </c>
      <c r="D311" t="inlineStr">
        <is>
          <t>DALARNAS LÄN</t>
        </is>
      </c>
      <c r="E311" t="inlineStr">
        <is>
          <t>ORSA</t>
        </is>
      </c>
      <c r="F311" t="inlineStr">
        <is>
          <t>Bergvik skog öst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36089-2023</t>
        </is>
      </c>
      <c r="B312" s="1" t="n">
        <v>45149.51068287037</v>
      </c>
      <c r="C312" s="1" t="n">
        <v>45935</v>
      </c>
      <c r="D312" t="inlineStr">
        <is>
          <t>DALARNAS LÄN</t>
        </is>
      </c>
      <c r="E312" t="inlineStr">
        <is>
          <t>ORSA</t>
        </is>
      </c>
      <c r="F312" t="inlineStr">
        <is>
          <t>Allmännings- och besparingsskogar</t>
        </is>
      </c>
      <c r="G312" t="n">
        <v>1.2</v>
      </c>
      <c r="H312" t="n">
        <v>0</v>
      </c>
      <c r="I312" t="n">
        <v>0</v>
      </c>
      <c r="J312" t="n">
        <v>0</v>
      </c>
      <c r="K312" t="n">
        <v>0</v>
      </c>
      <c r="L312" t="n">
        <v>0</v>
      </c>
      <c r="M312" t="n">
        <v>0</v>
      </c>
      <c r="N312" t="n">
        <v>0</v>
      </c>
      <c r="O312" t="n">
        <v>0</v>
      </c>
      <c r="P312" t="n">
        <v>0</v>
      </c>
      <c r="Q312" t="n">
        <v>0</v>
      </c>
      <c r="R312" s="2" t="inlineStr"/>
    </row>
    <row r="313" ht="15" customHeight="1">
      <c r="A313" t="inlineStr">
        <is>
          <t>A 47953-2025</t>
        </is>
      </c>
      <c r="B313" s="1" t="n">
        <v>45932.5853125</v>
      </c>
      <c r="C313" s="1" t="n">
        <v>45935</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20808-2025</t>
        </is>
      </c>
      <c r="B314" s="1" t="n">
        <v>45776</v>
      </c>
      <c r="C314" s="1" t="n">
        <v>45935</v>
      </c>
      <c r="D314" t="inlineStr">
        <is>
          <t>DALARNAS LÄN</t>
        </is>
      </c>
      <c r="E314" t="inlineStr">
        <is>
          <t>ORSA</t>
        </is>
      </c>
      <c r="F314" t="inlineStr">
        <is>
          <t>Bergvik skog väst AB</t>
        </is>
      </c>
      <c r="G314" t="n">
        <v>14.3</v>
      </c>
      <c r="H314" t="n">
        <v>0</v>
      </c>
      <c r="I314" t="n">
        <v>0</v>
      </c>
      <c r="J314" t="n">
        <v>0</v>
      </c>
      <c r="K314" t="n">
        <v>0</v>
      </c>
      <c r="L314" t="n">
        <v>0</v>
      </c>
      <c r="M314" t="n">
        <v>0</v>
      </c>
      <c r="N314" t="n">
        <v>0</v>
      </c>
      <c r="O314" t="n">
        <v>0</v>
      </c>
      <c r="P314" t="n">
        <v>0</v>
      </c>
      <c r="Q314" t="n">
        <v>0</v>
      </c>
      <c r="R314" s="2" t="inlineStr"/>
    </row>
    <row r="315" ht="15" customHeight="1">
      <c r="A315" t="inlineStr">
        <is>
          <t>A 112-2021</t>
        </is>
      </c>
      <c r="B315" s="1" t="n">
        <v>44200</v>
      </c>
      <c r="C315" s="1" t="n">
        <v>45935</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5435-2025</t>
        </is>
      </c>
      <c r="B316" s="1" t="n">
        <v>45692</v>
      </c>
      <c r="C316" s="1" t="n">
        <v>45935</v>
      </c>
      <c r="D316" t="inlineStr">
        <is>
          <t>DALARNAS LÄN</t>
        </is>
      </c>
      <c r="E316" t="inlineStr">
        <is>
          <t>ORSA</t>
        </is>
      </c>
      <c r="G316" t="n">
        <v>7.8</v>
      </c>
      <c r="H316" t="n">
        <v>0</v>
      </c>
      <c r="I316" t="n">
        <v>0</v>
      </c>
      <c r="J316" t="n">
        <v>0</v>
      </c>
      <c r="K316" t="n">
        <v>0</v>
      </c>
      <c r="L316" t="n">
        <v>0</v>
      </c>
      <c r="M316" t="n">
        <v>0</v>
      </c>
      <c r="N316" t="n">
        <v>0</v>
      </c>
      <c r="O316" t="n">
        <v>0</v>
      </c>
      <c r="P316" t="n">
        <v>0</v>
      </c>
      <c r="Q316" t="n">
        <v>0</v>
      </c>
      <c r="R316" s="2" t="inlineStr"/>
    </row>
    <row r="317" ht="15" customHeight="1">
      <c r="A317" t="inlineStr">
        <is>
          <t>A 21747-2025</t>
        </is>
      </c>
      <c r="B317" s="1" t="n">
        <v>45783.60923611111</v>
      </c>
      <c r="C317" s="1" t="n">
        <v>45935</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50742-2023</t>
        </is>
      </c>
      <c r="B318" s="1" t="n">
        <v>45217.58891203703</v>
      </c>
      <c r="C318" s="1" t="n">
        <v>45935</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45935</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45935</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10004-2023</t>
        </is>
      </c>
      <c r="B321" s="1" t="n">
        <v>44985.60604166667</v>
      </c>
      <c r="C321" s="1" t="n">
        <v>45935</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879-2024</t>
        </is>
      </c>
      <c r="B322" s="1" t="n">
        <v>45301.36821759259</v>
      </c>
      <c r="C322" s="1" t="n">
        <v>45935</v>
      </c>
      <c r="D322" t="inlineStr">
        <is>
          <t>DALARNAS LÄN</t>
        </is>
      </c>
      <c r="E322" t="inlineStr">
        <is>
          <t>ORSA</t>
        </is>
      </c>
      <c r="G322" t="n">
        <v>2.1</v>
      </c>
      <c r="H322" t="n">
        <v>0</v>
      </c>
      <c r="I322" t="n">
        <v>0</v>
      </c>
      <c r="J322" t="n">
        <v>0</v>
      </c>
      <c r="K322" t="n">
        <v>0</v>
      </c>
      <c r="L322" t="n">
        <v>0</v>
      </c>
      <c r="M322" t="n">
        <v>0</v>
      </c>
      <c r="N322" t="n">
        <v>0</v>
      </c>
      <c r="O322" t="n">
        <v>0</v>
      </c>
      <c r="P322" t="n">
        <v>0</v>
      </c>
      <c r="Q322" t="n">
        <v>0</v>
      </c>
      <c r="R322" s="2" t="inlineStr"/>
    </row>
    <row r="323" ht="15" customHeight="1">
      <c r="A323" t="inlineStr">
        <is>
          <t>A 3107-2025</t>
        </is>
      </c>
      <c r="B323" s="1" t="n">
        <v>45678.68400462963</v>
      </c>
      <c r="C323" s="1" t="n">
        <v>45935</v>
      </c>
      <c r="D323" t="inlineStr">
        <is>
          <t>DALARNAS LÄN</t>
        </is>
      </c>
      <c r="E323" t="inlineStr">
        <is>
          <t>ORSA</t>
        </is>
      </c>
      <c r="G323" t="n">
        <v>2.1</v>
      </c>
      <c r="H323" t="n">
        <v>0</v>
      </c>
      <c r="I323" t="n">
        <v>0</v>
      </c>
      <c r="J323" t="n">
        <v>0</v>
      </c>
      <c r="K323" t="n">
        <v>0</v>
      </c>
      <c r="L323" t="n">
        <v>0</v>
      </c>
      <c r="M323" t="n">
        <v>0</v>
      </c>
      <c r="N323" t="n">
        <v>0</v>
      </c>
      <c r="O323" t="n">
        <v>0</v>
      </c>
      <c r="P323" t="n">
        <v>0</v>
      </c>
      <c r="Q323" t="n">
        <v>0</v>
      </c>
      <c r="R323" s="2" t="inlineStr"/>
    </row>
    <row r="324" ht="15" customHeight="1">
      <c r="A324" t="inlineStr">
        <is>
          <t>A 41835-2024</t>
        </is>
      </c>
      <c r="B324" s="1" t="n">
        <v>45561.40888888889</v>
      </c>
      <c r="C324" s="1" t="n">
        <v>45935</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52912-2023</t>
        </is>
      </c>
      <c r="B325" s="1" t="n">
        <v>45226.51766203704</v>
      </c>
      <c r="C325" s="1" t="n">
        <v>45935</v>
      </c>
      <c r="D325" t="inlineStr">
        <is>
          <t>DALARNAS LÄN</t>
        </is>
      </c>
      <c r="E325" t="inlineStr">
        <is>
          <t>ORSA</t>
        </is>
      </c>
      <c r="G325" t="n">
        <v>10.9</v>
      </c>
      <c r="H325" t="n">
        <v>0</v>
      </c>
      <c r="I325" t="n">
        <v>0</v>
      </c>
      <c r="J325" t="n">
        <v>0</v>
      </c>
      <c r="K325" t="n">
        <v>0</v>
      </c>
      <c r="L325" t="n">
        <v>0</v>
      </c>
      <c r="M325" t="n">
        <v>0</v>
      </c>
      <c r="N325" t="n">
        <v>0</v>
      </c>
      <c r="O325" t="n">
        <v>0</v>
      </c>
      <c r="P325" t="n">
        <v>0</v>
      </c>
      <c r="Q325" t="n">
        <v>0</v>
      </c>
      <c r="R325" s="2" t="inlineStr"/>
    </row>
    <row r="326" ht="15" customHeight="1">
      <c r="A326" t="inlineStr">
        <is>
          <t>A 4566-2025</t>
        </is>
      </c>
      <c r="B326" s="1" t="n">
        <v>45687.46100694445</v>
      </c>
      <c r="C326" s="1" t="n">
        <v>45935</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17421-2025</t>
        </is>
      </c>
      <c r="B327" s="1" t="n">
        <v>45757.38532407407</v>
      </c>
      <c r="C327" s="1" t="n">
        <v>45935</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30751-2025</t>
        </is>
      </c>
      <c r="B328" s="1" t="n">
        <v>45831.58921296296</v>
      </c>
      <c r="C328" s="1" t="n">
        <v>45935</v>
      </c>
      <c r="D328" t="inlineStr">
        <is>
          <t>DALARNAS LÄN</t>
        </is>
      </c>
      <c r="E328" t="inlineStr">
        <is>
          <t>ORSA</t>
        </is>
      </c>
      <c r="G328" t="n">
        <v>5.2</v>
      </c>
      <c r="H328" t="n">
        <v>0</v>
      </c>
      <c r="I328" t="n">
        <v>0</v>
      </c>
      <c r="J328" t="n">
        <v>0</v>
      </c>
      <c r="K328" t="n">
        <v>0</v>
      </c>
      <c r="L328" t="n">
        <v>0</v>
      </c>
      <c r="M328" t="n">
        <v>0</v>
      </c>
      <c r="N328" t="n">
        <v>0</v>
      </c>
      <c r="O328" t="n">
        <v>0</v>
      </c>
      <c r="P328" t="n">
        <v>0</v>
      </c>
      <c r="Q328" t="n">
        <v>0</v>
      </c>
      <c r="R328" s="2" t="inlineStr"/>
    </row>
    <row r="329" ht="15" customHeight="1">
      <c r="A329" t="inlineStr">
        <is>
          <t>A 52776-2022</t>
        </is>
      </c>
      <c r="B329" s="1" t="n">
        <v>44875.36341435185</v>
      </c>
      <c r="C329" s="1" t="n">
        <v>45935</v>
      </c>
      <c r="D329" t="inlineStr">
        <is>
          <t>DALARNAS LÄN</t>
        </is>
      </c>
      <c r="E329" t="inlineStr">
        <is>
          <t>ORSA</t>
        </is>
      </c>
      <c r="F329" t="inlineStr">
        <is>
          <t>Allmännings- och besparingsskogar</t>
        </is>
      </c>
      <c r="G329" t="n">
        <v>4.4</v>
      </c>
      <c r="H329" t="n">
        <v>0</v>
      </c>
      <c r="I329" t="n">
        <v>0</v>
      </c>
      <c r="J329" t="n">
        <v>0</v>
      </c>
      <c r="K329" t="n">
        <v>0</v>
      </c>
      <c r="L329" t="n">
        <v>0</v>
      </c>
      <c r="M329" t="n">
        <v>0</v>
      </c>
      <c r="N329" t="n">
        <v>0</v>
      </c>
      <c r="O329" t="n">
        <v>0</v>
      </c>
      <c r="P329" t="n">
        <v>0</v>
      </c>
      <c r="Q329" t="n">
        <v>0</v>
      </c>
      <c r="R329" s="2" t="inlineStr"/>
    </row>
    <row r="330" ht="15" customHeight="1">
      <c r="A330" t="inlineStr">
        <is>
          <t>A 29984-2025</t>
        </is>
      </c>
      <c r="B330" s="1" t="n">
        <v>45826.49581018519</v>
      </c>
      <c r="C330" s="1" t="n">
        <v>45935</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6492-2025</t>
        </is>
      </c>
      <c r="B331" s="1" t="n">
        <v>45699</v>
      </c>
      <c r="C331" s="1" t="n">
        <v>45935</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45272-2022</t>
        </is>
      </c>
      <c r="B332" s="1" t="n">
        <v>44844</v>
      </c>
      <c r="C332" s="1" t="n">
        <v>45935</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21949-2025</t>
        </is>
      </c>
      <c r="B333" s="1" t="n">
        <v>45784.59369212963</v>
      </c>
      <c r="C333" s="1" t="n">
        <v>45935</v>
      </c>
      <c r="D333" t="inlineStr">
        <is>
          <t>DALARNAS LÄN</t>
        </is>
      </c>
      <c r="E333" t="inlineStr">
        <is>
          <t>ORSA</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21165-2024</t>
        </is>
      </c>
      <c r="B334" s="1" t="n">
        <v>45440.45225694445</v>
      </c>
      <c r="C334" s="1" t="n">
        <v>45935</v>
      </c>
      <c r="D334" t="inlineStr">
        <is>
          <t>DALARNAS LÄN</t>
        </is>
      </c>
      <c r="E334" t="inlineStr">
        <is>
          <t>ORSA</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35477-2023</t>
        </is>
      </c>
      <c r="B335" s="1" t="n">
        <v>45146</v>
      </c>
      <c r="C335" s="1" t="n">
        <v>45935</v>
      </c>
      <c r="D335" t="inlineStr">
        <is>
          <t>DALARNAS LÄN</t>
        </is>
      </c>
      <c r="E335" t="inlineStr">
        <is>
          <t>ORSA</t>
        </is>
      </c>
      <c r="G335" t="n">
        <v>7.7</v>
      </c>
      <c r="H335" t="n">
        <v>0</v>
      </c>
      <c r="I335" t="n">
        <v>0</v>
      </c>
      <c r="J335" t="n">
        <v>0</v>
      </c>
      <c r="K335" t="n">
        <v>0</v>
      </c>
      <c r="L335" t="n">
        <v>0</v>
      </c>
      <c r="M335" t="n">
        <v>0</v>
      </c>
      <c r="N335" t="n">
        <v>0</v>
      </c>
      <c r="O335" t="n">
        <v>0</v>
      </c>
      <c r="P335" t="n">
        <v>0</v>
      </c>
      <c r="Q335" t="n">
        <v>0</v>
      </c>
      <c r="R335" s="2" t="inlineStr"/>
    </row>
    <row r="336" ht="15" customHeight="1">
      <c r="A336" t="inlineStr">
        <is>
          <t>A 44904-2024</t>
        </is>
      </c>
      <c r="B336" s="1" t="n">
        <v>45575.38193287037</v>
      </c>
      <c r="C336" s="1" t="n">
        <v>45935</v>
      </c>
      <c r="D336" t="inlineStr">
        <is>
          <t>DALARNAS LÄN</t>
        </is>
      </c>
      <c r="E336" t="inlineStr">
        <is>
          <t>ORSA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22491-2025</t>
        </is>
      </c>
      <c r="B337" s="1" t="n">
        <v>45786.65040509259</v>
      </c>
      <c r="C337" s="1" t="n">
        <v>45935</v>
      </c>
      <c r="D337" t="inlineStr">
        <is>
          <t>DALARNAS LÄN</t>
        </is>
      </c>
      <c r="E337" t="inlineStr">
        <is>
          <t>ORSA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55843-2023</t>
        </is>
      </c>
      <c r="B338" s="1" t="n">
        <v>45239</v>
      </c>
      <c r="C338" s="1" t="n">
        <v>45935</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23056-2025</t>
        </is>
      </c>
      <c r="B339" s="1" t="n">
        <v>45790.73627314815</v>
      </c>
      <c r="C339" s="1" t="n">
        <v>45935</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37838-2024</t>
        </is>
      </c>
      <c r="B340" s="1" t="n">
        <v>45544.36310185185</v>
      </c>
      <c r="C340" s="1" t="n">
        <v>45935</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34708-2021</t>
        </is>
      </c>
      <c r="B341" s="1" t="n">
        <v>44382</v>
      </c>
      <c r="C341" s="1" t="n">
        <v>45935</v>
      </c>
      <c r="D341" t="inlineStr">
        <is>
          <t>DALARNAS LÄN</t>
        </is>
      </c>
      <c r="E341" t="inlineStr">
        <is>
          <t>ORSA</t>
        </is>
      </c>
      <c r="G341" t="n">
        <v>4.3</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45935</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23015-2025</t>
        </is>
      </c>
      <c r="B343" s="1" t="n">
        <v>45790.6377662037</v>
      </c>
      <c r="C343" s="1" t="n">
        <v>45935</v>
      </c>
      <c r="D343" t="inlineStr">
        <is>
          <t>DALARNAS LÄN</t>
        </is>
      </c>
      <c r="E343" t="inlineStr">
        <is>
          <t>ORSA</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52816-2024</t>
        </is>
      </c>
      <c r="B344" s="1" t="n">
        <v>45610.58322916667</v>
      </c>
      <c r="C344" s="1" t="n">
        <v>45935</v>
      </c>
      <c r="D344" t="inlineStr">
        <is>
          <t>DALARNAS LÄN</t>
        </is>
      </c>
      <c r="E344" t="inlineStr">
        <is>
          <t>ORSA</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50905-2021</t>
        </is>
      </c>
      <c r="B345" s="1" t="n">
        <v>44460</v>
      </c>
      <c r="C345" s="1" t="n">
        <v>45935</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58549-2023</t>
        </is>
      </c>
      <c r="B346" s="1" t="n">
        <v>45251.42627314815</v>
      </c>
      <c r="C346" s="1" t="n">
        <v>45935</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23053-2025</t>
        </is>
      </c>
      <c r="B347" s="1" t="n">
        <v>45790.73072916667</v>
      </c>
      <c r="C347" s="1" t="n">
        <v>45935</v>
      </c>
      <c r="D347" t="inlineStr">
        <is>
          <t>DALARNAS LÄN</t>
        </is>
      </c>
      <c r="E347" t="inlineStr">
        <is>
          <t>ORSA</t>
        </is>
      </c>
      <c r="G347" t="n">
        <v>3.3</v>
      </c>
      <c r="H347" t="n">
        <v>0</v>
      </c>
      <c r="I347" t="n">
        <v>0</v>
      </c>
      <c r="J347" t="n">
        <v>0</v>
      </c>
      <c r="K347" t="n">
        <v>0</v>
      </c>
      <c r="L347" t="n">
        <v>0</v>
      </c>
      <c r="M347" t="n">
        <v>0</v>
      </c>
      <c r="N347" t="n">
        <v>0</v>
      </c>
      <c r="O347" t="n">
        <v>0</v>
      </c>
      <c r="P347" t="n">
        <v>0</v>
      </c>
      <c r="Q347" t="n">
        <v>0</v>
      </c>
      <c r="R347" s="2" t="inlineStr"/>
    </row>
    <row r="348" ht="15" customHeight="1">
      <c r="A348" t="inlineStr">
        <is>
          <t>A 62289-2023</t>
        </is>
      </c>
      <c r="B348" s="1" t="n">
        <v>45266</v>
      </c>
      <c r="C348" s="1" t="n">
        <v>45935</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36569-2021</t>
        </is>
      </c>
      <c r="B349" s="1" t="n">
        <v>44391</v>
      </c>
      <c r="C349" s="1" t="n">
        <v>45935</v>
      </c>
      <c r="D349" t="inlineStr">
        <is>
          <t>DALARNAS LÄN</t>
        </is>
      </c>
      <c r="E349" t="inlineStr">
        <is>
          <t>ORSA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23055-2025</t>
        </is>
      </c>
      <c r="B350" s="1" t="n">
        <v>45790.73469907408</v>
      </c>
      <c r="C350" s="1" t="n">
        <v>45935</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23057-2025</t>
        </is>
      </c>
      <c r="B351" s="1" t="n">
        <v>45790.73820601852</v>
      </c>
      <c r="C351" s="1" t="n">
        <v>45935</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5302-2024</t>
        </is>
      </c>
      <c r="B352" s="1" t="n">
        <v>45331.38175925926</v>
      </c>
      <c r="C352" s="1" t="n">
        <v>45935</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23740-2025</t>
        </is>
      </c>
      <c r="B353" s="1" t="n">
        <v>45793.43210648148</v>
      </c>
      <c r="C353" s="1" t="n">
        <v>45935</v>
      </c>
      <c r="D353" t="inlineStr">
        <is>
          <t>DALARNAS LÄN</t>
        </is>
      </c>
      <c r="E353" t="inlineStr">
        <is>
          <t>ORSA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23875-2025</t>
        </is>
      </c>
      <c r="B354" s="1" t="n">
        <v>45793.68313657407</v>
      </c>
      <c r="C354" s="1" t="n">
        <v>45935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5434-2025</t>
        </is>
      </c>
      <c r="B355" s="1" t="n">
        <v>45692</v>
      </c>
      <c r="C355" s="1" t="n">
        <v>45935</v>
      </c>
      <c r="D355" t="inlineStr">
        <is>
          <t>DALARNAS LÄN</t>
        </is>
      </c>
      <c r="E355" t="inlineStr">
        <is>
          <t>ORSA</t>
        </is>
      </c>
      <c r="G355" t="n">
        <v>6.9</v>
      </c>
      <c r="H355" t="n">
        <v>0</v>
      </c>
      <c r="I355" t="n">
        <v>0</v>
      </c>
      <c r="J355" t="n">
        <v>0</v>
      </c>
      <c r="K355" t="n">
        <v>0</v>
      </c>
      <c r="L355" t="n">
        <v>0</v>
      </c>
      <c r="M355" t="n">
        <v>0</v>
      </c>
      <c r="N355" t="n">
        <v>0</v>
      </c>
      <c r="O355" t="n">
        <v>0</v>
      </c>
      <c r="P355" t="n">
        <v>0</v>
      </c>
      <c r="Q355" t="n">
        <v>0</v>
      </c>
      <c r="R355" s="2" t="inlineStr"/>
    </row>
    <row r="356" ht="15" customHeight="1">
      <c r="A356" t="inlineStr">
        <is>
          <t>A 70332-2021</t>
        </is>
      </c>
      <c r="B356" s="1" t="n">
        <v>44536</v>
      </c>
      <c r="C356" s="1" t="n">
        <v>45935</v>
      </c>
      <c r="D356" t="inlineStr">
        <is>
          <t>DALARNAS LÄN</t>
        </is>
      </c>
      <c r="E356" t="inlineStr">
        <is>
          <t>ORSA</t>
        </is>
      </c>
      <c r="G356" t="n">
        <v>7.2</v>
      </c>
      <c r="H356" t="n">
        <v>0</v>
      </c>
      <c r="I356" t="n">
        <v>0</v>
      </c>
      <c r="J356" t="n">
        <v>0</v>
      </c>
      <c r="K356" t="n">
        <v>0</v>
      </c>
      <c r="L356" t="n">
        <v>0</v>
      </c>
      <c r="M356" t="n">
        <v>0</v>
      </c>
      <c r="N356" t="n">
        <v>0</v>
      </c>
      <c r="O356" t="n">
        <v>0</v>
      </c>
      <c r="P356" t="n">
        <v>0</v>
      </c>
      <c r="Q356" t="n">
        <v>0</v>
      </c>
      <c r="R356" s="2" t="inlineStr"/>
    </row>
    <row r="357" ht="15" customHeight="1">
      <c r="A357" t="inlineStr">
        <is>
          <t>A 18009-2023</t>
        </is>
      </c>
      <c r="B357" s="1" t="n">
        <v>45040.56190972222</v>
      </c>
      <c r="C357" s="1" t="n">
        <v>45935</v>
      </c>
      <c r="D357" t="inlineStr">
        <is>
          <t>DALARNAS LÄN</t>
        </is>
      </c>
      <c r="E357" t="inlineStr">
        <is>
          <t>ORSA</t>
        </is>
      </c>
      <c r="G357" t="n">
        <v>5.8</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45935</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24248-2025</t>
        </is>
      </c>
      <c r="B359" s="1" t="n">
        <v>45797.40101851852</v>
      </c>
      <c r="C359" s="1" t="n">
        <v>45935</v>
      </c>
      <c r="D359" t="inlineStr">
        <is>
          <t>DALARNAS LÄN</t>
        </is>
      </c>
      <c r="E359" t="inlineStr">
        <is>
          <t>ORSA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53703-2024</t>
        </is>
      </c>
      <c r="B360" s="1" t="n">
        <v>45615.3990162037</v>
      </c>
      <c r="C360" s="1" t="n">
        <v>45935</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24235-2025</t>
        </is>
      </c>
      <c r="B361" s="1" t="n">
        <v>45797.38252314815</v>
      </c>
      <c r="C361" s="1" t="n">
        <v>45935</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5921-2025</t>
        </is>
      </c>
      <c r="B362" s="1" t="n">
        <v>45695</v>
      </c>
      <c r="C362" s="1" t="n">
        <v>45935</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41295-2021</t>
        </is>
      </c>
      <c r="B363" s="1" t="n">
        <v>44424</v>
      </c>
      <c r="C363" s="1" t="n">
        <v>45935</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31031-2023</t>
        </is>
      </c>
      <c r="B364" s="1" t="n">
        <v>45113</v>
      </c>
      <c r="C364" s="1" t="n">
        <v>45935</v>
      </c>
      <c r="D364" t="inlineStr">
        <is>
          <t>DALARNAS LÄN</t>
        </is>
      </c>
      <c r="E364" t="inlineStr">
        <is>
          <t>ORSA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27542-2021</t>
        </is>
      </c>
      <c r="B365" s="1" t="n">
        <v>44351</v>
      </c>
      <c r="C365" s="1" t="n">
        <v>45935</v>
      </c>
      <c r="D365" t="inlineStr">
        <is>
          <t>DALARNAS LÄN</t>
        </is>
      </c>
      <c r="E365" t="inlineStr">
        <is>
          <t>ORSA</t>
        </is>
      </c>
      <c r="G365" t="n">
        <v>1</v>
      </c>
      <c r="H365" t="n">
        <v>0</v>
      </c>
      <c r="I365" t="n">
        <v>0</v>
      </c>
      <c r="J365" t="n">
        <v>0</v>
      </c>
      <c r="K365" t="n">
        <v>0</v>
      </c>
      <c r="L365" t="n">
        <v>0</v>
      </c>
      <c r="M365" t="n">
        <v>0</v>
      </c>
      <c r="N365" t="n">
        <v>0</v>
      </c>
      <c r="O365" t="n">
        <v>0</v>
      </c>
      <c r="P365" t="n">
        <v>0</v>
      </c>
      <c r="Q365" t="n">
        <v>0</v>
      </c>
      <c r="R365" s="2" t="inlineStr"/>
    </row>
    <row r="366" ht="15" customHeight="1">
      <c r="A366" t="inlineStr">
        <is>
          <t>A 42238-2023</t>
        </is>
      </c>
      <c r="B366" s="1" t="n">
        <v>45180.34207175926</v>
      </c>
      <c r="C366" s="1" t="n">
        <v>45935</v>
      </c>
      <c r="D366" t="inlineStr">
        <is>
          <t>DALARNAS LÄN</t>
        </is>
      </c>
      <c r="E366" t="inlineStr">
        <is>
          <t>ORSA</t>
        </is>
      </c>
      <c r="F366" t="inlineStr">
        <is>
          <t>Allmännings- och besparingsskogar</t>
        </is>
      </c>
      <c r="G366" t="n">
        <v>0.5</v>
      </c>
      <c r="H366" t="n">
        <v>0</v>
      </c>
      <c r="I366" t="n">
        <v>0</v>
      </c>
      <c r="J366" t="n">
        <v>0</v>
      </c>
      <c r="K366" t="n">
        <v>0</v>
      </c>
      <c r="L366" t="n">
        <v>0</v>
      </c>
      <c r="M366" t="n">
        <v>0</v>
      </c>
      <c r="N366" t="n">
        <v>0</v>
      </c>
      <c r="O366" t="n">
        <v>0</v>
      </c>
      <c r="P366" t="n">
        <v>0</v>
      </c>
      <c r="Q366" t="n">
        <v>0</v>
      </c>
      <c r="R366" s="2" t="inlineStr"/>
    </row>
    <row r="367" ht="15" customHeight="1">
      <c r="A367" t="inlineStr">
        <is>
          <t>A 10832-2022</t>
        </is>
      </c>
      <c r="B367" s="1" t="n">
        <v>44627</v>
      </c>
      <c r="C367" s="1" t="n">
        <v>45935</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36682-2024</t>
        </is>
      </c>
      <c r="B368" s="1" t="n">
        <v>45537.65519675926</v>
      </c>
      <c r="C368" s="1" t="n">
        <v>45935</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55701-2023</t>
        </is>
      </c>
      <c r="B369" s="1" t="n">
        <v>45239.37113425926</v>
      </c>
      <c r="C369" s="1" t="n">
        <v>45935</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63543-2020</t>
        </is>
      </c>
      <c r="B370" s="1" t="n">
        <v>44165</v>
      </c>
      <c r="C370" s="1" t="n">
        <v>45935</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31172-2023</t>
        </is>
      </c>
      <c r="B371" s="1" t="n">
        <v>45113.8637037037</v>
      </c>
      <c r="C371" s="1" t="n">
        <v>45935</v>
      </c>
      <c r="D371" t="inlineStr">
        <is>
          <t>DALARNAS LÄN</t>
        </is>
      </c>
      <c r="E371" t="inlineStr">
        <is>
          <t>ORSA</t>
        </is>
      </c>
      <c r="G371" t="n">
        <v>2.9</v>
      </c>
      <c r="H371" t="n">
        <v>0</v>
      </c>
      <c r="I371" t="n">
        <v>0</v>
      </c>
      <c r="J371" t="n">
        <v>0</v>
      </c>
      <c r="K371" t="n">
        <v>0</v>
      </c>
      <c r="L371" t="n">
        <v>0</v>
      </c>
      <c r="M371" t="n">
        <v>0</v>
      </c>
      <c r="N371" t="n">
        <v>0</v>
      </c>
      <c r="O371" t="n">
        <v>0</v>
      </c>
      <c r="P371" t="n">
        <v>0</v>
      </c>
      <c r="Q371" t="n">
        <v>0</v>
      </c>
      <c r="R371" s="2" t="inlineStr"/>
    </row>
    <row r="372" ht="15" customHeight="1">
      <c r="A372" t="inlineStr">
        <is>
          <t>A 24969-2025</t>
        </is>
      </c>
      <c r="B372" s="1" t="n">
        <v>45799</v>
      </c>
      <c r="C372" s="1" t="n">
        <v>45935</v>
      </c>
      <c r="D372" t="inlineStr">
        <is>
          <t>DALARNAS LÄN</t>
        </is>
      </c>
      <c r="E372" t="inlineStr">
        <is>
          <t>ORSA</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19108-2025</t>
        </is>
      </c>
      <c r="B373" s="1" t="n">
        <v>45768</v>
      </c>
      <c r="C373" s="1" t="n">
        <v>45935</v>
      </c>
      <c r="D373" t="inlineStr">
        <is>
          <t>DALARNAS LÄN</t>
        </is>
      </c>
      <c r="E373" t="inlineStr">
        <is>
          <t>ORSA</t>
        </is>
      </c>
      <c r="F373" t="inlineStr">
        <is>
          <t>Bergvik skog väst AB</t>
        </is>
      </c>
      <c r="G373" t="n">
        <v>14.3</v>
      </c>
      <c r="H373" t="n">
        <v>0</v>
      </c>
      <c r="I373" t="n">
        <v>0</v>
      </c>
      <c r="J373" t="n">
        <v>0</v>
      </c>
      <c r="K373" t="n">
        <v>0</v>
      </c>
      <c r="L373" t="n">
        <v>0</v>
      </c>
      <c r="M373" t="n">
        <v>0</v>
      </c>
      <c r="N373" t="n">
        <v>0</v>
      </c>
      <c r="O373" t="n">
        <v>0</v>
      </c>
      <c r="P373" t="n">
        <v>0</v>
      </c>
      <c r="Q373" t="n">
        <v>0</v>
      </c>
      <c r="R373" s="2" t="inlineStr"/>
    </row>
    <row r="374" ht="15" customHeight="1">
      <c r="A374" t="inlineStr">
        <is>
          <t>A 52649-2024</t>
        </is>
      </c>
      <c r="B374" s="1" t="n">
        <v>45610.3468287037</v>
      </c>
      <c r="C374" s="1" t="n">
        <v>45935</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25211-2025</t>
        </is>
      </c>
      <c r="B375" s="1" t="n">
        <v>45800.46965277778</v>
      </c>
      <c r="C375" s="1" t="n">
        <v>45935</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1304-2024</t>
        </is>
      </c>
      <c r="B376" s="1" t="n">
        <v>45303</v>
      </c>
      <c r="C376" s="1" t="n">
        <v>45935</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45935</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51289-2023</t>
        </is>
      </c>
      <c r="B378" s="1" t="n">
        <v>45219.54077546296</v>
      </c>
      <c r="C378" s="1" t="n">
        <v>45935</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23339-2024</t>
        </is>
      </c>
      <c r="B379" s="1" t="n">
        <v>45453.48988425926</v>
      </c>
      <c r="C379" s="1" t="n">
        <v>45935</v>
      </c>
      <c r="D379" t="inlineStr">
        <is>
          <t>DALARNAS LÄN</t>
        </is>
      </c>
      <c r="E379" t="inlineStr">
        <is>
          <t>ORSA</t>
        </is>
      </c>
      <c r="G379" t="n">
        <v>3.8</v>
      </c>
      <c r="H379" t="n">
        <v>0</v>
      </c>
      <c r="I379" t="n">
        <v>0</v>
      </c>
      <c r="J379" t="n">
        <v>0</v>
      </c>
      <c r="K379" t="n">
        <v>0</v>
      </c>
      <c r="L379" t="n">
        <v>0</v>
      </c>
      <c r="M379" t="n">
        <v>0</v>
      </c>
      <c r="N379" t="n">
        <v>0</v>
      </c>
      <c r="O379" t="n">
        <v>0</v>
      </c>
      <c r="P379" t="n">
        <v>0</v>
      </c>
      <c r="Q379" t="n">
        <v>0</v>
      </c>
      <c r="R379" s="2" t="inlineStr"/>
    </row>
    <row r="380" ht="15" customHeight="1">
      <c r="A380" t="inlineStr">
        <is>
          <t>A 37647-2023</t>
        </is>
      </c>
      <c r="B380" s="1" t="n">
        <v>45159</v>
      </c>
      <c r="C380" s="1" t="n">
        <v>45935</v>
      </c>
      <c r="D380" t="inlineStr">
        <is>
          <t>DALARNAS LÄN</t>
        </is>
      </c>
      <c r="E380" t="inlineStr">
        <is>
          <t>ORSA</t>
        </is>
      </c>
      <c r="F380" t="inlineStr">
        <is>
          <t>Allmännings- och besparingsskogar</t>
        </is>
      </c>
      <c r="G380" t="n">
        <v>2.1</v>
      </c>
      <c r="H380" t="n">
        <v>0</v>
      </c>
      <c r="I380" t="n">
        <v>0</v>
      </c>
      <c r="J380" t="n">
        <v>0</v>
      </c>
      <c r="K380" t="n">
        <v>0</v>
      </c>
      <c r="L380" t="n">
        <v>0</v>
      </c>
      <c r="M380" t="n">
        <v>0</v>
      </c>
      <c r="N380" t="n">
        <v>0</v>
      </c>
      <c r="O380" t="n">
        <v>0</v>
      </c>
      <c r="P380" t="n">
        <v>0</v>
      </c>
      <c r="Q380" t="n">
        <v>0</v>
      </c>
      <c r="R380" s="2" t="inlineStr"/>
    </row>
    <row r="381" ht="15" customHeight="1">
      <c r="A381" t="inlineStr">
        <is>
          <t>A 31026-2023</t>
        </is>
      </c>
      <c r="B381" s="1" t="n">
        <v>45113.5812962963</v>
      </c>
      <c r="C381" s="1" t="n">
        <v>45935</v>
      </c>
      <c r="D381" t="inlineStr">
        <is>
          <t>DALARNAS LÄN</t>
        </is>
      </c>
      <c r="E381" t="inlineStr">
        <is>
          <t>ORSA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26741-2025</t>
        </is>
      </c>
      <c r="B382" s="1" t="n">
        <v>45810.52444444445</v>
      </c>
      <c r="C382" s="1" t="n">
        <v>45935</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30458-2023</t>
        </is>
      </c>
      <c r="B383" s="1" t="n">
        <v>45111</v>
      </c>
      <c r="C383" s="1" t="n">
        <v>45935</v>
      </c>
      <c r="D383" t="inlineStr">
        <is>
          <t>DALARNAS LÄN</t>
        </is>
      </c>
      <c r="E383" t="inlineStr">
        <is>
          <t>ORSA</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20302-2023</t>
        </is>
      </c>
      <c r="B384" s="1" t="n">
        <v>45056</v>
      </c>
      <c r="C384" s="1" t="n">
        <v>45935</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14680-2023</t>
        </is>
      </c>
      <c r="B385" s="1" t="n">
        <v>45014.30054398148</v>
      </c>
      <c r="C385" s="1" t="n">
        <v>45935</v>
      </c>
      <c r="D385" t="inlineStr">
        <is>
          <t>DALARNAS LÄN</t>
        </is>
      </c>
      <c r="E385" t="inlineStr">
        <is>
          <t>ORSA</t>
        </is>
      </c>
      <c r="G385" t="n">
        <v>4.2</v>
      </c>
      <c r="H385" t="n">
        <v>0</v>
      </c>
      <c r="I385" t="n">
        <v>0</v>
      </c>
      <c r="J385" t="n">
        <v>0</v>
      </c>
      <c r="K385" t="n">
        <v>0</v>
      </c>
      <c r="L385" t="n">
        <v>0</v>
      </c>
      <c r="M385" t="n">
        <v>0</v>
      </c>
      <c r="N385" t="n">
        <v>0</v>
      </c>
      <c r="O385" t="n">
        <v>0</v>
      </c>
      <c r="P385" t="n">
        <v>0</v>
      </c>
      <c r="Q385" t="n">
        <v>0</v>
      </c>
      <c r="R385" s="2" t="inlineStr"/>
    </row>
    <row r="386" ht="15" customHeight="1">
      <c r="A386" t="inlineStr">
        <is>
          <t>A 4738-2025</t>
        </is>
      </c>
      <c r="B386" s="1" t="n">
        <v>45688</v>
      </c>
      <c r="C386" s="1" t="n">
        <v>45935</v>
      </c>
      <c r="D386" t="inlineStr">
        <is>
          <t>DALARNAS LÄN</t>
        </is>
      </c>
      <c r="E386" t="inlineStr">
        <is>
          <t>ORSA</t>
        </is>
      </c>
      <c r="G386" t="n">
        <v>3.7</v>
      </c>
      <c r="H386" t="n">
        <v>0</v>
      </c>
      <c r="I386" t="n">
        <v>0</v>
      </c>
      <c r="J386" t="n">
        <v>0</v>
      </c>
      <c r="K386" t="n">
        <v>0</v>
      </c>
      <c r="L386" t="n">
        <v>0</v>
      </c>
      <c r="M386" t="n">
        <v>0</v>
      </c>
      <c r="N386" t="n">
        <v>0</v>
      </c>
      <c r="O386" t="n">
        <v>0</v>
      </c>
      <c r="P386" t="n">
        <v>0</v>
      </c>
      <c r="Q386" t="n">
        <v>0</v>
      </c>
      <c r="R386" s="2" t="inlineStr"/>
    </row>
    <row r="387" ht="15" customHeight="1">
      <c r="A387" t="inlineStr">
        <is>
          <t>A 2948-2025</t>
        </is>
      </c>
      <c r="B387" s="1" t="n">
        <v>45678.42868055555</v>
      </c>
      <c r="C387" s="1" t="n">
        <v>45935</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21364-2025</t>
        </is>
      </c>
      <c r="B388" s="1" t="n">
        <v>45782</v>
      </c>
      <c r="C388" s="1" t="n">
        <v>45935</v>
      </c>
      <c r="D388" t="inlineStr">
        <is>
          <t>DALARNAS LÄN</t>
        </is>
      </c>
      <c r="E388" t="inlineStr">
        <is>
          <t>ORSA</t>
        </is>
      </c>
      <c r="F388" t="inlineStr">
        <is>
          <t>Allmännings- och besparingsskogar</t>
        </is>
      </c>
      <c r="G388" t="n">
        <v>52.6</v>
      </c>
      <c r="H388" t="n">
        <v>0</v>
      </c>
      <c r="I388" t="n">
        <v>0</v>
      </c>
      <c r="J388" t="n">
        <v>0</v>
      </c>
      <c r="K388" t="n">
        <v>0</v>
      </c>
      <c r="L388" t="n">
        <v>0</v>
      </c>
      <c r="M388" t="n">
        <v>0</v>
      </c>
      <c r="N388" t="n">
        <v>0</v>
      </c>
      <c r="O388" t="n">
        <v>0</v>
      </c>
      <c r="P388" t="n">
        <v>0</v>
      </c>
      <c r="Q388" t="n">
        <v>0</v>
      </c>
      <c r="R388" s="2" t="inlineStr"/>
    </row>
    <row r="389" ht="15" customHeight="1">
      <c r="A389" t="inlineStr">
        <is>
          <t>A 27190-2025</t>
        </is>
      </c>
      <c r="B389" s="1" t="n">
        <v>45812.37025462963</v>
      </c>
      <c r="C389" s="1" t="n">
        <v>45935</v>
      </c>
      <c r="D389" t="inlineStr">
        <is>
          <t>DALARNAS LÄN</t>
        </is>
      </c>
      <c r="E389" t="inlineStr">
        <is>
          <t>ORSA</t>
        </is>
      </c>
      <c r="F389" t="inlineStr">
        <is>
          <t>Bergvik skog öst AB</t>
        </is>
      </c>
      <c r="G389" t="n">
        <v>4.9</v>
      </c>
      <c r="H389" t="n">
        <v>0</v>
      </c>
      <c r="I389" t="n">
        <v>0</v>
      </c>
      <c r="J389" t="n">
        <v>0</v>
      </c>
      <c r="K389" t="n">
        <v>0</v>
      </c>
      <c r="L389" t="n">
        <v>0</v>
      </c>
      <c r="M389" t="n">
        <v>0</v>
      </c>
      <c r="N389" t="n">
        <v>0</v>
      </c>
      <c r="O389" t="n">
        <v>0</v>
      </c>
      <c r="P389" t="n">
        <v>0</v>
      </c>
      <c r="Q389" t="n">
        <v>0</v>
      </c>
      <c r="R389" s="2" t="inlineStr"/>
    </row>
    <row r="390" ht="15" customHeight="1">
      <c r="A390" t="inlineStr">
        <is>
          <t>A 27221-2025</t>
        </is>
      </c>
      <c r="B390" s="1" t="n">
        <v>45812.42304398148</v>
      </c>
      <c r="C390" s="1" t="n">
        <v>45935</v>
      </c>
      <c r="D390" t="inlineStr">
        <is>
          <t>DALARNAS LÄN</t>
        </is>
      </c>
      <c r="E390" t="inlineStr">
        <is>
          <t>ORSA</t>
        </is>
      </c>
      <c r="F390" t="inlineStr">
        <is>
          <t>Bergvik skog öst AB</t>
        </is>
      </c>
      <c r="G390" t="n">
        <v>3.7</v>
      </c>
      <c r="H390" t="n">
        <v>0</v>
      </c>
      <c r="I390" t="n">
        <v>0</v>
      </c>
      <c r="J390" t="n">
        <v>0</v>
      </c>
      <c r="K390" t="n">
        <v>0</v>
      </c>
      <c r="L390" t="n">
        <v>0</v>
      </c>
      <c r="M390" t="n">
        <v>0</v>
      </c>
      <c r="N390" t="n">
        <v>0</v>
      </c>
      <c r="O390" t="n">
        <v>0</v>
      </c>
      <c r="P390" t="n">
        <v>0</v>
      </c>
      <c r="Q390" t="n">
        <v>0</v>
      </c>
      <c r="R390" s="2" t="inlineStr"/>
    </row>
    <row r="391" ht="15" customHeight="1">
      <c r="A391" t="inlineStr">
        <is>
          <t>A 27240-2025</t>
        </is>
      </c>
      <c r="B391" s="1" t="n">
        <v>45812.45170138889</v>
      </c>
      <c r="C391" s="1" t="n">
        <v>45935</v>
      </c>
      <c r="D391" t="inlineStr">
        <is>
          <t>DALARNAS LÄN</t>
        </is>
      </c>
      <c r="E391" t="inlineStr">
        <is>
          <t>ORSA</t>
        </is>
      </c>
      <c r="F391" t="inlineStr">
        <is>
          <t>Bergvik skog öst AB</t>
        </is>
      </c>
      <c r="G391" t="n">
        <v>6.8</v>
      </c>
      <c r="H391" t="n">
        <v>0</v>
      </c>
      <c r="I391" t="n">
        <v>0</v>
      </c>
      <c r="J391" t="n">
        <v>0</v>
      </c>
      <c r="K391" t="n">
        <v>0</v>
      </c>
      <c r="L391" t="n">
        <v>0</v>
      </c>
      <c r="M391" t="n">
        <v>0</v>
      </c>
      <c r="N391" t="n">
        <v>0</v>
      </c>
      <c r="O391" t="n">
        <v>0</v>
      </c>
      <c r="P391" t="n">
        <v>0</v>
      </c>
      <c r="Q391" t="n">
        <v>0</v>
      </c>
      <c r="R391" s="2" t="inlineStr"/>
    </row>
    <row r="392" ht="15" customHeight="1">
      <c r="A392" t="inlineStr">
        <is>
          <t>A 6490-2025</t>
        </is>
      </c>
      <c r="B392" s="1" t="n">
        <v>45699</v>
      </c>
      <c r="C392" s="1" t="n">
        <v>45935</v>
      </c>
      <c r="D392" t="inlineStr">
        <is>
          <t>DALARNAS LÄN</t>
        </is>
      </c>
      <c r="E392" t="inlineStr">
        <is>
          <t>ORSA</t>
        </is>
      </c>
      <c r="G392" t="n">
        <v>7.5</v>
      </c>
      <c r="H392" t="n">
        <v>0</v>
      </c>
      <c r="I392" t="n">
        <v>0</v>
      </c>
      <c r="J392" t="n">
        <v>0</v>
      </c>
      <c r="K392" t="n">
        <v>0</v>
      </c>
      <c r="L392" t="n">
        <v>0</v>
      </c>
      <c r="M392" t="n">
        <v>0</v>
      </c>
      <c r="N392" t="n">
        <v>0</v>
      </c>
      <c r="O392" t="n">
        <v>0</v>
      </c>
      <c r="P392" t="n">
        <v>0</v>
      </c>
      <c r="Q392" t="n">
        <v>0</v>
      </c>
      <c r="R392" s="2" t="inlineStr"/>
    </row>
    <row r="393" ht="15" customHeight="1">
      <c r="A393" t="inlineStr">
        <is>
          <t>A 27313-2025</t>
        </is>
      </c>
      <c r="B393" s="1" t="n">
        <v>45812.58365740741</v>
      </c>
      <c r="C393" s="1" t="n">
        <v>45935</v>
      </c>
      <c r="D393" t="inlineStr">
        <is>
          <t>DALARNAS LÄN</t>
        </is>
      </c>
      <c r="E393" t="inlineStr">
        <is>
          <t>ORSA</t>
        </is>
      </c>
      <c r="F393" t="inlineStr">
        <is>
          <t>Allmännings- och besparingsskogar</t>
        </is>
      </c>
      <c r="G393" t="n">
        <v>1.4</v>
      </c>
      <c r="H393" t="n">
        <v>0</v>
      </c>
      <c r="I393" t="n">
        <v>0</v>
      </c>
      <c r="J393" t="n">
        <v>0</v>
      </c>
      <c r="K393" t="n">
        <v>0</v>
      </c>
      <c r="L393" t="n">
        <v>0</v>
      </c>
      <c r="M393" t="n">
        <v>0</v>
      </c>
      <c r="N393" t="n">
        <v>0</v>
      </c>
      <c r="O393" t="n">
        <v>0</v>
      </c>
      <c r="P393" t="n">
        <v>0</v>
      </c>
      <c r="Q393" t="n">
        <v>0</v>
      </c>
      <c r="R393" s="2" t="inlineStr"/>
    </row>
    <row r="394" ht="15" customHeight="1">
      <c r="A394" t="inlineStr">
        <is>
          <t>A 67834-2020</t>
        </is>
      </c>
      <c r="B394" s="1" t="n">
        <v>44182</v>
      </c>
      <c r="C394" s="1" t="n">
        <v>45935</v>
      </c>
      <c r="D394" t="inlineStr">
        <is>
          <t>DALARNAS LÄN</t>
        </is>
      </c>
      <c r="E394" t="inlineStr">
        <is>
          <t>ORSA</t>
        </is>
      </c>
      <c r="G394" t="n">
        <v>4</v>
      </c>
      <c r="H394" t="n">
        <v>0</v>
      </c>
      <c r="I394" t="n">
        <v>0</v>
      </c>
      <c r="J394" t="n">
        <v>0</v>
      </c>
      <c r="K394" t="n">
        <v>0</v>
      </c>
      <c r="L394" t="n">
        <v>0</v>
      </c>
      <c r="M394" t="n">
        <v>0</v>
      </c>
      <c r="N394" t="n">
        <v>0</v>
      </c>
      <c r="O394" t="n">
        <v>0</v>
      </c>
      <c r="P394" t="n">
        <v>0</v>
      </c>
      <c r="Q394" t="n">
        <v>0</v>
      </c>
      <c r="R394" s="2" t="inlineStr"/>
    </row>
    <row r="395" ht="15" customHeight="1">
      <c r="A395" t="inlineStr">
        <is>
          <t>A 27866-2025</t>
        </is>
      </c>
      <c r="B395" s="1" t="n">
        <v>45817.4262962963</v>
      </c>
      <c r="C395" s="1" t="n">
        <v>45935</v>
      </c>
      <c r="D395" t="inlineStr">
        <is>
          <t>DALARNAS LÄN</t>
        </is>
      </c>
      <c r="E395" t="inlineStr">
        <is>
          <t>ORSA</t>
        </is>
      </c>
      <c r="F395" t="inlineStr">
        <is>
          <t>Allmännings- och besparingsskogar</t>
        </is>
      </c>
      <c r="G395" t="n">
        <v>6</v>
      </c>
      <c r="H395" t="n">
        <v>0</v>
      </c>
      <c r="I395" t="n">
        <v>0</v>
      </c>
      <c r="J395" t="n">
        <v>0</v>
      </c>
      <c r="K395" t="n">
        <v>0</v>
      </c>
      <c r="L395" t="n">
        <v>0</v>
      </c>
      <c r="M395" t="n">
        <v>0</v>
      </c>
      <c r="N395" t="n">
        <v>0</v>
      </c>
      <c r="O395" t="n">
        <v>0</v>
      </c>
      <c r="P395" t="n">
        <v>0</v>
      </c>
      <c r="Q395" t="n">
        <v>0</v>
      </c>
      <c r="R395" s="2" t="inlineStr"/>
    </row>
    <row r="396" ht="15" customHeight="1">
      <c r="A396" t="inlineStr">
        <is>
          <t>A 27885-2025</t>
        </is>
      </c>
      <c r="B396" s="1" t="n">
        <v>45817.45034722222</v>
      </c>
      <c r="C396" s="1" t="n">
        <v>45935</v>
      </c>
      <c r="D396" t="inlineStr">
        <is>
          <t>DALARNAS LÄN</t>
        </is>
      </c>
      <c r="E396" t="inlineStr">
        <is>
          <t>ORSA</t>
        </is>
      </c>
      <c r="F396" t="inlineStr">
        <is>
          <t>Allmännings- och besparingsskogar</t>
        </is>
      </c>
      <c r="G396" t="n">
        <v>3.4</v>
      </c>
      <c r="H396" t="n">
        <v>0</v>
      </c>
      <c r="I396" t="n">
        <v>0</v>
      </c>
      <c r="J396" t="n">
        <v>0</v>
      </c>
      <c r="K396" t="n">
        <v>0</v>
      </c>
      <c r="L396" t="n">
        <v>0</v>
      </c>
      <c r="M396" t="n">
        <v>0</v>
      </c>
      <c r="N396" t="n">
        <v>0</v>
      </c>
      <c r="O396" t="n">
        <v>0</v>
      </c>
      <c r="P396" t="n">
        <v>0</v>
      </c>
      <c r="Q396" t="n">
        <v>0</v>
      </c>
      <c r="R396" s="2" t="inlineStr"/>
    </row>
    <row r="397" ht="15" customHeight="1">
      <c r="A397" t="inlineStr">
        <is>
          <t>A 27987-2025</t>
        </is>
      </c>
      <c r="B397" s="1" t="n">
        <v>45817.58361111111</v>
      </c>
      <c r="C397" s="1" t="n">
        <v>45935</v>
      </c>
      <c r="D397" t="inlineStr">
        <is>
          <t>DALARNAS LÄN</t>
        </is>
      </c>
      <c r="E397" t="inlineStr">
        <is>
          <t>ORSA</t>
        </is>
      </c>
      <c r="F397" t="inlineStr">
        <is>
          <t>Allmännings- och besparingsskogar</t>
        </is>
      </c>
      <c r="G397" t="n">
        <v>2.5</v>
      </c>
      <c r="H397" t="n">
        <v>0</v>
      </c>
      <c r="I397" t="n">
        <v>0</v>
      </c>
      <c r="J397" t="n">
        <v>0</v>
      </c>
      <c r="K397" t="n">
        <v>0</v>
      </c>
      <c r="L397" t="n">
        <v>0</v>
      </c>
      <c r="M397" t="n">
        <v>0</v>
      </c>
      <c r="N397" t="n">
        <v>0</v>
      </c>
      <c r="O397" t="n">
        <v>0</v>
      </c>
      <c r="P397" t="n">
        <v>0</v>
      </c>
      <c r="Q397" t="n">
        <v>0</v>
      </c>
      <c r="R397" s="2" t="inlineStr"/>
    </row>
    <row r="398" ht="15" customHeight="1">
      <c r="A398" t="inlineStr">
        <is>
          <t>A 61698-2022</t>
        </is>
      </c>
      <c r="B398" s="1" t="n">
        <v>44917.40038194445</v>
      </c>
      <c r="C398" s="1" t="n">
        <v>45935</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61034-2024</t>
        </is>
      </c>
      <c r="B399" s="1" t="n">
        <v>45645.46608796297</v>
      </c>
      <c r="C399" s="1" t="n">
        <v>45935</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28207-2025</t>
        </is>
      </c>
      <c r="B400" s="1" t="n">
        <v>45818.44871527778</v>
      </c>
      <c r="C400" s="1" t="n">
        <v>45935</v>
      </c>
      <c r="D400" t="inlineStr">
        <is>
          <t>DALARNAS LÄN</t>
        </is>
      </c>
      <c r="E400" t="inlineStr">
        <is>
          <t>ORSA</t>
        </is>
      </c>
      <c r="F400" t="inlineStr">
        <is>
          <t>Bergvik skog öst AB</t>
        </is>
      </c>
      <c r="G400" t="n">
        <v>2.9</v>
      </c>
      <c r="H400" t="n">
        <v>0</v>
      </c>
      <c r="I400" t="n">
        <v>0</v>
      </c>
      <c r="J400" t="n">
        <v>0</v>
      </c>
      <c r="K400" t="n">
        <v>0</v>
      </c>
      <c r="L400" t="n">
        <v>0</v>
      </c>
      <c r="M400" t="n">
        <v>0</v>
      </c>
      <c r="N400" t="n">
        <v>0</v>
      </c>
      <c r="O400" t="n">
        <v>0</v>
      </c>
      <c r="P400" t="n">
        <v>0</v>
      </c>
      <c r="Q400" t="n">
        <v>0</v>
      </c>
      <c r="R400" s="2" t="inlineStr"/>
    </row>
    <row r="401" ht="15" customHeight="1">
      <c r="A401" t="inlineStr">
        <is>
          <t>A 28635-2025</t>
        </is>
      </c>
      <c r="B401" s="1" t="n">
        <v>45819.63112268518</v>
      </c>
      <c r="C401" s="1" t="n">
        <v>45935</v>
      </c>
      <c r="D401" t="inlineStr">
        <is>
          <t>DALARNAS LÄN</t>
        </is>
      </c>
      <c r="E401" t="inlineStr">
        <is>
          <t>ORSA</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28317-2025</t>
        </is>
      </c>
      <c r="B402" s="1" t="n">
        <v>45818.6300462963</v>
      </c>
      <c r="C402" s="1" t="n">
        <v>45935</v>
      </c>
      <c r="D402" t="inlineStr">
        <is>
          <t>DALARNAS LÄN</t>
        </is>
      </c>
      <c r="E402" t="inlineStr">
        <is>
          <t>ORSA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28609-2025</t>
        </is>
      </c>
      <c r="B403" s="1" t="n">
        <v>45819.60303240741</v>
      </c>
      <c r="C403" s="1" t="n">
        <v>45935</v>
      </c>
      <c r="D403" t="inlineStr">
        <is>
          <t>DALARNAS LÄN</t>
        </is>
      </c>
      <c r="E403" t="inlineStr">
        <is>
          <t>ORSA</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12704-2022</t>
        </is>
      </c>
      <c r="B404" s="1" t="n">
        <v>44641</v>
      </c>
      <c r="C404" s="1" t="n">
        <v>45935</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38611-2022</t>
        </is>
      </c>
      <c r="B405" s="1" t="n">
        <v>44813.60177083333</v>
      </c>
      <c r="C405" s="1" t="n">
        <v>45935</v>
      </c>
      <c r="D405" t="inlineStr">
        <is>
          <t>DALARNAS LÄN</t>
        </is>
      </c>
      <c r="E405" t="inlineStr">
        <is>
          <t>ORSA</t>
        </is>
      </c>
      <c r="G405" t="n">
        <v>3.6</v>
      </c>
      <c r="H405" t="n">
        <v>0</v>
      </c>
      <c r="I405" t="n">
        <v>0</v>
      </c>
      <c r="J405" t="n">
        <v>0</v>
      </c>
      <c r="K405" t="n">
        <v>0</v>
      </c>
      <c r="L405" t="n">
        <v>0</v>
      </c>
      <c r="M405" t="n">
        <v>0</v>
      </c>
      <c r="N405" t="n">
        <v>0</v>
      </c>
      <c r="O405" t="n">
        <v>0</v>
      </c>
      <c r="P405" t="n">
        <v>0</v>
      </c>
      <c r="Q405" t="n">
        <v>0</v>
      </c>
      <c r="R405" s="2" t="inlineStr"/>
    </row>
    <row r="406" ht="15" customHeight="1">
      <c r="A406" t="inlineStr">
        <is>
          <t>A 29933-2025</t>
        </is>
      </c>
      <c r="B406" s="1" t="n">
        <v>45826.44121527778</v>
      </c>
      <c r="C406" s="1" t="n">
        <v>45935</v>
      </c>
      <c r="D406" t="inlineStr">
        <is>
          <t>DALARNAS LÄN</t>
        </is>
      </c>
      <c r="E406" t="inlineStr">
        <is>
          <t>ORSA</t>
        </is>
      </c>
      <c r="G406" t="n">
        <v>1.8</v>
      </c>
      <c r="H406" t="n">
        <v>0</v>
      </c>
      <c r="I406" t="n">
        <v>0</v>
      </c>
      <c r="J406" t="n">
        <v>0</v>
      </c>
      <c r="K406" t="n">
        <v>0</v>
      </c>
      <c r="L406" t="n">
        <v>0</v>
      </c>
      <c r="M406" t="n">
        <v>0</v>
      </c>
      <c r="N406" t="n">
        <v>0</v>
      </c>
      <c r="O406" t="n">
        <v>0</v>
      </c>
      <c r="P406" t="n">
        <v>0</v>
      </c>
      <c r="Q406" t="n">
        <v>0</v>
      </c>
      <c r="R406" s="2" t="inlineStr"/>
    </row>
    <row r="407" ht="15" customHeight="1">
      <c r="A407" t="inlineStr">
        <is>
          <t>A 29844-2025</t>
        </is>
      </c>
      <c r="B407" s="1" t="n">
        <v>45826</v>
      </c>
      <c r="C407" s="1" t="n">
        <v>45935</v>
      </c>
      <c r="D407" t="inlineStr">
        <is>
          <t>DALARNAS LÄN</t>
        </is>
      </c>
      <c r="E407" t="inlineStr">
        <is>
          <t>ORSA</t>
        </is>
      </c>
      <c r="F407" t="inlineStr">
        <is>
          <t>Allmännings- och besparingsskogar</t>
        </is>
      </c>
      <c r="G407" t="n">
        <v>53.9</v>
      </c>
      <c r="H407" t="n">
        <v>0</v>
      </c>
      <c r="I407" t="n">
        <v>0</v>
      </c>
      <c r="J407" t="n">
        <v>0</v>
      </c>
      <c r="K407" t="n">
        <v>0</v>
      </c>
      <c r="L407" t="n">
        <v>0</v>
      </c>
      <c r="M407" t="n">
        <v>0</v>
      </c>
      <c r="N407" t="n">
        <v>0</v>
      </c>
      <c r="O407" t="n">
        <v>0</v>
      </c>
      <c r="P407" t="n">
        <v>0</v>
      </c>
      <c r="Q407" t="n">
        <v>0</v>
      </c>
      <c r="R407" s="2" t="inlineStr"/>
    </row>
    <row r="408" ht="15" customHeight="1">
      <c r="A408" t="inlineStr">
        <is>
          <t>A 31365-2025</t>
        </is>
      </c>
      <c r="B408" s="1" t="n">
        <v>45833.43884259259</v>
      </c>
      <c r="C408" s="1" t="n">
        <v>45935</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59411-2024</t>
        </is>
      </c>
      <c r="B409" s="1" t="n">
        <v>45638.39675925926</v>
      </c>
      <c r="C409" s="1" t="n">
        <v>45935</v>
      </c>
      <c r="D409" t="inlineStr">
        <is>
          <t>DALARNAS LÄN</t>
        </is>
      </c>
      <c r="E409" t="inlineStr">
        <is>
          <t>ORSA</t>
        </is>
      </c>
      <c r="G409" t="n">
        <v>1.4</v>
      </c>
      <c r="H409" t="n">
        <v>0</v>
      </c>
      <c r="I409" t="n">
        <v>0</v>
      </c>
      <c r="J409" t="n">
        <v>0</v>
      </c>
      <c r="K409" t="n">
        <v>0</v>
      </c>
      <c r="L409" t="n">
        <v>0</v>
      </c>
      <c r="M409" t="n">
        <v>0</v>
      </c>
      <c r="N409" t="n">
        <v>0</v>
      </c>
      <c r="O409" t="n">
        <v>0</v>
      </c>
      <c r="P409" t="n">
        <v>0</v>
      </c>
      <c r="Q409" t="n">
        <v>0</v>
      </c>
      <c r="R409" s="2" t="inlineStr"/>
    </row>
    <row r="410" ht="15" customHeight="1">
      <c r="A410" t="inlineStr">
        <is>
          <t>A 59414-2024</t>
        </is>
      </c>
      <c r="B410" s="1" t="n">
        <v>45638.39965277778</v>
      </c>
      <c r="C410" s="1" t="n">
        <v>45935</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31634-2025</t>
        </is>
      </c>
      <c r="B411" s="1" t="n">
        <v>45834</v>
      </c>
      <c r="C411" s="1" t="n">
        <v>45935</v>
      </c>
      <c r="D411" t="inlineStr">
        <is>
          <t>DALARNAS LÄN</t>
        </is>
      </c>
      <c r="E411" t="inlineStr">
        <is>
          <t>ORSA</t>
        </is>
      </c>
      <c r="G411" t="n">
        <v>2</v>
      </c>
      <c r="H411" t="n">
        <v>0</v>
      </c>
      <c r="I411" t="n">
        <v>0</v>
      </c>
      <c r="J411" t="n">
        <v>0</v>
      </c>
      <c r="K411" t="n">
        <v>0</v>
      </c>
      <c r="L411" t="n">
        <v>0</v>
      </c>
      <c r="M411" t="n">
        <v>0</v>
      </c>
      <c r="N411" t="n">
        <v>0</v>
      </c>
      <c r="O411" t="n">
        <v>0</v>
      </c>
      <c r="P411" t="n">
        <v>0</v>
      </c>
      <c r="Q411" t="n">
        <v>0</v>
      </c>
      <c r="R411" s="2" t="inlineStr"/>
    </row>
    <row r="412" ht="15" customHeight="1">
      <c r="A412" t="inlineStr">
        <is>
          <t>A 67755-2020</t>
        </is>
      </c>
      <c r="B412" s="1" t="n">
        <v>44182</v>
      </c>
      <c r="C412" s="1" t="n">
        <v>45935</v>
      </c>
      <c r="D412" t="inlineStr">
        <is>
          <t>DALARNAS LÄN</t>
        </is>
      </c>
      <c r="E412" t="inlineStr">
        <is>
          <t>ORSA</t>
        </is>
      </c>
      <c r="G412" t="n">
        <v>7.5</v>
      </c>
      <c r="H412" t="n">
        <v>0</v>
      </c>
      <c r="I412" t="n">
        <v>0</v>
      </c>
      <c r="J412" t="n">
        <v>0</v>
      </c>
      <c r="K412" t="n">
        <v>0</v>
      </c>
      <c r="L412" t="n">
        <v>0</v>
      </c>
      <c r="M412" t="n">
        <v>0</v>
      </c>
      <c r="N412" t="n">
        <v>0</v>
      </c>
      <c r="O412" t="n">
        <v>0</v>
      </c>
      <c r="P412" t="n">
        <v>0</v>
      </c>
      <c r="Q412" t="n">
        <v>0</v>
      </c>
      <c r="R412" s="2" t="inlineStr"/>
    </row>
    <row r="413" ht="15" customHeight="1">
      <c r="A413" t="inlineStr">
        <is>
          <t>A 31659-2025</t>
        </is>
      </c>
      <c r="B413" s="1" t="n">
        <v>45834.35421296296</v>
      </c>
      <c r="C413" s="1" t="n">
        <v>45935</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612-2025</t>
        </is>
      </c>
      <c r="B414" s="1" t="n">
        <v>45660</v>
      </c>
      <c r="C414" s="1" t="n">
        <v>45935</v>
      </c>
      <c r="D414" t="inlineStr">
        <is>
          <t>DALARNAS LÄN</t>
        </is>
      </c>
      <c r="E414" t="inlineStr">
        <is>
          <t>ORSA</t>
        </is>
      </c>
      <c r="F414" t="inlineStr">
        <is>
          <t>Allmännings- och besparingsskogar</t>
        </is>
      </c>
      <c r="G414" t="n">
        <v>0.8</v>
      </c>
      <c r="H414" t="n">
        <v>0</v>
      </c>
      <c r="I414" t="n">
        <v>0</v>
      </c>
      <c r="J414" t="n">
        <v>0</v>
      </c>
      <c r="K414" t="n">
        <v>0</v>
      </c>
      <c r="L414" t="n">
        <v>0</v>
      </c>
      <c r="M414" t="n">
        <v>0</v>
      </c>
      <c r="N414" t="n">
        <v>0</v>
      </c>
      <c r="O414" t="n">
        <v>0</v>
      </c>
      <c r="P414" t="n">
        <v>0</v>
      </c>
      <c r="Q414" t="n">
        <v>0</v>
      </c>
      <c r="R414" s="2" t="inlineStr"/>
    </row>
    <row r="415" ht="15" customHeight="1">
      <c r="A415" t="inlineStr">
        <is>
          <t>A 32325-2025</t>
        </is>
      </c>
      <c r="B415" s="1" t="n">
        <v>45836</v>
      </c>
      <c r="C415" s="1" t="n">
        <v>45935</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4202-2025</t>
        </is>
      </c>
      <c r="B416" s="1" t="n">
        <v>45685.46236111111</v>
      </c>
      <c r="C416" s="1" t="n">
        <v>45935</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4204-2025</t>
        </is>
      </c>
      <c r="B417" s="1" t="n">
        <v>45685.46390046296</v>
      </c>
      <c r="C417" s="1" t="n">
        <v>45935</v>
      </c>
      <c r="D417" t="inlineStr">
        <is>
          <t>DALARNAS LÄN</t>
        </is>
      </c>
      <c r="E417" t="inlineStr">
        <is>
          <t>ORSA</t>
        </is>
      </c>
      <c r="G417" t="n">
        <v>1.8</v>
      </c>
      <c r="H417" t="n">
        <v>0</v>
      </c>
      <c r="I417" t="n">
        <v>0</v>
      </c>
      <c r="J417" t="n">
        <v>0</v>
      </c>
      <c r="K417" t="n">
        <v>0</v>
      </c>
      <c r="L417" t="n">
        <v>0</v>
      </c>
      <c r="M417" t="n">
        <v>0</v>
      </c>
      <c r="N417" t="n">
        <v>0</v>
      </c>
      <c r="O417" t="n">
        <v>0</v>
      </c>
      <c r="P417" t="n">
        <v>0</v>
      </c>
      <c r="Q417" t="n">
        <v>0</v>
      </c>
      <c r="R417" s="2" t="inlineStr"/>
    </row>
    <row r="418" ht="15" customHeight="1">
      <c r="A418" t="inlineStr">
        <is>
          <t>A 55538-2023</t>
        </is>
      </c>
      <c r="B418" s="1" t="n">
        <v>45238.5996875</v>
      </c>
      <c r="C418" s="1" t="n">
        <v>45935</v>
      </c>
      <c r="D418" t="inlineStr">
        <is>
          <t>DALARNAS LÄN</t>
        </is>
      </c>
      <c r="E418" t="inlineStr">
        <is>
          <t>ORSA</t>
        </is>
      </c>
      <c r="G418" t="n">
        <v>0.5</v>
      </c>
      <c r="H418" t="n">
        <v>0</v>
      </c>
      <c r="I418" t="n">
        <v>0</v>
      </c>
      <c r="J418" t="n">
        <v>0</v>
      </c>
      <c r="K418" t="n">
        <v>0</v>
      </c>
      <c r="L418" t="n">
        <v>0</v>
      </c>
      <c r="M418" t="n">
        <v>0</v>
      </c>
      <c r="N418" t="n">
        <v>0</v>
      </c>
      <c r="O418" t="n">
        <v>0</v>
      </c>
      <c r="P418" t="n">
        <v>0</v>
      </c>
      <c r="Q418" t="n">
        <v>0</v>
      </c>
      <c r="R418" s="2" t="inlineStr"/>
    </row>
    <row r="419" ht="15" customHeight="1">
      <c r="A419" t="inlineStr">
        <is>
          <t>A 32984-2025</t>
        </is>
      </c>
      <c r="B419" s="1" t="n">
        <v>45839.93006944445</v>
      </c>
      <c r="C419" s="1" t="n">
        <v>45935</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32985-2025</t>
        </is>
      </c>
      <c r="B420" s="1" t="n">
        <v>45839.93033564815</v>
      </c>
      <c r="C420" s="1" t="n">
        <v>45935</v>
      </c>
      <c r="D420" t="inlineStr">
        <is>
          <t>DALARNAS LÄN</t>
        </is>
      </c>
      <c r="E420" t="inlineStr">
        <is>
          <t>ORSA</t>
        </is>
      </c>
      <c r="G420" t="n">
        <v>1.6</v>
      </c>
      <c r="H420" t="n">
        <v>0</v>
      </c>
      <c r="I420" t="n">
        <v>0</v>
      </c>
      <c r="J420" t="n">
        <v>0</v>
      </c>
      <c r="K420" t="n">
        <v>0</v>
      </c>
      <c r="L420" t="n">
        <v>0</v>
      </c>
      <c r="M420" t="n">
        <v>0</v>
      </c>
      <c r="N420" t="n">
        <v>0</v>
      </c>
      <c r="O420" t="n">
        <v>0</v>
      </c>
      <c r="P420" t="n">
        <v>0</v>
      </c>
      <c r="Q420" t="n">
        <v>0</v>
      </c>
      <c r="R420" s="2" t="inlineStr"/>
    </row>
    <row r="421" ht="15" customHeight="1">
      <c r="A421" t="inlineStr">
        <is>
          <t>A 33158-2025</t>
        </is>
      </c>
      <c r="B421" s="1" t="n">
        <v>45840</v>
      </c>
      <c r="C421" s="1" t="n">
        <v>45935</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33394-2025</t>
        </is>
      </c>
      <c r="B422" s="1" t="n">
        <v>45841.41704861111</v>
      </c>
      <c r="C422" s="1" t="n">
        <v>45935</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33059-2025</t>
        </is>
      </c>
      <c r="B423" s="1" t="n">
        <v>45840.43072916667</v>
      </c>
      <c r="C423" s="1" t="n">
        <v>45935</v>
      </c>
      <c r="D423" t="inlineStr">
        <is>
          <t>DALARNAS LÄN</t>
        </is>
      </c>
      <c r="E423" t="inlineStr">
        <is>
          <t>ORSA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33057-2025</t>
        </is>
      </c>
      <c r="B424" s="1" t="n">
        <v>45840</v>
      </c>
      <c r="C424" s="1" t="n">
        <v>45935</v>
      </c>
      <c r="D424" t="inlineStr">
        <is>
          <t>DALARNAS LÄN</t>
        </is>
      </c>
      <c r="E424" t="inlineStr">
        <is>
          <t>ORSA</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33209-2025</t>
        </is>
      </c>
      <c r="B425" s="1" t="n">
        <v>45840.62648148148</v>
      </c>
      <c r="C425" s="1" t="n">
        <v>45935</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48819-2024</t>
        </is>
      </c>
      <c r="B426" s="1" t="n">
        <v>45593.67824074074</v>
      </c>
      <c r="C426" s="1" t="n">
        <v>45935</v>
      </c>
      <c r="D426" t="inlineStr">
        <is>
          <t>DALARNAS LÄN</t>
        </is>
      </c>
      <c r="E426" t="inlineStr">
        <is>
          <t>ORSA</t>
        </is>
      </c>
      <c r="G426" t="n">
        <v>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45935</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33374-2025</t>
        </is>
      </c>
      <c r="B428" s="1" t="n">
        <v>45841.39582175926</v>
      </c>
      <c r="C428" s="1" t="n">
        <v>45935</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33884-2025</t>
        </is>
      </c>
      <c r="B429" s="1" t="n">
        <v>45842.57081018519</v>
      </c>
      <c r="C429" s="1" t="n">
        <v>45935</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55580-2024</t>
        </is>
      </c>
      <c r="B430" s="1" t="n">
        <v>45622.56038194444</v>
      </c>
      <c r="C430" s="1" t="n">
        <v>45935</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8107-2024</t>
        </is>
      </c>
      <c r="B431" s="1" t="n">
        <v>45351</v>
      </c>
      <c r="C431" s="1" t="n">
        <v>45935</v>
      </c>
      <c r="D431" t="inlineStr">
        <is>
          <t>DALARNAS LÄN</t>
        </is>
      </c>
      <c r="E431" t="inlineStr">
        <is>
          <t>ORSA</t>
        </is>
      </c>
      <c r="G431" t="n">
        <v>13.6</v>
      </c>
      <c r="H431" t="n">
        <v>0</v>
      </c>
      <c r="I431" t="n">
        <v>0</v>
      </c>
      <c r="J431" t="n">
        <v>0</v>
      </c>
      <c r="K431" t="n">
        <v>0</v>
      </c>
      <c r="L431" t="n">
        <v>0</v>
      </c>
      <c r="M431" t="n">
        <v>0</v>
      </c>
      <c r="N431" t="n">
        <v>0</v>
      </c>
      <c r="O431" t="n">
        <v>0</v>
      </c>
      <c r="P431" t="n">
        <v>0</v>
      </c>
      <c r="Q431" t="n">
        <v>0</v>
      </c>
      <c r="R431" s="2" t="inlineStr"/>
    </row>
    <row r="432" ht="15" customHeight="1">
      <c r="A432" t="inlineStr">
        <is>
          <t>A 33951-2025</t>
        </is>
      </c>
      <c r="B432" s="1" t="n">
        <v>45842.66791666667</v>
      </c>
      <c r="C432" s="1" t="n">
        <v>45935</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48518-2024</t>
        </is>
      </c>
      <c r="B433" s="1" t="n">
        <v>45593.31915509259</v>
      </c>
      <c r="C433" s="1" t="n">
        <v>45935</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33835-2025</t>
        </is>
      </c>
      <c r="B434" s="1" t="n">
        <v>45842.47619212963</v>
      </c>
      <c r="C434" s="1" t="n">
        <v>45935</v>
      </c>
      <c r="D434" t="inlineStr">
        <is>
          <t>DALARNAS LÄN</t>
        </is>
      </c>
      <c r="E434" t="inlineStr">
        <is>
          <t>ORSA</t>
        </is>
      </c>
      <c r="G434" t="n">
        <v>15.2</v>
      </c>
      <c r="H434" t="n">
        <v>0</v>
      </c>
      <c r="I434" t="n">
        <v>0</v>
      </c>
      <c r="J434" t="n">
        <v>0</v>
      </c>
      <c r="K434" t="n">
        <v>0</v>
      </c>
      <c r="L434" t="n">
        <v>0</v>
      </c>
      <c r="M434" t="n">
        <v>0</v>
      </c>
      <c r="N434" t="n">
        <v>0</v>
      </c>
      <c r="O434" t="n">
        <v>0</v>
      </c>
      <c r="P434" t="n">
        <v>0</v>
      </c>
      <c r="Q434" t="n">
        <v>0</v>
      </c>
      <c r="R434" s="2" t="inlineStr"/>
    </row>
    <row r="435" ht="15" customHeight="1">
      <c r="A435" t="inlineStr">
        <is>
          <t>A 33857-2025</t>
        </is>
      </c>
      <c r="B435" s="1" t="n">
        <v>45842.51953703703</v>
      </c>
      <c r="C435" s="1" t="n">
        <v>45935</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34001-2025</t>
        </is>
      </c>
      <c r="B436" s="1" t="n">
        <v>45844</v>
      </c>
      <c r="C436" s="1" t="n">
        <v>45935</v>
      </c>
      <c r="D436" t="inlineStr">
        <is>
          <t>DALARNAS LÄN</t>
        </is>
      </c>
      <c r="E436" t="inlineStr">
        <is>
          <t>ORSA</t>
        </is>
      </c>
      <c r="F436" t="inlineStr">
        <is>
          <t>Bergvik skog öst AB</t>
        </is>
      </c>
      <c r="G436" t="n">
        <v>13.4</v>
      </c>
      <c r="H436" t="n">
        <v>0</v>
      </c>
      <c r="I436" t="n">
        <v>0</v>
      </c>
      <c r="J436" t="n">
        <v>0</v>
      </c>
      <c r="K436" t="n">
        <v>0</v>
      </c>
      <c r="L436" t="n">
        <v>0</v>
      </c>
      <c r="M436" t="n">
        <v>0</v>
      </c>
      <c r="N436" t="n">
        <v>0</v>
      </c>
      <c r="O436" t="n">
        <v>0</v>
      </c>
      <c r="P436" t="n">
        <v>0</v>
      </c>
      <c r="Q436" t="n">
        <v>0</v>
      </c>
      <c r="R436" s="2" t="inlineStr"/>
    </row>
    <row r="437" ht="15" customHeight="1">
      <c r="A437" t="inlineStr">
        <is>
          <t>A 20588-2025</t>
        </is>
      </c>
      <c r="B437" s="1" t="n">
        <v>45775</v>
      </c>
      <c r="C437" s="1" t="n">
        <v>45935</v>
      </c>
      <c r="D437" t="inlineStr">
        <is>
          <t>DALARNAS LÄN</t>
        </is>
      </c>
      <c r="E437" t="inlineStr">
        <is>
          <t>ORSA</t>
        </is>
      </c>
      <c r="G437" t="n">
        <v>1.7</v>
      </c>
      <c r="H437" t="n">
        <v>0</v>
      </c>
      <c r="I437" t="n">
        <v>0</v>
      </c>
      <c r="J437" t="n">
        <v>0</v>
      </c>
      <c r="K437" t="n">
        <v>0</v>
      </c>
      <c r="L437" t="n">
        <v>0</v>
      </c>
      <c r="M437" t="n">
        <v>0</v>
      </c>
      <c r="N437" t="n">
        <v>0</v>
      </c>
      <c r="O437" t="n">
        <v>0</v>
      </c>
      <c r="P437" t="n">
        <v>0</v>
      </c>
      <c r="Q437" t="n">
        <v>0</v>
      </c>
      <c r="R437" s="2" t="inlineStr"/>
    </row>
    <row r="438" ht="15" customHeight="1">
      <c r="A438" t="inlineStr">
        <is>
          <t>A 20589-2025</t>
        </is>
      </c>
      <c r="B438" s="1" t="n">
        <v>45775</v>
      </c>
      <c r="C438" s="1" t="n">
        <v>45935</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34744-2025</t>
        </is>
      </c>
      <c r="B439" s="1" t="n">
        <v>45848.6125</v>
      </c>
      <c r="C439" s="1" t="n">
        <v>45935</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34769-2025</t>
        </is>
      </c>
      <c r="B440" s="1" t="n">
        <v>45848.6534837963</v>
      </c>
      <c r="C440" s="1" t="n">
        <v>45935</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34777-2025</t>
        </is>
      </c>
      <c r="B441" s="1" t="n">
        <v>45848.66167824074</v>
      </c>
      <c r="C441" s="1" t="n">
        <v>45935</v>
      </c>
      <c r="D441" t="inlineStr">
        <is>
          <t>DALARNAS LÄN</t>
        </is>
      </c>
      <c r="E441" t="inlineStr">
        <is>
          <t>ORSA</t>
        </is>
      </c>
      <c r="G441" t="n">
        <v>0.4</v>
      </c>
      <c r="H441" t="n">
        <v>0</v>
      </c>
      <c r="I441" t="n">
        <v>0</v>
      </c>
      <c r="J441" t="n">
        <v>0</v>
      </c>
      <c r="K441" t="n">
        <v>0</v>
      </c>
      <c r="L441" t="n">
        <v>0</v>
      </c>
      <c r="M441" t="n">
        <v>0</v>
      </c>
      <c r="N441" t="n">
        <v>0</v>
      </c>
      <c r="O441" t="n">
        <v>0</v>
      </c>
      <c r="P441" t="n">
        <v>0</v>
      </c>
      <c r="Q441" t="n">
        <v>0</v>
      </c>
      <c r="R441" s="2" t="inlineStr"/>
    </row>
    <row r="442" ht="15" customHeight="1">
      <c r="A442" t="inlineStr">
        <is>
          <t>A 34794-2025</t>
        </is>
      </c>
      <c r="B442" s="1" t="n">
        <v>45848.73256944444</v>
      </c>
      <c r="C442" s="1" t="n">
        <v>45935</v>
      </c>
      <c r="D442" t="inlineStr">
        <is>
          <t>DALARNAS LÄN</t>
        </is>
      </c>
      <c r="E442" t="inlineStr">
        <is>
          <t>ORSA</t>
        </is>
      </c>
      <c r="G442" t="n">
        <v>2.3</v>
      </c>
      <c r="H442" t="n">
        <v>0</v>
      </c>
      <c r="I442" t="n">
        <v>0</v>
      </c>
      <c r="J442" t="n">
        <v>0</v>
      </c>
      <c r="K442" t="n">
        <v>0</v>
      </c>
      <c r="L442" t="n">
        <v>0</v>
      </c>
      <c r="M442" t="n">
        <v>0</v>
      </c>
      <c r="N442" t="n">
        <v>0</v>
      </c>
      <c r="O442" t="n">
        <v>0</v>
      </c>
      <c r="P442" t="n">
        <v>0</v>
      </c>
      <c r="Q442" t="n">
        <v>0</v>
      </c>
      <c r="R442" s="2" t="inlineStr"/>
    </row>
    <row r="443" ht="15" customHeight="1">
      <c r="A443" t="inlineStr">
        <is>
          <t>A 34779-2025</t>
        </is>
      </c>
      <c r="B443" s="1" t="n">
        <v>45848.66987268518</v>
      </c>
      <c r="C443" s="1" t="n">
        <v>45935</v>
      </c>
      <c r="D443" t="inlineStr">
        <is>
          <t>DALARNAS LÄN</t>
        </is>
      </c>
      <c r="E443" t="inlineStr">
        <is>
          <t>ORSA</t>
        </is>
      </c>
      <c r="G443" t="n">
        <v>0.6</v>
      </c>
      <c r="H443" t="n">
        <v>0</v>
      </c>
      <c r="I443" t="n">
        <v>0</v>
      </c>
      <c r="J443" t="n">
        <v>0</v>
      </c>
      <c r="K443" t="n">
        <v>0</v>
      </c>
      <c r="L443" t="n">
        <v>0</v>
      </c>
      <c r="M443" t="n">
        <v>0</v>
      </c>
      <c r="N443" t="n">
        <v>0</v>
      </c>
      <c r="O443" t="n">
        <v>0</v>
      </c>
      <c r="P443" t="n">
        <v>0</v>
      </c>
      <c r="Q443" t="n">
        <v>0</v>
      </c>
      <c r="R443" s="2" t="inlineStr"/>
    </row>
    <row r="444" ht="15" customHeight="1">
      <c r="A444" t="inlineStr">
        <is>
          <t>A 34753-2025</t>
        </is>
      </c>
      <c r="B444" s="1" t="n">
        <v>45848.62001157407</v>
      </c>
      <c r="C444" s="1" t="n">
        <v>45935</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34764-2025</t>
        </is>
      </c>
      <c r="B445" s="1" t="n">
        <v>45848.64788194445</v>
      </c>
      <c r="C445" s="1" t="n">
        <v>45935</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34781-2025</t>
        </is>
      </c>
      <c r="B446" s="1" t="n">
        <v>45848.67424768519</v>
      </c>
      <c r="C446" s="1" t="n">
        <v>45935</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34964-2025</t>
        </is>
      </c>
      <c r="B447" s="1" t="n">
        <v>45849.6330787037</v>
      </c>
      <c r="C447" s="1" t="n">
        <v>45935</v>
      </c>
      <c r="D447" t="inlineStr">
        <is>
          <t>DALARNAS LÄN</t>
        </is>
      </c>
      <c r="E447" t="inlineStr">
        <is>
          <t>ORSA</t>
        </is>
      </c>
      <c r="G447" t="n">
        <v>2.1</v>
      </c>
      <c r="H447" t="n">
        <v>0</v>
      </c>
      <c r="I447" t="n">
        <v>0</v>
      </c>
      <c r="J447" t="n">
        <v>0</v>
      </c>
      <c r="K447" t="n">
        <v>0</v>
      </c>
      <c r="L447" t="n">
        <v>0</v>
      </c>
      <c r="M447" t="n">
        <v>0</v>
      </c>
      <c r="N447" t="n">
        <v>0</v>
      </c>
      <c r="O447" t="n">
        <v>0</v>
      </c>
      <c r="P447" t="n">
        <v>0</v>
      </c>
      <c r="Q447" t="n">
        <v>0</v>
      </c>
      <c r="R447" s="2" t="inlineStr"/>
    </row>
    <row r="448" ht="15" customHeight="1">
      <c r="A448" t="inlineStr">
        <is>
          <t>A 37981-2024</t>
        </is>
      </c>
      <c r="B448" s="1" t="n">
        <v>45544</v>
      </c>
      <c r="C448" s="1" t="n">
        <v>45935</v>
      </c>
      <c r="D448" t="inlineStr">
        <is>
          <t>DALARNAS LÄN</t>
        </is>
      </c>
      <c r="E448" t="inlineStr">
        <is>
          <t>ORSA</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597-2024</t>
        </is>
      </c>
      <c r="B449" s="1" t="n">
        <v>45299.63410879629</v>
      </c>
      <c r="C449" s="1" t="n">
        <v>45935</v>
      </c>
      <c r="D449" t="inlineStr">
        <is>
          <t>DALARNAS LÄN</t>
        </is>
      </c>
      <c r="E449" t="inlineStr">
        <is>
          <t>ORSA</t>
        </is>
      </c>
      <c r="G449" t="n">
        <v>4.4</v>
      </c>
      <c r="H449" t="n">
        <v>0</v>
      </c>
      <c r="I449" t="n">
        <v>0</v>
      </c>
      <c r="J449" t="n">
        <v>0</v>
      </c>
      <c r="K449" t="n">
        <v>0</v>
      </c>
      <c r="L449" t="n">
        <v>0</v>
      </c>
      <c r="M449" t="n">
        <v>0</v>
      </c>
      <c r="N449" t="n">
        <v>0</v>
      </c>
      <c r="O449" t="n">
        <v>0</v>
      </c>
      <c r="P449" t="n">
        <v>0</v>
      </c>
      <c r="Q449" t="n">
        <v>0</v>
      </c>
      <c r="R449" s="2" t="inlineStr"/>
    </row>
    <row r="450" ht="15" customHeight="1">
      <c r="A450" t="inlineStr">
        <is>
          <t>A 40127-2025</t>
        </is>
      </c>
      <c r="B450" s="1" t="n">
        <v>45894.53300925926</v>
      </c>
      <c r="C450" s="1" t="n">
        <v>45935</v>
      </c>
      <c r="D450" t="inlineStr">
        <is>
          <t>DALARNAS LÄN</t>
        </is>
      </c>
      <c r="E450" t="inlineStr">
        <is>
          <t>ORSA</t>
        </is>
      </c>
      <c r="F450" t="inlineStr">
        <is>
          <t>Allmännings- och besparingsskogar</t>
        </is>
      </c>
      <c r="G450" t="n">
        <v>17.4</v>
      </c>
      <c r="H450" t="n">
        <v>0</v>
      </c>
      <c r="I450" t="n">
        <v>0</v>
      </c>
      <c r="J450" t="n">
        <v>0</v>
      </c>
      <c r="K450" t="n">
        <v>0</v>
      </c>
      <c r="L450" t="n">
        <v>0</v>
      </c>
      <c r="M450" t="n">
        <v>0</v>
      </c>
      <c r="N450" t="n">
        <v>0</v>
      </c>
      <c r="O450" t="n">
        <v>0</v>
      </c>
      <c r="P450" t="n">
        <v>0</v>
      </c>
      <c r="Q450" t="n">
        <v>0</v>
      </c>
      <c r="R450" s="2" t="inlineStr"/>
    </row>
    <row r="451" ht="15" customHeight="1">
      <c r="A451" t="inlineStr">
        <is>
          <t>A 40111-2025</t>
        </is>
      </c>
      <c r="B451" s="1" t="n">
        <v>45894.49417824074</v>
      </c>
      <c r="C451" s="1" t="n">
        <v>45935</v>
      </c>
      <c r="D451" t="inlineStr">
        <is>
          <t>DALARNAS LÄN</t>
        </is>
      </c>
      <c r="E451" t="inlineStr">
        <is>
          <t>ORSA</t>
        </is>
      </c>
      <c r="F451" t="inlineStr">
        <is>
          <t>Allmännings- och besparingsskogar</t>
        </is>
      </c>
      <c r="G451" t="n">
        <v>18.6</v>
      </c>
      <c r="H451" t="n">
        <v>0</v>
      </c>
      <c r="I451" t="n">
        <v>0</v>
      </c>
      <c r="J451" t="n">
        <v>0</v>
      </c>
      <c r="K451" t="n">
        <v>0</v>
      </c>
      <c r="L451" t="n">
        <v>0</v>
      </c>
      <c r="M451" t="n">
        <v>0</v>
      </c>
      <c r="N451" t="n">
        <v>0</v>
      </c>
      <c r="O451" t="n">
        <v>0</v>
      </c>
      <c r="P451" t="n">
        <v>0</v>
      </c>
      <c r="Q451" t="n">
        <v>0</v>
      </c>
      <c r="R451" s="2" t="inlineStr"/>
    </row>
    <row r="452" ht="15" customHeight="1">
      <c r="A452" t="inlineStr">
        <is>
          <t>A 40070-2025</t>
        </is>
      </c>
      <c r="B452" s="1" t="n">
        <v>45894.44197916667</v>
      </c>
      <c r="C452" s="1" t="n">
        <v>45935</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40091-2025</t>
        </is>
      </c>
      <c r="B453" s="1" t="n">
        <v>45894.47822916666</v>
      </c>
      <c r="C453" s="1" t="n">
        <v>45935</v>
      </c>
      <c r="D453" t="inlineStr">
        <is>
          <t>DALARNAS LÄN</t>
        </is>
      </c>
      <c r="E453" t="inlineStr">
        <is>
          <t>ORSA</t>
        </is>
      </c>
      <c r="F453" t="inlineStr">
        <is>
          <t>Allmännings- och besparingsskogar</t>
        </is>
      </c>
      <c r="G453" t="n">
        <v>20.4</v>
      </c>
      <c r="H453" t="n">
        <v>0</v>
      </c>
      <c r="I453" t="n">
        <v>0</v>
      </c>
      <c r="J453" t="n">
        <v>0</v>
      </c>
      <c r="K453" t="n">
        <v>0</v>
      </c>
      <c r="L453" t="n">
        <v>0</v>
      </c>
      <c r="M453" t="n">
        <v>0</v>
      </c>
      <c r="N453" t="n">
        <v>0</v>
      </c>
      <c r="O453" t="n">
        <v>0</v>
      </c>
      <c r="P453" t="n">
        <v>0</v>
      </c>
      <c r="Q453" t="n">
        <v>0</v>
      </c>
      <c r="R453" s="2" t="inlineStr"/>
    </row>
    <row r="454" ht="15" customHeight="1">
      <c r="A454" t="inlineStr">
        <is>
          <t>A 51915-2022</t>
        </is>
      </c>
      <c r="B454" s="1" t="n">
        <v>44872.62795138889</v>
      </c>
      <c r="C454" s="1" t="n">
        <v>45935</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986-2025</t>
        </is>
      </c>
      <c r="B455" s="1" t="n">
        <v>45666.42952546296</v>
      </c>
      <c r="C455" s="1" t="n">
        <v>45935</v>
      </c>
      <c r="D455" t="inlineStr">
        <is>
          <t>DALARNAS LÄN</t>
        </is>
      </c>
      <c r="E455" t="inlineStr">
        <is>
          <t>ORSA</t>
        </is>
      </c>
      <c r="G455" t="n">
        <v>5.7</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45160.51721064815</v>
      </c>
      <c r="C456" s="1" t="n">
        <v>45935</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42513-2024</t>
        </is>
      </c>
      <c r="B457" s="1" t="n">
        <v>45565.53810185185</v>
      </c>
      <c r="C457" s="1" t="n">
        <v>45935</v>
      </c>
      <c r="D457" t="inlineStr">
        <is>
          <t>DALARNAS LÄN</t>
        </is>
      </c>
      <c r="E457" t="inlineStr">
        <is>
          <t>ORSA</t>
        </is>
      </c>
      <c r="G457" t="n">
        <v>1.6</v>
      </c>
      <c r="H457" t="n">
        <v>0</v>
      </c>
      <c r="I457" t="n">
        <v>0</v>
      </c>
      <c r="J457" t="n">
        <v>0</v>
      </c>
      <c r="K457" t="n">
        <v>0</v>
      </c>
      <c r="L457" t="n">
        <v>0</v>
      </c>
      <c r="M457" t="n">
        <v>0</v>
      </c>
      <c r="N457" t="n">
        <v>0</v>
      </c>
      <c r="O457" t="n">
        <v>0</v>
      </c>
      <c r="P457" t="n">
        <v>0</v>
      </c>
      <c r="Q457" t="n">
        <v>0</v>
      </c>
      <c r="R457" s="2" t="inlineStr"/>
    </row>
    <row r="458" ht="15" customHeight="1">
      <c r="A458" t="inlineStr">
        <is>
          <t>A 42517-2024</t>
        </is>
      </c>
      <c r="B458" s="1" t="n">
        <v>45565.54078703704</v>
      </c>
      <c r="C458" s="1" t="n">
        <v>45935</v>
      </c>
      <c r="D458" t="inlineStr">
        <is>
          <t>DALARNAS LÄN</t>
        </is>
      </c>
      <c r="E458" t="inlineStr">
        <is>
          <t>ORSA</t>
        </is>
      </c>
      <c r="G458" t="n">
        <v>3</v>
      </c>
      <c r="H458" t="n">
        <v>0</v>
      </c>
      <c r="I458" t="n">
        <v>0</v>
      </c>
      <c r="J458" t="n">
        <v>0</v>
      </c>
      <c r="K458" t="n">
        <v>0</v>
      </c>
      <c r="L458" t="n">
        <v>0</v>
      </c>
      <c r="M458" t="n">
        <v>0</v>
      </c>
      <c r="N458" t="n">
        <v>0</v>
      </c>
      <c r="O458" t="n">
        <v>0</v>
      </c>
      <c r="P458" t="n">
        <v>0</v>
      </c>
      <c r="Q458" t="n">
        <v>0</v>
      </c>
      <c r="R458" s="2" t="inlineStr"/>
    </row>
    <row r="459" ht="15" customHeight="1">
      <c r="A459" t="inlineStr">
        <is>
          <t>A 40577-2025</t>
        </is>
      </c>
      <c r="B459" s="1" t="n">
        <v>45896.51028935185</v>
      </c>
      <c r="C459" s="1" t="n">
        <v>45935</v>
      </c>
      <c r="D459" t="inlineStr">
        <is>
          <t>DALARNAS LÄN</t>
        </is>
      </c>
      <c r="E459" t="inlineStr">
        <is>
          <t>ORSA</t>
        </is>
      </c>
      <c r="F459" t="inlineStr">
        <is>
          <t>Allmännings- och besparingsskogar</t>
        </is>
      </c>
      <c r="G459" t="n">
        <v>13.8</v>
      </c>
      <c r="H459" t="n">
        <v>0</v>
      </c>
      <c r="I459" t="n">
        <v>0</v>
      </c>
      <c r="J459" t="n">
        <v>0</v>
      </c>
      <c r="K459" t="n">
        <v>0</v>
      </c>
      <c r="L459" t="n">
        <v>0</v>
      </c>
      <c r="M459" t="n">
        <v>0</v>
      </c>
      <c r="N459" t="n">
        <v>0</v>
      </c>
      <c r="O459" t="n">
        <v>0</v>
      </c>
      <c r="P459" t="n">
        <v>0</v>
      </c>
      <c r="Q459" t="n">
        <v>0</v>
      </c>
      <c r="R459" s="2" t="inlineStr"/>
    </row>
    <row r="460" ht="15" customHeight="1">
      <c r="A460" t="inlineStr">
        <is>
          <t>A 33488-2024</t>
        </is>
      </c>
      <c r="B460" s="1" t="n">
        <v>45519.61466435185</v>
      </c>
      <c r="C460" s="1" t="n">
        <v>45935</v>
      </c>
      <c r="D460" t="inlineStr">
        <is>
          <t>DALARNAS LÄN</t>
        </is>
      </c>
      <c r="E460" t="inlineStr">
        <is>
          <t>ORSA</t>
        </is>
      </c>
      <c r="F460" t="inlineStr">
        <is>
          <t>Övriga statliga verk och myndigheter</t>
        </is>
      </c>
      <c r="G460" t="n">
        <v>0.5</v>
      </c>
      <c r="H460" t="n">
        <v>0</v>
      </c>
      <c r="I460" t="n">
        <v>0</v>
      </c>
      <c r="J460" t="n">
        <v>0</v>
      </c>
      <c r="K460" t="n">
        <v>0</v>
      </c>
      <c r="L460" t="n">
        <v>0</v>
      </c>
      <c r="M460" t="n">
        <v>0</v>
      </c>
      <c r="N460" t="n">
        <v>0</v>
      </c>
      <c r="O460" t="n">
        <v>0</v>
      </c>
      <c r="P460" t="n">
        <v>0</v>
      </c>
      <c r="Q460" t="n">
        <v>0</v>
      </c>
      <c r="R460" s="2" t="inlineStr"/>
    </row>
    <row r="461" ht="15" customHeight="1">
      <c r="A461" t="inlineStr">
        <is>
          <t>A 15766-2025</t>
        </is>
      </c>
      <c r="B461" s="1" t="n">
        <v>45748.58409722222</v>
      </c>
      <c r="C461" s="1" t="n">
        <v>45935</v>
      </c>
      <c r="D461" t="inlineStr">
        <is>
          <t>DALARNAS LÄN</t>
        </is>
      </c>
      <c r="E461" t="inlineStr">
        <is>
          <t>ORSA</t>
        </is>
      </c>
      <c r="F461" t="inlineStr">
        <is>
          <t>Bergvik skog öst AB</t>
        </is>
      </c>
      <c r="G461" t="n">
        <v>9</v>
      </c>
      <c r="H461" t="n">
        <v>0</v>
      </c>
      <c r="I461" t="n">
        <v>0</v>
      </c>
      <c r="J461" t="n">
        <v>0</v>
      </c>
      <c r="K461" t="n">
        <v>0</v>
      </c>
      <c r="L461" t="n">
        <v>0</v>
      </c>
      <c r="M461" t="n">
        <v>0</v>
      </c>
      <c r="N461" t="n">
        <v>0</v>
      </c>
      <c r="O461" t="n">
        <v>0</v>
      </c>
      <c r="P461" t="n">
        <v>0</v>
      </c>
      <c r="Q461" t="n">
        <v>0</v>
      </c>
      <c r="R461" s="2" t="inlineStr"/>
    </row>
    <row r="462" ht="15" customHeight="1">
      <c r="A462" t="inlineStr">
        <is>
          <t>A 47564-2023</t>
        </is>
      </c>
      <c r="B462" s="1" t="n">
        <v>45203.40004629629</v>
      </c>
      <c r="C462" s="1" t="n">
        <v>45935</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50061-2024</t>
        </is>
      </c>
      <c r="B463" s="1" t="n">
        <v>45600.34721064815</v>
      </c>
      <c r="C463" s="1" t="n">
        <v>45935</v>
      </c>
      <c r="D463" t="inlineStr">
        <is>
          <t>DALARNAS LÄN</t>
        </is>
      </c>
      <c r="E463" t="inlineStr">
        <is>
          <t>ORSA</t>
        </is>
      </c>
      <c r="G463" t="n">
        <v>1.3</v>
      </c>
      <c r="H463" t="n">
        <v>0</v>
      </c>
      <c r="I463" t="n">
        <v>0</v>
      </c>
      <c r="J463" t="n">
        <v>0</v>
      </c>
      <c r="K463" t="n">
        <v>0</v>
      </c>
      <c r="L463" t="n">
        <v>0</v>
      </c>
      <c r="M463" t="n">
        <v>0</v>
      </c>
      <c r="N463" t="n">
        <v>0</v>
      </c>
      <c r="O463" t="n">
        <v>0</v>
      </c>
      <c r="P463" t="n">
        <v>0</v>
      </c>
      <c r="Q463" t="n">
        <v>0</v>
      </c>
      <c r="R463" s="2" t="inlineStr"/>
    </row>
    <row r="464" ht="15" customHeight="1">
      <c r="A464" t="inlineStr">
        <is>
          <t>A 35619-2025</t>
        </is>
      </c>
      <c r="B464" s="1" t="n">
        <v>45859</v>
      </c>
      <c r="C464" s="1" t="n">
        <v>45935</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41666-2025</t>
        </is>
      </c>
      <c r="B465" s="1" t="n">
        <v>45902.35822916667</v>
      </c>
      <c r="C465" s="1" t="n">
        <v>45935</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41919-2025</t>
        </is>
      </c>
      <c r="B466" s="1" t="n">
        <v>45903.42372685186</v>
      </c>
      <c r="C466" s="1" t="n">
        <v>45935</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41927-2025</t>
        </is>
      </c>
      <c r="B467" s="1" t="n">
        <v>45903.4290625</v>
      </c>
      <c r="C467" s="1" t="n">
        <v>45935</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41971-2025</t>
        </is>
      </c>
      <c r="B468" s="1" t="n">
        <v>45903.48930555556</v>
      </c>
      <c r="C468" s="1" t="n">
        <v>45935</v>
      </c>
      <c r="D468" t="inlineStr">
        <is>
          <t>DALARNAS LÄN</t>
        </is>
      </c>
      <c r="E468" t="inlineStr">
        <is>
          <t>ORSA</t>
        </is>
      </c>
      <c r="G468" t="n">
        <v>15.8</v>
      </c>
      <c r="H468" t="n">
        <v>0</v>
      </c>
      <c r="I468" t="n">
        <v>0</v>
      </c>
      <c r="J468" t="n">
        <v>0</v>
      </c>
      <c r="K468" t="n">
        <v>0</v>
      </c>
      <c r="L468" t="n">
        <v>0</v>
      </c>
      <c r="M468" t="n">
        <v>0</v>
      </c>
      <c r="N468" t="n">
        <v>0</v>
      </c>
      <c r="O468" t="n">
        <v>0</v>
      </c>
      <c r="P468" t="n">
        <v>0</v>
      </c>
      <c r="Q468" t="n">
        <v>0</v>
      </c>
      <c r="R468" s="2" t="inlineStr"/>
    </row>
    <row r="469" ht="15" customHeight="1">
      <c r="A469" t="inlineStr">
        <is>
          <t>A 41991-2025</t>
        </is>
      </c>
      <c r="B469" s="1" t="n">
        <v>45903.54532407408</v>
      </c>
      <c r="C469" s="1" t="n">
        <v>45935</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42226-2025</t>
        </is>
      </c>
      <c r="B470" s="1" t="n">
        <v>45904.53831018518</v>
      </c>
      <c r="C470" s="1" t="n">
        <v>45935</v>
      </c>
      <c r="D470" t="inlineStr">
        <is>
          <t>DALARNAS LÄN</t>
        </is>
      </c>
      <c r="E470" t="inlineStr">
        <is>
          <t>ORSA</t>
        </is>
      </c>
      <c r="F470" t="inlineStr">
        <is>
          <t>Allmännings- och besparingsskogar</t>
        </is>
      </c>
      <c r="G470" t="n">
        <v>18</v>
      </c>
      <c r="H470" t="n">
        <v>0</v>
      </c>
      <c r="I470" t="n">
        <v>0</v>
      </c>
      <c r="J470" t="n">
        <v>0</v>
      </c>
      <c r="K470" t="n">
        <v>0</v>
      </c>
      <c r="L470" t="n">
        <v>0</v>
      </c>
      <c r="M470" t="n">
        <v>0</v>
      </c>
      <c r="N470" t="n">
        <v>0</v>
      </c>
      <c r="O470" t="n">
        <v>0</v>
      </c>
      <c r="P470" t="n">
        <v>0</v>
      </c>
      <c r="Q470" t="n">
        <v>0</v>
      </c>
      <c r="R470" s="2" t="inlineStr"/>
    </row>
    <row r="471" ht="15" customHeight="1">
      <c r="A471" t="inlineStr">
        <is>
          <t>A 61277-2023</t>
        </is>
      </c>
      <c r="B471" s="1" t="n">
        <v>45264.52465277778</v>
      </c>
      <c r="C471" s="1" t="n">
        <v>45935</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10644-2025</t>
        </is>
      </c>
      <c r="B472" s="1" t="n">
        <v>45721.66222222222</v>
      </c>
      <c r="C472" s="1" t="n">
        <v>45935</v>
      </c>
      <c r="D472" t="inlineStr">
        <is>
          <t>DALARNAS LÄN</t>
        </is>
      </c>
      <c r="E472" t="inlineStr">
        <is>
          <t>ORSA</t>
        </is>
      </c>
      <c r="F472" t="inlineStr">
        <is>
          <t>Bergvik skog öst AB</t>
        </is>
      </c>
      <c r="G472" t="n">
        <v>5.8</v>
      </c>
      <c r="H472" t="n">
        <v>0</v>
      </c>
      <c r="I472" t="n">
        <v>0</v>
      </c>
      <c r="J472" t="n">
        <v>0</v>
      </c>
      <c r="K472" t="n">
        <v>0</v>
      </c>
      <c r="L472" t="n">
        <v>0</v>
      </c>
      <c r="M472" t="n">
        <v>0</v>
      </c>
      <c r="N472" t="n">
        <v>0</v>
      </c>
      <c r="O472" t="n">
        <v>0</v>
      </c>
      <c r="P472" t="n">
        <v>0</v>
      </c>
      <c r="Q472" t="n">
        <v>0</v>
      </c>
      <c r="R472" s="2" t="inlineStr"/>
    </row>
    <row r="473" ht="15" customHeight="1">
      <c r="A473" t="inlineStr">
        <is>
          <t>A 33945-2022</t>
        </is>
      </c>
      <c r="B473" s="1" t="n">
        <v>44790.66212962963</v>
      </c>
      <c r="C473" s="1" t="n">
        <v>45935</v>
      </c>
      <c r="D473" t="inlineStr">
        <is>
          <t>DALARNAS LÄN</t>
        </is>
      </c>
      <c r="E473" t="inlineStr">
        <is>
          <t>ORSA</t>
        </is>
      </c>
      <c r="F473" t="inlineStr">
        <is>
          <t>Bergvik skog öst AB</t>
        </is>
      </c>
      <c r="G473" t="n">
        <v>1.9</v>
      </c>
      <c r="H473" t="n">
        <v>0</v>
      </c>
      <c r="I473" t="n">
        <v>0</v>
      </c>
      <c r="J473" t="n">
        <v>0</v>
      </c>
      <c r="K473" t="n">
        <v>0</v>
      </c>
      <c r="L473" t="n">
        <v>0</v>
      </c>
      <c r="M473" t="n">
        <v>0</v>
      </c>
      <c r="N473" t="n">
        <v>0</v>
      </c>
      <c r="O473" t="n">
        <v>0</v>
      </c>
      <c r="P473" t="n">
        <v>0</v>
      </c>
      <c r="Q473" t="n">
        <v>0</v>
      </c>
      <c r="R473" s="2" t="inlineStr"/>
    </row>
    <row r="474" ht="15" customHeight="1">
      <c r="A474" t="inlineStr">
        <is>
          <t>A 35933-2025</t>
        </is>
      </c>
      <c r="B474" s="1" t="n">
        <v>45862.62653935186</v>
      </c>
      <c r="C474" s="1" t="n">
        <v>45935</v>
      </c>
      <c r="D474" t="inlineStr">
        <is>
          <t>DALARNAS LÄN</t>
        </is>
      </c>
      <c r="E474" t="inlineStr">
        <is>
          <t>ORSA</t>
        </is>
      </c>
      <c r="G474" t="n">
        <v>1.6</v>
      </c>
      <c r="H474" t="n">
        <v>0</v>
      </c>
      <c r="I474" t="n">
        <v>0</v>
      </c>
      <c r="J474" t="n">
        <v>0</v>
      </c>
      <c r="K474" t="n">
        <v>0</v>
      </c>
      <c r="L474" t="n">
        <v>0</v>
      </c>
      <c r="M474" t="n">
        <v>0</v>
      </c>
      <c r="N474" t="n">
        <v>0</v>
      </c>
      <c r="O474" t="n">
        <v>0</v>
      </c>
      <c r="P474" t="n">
        <v>0</v>
      </c>
      <c r="Q474" t="n">
        <v>0</v>
      </c>
      <c r="R474" s="2" t="inlineStr"/>
    </row>
    <row r="475" ht="15" customHeight="1">
      <c r="A475" t="inlineStr">
        <is>
          <t>A 35935-2025</t>
        </is>
      </c>
      <c r="B475" s="1" t="n">
        <v>45862.6353125</v>
      </c>
      <c r="C475" s="1" t="n">
        <v>45935</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61053-2024</t>
        </is>
      </c>
      <c r="B476" s="1" t="n">
        <v>45645.48501157408</v>
      </c>
      <c r="C476" s="1" t="n">
        <v>45935</v>
      </c>
      <c r="D476" t="inlineStr">
        <is>
          <t>DALARNAS LÄN</t>
        </is>
      </c>
      <c r="E476" t="inlineStr">
        <is>
          <t>ORSA</t>
        </is>
      </c>
      <c r="G476" t="n">
        <v>2.6</v>
      </c>
      <c r="H476" t="n">
        <v>0</v>
      </c>
      <c r="I476" t="n">
        <v>0</v>
      </c>
      <c r="J476" t="n">
        <v>0</v>
      </c>
      <c r="K476" t="n">
        <v>0</v>
      </c>
      <c r="L476" t="n">
        <v>0</v>
      </c>
      <c r="M476" t="n">
        <v>0</v>
      </c>
      <c r="N476" t="n">
        <v>0</v>
      </c>
      <c r="O476" t="n">
        <v>0</v>
      </c>
      <c r="P476" t="n">
        <v>0</v>
      </c>
      <c r="Q476" t="n">
        <v>0</v>
      </c>
      <c r="R476" s="2" t="inlineStr"/>
    </row>
    <row r="477" ht="15" customHeight="1">
      <c r="A477" t="inlineStr">
        <is>
          <t>A 35940-2025</t>
        </is>
      </c>
      <c r="B477" s="1" t="n">
        <v>45862.65081018519</v>
      </c>
      <c r="C477" s="1" t="n">
        <v>45935</v>
      </c>
      <c r="D477" t="inlineStr">
        <is>
          <t>DALARNAS LÄN</t>
        </is>
      </c>
      <c r="E477" t="inlineStr">
        <is>
          <t>ORSA</t>
        </is>
      </c>
      <c r="G477" t="n">
        <v>5.1</v>
      </c>
      <c r="H477" t="n">
        <v>0</v>
      </c>
      <c r="I477" t="n">
        <v>0</v>
      </c>
      <c r="J477" t="n">
        <v>0</v>
      </c>
      <c r="K477" t="n">
        <v>0</v>
      </c>
      <c r="L477" t="n">
        <v>0</v>
      </c>
      <c r="M477" t="n">
        <v>0</v>
      </c>
      <c r="N477" t="n">
        <v>0</v>
      </c>
      <c r="O477" t="n">
        <v>0</v>
      </c>
      <c r="P477" t="n">
        <v>0</v>
      </c>
      <c r="Q477" t="n">
        <v>0</v>
      </c>
      <c r="R477" s="2" t="inlineStr"/>
    </row>
    <row r="478" ht="15" customHeight="1">
      <c r="A478" t="inlineStr">
        <is>
          <t>A 35939-2025</t>
        </is>
      </c>
      <c r="B478" s="1" t="n">
        <v>45862.64581018518</v>
      </c>
      <c r="C478" s="1" t="n">
        <v>45935</v>
      </c>
      <c r="D478" t="inlineStr">
        <is>
          <t>DALARNAS LÄN</t>
        </is>
      </c>
      <c r="E478" t="inlineStr">
        <is>
          <t>ORSA</t>
        </is>
      </c>
      <c r="G478" t="n">
        <v>5.6</v>
      </c>
      <c r="H478" t="n">
        <v>0</v>
      </c>
      <c r="I478" t="n">
        <v>0</v>
      </c>
      <c r="J478" t="n">
        <v>0</v>
      </c>
      <c r="K478" t="n">
        <v>0</v>
      </c>
      <c r="L478" t="n">
        <v>0</v>
      </c>
      <c r="M478" t="n">
        <v>0</v>
      </c>
      <c r="N478" t="n">
        <v>0</v>
      </c>
      <c r="O478" t="n">
        <v>0</v>
      </c>
      <c r="P478" t="n">
        <v>0</v>
      </c>
      <c r="Q478" t="n">
        <v>0</v>
      </c>
      <c r="R478" s="2" t="inlineStr"/>
    </row>
    <row r="479" ht="15" customHeight="1">
      <c r="A479" t="inlineStr">
        <is>
          <t>A 50714-2023</t>
        </is>
      </c>
      <c r="B479" s="1" t="n">
        <v>45217.56513888889</v>
      </c>
      <c r="C479" s="1" t="n">
        <v>45935</v>
      </c>
      <c r="D479" t="inlineStr">
        <is>
          <t>DALARNAS LÄN</t>
        </is>
      </c>
      <c r="E479" t="inlineStr">
        <is>
          <t>ORSA</t>
        </is>
      </c>
      <c r="G479" t="n">
        <v>1.1</v>
      </c>
      <c r="H479" t="n">
        <v>0</v>
      </c>
      <c r="I479" t="n">
        <v>0</v>
      </c>
      <c r="J479" t="n">
        <v>0</v>
      </c>
      <c r="K479" t="n">
        <v>0</v>
      </c>
      <c r="L479" t="n">
        <v>0</v>
      </c>
      <c r="M479" t="n">
        <v>0</v>
      </c>
      <c r="N479" t="n">
        <v>0</v>
      </c>
      <c r="O479" t="n">
        <v>0</v>
      </c>
      <c r="P479" t="n">
        <v>0</v>
      </c>
      <c r="Q479" t="n">
        <v>0</v>
      </c>
      <c r="R479" s="2" t="inlineStr"/>
    </row>
    <row r="480" ht="15" customHeight="1">
      <c r="A480" t="inlineStr">
        <is>
          <t>A 22911-2023</t>
        </is>
      </c>
      <c r="B480" s="1" t="n">
        <v>45072</v>
      </c>
      <c r="C480" s="1" t="n">
        <v>45935</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44117-2025</t>
        </is>
      </c>
      <c r="B481" s="1" t="n">
        <v>45915.57677083334</v>
      </c>
      <c r="C481" s="1" t="n">
        <v>45935</v>
      </c>
      <c r="D481" t="inlineStr">
        <is>
          <t>DALARNAS LÄN</t>
        </is>
      </c>
      <c r="E481" t="inlineStr">
        <is>
          <t>ORSA</t>
        </is>
      </c>
      <c r="F481" t="inlineStr">
        <is>
          <t>Allmännings- och besparingsskogar</t>
        </is>
      </c>
      <c r="G481" t="n">
        <v>2.7</v>
      </c>
      <c r="H481" t="n">
        <v>0</v>
      </c>
      <c r="I481" t="n">
        <v>0</v>
      </c>
      <c r="J481" t="n">
        <v>0</v>
      </c>
      <c r="K481" t="n">
        <v>0</v>
      </c>
      <c r="L481" t="n">
        <v>0</v>
      </c>
      <c r="M481" t="n">
        <v>0</v>
      </c>
      <c r="N481" t="n">
        <v>0</v>
      </c>
      <c r="O481" t="n">
        <v>0</v>
      </c>
      <c r="P481" t="n">
        <v>0</v>
      </c>
      <c r="Q481" t="n">
        <v>0</v>
      </c>
      <c r="R481" s="2" t="inlineStr"/>
    </row>
    <row r="482" ht="15" customHeight="1">
      <c r="A482" t="inlineStr">
        <is>
          <t>A 44119-2025</t>
        </is>
      </c>
      <c r="B482" s="1" t="n">
        <v>45915.57738425926</v>
      </c>
      <c r="C482" s="1" t="n">
        <v>45935</v>
      </c>
      <c r="D482" t="inlineStr">
        <is>
          <t>DALARNAS LÄN</t>
        </is>
      </c>
      <c r="E482" t="inlineStr">
        <is>
          <t>ORSA</t>
        </is>
      </c>
      <c r="F482" t="inlineStr">
        <is>
          <t>Allmännings- och besparingsskogar</t>
        </is>
      </c>
      <c r="G482" t="n">
        <v>1.5</v>
      </c>
      <c r="H482" t="n">
        <v>0</v>
      </c>
      <c r="I482" t="n">
        <v>0</v>
      </c>
      <c r="J482" t="n">
        <v>0</v>
      </c>
      <c r="K482" t="n">
        <v>0</v>
      </c>
      <c r="L482" t="n">
        <v>0</v>
      </c>
      <c r="M482" t="n">
        <v>0</v>
      </c>
      <c r="N482" t="n">
        <v>0</v>
      </c>
      <c r="O482" t="n">
        <v>0</v>
      </c>
      <c r="P482" t="n">
        <v>0</v>
      </c>
      <c r="Q482" t="n">
        <v>0</v>
      </c>
      <c r="R482" s="2" t="inlineStr"/>
    </row>
    <row r="483">
      <c r="A483" t="inlineStr">
        <is>
          <t>A 36570-2025</t>
        </is>
      </c>
      <c r="B483" s="1" t="n">
        <v>45870.38728009259</v>
      </c>
      <c r="C483" s="1" t="n">
        <v>45935</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2025-10-05T12:37:35Z</dcterms:created>
  <dcterms:modified xmlns:dcterms="http://purl.org/dc/terms/" xmlns:xsi="http://www.w3.org/2001/XMLSchema-instance" xsi:type="dcterms:W3CDTF">2025-10-05T12:37:35Z</dcterms:modified>
</cp:coreProperties>
</file>