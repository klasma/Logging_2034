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45887</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45887</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45887</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47952-2023</t>
        </is>
      </c>
      <c r="B5" s="1" t="n">
        <v>45204</v>
      </c>
      <c r="C5" s="1" t="n">
        <v>45887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45887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1135-2023</t>
        </is>
      </c>
      <c r="B7" s="1" t="n">
        <v>44935</v>
      </c>
      <c r="C7" s="1" t="n">
        <v>45887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45887</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45887</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45887</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45887</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45887</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45887</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45887</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45887</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45887</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45887</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45887</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33533-2025</t>
        </is>
      </c>
      <c r="B19" s="1" t="n">
        <v>45841.55677083333</v>
      </c>
      <c r="C19" s="1" t="n">
        <v>45887</v>
      </c>
      <c r="D19" t="inlineStr">
        <is>
          <t>DALARNAS LÄN</t>
        </is>
      </c>
      <c r="E19" t="inlineStr">
        <is>
          <t>ORSA</t>
        </is>
      </c>
      <c r="F19" t="inlineStr">
        <is>
          <t>Bergvik skog öst AB</t>
        </is>
      </c>
      <c r="G19" t="n">
        <v>9.4</v>
      </c>
      <c r="H19" t="n">
        <v>5</v>
      </c>
      <c r="I19" t="n">
        <v>1</v>
      </c>
      <c r="J19" t="n">
        <v>8</v>
      </c>
      <c r="K19" t="n">
        <v>0</v>
      </c>
      <c r="L19" t="n">
        <v>0</v>
      </c>
      <c r="M19" t="n">
        <v>0</v>
      </c>
      <c r="N19" t="n">
        <v>0</v>
      </c>
      <c r="O19" t="n">
        <v>8</v>
      </c>
      <c r="P19" t="n">
        <v>0</v>
      </c>
      <c r="Q19" t="n">
        <v>11</v>
      </c>
      <c r="R19" s="2" t="inlineStr">
        <is>
          <t>Garnlav
Spillkråka
Talltita
Tretåig hackspett
Ullticka
Vedflamlav
Violettgrå tagellav
Vitgrynig nållav
Bronshjon
Kungsfågel
Fläcknycklar</t>
        </is>
      </c>
      <c r="S19">
        <f>HYPERLINK("https://klasma.github.io/Logging_2034/artfynd/A 33533-2025 artfynd.xlsx", "A 33533-2025")</f>
        <v/>
      </c>
      <c r="T19">
        <f>HYPERLINK("https://klasma.github.io/Logging_2034/kartor/A 33533-2025 karta.png", "A 33533-2025")</f>
        <v/>
      </c>
      <c r="V19">
        <f>HYPERLINK("https://klasma.github.io/Logging_2034/klagomål/A 33533-2025 FSC-klagomål.docx", "A 33533-2025")</f>
        <v/>
      </c>
      <c r="W19">
        <f>HYPERLINK("https://klasma.github.io/Logging_2034/klagomålsmail/A 33533-2025 FSC-klagomål mail.docx", "A 33533-2025")</f>
        <v/>
      </c>
      <c r="X19">
        <f>HYPERLINK("https://klasma.github.io/Logging_2034/tillsyn/A 33533-2025 tillsynsbegäran.docx", "A 33533-2025")</f>
        <v/>
      </c>
      <c r="Y19">
        <f>HYPERLINK("https://klasma.github.io/Logging_2034/tillsynsmail/A 33533-2025 tillsynsbegäran mail.docx", "A 33533-2025")</f>
        <v/>
      </c>
      <c r="Z19">
        <f>HYPERLINK("https://klasma.github.io/Logging_2034/fåglar/A 33533-2025 prioriterade fågelarter.docx", "A 33533-2025")</f>
        <v/>
      </c>
    </row>
    <row r="20" ht="15" customHeight="1">
      <c r="A20" t="inlineStr">
        <is>
          <t>A 7507-2025</t>
        </is>
      </c>
      <c r="B20" s="1" t="n">
        <v>45705</v>
      </c>
      <c r="C20" s="1" t="n">
        <v>45887</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45887</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22647-2022</t>
        </is>
      </c>
      <c r="B22" s="1" t="n">
        <v>44714</v>
      </c>
      <c r="C22" s="1" t="n">
        <v>45887</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53634-2021</t>
        </is>
      </c>
      <c r="B23" s="1" t="n">
        <v>44469</v>
      </c>
      <c r="C23" s="1" t="n">
        <v>45887</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33841-2023</t>
        </is>
      </c>
      <c r="B24" s="1" t="n">
        <v>45133.66758101852</v>
      </c>
      <c r="C24" s="1" t="n">
        <v>45887</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45887</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48499-2024</t>
        </is>
      </c>
      <c r="B26" s="1" t="n">
        <v>45592</v>
      </c>
      <c r="C26" s="1" t="n">
        <v>45887</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35570-2024</t>
        </is>
      </c>
      <c r="B27" s="1" t="n">
        <v>45531</v>
      </c>
      <c r="C27" s="1" t="n">
        <v>45887</v>
      </c>
      <c r="D27" t="inlineStr">
        <is>
          <t>DALARNAS LÄN</t>
        </is>
      </c>
      <c r="E27" t="inlineStr">
        <is>
          <t>ORSA</t>
        </is>
      </c>
      <c r="G27" t="n">
        <v>3.3</v>
      </c>
      <c r="H27" t="n">
        <v>1</v>
      </c>
      <c r="I27" t="n">
        <v>1</v>
      </c>
      <c r="J27" t="n">
        <v>3</v>
      </c>
      <c r="K27" t="n">
        <v>0</v>
      </c>
      <c r="L27" t="n">
        <v>0</v>
      </c>
      <c r="M27" t="n">
        <v>0</v>
      </c>
      <c r="N27" t="n">
        <v>0</v>
      </c>
      <c r="O27" t="n">
        <v>3</v>
      </c>
      <c r="P27" t="n">
        <v>0</v>
      </c>
      <c r="Q27" t="n">
        <v>4</v>
      </c>
      <c r="R27" s="2" t="inlineStr">
        <is>
          <t>Garnlav
Tretåig hackspett
Violettgrå tagellav
Dropptaggsvamp</t>
        </is>
      </c>
      <c r="S27">
        <f>HYPERLINK("https://klasma.github.io/Logging_2034/artfynd/A 35570-2024 artfynd.xlsx", "A 35570-2024")</f>
        <v/>
      </c>
      <c r="T27">
        <f>HYPERLINK("https://klasma.github.io/Logging_2034/kartor/A 35570-2024 karta.png", "A 35570-2024")</f>
        <v/>
      </c>
      <c r="V27">
        <f>HYPERLINK("https://klasma.github.io/Logging_2034/klagomål/A 35570-2024 FSC-klagomål.docx", "A 35570-2024")</f>
        <v/>
      </c>
      <c r="W27">
        <f>HYPERLINK("https://klasma.github.io/Logging_2034/klagomålsmail/A 35570-2024 FSC-klagomål mail.docx", "A 35570-2024")</f>
        <v/>
      </c>
      <c r="X27">
        <f>HYPERLINK("https://klasma.github.io/Logging_2034/tillsyn/A 35570-2024 tillsynsbegäran.docx", "A 35570-2024")</f>
        <v/>
      </c>
      <c r="Y27">
        <f>HYPERLINK("https://klasma.github.io/Logging_2034/tillsynsmail/A 35570-2024 tillsynsbegäran mail.docx", "A 35570-2024")</f>
        <v/>
      </c>
      <c r="Z27">
        <f>HYPERLINK("https://klasma.github.io/Logging_2034/fåglar/A 35570-2024 prioriterade fågelarter.docx", "A 35570-2024")</f>
        <v/>
      </c>
    </row>
    <row r="28" ht="15" customHeight="1">
      <c r="A28" t="inlineStr">
        <is>
          <t>A 7619-2025</t>
        </is>
      </c>
      <c r="B28" s="1" t="n">
        <v>45705</v>
      </c>
      <c r="C28" s="1" t="n">
        <v>45887</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45887</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3421-2021</t>
        </is>
      </c>
      <c r="B30" s="1" t="n">
        <v>44218</v>
      </c>
      <c r="C30" s="1" t="n">
        <v>45887</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33366-2023</t>
        </is>
      </c>
      <c r="B31" s="1" t="n">
        <v>45128</v>
      </c>
      <c r="C31" s="1" t="n">
        <v>45887</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31336-2025</t>
        </is>
      </c>
      <c r="B32" s="1" t="n">
        <v>45833</v>
      </c>
      <c r="C32" s="1" t="n">
        <v>45887</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45887</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6029-2024</t>
        </is>
      </c>
      <c r="B34" s="1" t="n">
        <v>45336</v>
      </c>
      <c r="C34" s="1" t="n">
        <v>45887</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63810-2021</t>
        </is>
      </c>
      <c r="B35" s="1" t="n">
        <v>44509</v>
      </c>
      <c r="C35" s="1" t="n">
        <v>45887</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31164-2025</t>
        </is>
      </c>
      <c r="B36" s="1" t="n">
        <v>45832.65702546296</v>
      </c>
      <c r="C36" s="1" t="n">
        <v>45887</v>
      </c>
      <c r="D36" t="inlineStr">
        <is>
          <t>DALARNAS LÄN</t>
        </is>
      </c>
      <c r="E36" t="inlineStr">
        <is>
          <t>ORSA</t>
        </is>
      </c>
      <c r="G36" t="n">
        <v>0.9</v>
      </c>
      <c r="H36" t="n">
        <v>1</v>
      </c>
      <c r="I36" t="n">
        <v>0</v>
      </c>
      <c r="J36" t="n">
        <v>2</v>
      </c>
      <c r="K36" t="n">
        <v>0</v>
      </c>
      <c r="L36" t="n">
        <v>0</v>
      </c>
      <c r="M36" t="n">
        <v>0</v>
      </c>
      <c r="N36" t="n">
        <v>0</v>
      </c>
      <c r="O36" t="n">
        <v>2</v>
      </c>
      <c r="P36" t="n">
        <v>0</v>
      </c>
      <c r="Q36" t="n">
        <v>2</v>
      </c>
      <c r="R36" s="2" t="inlineStr">
        <is>
          <t>Garnlav
Tretåig hackspett</t>
        </is>
      </c>
      <c r="S36">
        <f>HYPERLINK("https://klasma.github.io/Logging_2034/artfynd/A 31164-2025 artfynd.xlsx", "A 31164-2025")</f>
        <v/>
      </c>
      <c r="T36">
        <f>HYPERLINK("https://klasma.github.io/Logging_2034/kartor/A 31164-2025 karta.png", "A 31164-2025")</f>
        <v/>
      </c>
      <c r="V36">
        <f>HYPERLINK("https://klasma.github.io/Logging_2034/klagomål/A 31164-2025 FSC-klagomål.docx", "A 31164-2025")</f>
        <v/>
      </c>
      <c r="W36">
        <f>HYPERLINK("https://klasma.github.io/Logging_2034/klagomålsmail/A 31164-2025 FSC-klagomål mail.docx", "A 31164-2025")</f>
        <v/>
      </c>
      <c r="X36">
        <f>HYPERLINK("https://klasma.github.io/Logging_2034/tillsyn/A 31164-2025 tillsynsbegäran.docx", "A 31164-2025")</f>
        <v/>
      </c>
      <c r="Y36">
        <f>HYPERLINK("https://klasma.github.io/Logging_2034/tillsynsmail/A 31164-2025 tillsynsbegäran mail.docx", "A 31164-2025")</f>
        <v/>
      </c>
      <c r="Z36">
        <f>HYPERLINK("https://klasma.github.io/Logging_2034/fåglar/A 31164-2025 prioriterade fågelarter.docx", "A 31164-2025")</f>
        <v/>
      </c>
    </row>
    <row r="37" ht="15" customHeight="1">
      <c r="A37" t="inlineStr">
        <is>
          <t>A 48343-2022</t>
        </is>
      </c>
      <c r="B37" s="1" t="n">
        <v>44858</v>
      </c>
      <c r="C37" s="1" t="n">
        <v>45887</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38211-2020</t>
        </is>
      </c>
      <c r="B38" s="1" t="n">
        <v>44060</v>
      </c>
      <c r="C38" s="1" t="n">
        <v>45887</v>
      </c>
      <c r="D38" t="inlineStr">
        <is>
          <t>DALARNAS LÄN</t>
        </is>
      </c>
      <c r="E38" t="inlineStr">
        <is>
          <t>ORSA</t>
        </is>
      </c>
      <c r="G38" t="n">
        <v>1.2</v>
      </c>
      <c r="H38" t="n">
        <v>1</v>
      </c>
      <c r="I38" t="n">
        <v>0</v>
      </c>
      <c r="J38" t="n">
        <v>1</v>
      </c>
      <c r="K38" t="n">
        <v>0</v>
      </c>
      <c r="L38" t="n">
        <v>0</v>
      </c>
      <c r="M38" t="n">
        <v>0</v>
      </c>
      <c r="N38" t="n">
        <v>0</v>
      </c>
      <c r="O38" t="n">
        <v>1</v>
      </c>
      <c r="P38" t="n">
        <v>0</v>
      </c>
      <c r="Q38" t="n">
        <v>1</v>
      </c>
      <c r="R38" s="2" t="inlineStr">
        <is>
          <t>Utter</t>
        </is>
      </c>
      <c r="S38">
        <f>HYPERLINK("https://klasma.github.io/Logging_2034/artfynd/A 38211-2020 artfynd.xlsx", "A 38211-2020")</f>
        <v/>
      </c>
      <c r="T38">
        <f>HYPERLINK("https://klasma.github.io/Logging_2034/kartor/A 38211-2020 karta.png", "A 38211-2020")</f>
        <v/>
      </c>
      <c r="V38">
        <f>HYPERLINK("https://klasma.github.io/Logging_2034/klagomål/A 38211-2020 FSC-klagomål.docx", "A 38211-2020")</f>
        <v/>
      </c>
      <c r="W38">
        <f>HYPERLINK("https://klasma.github.io/Logging_2034/klagomålsmail/A 38211-2020 FSC-klagomål mail.docx", "A 38211-2020")</f>
        <v/>
      </c>
      <c r="X38">
        <f>HYPERLINK("https://klasma.github.io/Logging_2034/tillsyn/A 38211-2020 tillsynsbegäran.docx", "A 38211-2020")</f>
        <v/>
      </c>
      <c r="Y38">
        <f>HYPERLINK("https://klasma.github.io/Logging_2034/tillsynsmail/A 38211-2020 tillsynsbegäran mail.docx", "A 38211-2020")</f>
        <v/>
      </c>
    </row>
    <row r="39" ht="15" customHeight="1">
      <c r="A39" t="inlineStr">
        <is>
          <t>A 37887-2023</t>
        </is>
      </c>
      <c r="B39" s="1" t="n">
        <v>45160</v>
      </c>
      <c r="C39" s="1" t="n">
        <v>45887</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45887</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45887</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45887</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45887</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45887</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45887</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45887</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63374-2020</t>
        </is>
      </c>
      <c r="B47" s="1" t="n">
        <v>44160</v>
      </c>
      <c r="C47" s="1" t="n">
        <v>45887</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45887</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45887</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45887</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45887</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45887</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45887</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45887</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12622-2021</t>
        </is>
      </c>
      <c r="B55" s="1" t="n">
        <v>44270.45215277778</v>
      </c>
      <c r="C55" s="1" t="n">
        <v>45887</v>
      </c>
      <c r="D55" t="inlineStr">
        <is>
          <t>DALARNAS LÄN</t>
        </is>
      </c>
      <c r="E55" t="inlineStr">
        <is>
          <t>ORSA</t>
        </is>
      </c>
      <c r="G55" t="n">
        <v>5.1</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45887</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45887</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45887</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45887</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45887</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45887</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45887</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45887</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45887</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45887</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45887</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45887</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45887</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45887</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45887</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45887</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45887</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21678-2021</t>
        </is>
      </c>
      <c r="B73" s="1" t="n">
        <v>44322</v>
      </c>
      <c r="C73" s="1" t="n">
        <v>45887</v>
      </c>
      <c r="D73" t="inlineStr">
        <is>
          <t>DALARNAS LÄN</t>
        </is>
      </c>
      <c r="E73" t="inlineStr">
        <is>
          <t>ORSA</t>
        </is>
      </c>
      <c r="G73" t="n">
        <v>11.4</v>
      </c>
      <c r="H73" t="n">
        <v>0</v>
      </c>
      <c r="I73" t="n">
        <v>0</v>
      </c>
      <c r="J73" t="n">
        <v>0</v>
      </c>
      <c r="K73" t="n">
        <v>0</v>
      </c>
      <c r="L73" t="n">
        <v>0</v>
      </c>
      <c r="M73" t="n">
        <v>0</v>
      </c>
      <c r="N73" t="n">
        <v>0</v>
      </c>
      <c r="O73" t="n">
        <v>0</v>
      </c>
      <c r="P73" t="n">
        <v>0</v>
      </c>
      <c r="Q73" t="n">
        <v>0</v>
      </c>
      <c r="R73" s="2" t="inlineStr"/>
    </row>
    <row r="74" ht="15" customHeight="1">
      <c r="A74" t="inlineStr">
        <is>
          <t>A 56162-2021</t>
        </is>
      </c>
      <c r="B74" s="1" t="n">
        <v>44477</v>
      </c>
      <c r="C74" s="1" t="n">
        <v>45887</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41425-2021</t>
        </is>
      </c>
      <c r="B75" s="1" t="n">
        <v>44424.71729166667</v>
      </c>
      <c r="C75" s="1" t="n">
        <v>45887</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31647-2021</t>
        </is>
      </c>
      <c r="B76" s="1" t="n">
        <v>44369.63069444444</v>
      </c>
      <c r="C76" s="1" t="n">
        <v>45887</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45887</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44035-2022</t>
        </is>
      </c>
      <c r="B78" s="1" t="n">
        <v>44838.94439814815</v>
      </c>
      <c r="C78" s="1" t="n">
        <v>45887</v>
      </c>
      <c r="D78" t="inlineStr">
        <is>
          <t>DALARNAS LÄN</t>
        </is>
      </c>
      <c r="E78" t="inlineStr">
        <is>
          <t>ORSA</t>
        </is>
      </c>
      <c r="G78" t="n">
        <v>5.8</v>
      </c>
      <c r="H78" t="n">
        <v>0</v>
      </c>
      <c r="I78" t="n">
        <v>0</v>
      </c>
      <c r="J78" t="n">
        <v>0</v>
      </c>
      <c r="K78" t="n">
        <v>0</v>
      </c>
      <c r="L78" t="n">
        <v>0</v>
      </c>
      <c r="M78" t="n">
        <v>0</v>
      </c>
      <c r="N78" t="n">
        <v>0</v>
      </c>
      <c r="O78" t="n">
        <v>0</v>
      </c>
      <c r="P78" t="n">
        <v>0</v>
      </c>
      <c r="Q78" t="n">
        <v>0</v>
      </c>
      <c r="R78" s="2" t="inlineStr"/>
    </row>
    <row r="79" ht="15" customHeight="1">
      <c r="A79" t="inlineStr">
        <is>
          <t>A 68230-2021</t>
        </is>
      </c>
      <c r="B79" s="1" t="n">
        <v>44526</v>
      </c>
      <c r="C79" s="1" t="n">
        <v>45887</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23344-2022</t>
        </is>
      </c>
      <c r="B80" s="1" t="n">
        <v>44720.54599537037</v>
      </c>
      <c r="C80" s="1" t="n">
        <v>45887</v>
      </c>
      <c r="D80" t="inlineStr">
        <is>
          <t>DALARNAS LÄN</t>
        </is>
      </c>
      <c r="E80" t="inlineStr">
        <is>
          <t>ORSA</t>
        </is>
      </c>
      <c r="G80" t="n">
        <v>0.2</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45887</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3452-2021</t>
        </is>
      </c>
      <c r="B82" s="1" t="n">
        <v>44218</v>
      </c>
      <c r="C82" s="1" t="n">
        <v>45887</v>
      </c>
      <c r="D82" t="inlineStr">
        <is>
          <t>DALARNAS LÄN</t>
        </is>
      </c>
      <c r="E82" t="inlineStr">
        <is>
          <t>ORSA</t>
        </is>
      </c>
      <c r="G82" t="n">
        <v>12.5</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45887</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45887</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41079-2020</t>
        </is>
      </c>
      <c r="B85" s="1" t="n">
        <v>44071</v>
      </c>
      <c r="C85" s="1" t="n">
        <v>45887</v>
      </c>
      <c r="D85" t="inlineStr">
        <is>
          <t>DALARNAS LÄN</t>
        </is>
      </c>
      <c r="E85" t="inlineStr">
        <is>
          <t>ORSA</t>
        </is>
      </c>
      <c r="G85" t="n">
        <v>2.2</v>
      </c>
      <c r="H85" t="n">
        <v>0</v>
      </c>
      <c r="I85" t="n">
        <v>0</v>
      </c>
      <c r="J85" t="n">
        <v>0</v>
      </c>
      <c r="K85" t="n">
        <v>0</v>
      </c>
      <c r="L85" t="n">
        <v>0</v>
      </c>
      <c r="M85" t="n">
        <v>0</v>
      </c>
      <c r="N85" t="n">
        <v>0</v>
      </c>
      <c r="O85" t="n">
        <v>0</v>
      </c>
      <c r="P85" t="n">
        <v>0</v>
      </c>
      <c r="Q85" t="n">
        <v>0</v>
      </c>
      <c r="R85" s="2" t="inlineStr"/>
    </row>
    <row r="86" ht="15" customHeight="1">
      <c r="A86" t="inlineStr">
        <is>
          <t>A 39969-2020</t>
        </is>
      </c>
      <c r="B86" s="1" t="n">
        <v>44067</v>
      </c>
      <c r="C86" s="1" t="n">
        <v>45887</v>
      </c>
      <c r="D86" t="inlineStr">
        <is>
          <t>DALARNAS LÄN</t>
        </is>
      </c>
      <c r="E86" t="inlineStr">
        <is>
          <t>ORSA</t>
        </is>
      </c>
      <c r="G86" t="n">
        <v>1.5</v>
      </c>
      <c r="H86" t="n">
        <v>0</v>
      </c>
      <c r="I86" t="n">
        <v>0</v>
      </c>
      <c r="J86" t="n">
        <v>0</v>
      </c>
      <c r="K86" t="n">
        <v>0</v>
      </c>
      <c r="L86" t="n">
        <v>0</v>
      </c>
      <c r="M86" t="n">
        <v>0</v>
      </c>
      <c r="N86" t="n">
        <v>0</v>
      </c>
      <c r="O86" t="n">
        <v>0</v>
      </c>
      <c r="P86" t="n">
        <v>0</v>
      </c>
      <c r="Q86" t="n">
        <v>0</v>
      </c>
      <c r="R86" s="2" t="inlineStr"/>
    </row>
    <row r="87" ht="15" customHeight="1">
      <c r="A87" t="inlineStr">
        <is>
          <t>A 23725-2022</t>
        </is>
      </c>
      <c r="B87" s="1" t="n">
        <v>44722.33388888889</v>
      </c>
      <c r="C87" s="1" t="n">
        <v>45887</v>
      </c>
      <c r="D87" t="inlineStr">
        <is>
          <t>DALARNAS LÄN</t>
        </is>
      </c>
      <c r="E87" t="inlineStr">
        <is>
          <t>ORSA</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45887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45887</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45887</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45887</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45887</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45887</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45887</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45887</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45887</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45887</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45887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61000-2021</t>
        </is>
      </c>
      <c r="B99" s="1" t="n">
        <v>44497</v>
      </c>
      <c r="C99" s="1" t="n">
        <v>45887</v>
      </c>
      <c r="D99" t="inlineStr">
        <is>
          <t>DALARNAS LÄN</t>
        </is>
      </c>
      <c r="E99" t="inlineStr">
        <is>
          <t>ORSA</t>
        </is>
      </c>
      <c r="G99" t="n">
        <v>4.4</v>
      </c>
      <c r="H99" t="n">
        <v>0</v>
      </c>
      <c r="I99" t="n">
        <v>0</v>
      </c>
      <c r="J99" t="n">
        <v>0</v>
      </c>
      <c r="K99" t="n">
        <v>0</v>
      </c>
      <c r="L99" t="n">
        <v>0</v>
      </c>
      <c r="M99" t="n">
        <v>0</v>
      </c>
      <c r="N99" t="n">
        <v>0</v>
      </c>
      <c r="O99" t="n">
        <v>0</v>
      </c>
      <c r="P99" t="n">
        <v>0</v>
      </c>
      <c r="Q99" t="n">
        <v>0</v>
      </c>
      <c r="R99" s="2" t="inlineStr"/>
    </row>
    <row r="100" ht="15" customHeight="1">
      <c r="A100" t="inlineStr">
        <is>
          <t>A 61005-2021</t>
        </is>
      </c>
      <c r="B100" s="1" t="n">
        <v>44497</v>
      </c>
      <c r="C100" s="1" t="n">
        <v>45887</v>
      </c>
      <c r="D100" t="inlineStr">
        <is>
          <t>DALARNAS LÄN</t>
        </is>
      </c>
      <c r="E100" t="inlineStr">
        <is>
          <t>ORSA</t>
        </is>
      </c>
      <c r="G100" t="n">
        <v>1.4</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45887</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45887</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56807-2024</t>
        </is>
      </c>
      <c r="B103" s="1" t="n">
        <v>45628.47519675926</v>
      </c>
      <c r="C103" s="1" t="n">
        <v>45887</v>
      </c>
      <c r="D103" t="inlineStr">
        <is>
          <t>DALARNAS LÄN</t>
        </is>
      </c>
      <c r="E103" t="inlineStr">
        <is>
          <t>ORSA</t>
        </is>
      </c>
      <c r="G103" t="n">
        <v>1.9</v>
      </c>
      <c r="H103" t="n">
        <v>0</v>
      </c>
      <c r="I103" t="n">
        <v>0</v>
      </c>
      <c r="J103" t="n">
        <v>0</v>
      </c>
      <c r="K103" t="n">
        <v>0</v>
      </c>
      <c r="L103" t="n">
        <v>0</v>
      </c>
      <c r="M103" t="n">
        <v>0</v>
      </c>
      <c r="N103" t="n">
        <v>0</v>
      </c>
      <c r="O103" t="n">
        <v>0</v>
      </c>
      <c r="P103" t="n">
        <v>0</v>
      </c>
      <c r="Q103" t="n">
        <v>0</v>
      </c>
      <c r="R103" s="2" t="inlineStr"/>
    </row>
    <row r="104" ht="15" customHeight="1">
      <c r="A104" t="inlineStr">
        <is>
          <t>A 11784-2024</t>
        </is>
      </c>
      <c r="B104" s="1" t="n">
        <v>45374.67886574074</v>
      </c>
      <c r="C104" s="1" t="n">
        <v>45887</v>
      </c>
      <c r="D104" t="inlineStr">
        <is>
          <t>DALARNAS LÄN</t>
        </is>
      </c>
      <c r="E104" t="inlineStr">
        <is>
          <t>ORSA</t>
        </is>
      </c>
      <c r="G104" t="n">
        <v>1.7</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45887</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45887</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45887</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31172-2023</t>
        </is>
      </c>
      <c r="B108" s="1" t="n">
        <v>45113.8637037037</v>
      </c>
      <c r="C108" s="1" t="n">
        <v>45887</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45887</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45887</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6476-2025</t>
        </is>
      </c>
      <c r="B111" s="1" t="n">
        <v>45699</v>
      </c>
      <c r="C111" s="1" t="n">
        <v>45887</v>
      </c>
      <c r="D111" t="inlineStr">
        <is>
          <t>DALARNAS LÄN</t>
        </is>
      </c>
      <c r="E111" t="inlineStr">
        <is>
          <t>ORSA</t>
        </is>
      </c>
      <c r="G111" t="n">
        <v>1.2</v>
      </c>
      <c r="H111" t="n">
        <v>0</v>
      </c>
      <c r="I111" t="n">
        <v>0</v>
      </c>
      <c r="J111" t="n">
        <v>0</v>
      </c>
      <c r="K111" t="n">
        <v>0</v>
      </c>
      <c r="L111" t="n">
        <v>0</v>
      </c>
      <c r="M111" t="n">
        <v>0</v>
      </c>
      <c r="N111" t="n">
        <v>0</v>
      </c>
      <c r="O111" t="n">
        <v>0</v>
      </c>
      <c r="P111" t="n">
        <v>0</v>
      </c>
      <c r="Q111" t="n">
        <v>0</v>
      </c>
      <c r="R111" s="2" t="inlineStr"/>
    </row>
    <row r="112" ht="15" customHeight="1">
      <c r="A112" t="inlineStr">
        <is>
          <t>A 6479-2025</t>
        </is>
      </c>
      <c r="B112" s="1" t="n">
        <v>45699</v>
      </c>
      <c r="C112" s="1" t="n">
        <v>45887</v>
      </c>
      <c r="D112" t="inlineStr">
        <is>
          <t>DALARNAS LÄN</t>
        </is>
      </c>
      <c r="E112" t="inlineStr">
        <is>
          <t>ORSA</t>
        </is>
      </c>
      <c r="G112" t="n">
        <v>3.2</v>
      </c>
      <c r="H112" t="n">
        <v>0</v>
      </c>
      <c r="I112" t="n">
        <v>0</v>
      </c>
      <c r="J112" t="n">
        <v>0</v>
      </c>
      <c r="K112" t="n">
        <v>0</v>
      </c>
      <c r="L112" t="n">
        <v>0</v>
      </c>
      <c r="M112" t="n">
        <v>0</v>
      </c>
      <c r="N112" t="n">
        <v>0</v>
      </c>
      <c r="O112" t="n">
        <v>0</v>
      </c>
      <c r="P112" t="n">
        <v>0</v>
      </c>
      <c r="Q112" t="n">
        <v>0</v>
      </c>
      <c r="R112" s="2" t="inlineStr"/>
    </row>
    <row r="113" ht="15" customHeight="1">
      <c r="A113" t="inlineStr">
        <is>
          <t>A 20588-2025</t>
        </is>
      </c>
      <c r="B113" s="1" t="n">
        <v>45775</v>
      </c>
      <c r="C113" s="1" t="n">
        <v>45887</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45887</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52776-2022</t>
        </is>
      </c>
      <c r="B115" s="1" t="n">
        <v>44875.36341435185</v>
      </c>
      <c r="C115" s="1" t="n">
        <v>45887</v>
      </c>
      <c r="D115" t="inlineStr">
        <is>
          <t>DALARNAS LÄN</t>
        </is>
      </c>
      <c r="E115" t="inlineStr">
        <is>
          <t>ORSA</t>
        </is>
      </c>
      <c r="F115" t="inlineStr">
        <is>
          <t>Allmännings- och besparingsskogar</t>
        </is>
      </c>
      <c r="G115" t="n">
        <v>4.4</v>
      </c>
      <c r="H115" t="n">
        <v>0</v>
      </c>
      <c r="I115" t="n">
        <v>0</v>
      </c>
      <c r="J115" t="n">
        <v>0</v>
      </c>
      <c r="K115" t="n">
        <v>0</v>
      </c>
      <c r="L115" t="n">
        <v>0</v>
      </c>
      <c r="M115" t="n">
        <v>0</v>
      </c>
      <c r="N115" t="n">
        <v>0</v>
      </c>
      <c r="O115" t="n">
        <v>0</v>
      </c>
      <c r="P115" t="n">
        <v>0</v>
      </c>
      <c r="Q115" t="n">
        <v>0</v>
      </c>
      <c r="R115" s="2" t="inlineStr"/>
    </row>
    <row r="116" ht="15" customHeight="1">
      <c r="A116" t="inlineStr">
        <is>
          <t>A 12101-2025</t>
        </is>
      </c>
      <c r="B116" s="1" t="n">
        <v>45729.33743055556</v>
      </c>
      <c r="C116" s="1" t="n">
        <v>45887</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45887</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57533-2022</t>
        </is>
      </c>
      <c r="B118" s="1" t="n">
        <v>44896.68393518519</v>
      </c>
      <c r="C118" s="1" t="n">
        <v>45887</v>
      </c>
      <c r="D118" t="inlineStr">
        <is>
          <t>DALARNAS LÄN</t>
        </is>
      </c>
      <c r="E118" t="inlineStr">
        <is>
          <t>ORSA</t>
        </is>
      </c>
      <c r="F118" t="inlineStr">
        <is>
          <t>Bergvik skog öst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5921-2025</t>
        </is>
      </c>
      <c r="B119" s="1" t="n">
        <v>45695</v>
      </c>
      <c r="C119" s="1" t="n">
        <v>45887</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19932-2021</t>
        </is>
      </c>
      <c r="B120" s="1" t="n">
        <v>44313.60207175926</v>
      </c>
      <c r="C120" s="1" t="n">
        <v>45887</v>
      </c>
      <c r="D120" t="inlineStr">
        <is>
          <t>DALARNAS LÄN</t>
        </is>
      </c>
      <c r="E120" t="inlineStr">
        <is>
          <t>ORSA</t>
        </is>
      </c>
      <c r="G120" t="n">
        <v>2</v>
      </c>
      <c r="H120" t="n">
        <v>0</v>
      </c>
      <c r="I120" t="n">
        <v>0</v>
      </c>
      <c r="J120" t="n">
        <v>0</v>
      </c>
      <c r="K120" t="n">
        <v>0</v>
      </c>
      <c r="L120" t="n">
        <v>0</v>
      </c>
      <c r="M120" t="n">
        <v>0</v>
      </c>
      <c r="N120" t="n">
        <v>0</v>
      </c>
      <c r="O120" t="n">
        <v>0</v>
      </c>
      <c r="P120" t="n">
        <v>0</v>
      </c>
      <c r="Q120" t="n">
        <v>0</v>
      </c>
      <c r="R120" s="2" t="inlineStr"/>
    </row>
    <row r="121" ht="15" customHeight="1">
      <c r="A121" t="inlineStr">
        <is>
          <t>A 7626-2025</t>
        </is>
      </c>
      <c r="B121" s="1" t="n">
        <v>45705.72799768519</v>
      </c>
      <c r="C121" s="1" t="n">
        <v>45887</v>
      </c>
      <c r="D121" t="inlineStr">
        <is>
          <t>DALARNAS LÄN</t>
        </is>
      </c>
      <c r="E121" t="inlineStr">
        <is>
          <t>ORSA</t>
        </is>
      </c>
      <c r="G121" t="n">
        <v>15.5</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45887</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45887</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45887</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45887</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41832-2024</t>
        </is>
      </c>
      <c r="B126" s="1" t="n">
        <v>45561.40730324074</v>
      </c>
      <c r="C126" s="1" t="n">
        <v>45887</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61277-2023</t>
        </is>
      </c>
      <c r="B127" s="1" t="n">
        <v>45264.52465277778</v>
      </c>
      <c r="C127" s="1" t="n">
        <v>45887</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45887</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20808-2025</t>
        </is>
      </c>
      <c r="B129" s="1" t="n">
        <v>45776</v>
      </c>
      <c r="C129" s="1" t="n">
        <v>45887</v>
      </c>
      <c r="D129" t="inlineStr">
        <is>
          <t>DALARNAS LÄN</t>
        </is>
      </c>
      <c r="E129" t="inlineStr">
        <is>
          <t>ORSA</t>
        </is>
      </c>
      <c r="F129" t="inlineStr">
        <is>
          <t>Bergvik skog väst AB</t>
        </is>
      </c>
      <c r="G129" t="n">
        <v>14.3</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45887</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45887</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45887</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45887</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45887</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45887</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29976-2025</t>
        </is>
      </c>
      <c r="B136" s="1" t="n">
        <v>45826.49146990741</v>
      </c>
      <c r="C136" s="1" t="n">
        <v>45887</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29984-2025</t>
        </is>
      </c>
      <c r="B137" s="1" t="n">
        <v>45826.49581018519</v>
      </c>
      <c r="C137" s="1" t="n">
        <v>45887</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37838-2024</t>
        </is>
      </c>
      <c r="B138" s="1" t="n">
        <v>45544.36310185185</v>
      </c>
      <c r="C138" s="1" t="n">
        <v>45887</v>
      </c>
      <c r="D138" t="inlineStr">
        <is>
          <t>DALARNAS LÄN</t>
        </is>
      </c>
      <c r="E138" t="inlineStr">
        <is>
          <t>ORSA</t>
        </is>
      </c>
      <c r="G138" t="n">
        <v>2.9</v>
      </c>
      <c r="H138" t="n">
        <v>0</v>
      </c>
      <c r="I138" t="n">
        <v>0</v>
      </c>
      <c r="J138" t="n">
        <v>0</v>
      </c>
      <c r="K138" t="n">
        <v>0</v>
      </c>
      <c r="L138" t="n">
        <v>0</v>
      </c>
      <c r="M138" t="n">
        <v>0</v>
      </c>
      <c r="N138" t="n">
        <v>0</v>
      </c>
      <c r="O138" t="n">
        <v>0</v>
      </c>
      <c r="P138" t="n">
        <v>0</v>
      </c>
      <c r="Q138" t="n">
        <v>0</v>
      </c>
      <c r="R138" s="2" t="inlineStr"/>
    </row>
    <row r="139" ht="15" customHeight="1">
      <c r="A139" t="inlineStr">
        <is>
          <t>A 879-2024</t>
        </is>
      </c>
      <c r="B139" s="1" t="n">
        <v>45301.36821759259</v>
      </c>
      <c r="C139" s="1" t="n">
        <v>45887</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21949-2025</t>
        </is>
      </c>
      <c r="B140" s="1" t="n">
        <v>45784.59369212963</v>
      </c>
      <c r="C140" s="1" t="n">
        <v>45887</v>
      </c>
      <c r="D140" t="inlineStr">
        <is>
          <t>DALARNAS LÄN</t>
        </is>
      </c>
      <c r="E140" t="inlineStr">
        <is>
          <t>ORSA</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21165-2024</t>
        </is>
      </c>
      <c r="B141" s="1" t="n">
        <v>45440.45225694445</v>
      </c>
      <c r="C141" s="1" t="n">
        <v>45887</v>
      </c>
      <c r="D141" t="inlineStr">
        <is>
          <t>DALARNAS LÄN</t>
        </is>
      </c>
      <c r="E141" t="inlineStr">
        <is>
          <t>ORSA</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41835-2024</t>
        </is>
      </c>
      <c r="B142" s="1" t="n">
        <v>45561.40888888889</v>
      </c>
      <c r="C142" s="1" t="n">
        <v>45887</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10004-2023</t>
        </is>
      </c>
      <c r="B143" s="1" t="n">
        <v>44985.60604166667</v>
      </c>
      <c r="C143" s="1" t="n">
        <v>45887</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22332-2025</t>
        </is>
      </c>
      <c r="B144" s="1" t="n">
        <v>45786.43436342593</v>
      </c>
      <c r="C144" s="1" t="n">
        <v>45887</v>
      </c>
      <c r="D144" t="inlineStr">
        <is>
          <t>DALARNAS LÄN</t>
        </is>
      </c>
      <c r="E144" t="inlineStr">
        <is>
          <t>ORSA</t>
        </is>
      </c>
      <c r="G144" t="n">
        <v>5.5</v>
      </c>
      <c r="H144" t="n">
        <v>0</v>
      </c>
      <c r="I144" t="n">
        <v>0</v>
      </c>
      <c r="J144" t="n">
        <v>0</v>
      </c>
      <c r="K144" t="n">
        <v>0</v>
      </c>
      <c r="L144" t="n">
        <v>0</v>
      </c>
      <c r="M144" t="n">
        <v>0</v>
      </c>
      <c r="N144" t="n">
        <v>0</v>
      </c>
      <c r="O144" t="n">
        <v>0</v>
      </c>
      <c r="P144" t="n">
        <v>0</v>
      </c>
      <c r="Q144" t="n">
        <v>0</v>
      </c>
      <c r="R144" s="2" t="inlineStr"/>
    </row>
    <row r="145" ht="15" customHeight="1">
      <c r="A145" t="inlineStr">
        <is>
          <t>A 4566-2025</t>
        </is>
      </c>
      <c r="B145" s="1" t="n">
        <v>45687.46100694445</v>
      </c>
      <c r="C145" s="1" t="n">
        <v>45887</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44904-2024</t>
        </is>
      </c>
      <c r="B146" s="1" t="n">
        <v>45575.38193287037</v>
      </c>
      <c r="C146" s="1" t="n">
        <v>45887</v>
      </c>
      <c r="D146" t="inlineStr">
        <is>
          <t>DALARNAS LÄN</t>
        </is>
      </c>
      <c r="E146" t="inlineStr">
        <is>
          <t>ORSA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22172-2025</t>
        </is>
      </c>
      <c r="B147" s="1" t="n">
        <v>45785.6050925926</v>
      </c>
      <c r="C147" s="1" t="n">
        <v>45887</v>
      </c>
      <c r="D147" t="inlineStr">
        <is>
          <t>DALARNAS LÄN</t>
        </is>
      </c>
      <c r="E147" t="inlineStr">
        <is>
          <t>ORSA</t>
        </is>
      </c>
      <c r="F147" t="inlineStr">
        <is>
          <t>Bergvik skog öst AB</t>
        </is>
      </c>
      <c r="G147" t="n">
        <v>3.8</v>
      </c>
      <c r="H147" t="n">
        <v>0</v>
      </c>
      <c r="I147" t="n">
        <v>0</v>
      </c>
      <c r="J147" t="n">
        <v>0</v>
      </c>
      <c r="K147" t="n">
        <v>0</v>
      </c>
      <c r="L147" t="n">
        <v>0</v>
      </c>
      <c r="M147" t="n">
        <v>0</v>
      </c>
      <c r="N147" t="n">
        <v>0</v>
      </c>
      <c r="O147" t="n">
        <v>0</v>
      </c>
      <c r="P147" t="n">
        <v>0</v>
      </c>
      <c r="Q147" t="n">
        <v>0</v>
      </c>
      <c r="R147" s="2" t="inlineStr"/>
    </row>
    <row r="148" ht="15" customHeight="1">
      <c r="A148" t="inlineStr">
        <is>
          <t>A 48819-2024</t>
        </is>
      </c>
      <c r="B148" s="1" t="n">
        <v>45593.67824074074</v>
      </c>
      <c r="C148" s="1" t="n">
        <v>45887</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36089-2023</t>
        </is>
      </c>
      <c r="B149" s="1" t="n">
        <v>45149.51068287037</v>
      </c>
      <c r="C149" s="1" t="n">
        <v>45887</v>
      </c>
      <c r="D149" t="inlineStr">
        <is>
          <t>DALARNAS LÄN</t>
        </is>
      </c>
      <c r="E149" t="inlineStr">
        <is>
          <t>ORSA</t>
        </is>
      </c>
      <c r="F149" t="inlineStr">
        <is>
          <t>Allmännings- och besparingsskogar</t>
        </is>
      </c>
      <c r="G149" t="n">
        <v>1.2</v>
      </c>
      <c r="H149" t="n">
        <v>0</v>
      </c>
      <c r="I149" t="n">
        <v>0</v>
      </c>
      <c r="J149" t="n">
        <v>0</v>
      </c>
      <c r="K149" t="n">
        <v>0</v>
      </c>
      <c r="L149" t="n">
        <v>0</v>
      </c>
      <c r="M149" t="n">
        <v>0</v>
      </c>
      <c r="N149" t="n">
        <v>0</v>
      </c>
      <c r="O149" t="n">
        <v>0</v>
      </c>
      <c r="P149" t="n">
        <v>0</v>
      </c>
      <c r="Q149" t="n">
        <v>0</v>
      </c>
      <c r="R149" s="2" t="inlineStr"/>
    </row>
    <row r="150" ht="15" customHeight="1">
      <c r="A150" t="inlineStr">
        <is>
          <t>A 55843-2023</t>
        </is>
      </c>
      <c r="B150" s="1" t="n">
        <v>45239</v>
      </c>
      <c r="C150" s="1" t="n">
        <v>45887</v>
      </c>
      <c r="D150" t="inlineStr">
        <is>
          <t>DALARNAS LÄN</t>
        </is>
      </c>
      <c r="E150" t="inlineStr">
        <is>
          <t>ORSA</t>
        </is>
      </c>
      <c r="G150" t="n">
        <v>2.4</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45887</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22491-2025</t>
        </is>
      </c>
      <c r="B152" s="1" t="n">
        <v>45786.65040509259</v>
      </c>
      <c r="C152" s="1" t="n">
        <v>45887</v>
      </c>
      <c r="D152" t="inlineStr">
        <is>
          <t>DALARNAS LÄN</t>
        </is>
      </c>
      <c r="E152" t="inlineStr">
        <is>
          <t>ORSA</t>
        </is>
      </c>
      <c r="F152" t="inlineStr">
        <is>
          <t>Bergvik skog öst AB</t>
        </is>
      </c>
      <c r="G152" t="n">
        <v>5.7</v>
      </c>
      <c r="H152" t="n">
        <v>0</v>
      </c>
      <c r="I152" t="n">
        <v>0</v>
      </c>
      <c r="J152" t="n">
        <v>0</v>
      </c>
      <c r="K152" t="n">
        <v>0</v>
      </c>
      <c r="L152" t="n">
        <v>0</v>
      </c>
      <c r="M152" t="n">
        <v>0</v>
      </c>
      <c r="N152" t="n">
        <v>0</v>
      </c>
      <c r="O152" t="n">
        <v>0</v>
      </c>
      <c r="P152" t="n">
        <v>0</v>
      </c>
      <c r="Q152" t="n">
        <v>0</v>
      </c>
      <c r="R152" s="2" t="inlineStr"/>
    </row>
    <row r="153" ht="15" customHeight="1">
      <c r="A153" t="inlineStr">
        <is>
          <t>A 22482-2025</t>
        </is>
      </c>
      <c r="B153" s="1" t="n">
        <v>45786.63901620371</v>
      </c>
      <c r="C153" s="1" t="n">
        <v>45887</v>
      </c>
      <c r="D153" t="inlineStr">
        <is>
          <t>DALARNAS LÄN</t>
        </is>
      </c>
      <c r="E153" t="inlineStr">
        <is>
          <t>ORSA</t>
        </is>
      </c>
      <c r="F153" t="inlineStr">
        <is>
          <t>Bergvik skog öst AB</t>
        </is>
      </c>
      <c r="G153" t="n">
        <v>6.7</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45887</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22487-2025</t>
        </is>
      </c>
      <c r="B155" s="1" t="n">
        <v>45786.64663194444</v>
      </c>
      <c r="C155" s="1" t="n">
        <v>45887</v>
      </c>
      <c r="D155" t="inlineStr">
        <is>
          <t>DALARNAS LÄN</t>
        </is>
      </c>
      <c r="E155" t="inlineStr">
        <is>
          <t>ORSA</t>
        </is>
      </c>
      <c r="F155" t="inlineStr">
        <is>
          <t>Bergvik skog öst AB</t>
        </is>
      </c>
      <c r="G155" t="n">
        <v>17.8</v>
      </c>
      <c r="H155" t="n">
        <v>0</v>
      </c>
      <c r="I155" t="n">
        <v>0</v>
      </c>
      <c r="J155" t="n">
        <v>0</v>
      </c>
      <c r="K155" t="n">
        <v>0</v>
      </c>
      <c r="L155" t="n">
        <v>0</v>
      </c>
      <c r="M155" t="n">
        <v>0</v>
      </c>
      <c r="N155" t="n">
        <v>0</v>
      </c>
      <c r="O155" t="n">
        <v>0</v>
      </c>
      <c r="P155" t="n">
        <v>0</v>
      </c>
      <c r="Q155" t="n">
        <v>0</v>
      </c>
      <c r="R155" s="2" t="inlineStr"/>
    </row>
    <row r="156" ht="15" customHeight="1">
      <c r="A156" t="inlineStr">
        <is>
          <t>A 18009-2023</t>
        </is>
      </c>
      <c r="B156" s="1" t="n">
        <v>45040.56190972222</v>
      </c>
      <c r="C156" s="1" t="n">
        <v>45887</v>
      </c>
      <c r="D156" t="inlineStr">
        <is>
          <t>DALARNAS LÄN</t>
        </is>
      </c>
      <c r="E156" t="inlineStr">
        <is>
          <t>ORSA</t>
        </is>
      </c>
      <c r="G156" t="n">
        <v>5.8</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45887</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56706-2021</t>
        </is>
      </c>
      <c r="B158" s="1" t="n">
        <v>44481.4037962963</v>
      </c>
      <c r="C158" s="1" t="n">
        <v>45887</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23056-2025</t>
        </is>
      </c>
      <c r="B159" s="1" t="n">
        <v>45790.73627314815</v>
      </c>
      <c r="C159" s="1" t="n">
        <v>45887</v>
      </c>
      <c r="D159" t="inlineStr">
        <is>
          <t>DALARNAS LÄN</t>
        </is>
      </c>
      <c r="E159" t="inlineStr">
        <is>
          <t>ORSA</t>
        </is>
      </c>
      <c r="G159" t="n">
        <v>0.5</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45887</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45887</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59411-2024</t>
        </is>
      </c>
      <c r="B162" s="1" t="n">
        <v>45638.39675925926</v>
      </c>
      <c r="C162" s="1" t="n">
        <v>45887</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59414-2024</t>
        </is>
      </c>
      <c r="B163" s="1" t="n">
        <v>45638.39965277778</v>
      </c>
      <c r="C163" s="1" t="n">
        <v>45887</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23015-2025</t>
        </is>
      </c>
      <c r="B164" s="1" t="n">
        <v>45790.6377662037</v>
      </c>
      <c r="C164" s="1" t="n">
        <v>45887</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23053-2025</t>
        </is>
      </c>
      <c r="B165" s="1" t="n">
        <v>45790.73072916667</v>
      </c>
      <c r="C165" s="1" t="n">
        <v>45887</v>
      </c>
      <c r="D165" t="inlineStr">
        <is>
          <t>DALARNAS LÄN</t>
        </is>
      </c>
      <c r="E165" t="inlineStr">
        <is>
          <t>ORSA</t>
        </is>
      </c>
      <c r="G165" t="n">
        <v>3.3</v>
      </c>
      <c r="H165" t="n">
        <v>0</v>
      </c>
      <c r="I165" t="n">
        <v>0</v>
      </c>
      <c r="J165" t="n">
        <v>0</v>
      </c>
      <c r="K165" t="n">
        <v>0</v>
      </c>
      <c r="L165" t="n">
        <v>0</v>
      </c>
      <c r="M165" t="n">
        <v>0</v>
      </c>
      <c r="N165" t="n">
        <v>0</v>
      </c>
      <c r="O165" t="n">
        <v>0</v>
      </c>
      <c r="P165" t="n">
        <v>0</v>
      </c>
      <c r="Q165" t="n">
        <v>0</v>
      </c>
      <c r="R165" s="2" t="inlineStr"/>
    </row>
    <row r="166" ht="15" customHeight="1">
      <c r="A166" t="inlineStr">
        <is>
          <t>A 62289-2023</t>
        </is>
      </c>
      <c r="B166" s="1" t="n">
        <v>45266</v>
      </c>
      <c r="C166" s="1" t="n">
        <v>45887</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9836-2022</t>
        </is>
      </c>
      <c r="B167" s="1" t="n">
        <v>44620</v>
      </c>
      <c r="C167" s="1" t="n">
        <v>45887</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58549-2023</t>
        </is>
      </c>
      <c r="B168" s="1" t="n">
        <v>45251.42627314815</v>
      </c>
      <c r="C168" s="1" t="n">
        <v>45887</v>
      </c>
      <c r="D168" t="inlineStr">
        <is>
          <t>DALARNAS LÄN</t>
        </is>
      </c>
      <c r="E168" t="inlineStr">
        <is>
          <t>ORSA</t>
        </is>
      </c>
      <c r="G168" t="n">
        <v>0.9</v>
      </c>
      <c r="H168" t="n">
        <v>0</v>
      </c>
      <c r="I168" t="n">
        <v>0</v>
      </c>
      <c r="J168" t="n">
        <v>0</v>
      </c>
      <c r="K168" t="n">
        <v>0</v>
      </c>
      <c r="L168" t="n">
        <v>0</v>
      </c>
      <c r="M168" t="n">
        <v>0</v>
      </c>
      <c r="N168" t="n">
        <v>0</v>
      </c>
      <c r="O168" t="n">
        <v>0</v>
      </c>
      <c r="P168" t="n">
        <v>0</v>
      </c>
      <c r="Q168" t="n">
        <v>0</v>
      </c>
      <c r="R168" s="2" t="inlineStr"/>
    </row>
    <row r="169" ht="15" customHeight="1">
      <c r="A169" t="inlineStr">
        <is>
          <t>A 28923-2024</t>
        </is>
      </c>
      <c r="B169" s="1" t="n">
        <v>45481</v>
      </c>
      <c r="C169" s="1" t="n">
        <v>45887</v>
      </c>
      <c r="D169" t="inlineStr">
        <is>
          <t>DALARNAS LÄN</t>
        </is>
      </c>
      <c r="E169" t="inlineStr">
        <is>
          <t>ORSA</t>
        </is>
      </c>
      <c r="F169" t="inlineStr">
        <is>
          <t>Allmännings- och besparingsskogar</t>
        </is>
      </c>
      <c r="G169" t="n">
        <v>13.9</v>
      </c>
      <c r="H169" t="n">
        <v>0</v>
      </c>
      <c r="I169" t="n">
        <v>0</v>
      </c>
      <c r="J169" t="n">
        <v>0</v>
      </c>
      <c r="K169" t="n">
        <v>0</v>
      </c>
      <c r="L169" t="n">
        <v>0</v>
      </c>
      <c r="M169" t="n">
        <v>0</v>
      </c>
      <c r="N169" t="n">
        <v>0</v>
      </c>
      <c r="O169" t="n">
        <v>0</v>
      </c>
      <c r="P169" t="n">
        <v>0</v>
      </c>
      <c r="Q169" t="n">
        <v>0</v>
      </c>
      <c r="R169" s="2" t="inlineStr"/>
    </row>
    <row r="170" ht="15" customHeight="1">
      <c r="A170" t="inlineStr">
        <is>
          <t>A 10644-2025</t>
        </is>
      </c>
      <c r="B170" s="1" t="n">
        <v>45721.66222222222</v>
      </c>
      <c r="C170" s="1" t="n">
        <v>45887</v>
      </c>
      <c r="D170" t="inlineStr">
        <is>
          <t>DALARNAS LÄN</t>
        </is>
      </c>
      <c r="E170" t="inlineStr">
        <is>
          <t>ORSA</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10645-2025</t>
        </is>
      </c>
      <c r="B171" s="1" t="n">
        <v>45721.66297453704</v>
      </c>
      <c r="C171" s="1" t="n">
        <v>45887</v>
      </c>
      <c r="D171" t="inlineStr">
        <is>
          <t>DALARNAS LÄN</t>
        </is>
      </c>
      <c r="E171" t="inlineStr">
        <is>
          <t>ORSA</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17850-2025</t>
        </is>
      </c>
      <c r="B172" s="1" t="n">
        <v>45758.60162037037</v>
      </c>
      <c r="C172" s="1" t="n">
        <v>45887</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5302-2024</t>
        </is>
      </c>
      <c r="B173" s="1" t="n">
        <v>45331.38175925926</v>
      </c>
      <c r="C173" s="1" t="n">
        <v>45887</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51994-2023</t>
        </is>
      </c>
      <c r="B174" s="1" t="n">
        <v>45223.5884375</v>
      </c>
      <c r="C174" s="1" t="n">
        <v>45887</v>
      </c>
      <c r="D174" t="inlineStr">
        <is>
          <t>DALARNAS LÄN</t>
        </is>
      </c>
      <c r="E174" t="inlineStr">
        <is>
          <t>ORSA</t>
        </is>
      </c>
      <c r="G174" t="n">
        <v>10.7</v>
      </c>
      <c r="H174" t="n">
        <v>0</v>
      </c>
      <c r="I174" t="n">
        <v>0</v>
      </c>
      <c r="J174" t="n">
        <v>0</v>
      </c>
      <c r="K174" t="n">
        <v>0</v>
      </c>
      <c r="L174" t="n">
        <v>0</v>
      </c>
      <c r="M174" t="n">
        <v>0</v>
      </c>
      <c r="N174" t="n">
        <v>0</v>
      </c>
      <c r="O174" t="n">
        <v>0</v>
      </c>
      <c r="P174" t="n">
        <v>0</v>
      </c>
      <c r="Q174" t="n">
        <v>0</v>
      </c>
      <c r="R174" s="2" t="inlineStr"/>
    </row>
    <row r="175" ht="15" customHeight="1">
      <c r="A175" t="inlineStr">
        <is>
          <t>A 72284-2021</t>
        </is>
      </c>
      <c r="B175" s="1" t="n">
        <v>44545.36940972223</v>
      </c>
      <c r="C175" s="1" t="n">
        <v>45887</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23740-2025</t>
        </is>
      </c>
      <c r="B176" s="1" t="n">
        <v>45793.43210648148</v>
      </c>
      <c r="C176" s="1" t="n">
        <v>45887</v>
      </c>
      <c r="D176" t="inlineStr">
        <is>
          <t>DALARNAS LÄN</t>
        </is>
      </c>
      <c r="E176" t="inlineStr">
        <is>
          <t>ORSA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13185-2022</t>
        </is>
      </c>
      <c r="B177" s="1" t="n">
        <v>44644.48491898148</v>
      </c>
      <c r="C177" s="1" t="n">
        <v>45887</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46454-2024</t>
        </is>
      </c>
      <c r="B178" s="1" t="n">
        <v>45582</v>
      </c>
      <c r="C178" s="1" t="n">
        <v>45887</v>
      </c>
      <c r="D178" t="inlineStr">
        <is>
          <t>DALARNAS LÄN</t>
        </is>
      </c>
      <c r="E178" t="inlineStr">
        <is>
          <t>ORSA</t>
        </is>
      </c>
      <c r="F178" t="inlineStr">
        <is>
          <t>Övriga statliga verk och myndigheter</t>
        </is>
      </c>
      <c r="G178" t="n">
        <v>1</v>
      </c>
      <c r="H178" t="n">
        <v>0</v>
      </c>
      <c r="I178" t="n">
        <v>0</v>
      </c>
      <c r="J178" t="n">
        <v>0</v>
      </c>
      <c r="K178" t="n">
        <v>0</v>
      </c>
      <c r="L178" t="n">
        <v>0</v>
      </c>
      <c r="M178" t="n">
        <v>0</v>
      </c>
      <c r="N178" t="n">
        <v>0</v>
      </c>
      <c r="O178" t="n">
        <v>0</v>
      </c>
      <c r="P178" t="n">
        <v>0</v>
      </c>
      <c r="Q178" t="n">
        <v>0</v>
      </c>
      <c r="R178" s="2" t="inlineStr"/>
    </row>
    <row r="179" ht="15" customHeight="1">
      <c r="A179" t="inlineStr">
        <is>
          <t>A 70332-2021</t>
        </is>
      </c>
      <c r="B179" s="1" t="n">
        <v>44536</v>
      </c>
      <c r="C179" s="1" t="n">
        <v>45887</v>
      </c>
      <c r="D179" t="inlineStr">
        <is>
          <t>DALARNAS LÄN</t>
        </is>
      </c>
      <c r="E179" t="inlineStr">
        <is>
          <t>ORSA</t>
        </is>
      </c>
      <c r="G179" t="n">
        <v>7.2</v>
      </c>
      <c r="H179" t="n">
        <v>0</v>
      </c>
      <c r="I179" t="n">
        <v>0</v>
      </c>
      <c r="J179" t="n">
        <v>0</v>
      </c>
      <c r="K179" t="n">
        <v>0</v>
      </c>
      <c r="L179" t="n">
        <v>0</v>
      </c>
      <c r="M179" t="n">
        <v>0</v>
      </c>
      <c r="N179" t="n">
        <v>0</v>
      </c>
      <c r="O179" t="n">
        <v>0</v>
      </c>
      <c r="P179" t="n">
        <v>0</v>
      </c>
      <c r="Q179" t="n">
        <v>0</v>
      </c>
      <c r="R179" s="2" t="inlineStr"/>
    </row>
    <row r="180" ht="15" customHeight="1">
      <c r="A180" t="inlineStr">
        <is>
          <t>A 50714-2023</t>
        </is>
      </c>
      <c r="B180" s="1" t="n">
        <v>45217.56513888889</v>
      </c>
      <c r="C180" s="1" t="n">
        <v>45887</v>
      </c>
      <c r="D180" t="inlineStr">
        <is>
          <t>DALARNAS LÄN</t>
        </is>
      </c>
      <c r="E180" t="inlineStr">
        <is>
          <t>ORSA</t>
        </is>
      </c>
      <c r="G180" t="n">
        <v>1.1</v>
      </c>
      <c r="H180" t="n">
        <v>0</v>
      </c>
      <c r="I180" t="n">
        <v>0</v>
      </c>
      <c r="J180" t="n">
        <v>0</v>
      </c>
      <c r="K180" t="n">
        <v>0</v>
      </c>
      <c r="L180" t="n">
        <v>0</v>
      </c>
      <c r="M180" t="n">
        <v>0</v>
      </c>
      <c r="N180" t="n">
        <v>0</v>
      </c>
      <c r="O180" t="n">
        <v>0</v>
      </c>
      <c r="P180" t="n">
        <v>0</v>
      </c>
      <c r="Q180" t="n">
        <v>0</v>
      </c>
      <c r="R180" s="2" t="inlineStr"/>
    </row>
    <row r="181" ht="15" customHeight="1">
      <c r="A181" t="inlineStr">
        <is>
          <t>A 52649-2024</t>
        </is>
      </c>
      <c r="B181" s="1" t="n">
        <v>45610.3468287037</v>
      </c>
      <c r="C181" s="1" t="n">
        <v>45887</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1785-2024</t>
        </is>
      </c>
      <c r="B182" s="1" t="n">
        <v>45307</v>
      </c>
      <c r="C182" s="1" t="n">
        <v>45887</v>
      </c>
      <c r="D182" t="inlineStr">
        <is>
          <t>DALARNAS LÄN</t>
        </is>
      </c>
      <c r="E182" t="inlineStr">
        <is>
          <t>ORSA</t>
        </is>
      </c>
      <c r="G182" t="n">
        <v>42.8</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45887</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53703-2024</t>
        </is>
      </c>
      <c r="B184" s="1" t="n">
        <v>45615.3990162037</v>
      </c>
      <c r="C184" s="1" t="n">
        <v>45887</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5434-2025</t>
        </is>
      </c>
      <c r="B185" s="1" t="n">
        <v>45692</v>
      </c>
      <c r="C185" s="1" t="n">
        <v>45887</v>
      </c>
      <c r="D185" t="inlineStr">
        <is>
          <t>DALARNAS LÄN</t>
        </is>
      </c>
      <c r="E185" t="inlineStr">
        <is>
          <t>ORSA</t>
        </is>
      </c>
      <c r="G185" t="n">
        <v>6.9</v>
      </c>
      <c r="H185" t="n">
        <v>0</v>
      </c>
      <c r="I185" t="n">
        <v>0</v>
      </c>
      <c r="J185" t="n">
        <v>0</v>
      </c>
      <c r="K185" t="n">
        <v>0</v>
      </c>
      <c r="L185" t="n">
        <v>0</v>
      </c>
      <c r="M185" t="n">
        <v>0</v>
      </c>
      <c r="N185" t="n">
        <v>0</v>
      </c>
      <c r="O185" t="n">
        <v>0</v>
      </c>
      <c r="P185" t="n">
        <v>0</v>
      </c>
      <c r="Q185" t="n">
        <v>0</v>
      </c>
      <c r="R185" s="2" t="inlineStr"/>
    </row>
    <row r="186" ht="15" customHeight="1">
      <c r="A186" t="inlineStr">
        <is>
          <t>A 58842-2024</t>
        </is>
      </c>
      <c r="B186" s="1" t="n">
        <v>45636.3859837963</v>
      </c>
      <c r="C186" s="1" t="n">
        <v>45887</v>
      </c>
      <c r="D186" t="inlineStr">
        <is>
          <t>DALARNAS LÄN</t>
        </is>
      </c>
      <c r="E186" t="inlineStr">
        <is>
          <t>ORSA</t>
        </is>
      </c>
      <c r="G186" t="n">
        <v>2.8</v>
      </c>
      <c r="H186" t="n">
        <v>0</v>
      </c>
      <c r="I186" t="n">
        <v>0</v>
      </c>
      <c r="J186" t="n">
        <v>0</v>
      </c>
      <c r="K186" t="n">
        <v>0</v>
      </c>
      <c r="L186" t="n">
        <v>0</v>
      </c>
      <c r="M186" t="n">
        <v>0</v>
      </c>
      <c r="N186" t="n">
        <v>0</v>
      </c>
      <c r="O186" t="n">
        <v>0</v>
      </c>
      <c r="P186" t="n">
        <v>0</v>
      </c>
      <c r="Q186" t="n">
        <v>0</v>
      </c>
      <c r="R186" s="2" t="inlineStr"/>
    </row>
    <row r="187" ht="15" customHeight="1">
      <c r="A187" t="inlineStr">
        <is>
          <t>A 24235-2025</t>
        </is>
      </c>
      <c r="B187" s="1" t="n">
        <v>45797.38252314815</v>
      </c>
      <c r="C187" s="1" t="n">
        <v>45887</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22701-2025</t>
        </is>
      </c>
      <c r="B188" s="1" t="n">
        <v>45787</v>
      </c>
      <c r="C188" s="1" t="n">
        <v>45887</v>
      </c>
      <c r="D188" t="inlineStr">
        <is>
          <t>DALARNAS LÄN</t>
        </is>
      </c>
      <c r="E188" t="inlineStr">
        <is>
          <t>ORSA</t>
        </is>
      </c>
      <c r="G188" t="n">
        <v>23.2</v>
      </c>
      <c r="H188" t="n">
        <v>0</v>
      </c>
      <c r="I188" t="n">
        <v>0</v>
      </c>
      <c r="J188" t="n">
        <v>0</v>
      </c>
      <c r="K188" t="n">
        <v>0</v>
      </c>
      <c r="L188" t="n">
        <v>0</v>
      </c>
      <c r="M188" t="n">
        <v>0</v>
      </c>
      <c r="N188" t="n">
        <v>0</v>
      </c>
      <c r="O188" t="n">
        <v>0</v>
      </c>
      <c r="P188" t="n">
        <v>0</v>
      </c>
      <c r="Q188" t="n">
        <v>0</v>
      </c>
      <c r="R188" s="2" t="inlineStr"/>
    </row>
    <row r="189" ht="15" customHeight="1">
      <c r="A189" t="inlineStr">
        <is>
          <t>A 24248-2025</t>
        </is>
      </c>
      <c r="B189" s="1" t="n">
        <v>45797.40101851852</v>
      </c>
      <c r="C189" s="1" t="n">
        <v>45887</v>
      </c>
      <c r="D189" t="inlineStr">
        <is>
          <t>DALARNAS LÄN</t>
        </is>
      </c>
      <c r="E189" t="inlineStr">
        <is>
          <t>ORSA</t>
        </is>
      </c>
      <c r="F189" t="inlineStr">
        <is>
          <t>Bergvik skog öst AB</t>
        </is>
      </c>
      <c r="G189" t="n">
        <v>4.3</v>
      </c>
      <c r="H189" t="n">
        <v>0</v>
      </c>
      <c r="I189" t="n">
        <v>0</v>
      </c>
      <c r="J189" t="n">
        <v>0</v>
      </c>
      <c r="K189" t="n">
        <v>0</v>
      </c>
      <c r="L189" t="n">
        <v>0</v>
      </c>
      <c r="M189" t="n">
        <v>0</v>
      </c>
      <c r="N189" t="n">
        <v>0</v>
      </c>
      <c r="O189" t="n">
        <v>0</v>
      </c>
      <c r="P189" t="n">
        <v>0</v>
      </c>
      <c r="Q189" t="n">
        <v>0</v>
      </c>
      <c r="R189" s="2" t="inlineStr"/>
    </row>
    <row r="190" ht="15" customHeight="1">
      <c r="A190" t="inlineStr">
        <is>
          <t>A 13209-2022</t>
        </is>
      </c>
      <c r="B190" s="1" t="n">
        <v>44644.56325231482</v>
      </c>
      <c r="C190" s="1" t="n">
        <v>45887</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24969-2025</t>
        </is>
      </c>
      <c r="B191" s="1" t="n">
        <v>45799</v>
      </c>
      <c r="C191" s="1" t="n">
        <v>45887</v>
      </c>
      <c r="D191" t="inlineStr">
        <is>
          <t>DALARNAS LÄN</t>
        </is>
      </c>
      <c r="E191" t="inlineStr">
        <is>
          <t>ORSA</t>
        </is>
      </c>
      <c r="F191" t="inlineStr">
        <is>
          <t>Allmännings- och besparingsskogar</t>
        </is>
      </c>
      <c r="G191" t="n">
        <v>2.6</v>
      </c>
      <c r="H191" t="n">
        <v>0</v>
      </c>
      <c r="I191" t="n">
        <v>0</v>
      </c>
      <c r="J191" t="n">
        <v>0</v>
      </c>
      <c r="K191" t="n">
        <v>0</v>
      </c>
      <c r="L191" t="n">
        <v>0</v>
      </c>
      <c r="M191" t="n">
        <v>0</v>
      </c>
      <c r="N191" t="n">
        <v>0</v>
      </c>
      <c r="O191" t="n">
        <v>0</v>
      </c>
      <c r="P191" t="n">
        <v>0</v>
      </c>
      <c r="Q191" t="n">
        <v>0</v>
      </c>
      <c r="R191" s="2" t="inlineStr"/>
    </row>
    <row r="192" ht="15" customHeight="1">
      <c r="A192" t="inlineStr">
        <is>
          <t>A 61333-2024</t>
        </is>
      </c>
      <c r="B192" s="1" t="n">
        <v>45646.35832175926</v>
      </c>
      <c r="C192" s="1" t="n">
        <v>45887</v>
      </c>
      <c r="D192" t="inlineStr">
        <is>
          <t>DALARNAS LÄN</t>
        </is>
      </c>
      <c r="E192" t="inlineStr">
        <is>
          <t>ORSA</t>
        </is>
      </c>
      <c r="G192" t="n">
        <v>11.5</v>
      </c>
      <c r="H192" t="n">
        <v>0</v>
      </c>
      <c r="I192" t="n">
        <v>0</v>
      </c>
      <c r="J192" t="n">
        <v>0</v>
      </c>
      <c r="K192" t="n">
        <v>0</v>
      </c>
      <c r="L192" t="n">
        <v>0</v>
      </c>
      <c r="M192" t="n">
        <v>0</v>
      </c>
      <c r="N192" t="n">
        <v>0</v>
      </c>
      <c r="O192" t="n">
        <v>0</v>
      </c>
      <c r="P192" t="n">
        <v>0</v>
      </c>
      <c r="Q192" t="n">
        <v>0</v>
      </c>
      <c r="R192" s="2" t="inlineStr"/>
    </row>
    <row r="193" ht="15" customHeight="1">
      <c r="A193" t="inlineStr">
        <is>
          <t>A 25211-2025</t>
        </is>
      </c>
      <c r="B193" s="1" t="n">
        <v>45800.46965277778</v>
      </c>
      <c r="C193" s="1" t="n">
        <v>45887</v>
      </c>
      <c r="D193" t="inlineStr">
        <is>
          <t>DALARNAS LÄN</t>
        </is>
      </c>
      <c r="E193" t="inlineStr">
        <is>
          <t>ORSA</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12704-2022</t>
        </is>
      </c>
      <c r="B194" s="1" t="n">
        <v>44641</v>
      </c>
      <c r="C194" s="1" t="n">
        <v>45887</v>
      </c>
      <c r="D194" t="inlineStr">
        <is>
          <t>DALARNAS LÄN</t>
        </is>
      </c>
      <c r="E194" t="inlineStr">
        <is>
          <t>ORSA</t>
        </is>
      </c>
      <c r="G194" t="n">
        <v>2.4</v>
      </c>
      <c r="H194" t="n">
        <v>0</v>
      </c>
      <c r="I194" t="n">
        <v>0</v>
      </c>
      <c r="J194" t="n">
        <v>0</v>
      </c>
      <c r="K194" t="n">
        <v>0</v>
      </c>
      <c r="L194" t="n">
        <v>0</v>
      </c>
      <c r="M194" t="n">
        <v>0</v>
      </c>
      <c r="N194" t="n">
        <v>0</v>
      </c>
      <c r="O194" t="n">
        <v>0</v>
      </c>
      <c r="P194" t="n">
        <v>0</v>
      </c>
      <c r="Q194" t="n">
        <v>0</v>
      </c>
      <c r="R194" s="2" t="inlineStr"/>
    </row>
    <row r="195" ht="15" customHeight="1">
      <c r="A195" t="inlineStr">
        <is>
          <t>A 34001-2025</t>
        </is>
      </c>
      <c r="B195" s="1" t="n">
        <v>45844</v>
      </c>
      <c r="C195" s="1" t="n">
        <v>45887</v>
      </c>
      <c r="D195" t="inlineStr">
        <is>
          <t>DALARNAS LÄN</t>
        </is>
      </c>
      <c r="E195" t="inlineStr">
        <is>
          <t>ORSA</t>
        </is>
      </c>
      <c r="F195" t="inlineStr">
        <is>
          <t>Bergvik skog öst AB</t>
        </is>
      </c>
      <c r="G195" t="n">
        <v>13.4</v>
      </c>
      <c r="H195" t="n">
        <v>0</v>
      </c>
      <c r="I195" t="n">
        <v>0</v>
      </c>
      <c r="J195" t="n">
        <v>0</v>
      </c>
      <c r="K195" t="n">
        <v>0</v>
      </c>
      <c r="L195" t="n">
        <v>0</v>
      </c>
      <c r="M195" t="n">
        <v>0</v>
      </c>
      <c r="N195" t="n">
        <v>0</v>
      </c>
      <c r="O195" t="n">
        <v>0</v>
      </c>
      <c r="P195" t="n">
        <v>0</v>
      </c>
      <c r="Q195" t="n">
        <v>0</v>
      </c>
      <c r="R195" s="2" t="inlineStr"/>
    </row>
    <row r="196" ht="15" customHeight="1">
      <c r="A196" t="inlineStr">
        <is>
          <t>A 37770-2023</t>
        </is>
      </c>
      <c r="B196" s="1" t="n">
        <v>45159</v>
      </c>
      <c r="C196" s="1" t="n">
        <v>45887</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23339-2024</t>
        </is>
      </c>
      <c r="B197" s="1" t="n">
        <v>45453.48988425926</v>
      </c>
      <c r="C197" s="1" t="n">
        <v>45887</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18817-2023</t>
        </is>
      </c>
      <c r="B198" s="1" t="n">
        <v>45043</v>
      </c>
      <c r="C198" s="1" t="n">
        <v>45887</v>
      </c>
      <c r="D198" t="inlineStr">
        <is>
          <t>DALARNAS LÄN</t>
        </is>
      </c>
      <c r="E198" t="inlineStr">
        <is>
          <t>ORSA</t>
        </is>
      </c>
      <c r="G198" t="n">
        <v>4.4</v>
      </c>
      <c r="H198" t="n">
        <v>0</v>
      </c>
      <c r="I198" t="n">
        <v>0</v>
      </c>
      <c r="J198" t="n">
        <v>0</v>
      </c>
      <c r="K198" t="n">
        <v>0</v>
      </c>
      <c r="L198" t="n">
        <v>0</v>
      </c>
      <c r="M198" t="n">
        <v>0</v>
      </c>
      <c r="N198" t="n">
        <v>0</v>
      </c>
      <c r="O198" t="n">
        <v>0</v>
      </c>
      <c r="P198" t="n">
        <v>0</v>
      </c>
      <c r="Q198" t="n">
        <v>0</v>
      </c>
      <c r="R198" s="2" t="inlineStr"/>
    </row>
    <row r="199" ht="15" customHeight="1">
      <c r="A199" t="inlineStr">
        <is>
          <t>A 8107-2024</t>
        </is>
      </c>
      <c r="B199" s="1" t="n">
        <v>45351</v>
      </c>
      <c r="C199" s="1" t="n">
        <v>45887</v>
      </c>
      <c r="D199" t="inlineStr">
        <is>
          <t>DALARNAS LÄN</t>
        </is>
      </c>
      <c r="E199" t="inlineStr">
        <is>
          <t>ORSA</t>
        </is>
      </c>
      <c r="G199" t="n">
        <v>13.6</v>
      </c>
      <c r="H199" t="n">
        <v>0</v>
      </c>
      <c r="I199" t="n">
        <v>0</v>
      </c>
      <c r="J199" t="n">
        <v>0</v>
      </c>
      <c r="K199" t="n">
        <v>0</v>
      </c>
      <c r="L199" t="n">
        <v>0</v>
      </c>
      <c r="M199" t="n">
        <v>0</v>
      </c>
      <c r="N199" t="n">
        <v>0</v>
      </c>
      <c r="O199" t="n">
        <v>0</v>
      </c>
      <c r="P199" t="n">
        <v>0</v>
      </c>
      <c r="Q199" t="n">
        <v>0</v>
      </c>
      <c r="R199" s="2" t="inlineStr"/>
    </row>
    <row r="200" ht="15" customHeight="1">
      <c r="A200" t="inlineStr">
        <is>
          <t>A 55280-2024</t>
        </is>
      </c>
      <c r="B200" s="1" t="n">
        <v>45621.62524305555</v>
      </c>
      <c r="C200" s="1" t="n">
        <v>45887</v>
      </c>
      <c r="D200" t="inlineStr">
        <is>
          <t>DALARNAS LÄN</t>
        </is>
      </c>
      <c r="E200" t="inlineStr">
        <is>
          <t>ORSA</t>
        </is>
      </c>
      <c r="G200" t="n">
        <v>2.3</v>
      </c>
      <c r="H200" t="n">
        <v>0</v>
      </c>
      <c r="I200" t="n">
        <v>0</v>
      </c>
      <c r="J200" t="n">
        <v>0</v>
      </c>
      <c r="K200" t="n">
        <v>0</v>
      </c>
      <c r="L200" t="n">
        <v>0</v>
      </c>
      <c r="M200" t="n">
        <v>0</v>
      </c>
      <c r="N200" t="n">
        <v>0</v>
      </c>
      <c r="O200" t="n">
        <v>0</v>
      </c>
      <c r="P200" t="n">
        <v>0</v>
      </c>
      <c r="Q200" t="n">
        <v>0</v>
      </c>
      <c r="R200" s="2" t="inlineStr"/>
    </row>
    <row r="201" ht="15" customHeight="1">
      <c r="A201" t="inlineStr">
        <is>
          <t>A 55580-2024</t>
        </is>
      </c>
      <c r="B201" s="1" t="n">
        <v>45622.56038194444</v>
      </c>
      <c r="C201" s="1" t="n">
        <v>45887</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34753-2025</t>
        </is>
      </c>
      <c r="B202" s="1" t="n">
        <v>45848.62001157407</v>
      </c>
      <c r="C202" s="1" t="n">
        <v>45887</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34769-2025</t>
        </is>
      </c>
      <c r="B203" s="1" t="n">
        <v>45848.6534837963</v>
      </c>
      <c r="C203" s="1" t="n">
        <v>45887</v>
      </c>
      <c r="D203" t="inlineStr">
        <is>
          <t>DALARNAS LÄN</t>
        </is>
      </c>
      <c r="E203" t="inlineStr">
        <is>
          <t>ORSA</t>
        </is>
      </c>
      <c r="G203" t="n">
        <v>0.4</v>
      </c>
      <c r="H203" t="n">
        <v>0</v>
      </c>
      <c r="I203" t="n">
        <v>0</v>
      </c>
      <c r="J203" t="n">
        <v>0</v>
      </c>
      <c r="K203" t="n">
        <v>0</v>
      </c>
      <c r="L203" t="n">
        <v>0</v>
      </c>
      <c r="M203" t="n">
        <v>0</v>
      </c>
      <c r="N203" t="n">
        <v>0</v>
      </c>
      <c r="O203" t="n">
        <v>0</v>
      </c>
      <c r="P203" t="n">
        <v>0</v>
      </c>
      <c r="Q203" t="n">
        <v>0</v>
      </c>
      <c r="R203" s="2" t="inlineStr"/>
    </row>
    <row r="204" ht="15" customHeight="1">
      <c r="A204" t="inlineStr">
        <is>
          <t>A 34777-2025</t>
        </is>
      </c>
      <c r="B204" s="1" t="n">
        <v>45848.66167824074</v>
      </c>
      <c r="C204" s="1" t="n">
        <v>45887</v>
      </c>
      <c r="D204" t="inlineStr">
        <is>
          <t>DALARNAS LÄN</t>
        </is>
      </c>
      <c r="E204" t="inlineStr">
        <is>
          <t>ORSA</t>
        </is>
      </c>
      <c r="G204" t="n">
        <v>0.4</v>
      </c>
      <c r="H204" t="n">
        <v>0</v>
      </c>
      <c r="I204" t="n">
        <v>0</v>
      </c>
      <c r="J204" t="n">
        <v>0</v>
      </c>
      <c r="K204" t="n">
        <v>0</v>
      </c>
      <c r="L204" t="n">
        <v>0</v>
      </c>
      <c r="M204" t="n">
        <v>0</v>
      </c>
      <c r="N204" t="n">
        <v>0</v>
      </c>
      <c r="O204" t="n">
        <v>0</v>
      </c>
      <c r="P204" t="n">
        <v>0</v>
      </c>
      <c r="Q204" t="n">
        <v>0</v>
      </c>
      <c r="R204" s="2" t="inlineStr"/>
    </row>
    <row r="205" ht="15" customHeight="1">
      <c r="A205" t="inlineStr">
        <is>
          <t>A 34794-2025</t>
        </is>
      </c>
      <c r="B205" s="1" t="n">
        <v>45848.73256944444</v>
      </c>
      <c r="C205" s="1" t="n">
        <v>45887</v>
      </c>
      <c r="D205" t="inlineStr">
        <is>
          <t>DALARNAS LÄN</t>
        </is>
      </c>
      <c r="E205" t="inlineStr">
        <is>
          <t>ORSA</t>
        </is>
      </c>
      <c r="G205" t="n">
        <v>2.3</v>
      </c>
      <c r="H205" t="n">
        <v>0</v>
      </c>
      <c r="I205" t="n">
        <v>0</v>
      </c>
      <c r="J205" t="n">
        <v>0</v>
      </c>
      <c r="K205" t="n">
        <v>0</v>
      </c>
      <c r="L205" t="n">
        <v>0</v>
      </c>
      <c r="M205" t="n">
        <v>0</v>
      </c>
      <c r="N205" t="n">
        <v>0</v>
      </c>
      <c r="O205" t="n">
        <v>0</v>
      </c>
      <c r="P205" t="n">
        <v>0</v>
      </c>
      <c r="Q205" t="n">
        <v>0</v>
      </c>
      <c r="R205" s="2" t="inlineStr"/>
    </row>
    <row r="206" ht="15" customHeight="1">
      <c r="A206" t="inlineStr">
        <is>
          <t>A 34744-2025</t>
        </is>
      </c>
      <c r="B206" s="1" t="n">
        <v>45848.6125</v>
      </c>
      <c r="C206" s="1" t="n">
        <v>45887</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34764-2025</t>
        </is>
      </c>
      <c r="B207" s="1" t="n">
        <v>45848.64788194445</v>
      </c>
      <c r="C207" s="1" t="n">
        <v>45887</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34779-2025</t>
        </is>
      </c>
      <c r="B208" s="1" t="n">
        <v>45848.66987268518</v>
      </c>
      <c r="C208" s="1" t="n">
        <v>45887</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34781-2025</t>
        </is>
      </c>
      <c r="B209" s="1" t="n">
        <v>45848.67424768519</v>
      </c>
      <c r="C209" s="1" t="n">
        <v>45887</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56803-2024</t>
        </is>
      </c>
      <c r="B210" s="1" t="n">
        <v>45628.47212962963</v>
      </c>
      <c r="C210" s="1" t="n">
        <v>45887</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47126-2021</t>
        </is>
      </c>
      <c r="B211" s="1" t="n">
        <v>44446.78168981482</v>
      </c>
      <c r="C211" s="1" t="n">
        <v>45887</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45887</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30290-2024</t>
        </is>
      </c>
      <c r="B213" s="1" t="n">
        <v>45490.64681712963</v>
      </c>
      <c r="C213" s="1" t="n">
        <v>45887</v>
      </c>
      <c r="D213" t="inlineStr">
        <is>
          <t>DALARNAS LÄN</t>
        </is>
      </c>
      <c r="E213" t="inlineStr">
        <is>
          <t>ORSA</t>
        </is>
      </c>
      <c r="F213" t="inlineStr">
        <is>
          <t>Bergvik skog öst AB</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53717-2024</t>
        </is>
      </c>
      <c r="B214" s="1" t="n">
        <v>45615.43141203704</v>
      </c>
      <c r="C214" s="1" t="n">
        <v>45887</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612-2025</t>
        </is>
      </c>
      <c r="B215" s="1" t="n">
        <v>45660</v>
      </c>
      <c r="C215" s="1" t="n">
        <v>45887</v>
      </c>
      <c r="D215" t="inlineStr">
        <is>
          <t>DALARNAS LÄN</t>
        </is>
      </c>
      <c r="E215" t="inlineStr">
        <is>
          <t>ORSA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25172-2022</t>
        </is>
      </c>
      <c r="B216" s="1" t="n">
        <v>44729.58356481481</v>
      </c>
      <c r="C216" s="1" t="n">
        <v>45887</v>
      </c>
      <c r="D216" t="inlineStr">
        <is>
          <t>DALARNAS LÄN</t>
        </is>
      </c>
      <c r="E216" t="inlineStr">
        <is>
          <t>ORSA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986-2025</t>
        </is>
      </c>
      <c r="B217" s="1" t="n">
        <v>45666.42952546296</v>
      </c>
      <c r="C217" s="1" t="n">
        <v>45887</v>
      </c>
      <c r="D217" t="inlineStr">
        <is>
          <t>DALARNAS LÄN</t>
        </is>
      </c>
      <c r="E217" t="inlineStr">
        <is>
          <t>ORSA</t>
        </is>
      </c>
      <c r="G217" t="n">
        <v>5.7</v>
      </c>
      <c r="H217" t="n">
        <v>0</v>
      </c>
      <c r="I217" t="n">
        <v>0</v>
      </c>
      <c r="J217" t="n">
        <v>0</v>
      </c>
      <c r="K217" t="n">
        <v>0</v>
      </c>
      <c r="L217" t="n">
        <v>0</v>
      </c>
      <c r="M217" t="n">
        <v>0</v>
      </c>
      <c r="N217" t="n">
        <v>0</v>
      </c>
      <c r="O217" t="n">
        <v>0</v>
      </c>
      <c r="P217" t="n">
        <v>0</v>
      </c>
      <c r="Q217" t="n">
        <v>0</v>
      </c>
      <c r="R217" s="2" t="inlineStr"/>
    </row>
    <row r="218" ht="15" customHeight="1">
      <c r="A218" t="inlineStr">
        <is>
          <t>A 55338-2022</t>
        </is>
      </c>
      <c r="B218" s="1" t="n">
        <v>44887.45185185185</v>
      </c>
      <c r="C218" s="1" t="n">
        <v>45887</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36682-2024</t>
        </is>
      </c>
      <c r="B219" s="1" t="n">
        <v>45537.65519675926</v>
      </c>
      <c r="C219" s="1" t="n">
        <v>45887</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30458-2023</t>
        </is>
      </c>
      <c r="B220" s="1" t="n">
        <v>45111</v>
      </c>
      <c r="C220" s="1" t="n">
        <v>45887</v>
      </c>
      <c r="D220" t="inlineStr">
        <is>
          <t>DALARNAS LÄN</t>
        </is>
      </c>
      <c r="E220" t="inlineStr">
        <is>
          <t>ORSA</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42238-2023</t>
        </is>
      </c>
      <c r="B221" s="1" t="n">
        <v>45180.34207175926</v>
      </c>
      <c r="C221" s="1" t="n">
        <v>45887</v>
      </c>
      <c r="D221" t="inlineStr">
        <is>
          <t>DALARNAS LÄN</t>
        </is>
      </c>
      <c r="E221" t="inlineStr">
        <is>
          <t>ORSA</t>
        </is>
      </c>
      <c r="F221" t="inlineStr">
        <is>
          <t>Allmännings- och besparingsskogar</t>
        </is>
      </c>
      <c r="G221" t="n">
        <v>0.5</v>
      </c>
      <c r="H221" t="n">
        <v>0</v>
      </c>
      <c r="I221" t="n">
        <v>0</v>
      </c>
      <c r="J221" t="n">
        <v>0</v>
      </c>
      <c r="K221" t="n">
        <v>0</v>
      </c>
      <c r="L221" t="n">
        <v>0</v>
      </c>
      <c r="M221" t="n">
        <v>0</v>
      </c>
      <c r="N221" t="n">
        <v>0</v>
      </c>
      <c r="O221" t="n">
        <v>0</v>
      </c>
      <c r="P221" t="n">
        <v>0</v>
      </c>
      <c r="Q221" t="n">
        <v>0</v>
      </c>
      <c r="R221" s="2" t="inlineStr"/>
    </row>
    <row r="222" ht="15" customHeight="1">
      <c r="A222" t="inlineStr">
        <is>
          <t>A 20302-2023</t>
        </is>
      </c>
      <c r="B222" s="1" t="n">
        <v>45056</v>
      </c>
      <c r="C222" s="1" t="n">
        <v>45887</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4738-2025</t>
        </is>
      </c>
      <c r="B223" s="1" t="n">
        <v>45688</v>
      </c>
      <c r="C223" s="1" t="n">
        <v>45887</v>
      </c>
      <c r="D223" t="inlineStr">
        <is>
          <t>DALARNAS LÄN</t>
        </is>
      </c>
      <c r="E223" t="inlineStr">
        <is>
          <t>ORSA</t>
        </is>
      </c>
      <c r="G223" t="n">
        <v>3.7</v>
      </c>
      <c r="H223" t="n">
        <v>0</v>
      </c>
      <c r="I223" t="n">
        <v>0</v>
      </c>
      <c r="J223" t="n">
        <v>0</v>
      </c>
      <c r="K223" t="n">
        <v>0</v>
      </c>
      <c r="L223" t="n">
        <v>0</v>
      </c>
      <c r="M223" t="n">
        <v>0</v>
      </c>
      <c r="N223" t="n">
        <v>0</v>
      </c>
      <c r="O223" t="n">
        <v>0</v>
      </c>
      <c r="P223" t="n">
        <v>0</v>
      </c>
      <c r="Q223" t="n">
        <v>0</v>
      </c>
      <c r="R223" s="2" t="inlineStr"/>
    </row>
    <row r="224" ht="15" customHeight="1">
      <c r="A224" t="inlineStr">
        <is>
          <t>A 30291-2024</t>
        </is>
      </c>
      <c r="B224" s="1" t="n">
        <v>45490.64978009259</v>
      </c>
      <c r="C224" s="1" t="n">
        <v>45887</v>
      </c>
      <c r="D224" t="inlineStr">
        <is>
          <t>DALARNAS LÄN</t>
        </is>
      </c>
      <c r="E224" t="inlineStr">
        <is>
          <t>ORSA</t>
        </is>
      </c>
      <c r="F224" t="inlineStr">
        <is>
          <t>Bergvik skog öst AB</t>
        </is>
      </c>
      <c r="G224" t="n">
        <v>7.5</v>
      </c>
      <c r="H224" t="n">
        <v>0</v>
      </c>
      <c r="I224" t="n">
        <v>0</v>
      </c>
      <c r="J224" t="n">
        <v>0</v>
      </c>
      <c r="K224" t="n">
        <v>0</v>
      </c>
      <c r="L224" t="n">
        <v>0</v>
      </c>
      <c r="M224" t="n">
        <v>0</v>
      </c>
      <c r="N224" t="n">
        <v>0</v>
      </c>
      <c r="O224" t="n">
        <v>0</v>
      </c>
      <c r="P224" t="n">
        <v>0</v>
      </c>
      <c r="Q224" t="n">
        <v>0</v>
      </c>
      <c r="R224" s="2" t="inlineStr"/>
    </row>
    <row r="225" ht="15" customHeight="1">
      <c r="A225" t="inlineStr">
        <is>
          <t>A 26741-2025</t>
        </is>
      </c>
      <c r="B225" s="1" t="n">
        <v>45810.52444444445</v>
      </c>
      <c r="C225" s="1" t="n">
        <v>45887</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7534-2025</t>
        </is>
      </c>
      <c r="B226" s="1" t="n">
        <v>45705.56287037037</v>
      </c>
      <c r="C226" s="1" t="n">
        <v>45887</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37836-2024</t>
        </is>
      </c>
      <c r="B227" s="1" t="n">
        <v>45544.35747685185</v>
      </c>
      <c r="C227" s="1" t="n">
        <v>45887</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28974-2024</t>
        </is>
      </c>
      <c r="B228" s="1" t="n">
        <v>45481.45445601852</v>
      </c>
      <c r="C228" s="1" t="n">
        <v>45887</v>
      </c>
      <c r="D228" t="inlineStr">
        <is>
          <t>DALARNAS LÄN</t>
        </is>
      </c>
      <c r="E228" t="inlineStr">
        <is>
          <t>ORSA</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34964-2025</t>
        </is>
      </c>
      <c r="B229" s="1" t="n">
        <v>45849.6330787037</v>
      </c>
      <c r="C229" s="1" t="n">
        <v>45887</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31026-2023</t>
        </is>
      </c>
      <c r="B230" s="1" t="n">
        <v>45113.5812962963</v>
      </c>
      <c r="C230" s="1" t="n">
        <v>45887</v>
      </c>
      <c r="D230" t="inlineStr">
        <is>
          <t>DALARNAS LÄN</t>
        </is>
      </c>
      <c r="E230" t="inlineStr">
        <is>
          <t>ORSA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21446-2024</t>
        </is>
      </c>
      <c r="B231" s="1" t="n">
        <v>45441.45840277777</v>
      </c>
      <c r="C231" s="1" t="n">
        <v>45887</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6490-2025</t>
        </is>
      </c>
      <c r="B232" s="1" t="n">
        <v>45699</v>
      </c>
      <c r="C232" s="1" t="n">
        <v>45887</v>
      </c>
      <c r="D232" t="inlineStr">
        <is>
          <t>DALARNAS LÄN</t>
        </is>
      </c>
      <c r="E232" t="inlineStr">
        <is>
          <t>ORSA</t>
        </is>
      </c>
      <c r="G232" t="n">
        <v>7.5</v>
      </c>
      <c r="H232" t="n">
        <v>0</v>
      </c>
      <c r="I232" t="n">
        <v>0</v>
      </c>
      <c r="J232" t="n">
        <v>0</v>
      </c>
      <c r="K232" t="n">
        <v>0</v>
      </c>
      <c r="L232" t="n">
        <v>0</v>
      </c>
      <c r="M232" t="n">
        <v>0</v>
      </c>
      <c r="N232" t="n">
        <v>0</v>
      </c>
      <c r="O232" t="n">
        <v>0</v>
      </c>
      <c r="P232" t="n">
        <v>0</v>
      </c>
      <c r="Q232" t="n">
        <v>0</v>
      </c>
      <c r="R232" s="2" t="inlineStr"/>
    </row>
    <row r="233" ht="15" customHeight="1">
      <c r="A233" t="inlineStr">
        <is>
          <t>A 27221-2025</t>
        </is>
      </c>
      <c r="B233" s="1" t="n">
        <v>45812.42304398148</v>
      </c>
      <c r="C233" s="1" t="n">
        <v>45887</v>
      </c>
      <c r="D233" t="inlineStr">
        <is>
          <t>DALARNAS LÄN</t>
        </is>
      </c>
      <c r="E233" t="inlineStr">
        <is>
          <t>ORSA</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27240-2025</t>
        </is>
      </c>
      <c r="B234" s="1" t="n">
        <v>45812.45170138889</v>
      </c>
      <c r="C234" s="1" t="n">
        <v>45887</v>
      </c>
      <c r="D234" t="inlineStr">
        <is>
          <t>DALARNAS LÄN</t>
        </is>
      </c>
      <c r="E234" t="inlineStr">
        <is>
          <t>ORSA</t>
        </is>
      </c>
      <c r="F234" t="inlineStr">
        <is>
          <t>Bergvik skog öst AB</t>
        </is>
      </c>
      <c r="G234" t="n">
        <v>6.8</v>
      </c>
      <c r="H234" t="n">
        <v>0</v>
      </c>
      <c r="I234" t="n">
        <v>0</v>
      </c>
      <c r="J234" t="n">
        <v>0</v>
      </c>
      <c r="K234" t="n">
        <v>0</v>
      </c>
      <c r="L234" t="n">
        <v>0</v>
      </c>
      <c r="M234" t="n">
        <v>0</v>
      </c>
      <c r="N234" t="n">
        <v>0</v>
      </c>
      <c r="O234" t="n">
        <v>0</v>
      </c>
      <c r="P234" t="n">
        <v>0</v>
      </c>
      <c r="Q234" t="n">
        <v>0</v>
      </c>
      <c r="R234" s="2" t="inlineStr"/>
    </row>
    <row r="235" ht="15" customHeight="1">
      <c r="A235" t="inlineStr">
        <is>
          <t>A 32125-2024</t>
        </is>
      </c>
      <c r="B235" s="1" t="n">
        <v>45511</v>
      </c>
      <c r="C235" s="1" t="n">
        <v>45887</v>
      </c>
      <c r="D235" t="inlineStr">
        <is>
          <t>DALARNAS LÄN</t>
        </is>
      </c>
      <c r="E235" t="inlineStr">
        <is>
          <t>ORSA</t>
        </is>
      </c>
      <c r="F235" t="inlineStr">
        <is>
          <t>Allmännings- och besparingsskogar</t>
        </is>
      </c>
      <c r="G235" t="n">
        <v>5.2</v>
      </c>
      <c r="H235" t="n">
        <v>0</v>
      </c>
      <c r="I235" t="n">
        <v>0</v>
      </c>
      <c r="J235" t="n">
        <v>0</v>
      </c>
      <c r="K235" t="n">
        <v>0</v>
      </c>
      <c r="L235" t="n">
        <v>0</v>
      </c>
      <c r="M235" t="n">
        <v>0</v>
      </c>
      <c r="N235" t="n">
        <v>0</v>
      </c>
      <c r="O235" t="n">
        <v>0</v>
      </c>
      <c r="P235" t="n">
        <v>0</v>
      </c>
      <c r="Q235" t="n">
        <v>0</v>
      </c>
      <c r="R235" s="2" t="inlineStr"/>
    </row>
    <row r="236" ht="15" customHeight="1">
      <c r="A236" t="inlineStr">
        <is>
          <t>A 27313-2025</t>
        </is>
      </c>
      <c r="B236" s="1" t="n">
        <v>45812.58365740741</v>
      </c>
      <c r="C236" s="1" t="n">
        <v>45887</v>
      </c>
      <c r="D236" t="inlineStr">
        <is>
          <t>DALARNAS LÄN</t>
        </is>
      </c>
      <c r="E236" t="inlineStr">
        <is>
          <t>ORSA</t>
        </is>
      </c>
      <c r="F236" t="inlineStr">
        <is>
          <t>Allmännings- och besparingsskogar</t>
        </is>
      </c>
      <c r="G236" t="n">
        <v>1.4</v>
      </c>
      <c r="H236" t="n">
        <v>0</v>
      </c>
      <c r="I236" t="n">
        <v>0</v>
      </c>
      <c r="J236" t="n">
        <v>0</v>
      </c>
      <c r="K236" t="n">
        <v>0</v>
      </c>
      <c r="L236" t="n">
        <v>0</v>
      </c>
      <c r="M236" t="n">
        <v>0</v>
      </c>
      <c r="N236" t="n">
        <v>0</v>
      </c>
      <c r="O236" t="n">
        <v>0</v>
      </c>
      <c r="P236" t="n">
        <v>0</v>
      </c>
      <c r="Q236" t="n">
        <v>0</v>
      </c>
      <c r="R236" s="2" t="inlineStr"/>
    </row>
    <row r="237" ht="15" customHeight="1">
      <c r="A237" t="inlineStr">
        <is>
          <t>A 27190-2025</t>
        </is>
      </c>
      <c r="B237" s="1" t="n">
        <v>45812.37025462963</v>
      </c>
      <c r="C237" s="1" t="n">
        <v>45887</v>
      </c>
      <c r="D237" t="inlineStr">
        <is>
          <t>DALARNAS LÄN</t>
        </is>
      </c>
      <c r="E237" t="inlineStr">
        <is>
          <t>ORSA</t>
        </is>
      </c>
      <c r="F237" t="inlineStr">
        <is>
          <t>Bergvik skog öst AB</t>
        </is>
      </c>
      <c r="G237" t="n">
        <v>4.9</v>
      </c>
      <c r="H237" t="n">
        <v>0</v>
      </c>
      <c r="I237" t="n">
        <v>0</v>
      </c>
      <c r="J237" t="n">
        <v>0</v>
      </c>
      <c r="K237" t="n">
        <v>0</v>
      </c>
      <c r="L237" t="n">
        <v>0</v>
      </c>
      <c r="M237" t="n">
        <v>0</v>
      </c>
      <c r="N237" t="n">
        <v>0</v>
      </c>
      <c r="O237" t="n">
        <v>0</v>
      </c>
      <c r="P237" t="n">
        <v>0</v>
      </c>
      <c r="Q237" t="n">
        <v>0</v>
      </c>
      <c r="R237" s="2" t="inlineStr"/>
    </row>
    <row r="238" ht="15" customHeight="1">
      <c r="A238" t="inlineStr">
        <is>
          <t>A 41291-2021</t>
        </is>
      </c>
      <c r="B238" s="1" t="n">
        <v>44424</v>
      </c>
      <c r="C238" s="1" t="n">
        <v>45887</v>
      </c>
      <c r="D238" t="inlineStr">
        <is>
          <t>DALARNAS LÄN</t>
        </is>
      </c>
      <c r="E238" t="inlineStr">
        <is>
          <t>ORSA</t>
        </is>
      </c>
      <c r="G238" t="n">
        <v>2</v>
      </c>
      <c r="H238" t="n">
        <v>0</v>
      </c>
      <c r="I238" t="n">
        <v>0</v>
      </c>
      <c r="J238" t="n">
        <v>0</v>
      </c>
      <c r="K238" t="n">
        <v>0</v>
      </c>
      <c r="L238" t="n">
        <v>0</v>
      </c>
      <c r="M238" t="n">
        <v>0</v>
      </c>
      <c r="N238" t="n">
        <v>0</v>
      </c>
      <c r="O238" t="n">
        <v>0</v>
      </c>
      <c r="P238" t="n">
        <v>0</v>
      </c>
      <c r="Q238" t="n">
        <v>0</v>
      </c>
      <c r="R238" s="2" t="inlineStr"/>
    </row>
    <row r="239" ht="15" customHeight="1">
      <c r="A239" t="inlineStr">
        <is>
          <t>A 51303-2023</t>
        </is>
      </c>
      <c r="B239" s="1" t="n">
        <v>45219.55793981482</v>
      </c>
      <c r="C239" s="1" t="n">
        <v>45887</v>
      </c>
      <c r="D239" t="inlineStr">
        <is>
          <t>DALARNAS LÄN</t>
        </is>
      </c>
      <c r="E239" t="inlineStr">
        <is>
          <t>ORSA</t>
        </is>
      </c>
      <c r="G239" t="n">
        <v>1.8</v>
      </c>
      <c r="H239" t="n">
        <v>0</v>
      </c>
      <c r="I239" t="n">
        <v>0</v>
      </c>
      <c r="J239" t="n">
        <v>0</v>
      </c>
      <c r="K239" t="n">
        <v>0</v>
      </c>
      <c r="L239" t="n">
        <v>0</v>
      </c>
      <c r="M239" t="n">
        <v>0</v>
      </c>
      <c r="N239" t="n">
        <v>0</v>
      </c>
      <c r="O239" t="n">
        <v>0</v>
      </c>
      <c r="P239" t="n">
        <v>0</v>
      </c>
      <c r="Q239" t="n">
        <v>0</v>
      </c>
      <c r="R239" s="2" t="inlineStr"/>
    </row>
    <row r="240" ht="15" customHeight="1">
      <c r="A240" t="inlineStr">
        <is>
          <t>A 63371-2023</t>
        </is>
      </c>
      <c r="B240" s="1" t="n">
        <v>45274.47642361111</v>
      </c>
      <c r="C240" s="1" t="n">
        <v>45887</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44711.60145833333</v>
      </c>
      <c r="C241" s="1" t="n">
        <v>45887</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67842-2020</t>
        </is>
      </c>
      <c r="B242" s="1" t="n">
        <v>44182</v>
      </c>
      <c r="C242" s="1" t="n">
        <v>45887</v>
      </c>
      <c r="D242" t="inlineStr">
        <is>
          <t>DALARNAS LÄN</t>
        </is>
      </c>
      <c r="E242" t="inlineStr">
        <is>
          <t>ORSA</t>
        </is>
      </c>
      <c r="G242" t="n">
        <v>10.6</v>
      </c>
      <c r="H242" t="n">
        <v>0</v>
      </c>
      <c r="I242" t="n">
        <v>0</v>
      </c>
      <c r="J242" t="n">
        <v>0</v>
      </c>
      <c r="K242" t="n">
        <v>0</v>
      </c>
      <c r="L242" t="n">
        <v>0</v>
      </c>
      <c r="M242" t="n">
        <v>0</v>
      </c>
      <c r="N242" t="n">
        <v>0</v>
      </c>
      <c r="O242" t="n">
        <v>0</v>
      </c>
      <c r="P242" t="n">
        <v>0</v>
      </c>
      <c r="Q242" t="n">
        <v>0</v>
      </c>
      <c r="R242" s="2" t="inlineStr"/>
    </row>
    <row r="243" ht="15" customHeight="1">
      <c r="A243" t="inlineStr">
        <is>
          <t>A 50999-2021</t>
        </is>
      </c>
      <c r="B243" s="1" t="n">
        <v>44460.85565972222</v>
      </c>
      <c r="C243" s="1" t="n">
        <v>45887</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28207-2025</t>
        </is>
      </c>
      <c r="B244" s="1" t="n">
        <v>45818.44871527778</v>
      </c>
      <c r="C244" s="1" t="n">
        <v>45887</v>
      </c>
      <c r="D244" t="inlineStr">
        <is>
          <t>DALARNAS LÄN</t>
        </is>
      </c>
      <c r="E244" t="inlineStr">
        <is>
          <t>ORSA</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35617-2025</t>
        </is>
      </c>
      <c r="B245" s="1" t="n">
        <v>45859.4103125</v>
      </c>
      <c r="C245" s="1" t="n">
        <v>45887</v>
      </c>
      <c r="D245" t="inlineStr">
        <is>
          <t>DALARNAS LÄN</t>
        </is>
      </c>
      <c r="E245" t="inlineStr">
        <is>
          <t>ORSA</t>
        </is>
      </c>
      <c r="F245" t="inlineStr">
        <is>
          <t>Bergvik skog öst AB</t>
        </is>
      </c>
      <c r="G245" t="n">
        <v>2.6</v>
      </c>
      <c r="H245" t="n">
        <v>0</v>
      </c>
      <c r="I245" t="n">
        <v>0</v>
      </c>
      <c r="J245" t="n">
        <v>0</v>
      </c>
      <c r="K245" t="n">
        <v>0</v>
      </c>
      <c r="L245" t="n">
        <v>0</v>
      </c>
      <c r="M245" t="n">
        <v>0</v>
      </c>
      <c r="N245" t="n">
        <v>0</v>
      </c>
      <c r="O245" t="n">
        <v>0</v>
      </c>
      <c r="P245" t="n">
        <v>0</v>
      </c>
      <c r="Q245" t="n">
        <v>0</v>
      </c>
      <c r="R245" s="2" t="inlineStr"/>
    </row>
    <row r="246" ht="15" customHeight="1">
      <c r="A246" t="inlineStr">
        <is>
          <t>A 27866-2025</t>
        </is>
      </c>
      <c r="B246" s="1" t="n">
        <v>45817.4262962963</v>
      </c>
      <c r="C246" s="1" t="n">
        <v>45887</v>
      </c>
      <c r="D246" t="inlineStr">
        <is>
          <t>DALARNAS LÄN</t>
        </is>
      </c>
      <c r="E246" t="inlineStr">
        <is>
          <t>ORSA</t>
        </is>
      </c>
      <c r="F246" t="inlineStr">
        <is>
          <t>Allmännings- och besparingsskogar</t>
        </is>
      </c>
      <c r="G246" t="n">
        <v>6</v>
      </c>
      <c r="H246" t="n">
        <v>0</v>
      </c>
      <c r="I246" t="n">
        <v>0</v>
      </c>
      <c r="J246" t="n">
        <v>0</v>
      </c>
      <c r="K246" t="n">
        <v>0</v>
      </c>
      <c r="L246" t="n">
        <v>0</v>
      </c>
      <c r="M246" t="n">
        <v>0</v>
      </c>
      <c r="N246" t="n">
        <v>0</v>
      </c>
      <c r="O246" t="n">
        <v>0</v>
      </c>
      <c r="P246" t="n">
        <v>0</v>
      </c>
      <c r="Q246" t="n">
        <v>0</v>
      </c>
      <c r="R246" s="2" t="inlineStr"/>
    </row>
    <row r="247" ht="15" customHeight="1">
      <c r="A247" t="inlineStr">
        <is>
          <t>A 41295-2021</t>
        </is>
      </c>
      <c r="B247" s="1" t="n">
        <v>44424</v>
      </c>
      <c r="C247" s="1" t="n">
        <v>45887</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51563-2023</t>
        </is>
      </c>
      <c r="B248" s="1" t="n">
        <v>45222</v>
      </c>
      <c r="C248" s="1" t="n">
        <v>45887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27987-2025</t>
        </is>
      </c>
      <c r="B249" s="1" t="n">
        <v>45817.58361111111</v>
      </c>
      <c r="C249" s="1" t="n">
        <v>45887</v>
      </c>
      <c r="D249" t="inlineStr">
        <is>
          <t>DALARNAS LÄN</t>
        </is>
      </c>
      <c r="E249" t="inlineStr">
        <is>
          <t>ORSA</t>
        </is>
      </c>
      <c r="F249" t="inlineStr">
        <is>
          <t>Allmännings- och besparingsskogar</t>
        </is>
      </c>
      <c r="G249" t="n">
        <v>2.5</v>
      </c>
      <c r="H249" t="n">
        <v>0</v>
      </c>
      <c r="I249" t="n">
        <v>0</v>
      </c>
      <c r="J249" t="n">
        <v>0</v>
      </c>
      <c r="K249" t="n">
        <v>0</v>
      </c>
      <c r="L249" t="n">
        <v>0</v>
      </c>
      <c r="M249" t="n">
        <v>0</v>
      </c>
      <c r="N249" t="n">
        <v>0</v>
      </c>
      <c r="O249" t="n">
        <v>0</v>
      </c>
      <c r="P249" t="n">
        <v>0</v>
      </c>
      <c r="Q249" t="n">
        <v>0</v>
      </c>
      <c r="R249" s="2" t="inlineStr"/>
    </row>
    <row r="250" ht="15" customHeight="1">
      <c r="A250" t="inlineStr">
        <is>
          <t>A 27885-2025</t>
        </is>
      </c>
      <c r="B250" s="1" t="n">
        <v>45817.45034722222</v>
      </c>
      <c r="C250" s="1" t="n">
        <v>45887</v>
      </c>
      <c r="D250" t="inlineStr">
        <is>
          <t>DALARNAS LÄN</t>
        </is>
      </c>
      <c r="E250" t="inlineStr">
        <is>
          <t>ORSA</t>
        </is>
      </c>
      <c r="F250" t="inlineStr">
        <is>
          <t>Allmännings- och besparingsskogar</t>
        </is>
      </c>
      <c r="G250" t="n">
        <v>3.4</v>
      </c>
      <c r="H250" t="n">
        <v>0</v>
      </c>
      <c r="I250" t="n">
        <v>0</v>
      </c>
      <c r="J250" t="n">
        <v>0</v>
      </c>
      <c r="K250" t="n">
        <v>0</v>
      </c>
      <c r="L250" t="n">
        <v>0</v>
      </c>
      <c r="M250" t="n">
        <v>0</v>
      </c>
      <c r="N250" t="n">
        <v>0</v>
      </c>
      <c r="O250" t="n">
        <v>0</v>
      </c>
      <c r="P250" t="n">
        <v>0</v>
      </c>
      <c r="Q250" t="n">
        <v>0</v>
      </c>
      <c r="R250" s="2" t="inlineStr"/>
    </row>
    <row r="251" ht="15" customHeight="1">
      <c r="A251" t="inlineStr">
        <is>
          <t>A 28317-2025</t>
        </is>
      </c>
      <c r="B251" s="1" t="n">
        <v>45818.6300462963</v>
      </c>
      <c r="C251" s="1" t="n">
        <v>45887</v>
      </c>
      <c r="D251" t="inlineStr">
        <is>
          <t>DALARNAS LÄN</t>
        </is>
      </c>
      <c r="E251" t="inlineStr">
        <is>
          <t>ORSA</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35619-2025</t>
        </is>
      </c>
      <c r="B252" s="1" t="n">
        <v>45859.4140162037</v>
      </c>
      <c r="C252" s="1" t="n">
        <v>45887</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34169-2023</t>
        </is>
      </c>
      <c r="B253" s="1" t="n">
        <v>45138.3071412037</v>
      </c>
      <c r="C253" s="1" t="n">
        <v>45887</v>
      </c>
      <c r="D253" t="inlineStr">
        <is>
          <t>DALARNAS LÄN</t>
        </is>
      </c>
      <c r="E253" t="inlineStr">
        <is>
          <t>ORSA</t>
        </is>
      </c>
      <c r="F253" t="inlineStr">
        <is>
          <t>Allmännings- och besparingsskogar</t>
        </is>
      </c>
      <c r="G253" t="n">
        <v>0.7</v>
      </c>
      <c r="H253" t="n">
        <v>0</v>
      </c>
      <c r="I253" t="n">
        <v>0</v>
      </c>
      <c r="J253" t="n">
        <v>0</v>
      </c>
      <c r="K253" t="n">
        <v>0</v>
      </c>
      <c r="L253" t="n">
        <v>0</v>
      </c>
      <c r="M253" t="n">
        <v>0</v>
      </c>
      <c r="N253" t="n">
        <v>0</v>
      </c>
      <c r="O253" t="n">
        <v>0</v>
      </c>
      <c r="P253" t="n">
        <v>0</v>
      </c>
      <c r="Q253" t="n">
        <v>0</v>
      </c>
      <c r="R253" s="2" t="inlineStr"/>
    </row>
    <row r="254" ht="15" customHeight="1">
      <c r="A254" t="inlineStr">
        <is>
          <t>A 28609-2025</t>
        </is>
      </c>
      <c r="B254" s="1" t="n">
        <v>45819.60303240741</v>
      </c>
      <c r="C254" s="1" t="n">
        <v>45887</v>
      </c>
      <c r="D254" t="inlineStr">
        <is>
          <t>DALARNAS LÄN</t>
        </is>
      </c>
      <c r="E254" t="inlineStr">
        <is>
          <t>ORSA</t>
        </is>
      </c>
      <c r="F254" t="inlineStr">
        <is>
          <t>Bergvik skog öst AB</t>
        </is>
      </c>
      <c r="G254" t="n">
        <v>9.1</v>
      </c>
      <c r="H254" t="n">
        <v>0</v>
      </c>
      <c r="I254" t="n">
        <v>0</v>
      </c>
      <c r="J254" t="n">
        <v>0</v>
      </c>
      <c r="K254" t="n">
        <v>0</v>
      </c>
      <c r="L254" t="n">
        <v>0</v>
      </c>
      <c r="M254" t="n">
        <v>0</v>
      </c>
      <c r="N254" t="n">
        <v>0</v>
      </c>
      <c r="O254" t="n">
        <v>0</v>
      </c>
      <c r="P254" t="n">
        <v>0</v>
      </c>
      <c r="Q254" t="n">
        <v>0</v>
      </c>
      <c r="R254" s="2" t="inlineStr"/>
    </row>
    <row r="255" ht="15" customHeight="1">
      <c r="A255" t="inlineStr">
        <is>
          <t>A 58793-2023</t>
        </is>
      </c>
      <c r="B255" s="1" t="n">
        <v>45252.34607638889</v>
      </c>
      <c r="C255" s="1" t="n">
        <v>45887</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61685-2024</t>
        </is>
      </c>
      <c r="B256" s="1" t="n">
        <v>45647.56972222222</v>
      </c>
      <c r="C256" s="1" t="n">
        <v>45887</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37981-2024</t>
        </is>
      </c>
      <c r="B257" s="1" t="n">
        <v>45544</v>
      </c>
      <c r="C257" s="1" t="n">
        <v>45887</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28635-2025</t>
        </is>
      </c>
      <c r="B258" s="1" t="n">
        <v>45819.63112268518</v>
      </c>
      <c r="C258" s="1" t="n">
        <v>45887</v>
      </c>
      <c r="D258" t="inlineStr">
        <is>
          <t>DALARNAS LÄN</t>
        </is>
      </c>
      <c r="E258" t="inlineStr">
        <is>
          <t>ORSA</t>
        </is>
      </c>
      <c r="F258" t="inlineStr">
        <is>
          <t>Bergvik skog öst AB</t>
        </is>
      </c>
      <c r="G258" t="n">
        <v>1.6</v>
      </c>
      <c r="H258" t="n">
        <v>0</v>
      </c>
      <c r="I258" t="n">
        <v>0</v>
      </c>
      <c r="J258" t="n">
        <v>0</v>
      </c>
      <c r="K258" t="n">
        <v>0</v>
      </c>
      <c r="L258" t="n">
        <v>0</v>
      </c>
      <c r="M258" t="n">
        <v>0</v>
      </c>
      <c r="N258" t="n">
        <v>0</v>
      </c>
      <c r="O258" t="n">
        <v>0</v>
      </c>
      <c r="P258" t="n">
        <v>0</v>
      </c>
      <c r="Q258" t="n">
        <v>0</v>
      </c>
      <c r="R258" s="2" t="inlineStr"/>
    </row>
    <row r="259" ht="15" customHeight="1">
      <c r="A259" t="inlineStr">
        <is>
          <t>A 35935-2025</t>
        </is>
      </c>
      <c r="B259" s="1" t="n">
        <v>45862.6353125</v>
      </c>
      <c r="C259" s="1" t="n">
        <v>45887</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35939-2025</t>
        </is>
      </c>
      <c r="B260" s="1" t="n">
        <v>45862.64581018518</v>
      </c>
      <c r="C260" s="1" t="n">
        <v>45887</v>
      </c>
      <c r="D260" t="inlineStr">
        <is>
          <t>DALARNAS LÄN</t>
        </is>
      </c>
      <c r="E260" t="inlineStr">
        <is>
          <t>ORSA</t>
        </is>
      </c>
      <c r="G260" t="n">
        <v>5.6</v>
      </c>
      <c r="H260" t="n">
        <v>0</v>
      </c>
      <c r="I260" t="n">
        <v>0</v>
      </c>
      <c r="J260" t="n">
        <v>0</v>
      </c>
      <c r="K260" t="n">
        <v>0</v>
      </c>
      <c r="L260" t="n">
        <v>0</v>
      </c>
      <c r="M260" t="n">
        <v>0</v>
      </c>
      <c r="N260" t="n">
        <v>0</v>
      </c>
      <c r="O260" t="n">
        <v>0</v>
      </c>
      <c r="P260" t="n">
        <v>0</v>
      </c>
      <c r="Q260" t="n">
        <v>0</v>
      </c>
      <c r="R260" s="2" t="inlineStr"/>
    </row>
    <row r="261" ht="15" customHeight="1">
      <c r="A261" t="inlineStr">
        <is>
          <t>A 47778-2021</t>
        </is>
      </c>
      <c r="B261" s="1" t="n">
        <v>44448</v>
      </c>
      <c r="C261" s="1" t="n">
        <v>45887</v>
      </c>
      <c r="D261" t="inlineStr">
        <is>
          <t>DALARNAS LÄN</t>
        </is>
      </c>
      <c r="E261" t="inlineStr">
        <is>
          <t>ORSA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35933-2025</t>
        </is>
      </c>
      <c r="B262" s="1" t="n">
        <v>45862.62653935186</v>
      </c>
      <c r="C262" s="1" t="n">
        <v>45887</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35940-2025</t>
        </is>
      </c>
      <c r="B263" s="1" t="n">
        <v>45862.65081018519</v>
      </c>
      <c r="C263" s="1" t="n">
        <v>45887</v>
      </c>
      <c r="D263" t="inlineStr">
        <is>
          <t>DALARNAS LÄN</t>
        </is>
      </c>
      <c r="E263" t="inlineStr">
        <is>
          <t>ORSA</t>
        </is>
      </c>
      <c r="G263" t="n">
        <v>5.1</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45887</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33488-2024</t>
        </is>
      </c>
      <c r="B265" s="1" t="n">
        <v>45519.61466435185</v>
      </c>
      <c r="C265" s="1" t="n">
        <v>45887</v>
      </c>
      <c r="D265" t="inlineStr">
        <is>
          <t>DALARNAS LÄN</t>
        </is>
      </c>
      <c r="E265" t="inlineStr">
        <is>
          <t>ORSA</t>
        </is>
      </c>
      <c r="F265" t="inlineStr">
        <is>
          <t>Övriga statliga verk och myndigheter</t>
        </is>
      </c>
      <c r="G265" t="n">
        <v>0.5</v>
      </c>
      <c r="H265" t="n">
        <v>0</v>
      </c>
      <c r="I265" t="n">
        <v>0</v>
      </c>
      <c r="J265" t="n">
        <v>0</v>
      </c>
      <c r="K265" t="n">
        <v>0</v>
      </c>
      <c r="L265" t="n">
        <v>0</v>
      </c>
      <c r="M265" t="n">
        <v>0</v>
      </c>
      <c r="N265" t="n">
        <v>0</v>
      </c>
      <c r="O265" t="n">
        <v>0</v>
      </c>
      <c r="P265" t="n">
        <v>0</v>
      </c>
      <c r="Q265" t="n">
        <v>0</v>
      </c>
      <c r="R265" s="2" t="inlineStr"/>
    </row>
    <row r="266" ht="15" customHeight="1">
      <c r="A266" t="inlineStr">
        <is>
          <t>A 597-2024</t>
        </is>
      </c>
      <c r="B266" s="1" t="n">
        <v>45299.63410879629</v>
      </c>
      <c r="C266" s="1" t="n">
        <v>45887</v>
      </c>
      <c r="D266" t="inlineStr">
        <is>
          <t>DALARNAS LÄN</t>
        </is>
      </c>
      <c r="E266" t="inlineStr">
        <is>
          <t>ORSA</t>
        </is>
      </c>
      <c r="G266" t="n">
        <v>4.4</v>
      </c>
      <c r="H266" t="n">
        <v>0</v>
      </c>
      <c r="I266" t="n">
        <v>0</v>
      </c>
      <c r="J266" t="n">
        <v>0</v>
      </c>
      <c r="K266" t="n">
        <v>0</v>
      </c>
      <c r="L266" t="n">
        <v>0</v>
      </c>
      <c r="M266" t="n">
        <v>0</v>
      </c>
      <c r="N266" t="n">
        <v>0</v>
      </c>
      <c r="O266" t="n">
        <v>0</v>
      </c>
      <c r="P266" t="n">
        <v>0</v>
      </c>
      <c r="Q266" t="n">
        <v>0</v>
      </c>
      <c r="R266" s="2" t="inlineStr"/>
    </row>
    <row r="267" ht="15" customHeight="1">
      <c r="A267" t="inlineStr">
        <is>
          <t>A 890-2024</t>
        </is>
      </c>
      <c r="B267" s="1" t="n">
        <v>45301.40552083333</v>
      </c>
      <c r="C267" s="1" t="n">
        <v>45887</v>
      </c>
      <c r="D267" t="inlineStr">
        <is>
          <t>DALARNAS LÄN</t>
        </is>
      </c>
      <c r="E267" t="inlineStr">
        <is>
          <t>ORSA</t>
        </is>
      </c>
      <c r="G267" t="n">
        <v>2.5</v>
      </c>
      <c r="H267" t="n">
        <v>0</v>
      </c>
      <c r="I267" t="n">
        <v>0</v>
      </c>
      <c r="J267" t="n">
        <v>0</v>
      </c>
      <c r="K267" t="n">
        <v>0</v>
      </c>
      <c r="L267" t="n">
        <v>0</v>
      </c>
      <c r="M267" t="n">
        <v>0</v>
      </c>
      <c r="N267" t="n">
        <v>0</v>
      </c>
      <c r="O267" t="n">
        <v>0</v>
      </c>
      <c r="P267" t="n">
        <v>0</v>
      </c>
      <c r="Q267" t="n">
        <v>0</v>
      </c>
      <c r="R267" s="2" t="inlineStr"/>
    </row>
    <row r="268" ht="15" customHeight="1">
      <c r="A268" t="inlineStr">
        <is>
          <t>A 15772-2025</t>
        </is>
      </c>
      <c r="B268" s="1" t="n">
        <v>45748.59069444444</v>
      </c>
      <c r="C268" s="1" t="n">
        <v>45887</v>
      </c>
      <c r="D268" t="inlineStr">
        <is>
          <t>DALARNAS LÄN</t>
        </is>
      </c>
      <c r="E268" t="inlineStr">
        <is>
          <t>ORSA</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53229-2023</t>
        </is>
      </c>
      <c r="B269" s="1" t="n">
        <v>45229.48306712963</v>
      </c>
      <c r="C269" s="1" t="n">
        <v>45887</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55538-2023</t>
        </is>
      </c>
      <c r="B270" s="1" t="n">
        <v>45238.5996875</v>
      </c>
      <c r="C270" s="1" t="n">
        <v>45887</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36188-2025</t>
        </is>
      </c>
      <c r="B271" s="1" t="n">
        <v>45867.42059027778</v>
      </c>
      <c r="C271" s="1" t="n">
        <v>45887</v>
      </c>
      <c r="D271" t="inlineStr">
        <is>
          <t>DALARNAS LÄN</t>
        </is>
      </c>
      <c r="E271" t="inlineStr">
        <is>
          <t>ORSA</t>
        </is>
      </c>
      <c r="G271" t="n">
        <v>7.8</v>
      </c>
      <c r="H271" t="n">
        <v>0</v>
      </c>
      <c r="I271" t="n">
        <v>0</v>
      </c>
      <c r="J271" t="n">
        <v>0</v>
      </c>
      <c r="K271" t="n">
        <v>0</v>
      </c>
      <c r="L271" t="n">
        <v>0</v>
      </c>
      <c r="M271" t="n">
        <v>0</v>
      </c>
      <c r="N271" t="n">
        <v>0</v>
      </c>
      <c r="O271" t="n">
        <v>0</v>
      </c>
      <c r="P271" t="n">
        <v>0</v>
      </c>
      <c r="Q271" t="n">
        <v>0</v>
      </c>
      <c r="R271" s="2" t="inlineStr"/>
    </row>
    <row r="272" ht="15" customHeight="1">
      <c r="A272" t="inlineStr">
        <is>
          <t>A 29844-2025</t>
        </is>
      </c>
      <c r="B272" s="1" t="n">
        <v>45826</v>
      </c>
      <c r="C272" s="1" t="n">
        <v>45887</v>
      </c>
      <c r="D272" t="inlineStr">
        <is>
          <t>DALARNAS LÄN</t>
        </is>
      </c>
      <c r="E272" t="inlineStr">
        <is>
          <t>ORSA</t>
        </is>
      </c>
      <c r="F272" t="inlineStr">
        <is>
          <t>Allmännings- och besparingsskogar</t>
        </is>
      </c>
      <c r="G272" t="n">
        <v>53.9</v>
      </c>
      <c r="H272" t="n">
        <v>0</v>
      </c>
      <c r="I272" t="n">
        <v>0</v>
      </c>
      <c r="J272" t="n">
        <v>0</v>
      </c>
      <c r="K272" t="n">
        <v>0</v>
      </c>
      <c r="L272" t="n">
        <v>0</v>
      </c>
      <c r="M272" t="n">
        <v>0</v>
      </c>
      <c r="N272" t="n">
        <v>0</v>
      </c>
      <c r="O272" t="n">
        <v>0</v>
      </c>
      <c r="P272" t="n">
        <v>0</v>
      </c>
      <c r="Q272" t="n">
        <v>0</v>
      </c>
      <c r="R272" s="2" t="inlineStr"/>
    </row>
    <row r="273" ht="15" customHeight="1">
      <c r="A273" t="inlineStr">
        <is>
          <t>A 29933-2025</t>
        </is>
      </c>
      <c r="B273" s="1" t="n">
        <v>45826.44121527778</v>
      </c>
      <c r="C273" s="1" t="n">
        <v>45887</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45887</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51305-2023</t>
        </is>
      </c>
      <c r="B275" s="1" t="n">
        <v>45219</v>
      </c>
      <c r="C275" s="1" t="n">
        <v>45887</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1624-2024</t>
        </is>
      </c>
      <c r="B276" s="1" t="n">
        <v>45306</v>
      </c>
      <c r="C276" s="1" t="n">
        <v>45887</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19505-2022</t>
        </is>
      </c>
      <c r="B277" s="1" t="n">
        <v>44693</v>
      </c>
      <c r="C277" s="1" t="n">
        <v>45887</v>
      </c>
      <c r="D277" t="inlineStr">
        <is>
          <t>DALARNAS LÄN</t>
        </is>
      </c>
      <c r="E277" t="inlineStr">
        <is>
          <t>ORSA</t>
        </is>
      </c>
      <c r="G277" t="n">
        <v>2.7</v>
      </c>
      <c r="H277" t="n">
        <v>0</v>
      </c>
      <c r="I277" t="n">
        <v>0</v>
      </c>
      <c r="J277" t="n">
        <v>0</v>
      </c>
      <c r="K277" t="n">
        <v>0</v>
      </c>
      <c r="L277" t="n">
        <v>0</v>
      </c>
      <c r="M277" t="n">
        <v>0</v>
      </c>
      <c r="N277" t="n">
        <v>0</v>
      </c>
      <c r="O277" t="n">
        <v>0</v>
      </c>
      <c r="P277" t="n">
        <v>0</v>
      </c>
      <c r="Q277" t="n">
        <v>0</v>
      </c>
      <c r="R277" s="2" t="inlineStr"/>
    </row>
    <row r="278" ht="15" customHeight="1">
      <c r="A278" t="inlineStr">
        <is>
          <t>A 36570-2025</t>
        </is>
      </c>
      <c r="B278" s="1" t="n">
        <v>45870.38728009259</v>
      </c>
      <c r="C278" s="1" t="n">
        <v>45887</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5435-2025</t>
        </is>
      </c>
      <c r="B279" s="1" t="n">
        <v>45692</v>
      </c>
      <c r="C279" s="1" t="n">
        <v>45887</v>
      </c>
      <c r="D279" t="inlineStr">
        <is>
          <t>DALARNAS LÄN</t>
        </is>
      </c>
      <c r="E279" t="inlineStr">
        <is>
          <t>ORSA</t>
        </is>
      </c>
      <c r="G279" t="n">
        <v>7.8</v>
      </c>
      <c r="H279" t="n">
        <v>0</v>
      </c>
      <c r="I279" t="n">
        <v>0</v>
      </c>
      <c r="J279" t="n">
        <v>0</v>
      </c>
      <c r="K279" t="n">
        <v>0</v>
      </c>
      <c r="L279" t="n">
        <v>0</v>
      </c>
      <c r="M279" t="n">
        <v>0</v>
      </c>
      <c r="N279" t="n">
        <v>0</v>
      </c>
      <c r="O279" t="n">
        <v>0</v>
      </c>
      <c r="P279" t="n">
        <v>0</v>
      </c>
      <c r="Q279" t="n">
        <v>0</v>
      </c>
      <c r="R279" s="2" t="inlineStr"/>
    </row>
    <row r="280" ht="15" customHeight="1">
      <c r="A280" t="inlineStr">
        <is>
          <t>A 19108-2025</t>
        </is>
      </c>
      <c r="B280" s="1" t="n">
        <v>45768</v>
      </c>
      <c r="C280" s="1" t="n">
        <v>45887</v>
      </c>
      <c r="D280" t="inlineStr">
        <is>
          <t>DALARNAS LÄN</t>
        </is>
      </c>
      <c r="E280" t="inlineStr">
        <is>
          <t>ORSA</t>
        </is>
      </c>
      <c r="F280" t="inlineStr">
        <is>
          <t>Bergvik skog väst AB</t>
        </is>
      </c>
      <c r="G280" t="n">
        <v>14.3</v>
      </c>
      <c r="H280" t="n">
        <v>0</v>
      </c>
      <c r="I280" t="n">
        <v>0</v>
      </c>
      <c r="J280" t="n">
        <v>0</v>
      </c>
      <c r="K280" t="n">
        <v>0</v>
      </c>
      <c r="L280" t="n">
        <v>0</v>
      </c>
      <c r="M280" t="n">
        <v>0</v>
      </c>
      <c r="N280" t="n">
        <v>0</v>
      </c>
      <c r="O280" t="n">
        <v>0</v>
      </c>
      <c r="P280" t="n">
        <v>0</v>
      </c>
      <c r="Q280" t="n">
        <v>0</v>
      </c>
      <c r="R280" s="2" t="inlineStr"/>
    </row>
    <row r="281" ht="15" customHeight="1">
      <c r="A281" t="inlineStr">
        <is>
          <t>A 4553-2025</t>
        </is>
      </c>
      <c r="B281" s="1" t="n">
        <v>45687.42143518518</v>
      </c>
      <c r="C281" s="1" t="n">
        <v>45887</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67755-2020</t>
        </is>
      </c>
      <c r="B282" s="1" t="n">
        <v>44182</v>
      </c>
      <c r="C282" s="1" t="n">
        <v>45887</v>
      </c>
      <c r="D282" t="inlineStr">
        <is>
          <t>DALARNAS LÄN</t>
        </is>
      </c>
      <c r="E282" t="inlineStr">
        <is>
          <t>ORSA</t>
        </is>
      </c>
      <c r="G282" t="n">
        <v>7.5</v>
      </c>
      <c r="H282" t="n">
        <v>0</v>
      </c>
      <c r="I282" t="n">
        <v>0</v>
      </c>
      <c r="J282" t="n">
        <v>0</v>
      </c>
      <c r="K282" t="n">
        <v>0</v>
      </c>
      <c r="L282" t="n">
        <v>0</v>
      </c>
      <c r="M282" t="n">
        <v>0</v>
      </c>
      <c r="N282" t="n">
        <v>0</v>
      </c>
      <c r="O282" t="n">
        <v>0</v>
      </c>
      <c r="P282" t="n">
        <v>0</v>
      </c>
      <c r="Q282" t="n">
        <v>0</v>
      </c>
      <c r="R282" s="2" t="inlineStr"/>
    </row>
    <row r="283" ht="15" customHeight="1">
      <c r="A283" t="inlineStr">
        <is>
          <t>A 67834-2020</t>
        </is>
      </c>
      <c r="B283" s="1" t="n">
        <v>44182</v>
      </c>
      <c r="C283" s="1" t="n">
        <v>45887</v>
      </c>
      <c r="D283" t="inlineStr">
        <is>
          <t>DALARNAS LÄN</t>
        </is>
      </c>
      <c r="E283" t="inlineStr">
        <is>
          <t>ORSA</t>
        </is>
      </c>
      <c r="G283" t="n">
        <v>4</v>
      </c>
      <c r="H283" t="n">
        <v>0</v>
      </c>
      <c r="I283" t="n">
        <v>0</v>
      </c>
      <c r="J283" t="n">
        <v>0</v>
      </c>
      <c r="K283" t="n">
        <v>0</v>
      </c>
      <c r="L283" t="n">
        <v>0</v>
      </c>
      <c r="M283" t="n">
        <v>0</v>
      </c>
      <c r="N283" t="n">
        <v>0</v>
      </c>
      <c r="O283" t="n">
        <v>0</v>
      </c>
      <c r="P283" t="n">
        <v>0</v>
      </c>
      <c r="Q283" t="n">
        <v>0</v>
      </c>
      <c r="R283" s="2" t="inlineStr"/>
    </row>
    <row r="284" ht="15" customHeight="1">
      <c r="A284" t="inlineStr">
        <is>
          <t>A 29025-2023</t>
        </is>
      </c>
      <c r="B284" s="1" t="n">
        <v>45104.70399305555</v>
      </c>
      <c r="C284" s="1" t="n">
        <v>45887</v>
      </c>
      <c r="D284" t="inlineStr">
        <is>
          <t>DALARNAS LÄN</t>
        </is>
      </c>
      <c r="E284" t="inlineStr">
        <is>
          <t>ORSA</t>
        </is>
      </c>
      <c r="G284" t="n">
        <v>6.6</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45887</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30751-2025</t>
        </is>
      </c>
      <c r="B286" s="1" t="n">
        <v>45831.58921296296</v>
      </c>
      <c r="C286" s="1" t="n">
        <v>45887</v>
      </c>
      <c r="D286" t="inlineStr">
        <is>
          <t>DALARNAS LÄN</t>
        </is>
      </c>
      <c r="E286" t="inlineStr">
        <is>
          <t>ORSA</t>
        </is>
      </c>
      <c r="G286" t="n">
        <v>5.2</v>
      </c>
      <c r="H286" t="n">
        <v>0</v>
      </c>
      <c r="I286" t="n">
        <v>0</v>
      </c>
      <c r="J286" t="n">
        <v>0</v>
      </c>
      <c r="K286" t="n">
        <v>0</v>
      </c>
      <c r="L286" t="n">
        <v>0</v>
      </c>
      <c r="M286" t="n">
        <v>0</v>
      </c>
      <c r="N286" t="n">
        <v>0</v>
      </c>
      <c r="O286" t="n">
        <v>0</v>
      </c>
      <c r="P286" t="n">
        <v>0</v>
      </c>
      <c r="Q286" t="n">
        <v>0</v>
      </c>
      <c r="R286" s="2" t="inlineStr"/>
    </row>
    <row r="287" ht="15" customHeight="1">
      <c r="A287" t="inlineStr">
        <is>
          <t>A 593-2024</t>
        </is>
      </c>
      <c r="B287" s="1" t="n">
        <v>45299.63049768518</v>
      </c>
      <c r="C287" s="1" t="n">
        <v>45887</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52033-2023</t>
        </is>
      </c>
      <c r="B288" s="1" t="n">
        <v>45223.62680555556</v>
      </c>
      <c r="C288" s="1" t="n">
        <v>45887</v>
      </c>
      <c r="D288" t="inlineStr">
        <is>
          <t>DALARNAS LÄN</t>
        </is>
      </c>
      <c r="E288" t="inlineStr">
        <is>
          <t>ORSA</t>
        </is>
      </c>
      <c r="G288" t="n">
        <v>11.5</v>
      </c>
      <c r="H288" t="n">
        <v>0</v>
      </c>
      <c r="I288" t="n">
        <v>0</v>
      </c>
      <c r="J288" t="n">
        <v>0</v>
      </c>
      <c r="K288" t="n">
        <v>0</v>
      </c>
      <c r="L288" t="n">
        <v>0</v>
      </c>
      <c r="M288" t="n">
        <v>0</v>
      </c>
      <c r="N288" t="n">
        <v>0</v>
      </c>
      <c r="O288" t="n">
        <v>0</v>
      </c>
      <c r="P288" t="n">
        <v>0</v>
      </c>
      <c r="Q288" t="n">
        <v>0</v>
      </c>
      <c r="R288" s="2" t="inlineStr"/>
    </row>
    <row r="289" ht="15" customHeight="1">
      <c r="A289" t="inlineStr">
        <is>
          <t>A 6939-2021</t>
        </is>
      </c>
      <c r="B289" s="1" t="n">
        <v>44237</v>
      </c>
      <c r="C289" s="1" t="n">
        <v>45887</v>
      </c>
      <c r="D289" t="inlineStr">
        <is>
          <t>DALARNAS LÄN</t>
        </is>
      </c>
      <c r="E289" t="inlineStr">
        <is>
          <t>ORSA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51001-2021</t>
        </is>
      </c>
      <c r="B290" s="1" t="n">
        <v>44460.86221064815</v>
      </c>
      <c r="C290" s="1" t="n">
        <v>45887</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31365-2025</t>
        </is>
      </c>
      <c r="B291" s="1" t="n">
        <v>45833.43884259259</v>
      </c>
      <c r="C291" s="1" t="n">
        <v>45887</v>
      </c>
      <c r="D291" t="inlineStr">
        <is>
          <t>DALARNAS LÄN</t>
        </is>
      </c>
      <c r="E291" t="inlineStr">
        <is>
          <t>ORSA</t>
        </is>
      </c>
      <c r="G291" t="n">
        <v>1.6</v>
      </c>
      <c r="H291" t="n">
        <v>0</v>
      </c>
      <c r="I291" t="n">
        <v>0</v>
      </c>
      <c r="J291" t="n">
        <v>0</v>
      </c>
      <c r="K291" t="n">
        <v>0</v>
      </c>
      <c r="L291" t="n">
        <v>0</v>
      </c>
      <c r="M291" t="n">
        <v>0</v>
      </c>
      <c r="N291" t="n">
        <v>0</v>
      </c>
      <c r="O291" t="n">
        <v>0</v>
      </c>
      <c r="P291" t="n">
        <v>0</v>
      </c>
      <c r="Q291" t="n">
        <v>0</v>
      </c>
      <c r="R291" s="2" t="inlineStr"/>
    </row>
    <row r="292" ht="15" customHeight="1">
      <c r="A292" t="inlineStr">
        <is>
          <t>A 47732-2022</t>
        </is>
      </c>
      <c r="B292" s="1" t="n">
        <v>44854.63668981481</v>
      </c>
      <c r="C292" s="1" t="n">
        <v>45887</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36633-2025</t>
        </is>
      </c>
      <c r="B293" s="1" t="n">
        <v>45870</v>
      </c>
      <c r="C293" s="1" t="n">
        <v>45887</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45887</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61279-2023</t>
        </is>
      </c>
      <c r="B295" s="1" t="n">
        <v>45264.5270949074</v>
      </c>
      <c r="C295" s="1" t="n">
        <v>45887</v>
      </c>
      <c r="D295" t="inlineStr">
        <is>
          <t>DALARNAS LÄN</t>
        </is>
      </c>
      <c r="E295" t="inlineStr">
        <is>
          <t>ORSA</t>
        </is>
      </c>
      <c r="G295" t="n">
        <v>0.2</v>
      </c>
      <c r="H295" t="n">
        <v>0</v>
      </c>
      <c r="I295" t="n">
        <v>0</v>
      </c>
      <c r="J295" t="n">
        <v>0</v>
      </c>
      <c r="K295" t="n">
        <v>0</v>
      </c>
      <c r="L295" t="n">
        <v>0</v>
      </c>
      <c r="M295" t="n">
        <v>0</v>
      </c>
      <c r="N295" t="n">
        <v>0</v>
      </c>
      <c r="O295" t="n">
        <v>0</v>
      </c>
      <c r="P295" t="n">
        <v>0</v>
      </c>
      <c r="Q295" t="n">
        <v>0</v>
      </c>
      <c r="R295" s="2" t="inlineStr"/>
    </row>
    <row r="296" ht="15" customHeight="1">
      <c r="A296" t="inlineStr">
        <is>
          <t>A 31634-2025</t>
        </is>
      </c>
      <c r="B296" s="1" t="n">
        <v>45834</v>
      </c>
      <c r="C296" s="1" t="n">
        <v>45887</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23461-2023</t>
        </is>
      </c>
      <c r="B297" s="1" t="n">
        <v>45076</v>
      </c>
      <c r="C297" s="1" t="n">
        <v>45887</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31659-2025</t>
        </is>
      </c>
      <c r="B298" s="1" t="n">
        <v>45834.35421296296</v>
      </c>
      <c r="C298" s="1" t="n">
        <v>45887</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18037-2023</t>
        </is>
      </c>
      <c r="B299" s="1" t="n">
        <v>45040</v>
      </c>
      <c r="C299" s="1" t="n">
        <v>45887</v>
      </c>
      <c r="D299" t="inlineStr">
        <is>
          <t>DALARNAS LÄN</t>
        </is>
      </c>
      <c r="E299" t="inlineStr">
        <is>
          <t>ORSA</t>
        </is>
      </c>
      <c r="G299" t="n">
        <v>6.6</v>
      </c>
      <c r="H299" t="n">
        <v>0</v>
      </c>
      <c r="I299" t="n">
        <v>0</v>
      </c>
      <c r="J299" t="n">
        <v>0</v>
      </c>
      <c r="K299" t="n">
        <v>0</v>
      </c>
      <c r="L299" t="n">
        <v>0</v>
      </c>
      <c r="M299" t="n">
        <v>0</v>
      </c>
      <c r="N299" t="n">
        <v>0</v>
      </c>
      <c r="O299" t="n">
        <v>0</v>
      </c>
      <c r="P299" t="n">
        <v>0</v>
      </c>
      <c r="Q299" t="n">
        <v>0</v>
      </c>
      <c r="R299" s="2" t="inlineStr"/>
    </row>
    <row r="300" ht="15" customHeight="1">
      <c r="A300" t="inlineStr">
        <is>
          <t>A 25761-2021</t>
        </is>
      </c>
      <c r="B300" s="1" t="n">
        <v>44343</v>
      </c>
      <c r="C300" s="1" t="n">
        <v>45887</v>
      </c>
      <c r="D300" t="inlineStr">
        <is>
          <t>DALARNAS LÄN</t>
        </is>
      </c>
      <c r="E300" t="inlineStr">
        <is>
          <t>ORSA</t>
        </is>
      </c>
      <c r="G300" t="n">
        <v>3.4</v>
      </c>
      <c r="H300" t="n">
        <v>0</v>
      </c>
      <c r="I300" t="n">
        <v>0</v>
      </c>
      <c r="J300" t="n">
        <v>0</v>
      </c>
      <c r="K300" t="n">
        <v>0</v>
      </c>
      <c r="L300" t="n">
        <v>0</v>
      </c>
      <c r="M300" t="n">
        <v>0</v>
      </c>
      <c r="N300" t="n">
        <v>0</v>
      </c>
      <c r="O300" t="n">
        <v>0</v>
      </c>
      <c r="P300" t="n">
        <v>0</v>
      </c>
      <c r="Q300" t="n">
        <v>0</v>
      </c>
      <c r="R300" s="2" t="inlineStr"/>
    </row>
    <row r="301" ht="15" customHeight="1">
      <c r="A301" t="inlineStr">
        <is>
          <t>A 15114-2025</t>
        </is>
      </c>
      <c r="B301" s="1" t="n">
        <v>45744.36232638889</v>
      </c>
      <c r="C301" s="1" t="n">
        <v>45887</v>
      </c>
      <c r="D301" t="inlineStr">
        <is>
          <t>DALARNAS LÄN</t>
        </is>
      </c>
      <c r="E301" t="inlineStr">
        <is>
          <t>ORSA</t>
        </is>
      </c>
      <c r="F301" t="inlineStr">
        <is>
          <t>Allmännings- och besparingsskogar</t>
        </is>
      </c>
      <c r="G301" t="n">
        <v>1.9</v>
      </c>
      <c r="H301" t="n">
        <v>0</v>
      </c>
      <c r="I301" t="n">
        <v>0</v>
      </c>
      <c r="J301" t="n">
        <v>0</v>
      </c>
      <c r="K301" t="n">
        <v>0</v>
      </c>
      <c r="L301" t="n">
        <v>0</v>
      </c>
      <c r="M301" t="n">
        <v>0</v>
      </c>
      <c r="N301" t="n">
        <v>0</v>
      </c>
      <c r="O301" t="n">
        <v>0</v>
      </c>
      <c r="P301" t="n">
        <v>0</v>
      </c>
      <c r="Q301" t="n">
        <v>0</v>
      </c>
      <c r="R301" s="2" t="inlineStr"/>
    </row>
    <row r="302" ht="15" customHeight="1">
      <c r="A302" t="inlineStr">
        <is>
          <t>A 67189-2020</t>
        </is>
      </c>
      <c r="B302" s="1" t="n">
        <v>44180</v>
      </c>
      <c r="C302" s="1" t="n">
        <v>45887</v>
      </c>
      <c r="D302" t="inlineStr">
        <is>
          <t>DALARNAS LÄN</t>
        </is>
      </c>
      <c r="E302" t="inlineStr">
        <is>
          <t>ORSA</t>
        </is>
      </c>
      <c r="F302" t="inlineStr">
        <is>
          <t>Allmännings- och besparingsskogar</t>
        </is>
      </c>
      <c r="G302" t="n">
        <v>5</v>
      </c>
      <c r="H302" t="n">
        <v>0</v>
      </c>
      <c r="I302" t="n">
        <v>0</v>
      </c>
      <c r="J302" t="n">
        <v>0</v>
      </c>
      <c r="K302" t="n">
        <v>0</v>
      </c>
      <c r="L302" t="n">
        <v>0</v>
      </c>
      <c r="M302" t="n">
        <v>0</v>
      </c>
      <c r="N302" t="n">
        <v>0</v>
      </c>
      <c r="O302" t="n">
        <v>0</v>
      </c>
      <c r="P302" t="n">
        <v>0</v>
      </c>
      <c r="Q302" t="n">
        <v>0</v>
      </c>
      <c r="R302" s="2" t="inlineStr"/>
    </row>
    <row r="303" ht="15" customHeight="1">
      <c r="A303" t="inlineStr">
        <is>
          <t>A 37439-2025</t>
        </is>
      </c>
      <c r="B303" s="1" t="n">
        <v>45877.53644675926</v>
      </c>
      <c r="C303" s="1" t="n">
        <v>45887</v>
      </c>
      <c r="D303" t="inlineStr">
        <is>
          <t>DALARNAS LÄN</t>
        </is>
      </c>
      <c r="E303" t="inlineStr">
        <is>
          <t>ORSA</t>
        </is>
      </c>
      <c r="F303" t="inlineStr">
        <is>
          <t>Allmännings- och besparingsskogar</t>
        </is>
      </c>
      <c r="G303" t="n">
        <v>7.9</v>
      </c>
      <c r="H303" t="n">
        <v>0</v>
      </c>
      <c r="I303" t="n">
        <v>0</v>
      </c>
      <c r="J303" t="n">
        <v>0</v>
      </c>
      <c r="K303" t="n">
        <v>0</v>
      </c>
      <c r="L303" t="n">
        <v>0</v>
      </c>
      <c r="M303" t="n">
        <v>0</v>
      </c>
      <c r="N303" t="n">
        <v>0</v>
      </c>
      <c r="O303" t="n">
        <v>0</v>
      </c>
      <c r="P303" t="n">
        <v>0</v>
      </c>
      <c r="Q303" t="n">
        <v>0</v>
      </c>
      <c r="R303" s="2" t="inlineStr"/>
    </row>
    <row r="304" ht="15" customHeight="1">
      <c r="A304" t="inlineStr">
        <is>
          <t>A 61698-2022</t>
        </is>
      </c>
      <c r="B304" s="1" t="n">
        <v>44917.40038194445</v>
      </c>
      <c r="C304" s="1" t="n">
        <v>45887</v>
      </c>
      <c r="D304" t="inlineStr">
        <is>
          <t>DALARNAS LÄN</t>
        </is>
      </c>
      <c r="E304" t="inlineStr">
        <is>
          <t>ORSA</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32325-2025</t>
        </is>
      </c>
      <c r="B305" s="1" t="n">
        <v>45836</v>
      </c>
      <c r="C305" s="1" t="n">
        <v>45887</v>
      </c>
      <c r="D305" t="inlineStr">
        <is>
          <t>DALARNAS LÄN</t>
        </is>
      </c>
      <c r="E305" t="inlineStr">
        <is>
          <t>ORSA</t>
        </is>
      </c>
      <c r="G305" t="n">
        <v>3.8</v>
      </c>
      <c r="H305" t="n">
        <v>0</v>
      </c>
      <c r="I305" t="n">
        <v>0</v>
      </c>
      <c r="J305" t="n">
        <v>0</v>
      </c>
      <c r="K305" t="n">
        <v>0</v>
      </c>
      <c r="L305" t="n">
        <v>0</v>
      </c>
      <c r="M305" t="n">
        <v>0</v>
      </c>
      <c r="N305" t="n">
        <v>0</v>
      </c>
      <c r="O305" t="n">
        <v>0</v>
      </c>
      <c r="P305" t="n">
        <v>0</v>
      </c>
      <c r="Q305" t="n">
        <v>0</v>
      </c>
      <c r="R305" s="2" t="inlineStr"/>
    </row>
    <row r="306" ht="15" customHeight="1">
      <c r="A306" t="inlineStr">
        <is>
          <t>A 56975-2023</t>
        </is>
      </c>
      <c r="B306" s="1" t="n">
        <v>45244</v>
      </c>
      <c r="C306" s="1" t="n">
        <v>45887</v>
      </c>
      <c r="D306" t="inlineStr">
        <is>
          <t>DALARNAS LÄN</t>
        </is>
      </c>
      <c r="E306" t="inlineStr">
        <is>
          <t>ORSA</t>
        </is>
      </c>
      <c r="G306" t="n">
        <v>1.6</v>
      </c>
      <c r="H306" t="n">
        <v>0</v>
      </c>
      <c r="I306" t="n">
        <v>0</v>
      </c>
      <c r="J306" t="n">
        <v>0</v>
      </c>
      <c r="K306" t="n">
        <v>0</v>
      </c>
      <c r="L306" t="n">
        <v>0</v>
      </c>
      <c r="M306" t="n">
        <v>0</v>
      </c>
      <c r="N306" t="n">
        <v>0</v>
      </c>
      <c r="O306" t="n">
        <v>0</v>
      </c>
      <c r="P306" t="n">
        <v>0</v>
      </c>
      <c r="Q306" t="n">
        <v>0</v>
      </c>
      <c r="R306" s="2" t="inlineStr"/>
    </row>
    <row r="307" ht="15" customHeight="1">
      <c r="A307" t="inlineStr">
        <is>
          <t>A 37445-2025</t>
        </is>
      </c>
      <c r="B307" s="1" t="n">
        <v>45877.54615740741</v>
      </c>
      <c r="C307" s="1" t="n">
        <v>45887</v>
      </c>
      <c r="D307" t="inlineStr">
        <is>
          <t>DALARNAS LÄN</t>
        </is>
      </c>
      <c r="E307" t="inlineStr">
        <is>
          <t>ORSA</t>
        </is>
      </c>
      <c r="F307" t="inlineStr">
        <is>
          <t>Bergvik skog öst AB</t>
        </is>
      </c>
      <c r="G307" t="n">
        <v>13.4</v>
      </c>
      <c r="H307" t="n">
        <v>0</v>
      </c>
      <c r="I307" t="n">
        <v>0</v>
      </c>
      <c r="J307" t="n">
        <v>0</v>
      </c>
      <c r="K307" t="n">
        <v>0</v>
      </c>
      <c r="L307" t="n">
        <v>0</v>
      </c>
      <c r="M307" t="n">
        <v>0</v>
      </c>
      <c r="N307" t="n">
        <v>0</v>
      </c>
      <c r="O307" t="n">
        <v>0</v>
      </c>
      <c r="P307" t="n">
        <v>0</v>
      </c>
      <c r="Q307" t="n">
        <v>0</v>
      </c>
      <c r="R307" s="2" t="inlineStr"/>
    </row>
    <row r="308" ht="15" customHeight="1">
      <c r="A308" t="inlineStr">
        <is>
          <t>A 17508-2025</t>
        </is>
      </c>
      <c r="B308" s="1" t="n">
        <v>45757.55929398148</v>
      </c>
      <c r="C308" s="1" t="n">
        <v>45887</v>
      </c>
      <c r="D308" t="inlineStr">
        <is>
          <t>DALARNAS LÄN</t>
        </is>
      </c>
      <c r="E308" t="inlineStr">
        <is>
          <t>ORSA</t>
        </is>
      </c>
      <c r="F308" t="inlineStr">
        <is>
          <t>Bergvik skog öst AB</t>
        </is>
      </c>
      <c r="G308" t="n">
        <v>9.4</v>
      </c>
      <c r="H308" t="n">
        <v>0</v>
      </c>
      <c r="I308" t="n">
        <v>0</v>
      </c>
      <c r="J308" t="n">
        <v>0</v>
      </c>
      <c r="K308" t="n">
        <v>0</v>
      </c>
      <c r="L308" t="n">
        <v>0</v>
      </c>
      <c r="M308" t="n">
        <v>0</v>
      </c>
      <c r="N308" t="n">
        <v>0</v>
      </c>
      <c r="O308" t="n">
        <v>0</v>
      </c>
      <c r="P308" t="n">
        <v>0</v>
      </c>
      <c r="Q308" t="n">
        <v>0</v>
      </c>
      <c r="R308" s="2" t="inlineStr"/>
    </row>
    <row r="309" ht="15" customHeight="1">
      <c r="A309" t="inlineStr">
        <is>
          <t>A 63917-2023</t>
        </is>
      </c>
      <c r="B309" s="1" t="n">
        <v>45278</v>
      </c>
      <c r="C309" s="1" t="n">
        <v>45887</v>
      </c>
      <c r="D309" t="inlineStr">
        <is>
          <t>DALARNAS LÄN</t>
        </is>
      </c>
      <c r="E309" t="inlineStr">
        <is>
          <t>ORSA</t>
        </is>
      </c>
      <c r="G309" t="n">
        <v>0.8</v>
      </c>
      <c r="H309" t="n">
        <v>0</v>
      </c>
      <c r="I309" t="n">
        <v>0</v>
      </c>
      <c r="J309" t="n">
        <v>0</v>
      </c>
      <c r="K309" t="n">
        <v>0</v>
      </c>
      <c r="L309" t="n">
        <v>0</v>
      </c>
      <c r="M309" t="n">
        <v>0</v>
      </c>
      <c r="N309" t="n">
        <v>0</v>
      </c>
      <c r="O309" t="n">
        <v>0</v>
      </c>
      <c r="P309" t="n">
        <v>0</v>
      </c>
      <c r="Q309" t="n">
        <v>0</v>
      </c>
      <c r="R309" s="2" t="inlineStr"/>
    </row>
    <row r="310" ht="15" customHeight="1">
      <c r="A310" t="inlineStr">
        <is>
          <t>A 52912-2023</t>
        </is>
      </c>
      <c r="B310" s="1" t="n">
        <v>45226.51766203704</v>
      </c>
      <c r="C310" s="1" t="n">
        <v>45887</v>
      </c>
      <c r="D310" t="inlineStr">
        <is>
          <t>DALARNAS LÄN</t>
        </is>
      </c>
      <c r="E310" t="inlineStr">
        <is>
          <t>ORSA</t>
        </is>
      </c>
      <c r="G310" t="n">
        <v>10.9</v>
      </c>
      <c r="H310" t="n">
        <v>0</v>
      </c>
      <c r="I310" t="n">
        <v>0</v>
      </c>
      <c r="J310" t="n">
        <v>0</v>
      </c>
      <c r="K310" t="n">
        <v>0</v>
      </c>
      <c r="L310" t="n">
        <v>0</v>
      </c>
      <c r="M310" t="n">
        <v>0</v>
      </c>
      <c r="N310" t="n">
        <v>0</v>
      </c>
      <c r="O310" t="n">
        <v>0</v>
      </c>
      <c r="P310" t="n">
        <v>0</v>
      </c>
      <c r="Q310" t="n">
        <v>0</v>
      </c>
      <c r="R310" s="2" t="inlineStr"/>
    </row>
    <row r="311" ht="15" customHeight="1">
      <c r="A311" t="inlineStr">
        <is>
          <t>A 10832-2022</t>
        </is>
      </c>
      <c r="B311" s="1" t="n">
        <v>44627</v>
      </c>
      <c r="C311" s="1" t="n">
        <v>45887</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37496-2025</t>
        </is>
      </c>
      <c r="B312" s="1" t="n">
        <v>45877.64424768519</v>
      </c>
      <c r="C312" s="1" t="n">
        <v>45887</v>
      </c>
      <c r="D312" t="inlineStr">
        <is>
          <t>DALARNAS LÄN</t>
        </is>
      </c>
      <c r="E312" t="inlineStr">
        <is>
          <t>ORSA</t>
        </is>
      </c>
      <c r="F312" t="inlineStr">
        <is>
          <t>Bergvik skog öst AB</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37457-2025</t>
        </is>
      </c>
      <c r="B313" s="1" t="n">
        <v>45877.56829861111</v>
      </c>
      <c r="C313" s="1" t="n">
        <v>45887</v>
      </c>
      <c r="D313" t="inlineStr">
        <is>
          <t>DALARNAS LÄN</t>
        </is>
      </c>
      <c r="E313" t="inlineStr">
        <is>
          <t>ORSA</t>
        </is>
      </c>
      <c r="F313" t="inlineStr">
        <is>
          <t>Allmännings- och besparingsskogar</t>
        </is>
      </c>
      <c r="G313" t="n">
        <v>6.5</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45887</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33214-2025</t>
        </is>
      </c>
      <c r="B315" s="1" t="n">
        <v>45840.6295949074</v>
      </c>
      <c r="C315" s="1" t="n">
        <v>45887</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32985-2025</t>
        </is>
      </c>
      <c r="B316" s="1" t="n">
        <v>45839.93033564815</v>
      </c>
      <c r="C316" s="1" t="n">
        <v>45887</v>
      </c>
      <c r="D316" t="inlineStr">
        <is>
          <t>DALARNAS LÄN</t>
        </is>
      </c>
      <c r="E316" t="inlineStr">
        <is>
          <t>ORSA</t>
        </is>
      </c>
      <c r="G316" t="n">
        <v>1.6</v>
      </c>
      <c r="H316" t="n">
        <v>0</v>
      </c>
      <c r="I316" t="n">
        <v>0</v>
      </c>
      <c r="J316" t="n">
        <v>0</v>
      </c>
      <c r="K316" t="n">
        <v>0</v>
      </c>
      <c r="L316" t="n">
        <v>0</v>
      </c>
      <c r="M316" t="n">
        <v>0</v>
      </c>
      <c r="N316" t="n">
        <v>0</v>
      </c>
      <c r="O316" t="n">
        <v>0</v>
      </c>
      <c r="P316" t="n">
        <v>0</v>
      </c>
      <c r="Q316" t="n">
        <v>0</v>
      </c>
      <c r="R316" s="2" t="inlineStr"/>
    </row>
    <row r="317" ht="15" customHeight="1">
      <c r="A317" t="inlineStr">
        <is>
          <t>A 33059-2025</t>
        </is>
      </c>
      <c r="B317" s="1" t="n">
        <v>45840.43072916667</v>
      </c>
      <c r="C317" s="1" t="n">
        <v>45887</v>
      </c>
      <c r="D317" t="inlineStr">
        <is>
          <t>DALARNAS LÄN</t>
        </is>
      </c>
      <c r="E317" t="inlineStr">
        <is>
          <t>ORSA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33209-2025</t>
        </is>
      </c>
      <c r="B318" s="1" t="n">
        <v>45840.62648148148</v>
      </c>
      <c r="C318" s="1" t="n">
        <v>45887</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33057-2025</t>
        </is>
      </c>
      <c r="B319" s="1" t="n">
        <v>45840</v>
      </c>
      <c r="C319" s="1" t="n">
        <v>45887</v>
      </c>
      <c r="D319" t="inlineStr">
        <is>
          <t>DALARNAS LÄN</t>
        </is>
      </c>
      <c r="E319" t="inlineStr">
        <is>
          <t>ORSA</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33158-2025</t>
        </is>
      </c>
      <c r="B320" s="1" t="n">
        <v>45840</v>
      </c>
      <c r="C320" s="1" t="n">
        <v>45887</v>
      </c>
      <c r="D320" t="inlineStr">
        <is>
          <t>DALARNAS LÄN</t>
        </is>
      </c>
      <c r="E320" t="inlineStr">
        <is>
          <t>ORSA</t>
        </is>
      </c>
      <c r="F320" t="inlineStr">
        <is>
          <t>Bergvik skog öst AB</t>
        </is>
      </c>
      <c r="G320" t="n">
        <v>2.7</v>
      </c>
      <c r="H320" t="n">
        <v>0</v>
      </c>
      <c r="I320" t="n">
        <v>0</v>
      </c>
      <c r="J320" t="n">
        <v>0</v>
      </c>
      <c r="K320" t="n">
        <v>0</v>
      </c>
      <c r="L320" t="n">
        <v>0</v>
      </c>
      <c r="M320" t="n">
        <v>0</v>
      </c>
      <c r="N320" t="n">
        <v>0</v>
      </c>
      <c r="O320" t="n">
        <v>0</v>
      </c>
      <c r="P320" t="n">
        <v>0</v>
      </c>
      <c r="Q320" t="n">
        <v>0</v>
      </c>
      <c r="R320" s="2" t="inlineStr"/>
    </row>
    <row r="321" ht="15" customHeight="1">
      <c r="A321" t="inlineStr">
        <is>
          <t>A 3720-2023</t>
        </is>
      </c>
      <c r="B321" s="1" t="n">
        <v>44951.36688657408</v>
      </c>
      <c r="C321" s="1" t="n">
        <v>45887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32984-2025</t>
        </is>
      </c>
      <c r="B322" s="1" t="n">
        <v>45839.93006944445</v>
      </c>
      <c r="C322" s="1" t="n">
        <v>45887</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37893-2025</t>
        </is>
      </c>
      <c r="B323" s="1" t="n">
        <v>45881.54469907407</v>
      </c>
      <c r="C323" s="1" t="n">
        <v>45887</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38047-2025</t>
        </is>
      </c>
      <c r="B324" s="1" t="n">
        <v>45882.4021875</v>
      </c>
      <c r="C324" s="1" t="n">
        <v>45887</v>
      </c>
      <c r="D324" t="inlineStr">
        <is>
          <t>DALARNAS LÄN</t>
        </is>
      </c>
      <c r="E324" t="inlineStr">
        <is>
          <t>ORSA</t>
        </is>
      </c>
      <c r="G324" t="n">
        <v>6.9</v>
      </c>
      <c r="H324" t="n">
        <v>0</v>
      </c>
      <c r="I324" t="n">
        <v>0</v>
      </c>
      <c r="J324" t="n">
        <v>0</v>
      </c>
      <c r="K324" t="n">
        <v>0</v>
      </c>
      <c r="L324" t="n">
        <v>0</v>
      </c>
      <c r="M324" t="n">
        <v>0</v>
      </c>
      <c r="N324" t="n">
        <v>0</v>
      </c>
      <c r="O324" t="n">
        <v>0</v>
      </c>
      <c r="P324" t="n">
        <v>0</v>
      </c>
      <c r="Q324" t="n">
        <v>0</v>
      </c>
      <c r="R324" s="2" t="inlineStr"/>
    </row>
    <row r="325" ht="15" customHeight="1">
      <c r="A325" t="inlineStr">
        <is>
          <t>A 37899-2025</t>
        </is>
      </c>
      <c r="B325" s="1" t="n">
        <v>45881.56083333334</v>
      </c>
      <c r="C325" s="1" t="n">
        <v>45887</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37906-2025</t>
        </is>
      </c>
      <c r="B326" s="1" t="n">
        <v>45881.56803240741</v>
      </c>
      <c r="C326" s="1" t="n">
        <v>45887</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10359-2023</t>
        </is>
      </c>
      <c r="B327" s="1" t="n">
        <v>44987.37292824074</v>
      </c>
      <c r="C327" s="1" t="n">
        <v>45887</v>
      </c>
      <c r="D327" t="inlineStr">
        <is>
          <t>DALARNAS LÄN</t>
        </is>
      </c>
      <c r="E327" t="inlineStr">
        <is>
          <t>ORSA</t>
        </is>
      </c>
      <c r="G327" t="n">
        <v>2.5</v>
      </c>
      <c r="H327" t="n">
        <v>0</v>
      </c>
      <c r="I327" t="n">
        <v>0</v>
      </c>
      <c r="J327" t="n">
        <v>0</v>
      </c>
      <c r="K327" t="n">
        <v>0</v>
      </c>
      <c r="L327" t="n">
        <v>0</v>
      </c>
      <c r="M327" t="n">
        <v>0</v>
      </c>
      <c r="N327" t="n">
        <v>0</v>
      </c>
      <c r="O327" t="n">
        <v>0</v>
      </c>
      <c r="P327" t="n">
        <v>0</v>
      </c>
      <c r="Q327" t="n">
        <v>0</v>
      </c>
      <c r="R327" s="2" t="inlineStr"/>
    </row>
    <row r="328" ht="15" customHeight="1">
      <c r="A328" t="inlineStr">
        <is>
          <t>A 49270-2024</t>
        </is>
      </c>
      <c r="B328" s="1" t="n">
        <v>45595.49896990741</v>
      </c>
      <c r="C328" s="1" t="n">
        <v>45887</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45887</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50061-2024</t>
        </is>
      </c>
      <c r="B330" s="1" t="n">
        <v>45600.34721064815</v>
      </c>
      <c r="C330" s="1" t="n">
        <v>45887</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55701-2023</t>
        </is>
      </c>
      <c r="B331" s="1" t="n">
        <v>45239.37113425926</v>
      </c>
      <c r="C331" s="1" t="n">
        <v>45887</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33884-2025</t>
        </is>
      </c>
      <c r="B332" s="1" t="n">
        <v>45842.57081018519</v>
      </c>
      <c r="C332" s="1" t="n">
        <v>45887</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33394-2025</t>
        </is>
      </c>
      <c r="B333" s="1" t="n">
        <v>45841.41704861111</v>
      </c>
      <c r="C333" s="1" t="n">
        <v>45887</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38688-2025</t>
        </is>
      </c>
      <c r="B334" s="1" t="n">
        <v>45884.66097222222</v>
      </c>
      <c r="C334" s="1" t="n">
        <v>45887</v>
      </c>
      <c r="D334" t="inlineStr">
        <is>
          <t>DALARNAS LÄN</t>
        </is>
      </c>
      <c r="E334" t="inlineStr">
        <is>
          <t>ORSA</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56810-2024</t>
        </is>
      </c>
      <c r="B335" s="1" t="n">
        <v>45628</v>
      </c>
      <c r="C335" s="1" t="n">
        <v>45887</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56811-2024</t>
        </is>
      </c>
      <c r="B336" s="1" t="n">
        <v>45628</v>
      </c>
      <c r="C336" s="1" t="n">
        <v>45887</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37852-2024</t>
        </is>
      </c>
      <c r="B337" s="1" t="n">
        <v>45544.3786574074</v>
      </c>
      <c r="C337" s="1" t="n">
        <v>45887</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33835-2025</t>
        </is>
      </c>
      <c r="B338" s="1" t="n">
        <v>45842.47619212963</v>
      </c>
      <c r="C338" s="1" t="n">
        <v>45887</v>
      </c>
      <c r="D338" t="inlineStr">
        <is>
          <t>DALARNAS LÄN</t>
        </is>
      </c>
      <c r="E338" t="inlineStr">
        <is>
          <t>ORSA</t>
        </is>
      </c>
      <c r="G338" t="n">
        <v>15.2</v>
      </c>
      <c r="H338" t="n">
        <v>0</v>
      </c>
      <c r="I338" t="n">
        <v>0</v>
      </c>
      <c r="J338" t="n">
        <v>0</v>
      </c>
      <c r="K338" t="n">
        <v>0</v>
      </c>
      <c r="L338" t="n">
        <v>0</v>
      </c>
      <c r="M338" t="n">
        <v>0</v>
      </c>
      <c r="N338" t="n">
        <v>0</v>
      </c>
      <c r="O338" t="n">
        <v>0</v>
      </c>
      <c r="P338" t="n">
        <v>0</v>
      </c>
      <c r="Q338" t="n">
        <v>0</v>
      </c>
      <c r="R338" s="2" t="inlineStr"/>
    </row>
    <row r="339" ht="15" customHeight="1">
      <c r="A339" t="inlineStr">
        <is>
          <t>A 23350-2024</t>
        </is>
      </c>
      <c r="B339" s="1" t="n">
        <v>45453</v>
      </c>
      <c r="C339" s="1" t="n">
        <v>45887</v>
      </c>
      <c r="D339" t="inlineStr">
        <is>
          <t>DALARNAS LÄN</t>
        </is>
      </c>
      <c r="E339" t="inlineStr">
        <is>
          <t>ORSA</t>
        </is>
      </c>
      <c r="G339" t="n">
        <v>18.7</v>
      </c>
      <c r="H339" t="n">
        <v>0</v>
      </c>
      <c r="I339" t="n">
        <v>0</v>
      </c>
      <c r="J339" t="n">
        <v>0</v>
      </c>
      <c r="K339" t="n">
        <v>0</v>
      </c>
      <c r="L339" t="n">
        <v>0</v>
      </c>
      <c r="M339" t="n">
        <v>0</v>
      </c>
      <c r="N339" t="n">
        <v>0</v>
      </c>
      <c r="O339" t="n">
        <v>0</v>
      </c>
      <c r="P339" t="n">
        <v>0</v>
      </c>
      <c r="Q339" t="n">
        <v>0</v>
      </c>
      <c r="R339" s="2" t="inlineStr"/>
    </row>
    <row r="340" ht="15" customHeight="1">
      <c r="A340" t="inlineStr">
        <is>
          <t>A 3168-2024</t>
        </is>
      </c>
      <c r="B340" s="1" t="n">
        <v>45316.62863425926</v>
      </c>
      <c r="C340" s="1" t="n">
        <v>45887</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17421-2025</t>
        </is>
      </c>
      <c r="B341" s="1" t="n">
        <v>45757.38532407407</v>
      </c>
      <c r="C341" s="1" t="n">
        <v>45887</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33951-2025</t>
        </is>
      </c>
      <c r="B342" s="1" t="n">
        <v>45842.66791666667</v>
      </c>
      <c r="C342" s="1" t="n">
        <v>45887</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63543-2020</t>
        </is>
      </c>
      <c r="B343" s="1" t="n">
        <v>44165</v>
      </c>
      <c r="C343" s="1" t="n">
        <v>45887</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33857-2025</t>
        </is>
      </c>
      <c r="B344" s="1" t="n">
        <v>45842.51953703703</v>
      </c>
      <c r="C344" s="1" t="n">
        <v>45887</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38672-2025</t>
        </is>
      </c>
      <c r="B345" s="1" t="n">
        <v>45884.63340277778</v>
      </c>
      <c r="C345" s="1" t="n">
        <v>45887</v>
      </c>
      <c r="D345" t="inlineStr">
        <is>
          <t>DALARNAS LÄN</t>
        </is>
      </c>
      <c r="E345" t="inlineStr">
        <is>
          <t>ORSA</t>
        </is>
      </c>
      <c r="G345" t="n">
        <v>4.6</v>
      </c>
      <c r="H345" t="n">
        <v>0</v>
      </c>
      <c r="I345" t="n">
        <v>0</v>
      </c>
      <c r="J345" t="n">
        <v>0</v>
      </c>
      <c r="K345" t="n">
        <v>0</v>
      </c>
      <c r="L345" t="n">
        <v>0</v>
      </c>
      <c r="M345" t="n">
        <v>0</v>
      </c>
      <c r="N345" t="n">
        <v>0</v>
      </c>
      <c r="O345" t="n">
        <v>0</v>
      </c>
      <c r="P345" t="n">
        <v>0</v>
      </c>
      <c r="Q345" t="n">
        <v>0</v>
      </c>
      <c r="R345" s="2" t="inlineStr"/>
    </row>
    <row r="346" ht="15" customHeight="1">
      <c r="A346" t="inlineStr">
        <is>
          <t>A 38588-2025</t>
        </is>
      </c>
      <c r="B346" s="1" t="n">
        <v>45884.47355324074</v>
      </c>
      <c r="C346" s="1" t="n">
        <v>45887</v>
      </c>
      <c r="D346" t="inlineStr">
        <is>
          <t>DALARNAS LÄN</t>
        </is>
      </c>
      <c r="E346" t="inlineStr">
        <is>
          <t>ORSA</t>
        </is>
      </c>
      <c r="F346" t="inlineStr">
        <is>
          <t>Bergvik skog öst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54519-2023</t>
        </is>
      </c>
      <c r="B347" s="1" t="n">
        <v>45233.58359953704</v>
      </c>
      <c r="C347" s="1" t="n">
        <v>45887</v>
      </c>
      <c r="D347" t="inlineStr">
        <is>
          <t>DALARNAS LÄN</t>
        </is>
      </c>
      <c r="E347" t="inlineStr">
        <is>
          <t>ORSA</t>
        </is>
      </c>
      <c r="F347" t="inlineStr">
        <is>
          <t>Allmännings- och besparingsskogar</t>
        </is>
      </c>
      <c r="G347" t="n">
        <v>0.5</v>
      </c>
      <c r="H347" t="n">
        <v>0</v>
      </c>
      <c r="I347" t="n">
        <v>0</v>
      </c>
      <c r="J347" t="n">
        <v>0</v>
      </c>
      <c r="K347" t="n">
        <v>0</v>
      </c>
      <c r="L347" t="n">
        <v>0</v>
      </c>
      <c r="M347" t="n">
        <v>0</v>
      </c>
      <c r="N347" t="n">
        <v>0</v>
      </c>
      <c r="O347" t="n">
        <v>0</v>
      </c>
      <c r="P347" t="n">
        <v>0</v>
      </c>
      <c r="Q347" t="n">
        <v>0</v>
      </c>
      <c r="R347" s="2" t="inlineStr"/>
    </row>
    <row r="348" ht="15" customHeight="1">
      <c r="A348" t="inlineStr">
        <is>
          <t>A 22911-2023</t>
        </is>
      </c>
      <c r="B348" s="1" t="n">
        <v>45072</v>
      </c>
      <c r="C348" s="1" t="n">
        <v>45887</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50905-2021</t>
        </is>
      </c>
      <c r="B349" s="1" t="n">
        <v>44460</v>
      </c>
      <c r="C349" s="1" t="n">
        <v>45887</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10261-2022</t>
        </is>
      </c>
      <c r="B350" s="1" t="n">
        <v>44622.6445949074</v>
      </c>
      <c r="C350" s="1" t="n">
        <v>45887</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72310-2021</t>
        </is>
      </c>
      <c r="B351" s="1" t="n">
        <v>44545</v>
      </c>
      <c r="C351" s="1" t="n">
        <v>45887</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34374-2024</t>
        </is>
      </c>
      <c r="B352" s="1" t="n">
        <v>45525.40091435185</v>
      </c>
      <c r="C352" s="1" t="n">
        <v>45887</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52816-2024</t>
        </is>
      </c>
      <c r="B353" s="1" t="n">
        <v>45610.58322916667</v>
      </c>
      <c r="C353" s="1" t="n">
        <v>45887</v>
      </c>
      <c r="D353" t="inlineStr">
        <is>
          <t>DALARNAS LÄN</t>
        </is>
      </c>
      <c r="E353" t="inlineStr">
        <is>
          <t>ORSA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42517-2024</t>
        </is>
      </c>
      <c r="B354" s="1" t="n">
        <v>45565.54078703704</v>
      </c>
      <c r="C354" s="1" t="n">
        <v>45887</v>
      </c>
      <c r="D354" t="inlineStr">
        <is>
          <t>DALARNAS LÄN</t>
        </is>
      </c>
      <c r="E354" t="inlineStr">
        <is>
          <t>ORSA</t>
        </is>
      </c>
      <c r="G354" t="n">
        <v>3</v>
      </c>
      <c r="H354" t="n">
        <v>0</v>
      </c>
      <c r="I354" t="n">
        <v>0</v>
      </c>
      <c r="J354" t="n">
        <v>0</v>
      </c>
      <c r="K354" t="n">
        <v>0</v>
      </c>
      <c r="L354" t="n">
        <v>0</v>
      </c>
      <c r="M354" t="n">
        <v>0</v>
      </c>
      <c r="N354" t="n">
        <v>0</v>
      </c>
      <c r="O354" t="n">
        <v>0</v>
      </c>
      <c r="P354" t="n">
        <v>0</v>
      </c>
      <c r="Q354" t="n">
        <v>0</v>
      </c>
      <c r="R354" s="2" t="inlineStr"/>
    </row>
    <row r="355" ht="15" customHeight="1">
      <c r="A355" t="inlineStr">
        <is>
          <t>A 28082-2023</t>
        </is>
      </c>
      <c r="B355" s="1" t="n">
        <v>45099</v>
      </c>
      <c r="C355" s="1" t="n">
        <v>45887</v>
      </c>
      <c r="D355" t="inlineStr">
        <is>
          <t>DALARNAS LÄN</t>
        </is>
      </c>
      <c r="E355" t="inlineStr">
        <is>
          <t>ORSA</t>
        </is>
      </c>
      <c r="G355" t="n">
        <v>0.4</v>
      </c>
      <c r="H355" t="n">
        <v>0</v>
      </c>
      <c r="I355" t="n">
        <v>0</v>
      </c>
      <c r="J355" t="n">
        <v>0</v>
      </c>
      <c r="K355" t="n">
        <v>0</v>
      </c>
      <c r="L355" t="n">
        <v>0</v>
      </c>
      <c r="M355" t="n">
        <v>0</v>
      </c>
      <c r="N355" t="n">
        <v>0</v>
      </c>
      <c r="O355" t="n">
        <v>0</v>
      </c>
      <c r="P355" t="n">
        <v>0</v>
      </c>
      <c r="Q355" t="n">
        <v>0</v>
      </c>
      <c r="R355" s="2" t="inlineStr"/>
    </row>
    <row r="356" ht="15" customHeight="1">
      <c r="A356" t="inlineStr">
        <is>
          <t>A 27146-2021</t>
        </is>
      </c>
      <c r="B356" s="1" t="n">
        <v>44350</v>
      </c>
      <c r="C356" s="1" t="n">
        <v>45887</v>
      </c>
      <c r="D356" t="inlineStr">
        <is>
          <t>DALARNAS LÄN</t>
        </is>
      </c>
      <c r="E356" t="inlineStr">
        <is>
          <t>ORSA</t>
        </is>
      </c>
      <c r="G356" t="n">
        <v>1</v>
      </c>
      <c r="H356" t="n">
        <v>0</v>
      </c>
      <c r="I356" t="n">
        <v>0</v>
      </c>
      <c r="J356" t="n">
        <v>0</v>
      </c>
      <c r="K356" t="n">
        <v>0</v>
      </c>
      <c r="L356" t="n">
        <v>0</v>
      </c>
      <c r="M356" t="n">
        <v>0</v>
      </c>
      <c r="N356" t="n">
        <v>0</v>
      </c>
      <c r="O356" t="n">
        <v>0</v>
      </c>
      <c r="P356" t="n">
        <v>0</v>
      </c>
      <c r="Q356" t="n">
        <v>0</v>
      </c>
      <c r="R356" s="2" t="inlineStr"/>
    </row>
    <row r="357" ht="15" customHeight="1">
      <c r="A357" t="inlineStr">
        <is>
          <t>A 2717-2024</t>
        </is>
      </c>
      <c r="B357" s="1" t="n">
        <v>45314.49222222222</v>
      </c>
      <c r="C357" s="1" t="n">
        <v>45887</v>
      </c>
      <c r="D357" t="inlineStr">
        <is>
          <t>DALARNAS LÄN</t>
        </is>
      </c>
      <c r="E357" t="inlineStr">
        <is>
          <t>ORSA</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56887-2024</t>
        </is>
      </c>
      <c r="B358" s="1" t="n">
        <v>45628.57388888889</v>
      </c>
      <c r="C358" s="1" t="n">
        <v>45887</v>
      </c>
      <c r="D358" t="inlineStr">
        <is>
          <t>DALARNAS LÄN</t>
        </is>
      </c>
      <c r="E358" t="inlineStr">
        <is>
          <t>ORSA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21216-2023</t>
        </is>
      </c>
      <c r="B359" s="1" t="n">
        <v>45062</v>
      </c>
      <c r="C359" s="1" t="n">
        <v>45887</v>
      </c>
      <c r="D359" t="inlineStr">
        <is>
          <t>DALARNAS LÄN</t>
        </is>
      </c>
      <c r="E359" t="inlineStr">
        <is>
          <t>ORSA</t>
        </is>
      </c>
      <c r="F359" t="inlineStr">
        <is>
          <t>Bergvik skog öst AB</t>
        </is>
      </c>
      <c r="G359" t="n">
        <v>3.8</v>
      </c>
      <c r="H359" t="n">
        <v>0</v>
      </c>
      <c r="I359" t="n">
        <v>0</v>
      </c>
      <c r="J359" t="n">
        <v>0</v>
      </c>
      <c r="K359" t="n">
        <v>0</v>
      </c>
      <c r="L359" t="n">
        <v>0</v>
      </c>
      <c r="M359" t="n">
        <v>0</v>
      </c>
      <c r="N359" t="n">
        <v>0</v>
      </c>
      <c r="O359" t="n">
        <v>0</v>
      </c>
      <c r="P359" t="n">
        <v>0</v>
      </c>
      <c r="Q359" t="n">
        <v>0</v>
      </c>
      <c r="R359" s="2" t="inlineStr"/>
    </row>
    <row r="360" ht="15" customHeight="1">
      <c r="A360" t="inlineStr">
        <is>
          <t>A 42513-2024</t>
        </is>
      </c>
      <c r="B360" s="1" t="n">
        <v>45565.53810185185</v>
      </c>
      <c r="C360" s="1" t="n">
        <v>45887</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44987.41359953704</v>
      </c>
      <c r="C361" s="1" t="n">
        <v>45887</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55691-2022</t>
        </is>
      </c>
      <c r="B362" s="1" t="n">
        <v>44888</v>
      </c>
      <c r="C362" s="1" t="n">
        <v>45887</v>
      </c>
      <c r="D362" t="inlineStr">
        <is>
          <t>DALARNAS LÄN</t>
        </is>
      </c>
      <c r="E362" t="inlineStr">
        <is>
          <t>ORSA</t>
        </is>
      </c>
      <c r="G362" t="n">
        <v>0.4</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45887</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24083-2021</t>
        </is>
      </c>
      <c r="B364" s="1" t="n">
        <v>44336</v>
      </c>
      <c r="C364" s="1" t="n">
        <v>45887</v>
      </c>
      <c r="D364" t="inlineStr">
        <is>
          <t>DALARNAS LÄN</t>
        </is>
      </c>
      <c r="E364" t="inlineStr">
        <is>
          <t>ORSA</t>
        </is>
      </c>
      <c r="G364" t="n">
        <v>2.3</v>
      </c>
      <c r="H364" t="n">
        <v>0</v>
      </c>
      <c r="I364" t="n">
        <v>0</v>
      </c>
      <c r="J364" t="n">
        <v>0</v>
      </c>
      <c r="K364" t="n">
        <v>0</v>
      </c>
      <c r="L364" t="n">
        <v>0</v>
      </c>
      <c r="M364" t="n">
        <v>0</v>
      </c>
      <c r="N364" t="n">
        <v>0</v>
      </c>
      <c r="O364" t="n">
        <v>0</v>
      </c>
      <c r="P364" t="n">
        <v>0</v>
      </c>
      <c r="Q364" t="n">
        <v>0</v>
      </c>
      <c r="R364" s="2" t="inlineStr"/>
    </row>
    <row r="365" ht="15" customHeight="1">
      <c r="A365" t="inlineStr">
        <is>
          <t>A 25591-2022</t>
        </is>
      </c>
      <c r="B365" s="1" t="n">
        <v>44732.67958333333</v>
      </c>
      <c r="C365" s="1" t="n">
        <v>45887</v>
      </c>
      <c r="D365" t="inlineStr">
        <is>
          <t>DALARNAS LÄN</t>
        </is>
      </c>
      <c r="E365" t="inlineStr">
        <is>
          <t>ORSA</t>
        </is>
      </c>
      <c r="G365" t="n">
        <v>6</v>
      </c>
      <c r="H365" t="n">
        <v>0</v>
      </c>
      <c r="I365" t="n">
        <v>0</v>
      </c>
      <c r="J365" t="n">
        <v>0</v>
      </c>
      <c r="K365" t="n">
        <v>0</v>
      </c>
      <c r="L365" t="n">
        <v>0</v>
      </c>
      <c r="M365" t="n">
        <v>0</v>
      </c>
      <c r="N365" t="n">
        <v>0</v>
      </c>
      <c r="O365" t="n">
        <v>0</v>
      </c>
      <c r="P365" t="n">
        <v>0</v>
      </c>
      <c r="Q365" t="n">
        <v>0</v>
      </c>
      <c r="R365" s="2" t="inlineStr"/>
    </row>
    <row r="366" ht="15" customHeight="1">
      <c r="A366" t="inlineStr">
        <is>
          <t>A 61034-2024</t>
        </is>
      </c>
      <c r="B366" s="1" t="n">
        <v>45645.46608796297</v>
      </c>
      <c r="C366" s="1" t="n">
        <v>45887</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42346-2022</t>
        </is>
      </c>
      <c r="B367" s="1" t="n">
        <v>44831.35561342593</v>
      </c>
      <c r="C367" s="1" t="n">
        <v>45887</v>
      </c>
      <c r="D367" t="inlineStr">
        <is>
          <t>DALARNAS LÄN</t>
        </is>
      </c>
      <c r="E367" t="inlineStr">
        <is>
          <t>ORSA</t>
        </is>
      </c>
      <c r="G367" t="n">
        <v>2.4</v>
      </c>
      <c r="H367" t="n">
        <v>0</v>
      </c>
      <c r="I367" t="n">
        <v>0</v>
      </c>
      <c r="J367" t="n">
        <v>0</v>
      </c>
      <c r="K367" t="n">
        <v>0</v>
      </c>
      <c r="L367" t="n">
        <v>0</v>
      </c>
      <c r="M367" t="n">
        <v>0</v>
      </c>
      <c r="N367" t="n">
        <v>0</v>
      </c>
      <c r="O367" t="n">
        <v>0</v>
      </c>
      <c r="P367" t="n">
        <v>0</v>
      </c>
      <c r="Q367" t="n">
        <v>0</v>
      </c>
      <c r="R367" s="2" t="inlineStr"/>
    </row>
    <row r="368" ht="15" customHeight="1">
      <c r="A368" t="inlineStr">
        <is>
          <t>A 52925-2024</t>
        </is>
      </c>
      <c r="B368" s="1" t="n">
        <v>45610.73276620371</v>
      </c>
      <c r="C368" s="1" t="n">
        <v>45887</v>
      </c>
      <c r="D368" t="inlineStr">
        <is>
          <t>DALARNAS LÄN</t>
        </is>
      </c>
      <c r="E368" t="inlineStr">
        <is>
          <t>ORSA</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3951-2023</t>
        </is>
      </c>
      <c r="B369" s="1" t="n">
        <v>44952.38577546296</v>
      </c>
      <c r="C369" s="1" t="n">
        <v>45887</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6097-2025</t>
        </is>
      </c>
      <c r="B370" s="1" t="n">
        <v>45697</v>
      </c>
      <c r="C370" s="1" t="n">
        <v>45887</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40101-2024</t>
        </is>
      </c>
      <c r="B371" s="1" t="n">
        <v>45554.42622685185</v>
      </c>
      <c r="C371" s="1" t="n">
        <v>45887</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61053-2024</t>
        </is>
      </c>
      <c r="B372" s="1" t="n">
        <v>45645.48501157408</v>
      </c>
      <c r="C372" s="1" t="n">
        <v>45887</v>
      </c>
      <c r="D372" t="inlineStr">
        <is>
          <t>DALARNAS LÄN</t>
        </is>
      </c>
      <c r="E372" t="inlineStr">
        <is>
          <t>ORSA</t>
        </is>
      </c>
      <c r="G372" t="n">
        <v>2.6</v>
      </c>
      <c r="H372" t="n">
        <v>0</v>
      </c>
      <c r="I372" t="n">
        <v>0</v>
      </c>
      <c r="J372" t="n">
        <v>0</v>
      </c>
      <c r="K372" t="n">
        <v>0</v>
      </c>
      <c r="L372" t="n">
        <v>0</v>
      </c>
      <c r="M372" t="n">
        <v>0</v>
      </c>
      <c r="N372" t="n">
        <v>0</v>
      </c>
      <c r="O372" t="n">
        <v>0</v>
      </c>
      <c r="P372" t="n">
        <v>0</v>
      </c>
      <c r="Q372" t="n">
        <v>0</v>
      </c>
      <c r="R372" s="2" t="inlineStr"/>
    </row>
    <row r="373" ht="15" customHeight="1">
      <c r="A373" t="inlineStr">
        <is>
          <t>A 20349-2021</t>
        </is>
      </c>
      <c r="B373" s="1" t="n">
        <v>44315.41582175926</v>
      </c>
      <c r="C373" s="1" t="n">
        <v>45887</v>
      </c>
      <c r="D373" t="inlineStr">
        <is>
          <t>DALARNAS LÄN</t>
        </is>
      </c>
      <c r="E373" t="inlineStr">
        <is>
          <t>ORSA</t>
        </is>
      </c>
      <c r="G373" t="n">
        <v>2.3</v>
      </c>
      <c r="H373" t="n">
        <v>0</v>
      </c>
      <c r="I373" t="n">
        <v>0</v>
      </c>
      <c r="J373" t="n">
        <v>0</v>
      </c>
      <c r="K373" t="n">
        <v>0</v>
      </c>
      <c r="L373" t="n">
        <v>0</v>
      </c>
      <c r="M373" t="n">
        <v>0</v>
      </c>
      <c r="N373" t="n">
        <v>0</v>
      </c>
      <c r="O373" t="n">
        <v>0</v>
      </c>
      <c r="P373" t="n">
        <v>0</v>
      </c>
      <c r="Q373" t="n">
        <v>0</v>
      </c>
      <c r="R373" s="2" t="inlineStr"/>
    </row>
    <row r="374" ht="15" customHeight="1">
      <c r="A374" t="inlineStr">
        <is>
          <t>A 56942-2024</t>
        </is>
      </c>
      <c r="B374" s="1" t="n">
        <v>45628.62292824074</v>
      </c>
      <c r="C374" s="1" t="n">
        <v>45887</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3107-2025</t>
        </is>
      </c>
      <c r="B375" s="1" t="n">
        <v>45678.68400462963</v>
      </c>
      <c r="C375" s="1" t="n">
        <v>45887</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21905-2022</t>
        </is>
      </c>
      <c r="B376" s="1" t="n">
        <v>44711</v>
      </c>
      <c r="C376" s="1" t="n">
        <v>45887</v>
      </c>
      <c r="D376" t="inlineStr">
        <is>
          <t>DALARNAS LÄN</t>
        </is>
      </c>
      <c r="E376" t="inlineStr">
        <is>
          <t>ORSA</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45887</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45096.4878125</v>
      </c>
      <c r="C378" s="1" t="n">
        <v>45887</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19024-2021</t>
        </is>
      </c>
      <c r="B379" s="1" t="n">
        <v>44308.5053587963</v>
      </c>
      <c r="C379" s="1" t="n">
        <v>45887</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10048-2023</t>
        </is>
      </c>
      <c r="B380" s="1" t="n">
        <v>44985.67237268519</v>
      </c>
      <c r="C380" s="1" t="n">
        <v>45887</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31688-2024</t>
        </is>
      </c>
      <c r="B381" s="1" t="n">
        <v>45507.46103009259</v>
      </c>
      <c r="C381" s="1" t="n">
        <v>45887</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31031-2023</t>
        </is>
      </c>
      <c r="B382" s="1" t="n">
        <v>45113</v>
      </c>
      <c r="C382" s="1" t="n">
        <v>45887</v>
      </c>
      <c r="D382" t="inlineStr">
        <is>
          <t>DALARNAS LÄN</t>
        </is>
      </c>
      <c r="E382" t="inlineStr">
        <is>
          <t>ORSA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28388-2024</t>
        </is>
      </c>
      <c r="B383" s="1" t="n">
        <v>45477.59960648148</v>
      </c>
      <c r="C383" s="1" t="n">
        <v>45887</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48447-2023</t>
        </is>
      </c>
      <c r="B384" s="1" t="n">
        <v>45206.39274305556</v>
      </c>
      <c r="C384" s="1" t="n">
        <v>45887</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34708-2021</t>
        </is>
      </c>
      <c r="B385" s="1" t="n">
        <v>44382</v>
      </c>
      <c r="C385" s="1" t="n">
        <v>45887</v>
      </c>
      <c r="D385" t="inlineStr">
        <is>
          <t>DALARNAS LÄN</t>
        </is>
      </c>
      <c r="E385" t="inlineStr">
        <is>
          <t>ORSA</t>
        </is>
      </c>
      <c r="G385" t="n">
        <v>4.3</v>
      </c>
      <c r="H385" t="n">
        <v>0</v>
      </c>
      <c r="I385" t="n">
        <v>0</v>
      </c>
      <c r="J385" t="n">
        <v>0</v>
      </c>
      <c r="K385" t="n">
        <v>0</v>
      </c>
      <c r="L385" t="n">
        <v>0</v>
      </c>
      <c r="M385" t="n">
        <v>0</v>
      </c>
      <c r="N385" t="n">
        <v>0</v>
      </c>
      <c r="O385" t="n">
        <v>0</v>
      </c>
      <c r="P385" t="n">
        <v>0</v>
      </c>
      <c r="Q385" t="n">
        <v>0</v>
      </c>
      <c r="R385" s="2" t="inlineStr"/>
    </row>
    <row r="386" ht="15" customHeight="1">
      <c r="A386" t="inlineStr">
        <is>
          <t>A 37830-2024</t>
        </is>
      </c>
      <c r="B386" s="1" t="n">
        <v>45544.34504629629</v>
      </c>
      <c r="C386" s="1" t="n">
        <v>45887</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35477-2023</t>
        </is>
      </c>
      <c r="B387" s="1" t="n">
        <v>45146</v>
      </c>
      <c r="C387" s="1" t="n">
        <v>45887</v>
      </c>
      <c r="D387" t="inlineStr">
        <is>
          <t>DALARNAS LÄN</t>
        </is>
      </c>
      <c r="E387" t="inlineStr">
        <is>
          <t>ORSA</t>
        </is>
      </c>
      <c r="G387" t="n">
        <v>7.7</v>
      </c>
      <c r="H387" t="n">
        <v>0</v>
      </c>
      <c r="I387" t="n">
        <v>0</v>
      </c>
      <c r="J387" t="n">
        <v>0</v>
      </c>
      <c r="K387" t="n">
        <v>0</v>
      </c>
      <c r="L387" t="n">
        <v>0</v>
      </c>
      <c r="M387" t="n">
        <v>0</v>
      </c>
      <c r="N387" t="n">
        <v>0</v>
      </c>
      <c r="O387" t="n">
        <v>0</v>
      </c>
      <c r="P387" t="n">
        <v>0</v>
      </c>
      <c r="Q387" t="n">
        <v>0</v>
      </c>
      <c r="R387" s="2" t="inlineStr"/>
    </row>
    <row r="388" ht="15" customHeight="1">
      <c r="A388" t="inlineStr">
        <is>
          <t>A 45272-2022</t>
        </is>
      </c>
      <c r="B388" s="1" t="n">
        <v>44844</v>
      </c>
      <c r="C388" s="1" t="n">
        <v>45887</v>
      </c>
      <c r="D388" t="inlineStr">
        <is>
          <t>DALARNAS LÄN</t>
        </is>
      </c>
      <c r="E388" t="inlineStr">
        <is>
          <t>ORSA</t>
        </is>
      </c>
      <c r="G388" t="n">
        <v>0.3</v>
      </c>
      <c r="H388" t="n">
        <v>0</v>
      </c>
      <c r="I388" t="n">
        <v>0</v>
      </c>
      <c r="J388" t="n">
        <v>0</v>
      </c>
      <c r="K388" t="n">
        <v>0</v>
      </c>
      <c r="L388" t="n">
        <v>0</v>
      </c>
      <c r="M388" t="n">
        <v>0</v>
      </c>
      <c r="N388" t="n">
        <v>0</v>
      </c>
      <c r="O388" t="n">
        <v>0</v>
      </c>
      <c r="P388" t="n">
        <v>0</v>
      </c>
      <c r="Q388" t="n">
        <v>0</v>
      </c>
      <c r="R388" s="2" t="inlineStr"/>
    </row>
    <row r="389" ht="15" customHeight="1">
      <c r="A389" t="inlineStr">
        <is>
          <t>A 37647-2023</t>
        </is>
      </c>
      <c r="B389" s="1" t="n">
        <v>45159</v>
      </c>
      <c r="C389" s="1" t="n">
        <v>45887</v>
      </c>
      <c r="D389" t="inlineStr">
        <is>
          <t>DALARNAS LÄN</t>
        </is>
      </c>
      <c r="E389" t="inlineStr">
        <is>
          <t>ORSA</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4202-2025</t>
        </is>
      </c>
      <c r="B390" s="1" t="n">
        <v>45685.46236111111</v>
      </c>
      <c r="C390" s="1" t="n">
        <v>45887</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4204-2025</t>
        </is>
      </c>
      <c r="B391" s="1" t="n">
        <v>45685.46390046296</v>
      </c>
      <c r="C391" s="1" t="n">
        <v>45887</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15769-2025</t>
        </is>
      </c>
      <c r="B392" s="1" t="n">
        <v>45748.58792824074</v>
      </c>
      <c r="C392" s="1" t="n">
        <v>45887</v>
      </c>
      <c r="D392" t="inlineStr">
        <is>
          <t>DALARNAS LÄN</t>
        </is>
      </c>
      <c r="E392" t="inlineStr">
        <is>
          <t>ORSA</t>
        </is>
      </c>
      <c r="F392" t="inlineStr">
        <is>
          <t>Bergvik skog öst AB</t>
        </is>
      </c>
      <c r="G392" t="n">
        <v>4.7</v>
      </c>
      <c r="H392" t="n">
        <v>0</v>
      </c>
      <c r="I392" t="n">
        <v>0</v>
      </c>
      <c r="J392" t="n">
        <v>0</v>
      </c>
      <c r="K392" t="n">
        <v>0</v>
      </c>
      <c r="L392" t="n">
        <v>0</v>
      </c>
      <c r="M392" t="n">
        <v>0</v>
      </c>
      <c r="N392" t="n">
        <v>0</v>
      </c>
      <c r="O392" t="n">
        <v>0</v>
      </c>
      <c r="P392" t="n">
        <v>0</v>
      </c>
      <c r="Q392" t="n">
        <v>0</v>
      </c>
      <c r="R392" s="2" t="inlineStr"/>
    </row>
    <row r="393" ht="15" customHeight="1">
      <c r="A393" t="inlineStr">
        <is>
          <t>A 37931-2023</t>
        </is>
      </c>
      <c r="B393" s="1" t="n">
        <v>45160.51721064815</v>
      </c>
      <c r="C393" s="1" t="n">
        <v>45887</v>
      </c>
      <c r="D393" t="inlineStr">
        <is>
          <t>DALARNAS LÄN</t>
        </is>
      </c>
      <c r="E393" t="inlineStr">
        <is>
          <t>ORSA</t>
        </is>
      </c>
      <c r="G393" t="n">
        <v>2.6</v>
      </c>
      <c r="H393" t="n">
        <v>0</v>
      </c>
      <c r="I393" t="n">
        <v>0</v>
      </c>
      <c r="J393" t="n">
        <v>0</v>
      </c>
      <c r="K393" t="n">
        <v>0</v>
      </c>
      <c r="L393" t="n">
        <v>0</v>
      </c>
      <c r="M393" t="n">
        <v>0</v>
      </c>
      <c r="N393" t="n">
        <v>0</v>
      </c>
      <c r="O393" t="n">
        <v>0</v>
      </c>
      <c r="P393" t="n">
        <v>0</v>
      </c>
      <c r="Q393" t="n">
        <v>0</v>
      </c>
      <c r="R393" s="2" t="inlineStr"/>
    </row>
    <row r="394" ht="15" customHeight="1">
      <c r="A394" t="inlineStr">
        <is>
          <t>A 33673-2023</t>
        </is>
      </c>
      <c r="B394" s="1" t="n">
        <v>45132</v>
      </c>
      <c r="C394" s="1" t="n">
        <v>45887</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7628-2025</t>
        </is>
      </c>
      <c r="B395" s="1" t="n">
        <v>45705.73394675926</v>
      </c>
      <c r="C395" s="1" t="n">
        <v>45887</v>
      </c>
      <c r="D395" t="inlineStr">
        <is>
          <t>DALARNAS LÄN</t>
        </is>
      </c>
      <c r="E395" t="inlineStr">
        <is>
          <t>ORSA</t>
        </is>
      </c>
      <c r="G395" t="n">
        <v>1.8</v>
      </c>
      <c r="H395" t="n">
        <v>0</v>
      </c>
      <c r="I395" t="n">
        <v>0</v>
      </c>
      <c r="J395" t="n">
        <v>0</v>
      </c>
      <c r="K395" t="n">
        <v>0</v>
      </c>
      <c r="L395" t="n">
        <v>0</v>
      </c>
      <c r="M395" t="n">
        <v>0</v>
      </c>
      <c r="N395" t="n">
        <v>0</v>
      </c>
      <c r="O395" t="n">
        <v>0</v>
      </c>
      <c r="P395" t="n">
        <v>0</v>
      </c>
      <c r="Q395" t="n">
        <v>0</v>
      </c>
      <c r="R395" s="2" t="inlineStr"/>
    </row>
    <row r="396" ht="15" customHeight="1">
      <c r="A396" t="inlineStr">
        <is>
          <t>A 15766-2025</t>
        </is>
      </c>
      <c r="B396" s="1" t="n">
        <v>45748.58409722222</v>
      </c>
      <c r="C396" s="1" t="n">
        <v>45887</v>
      </c>
      <c r="D396" t="inlineStr">
        <is>
          <t>DALARNAS LÄN</t>
        </is>
      </c>
      <c r="E396" t="inlineStr">
        <is>
          <t>ORSA</t>
        </is>
      </c>
      <c r="F396" t="inlineStr">
        <is>
          <t>Bergvik skog öst AB</t>
        </is>
      </c>
      <c r="G396" t="n">
        <v>9</v>
      </c>
      <c r="H396" t="n">
        <v>0</v>
      </c>
      <c r="I396" t="n">
        <v>0</v>
      </c>
      <c r="J396" t="n">
        <v>0</v>
      </c>
      <c r="K396" t="n">
        <v>0</v>
      </c>
      <c r="L396" t="n">
        <v>0</v>
      </c>
      <c r="M396" t="n">
        <v>0</v>
      </c>
      <c r="N396" t="n">
        <v>0</v>
      </c>
      <c r="O396" t="n">
        <v>0</v>
      </c>
      <c r="P396" t="n">
        <v>0</v>
      </c>
      <c r="Q396" t="n">
        <v>0</v>
      </c>
      <c r="R396" s="2" t="inlineStr"/>
    </row>
    <row r="397" ht="15" customHeight="1">
      <c r="A397" t="inlineStr">
        <is>
          <t>A 8579-2025</t>
        </is>
      </c>
      <c r="B397" s="1" t="n">
        <v>45709</v>
      </c>
      <c r="C397" s="1" t="n">
        <v>45887</v>
      </c>
      <c r="D397" t="inlineStr">
        <is>
          <t>DALARNAS LÄN</t>
        </is>
      </c>
      <c r="E397" t="inlineStr">
        <is>
          <t>ORSA</t>
        </is>
      </c>
      <c r="G397" t="n">
        <v>1.2</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45887</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47134-2024</t>
        </is>
      </c>
      <c r="B399" s="1" t="n">
        <v>45586.58081018519</v>
      </c>
      <c r="C399" s="1" t="n">
        <v>45887</v>
      </c>
      <c r="D399" t="inlineStr">
        <is>
          <t>DALARNAS LÄN</t>
        </is>
      </c>
      <c r="E399" t="inlineStr">
        <is>
          <t>ORSA</t>
        </is>
      </c>
      <c r="G399" t="n">
        <v>0.3</v>
      </c>
      <c r="H399" t="n">
        <v>0</v>
      </c>
      <c r="I399" t="n">
        <v>0</v>
      </c>
      <c r="J399" t="n">
        <v>0</v>
      </c>
      <c r="K399" t="n">
        <v>0</v>
      </c>
      <c r="L399" t="n">
        <v>0</v>
      </c>
      <c r="M399" t="n">
        <v>0</v>
      </c>
      <c r="N399" t="n">
        <v>0</v>
      </c>
      <c r="O399" t="n">
        <v>0</v>
      </c>
      <c r="P399" t="n">
        <v>0</v>
      </c>
      <c r="Q399" t="n">
        <v>0</v>
      </c>
      <c r="R399" s="2" t="inlineStr"/>
    </row>
    <row r="400" ht="15" customHeight="1">
      <c r="A400" t="inlineStr">
        <is>
          <t>A 58853-2022</t>
        </is>
      </c>
      <c r="B400" s="1" t="n">
        <v>44903</v>
      </c>
      <c r="C400" s="1" t="n">
        <v>45887</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53758-2024</t>
        </is>
      </c>
      <c r="B401" s="1" t="n">
        <v>45615.50483796297</v>
      </c>
      <c r="C401" s="1" t="n">
        <v>45887</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53102-2021</t>
        </is>
      </c>
      <c r="B402" s="1" t="n">
        <v>44467</v>
      </c>
      <c r="C402" s="1" t="n">
        <v>45887</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33265-2021</t>
        </is>
      </c>
      <c r="B403" s="1" t="n">
        <v>44377</v>
      </c>
      <c r="C403" s="1" t="n">
        <v>45887</v>
      </c>
      <c r="D403" t="inlineStr">
        <is>
          <t>DALARNAS LÄN</t>
        </is>
      </c>
      <c r="E403" t="inlineStr">
        <is>
          <t>ORSA</t>
        </is>
      </c>
      <c r="G403" t="n">
        <v>1.9</v>
      </c>
      <c r="H403" t="n">
        <v>0</v>
      </c>
      <c r="I403" t="n">
        <v>0</v>
      </c>
      <c r="J403" t="n">
        <v>0</v>
      </c>
      <c r="K403" t="n">
        <v>0</v>
      </c>
      <c r="L403" t="n">
        <v>0</v>
      </c>
      <c r="M403" t="n">
        <v>0</v>
      </c>
      <c r="N403" t="n">
        <v>0</v>
      </c>
      <c r="O403" t="n">
        <v>0</v>
      </c>
      <c r="P403" t="n">
        <v>0</v>
      </c>
      <c r="Q403" t="n">
        <v>0</v>
      </c>
      <c r="R403" s="2" t="inlineStr"/>
    </row>
    <row r="404" ht="15" customHeight="1">
      <c r="A404" t="inlineStr">
        <is>
          <t>A 17518-2025</t>
        </is>
      </c>
      <c r="B404" s="1" t="n">
        <v>45757.57597222222</v>
      </c>
      <c r="C404" s="1" t="n">
        <v>45887</v>
      </c>
      <c r="D404" t="inlineStr">
        <is>
          <t>DALARNAS LÄN</t>
        </is>
      </c>
      <c r="E404" t="inlineStr">
        <is>
          <t>ORSA</t>
        </is>
      </c>
      <c r="F404" t="inlineStr">
        <is>
          <t>Bergvik skog öst AB</t>
        </is>
      </c>
      <c r="G404" t="n">
        <v>7.3</v>
      </c>
      <c r="H404" t="n">
        <v>0</v>
      </c>
      <c r="I404" t="n">
        <v>0</v>
      </c>
      <c r="J404" t="n">
        <v>0</v>
      </c>
      <c r="K404" t="n">
        <v>0</v>
      </c>
      <c r="L404" t="n">
        <v>0</v>
      </c>
      <c r="M404" t="n">
        <v>0</v>
      </c>
      <c r="N404" t="n">
        <v>0</v>
      </c>
      <c r="O404" t="n">
        <v>0</v>
      </c>
      <c r="P404" t="n">
        <v>0</v>
      </c>
      <c r="Q404" t="n">
        <v>0</v>
      </c>
      <c r="R404" s="2" t="inlineStr"/>
    </row>
    <row r="405" ht="15" customHeight="1">
      <c r="A405" t="inlineStr">
        <is>
          <t>A 1304-2024</t>
        </is>
      </c>
      <c r="B405" s="1" t="n">
        <v>45303</v>
      </c>
      <c r="C405" s="1" t="n">
        <v>45887</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49781-2023</t>
        </is>
      </c>
      <c r="B406" s="1" t="n">
        <v>45212.60275462963</v>
      </c>
      <c r="C406" s="1" t="n">
        <v>45887</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49814-2023</t>
        </is>
      </c>
      <c r="B407" s="1" t="n">
        <v>45212.67149305555</v>
      </c>
      <c r="C407" s="1" t="n">
        <v>45887</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47579-2023</t>
        </is>
      </c>
      <c r="B408" s="1" t="n">
        <v>45203.42181712963</v>
      </c>
      <c r="C408" s="1" t="n">
        <v>45887</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27877-2021</t>
        </is>
      </c>
      <c r="B409" s="1" t="n">
        <v>44354.6446875</v>
      </c>
      <c r="C409" s="1" t="n">
        <v>45887</v>
      </c>
      <c r="D409" t="inlineStr">
        <is>
          <t>DALARNAS LÄN</t>
        </is>
      </c>
      <c r="E409" t="inlineStr">
        <is>
          <t>ORSA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17848-2025</t>
        </is>
      </c>
      <c r="B410" s="1" t="n">
        <v>45758.59981481481</v>
      </c>
      <c r="C410" s="1" t="n">
        <v>45887</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892-2024</t>
        </is>
      </c>
      <c r="B411" s="1" t="n">
        <v>45301</v>
      </c>
      <c r="C411" s="1" t="n">
        <v>45887</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16777-2024</t>
        </is>
      </c>
      <c r="B412" s="1" t="n">
        <v>45411</v>
      </c>
      <c r="C412" s="1" t="n">
        <v>45887</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48516-2024</t>
        </is>
      </c>
      <c r="B413" s="1" t="n">
        <v>45593.31292824074</v>
      </c>
      <c r="C413" s="1" t="n">
        <v>45887</v>
      </c>
      <c r="D413" t="inlineStr">
        <is>
          <t>DALARNAS LÄN</t>
        </is>
      </c>
      <c r="E413" t="inlineStr">
        <is>
          <t>ORSA</t>
        </is>
      </c>
      <c r="G413" t="n">
        <v>3.3</v>
      </c>
      <c r="H413" t="n">
        <v>0</v>
      </c>
      <c r="I413" t="n">
        <v>0</v>
      </c>
      <c r="J413" t="n">
        <v>0</v>
      </c>
      <c r="K413" t="n">
        <v>0</v>
      </c>
      <c r="L413" t="n">
        <v>0</v>
      </c>
      <c r="M413" t="n">
        <v>0</v>
      </c>
      <c r="N413" t="n">
        <v>0</v>
      </c>
      <c r="O413" t="n">
        <v>0</v>
      </c>
      <c r="P413" t="n">
        <v>0</v>
      </c>
      <c r="Q413" t="n">
        <v>0</v>
      </c>
      <c r="R413" s="2" t="inlineStr"/>
    </row>
    <row r="414" ht="15" customHeight="1">
      <c r="A414" t="inlineStr">
        <is>
          <t>A 48521-2024</t>
        </is>
      </c>
      <c r="B414" s="1" t="n">
        <v>45593.32871527778</v>
      </c>
      <c r="C414" s="1" t="n">
        <v>45887</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48525-2024</t>
        </is>
      </c>
      <c r="B415" s="1" t="n">
        <v>45593.33947916667</v>
      </c>
      <c r="C415" s="1" t="n">
        <v>45887</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47732-2021</t>
        </is>
      </c>
      <c r="B416" s="1" t="n">
        <v>44448.52815972222</v>
      </c>
      <c r="C416" s="1" t="n">
        <v>45887</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52643-2024</t>
        </is>
      </c>
      <c r="B417" s="1" t="n">
        <v>45610.34175925926</v>
      </c>
      <c r="C417" s="1" t="n">
        <v>45887</v>
      </c>
      <c r="D417" t="inlineStr">
        <is>
          <t>DALARNAS LÄN</t>
        </is>
      </c>
      <c r="E417" t="inlineStr">
        <is>
          <t>ORSA</t>
        </is>
      </c>
      <c r="G417" t="n">
        <v>1.5</v>
      </c>
      <c r="H417" t="n">
        <v>0</v>
      </c>
      <c r="I417" t="n">
        <v>0</v>
      </c>
      <c r="J417" t="n">
        <v>0</v>
      </c>
      <c r="K417" t="n">
        <v>0</v>
      </c>
      <c r="L417" t="n">
        <v>0</v>
      </c>
      <c r="M417" t="n">
        <v>0</v>
      </c>
      <c r="N417" t="n">
        <v>0</v>
      </c>
      <c r="O417" t="n">
        <v>0</v>
      </c>
      <c r="P417" t="n">
        <v>0</v>
      </c>
      <c r="Q417" t="n">
        <v>0</v>
      </c>
      <c r="R417" s="2" t="inlineStr"/>
    </row>
    <row r="418" ht="15" customHeight="1">
      <c r="A418" t="inlineStr">
        <is>
          <t>A 3318-2023</t>
        </is>
      </c>
      <c r="B418" s="1" t="n">
        <v>44949.41788194444</v>
      </c>
      <c r="C418" s="1" t="n">
        <v>45887</v>
      </c>
      <c r="D418" t="inlineStr">
        <is>
          <t>DALARNAS LÄN</t>
        </is>
      </c>
      <c r="E418" t="inlineStr">
        <is>
          <t>ORSA</t>
        </is>
      </c>
      <c r="G418" t="n">
        <v>4.4</v>
      </c>
      <c r="H418" t="n">
        <v>0</v>
      </c>
      <c r="I418" t="n">
        <v>0</v>
      </c>
      <c r="J418" t="n">
        <v>0</v>
      </c>
      <c r="K418" t="n">
        <v>0</v>
      </c>
      <c r="L418" t="n">
        <v>0</v>
      </c>
      <c r="M418" t="n">
        <v>0</v>
      </c>
      <c r="N418" t="n">
        <v>0</v>
      </c>
      <c r="O418" t="n">
        <v>0</v>
      </c>
      <c r="P418" t="n">
        <v>0</v>
      </c>
      <c r="Q418" t="n">
        <v>0</v>
      </c>
      <c r="R418" s="2" t="inlineStr"/>
    </row>
    <row r="419" ht="15" customHeight="1">
      <c r="A419" t="inlineStr">
        <is>
          <t>A 60189-2022</t>
        </is>
      </c>
      <c r="B419" s="1" t="n">
        <v>44910.36798611111</v>
      </c>
      <c r="C419" s="1" t="n">
        <v>45887</v>
      </c>
      <c r="D419" t="inlineStr">
        <is>
          <t>DALARNAS LÄN</t>
        </is>
      </c>
      <c r="E419" t="inlineStr">
        <is>
          <t>ORSA</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9466-2023</t>
        </is>
      </c>
      <c r="B420" s="1" t="n">
        <v>44981</v>
      </c>
      <c r="C420" s="1" t="n">
        <v>45887</v>
      </c>
      <c r="D420" t="inlineStr">
        <is>
          <t>DALARNAS LÄN</t>
        </is>
      </c>
      <c r="E420" t="inlineStr">
        <is>
          <t>ORSA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55534-2023</t>
        </is>
      </c>
      <c r="B421" s="1" t="n">
        <v>45238</v>
      </c>
      <c r="C421" s="1" t="n">
        <v>45887</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21301-2023</t>
        </is>
      </c>
      <c r="B422" s="1" t="n">
        <v>45062.66613425926</v>
      </c>
      <c r="C422" s="1" t="n">
        <v>45887</v>
      </c>
      <c r="D422" t="inlineStr">
        <is>
          <t>DALARNAS LÄN</t>
        </is>
      </c>
      <c r="E422" t="inlineStr">
        <is>
          <t>ORSA</t>
        </is>
      </c>
      <c r="G422" t="n">
        <v>2.2</v>
      </c>
      <c r="H422" t="n">
        <v>0</v>
      </c>
      <c r="I422" t="n">
        <v>0</v>
      </c>
      <c r="J422" t="n">
        <v>0</v>
      </c>
      <c r="K422" t="n">
        <v>0</v>
      </c>
      <c r="L422" t="n">
        <v>0</v>
      </c>
      <c r="M422" t="n">
        <v>0</v>
      </c>
      <c r="N422" t="n">
        <v>0</v>
      </c>
      <c r="O422" t="n">
        <v>0</v>
      </c>
      <c r="P422" t="n">
        <v>0</v>
      </c>
      <c r="Q422" t="n">
        <v>0</v>
      </c>
      <c r="R422" s="2" t="inlineStr"/>
    </row>
    <row r="423" ht="15" customHeight="1">
      <c r="A423" t="inlineStr">
        <is>
          <t>A 36569-2021</t>
        </is>
      </c>
      <c r="B423" s="1" t="n">
        <v>44391</v>
      </c>
      <c r="C423" s="1" t="n">
        <v>45887</v>
      </c>
      <c r="D423" t="inlineStr">
        <is>
          <t>DALARNAS LÄN</t>
        </is>
      </c>
      <c r="E423" t="inlineStr">
        <is>
          <t>ORSA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13575-2025</t>
        </is>
      </c>
      <c r="B424" s="1" t="n">
        <v>45736.57871527778</v>
      </c>
      <c r="C424" s="1" t="n">
        <v>45887</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16992-2025</t>
        </is>
      </c>
      <c r="B425" s="1" t="n">
        <v>45755.50215277778</v>
      </c>
      <c r="C425" s="1" t="n">
        <v>45887</v>
      </c>
      <c r="D425" t="inlineStr">
        <is>
          <t>DALARNAS LÄN</t>
        </is>
      </c>
      <c r="E425" t="inlineStr">
        <is>
          <t>ORSA</t>
        </is>
      </c>
      <c r="G425" t="n">
        <v>1.5</v>
      </c>
      <c r="H425" t="n">
        <v>0</v>
      </c>
      <c r="I425" t="n">
        <v>0</v>
      </c>
      <c r="J425" t="n">
        <v>0</v>
      </c>
      <c r="K425" t="n">
        <v>0</v>
      </c>
      <c r="L425" t="n">
        <v>0</v>
      </c>
      <c r="M425" t="n">
        <v>0</v>
      </c>
      <c r="N425" t="n">
        <v>0</v>
      </c>
      <c r="O425" t="n">
        <v>0</v>
      </c>
      <c r="P425" t="n">
        <v>0</v>
      </c>
      <c r="Q425" t="n">
        <v>0</v>
      </c>
      <c r="R425" s="2" t="inlineStr"/>
    </row>
    <row r="426" ht="15" customHeight="1">
      <c r="A426" t="inlineStr">
        <is>
          <t>A 30382-2023</t>
        </is>
      </c>
      <c r="B426" s="1" t="n">
        <v>45111</v>
      </c>
      <c r="C426" s="1" t="n">
        <v>45887</v>
      </c>
      <c r="D426" t="inlineStr">
        <is>
          <t>DALARNAS LÄN</t>
        </is>
      </c>
      <c r="E426" t="inlineStr">
        <is>
          <t>ORSA</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20589-2025</t>
        </is>
      </c>
      <c r="B427" s="1" t="n">
        <v>45775</v>
      </c>
      <c r="C427" s="1" t="n">
        <v>45887</v>
      </c>
      <c r="D427" t="inlineStr">
        <is>
          <t>DALARNAS LÄN</t>
        </is>
      </c>
      <c r="E427" t="inlineStr">
        <is>
          <t>ORSA</t>
        </is>
      </c>
      <c r="G427" t="n">
        <v>2</v>
      </c>
      <c r="H427" t="n">
        <v>0</v>
      </c>
      <c r="I427" t="n">
        <v>0</v>
      </c>
      <c r="J427" t="n">
        <v>0</v>
      </c>
      <c r="K427" t="n">
        <v>0</v>
      </c>
      <c r="L427" t="n">
        <v>0</v>
      </c>
      <c r="M427" t="n">
        <v>0</v>
      </c>
      <c r="N427" t="n">
        <v>0</v>
      </c>
      <c r="O427" t="n">
        <v>0</v>
      </c>
      <c r="P427" t="n">
        <v>0</v>
      </c>
      <c r="Q427" t="n">
        <v>0</v>
      </c>
      <c r="R427" s="2" t="inlineStr"/>
    </row>
    <row r="428" ht="15" customHeight="1">
      <c r="A428" t="inlineStr">
        <is>
          <t>A 56711-2021</t>
        </is>
      </c>
      <c r="B428" s="1" t="n">
        <v>44481.41222222222</v>
      </c>
      <c r="C428" s="1" t="n">
        <v>45887</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17503-2025</t>
        </is>
      </c>
      <c r="B429" s="1" t="n">
        <v>45757.55321759259</v>
      </c>
      <c r="C429" s="1" t="n">
        <v>45887</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60803-2022</t>
        </is>
      </c>
      <c r="B430" s="1" t="n">
        <v>44914</v>
      </c>
      <c r="C430" s="1" t="n">
        <v>45887</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51915-2022</t>
        </is>
      </c>
      <c r="B431" s="1" t="n">
        <v>44872.62795138889</v>
      </c>
      <c r="C431" s="1" t="n">
        <v>45887</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61699-2020</t>
        </is>
      </c>
      <c r="B432" s="1" t="n">
        <v>44158</v>
      </c>
      <c r="C432" s="1" t="n">
        <v>45887</v>
      </c>
      <c r="D432" t="inlineStr">
        <is>
          <t>DALARNAS LÄN</t>
        </is>
      </c>
      <c r="E432" t="inlineStr">
        <is>
          <t>ORSA</t>
        </is>
      </c>
      <c r="G432" t="n">
        <v>1.5</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45887</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29485-2022</t>
        </is>
      </c>
      <c r="B434" s="1" t="n">
        <v>44753</v>
      </c>
      <c r="C434" s="1" t="n">
        <v>45887</v>
      </c>
      <c r="D434" t="inlineStr">
        <is>
          <t>DALARNAS LÄN</t>
        </is>
      </c>
      <c r="E434" t="inlineStr">
        <is>
          <t>ORSA</t>
        </is>
      </c>
      <c r="G434" t="n">
        <v>1.2</v>
      </c>
      <c r="H434" t="n">
        <v>0</v>
      </c>
      <c r="I434" t="n">
        <v>0</v>
      </c>
      <c r="J434" t="n">
        <v>0</v>
      </c>
      <c r="K434" t="n">
        <v>0</v>
      </c>
      <c r="L434" t="n">
        <v>0</v>
      </c>
      <c r="M434" t="n">
        <v>0</v>
      </c>
      <c r="N434" t="n">
        <v>0</v>
      </c>
      <c r="O434" t="n">
        <v>0</v>
      </c>
      <c r="P434" t="n">
        <v>0</v>
      </c>
      <c r="Q434" t="n">
        <v>0</v>
      </c>
      <c r="R434" s="2" t="inlineStr"/>
    </row>
    <row r="435" ht="15" customHeight="1">
      <c r="A435" t="inlineStr">
        <is>
          <t>A 15914-2021</t>
        </is>
      </c>
      <c r="B435" s="1" t="n">
        <v>44287</v>
      </c>
      <c r="C435" s="1" t="n">
        <v>45887</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51289-2023</t>
        </is>
      </c>
      <c r="B436" s="1" t="n">
        <v>45219.54077546296</v>
      </c>
      <c r="C436" s="1" t="n">
        <v>45887</v>
      </c>
      <c r="D436" t="inlineStr">
        <is>
          <t>DALARNAS LÄN</t>
        </is>
      </c>
      <c r="E436" t="inlineStr">
        <is>
          <t>ORSA</t>
        </is>
      </c>
      <c r="G436" t="n">
        <v>1.5</v>
      </c>
      <c r="H436" t="n">
        <v>0</v>
      </c>
      <c r="I436" t="n">
        <v>0</v>
      </c>
      <c r="J436" t="n">
        <v>0</v>
      </c>
      <c r="K436" t="n">
        <v>0</v>
      </c>
      <c r="L436" t="n">
        <v>0</v>
      </c>
      <c r="M436" t="n">
        <v>0</v>
      </c>
      <c r="N436" t="n">
        <v>0</v>
      </c>
      <c r="O436" t="n">
        <v>0</v>
      </c>
      <c r="P436" t="n">
        <v>0</v>
      </c>
      <c r="Q436" t="n">
        <v>0</v>
      </c>
      <c r="R436" s="2" t="inlineStr"/>
    </row>
    <row r="437" ht="15" customHeight="1">
      <c r="A437" t="inlineStr">
        <is>
          <t>A 13236-2022</t>
        </is>
      </c>
      <c r="B437" s="1" t="n">
        <v>44644.61106481482</v>
      </c>
      <c r="C437" s="1" t="n">
        <v>45887</v>
      </c>
      <c r="D437" t="inlineStr">
        <is>
          <t>DALARNAS LÄN</t>
        </is>
      </c>
      <c r="E437" t="inlineStr">
        <is>
          <t>ORSA</t>
        </is>
      </c>
      <c r="G437" t="n">
        <v>0.5</v>
      </c>
      <c r="H437" t="n">
        <v>0</v>
      </c>
      <c r="I437" t="n">
        <v>0</v>
      </c>
      <c r="J437" t="n">
        <v>0</v>
      </c>
      <c r="K437" t="n">
        <v>0</v>
      </c>
      <c r="L437" t="n">
        <v>0</v>
      </c>
      <c r="M437" t="n">
        <v>0</v>
      </c>
      <c r="N437" t="n">
        <v>0</v>
      </c>
      <c r="O437" t="n">
        <v>0</v>
      </c>
      <c r="P437" t="n">
        <v>0</v>
      </c>
      <c r="Q437" t="n">
        <v>0</v>
      </c>
      <c r="R437" s="2" t="inlineStr"/>
    </row>
    <row r="438" ht="15" customHeight="1">
      <c r="A438" t="inlineStr">
        <is>
          <t>A 48990-2023</t>
        </is>
      </c>
      <c r="B438" s="1" t="n">
        <v>45209.64740740741</v>
      </c>
      <c r="C438" s="1" t="n">
        <v>45887</v>
      </c>
      <c r="D438" t="inlineStr">
        <is>
          <t>DALARNAS LÄN</t>
        </is>
      </c>
      <c r="E438" t="inlineStr">
        <is>
          <t>ORSA</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61684-2024</t>
        </is>
      </c>
      <c r="B439" s="1" t="n">
        <v>45647.56491898148</v>
      </c>
      <c r="C439" s="1" t="n">
        <v>45887</v>
      </c>
      <c r="D439" t="inlineStr">
        <is>
          <t>DALARNAS LÄN</t>
        </is>
      </c>
      <c r="E439" t="inlineStr">
        <is>
          <t>ORSA</t>
        </is>
      </c>
      <c r="G439" t="n">
        <v>5.8</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45887</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45887</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31170-2023</t>
        </is>
      </c>
      <c r="B442" s="1" t="n">
        <v>45113.84923611111</v>
      </c>
      <c r="C442" s="1" t="n">
        <v>45887</v>
      </c>
      <c r="D442" t="inlineStr">
        <is>
          <t>DALARNAS LÄN</t>
        </is>
      </c>
      <c r="E442" t="inlineStr">
        <is>
          <t>ORSA</t>
        </is>
      </c>
      <c r="G442" t="n">
        <v>2.1</v>
      </c>
      <c r="H442" t="n">
        <v>0</v>
      </c>
      <c r="I442" t="n">
        <v>0</v>
      </c>
      <c r="J442" t="n">
        <v>0</v>
      </c>
      <c r="K442" t="n">
        <v>0</v>
      </c>
      <c r="L442" t="n">
        <v>0</v>
      </c>
      <c r="M442" t="n">
        <v>0</v>
      </c>
      <c r="N442" t="n">
        <v>0</v>
      </c>
      <c r="O442" t="n">
        <v>0</v>
      </c>
      <c r="P442" t="n">
        <v>0</v>
      </c>
      <c r="Q442" t="n">
        <v>0</v>
      </c>
      <c r="R442" s="2" t="inlineStr"/>
    </row>
    <row r="443" ht="15" customHeight="1">
      <c r="A443" t="inlineStr">
        <is>
          <t>A 31171-2023</t>
        </is>
      </c>
      <c r="B443" s="1" t="n">
        <v>45113.85704861111</v>
      </c>
      <c r="C443" s="1" t="n">
        <v>45887</v>
      </c>
      <c r="D443" t="inlineStr">
        <is>
          <t>DALARNAS LÄN</t>
        </is>
      </c>
      <c r="E443" t="inlineStr">
        <is>
          <t>ORSA</t>
        </is>
      </c>
      <c r="G443" t="n">
        <v>1.4</v>
      </c>
      <c r="H443" t="n">
        <v>0</v>
      </c>
      <c r="I443" t="n">
        <v>0</v>
      </c>
      <c r="J443" t="n">
        <v>0</v>
      </c>
      <c r="K443" t="n">
        <v>0</v>
      </c>
      <c r="L443" t="n">
        <v>0</v>
      </c>
      <c r="M443" t="n">
        <v>0</v>
      </c>
      <c r="N443" t="n">
        <v>0</v>
      </c>
      <c r="O443" t="n">
        <v>0</v>
      </c>
      <c r="P443" t="n">
        <v>0</v>
      </c>
      <c r="Q443" t="n">
        <v>0</v>
      </c>
      <c r="R443" s="2" t="inlineStr"/>
    </row>
    <row r="444" ht="15" customHeight="1">
      <c r="A444" t="inlineStr">
        <is>
          <t>A 50734-2023</t>
        </is>
      </c>
      <c r="B444" s="1" t="n">
        <v>45217.58043981482</v>
      </c>
      <c r="C444" s="1" t="n">
        <v>45887</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28451-2023</t>
        </is>
      </c>
      <c r="B445" s="1" t="n">
        <v>45103.33896990741</v>
      </c>
      <c r="C445" s="1" t="n">
        <v>45887</v>
      </c>
      <c r="D445" t="inlineStr">
        <is>
          <t>DALARNAS LÄN</t>
        </is>
      </c>
      <c r="E445" t="inlineStr">
        <is>
          <t>ORSA</t>
        </is>
      </c>
      <c r="G445" t="n">
        <v>0.5</v>
      </c>
      <c r="H445" t="n">
        <v>0</v>
      </c>
      <c r="I445" t="n">
        <v>0</v>
      </c>
      <c r="J445" t="n">
        <v>0</v>
      </c>
      <c r="K445" t="n">
        <v>0</v>
      </c>
      <c r="L445" t="n">
        <v>0</v>
      </c>
      <c r="M445" t="n">
        <v>0</v>
      </c>
      <c r="N445" t="n">
        <v>0</v>
      </c>
      <c r="O445" t="n">
        <v>0</v>
      </c>
      <c r="P445" t="n">
        <v>0</v>
      </c>
      <c r="Q445" t="n">
        <v>0</v>
      </c>
      <c r="R445" s="2" t="inlineStr"/>
    </row>
    <row r="446" ht="15" customHeight="1">
      <c r="A446" t="inlineStr">
        <is>
          <t>A 16383-2024</t>
        </is>
      </c>
      <c r="B446" s="1" t="n">
        <v>45407.61697916667</v>
      </c>
      <c r="C446" s="1" t="n">
        <v>45887</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8429-2024</t>
        </is>
      </c>
      <c r="B447" s="1" t="n">
        <v>45353.38880787037</v>
      </c>
      <c r="C447" s="1" t="n">
        <v>45887</v>
      </c>
      <c r="D447" t="inlineStr">
        <is>
          <t>DALARNAS LÄN</t>
        </is>
      </c>
      <c r="E447" t="inlineStr">
        <is>
          <t>ORSA</t>
        </is>
      </c>
      <c r="G447" t="n">
        <v>0.3</v>
      </c>
      <c r="H447" t="n">
        <v>0</v>
      </c>
      <c r="I447" t="n">
        <v>0</v>
      </c>
      <c r="J447" t="n">
        <v>0</v>
      </c>
      <c r="K447" t="n">
        <v>0</v>
      </c>
      <c r="L447" t="n">
        <v>0</v>
      </c>
      <c r="M447" t="n">
        <v>0</v>
      </c>
      <c r="N447" t="n">
        <v>0</v>
      </c>
      <c r="O447" t="n">
        <v>0</v>
      </c>
      <c r="P447" t="n">
        <v>0</v>
      </c>
      <c r="Q447" t="n">
        <v>0</v>
      </c>
      <c r="R447" s="2" t="inlineStr"/>
    </row>
    <row r="448" ht="15" customHeight="1">
      <c r="A448" t="inlineStr">
        <is>
          <t>A 6492-2025</t>
        </is>
      </c>
      <c r="B448" s="1" t="n">
        <v>45699</v>
      </c>
      <c r="C448" s="1" t="n">
        <v>45887</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13580-2025</t>
        </is>
      </c>
      <c r="B449" s="1" t="n">
        <v>45736.58362268518</v>
      </c>
      <c r="C449" s="1" t="n">
        <v>45887</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28155-2023</t>
        </is>
      </c>
      <c r="B450" s="1" t="n">
        <v>45099</v>
      </c>
      <c r="C450" s="1" t="n">
        <v>45887</v>
      </c>
      <c r="D450" t="inlineStr">
        <is>
          <t>DALARNAS LÄN</t>
        </is>
      </c>
      <c r="E450" t="inlineStr">
        <is>
          <t>ORSA</t>
        </is>
      </c>
      <c r="F450" t="inlineStr">
        <is>
          <t>Bergvik skog öst AB</t>
        </is>
      </c>
      <c r="G450" t="n">
        <v>7.8</v>
      </c>
      <c r="H450" t="n">
        <v>0</v>
      </c>
      <c r="I450" t="n">
        <v>0</v>
      </c>
      <c r="J450" t="n">
        <v>0</v>
      </c>
      <c r="K450" t="n">
        <v>0</v>
      </c>
      <c r="L450" t="n">
        <v>0</v>
      </c>
      <c r="M450" t="n">
        <v>0</v>
      </c>
      <c r="N450" t="n">
        <v>0</v>
      </c>
      <c r="O450" t="n">
        <v>0</v>
      </c>
      <c r="P450" t="n">
        <v>0</v>
      </c>
      <c r="Q450" t="n">
        <v>0</v>
      </c>
      <c r="R450" s="2" t="inlineStr"/>
    </row>
    <row r="451" ht="15" customHeight="1">
      <c r="A451" t="inlineStr">
        <is>
          <t>A 51574-2023</t>
        </is>
      </c>
      <c r="B451" s="1" t="n">
        <v>45222.45090277777</v>
      </c>
      <c r="C451" s="1" t="n">
        <v>45887</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51567-2023</t>
        </is>
      </c>
      <c r="B452" s="1" t="n">
        <v>45222.44800925926</v>
      </c>
      <c r="C452" s="1" t="n">
        <v>45887</v>
      </c>
      <c r="D452" t="inlineStr">
        <is>
          <t>DALARNAS LÄN</t>
        </is>
      </c>
      <c r="E452" t="inlineStr">
        <is>
          <t>ORSA</t>
        </is>
      </c>
      <c r="G452" t="n">
        <v>0.7</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45887</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15870-2025</t>
        </is>
      </c>
      <c r="B454" s="1" t="n">
        <v>45749.37135416667</v>
      </c>
      <c r="C454" s="1" t="n">
        <v>45887</v>
      </c>
      <c r="D454" t="inlineStr">
        <is>
          <t>DALARNAS LÄN</t>
        </is>
      </c>
      <c r="E454" t="inlineStr">
        <is>
          <t>ORSA</t>
        </is>
      </c>
      <c r="F454" t="inlineStr">
        <is>
          <t>Bergvik skog öst AB</t>
        </is>
      </c>
      <c r="G454" t="n">
        <v>2.7</v>
      </c>
      <c r="H454" t="n">
        <v>0</v>
      </c>
      <c r="I454" t="n">
        <v>0</v>
      </c>
      <c r="J454" t="n">
        <v>0</v>
      </c>
      <c r="K454" t="n">
        <v>0</v>
      </c>
      <c r="L454" t="n">
        <v>0</v>
      </c>
      <c r="M454" t="n">
        <v>0</v>
      </c>
      <c r="N454" t="n">
        <v>0</v>
      </c>
      <c r="O454" t="n">
        <v>0</v>
      </c>
      <c r="P454" t="n">
        <v>0</v>
      </c>
      <c r="Q454" t="n">
        <v>0</v>
      </c>
      <c r="R454" s="2" t="inlineStr"/>
    </row>
    <row r="455" ht="15" customHeight="1">
      <c r="A455" t="inlineStr">
        <is>
          <t>A 6047-2023</t>
        </is>
      </c>
      <c r="B455" s="1" t="n">
        <v>44964</v>
      </c>
      <c r="C455" s="1" t="n">
        <v>45887</v>
      </c>
      <c r="D455" t="inlineStr">
        <is>
          <t>DALARNAS LÄN</t>
        </is>
      </c>
      <c r="E455" t="inlineStr">
        <is>
          <t>ORSA</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54546-2024</t>
        </is>
      </c>
      <c r="B456" s="1" t="n">
        <v>45617.61476851852</v>
      </c>
      <c r="C456" s="1" t="n">
        <v>45887</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33384-2022</t>
        </is>
      </c>
      <c r="B457" s="1" t="n">
        <v>44788</v>
      </c>
      <c r="C457" s="1" t="n">
        <v>45887</v>
      </c>
      <c r="D457" t="inlineStr">
        <is>
          <t>DALARNAS LÄN</t>
        </is>
      </c>
      <c r="E457" t="inlineStr">
        <is>
          <t>ORSA</t>
        </is>
      </c>
      <c r="F457" t="inlineStr">
        <is>
          <t>Bergvik skog öst AB</t>
        </is>
      </c>
      <c r="G457" t="n">
        <v>0.7</v>
      </c>
      <c r="H457" t="n">
        <v>0</v>
      </c>
      <c r="I457" t="n">
        <v>0</v>
      </c>
      <c r="J457" t="n">
        <v>0</v>
      </c>
      <c r="K457" t="n">
        <v>0</v>
      </c>
      <c r="L457" t="n">
        <v>0</v>
      </c>
      <c r="M457" t="n">
        <v>0</v>
      </c>
      <c r="N457" t="n">
        <v>0</v>
      </c>
      <c r="O457" t="n">
        <v>0</v>
      </c>
      <c r="P457" t="n">
        <v>0</v>
      </c>
      <c r="Q457" t="n">
        <v>0</v>
      </c>
      <c r="R457" s="2" t="inlineStr"/>
    </row>
    <row r="458" ht="15" customHeight="1">
      <c r="A458" t="inlineStr">
        <is>
          <t>A 52931-2024</t>
        </is>
      </c>
      <c r="B458" s="1" t="n">
        <v>45610.74833333334</v>
      </c>
      <c r="C458" s="1" t="n">
        <v>45887</v>
      </c>
      <c r="D458" t="inlineStr">
        <is>
          <t>DALARNAS LÄN</t>
        </is>
      </c>
      <c r="E458" t="inlineStr">
        <is>
          <t>ORSA</t>
        </is>
      </c>
      <c r="F458" t="inlineStr">
        <is>
          <t>Allmännings- och besparingsskogar</t>
        </is>
      </c>
      <c r="G458" t="n">
        <v>27.5</v>
      </c>
      <c r="H458" t="n">
        <v>0</v>
      </c>
      <c r="I458" t="n">
        <v>0</v>
      </c>
      <c r="J458" t="n">
        <v>0</v>
      </c>
      <c r="K458" t="n">
        <v>0</v>
      </c>
      <c r="L458" t="n">
        <v>0</v>
      </c>
      <c r="M458" t="n">
        <v>0</v>
      </c>
      <c r="N458" t="n">
        <v>0</v>
      </c>
      <c r="O458" t="n">
        <v>0</v>
      </c>
      <c r="P458" t="n">
        <v>0</v>
      </c>
      <c r="Q458" t="n">
        <v>0</v>
      </c>
      <c r="R458" s="2" t="inlineStr"/>
    </row>
    <row r="459">
      <c r="A459" t="inlineStr">
        <is>
          <t>A 14680-2023</t>
        </is>
      </c>
      <c r="B459" s="1" t="n">
        <v>45014.30054398148</v>
      </c>
      <c r="C459" s="1" t="n">
        <v>45887</v>
      </c>
      <c r="D459" t="inlineStr">
        <is>
          <t>DALARNAS LÄN</t>
        </is>
      </c>
      <c r="E459" t="inlineStr">
        <is>
          <t>ORSA</t>
        </is>
      </c>
      <c r="G459" t="n">
        <v>4.2</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2025-08-18T08:32:26Z</dcterms:created>
  <dcterms:modified xmlns:dcterms="http://purl.org/dc/terms/" xmlns:xsi="http://www.w3.org/2001/XMLSchema-instance" xsi:type="dcterms:W3CDTF">2025-08-18T08:32:26Z</dcterms:modified>
</cp:coreProperties>
</file>