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46188</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46188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46188</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46188</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46188</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46188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46188</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46188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7507-2025</t>
        </is>
      </c>
      <c r="B13" s="1" t="n">
        <v>45705</v>
      </c>
      <c r="C13" s="1" t="n">
        <v>46188</v>
      </c>
      <c r="D13" t="inlineStr">
        <is>
          <t>DALARNAS LÄN</t>
        </is>
      </c>
      <c r="E13" t="inlineStr">
        <is>
          <t>ORSA</t>
        </is>
      </c>
      <c r="G13" t="n">
        <v>25.8</v>
      </c>
      <c r="H13" t="n">
        <v>6</v>
      </c>
      <c r="I13" t="n">
        <v>3</v>
      </c>
      <c r="J13" t="n">
        <v>11</v>
      </c>
      <c r="K13" t="n">
        <v>0</v>
      </c>
      <c r="L13" t="n">
        <v>0</v>
      </c>
      <c r="M13" t="n">
        <v>0</v>
      </c>
      <c r="N13" t="n">
        <v>0</v>
      </c>
      <c r="O13" t="n">
        <v>11</v>
      </c>
      <c r="P13" t="n">
        <v>0</v>
      </c>
      <c r="Q13" t="n">
        <v>16</v>
      </c>
      <c r="R13" s="2" t="inlineStr">
        <is>
          <t>Dvärgbägarlav
Garnlav
Kolflarnlav
Mörk kolflarnlav
Rödvingetrast
Spillkråka
Tallticka
Talltita
Tretåig hackspett
Ullticka
Violettgrå tagellav
Dropptaggsvamp
Mindre märgborre
Nästlav
Kungsfågel
Tjäder</t>
        </is>
      </c>
      <c r="S13">
        <f>HYPERLINK("https://klasma.github.io/Logging_2034/artfynd/A 7507-2025 artfynd.xlsx", "A 7507-2025")</f>
        <v/>
      </c>
      <c r="T13">
        <f>HYPERLINK("https://klasma.github.io/Logging_2034/kartor/A 7507-2025 karta.png", "A 7507-2025")</f>
        <v/>
      </c>
      <c r="U13">
        <f>HYPERLINK("https://klasma.github.io/Logging_2034/knärot/A 7507-2025 karta knärot.png", "A 7507-2025")</f>
        <v/>
      </c>
      <c r="V13">
        <f>HYPERLINK("https://klasma.github.io/Logging_2034/klagomål/A 7507-2025 FSC-klagomål.docx", "A 7507-2025")</f>
        <v/>
      </c>
      <c r="W13">
        <f>HYPERLINK("https://klasma.github.io/Logging_2034/klagomålsmail/A 7507-2025 FSC-klagomål mail.docx", "A 7507-2025")</f>
        <v/>
      </c>
      <c r="X13">
        <f>HYPERLINK("https://klasma.github.io/Logging_2034/tillsyn/A 7507-2025 tillsynsbegäran.docx", "A 7507-2025")</f>
        <v/>
      </c>
      <c r="Y13">
        <f>HYPERLINK("https://klasma.github.io/Logging_2034/tillsynsmail/A 7507-2025 tillsynsbegäran mail.docx", "A 7507-2025")</f>
        <v/>
      </c>
      <c r="Z13">
        <f>HYPERLINK("https://klasma.github.io/Logging_2034/fåglar/A 7507-2025 prioriterade fågelarter.docx", "A 7507-2025")</f>
        <v/>
      </c>
    </row>
    <row r="14" ht="15" customHeight="1">
      <c r="A14" t="inlineStr">
        <is>
          <t>A 30284-2024</t>
        </is>
      </c>
      <c r="B14" s="1" t="n">
        <v>45490.63929398148</v>
      </c>
      <c r="C14" s="1" t="n">
        <v>46188</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61338-2024</t>
        </is>
      </c>
      <c r="B15" s="1" t="n">
        <v>45646</v>
      </c>
      <c r="C15" s="1" t="n">
        <v>46188</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46188</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46188</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46188</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46188</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46188</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46188</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46188</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62761-2025</t>
        </is>
      </c>
      <c r="B23" s="1" t="n">
        <v>46008.59363425926</v>
      </c>
      <c r="C23" s="1" t="n">
        <v>46188</v>
      </c>
      <c r="D23" t="inlineStr">
        <is>
          <t>DALARNAS LÄN</t>
        </is>
      </c>
      <c r="E23" t="inlineStr">
        <is>
          <t>ORSA</t>
        </is>
      </c>
      <c r="G23" t="n">
        <v>1.1</v>
      </c>
      <c r="H23" t="n">
        <v>1</v>
      </c>
      <c r="I23" t="n">
        <v>4</v>
      </c>
      <c r="J23" t="n">
        <v>2</v>
      </c>
      <c r="K23" t="n">
        <v>1</v>
      </c>
      <c r="L23" t="n">
        <v>0</v>
      </c>
      <c r="M23" t="n">
        <v>0</v>
      </c>
      <c r="N23" t="n">
        <v>0</v>
      </c>
      <c r="O23" t="n">
        <v>3</v>
      </c>
      <c r="P23" t="n">
        <v>1</v>
      </c>
      <c r="Q23" t="n">
        <v>7</v>
      </c>
      <c r="R23" s="2" t="inlineStr">
        <is>
          <t>Ringlav
Garnlav
Tretåig hackspett
Bronshjon
Mindre märgborre
Rödgul trumpetsvamp
Svavelriska</t>
        </is>
      </c>
      <c r="S23">
        <f>HYPERLINK("https://klasma.github.io/Logging_2034/artfynd/A 62761-2025 artfynd.xlsx", "A 62761-2025")</f>
        <v/>
      </c>
      <c r="T23">
        <f>HYPERLINK("https://klasma.github.io/Logging_2034/kartor/A 62761-2025 karta.png", "A 62761-2025")</f>
        <v/>
      </c>
      <c r="V23">
        <f>HYPERLINK("https://klasma.github.io/Logging_2034/klagomål/A 62761-2025 FSC-klagomål.docx", "A 62761-2025")</f>
        <v/>
      </c>
      <c r="W23">
        <f>HYPERLINK("https://klasma.github.io/Logging_2034/klagomålsmail/A 62761-2025 FSC-klagomål mail.docx", "A 62761-2025")</f>
        <v/>
      </c>
      <c r="X23">
        <f>HYPERLINK("https://klasma.github.io/Logging_2034/tillsyn/A 62761-2025 tillsynsbegäran.docx", "A 62761-2025")</f>
        <v/>
      </c>
      <c r="Y23">
        <f>HYPERLINK("https://klasma.github.io/Logging_2034/tillsynsmail/A 62761-2025 tillsynsbegäran mail.docx", "A 62761-2025")</f>
        <v/>
      </c>
      <c r="Z23">
        <f>HYPERLINK("https://klasma.github.io/Logging_2034/fåglar/A 62761-2025 prioriterade fågelarter.docx", "A 62761-2025")</f>
        <v/>
      </c>
    </row>
    <row r="24" ht="15" customHeight="1">
      <c r="A24" t="inlineStr">
        <is>
          <t>A 707-2024</t>
        </is>
      </c>
      <c r="B24" s="1" t="n">
        <v>45300</v>
      </c>
      <c r="C24" s="1" t="n">
        <v>46188</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21799-2026</t>
        </is>
      </c>
      <c r="B25" s="1" t="n">
        <v>46150.43199074074</v>
      </c>
      <c r="C25" s="1" t="n">
        <v>46188</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46188</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46188</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46188</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7619-2025</t>
        </is>
      </c>
      <c r="B29" s="1" t="n">
        <v>45705</v>
      </c>
      <c r="C29" s="1" t="n">
        <v>46188</v>
      </c>
      <c r="D29" t="inlineStr">
        <is>
          <t>DALARNAS LÄN</t>
        </is>
      </c>
      <c r="E29" t="inlineStr">
        <is>
          <t>ORSA</t>
        </is>
      </c>
      <c r="G29" t="n">
        <v>5.4</v>
      </c>
      <c r="H29" t="n">
        <v>3</v>
      </c>
      <c r="I29" t="n">
        <v>0</v>
      </c>
      <c r="J29" t="n">
        <v>5</v>
      </c>
      <c r="K29" t="n">
        <v>1</v>
      </c>
      <c r="L29" t="n">
        <v>0</v>
      </c>
      <c r="M29" t="n">
        <v>0</v>
      </c>
      <c r="N29" t="n">
        <v>0</v>
      </c>
      <c r="O29" t="n">
        <v>6</v>
      </c>
      <c r="P29" t="n">
        <v>1</v>
      </c>
      <c r="Q29" t="n">
        <v>6</v>
      </c>
      <c r="R29" s="2" t="inlineStr">
        <is>
          <t>Knärot
Garnlav
Granticka
Skogshare
Spillkråka
Tretåig hackspett</t>
        </is>
      </c>
      <c r="S29">
        <f>HYPERLINK("https://klasma.github.io/Logging_2034/artfynd/A 7619-2025 artfynd.xlsx", "A 7619-2025")</f>
        <v/>
      </c>
      <c r="T29">
        <f>HYPERLINK("https://klasma.github.io/Logging_2034/kartor/A 7619-2025 karta.png", "A 7619-2025")</f>
        <v/>
      </c>
      <c r="U29">
        <f>HYPERLINK("https://klasma.github.io/Logging_2034/knärot/A 7619-2025 karta knärot.png",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62748-2025</t>
        </is>
      </c>
      <c r="B30" s="1" t="n">
        <v>46008.57913194445</v>
      </c>
      <c r="C30" s="1" t="n">
        <v>46188</v>
      </c>
      <c r="D30" t="inlineStr">
        <is>
          <t>DALARNAS LÄN</t>
        </is>
      </c>
      <c r="E30" t="inlineStr">
        <is>
          <t>ORSA</t>
        </is>
      </c>
      <c r="G30" t="n">
        <v>10.8</v>
      </c>
      <c r="H30" t="n">
        <v>1</v>
      </c>
      <c r="I30" t="n">
        <v>2</v>
      </c>
      <c r="J30" t="n">
        <v>4</v>
      </c>
      <c r="K30" t="n">
        <v>0</v>
      </c>
      <c r="L30" t="n">
        <v>0</v>
      </c>
      <c r="M30" t="n">
        <v>0</v>
      </c>
      <c r="N30" t="n">
        <v>0</v>
      </c>
      <c r="O30" t="n">
        <v>4</v>
      </c>
      <c r="P30" t="n">
        <v>0</v>
      </c>
      <c r="Q30" t="n">
        <v>6</v>
      </c>
      <c r="R30" s="2" t="inlineStr">
        <is>
          <t>Garnlav
Mörk kolflarnlav
Tretåig hackspett
Violettgrå tagellav
Bronshjon
Mindre märgborre</t>
        </is>
      </c>
      <c r="S30">
        <f>HYPERLINK("https://klasma.github.io/Logging_2034/artfynd/A 62748-2025 artfynd.xlsx", "A 62748-2025")</f>
        <v/>
      </c>
      <c r="T30">
        <f>HYPERLINK("https://klasma.github.io/Logging_2034/kartor/A 62748-2025 karta.png", "A 62748-2025")</f>
        <v/>
      </c>
      <c r="V30">
        <f>HYPERLINK("https://klasma.github.io/Logging_2034/klagomål/A 62748-2025 FSC-klagomål.docx", "A 62748-2025")</f>
        <v/>
      </c>
      <c r="W30">
        <f>HYPERLINK("https://klasma.github.io/Logging_2034/klagomålsmail/A 62748-2025 FSC-klagomål mail.docx", "A 62748-2025")</f>
        <v/>
      </c>
      <c r="X30">
        <f>HYPERLINK("https://klasma.github.io/Logging_2034/tillsyn/A 62748-2025 tillsynsbegäran.docx", "A 62748-2025")</f>
        <v/>
      </c>
      <c r="Y30">
        <f>HYPERLINK("https://klasma.github.io/Logging_2034/tillsynsmail/A 62748-2025 tillsynsbegäran mail.docx", "A 62748-2025")</f>
        <v/>
      </c>
      <c r="Z30">
        <f>HYPERLINK("https://klasma.github.io/Logging_2034/fåglar/A 62748-2025 prioriterade fågelarter.docx", "A 62748-2025")</f>
        <v/>
      </c>
    </row>
    <row r="31" ht="15" customHeight="1">
      <c r="A31" t="inlineStr">
        <is>
          <t>A 22778-2026</t>
        </is>
      </c>
      <c r="B31" s="1" t="n">
        <v>46157.57898148148</v>
      </c>
      <c r="C31" s="1" t="n">
        <v>46188</v>
      </c>
      <c r="D31" t="inlineStr">
        <is>
          <t>DALARNAS LÄN</t>
        </is>
      </c>
      <c r="E31" t="inlineStr">
        <is>
          <t>ORSA</t>
        </is>
      </c>
      <c r="G31" t="n">
        <v>2.3</v>
      </c>
      <c r="H31" t="n">
        <v>4</v>
      </c>
      <c r="I31" t="n">
        <v>1</v>
      </c>
      <c r="J31" t="n">
        <v>3</v>
      </c>
      <c r="K31" t="n">
        <v>0</v>
      </c>
      <c r="L31" t="n">
        <v>0</v>
      </c>
      <c r="M31" t="n">
        <v>0</v>
      </c>
      <c r="N31" t="n">
        <v>0</v>
      </c>
      <c r="O31" t="n">
        <v>3</v>
      </c>
      <c r="P31" t="n">
        <v>0</v>
      </c>
      <c r="Q31" t="n">
        <v>6</v>
      </c>
      <c r="R31" s="2" t="inlineStr">
        <is>
          <t>Blå taggsvamp
Spillkråka
Svartvit flugsnappare
Mindre märgborre
Grönsiska
Trädlärka</t>
        </is>
      </c>
      <c r="S31">
        <f>HYPERLINK("https://klasma.github.io/Logging_2034/artfynd/A 22778-2026 artfynd.xlsx", "A 22778-2026")</f>
        <v/>
      </c>
      <c r="T31">
        <f>HYPERLINK("https://klasma.github.io/Logging_2034/kartor/A 22778-2026 karta.png", "A 22778-2026")</f>
        <v/>
      </c>
      <c r="V31">
        <f>HYPERLINK("https://klasma.github.io/Logging_2034/klagomål/A 22778-2026 FSC-klagomål.docx", "A 22778-2026")</f>
        <v/>
      </c>
      <c r="W31">
        <f>HYPERLINK("https://klasma.github.io/Logging_2034/klagomålsmail/A 22778-2026 FSC-klagomål mail.docx", "A 22778-2026")</f>
        <v/>
      </c>
      <c r="X31">
        <f>HYPERLINK("https://klasma.github.io/Logging_2034/tillsyn/A 22778-2026 tillsynsbegäran.docx", "A 22778-2026")</f>
        <v/>
      </c>
      <c r="Y31">
        <f>HYPERLINK("https://klasma.github.io/Logging_2034/tillsynsmail/A 22778-2026 tillsynsbegäran mail.docx", "A 22778-2026")</f>
        <v/>
      </c>
      <c r="Z31">
        <f>HYPERLINK("https://klasma.github.io/Logging_2034/fåglar/A 22778-2026 prioriterade fågelarter.docx", "A 22778-2026")</f>
        <v/>
      </c>
    </row>
    <row r="32" ht="15" customHeight="1">
      <c r="A32" t="inlineStr">
        <is>
          <t>A 8107-2024</t>
        </is>
      </c>
      <c r="B32" s="1" t="n">
        <v>45351</v>
      </c>
      <c r="C32" s="1" t="n">
        <v>46188</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49516-2025</t>
        </is>
      </c>
      <c r="B33" s="1" t="n">
        <v>45939.38631944444</v>
      </c>
      <c r="C33" s="1" t="n">
        <v>46188</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33841-2023</t>
        </is>
      </c>
      <c r="B34" s="1" t="n">
        <v>45133.66758101852</v>
      </c>
      <c r="C34" s="1" t="n">
        <v>46188</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7618-2025</t>
        </is>
      </c>
      <c r="B35" s="1" t="n">
        <v>45705</v>
      </c>
      <c r="C35" s="1" t="n">
        <v>46188</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21919-2026</t>
        </is>
      </c>
      <c r="B36" s="1" t="n">
        <v>46150.64587962963</v>
      </c>
      <c r="C36" s="1" t="n">
        <v>46188</v>
      </c>
      <c r="D36" t="inlineStr">
        <is>
          <t>DALARNAS LÄN</t>
        </is>
      </c>
      <c r="E36" t="inlineStr">
        <is>
          <t>ORSA</t>
        </is>
      </c>
      <c r="F36" t="inlineStr">
        <is>
          <t>Bergvik skog öst AB</t>
        </is>
      </c>
      <c r="G36" t="n">
        <v>12.4</v>
      </c>
      <c r="H36" t="n">
        <v>0</v>
      </c>
      <c r="I36" t="n">
        <v>1</v>
      </c>
      <c r="J36" t="n">
        <v>4</v>
      </c>
      <c r="K36" t="n">
        <v>0</v>
      </c>
      <c r="L36" t="n">
        <v>0</v>
      </c>
      <c r="M36" t="n">
        <v>0</v>
      </c>
      <c r="N36" t="n">
        <v>0</v>
      </c>
      <c r="O36" t="n">
        <v>4</v>
      </c>
      <c r="P36" t="n">
        <v>0</v>
      </c>
      <c r="Q36" t="n">
        <v>5</v>
      </c>
      <c r="R36" s="2" t="inlineStr">
        <is>
          <t>Blågrå svartspik
Garnlav
Kolflarnlav
Mörk kolflarnlav
Bronshjon</t>
        </is>
      </c>
      <c r="S36">
        <f>HYPERLINK("https://klasma.github.io/Logging_2034/artfynd/A 21919-2026 artfynd.xlsx", "A 21919-2026")</f>
        <v/>
      </c>
      <c r="T36">
        <f>HYPERLINK("https://klasma.github.io/Logging_2034/kartor/A 21919-2026 karta.png", "A 21919-2026")</f>
        <v/>
      </c>
      <c r="V36">
        <f>HYPERLINK("https://klasma.github.io/Logging_2034/klagomål/A 21919-2026 FSC-klagomål.docx", "A 21919-2026")</f>
        <v/>
      </c>
      <c r="W36">
        <f>HYPERLINK("https://klasma.github.io/Logging_2034/klagomålsmail/A 21919-2026 FSC-klagomål mail.docx", "A 21919-2026")</f>
        <v/>
      </c>
      <c r="X36">
        <f>HYPERLINK("https://klasma.github.io/Logging_2034/tillsyn/A 21919-2026 tillsynsbegäran.docx", "A 21919-2026")</f>
        <v/>
      </c>
      <c r="Y36">
        <f>HYPERLINK("https://klasma.github.io/Logging_2034/tillsynsmail/A 21919-2026 tillsynsbegäran mail.docx", "A 21919-2026")</f>
        <v/>
      </c>
    </row>
    <row r="37" ht="15" customHeight="1">
      <c r="A37" t="inlineStr">
        <is>
          <t>A 21476-2026</t>
        </is>
      </c>
      <c r="B37" s="1" t="n">
        <v>46148</v>
      </c>
      <c r="C37" s="1" t="n">
        <v>46188</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22172-2025</t>
        </is>
      </c>
      <c r="B38" s="1" t="n">
        <v>45785</v>
      </c>
      <c r="C38" s="1" t="n">
        <v>46188</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50728-2022</t>
        </is>
      </c>
      <c r="B39" s="1" t="n">
        <v>44867</v>
      </c>
      <c r="C39" s="1" t="n">
        <v>46188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48499-2024</t>
        </is>
      </c>
      <c r="B40" s="1" t="n">
        <v>45592</v>
      </c>
      <c r="C40" s="1" t="n">
        <v>46188</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62837-2025</t>
        </is>
      </c>
      <c r="B41" s="1" t="n">
        <v>46008.68391203704</v>
      </c>
      <c r="C41" s="1" t="n">
        <v>46188</v>
      </c>
      <c r="D41" t="inlineStr">
        <is>
          <t>DALARNAS LÄN</t>
        </is>
      </c>
      <c r="E41" t="inlineStr">
        <is>
          <t>ORSA</t>
        </is>
      </c>
      <c r="G41" t="n">
        <v>6.8</v>
      </c>
      <c r="H41" t="n">
        <v>3</v>
      </c>
      <c r="I41" t="n">
        <v>0</v>
      </c>
      <c r="J41" t="n">
        <v>4</v>
      </c>
      <c r="K41" t="n">
        <v>0</v>
      </c>
      <c r="L41" t="n">
        <v>0</v>
      </c>
      <c r="M41" t="n">
        <v>0</v>
      </c>
      <c r="N41" t="n">
        <v>0</v>
      </c>
      <c r="O41" t="n">
        <v>4</v>
      </c>
      <c r="P41" t="n">
        <v>0</v>
      </c>
      <c r="Q41" t="n">
        <v>4</v>
      </c>
      <c r="R41" s="2" t="inlineStr">
        <is>
          <t>Garnlav
Järpe
Spillkråka
Tretåig hackspett</t>
        </is>
      </c>
      <c r="S41">
        <f>HYPERLINK("https://klasma.github.io/Logging_2034/artfynd/A 62837-2025 artfynd.xlsx", "A 62837-2025")</f>
        <v/>
      </c>
      <c r="T41">
        <f>HYPERLINK("https://klasma.github.io/Logging_2034/kartor/A 62837-2025 karta.png", "A 62837-2025")</f>
        <v/>
      </c>
      <c r="V41">
        <f>HYPERLINK("https://klasma.github.io/Logging_2034/klagomål/A 62837-2025 FSC-klagomål.docx", "A 62837-2025")</f>
        <v/>
      </c>
      <c r="W41">
        <f>HYPERLINK("https://klasma.github.io/Logging_2034/klagomålsmail/A 62837-2025 FSC-klagomål mail.docx", "A 62837-2025")</f>
        <v/>
      </c>
      <c r="X41">
        <f>HYPERLINK("https://klasma.github.io/Logging_2034/tillsyn/A 62837-2025 tillsynsbegäran.docx", "A 62837-2025")</f>
        <v/>
      </c>
      <c r="Y41">
        <f>HYPERLINK("https://klasma.github.io/Logging_2034/tillsynsmail/A 62837-2025 tillsynsbegäran mail.docx", "A 62837-2025")</f>
        <v/>
      </c>
      <c r="Z41">
        <f>HYPERLINK("https://klasma.github.io/Logging_2034/fåglar/A 62837-2025 prioriterade fågelarter.docx", "A 62837-2025")</f>
        <v/>
      </c>
    </row>
    <row r="42" ht="15" customHeight="1">
      <c r="A42" t="inlineStr">
        <is>
          <t>A 33366-2023</t>
        </is>
      </c>
      <c r="B42" s="1" t="n">
        <v>45128</v>
      </c>
      <c r="C42" s="1" t="n">
        <v>46188</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35570-2024</t>
        </is>
      </c>
      <c r="B43" s="1" t="n">
        <v>45531</v>
      </c>
      <c r="C43" s="1" t="n">
        <v>46188</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48985-2025</t>
        </is>
      </c>
      <c r="B44" s="1" t="n">
        <v>45937.57505787037</v>
      </c>
      <c r="C44" s="1" t="n">
        <v>46188</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21747-2025</t>
        </is>
      </c>
      <c r="B45" s="1" t="n">
        <v>45783.60923611111</v>
      </c>
      <c r="C45" s="1" t="n">
        <v>46188</v>
      </c>
      <c r="D45" t="inlineStr">
        <is>
          <t>DALARNAS LÄN</t>
        </is>
      </c>
      <c r="E45" t="inlineStr">
        <is>
          <t>ORSA</t>
        </is>
      </c>
      <c r="G45" t="n">
        <v>1.2</v>
      </c>
      <c r="H45" t="n">
        <v>0</v>
      </c>
      <c r="I45" t="n">
        <v>1</v>
      </c>
      <c r="J45" t="n">
        <v>2</v>
      </c>
      <c r="K45" t="n">
        <v>0</v>
      </c>
      <c r="L45" t="n">
        <v>0</v>
      </c>
      <c r="M45" t="n">
        <v>0</v>
      </c>
      <c r="N45" t="n">
        <v>0</v>
      </c>
      <c r="O45" t="n">
        <v>2</v>
      </c>
      <c r="P45" t="n">
        <v>0</v>
      </c>
      <c r="Q45" t="n">
        <v>3</v>
      </c>
      <c r="R45" s="2" t="inlineStr">
        <is>
          <t>Garnlav
Violettgrå tagellav
Mindre märgborre</t>
        </is>
      </c>
      <c r="S45">
        <f>HYPERLINK("https://klasma.github.io/Logging_2034/artfynd/A 21747-2025 artfynd.xlsx", "A 21747-2025")</f>
        <v/>
      </c>
      <c r="T45">
        <f>HYPERLINK("https://klasma.github.io/Logging_2034/kartor/A 21747-2025 karta.png", "A 21747-2025")</f>
        <v/>
      </c>
      <c r="V45">
        <f>HYPERLINK("https://klasma.github.io/Logging_2034/klagomål/A 21747-2025 FSC-klagomål.docx", "A 21747-2025")</f>
        <v/>
      </c>
      <c r="W45">
        <f>HYPERLINK("https://klasma.github.io/Logging_2034/klagomålsmail/A 21747-2025 FSC-klagomål mail.docx", "A 21747-2025")</f>
        <v/>
      </c>
      <c r="X45">
        <f>HYPERLINK("https://klasma.github.io/Logging_2034/tillsyn/A 21747-2025 tillsynsbegäran.docx", "A 21747-2025")</f>
        <v/>
      </c>
      <c r="Y45">
        <f>HYPERLINK("https://klasma.github.io/Logging_2034/tillsynsmail/A 21747-2025 tillsynsbegäran mail.docx", "A 21747-2025")</f>
        <v/>
      </c>
    </row>
    <row r="46" ht="15" customHeight="1">
      <c r="A46" t="inlineStr">
        <is>
          <t>A 51070-2025</t>
        </is>
      </c>
      <c r="B46" s="1" t="n">
        <v>45947.45513888889</v>
      </c>
      <c r="C46" s="1" t="n">
        <v>46188</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46188</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31161-2025</t>
        </is>
      </c>
      <c r="B48" s="1" t="n">
        <v>45832</v>
      </c>
      <c r="C48" s="1" t="n">
        <v>46188</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51289-2023</t>
        </is>
      </c>
      <c r="B49" s="1" t="n">
        <v>45219.54077546296</v>
      </c>
      <c r="C49" s="1" t="n">
        <v>46188</v>
      </c>
      <c r="D49" t="inlineStr">
        <is>
          <t>DALARNAS LÄN</t>
        </is>
      </c>
      <c r="E49" t="inlineStr">
        <is>
          <t>ORSA</t>
        </is>
      </c>
      <c r="G49" t="n">
        <v>1.5</v>
      </c>
      <c r="H49" t="n">
        <v>1</v>
      </c>
      <c r="I49" t="n">
        <v>1</v>
      </c>
      <c r="J49" t="n">
        <v>2</v>
      </c>
      <c r="K49" t="n">
        <v>0</v>
      </c>
      <c r="L49" t="n">
        <v>0</v>
      </c>
      <c r="M49" t="n">
        <v>0</v>
      </c>
      <c r="N49" t="n">
        <v>0</v>
      </c>
      <c r="O49" t="n">
        <v>2</v>
      </c>
      <c r="P49" t="n">
        <v>0</v>
      </c>
      <c r="Q49" t="n">
        <v>3</v>
      </c>
      <c r="R49" s="2" t="inlineStr">
        <is>
          <t>Garnlav
Spillkråka
Mindre märgborre</t>
        </is>
      </c>
      <c r="S49">
        <f>HYPERLINK("https://klasma.github.io/Logging_2034/artfynd/A 51289-2023 artfynd.xlsx", "A 51289-2023")</f>
        <v/>
      </c>
      <c r="T49">
        <f>HYPERLINK("https://klasma.github.io/Logging_2034/kartor/A 51289-2023 karta.png", "A 51289-2023")</f>
        <v/>
      </c>
      <c r="V49">
        <f>HYPERLINK("https://klasma.github.io/Logging_2034/klagomål/A 51289-2023 FSC-klagomål.docx", "A 51289-2023")</f>
        <v/>
      </c>
      <c r="W49">
        <f>HYPERLINK("https://klasma.github.io/Logging_2034/klagomålsmail/A 51289-2023 FSC-klagomål mail.docx", "A 51289-2023")</f>
        <v/>
      </c>
      <c r="X49">
        <f>HYPERLINK("https://klasma.github.io/Logging_2034/tillsyn/A 51289-2023 tillsynsbegäran.docx", "A 51289-2023")</f>
        <v/>
      </c>
      <c r="Y49">
        <f>HYPERLINK("https://klasma.github.io/Logging_2034/tillsynsmail/A 51289-2023 tillsynsbegäran mail.docx", "A 51289-2023")</f>
        <v/>
      </c>
      <c r="Z49">
        <f>HYPERLINK("https://klasma.github.io/Logging_2034/fåglar/A 51289-2023 prioriterade fågelarter.docx", "A 51289-2023")</f>
        <v/>
      </c>
    </row>
    <row r="50" ht="15" customHeight="1">
      <c r="A50" t="inlineStr">
        <is>
          <t>A 31336-2025</t>
        </is>
      </c>
      <c r="B50" s="1" t="n">
        <v>45833</v>
      </c>
      <c r="C50" s="1" t="n">
        <v>46188</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46188</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48343-2022</t>
        </is>
      </c>
      <c r="B52" s="1" t="n">
        <v>44858</v>
      </c>
      <c r="C52" s="1" t="n">
        <v>46188</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31164-2025</t>
        </is>
      </c>
      <c r="B53" s="1" t="n">
        <v>45832</v>
      </c>
      <c r="C53" s="1" t="n">
        <v>46188</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63810-2021</t>
        </is>
      </c>
      <c r="B54" s="1" t="n">
        <v>44509</v>
      </c>
      <c r="C54" s="1" t="n">
        <v>46188</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18692-2026</t>
        </is>
      </c>
      <c r="B55" s="1" t="n">
        <v>46128.4040625</v>
      </c>
      <c r="C55" s="1" t="n">
        <v>46188</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48973-2025</t>
        </is>
      </c>
      <c r="B56" s="1" t="n">
        <v>45937.5655787037</v>
      </c>
      <c r="C56" s="1" t="n">
        <v>46188</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41553-2025</t>
        </is>
      </c>
      <c r="B57" s="1" t="n">
        <v>45901.59108796297</v>
      </c>
      <c r="C57" s="1" t="n">
        <v>46188</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54773-2025</t>
        </is>
      </c>
      <c r="B58" s="1" t="n">
        <v>45966.61081018519</v>
      </c>
      <c r="C58" s="1" t="n">
        <v>46188</v>
      </c>
      <c r="D58" t="inlineStr">
        <is>
          <t>DALARNAS LÄN</t>
        </is>
      </c>
      <c r="E58" t="inlineStr">
        <is>
          <t>ORSA</t>
        </is>
      </c>
      <c r="G58" t="n">
        <v>3.6</v>
      </c>
      <c r="H58" t="n">
        <v>1</v>
      </c>
      <c r="I58" t="n">
        <v>0</v>
      </c>
      <c r="J58" t="n">
        <v>0</v>
      </c>
      <c r="K58" t="n">
        <v>0</v>
      </c>
      <c r="L58" t="n">
        <v>0</v>
      </c>
      <c r="M58" t="n">
        <v>0</v>
      </c>
      <c r="N58" t="n">
        <v>0</v>
      </c>
      <c r="O58" t="n">
        <v>0</v>
      </c>
      <c r="P58" t="n">
        <v>0</v>
      </c>
      <c r="Q58" t="n">
        <v>1</v>
      </c>
      <c r="R58" s="2" t="inlineStr">
        <is>
          <t>Tjäder</t>
        </is>
      </c>
      <c r="S58">
        <f>HYPERLINK("https://klasma.github.io/Logging_2034/artfynd/A 54773-2025 artfynd.xlsx", "A 54773-2025")</f>
        <v/>
      </c>
      <c r="T58">
        <f>HYPERLINK("https://klasma.github.io/Logging_2034/kartor/A 54773-2025 karta.png", "A 54773-2025")</f>
        <v/>
      </c>
      <c r="V58">
        <f>HYPERLINK("https://klasma.github.io/Logging_2034/klagomål/A 54773-2025 FSC-klagomål.docx", "A 54773-2025")</f>
        <v/>
      </c>
      <c r="W58">
        <f>HYPERLINK("https://klasma.github.io/Logging_2034/klagomålsmail/A 54773-2025 FSC-klagomål mail.docx", "A 54773-2025")</f>
        <v/>
      </c>
      <c r="X58">
        <f>HYPERLINK("https://klasma.github.io/Logging_2034/tillsyn/A 54773-2025 tillsynsbegäran.docx", "A 54773-2025")</f>
        <v/>
      </c>
      <c r="Y58">
        <f>HYPERLINK("https://klasma.github.io/Logging_2034/tillsynsmail/A 54773-2025 tillsynsbegäran mail.docx", "A 54773-2025")</f>
        <v/>
      </c>
      <c r="Z58">
        <f>HYPERLINK("https://klasma.github.io/Logging_2034/fåglar/A 54773-2025 prioriterade fågelarter.docx", "A 54773-2025")</f>
        <v/>
      </c>
    </row>
    <row r="59" ht="15" customHeight="1">
      <c r="A59" t="inlineStr">
        <is>
          <t>A 54687-2025</t>
        </is>
      </c>
      <c r="B59" s="1" t="n">
        <v>45966.45024305556</v>
      </c>
      <c r="C59" s="1" t="n">
        <v>46188</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42327-2025</t>
        </is>
      </c>
      <c r="B60" s="1" t="n">
        <v>45904.68600694444</v>
      </c>
      <c r="C60" s="1" t="n">
        <v>46188</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56344-2025</t>
        </is>
      </c>
      <c r="B61" s="1" t="n">
        <v>45974.64894675926</v>
      </c>
      <c r="C61" s="1" t="n">
        <v>46188</v>
      </c>
      <c r="D61" t="inlineStr">
        <is>
          <t>DALARNAS LÄN</t>
        </is>
      </c>
      <c r="E61" t="inlineStr">
        <is>
          <t>ORSA</t>
        </is>
      </c>
      <c r="G61" t="n">
        <v>5.5</v>
      </c>
      <c r="H61" t="n">
        <v>1</v>
      </c>
      <c r="I61" t="n">
        <v>1</v>
      </c>
      <c r="J61" t="n">
        <v>0</v>
      </c>
      <c r="K61" t="n">
        <v>0</v>
      </c>
      <c r="L61" t="n">
        <v>0</v>
      </c>
      <c r="M61" t="n">
        <v>0</v>
      </c>
      <c r="N61" t="n">
        <v>0</v>
      </c>
      <c r="O61" t="n">
        <v>0</v>
      </c>
      <c r="P61" t="n">
        <v>0</v>
      </c>
      <c r="Q61" t="n">
        <v>1</v>
      </c>
      <c r="R61" s="2" t="inlineStr">
        <is>
          <t>Guckusko</t>
        </is>
      </c>
      <c r="S61">
        <f>HYPERLINK("https://klasma.github.io/Logging_2034/artfynd/A 56344-2025 artfynd.xlsx", "A 56344-2025")</f>
        <v/>
      </c>
      <c r="T61">
        <f>HYPERLINK("https://klasma.github.io/Logging_2034/kartor/A 56344-2025 karta.png", "A 56344-2025")</f>
        <v/>
      </c>
      <c r="V61">
        <f>HYPERLINK("https://klasma.github.io/Logging_2034/klagomål/A 56344-2025 FSC-klagomål.docx", "A 56344-2025")</f>
        <v/>
      </c>
      <c r="W61">
        <f>HYPERLINK("https://klasma.github.io/Logging_2034/klagomålsmail/A 56344-2025 FSC-klagomål mail.docx", "A 56344-2025")</f>
        <v/>
      </c>
      <c r="X61">
        <f>HYPERLINK("https://klasma.github.io/Logging_2034/tillsyn/A 56344-2025 tillsynsbegäran.docx", "A 56344-2025")</f>
        <v/>
      </c>
      <c r="Y61">
        <f>HYPERLINK("https://klasma.github.io/Logging_2034/tillsynsmail/A 56344-2025 tillsynsbegäran mail.docx", "A 56344-2025")</f>
        <v/>
      </c>
    </row>
    <row r="62" ht="15" customHeight="1">
      <c r="A62" t="inlineStr">
        <is>
          <t>A 51303-2023</t>
        </is>
      </c>
      <c r="B62" s="1" t="n">
        <v>45219.55793981482</v>
      </c>
      <c r="C62" s="1" t="n">
        <v>46188</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Mindre märgborre</t>
        </is>
      </c>
      <c r="S62">
        <f>HYPERLINK("https://klasma.github.io/Logging_2034/artfynd/A 51303-2023 artfynd.xlsx", "A 51303-2023")</f>
        <v/>
      </c>
      <c r="T62">
        <f>HYPERLINK("https://klasma.github.io/Logging_2034/kartor/A 51303-2023 karta.png", "A 51303-2023")</f>
        <v/>
      </c>
      <c r="V62">
        <f>HYPERLINK("https://klasma.github.io/Logging_2034/klagomål/A 51303-2023 FSC-klagomål.docx", "A 51303-2023")</f>
        <v/>
      </c>
      <c r="W62">
        <f>HYPERLINK("https://klasma.github.io/Logging_2034/klagomålsmail/A 51303-2023 FSC-klagomål mail.docx", "A 51303-2023")</f>
        <v/>
      </c>
      <c r="X62">
        <f>HYPERLINK("https://klasma.github.io/Logging_2034/tillsyn/A 51303-2023 tillsynsbegäran.docx", "A 51303-2023")</f>
        <v/>
      </c>
      <c r="Y62">
        <f>HYPERLINK("https://klasma.github.io/Logging_2034/tillsynsmail/A 51303-2023 tillsynsbegäran mail.docx", "A 51303-2023")</f>
        <v/>
      </c>
    </row>
    <row r="63" ht="15" customHeight="1">
      <c r="A63" t="inlineStr">
        <is>
          <t>A 30493-2024</t>
        </is>
      </c>
      <c r="B63" s="1" t="n">
        <v>45492.34811342593</v>
      </c>
      <c r="C63" s="1" t="n">
        <v>46188</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21630-2026</t>
        </is>
      </c>
      <c r="B64" s="1" t="n">
        <v>46149.42052083334</v>
      </c>
      <c r="C64" s="1" t="n">
        <v>46188</v>
      </c>
      <c r="D64" t="inlineStr">
        <is>
          <t>DALARNAS LÄN</t>
        </is>
      </c>
      <c r="E64" t="inlineStr">
        <is>
          <t>ORSA</t>
        </is>
      </c>
      <c r="F64" t="inlineStr">
        <is>
          <t>Allmännings- och besparingsskogar</t>
        </is>
      </c>
      <c r="G64" t="n">
        <v>9.800000000000001</v>
      </c>
      <c r="H64" t="n">
        <v>0</v>
      </c>
      <c r="I64" t="n">
        <v>0</v>
      </c>
      <c r="J64" t="n">
        <v>1</v>
      </c>
      <c r="K64" t="n">
        <v>0</v>
      </c>
      <c r="L64" t="n">
        <v>0</v>
      </c>
      <c r="M64" t="n">
        <v>0</v>
      </c>
      <c r="N64" t="n">
        <v>0</v>
      </c>
      <c r="O64" t="n">
        <v>1</v>
      </c>
      <c r="P64" t="n">
        <v>0</v>
      </c>
      <c r="Q64" t="n">
        <v>1</v>
      </c>
      <c r="R64" s="2" t="inlineStr">
        <is>
          <t>Mörk kolflarnlav</t>
        </is>
      </c>
      <c r="S64">
        <f>HYPERLINK("https://klasma.github.io/Logging_2034/artfynd/A 21630-2026 artfynd.xlsx", "A 21630-2026")</f>
        <v/>
      </c>
      <c r="T64">
        <f>HYPERLINK("https://klasma.github.io/Logging_2034/kartor/A 21630-2026 karta.png", "A 21630-2026")</f>
        <v/>
      </c>
      <c r="V64">
        <f>HYPERLINK("https://klasma.github.io/Logging_2034/klagomål/A 21630-2026 FSC-klagomål.docx", "A 21630-2026")</f>
        <v/>
      </c>
      <c r="W64">
        <f>HYPERLINK("https://klasma.github.io/Logging_2034/klagomålsmail/A 21630-2026 FSC-klagomål mail.docx", "A 21630-2026")</f>
        <v/>
      </c>
      <c r="X64">
        <f>HYPERLINK("https://klasma.github.io/Logging_2034/tillsyn/A 21630-2026 tillsynsbegäran.docx", "A 21630-2026")</f>
        <v/>
      </c>
      <c r="Y64">
        <f>HYPERLINK("https://klasma.github.io/Logging_2034/tillsynsmail/A 21630-2026 tillsynsbegäran mail.docx", "A 21630-2026")</f>
        <v/>
      </c>
    </row>
    <row r="65" ht="15" customHeight="1">
      <c r="A65" t="inlineStr">
        <is>
          <t>A 16285-2026</t>
        </is>
      </c>
      <c r="B65" s="1" t="n">
        <v>46111.49975694445</v>
      </c>
      <c r="C65" s="1" t="n">
        <v>46188</v>
      </c>
      <c r="D65" t="inlineStr">
        <is>
          <t>DALARNAS LÄN</t>
        </is>
      </c>
      <c r="E65" t="inlineStr">
        <is>
          <t>ORSA</t>
        </is>
      </c>
      <c r="F65" t="inlineStr">
        <is>
          <t>Bergvik skog öst AB</t>
        </is>
      </c>
      <c r="G65" t="n">
        <v>6.2</v>
      </c>
      <c r="H65" t="n">
        <v>1</v>
      </c>
      <c r="I65" t="n">
        <v>0</v>
      </c>
      <c r="J65" t="n">
        <v>0</v>
      </c>
      <c r="K65" t="n">
        <v>0</v>
      </c>
      <c r="L65" t="n">
        <v>1</v>
      </c>
      <c r="M65" t="n">
        <v>0</v>
      </c>
      <c r="N65" t="n">
        <v>0</v>
      </c>
      <c r="O65" t="n">
        <v>1</v>
      </c>
      <c r="P65" t="n">
        <v>1</v>
      </c>
      <c r="Q65" t="n">
        <v>1</v>
      </c>
      <c r="R65" s="2" t="inlineStr">
        <is>
          <t>Mosippa</t>
        </is>
      </c>
      <c r="S65">
        <f>HYPERLINK("https://klasma.github.io/Logging_2034/artfynd/A 16285-2026 artfynd.xlsx", "A 16285-2026")</f>
        <v/>
      </c>
      <c r="T65">
        <f>HYPERLINK("https://klasma.github.io/Logging_2034/kartor/A 16285-2026 karta.png", "A 16285-2026")</f>
        <v/>
      </c>
      <c r="V65">
        <f>HYPERLINK("https://klasma.github.io/Logging_2034/klagomål/A 16285-2026 FSC-klagomål.docx", "A 16285-2026")</f>
        <v/>
      </c>
      <c r="W65">
        <f>HYPERLINK("https://klasma.github.io/Logging_2034/klagomålsmail/A 16285-2026 FSC-klagomål mail.docx", "A 16285-2026")</f>
        <v/>
      </c>
      <c r="X65">
        <f>HYPERLINK("https://klasma.github.io/Logging_2034/tillsyn/A 16285-2026 tillsynsbegäran.docx", "A 16285-2026")</f>
        <v/>
      </c>
      <c r="Y65">
        <f>HYPERLINK("https://klasma.github.io/Logging_2034/tillsynsmail/A 16285-2026 tillsynsbegäran mail.docx", "A 16285-2026")</f>
        <v/>
      </c>
    </row>
    <row r="66" ht="15" customHeight="1">
      <c r="A66" t="inlineStr">
        <is>
          <t>A 11812-2026</t>
        </is>
      </c>
      <c r="B66" s="1" t="n">
        <v>46085.37966435185</v>
      </c>
      <c r="C66" s="1" t="n">
        <v>46188</v>
      </c>
      <c r="D66" t="inlineStr">
        <is>
          <t>DALARNAS LÄN</t>
        </is>
      </c>
      <c r="E66" t="inlineStr">
        <is>
          <t>ORSA</t>
        </is>
      </c>
      <c r="F66" t="inlineStr">
        <is>
          <t>Kyrkan</t>
        </is>
      </c>
      <c r="G66" t="n">
        <v>2</v>
      </c>
      <c r="H66" t="n">
        <v>1</v>
      </c>
      <c r="I66" t="n">
        <v>0</v>
      </c>
      <c r="J66" t="n">
        <v>0</v>
      </c>
      <c r="K66" t="n">
        <v>0</v>
      </c>
      <c r="L66" t="n">
        <v>0</v>
      </c>
      <c r="M66" t="n">
        <v>0</v>
      </c>
      <c r="N66" t="n">
        <v>0</v>
      </c>
      <c r="O66" t="n">
        <v>0</v>
      </c>
      <c r="P66" t="n">
        <v>0</v>
      </c>
      <c r="Q66" t="n">
        <v>1</v>
      </c>
      <c r="R66" s="2" t="inlineStr">
        <is>
          <t>Tjäder</t>
        </is>
      </c>
      <c r="S66">
        <f>HYPERLINK("https://klasma.github.io/Logging_2034/artfynd/A 11812-2026 artfynd.xlsx", "A 11812-2026")</f>
        <v/>
      </c>
      <c r="T66">
        <f>HYPERLINK("https://klasma.github.io/Logging_2034/kartor/A 11812-2026 karta.png", "A 11812-2026")</f>
        <v/>
      </c>
      <c r="V66">
        <f>HYPERLINK("https://klasma.github.io/Logging_2034/klagomål/A 11812-2026 FSC-klagomål.docx", "A 11812-2026")</f>
        <v/>
      </c>
      <c r="W66">
        <f>HYPERLINK("https://klasma.github.io/Logging_2034/klagomålsmail/A 11812-2026 FSC-klagomål mail.docx", "A 11812-2026")</f>
        <v/>
      </c>
      <c r="X66">
        <f>HYPERLINK("https://klasma.github.io/Logging_2034/tillsyn/A 11812-2026 tillsynsbegäran.docx", "A 11812-2026")</f>
        <v/>
      </c>
      <c r="Y66">
        <f>HYPERLINK("https://klasma.github.io/Logging_2034/tillsynsmail/A 11812-2026 tillsynsbegäran mail.docx", "A 11812-2026")</f>
        <v/>
      </c>
      <c r="Z66">
        <f>HYPERLINK("https://klasma.github.io/Logging_2034/fåglar/A 11812-2026 prioriterade fågelarter.docx", "A 11812-2026")</f>
        <v/>
      </c>
    </row>
    <row r="67" ht="15" customHeight="1">
      <c r="A67" t="inlineStr">
        <is>
          <t>A 37887-2023</t>
        </is>
      </c>
      <c r="B67" s="1" t="n">
        <v>45160</v>
      </c>
      <c r="C67" s="1" t="n">
        <v>46188</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9466-2023</t>
        </is>
      </c>
      <c r="B68" s="1" t="n">
        <v>44981</v>
      </c>
      <c r="C68" s="1" t="n">
        <v>46188</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46188</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46188</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46188</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46188</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46188</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46188</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46188</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46188</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46188</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46188</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46188</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46188</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46188</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46188</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46188</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46188</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46188</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46188</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46188</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46188</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46188</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46188</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46188</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46188</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46188</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46188</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46188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46188</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44035-2022</t>
        </is>
      </c>
      <c r="B97" s="1" t="n">
        <v>44838.94439814815</v>
      </c>
      <c r="C97" s="1" t="n">
        <v>46188</v>
      </c>
      <c r="D97" t="inlineStr">
        <is>
          <t>DALARNAS LÄN</t>
        </is>
      </c>
      <c r="E97" t="inlineStr">
        <is>
          <t>ORSA</t>
        </is>
      </c>
      <c r="G97" t="n">
        <v>5.8</v>
      </c>
      <c r="H97" t="n">
        <v>0</v>
      </c>
      <c r="I97" t="n">
        <v>0</v>
      </c>
      <c r="J97" t="n">
        <v>0</v>
      </c>
      <c r="K97" t="n">
        <v>0</v>
      </c>
      <c r="L97" t="n">
        <v>0</v>
      </c>
      <c r="M97" t="n">
        <v>0</v>
      </c>
      <c r="N97" t="n">
        <v>0</v>
      </c>
      <c r="O97" t="n">
        <v>0</v>
      </c>
      <c r="P97" t="n">
        <v>0</v>
      </c>
      <c r="Q97" t="n">
        <v>0</v>
      </c>
      <c r="R97" s="2" t="inlineStr"/>
    </row>
    <row r="98" ht="15" customHeight="1">
      <c r="A98" t="inlineStr">
        <is>
          <t>A 46244-2022</t>
        </is>
      </c>
      <c r="B98" s="1" t="n">
        <v>44847.62055555556</v>
      </c>
      <c r="C98" s="1" t="n">
        <v>46188</v>
      </c>
      <c r="D98" t="inlineStr">
        <is>
          <t>DALARNAS LÄN</t>
        </is>
      </c>
      <c r="E98" t="inlineStr">
        <is>
          <t>ORSA</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46188</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46188</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46188</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68230-2021</t>
        </is>
      </c>
      <c r="B102" s="1" t="n">
        <v>44526</v>
      </c>
      <c r="C102" s="1" t="n">
        <v>46188</v>
      </c>
      <c r="D102" t="inlineStr">
        <is>
          <t>DALARNAS LÄN</t>
        </is>
      </c>
      <c r="E102" t="inlineStr">
        <is>
          <t>ORSA</t>
        </is>
      </c>
      <c r="F102" t="inlineStr">
        <is>
          <t>Kyrkan</t>
        </is>
      </c>
      <c r="G102" t="n">
        <v>2.2</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46188</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26215-2022</t>
        </is>
      </c>
      <c r="B104" s="1" t="n">
        <v>44735.4421412037</v>
      </c>
      <c r="C104" s="1" t="n">
        <v>46188</v>
      </c>
      <c r="D104" t="inlineStr">
        <is>
          <t>DALARNAS LÄN</t>
        </is>
      </c>
      <c r="E104" t="inlineStr">
        <is>
          <t>ORSA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46188</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46188</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56711-2021</t>
        </is>
      </c>
      <c r="B107" s="1" t="n">
        <v>44481.41222222222</v>
      </c>
      <c r="C107" s="1" t="n">
        <v>46188</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49781-2023</t>
        </is>
      </c>
      <c r="B108" s="1" t="n">
        <v>45212.60275462963</v>
      </c>
      <c r="C108" s="1" t="n">
        <v>46188</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46188</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72284-2021</t>
        </is>
      </c>
      <c r="B110" s="1" t="n">
        <v>44545.36940972223</v>
      </c>
      <c r="C110" s="1" t="n">
        <v>46188</v>
      </c>
      <c r="D110" t="inlineStr">
        <is>
          <t>DALARNAS LÄN</t>
        </is>
      </c>
      <c r="E110" t="inlineStr">
        <is>
          <t>ORSA</t>
        </is>
      </c>
      <c r="G110" t="n">
        <v>0.5</v>
      </c>
      <c r="H110" t="n">
        <v>0</v>
      </c>
      <c r="I110" t="n">
        <v>0</v>
      </c>
      <c r="J110" t="n">
        <v>0</v>
      </c>
      <c r="K110" t="n">
        <v>0</v>
      </c>
      <c r="L110" t="n">
        <v>0</v>
      </c>
      <c r="M110" t="n">
        <v>0</v>
      </c>
      <c r="N110" t="n">
        <v>0</v>
      </c>
      <c r="O110" t="n">
        <v>0</v>
      </c>
      <c r="P110" t="n">
        <v>0</v>
      </c>
      <c r="Q110" t="n">
        <v>0</v>
      </c>
      <c r="R110" s="2" t="inlineStr"/>
    </row>
    <row r="111" ht="15" customHeight="1">
      <c r="A111" t="inlineStr">
        <is>
          <t>A 47953-2025</t>
        </is>
      </c>
      <c r="B111" s="1" t="n">
        <v>45932.5853125</v>
      </c>
      <c r="C111" s="1" t="n">
        <v>46188</v>
      </c>
      <c r="D111" t="inlineStr">
        <is>
          <t>DALARNAS LÄN</t>
        </is>
      </c>
      <c r="E111" t="inlineStr">
        <is>
          <t>ORSA</t>
        </is>
      </c>
      <c r="G111" t="n">
        <v>1.3</v>
      </c>
      <c r="H111" t="n">
        <v>0</v>
      </c>
      <c r="I111" t="n">
        <v>0</v>
      </c>
      <c r="J111" t="n">
        <v>0</v>
      </c>
      <c r="K111" t="n">
        <v>0</v>
      </c>
      <c r="L111" t="n">
        <v>0</v>
      </c>
      <c r="M111" t="n">
        <v>0</v>
      </c>
      <c r="N111" t="n">
        <v>0</v>
      </c>
      <c r="O111" t="n">
        <v>0</v>
      </c>
      <c r="P111" t="n">
        <v>0</v>
      </c>
      <c r="Q111" t="n">
        <v>0</v>
      </c>
      <c r="R111" s="2" t="inlineStr"/>
    </row>
    <row r="112" ht="15" customHeight="1">
      <c r="A112" t="inlineStr">
        <is>
          <t>A 51049-2025</t>
        </is>
      </c>
      <c r="B112" s="1" t="n">
        <v>45947.43479166667</v>
      </c>
      <c r="C112" s="1" t="n">
        <v>46188</v>
      </c>
      <c r="D112" t="inlineStr">
        <is>
          <t>DALARNAS LÄN</t>
        </is>
      </c>
      <c r="E112" t="inlineStr">
        <is>
          <t>ORSA</t>
        </is>
      </c>
      <c r="G112" t="n">
        <v>2.3</v>
      </c>
      <c r="H112" t="n">
        <v>0</v>
      </c>
      <c r="I112" t="n">
        <v>0</v>
      </c>
      <c r="J112" t="n">
        <v>0</v>
      </c>
      <c r="K112" t="n">
        <v>0</v>
      </c>
      <c r="L112" t="n">
        <v>0</v>
      </c>
      <c r="M112" t="n">
        <v>0</v>
      </c>
      <c r="N112" t="n">
        <v>0</v>
      </c>
      <c r="O112" t="n">
        <v>0</v>
      </c>
      <c r="P112" t="n">
        <v>0</v>
      </c>
      <c r="Q112" t="n">
        <v>0</v>
      </c>
      <c r="R112" s="2" t="inlineStr"/>
    </row>
    <row r="113" ht="15" customHeight="1">
      <c r="A113" t="inlineStr">
        <is>
          <t>A 51064-2025</t>
        </is>
      </c>
      <c r="B113" s="1" t="n">
        <v>45947.45197916667</v>
      </c>
      <c r="C113" s="1" t="n">
        <v>46188</v>
      </c>
      <c r="D113" t="inlineStr">
        <is>
          <t>DALARNAS LÄN</t>
        </is>
      </c>
      <c r="E113" t="inlineStr">
        <is>
          <t>ORSA</t>
        </is>
      </c>
      <c r="G113" t="n">
        <v>2.1</v>
      </c>
      <c r="H113" t="n">
        <v>0</v>
      </c>
      <c r="I113" t="n">
        <v>0</v>
      </c>
      <c r="J113" t="n">
        <v>0</v>
      </c>
      <c r="K113" t="n">
        <v>0</v>
      </c>
      <c r="L113" t="n">
        <v>0</v>
      </c>
      <c r="M113" t="n">
        <v>0</v>
      </c>
      <c r="N113" t="n">
        <v>0</v>
      </c>
      <c r="O113" t="n">
        <v>0</v>
      </c>
      <c r="P113" t="n">
        <v>0</v>
      </c>
      <c r="Q113" t="n">
        <v>0</v>
      </c>
      <c r="R113" s="2" t="inlineStr"/>
    </row>
    <row r="114" ht="15" customHeight="1">
      <c r="A114" t="inlineStr">
        <is>
          <t>A 21376-2025</t>
        </is>
      </c>
      <c r="B114" s="1" t="n">
        <v>45782.45069444444</v>
      </c>
      <c r="C114" s="1" t="n">
        <v>46188</v>
      </c>
      <c r="D114" t="inlineStr">
        <is>
          <t>DALARNAS LÄN</t>
        </is>
      </c>
      <c r="E114" t="inlineStr">
        <is>
          <t>ORSA</t>
        </is>
      </c>
      <c r="G114" t="n">
        <v>4.6</v>
      </c>
      <c r="H114" t="n">
        <v>0</v>
      </c>
      <c r="I114" t="n">
        <v>0</v>
      </c>
      <c r="J114" t="n">
        <v>0</v>
      </c>
      <c r="K114" t="n">
        <v>0</v>
      </c>
      <c r="L114" t="n">
        <v>0</v>
      </c>
      <c r="M114" t="n">
        <v>0</v>
      </c>
      <c r="N114" t="n">
        <v>0</v>
      </c>
      <c r="O114" t="n">
        <v>0</v>
      </c>
      <c r="P114" t="n">
        <v>0</v>
      </c>
      <c r="Q114" t="n">
        <v>0</v>
      </c>
      <c r="R114" s="2" t="inlineStr"/>
    </row>
    <row r="115" ht="15" customHeight="1">
      <c r="A115" t="inlineStr">
        <is>
          <t>A 51334-2025</t>
        </is>
      </c>
      <c r="B115" s="1" t="n">
        <v>45950.42378472222</v>
      </c>
      <c r="C115" s="1" t="n">
        <v>46188</v>
      </c>
      <c r="D115" t="inlineStr">
        <is>
          <t>DALARNAS LÄN</t>
        </is>
      </c>
      <c r="E115" t="inlineStr">
        <is>
          <t>ORSA</t>
        </is>
      </c>
      <c r="G115" t="n">
        <v>1.8</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46188</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46188</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46188</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46188</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38840-2025</t>
        </is>
      </c>
      <c r="B120" s="1" t="n">
        <v>45887.5375</v>
      </c>
      <c r="C120" s="1" t="n">
        <v>46188</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53229-2023</t>
        </is>
      </c>
      <c r="B121" s="1" t="n">
        <v>45229.48306712963</v>
      </c>
      <c r="C121" s="1" t="n">
        <v>46188</v>
      </c>
      <c r="D121" t="inlineStr">
        <is>
          <t>DALARNAS LÄN</t>
        </is>
      </c>
      <c r="E121" t="inlineStr">
        <is>
          <t>ORSA</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2717-2024</t>
        </is>
      </c>
      <c r="B122" s="1" t="n">
        <v>45314.49222222222</v>
      </c>
      <c r="C122" s="1" t="n">
        <v>46188</v>
      </c>
      <c r="D122" t="inlineStr">
        <is>
          <t>DALARNAS LÄN</t>
        </is>
      </c>
      <c r="E122" t="inlineStr">
        <is>
          <t>ORSA</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52485-2025</t>
        </is>
      </c>
      <c r="B123" s="1" t="n">
        <v>45954.47804398148</v>
      </c>
      <c r="C123" s="1" t="n">
        <v>46188</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52486-2025</t>
        </is>
      </c>
      <c r="B124" s="1" t="n">
        <v>45954.47844907407</v>
      </c>
      <c r="C124" s="1" t="n">
        <v>46188</v>
      </c>
      <c r="D124" t="inlineStr">
        <is>
          <t>DALARNAS LÄN</t>
        </is>
      </c>
      <c r="E124" t="inlineStr">
        <is>
          <t>ORSA</t>
        </is>
      </c>
      <c r="G124" t="n">
        <v>2.3</v>
      </c>
      <c r="H124" t="n">
        <v>0</v>
      </c>
      <c r="I124" t="n">
        <v>0</v>
      </c>
      <c r="J124" t="n">
        <v>0</v>
      </c>
      <c r="K124" t="n">
        <v>0</v>
      </c>
      <c r="L124" t="n">
        <v>0</v>
      </c>
      <c r="M124" t="n">
        <v>0</v>
      </c>
      <c r="N124" t="n">
        <v>0</v>
      </c>
      <c r="O124" t="n">
        <v>0</v>
      </c>
      <c r="P124" t="n">
        <v>0</v>
      </c>
      <c r="Q124" t="n">
        <v>0</v>
      </c>
      <c r="R124" s="2" t="inlineStr"/>
    </row>
    <row r="125" ht="15" customHeight="1">
      <c r="A125" t="inlineStr">
        <is>
          <t>A 52702-2025</t>
        </is>
      </c>
      <c r="B125" s="1" t="n">
        <v>45956.86853009259</v>
      </c>
      <c r="C125" s="1" t="n">
        <v>46188</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52686-2025</t>
        </is>
      </c>
      <c r="B126" s="1" t="n">
        <v>45956.3562037037</v>
      </c>
      <c r="C126" s="1" t="n">
        <v>46188</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46454-2024</t>
        </is>
      </c>
      <c r="B127" s="1" t="n">
        <v>45582</v>
      </c>
      <c r="C127" s="1" t="n">
        <v>46188</v>
      </c>
      <c r="D127" t="inlineStr">
        <is>
          <t>DALARNAS LÄN</t>
        </is>
      </c>
      <c r="E127" t="inlineStr">
        <is>
          <t>ORSA</t>
        </is>
      </c>
      <c r="F127" t="inlineStr">
        <is>
          <t>Övriga statliga verk och myndigheter</t>
        </is>
      </c>
      <c r="G127" t="n">
        <v>1</v>
      </c>
      <c r="H127" t="n">
        <v>0</v>
      </c>
      <c r="I127" t="n">
        <v>0</v>
      </c>
      <c r="J127" t="n">
        <v>0</v>
      </c>
      <c r="K127" t="n">
        <v>0</v>
      </c>
      <c r="L127" t="n">
        <v>0</v>
      </c>
      <c r="M127" t="n">
        <v>0</v>
      </c>
      <c r="N127" t="n">
        <v>0</v>
      </c>
      <c r="O127" t="n">
        <v>0</v>
      </c>
      <c r="P127" t="n">
        <v>0</v>
      </c>
      <c r="Q127" t="n">
        <v>0</v>
      </c>
      <c r="R127" s="2" t="inlineStr"/>
    </row>
    <row r="128" ht="15" customHeight="1">
      <c r="A128" t="inlineStr">
        <is>
          <t>A 40070-2025</t>
        </is>
      </c>
      <c r="B128" s="1" t="n">
        <v>45894.44197916667</v>
      </c>
      <c r="C128" s="1" t="n">
        <v>46188</v>
      </c>
      <c r="D128" t="inlineStr">
        <is>
          <t>DALARNAS LÄN</t>
        </is>
      </c>
      <c r="E128" t="inlineStr">
        <is>
          <t>ORSA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53573-2025</t>
        </is>
      </c>
      <c r="B129" s="1" t="n">
        <v>45960.41716435185</v>
      </c>
      <c r="C129" s="1" t="n">
        <v>46188</v>
      </c>
      <c r="D129" t="inlineStr">
        <is>
          <t>DALARNAS LÄN</t>
        </is>
      </c>
      <c r="E129" t="inlineStr">
        <is>
          <t>ORSA</t>
        </is>
      </c>
      <c r="F129" t="inlineStr">
        <is>
          <t>Bergvik skog öst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53495-2025</t>
        </is>
      </c>
      <c r="B130" s="1" t="n">
        <v>45960.32577546296</v>
      </c>
      <c r="C130" s="1" t="n">
        <v>46188</v>
      </c>
      <c r="D130" t="inlineStr">
        <is>
          <t>DALARNAS LÄN</t>
        </is>
      </c>
      <c r="E130" t="inlineStr">
        <is>
          <t>ORSA</t>
        </is>
      </c>
      <c r="G130" t="n">
        <v>3.6</v>
      </c>
      <c r="H130" t="n">
        <v>0</v>
      </c>
      <c r="I130" t="n">
        <v>0</v>
      </c>
      <c r="J130" t="n">
        <v>0</v>
      </c>
      <c r="K130" t="n">
        <v>0</v>
      </c>
      <c r="L130" t="n">
        <v>0</v>
      </c>
      <c r="M130" t="n">
        <v>0</v>
      </c>
      <c r="N130" t="n">
        <v>0</v>
      </c>
      <c r="O130" t="n">
        <v>0</v>
      </c>
      <c r="P130" t="n">
        <v>0</v>
      </c>
      <c r="Q130" t="n">
        <v>0</v>
      </c>
      <c r="R130" s="2" t="inlineStr"/>
    </row>
    <row r="131" ht="15" customHeight="1">
      <c r="A131" t="inlineStr">
        <is>
          <t>A 53572-2025</t>
        </is>
      </c>
      <c r="B131" s="1" t="n">
        <v>45960.4140625</v>
      </c>
      <c r="C131" s="1" t="n">
        <v>46188</v>
      </c>
      <c r="D131" t="inlineStr">
        <is>
          <t>DALARNAS LÄN</t>
        </is>
      </c>
      <c r="E131" t="inlineStr">
        <is>
          <t>ORSA</t>
        </is>
      </c>
      <c r="F131" t="inlineStr">
        <is>
          <t>Bergvik skog öst AB</t>
        </is>
      </c>
      <c r="G131" t="n">
        <v>4.1</v>
      </c>
      <c r="H131" t="n">
        <v>0</v>
      </c>
      <c r="I131" t="n">
        <v>0</v>
      </c>
      <c r="J131" t="n">
        <v>0</v>
      </c>
      <c r="K131" t="n">
        <v>0</v>
      </c>
      <c r="L131" t="n">
        <v>0</v>
      </c>
      <c r="M131" t="n">
        <v>0</v>
      </c>
      <c r="N131" t="n">
        <v>0</v>
      </c>
      <c r="O131" t="n">
        <v>0</v>
      </c>
      <c r="P131" t="n">
        <v>0</v>
      </c>
      <c r="Q131" t="n">
        <v>0</v>
      </c>
      <c r="R131" s="2" t="inlineStr"/>
    </row>
    <row r="132" ht="15" customHeight="1">
      <c r="A132" t="inlineStr">
        <is>
          <t>A 53501-2025</t>
        </is>
      </c>
      <c r="B132" s="1" t="n">
        <v>45960.34216435185</v>
      </c>
      <c r="C132" s="1" t="n">
        <v>46188</v>
      </c>
      <c r="D132" t="inlineStr">
        <is>
          <t>DALARNAS LÄN</t>
        </is>
      </c>
      <c r="E132" t="inlineStr">
        <is>
          <t>ORSA</t>
        </is>
      </c>
      <c r="G132" t="n">
        <v>0.6</v>
      </c>
      <c r="H132" t="n">
        <v>0</v>
      </c>
      <c r="I132" t="n">
        <v>0</v>
      </c>
      <c r="J132" t="n">
        <v>0</v>
      </c>
      <c r="K132" t="n">
        <v>0</v>
      </c>
      <c r="L132" t="n">
        <v>0</v>
      </c>
      <c r="M132" t="n">
        <v>0</v>
      </c>
      <c r="N132" t="n">
        <v>0</v>
      </c>
      <c r="O132" t="n">
        <v>0</v>
      </c>
      <c r="P132" t="n">
        <v>0</v>
      </c>
      <c r="Q132" t="n">
        <v>0</v>
      </c>
      <c r="R132" s="2" t="inlineStr"/>
    </row>
    <row r="133" ht="15" customHeight="1">
      <c r="A133" t="inlineStr">
        <is>
          <t>A 54176-2025</t>
        </is>
      </c>
      <c r="B133" s="1" t="n">
        <v>45964.5500925926</v>
      </c>
      <c r="C133" s="1" t="n">
        <v>46188</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10004-2023</t>
        </is>
      </c>
      <c r="B134" s="1" t="n">
        <v>44985.60604166667</v>
      </c>
      <c r="C134" s="1" t="n">
        <v>46188</v>
      </c>
      <c r="D134" t="inlineStr">
        <is>
          <t>DALARNAS LÄN</t>
        </is>
      </c>
      <c r="E134" t="inlineStr">
        <is>
          <t>ORSA</t>
        </is>
      </c>
      <c r="G134" t="n">
        <v>2.1</v>
      </c>
      <c r="H134" t="n">
        <v>0</v>
      </c>
      <c r="I134" t="n">
        <v>0</v>
      </c>
      <c r="J134" t="n">
        <v>0</v>
      </c>
      <c r="K134" t="n">
        <v>0</v>
      </c>
      <c r="L134" t="n">
        <v>0</v>
      </c>
      <c r="M134" t="n">
        <v>0</v>
      </c>
      <c r="N134" t="n">
        <v>0</v>
      </c>
      <c r="O134" t="n">
        <v>0</v>
      </c>
      <c r="P134" t="n">
        <v>0</v>
      </c>
      <c r="Q134" t="n">
        <v>0</v>
      </c>
      <c r="R134" s="2" t="inlineStr"/>
    </row>
    <row r="135" ht="15" customHeight="1">
      <c r="A135" t="inlineStr">
        <is>
          <t>A 1624-2024</t>
        </is>
      </c>
      <c r="B135" s="1" t="n">
        <v>45306</v>
      </c>
      <c r="C135" s="1" t="n">
        <v>46188</v>
      </c>
      <c r="D135" t="inlineStr">
        <is>
          <t>DALARNAS LÄN</t>
        </is>
      </c>
      <c r="E135" t="inlineStr">
        <is>
          <t>ORSA</t>
        </is>
      </c>
      <c r="G135" t="n">
        <v>1.9</v>
      </c>
      <c r="H135" t="n">
        <v>0</v>
      </c>
      <c r="I135" t="n">
        <v>0</v>
      </c>
      <c r="J135" t="n">
        <v>0</v>
      </c>
      <c r="K135" t="n">
        <v>0</v>
      </c>
      <c r="L135" t="n">
        <v>0</v>
      </c>
      <c r="M135" t="n">
        <v>0</v>
      </c>
      <c r="N135" t="n">
        <v>0</v>
      </c>
      <c r="O135" t="n">
        <v>0</v>
      </c>
      <c r="P135" t="n">
        <v>0</v>
      </c>
      <c r="Q135" t="n">
        <v>0</v>
      </c>
      <c r="R135" s="2" t="inlineStr"/>
    </row>
    <row r="136" ht="15" customHeight="1">
      <c r="A136" t="inlineStr">
        <is>
          <t>A 40111-2025</t>
        </is>
      </c>
      <c r="B136" s="1" t="n">
        <v>45894.49417824074</v>
      </c>
      <c r="C136" s="1" t="n">
        <v>46188</v>
      </c>
      <c r="D136" t="inlineStr">
        <is>
          <t>DALARNAS LÄN</t>
        </is>
      </c>
      <c r="E136" t="inlineStr">
        <is>
          <t>ORSA</t>
        </is>
      </c>
      <c r="F136" t="inlineStr">
        <is>
          <t>Allmännings- och besparingsskogar</t>
        </is>
      </c>
      <c r="G136" t="n">
        <v>18.6</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46188</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40091-2025</t>
        </is>
      </c>
      <c r="B138" s="1" t="n">
        <v>45894.47822916666</v>
      </c>
      <c r="C138" s="1" t="n">
        <v>46188</v>
      </c>
      <c r="D138" t="inlineStr">
        <is>
          <t>DALARNAS LÄN</t>
        </is>
      </c>
      <c r="E138" t="inlineStr">
        <is>
          <t>ORSA</t>
        </is>
      </c>
      <c r="F138" t="inlineStr">
        <is>
          <t>Allmännings- och besparingsskogar</t>
        </is>
      </c>
      <c r="G138" t="n">
        <v>20.4</v>
      </c>
      <c r="H138" t="n">
        <v>0</v>
      </c>
      <c r="I138" t="n">
        <v>0</v>
      </c>
      <c r="J138" t="n">
        <v>0</v>
      </c>
      <c r="K138" t="n">
        <v>0</v>
      </c>
      <c r="L138" t="n">
        <v>0</v>
      </c>
      <c r="M138" t="n">
        <v>0</v>
      </c>
      <c r="N138" t="n">
        <v>0</v>
      </c>
      <c r="O138" t="n">
        <v>0</v>
      </c>
      <c r="P138" t="n">
        <v>0</v>
      </c>
      <c r="Q138" t="n">
        <v>0</v>
      </c>
      <c r="R138" s="2" t="inlineStr"/>
    </row>
    <row r="139" ht="15" customHeight="1">
      <c r="A139" t="inlineStr">
        <is>
          <t>A 40577-2025</t>
        </is>
      </c>
      <c r="B139" s="1" t="n">
        <v>45896.51028935185</v>
      </c>
      <c r="C139" s="1" t="n">
        <v>46188</v>
      </c>
      <c r="D139" t="inlineStr">
        <is>
          <t>DALARNAS LÄN</t>
        </is>
      </c>
      <c r="E139" t="inlineStr">
        <is>
          <t>ORSA</t>
        </is>
      </c>
      <c r="F139" t="inlineStr">
        <is>
          <t>Allmännings- och besparingsskogar</t>
        </is>
      </c>
      <c r="G139" t="n">
        <v>13.8</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46188</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4566-2025</t>
        </is>
      </c>
      <c r="B141" s="1" t="n">
        <v>45687.46100694445</v>
      </c>
      <c r="C141" s="1" t="n">
        <v>46188</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46188</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46188</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17500-2025</t>
        </is>
      </c>
      <c r="B144" s="1" t="n">
        <v>45757.54954861111</v>
      </c>
      <c r="C144" s="1" t="n">
        <v>46188</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22491-2025</t>
        </is>
      </c>
      <c r="B145" s="1" t="n">
        <v>45786.65040509259</v>
      </c>
      <c r="C145" s="1" t="n">
        <v>46188</v>
      </c>
      <c r="D145" t="inlineStr">
        <is>
          <t>DALARNAS LÄN</t>
        </is>
      </c>
      <c r="E145" t="inlineStr">
        <is>
          <t>ORSA</t>
        </is>
      </c>
      <c r="F145" t="inlineStr">
        <is>
          <t>Bergvik skog öst AB</t>
        </is>
      </c>
      <c r="G145" t="n">
        <v>5.7</v>
      </c>
      <c r="H145" t="n">
        <v>0</v>
      </c>
      <c r="I145" t="n">
        <v>0</v>
      </c>
      <c r="J145" t="n">
        <v>0</v>
      </c>
      <c r="K145" t="n">
        <v>0</v>
      </c>
      <c r="L145" t="n">
        <v>0</v>
      </c>
      <c r="M145" t="n">
        <v>0</v>
      </c>
      <c r="N145" t="n">
        <v>0</v>
      </c>
      <c r="O145" t="n">
        <v>0</v>
      </c>
      <c r="P145" t="n">
        <v>0</v>
      </c>
      <c r="Q145" t="n">
        <v>0</v>
      </c>
      <c r="R145" s="2" t="inlineStr"/>
    </row>
    <row r="146" ht="15" customHeight="1">
      <c r="A146" t="inlineStr">
        <is>
          <t>A 21165-2024</t>
        </is>
      </c>
      <c r="B146" s="1" t="n">
        <v>45440.45225694445</v>
      </c>
      <c r="C146" s="1" t="n">
        <v>46188</v>
      </c>
      <c r="D146" t="inlineStr">
        <is>
          <t>DALARNAS LÄN</t>
        </is>
      </c>
      <c r="E146" t="inlineStr">
        <is>
          <t>ORSA</t>
        </is>
      </c>
      <c r="F146" t="inlineStr">
        <is>
          <t>Bergvik skog öst AB</t>
        </is>
      </c>
      <c r="G146" t="n">
        <v>1.3</v>
      </c>
      <c r="H146" t="n">
        <v>0</v>
      </c>
      <c r="I146" t="n">
        <v>0</v>
      </c>
      <c r="J146" t="n">
        <v>0</v>
      </c>
      <c r="K146" t="n">
        <v>0</v>
      </c>
      <c r="L146" t="n">
        <v>0</v>
      </c>
      <c r="M146" t="n">
        <v>0</v>
      </c>
      <c r="N146" t="n">
        <v>0</v>
      </c>
      <c r="O146" t="n">
        <v>0</v>
      </c>
      <c r="P146" t="n">
        <v>0</v>
      </c>
      <c r="Q146" t="n">
        <v>0</v>
      </c>
      <c r="R146" s="2" t="inlineStr"/>
    </row>
    <row r="147" ht="15" customHeight="1">
      <c r="A147" t="inlineStr">
        <is>
          <t>A 41927-2025</t>
        </is>
      </c>
      <c r="B147" s="1" t="n">
        <v>45903.4290625</v>
      </c>
      <c r="C147" s="1" t="n">
        <v>46188</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41919-2025</t>
        </is>
      </c>
      <c r="B148" s="1" t="n">
        <v>45903.42372685186</v>
      </c>
      <c r="C148" s="1" t="n">
        <v>46188</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54776-2025</t>
        </is>
      </c>
      <c r="B149" s="1" t="n">
        <v>45966.61395833334</v>
      </c>
      <c r="C149" s="1" t="n">
        <v>46188</v>
      </c>
      <c r="D149" t="inlineStr">
        <is>
          <t>DALARNAS LÄN</t>
        </is>
      </c>
      <c r="E149" t="inlineStr">
        <is>
          <t>ORSA</t>
        </is>
      </c>
      <c r="G149" t="n">
        <v>4.8</v>
      </c>
      <c r="H149" t="n">
        <v>0</v>
      </c>
      <c r="I149" t="n">
        <v>0</v>
      </c>
      <c r="J149" t="n">
        <v>0</v>
      </c>
      <c r="K149" t="n">
        <v>0</v>
      </c>
      <c r="L149" t="n">
        <v>0</v>
      </c>
      <c r="M149" t="n">
        <v>0</v>
      </c>
      <c r="N149" t="n">
        <v>0</v>
      </c>
      <c r="O149" t="n">
        <v>0</v>
      </c>
      <c r="P149" t="n">
        <v>0</v>
      </c>
      <c r="Q149" t="n">
        <v>0</v>
      </c>
      <c r="R149" s="2" t="inlineStr"/>
    </row>
    <row r="150" ht="15" customHeight="1">
      <c r="A150" t="inlineStr">
        <is>
          <t>A 41666-2025</t>
        </is>
      </c>
      <c r="B150" s="1" t="n">
        <v>45902.35822916667</v>
      </c>
      <c r="C150" s="1" t="n">
        <v>46188</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52033-2023</t>
        </is>
      </c>
      <c r="B151" s="1" t="n">
        <v>45223.62680555556</v>
      </c>
      <c r="C151" s="1" t="n">
        <v>46188</v>
      </c>
      <c r="D151" t="inlineStr">
        <is>
          <t>DALARNAS LÄN</t>
        </is>
      </c>
      <c r="E151" t="inlineStr">
        <is>
          <t>ORSA</t>
        </is>
      </c>
      <c r="G151" t="n">
        <v>11.5</v>
      </c>
      <c r="H151" t="n">
        <v>0</v>
      </c>
      <c r="I151" t="n">
        <v>0</v>
      </c>
      <c r="J151" t="n">
        <v>0</v>
      </c>
      <c r="K151" t="n">
        <v>0</v>
      </c>
      <c r="L151" t="n">
        <v>0</v>
      </c>
      <c r="M151" t="n">
        <v>0</v>
      </c>
      <c r="N151" t="n">
        <v>0</v>
      </c>
      <c r="O151" t="n">
        <v>0</v>
      </c>
      <c r="P151" t="n">
        <v>0</v>
      </c>
      <c r="Q151" t="n">
        <v>0</v>
      </c>
      <c r="R151" s="2" t="inlineStr"/>
    </row>
    <row r="152" ht="15" customHeight="1">
      <c r="A152" t="inlineStr">
        <is>
          <t>A 54782-2025</t>
        </is>
      </c>
      <c r="B152" s="1" t="n">
        <v>45966.61878472222</v>
      </c>
      <c r="C152" s="1" t="n">
        <v>46188</v>
      </c>
      <c r="D152" t="inlineStr">
        <is>
          <t>DALARNAS LÄN</t>
        </is>
      </c>
      <c r="E152" t="inlineStr">
        <is>
          <t>ORSA</t>
        </is>
      </c>
      <c r="G152" t="n">
        <v>3.8</v>
      </c>
      <c r="H152" t="n">
        <v>0</v>
      </c>
      <c r="I152" t="n">
        <v>0</v>
      </c>
      <c r="J152" t="n">
        <v>0</v>
      </c>
      <c r="K152" t="n">
        <v>0</v>
      </c>
      <c r="L152" t="n">
        <v>0</v>
      </c>
      <c r="M152" t="n">
        <v>0</v>
      </c>
      <c r="N152" t="n">
        <v>0</v>
      </c>
      <c r="O152" t="n">
        <v>0</v>
      </c>
      <c r="P152" t="n">
        <v>0</v>
      </c>
      <c r="Q152" t="n">
        <v>0</v>
      </c>
      <c r="R152" s="2" t="inlineStr"/>
    </row>
    <row r="153" ht="15" customHeight="1">
      <c r="A153" t="inlineStr">
        <is>
          <t>A 54676-2025</t>
        </is>
      </c>
      <c r="B153" s="1" t="n">
        <v>45966.42188657408</v>
      </c>
      <c r="C153" s="1" t="n">
        <v>46188</v>
      </c>
      <c r="D153" t="inlineStr">
        <is>
          <t>DALARNAS LÄN</t>
        </is>
      </c>
      <c r="E153" t="inlineStr">
        <is>
          <t>ORSA</t>
        </is>
      </c>
      <c r="F153" t="inlineStr">
        <is>
          <t>Allmännings- och besparingsskogar</t>
        </is>
      </c>
      <c r="G153" t="n">
        <v>4.6</v>
      </c>
      <c r="H153" t="n">
        <v>0</v>
      </c>
      <c r="I153" t="n">
        <v>0</v>
      </c>
      <c r="J153" t="n">
        <v>0</v>
      </c>
      <c r="K153" t="n">
        <v>0</v>
      </c>
      <c r="L153" t="n">
        <v>0</v>
      </c>
      <c r="M153" t="n">
        <v>0</v>
      </c>
      <c r="N153" t="n">
        <v>0</v>
      </c>
      <c r="O153" t="n">
        <v>0</v>
      </c>
      <c r="P153" t="n">
        <v>0</v>
      </c>
      <c r="Q153" t="n">
        <v>0</v>
      </c>
      <c r="R153" s="2" t="inlineStr"/>
    </row>
    <row r="154" ht="15" customHeight="1">
      <c r="A154" t="inlineStr">
        <is>
          <t>A 55105-2025</t>
        </is>
      </c>
      <c r="B154" s="1" t="n">
        <v>45968.36422453704</v>
      </c>
      <c r="C154" s="1" t="n">
        <v>46188</v>
      </c>
      <c r="D154" t="inlineStr">
        <is>
          <t>DALARNAS LÄN</t>
        </is>
      </c>
      <c r="E154" t="inlineStr">
        <is>
          <t>ORSA</t>
        </is>
      </c>
      <c r="F154" t="inlineStr">
        <is>
          <t>Allmännings- och besparingsskogar</t>
        </is>
      </c>
      <c r="G154" t="n">
        <v>31.5</v>
      </c>
      <c r="H154" t="n">
        <v>0</v>
      </c>
      <c r="I154" t="n">
        <v>0</v>
      </c>
      <c r="J154" t="n">
        <v>0</v>
      </c>
      <c r="K154" t="n">
        <v>0</v>
      </c>
      <c r="L154" t="n">
        <v>0</v>
      </c>
      <c r="M154" t="n">
        <v>0</v>
      </c>
      <c r="N154" t="n">
        <v>0</v>
      </c>
      <c r="O154" t="n">
        <v>0</v>
      </c>
      <c r="P154" t="n">
        <v>0</v>
      </c>
      <c r="Q154" t="n">
        <v>0</v>
      </c>
      <c r="R154" s="2" t="inlineStr"/>
    </row>
    <row r="155" ht="15" customHeight="1">
      <c r="A155" t="inlineStr">
        <is>
          <t>A 55369-2025</t>
        </is>
      </c>
      <c r="B155" s="1" t="n">
        <v>45971.41472222222</v>
      </c>
      <c r="C155" s="1" t="n">
        <v>46188</v>
      </c>
      <c r="D155" t="inlineStr">
        <is>
          <t>DALARNAS LÄN</t>
        </is>
      </c>
      <c r="E155" t="inlineStr">
        <is>
          <t>ORSA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48990-2023</t>
        </is>
      </c>
      <c r="B156" s="1" t="n">
        <v>45209.64740740741</v>
      </c>
      <c r="C156" s="1" t="n">
        <v>46188</v>
      </c>
      <c r="D156" t="inlineStr">
        <is>
          <t>DALARNAS LÄN</t>
        </is>
      </c>
      <c r="E156" t="inlineStr">
        <is>
          <t>ORSA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55405-2025</t>
        </is>
      </c>
      <c r="B157" s="1" t="n">
        <v>45971.45525462963</v>
      </c>
      <c r="C157" s="1" t="n">
        <v>46188</v>
      </c>
      <c r="D157" t="inlineStr">
        <is>
          <t>DALARNAS LÄN</t>
        </is>
      </c>
      <c r="E157" t="inlineStr">
        <is>
          <t>ORSA</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42226-2025</t>
        </is>
      </c>
      <c r="B158" s="1" t="n">
        <v>45904.53831018518</v>
      </c>
      <c r="C158" s="1" t="n">
        <v>46188</v>
      </c>
      <c r="D158" t="inlineStr">
        <is>
          <t>DALARNAS LÄN</t>
        </is>
      </c>
      <c r="E158" t="inlineStr">
        <is>
          <t>ORSA</t>
        </is>
      </c>
      <c r="F158" t="inlineStr">
        <is>
          <t>Allmännings- och besparingsskogar</t>
        </is>
      </c>
      <c r="G158" t="n">
        <v>18</v>
      </c>
      <c r="H158" t="n">
        <v>0</v>
      </c>
      <c r="I158" t="n">
        <v>0</v>
      </c>
      <c r="J158" t="n">
        <v>0</v>
      </c>
      <c r="K158" t="n">
        <v>0</v>
      </c>
      <c r="L158" t="n">
        <v>0</v>
      </c>
      <c r="M158" t="n">
        <v>0</v>
      </c>
      <c r="N158" t="n">
        <v>0</v>
      </c>
      <c r="O158" t="n">
        <v>0</v>
      </c>
      <c r="P158" t="n">
        <v>0</v>
      </c>
      <c r="Q158" t="n">
        <v>0</v>
      </c>
      <c r="R158" s="2" t="inlineStr"/>
    </row>
    <row r="159" ht="15" customHeight="1">
      <c r="A159" t="inlineStr">
        <is>
          <t>A 58853-2022</t>
        </is>
      </c>
      <c r="B159" s="1" t="n">
        <v>44903</v>
      </c>
      <c r="C159" s="1" t="n">
        <v>46188</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44904-2024</t>
        </is>
      </c>
      <c r="B160" s="1" t="n">
        <v>45575.38193287037</v>
      </c>
      <c r="C160" s="1" t="n">
        <v>46188</v>
      </c>
      <c r="D160" t="inlineStr">
        <is>
          <t>DALARNAS LÄN</t>
        </is>
      </c>
      <c r="E160" t="inlineStr">
        <is>
          <t>ORSA</t>
        </is>
      </c>
      <c r="F160" t="inlineStr">
        <is>
          <t>Bergvik skog öst AB</t>
        </is>
      </c>
      <c r="G160" t="n">
        <v>1.2</v>
      </c>
      <c r="H160" t="n">
        <v>0</v>
      </c>
      <c r="I160" t="n">
        <v>0</v>
      </c>
      <c r="J160" t="n">
        <v>0</v>
      </c>
      <c r="K160" t="n">
        <v>0</v>
      </c>
      <c r="L160" t="n">
        <v>0</v>
      </c>
      <c r="M160" t="n">
        <v>0</v>
      </c>
      <c r="N160" t="n">
        <v>0</v>
      </c>
      <c r="O160" t="n">
        <v>0</v>
      </c>
      <c r="P160" t="n">
        <v>0</v>
      </c>
      <c r="Q160" t="n">
        <v>0</v>
      </c>
      <c r="R160" s="2" t="inlineStr"/>
    </row>
    <row r="161" ht="15" customHeight="1">
      <c r="A161" t="inlineStr">
        <is>
          <t>A 30291-2024</t>
        </is>
      </c>
      <c r="B161" s="1" t="n">
        <v>45490.64978009259</v>
      </c>
      <c r="C161" s="1" t="n">
        <v>46188</v>
      </c>
      <c r="D161" t="inlineStr">
        <is>
          <t>DALARNAS LÄN</t>
        </is>
      </c>
      <c r="E161" t="inlineStr">
        <is>
          <t>ORSA</t>
        </is>
      </c>
      <c r="F161" t="inlineStr">
        <is>
          <t>Bergvik skog öst AB</t>
        </is>
      </c>
      <c r="G161" t="n">
        <v>7.5</v>
      </c>
      <c r="H161" t="n">
        <v>0</v>
      </c>
      <c r="I161" t="n">
        <v>0</v>
      </c>
      <c r="J161" t="n">
        <v>0</v>
      </c>
      <c r="K161" t="n">
        <v>0</v>
      </c>
      <c r="L161" t="n">
        <v>0</v>
      </c>
      <c r="M161" t="n">
        <v>0</v>
      </c>
      <c r="N161" t="n">
        <v>0</v>
      </c>
      <c r="O161" t="n">
        <v>0</v>
      </c>
      <c r="P161" t="n">
        <v>0</v>
      </c>
      <c r="Q161" t="n">
        <v>0</v>
      </c>
      <c r="R161" s="2" t="inlineStr"/>
    </row>
    <row r="162" ht="15" customHeight="1">
      <c r="A162" t="inlineStr">
        <is>
          <t>A 8430-2024</t>
        </is>
      </c>
      <c r="B162" s="1" t="n">
        <v>45353.41157407407</v>
      </c>
      <c r="C162" s="1" t="n">
        <v>46188</v>
      </c>
      <c r="D162" t="inlineStr">
        <is>
          <t>DALARNAS LÄN</t>
        </is>
      </c>
      <c r="E162" t="inlineStr">
        <is>
          <t>ORSA</t>
        </is>
      </c>
      <c r="G162" t="n">
        <v>14.4</v>
      </c>
      <c r="H162" t="n">
        <v>0</v>
      </c>
      <c r="I162" t="n">
        <v>0</v>
      </c>
      <c r="J162" t="n">
        <v>0</v>
      </c>
      <c r="K162" t="n">
        <v>0</v>
      </c>
      <c r="L162" t="n">
        <v>0</v>
      </c>
      <c r="M162" t="n">
        <v>0</v>
      </c>
      <c r="N162" t="n">
        <v>0</v>
      </c>
      <c r="O162" t="n">
        <v>0</v>
      </c>
      <c r="P162" t="n">
        <v>0</v>
      </c>
      <c r="Q162" t="n">
        <v>0</v>
      </c>
      <c r="R162" s="2" t="inlineStr"/>
    </row>
    <row r="163" ht="15" customHeight="1">
      <c r="A163" t="inlineStr">
        <is>
          <t>A 23875-2025</t>
        </is>
      </c>
      <c r="B163" s="1" t="n">
        <v>45793.68313657407</v>
      </c>
      <c r="C163" s="1" t="n">
        <v>46188</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10359-2023</t>
        </is>
      </c>
      <c r="B164" s="1" t="n">
        <v>44987.37292824074</v>
      </c>
      <c r="C164" s="1" t="n">
        <v>46188</v>
      </c>
      <c r="D164" t="inlineStr">
        <is>
          <t>DALARNAS LÄN</t>
        </is>
      </c>
      <c r="E164" t="inlineStr">
        <is>
          <t>ORSA</t>
        </is>
      </c>
      <c r="G164" t="n">
        <v>2.5</v>
      </c>
      <c r="H164" t="n">
        <v>0</v>
      </c>
      <c r="I164" t="n">
        <v>0</v>
      </c>
      <c r="J164" t="n">
        <v>0</v>
      </c>
      <c r="K164" t="n">
        <v>0</v>
      </c>
      <c r="L164" t="n">
        <v>0</v>
      </c>
      <c r="M164" t="n">
        <v>0</v>
      </c>
      <c r="N164" t="n">
        <v>0</v>
      </c>
      <c r="O164" t="n">
        <v>0</v>
      </c>
      <c r="P164" t="n">
        <v>0</v>
      </c>
      <c r="Q164" t="n">
        <v>0</v>
      </c>
      <c r="R164" s="2" t="inlineStr"/>
    </row>
    <row r="165" ht="15" customHeight="1">
      <c r="A165" t="inlineStr">
        <is>
          <t>A 23056-2025</t>
        </is>
      </c>
      <c r="B165" s="1" t="n">
        <v>45790.73627314815</v>
      </c>
      <c r="C165" s="1" t="n">
        <v>46188</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56471-2025</t>
        </is>
      </c>
      <c r="B166" s="1" t="n">
        <v>45975.37766203703</v>
      </c>
      <c r="C166" s="1" t="n">
        <v>46188</v>
      </c>
      <c r="D166" t="inlineStr">
        <is>
          <t>DALARNAS LÄN</t>
        </is>
      </c>
      <c r="E166" t="inlineStr">
        <is>
          <t>ORSA</t>
        </is>
      </c>
      <c r="G166" t="n">
        <v>5.2</v>
      </c>
      <c r="H166" t="n">
        <v>0</v>
      </c>
      <c r="I166" t="n">
        <v>0</v>
      </c>
      <c r="J166" t="n">
        <v>0</v>
      </c>
      <c r="K166" t="n">
        <v>0</v>
      </c>
      <c r="L166" t="n">
        <v>0</v>
      </c>
      <c r="M166" t="n">
        <v>0</v>
      </c>
      <c r="N166" t="n">
        <v>0</v>
      </c>
      <c r="O166" t="n">
        <v>0</v>
      </c>
      <c r="P166" t="n">
        <v>0</v>
      </c>
      <c r="Q166" t="n">
        <v>0</v>
      </c>
      <c r="R166" s="2" t="inlineStr"/>
    </row>
    <row r="167" ht="15" customHeight="1">
      <c r="A167" t="inlineStr">
        <is>
          <t>A 23015-2025</t>
        </is>
      </c>
      <c r="B167" s="1" t="n">
        <v>45790.6377662037</v>
      </c>
      <c r="C167" s="1" t="n">
        <v>46188</v>
      </c>
      <c r="D167" t="inlineStr">
        <is>
          <t>DALARNAS LÄN</t>
        </is>
      </c>
      <c r="E167" t="inlineStr">
        <is>
          <t>ORSA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56295-2025</t>
        </is>
      </c>
      <c r="B168" s="1" t="n">
        <v>45974.60144675926</v>
      </c>
      <c r="C168" s="1" t="n">
        <v>46188</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56473-2025</t>
        </is>
      </c>
      <c r="B169" s="1" t="n">
        <v>45975.38001157407</v>
      </c>
      <c r="C169" s="1" t="n">
        <v>46188</v>
      </c>
      <c r="D169" t="inlineStr">
        <is>
          <t>DALARNAS LÄN</t>
        </is>
      </c>
      <c r="E169" t="inlineStr">
        <is>
          <t>ORSA</t>
        </is>
      </c>
      <c r="G169" t="n">
        <v>1.1</v>
      </c>
      <c r="H169" t="n">
        <v>0</v>
      </c>
      <c r="I169" t="n">
        <v>0</v>
      </c>
      <c r="J169" t="n">
        <v>0</v>
      </c>
      <c r="K169" t="n">
        <v>0</v>
      </c>
      <c r="L169" t="n">
        <v>0</v>
      </c>
      <c r="M169" t="n">
        <v>0</v>
      </c>
      <c r="N169" t="n">
        <v>0</v>
      </c>
      <c r="O169" t="n">
        <v>0</v>
      </c>
      <c r="P169" t="n">
        <v>0</v>
      </c>
      <c r="Q169" t="n">
        <v>0</v>
      </c>
      <c r="R169" s="2" t="inlineStr"/>
    </row>
    <row r="170" ht="15" customHeight="1">
      <c r="A170" t="inlineStr">
        <is>
          <t>A 3951-2023</t>
        </is>
      </c>
      <c r="B170" s="1" t="n">
        <v>44952.38577546296</v>
      </c>
      <c r="C170" s="1" t="n">
        <v>46188</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56297-2025</t>
        </is>
      </c>
      <c r="B171" s="1" t="n">
        <v>45974.60431712963</v>
      </c>
      <c r="C171" s="1" t="n">
        <v>46188</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58549-2023</t>
        </is>
      </c>
      <c r="B172" s="1" t="n">
        <v>45251.42627314815</v>
      </c>
      <c r="C172" s="1" t="n">
        <v>46188</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56459-2025</t>
        </is>
      </c>
      <c r="B173" s="1" t="n">
        <v>45975.36898148148</v>
      </c>
      <c r="C173" s="1" t="n">
        <v>46188</v>
      </c>
      <c r="D173" t="inlineStr">
        <is>
          <t>DALARNAS LÄN</t>
        </is>
      </c>
      <c r="E173" t="inlineStr">
        <is>
          <t>ORSA</t>
        </is>
      </c>
      <c r="G173" t="n">
        <v>3.8</v>
      </c>
      <c r="H173" t="n">
        <v>0</v>
      </c>
      <c r="I173" t="n">
        <v>0</v>
      </c>
      <c r="J173" t="n">
        <v>0</v>
      </c>
      <c r="K173" t="n">
        <v>0</v>
      </c>
      <c r="L173" t="n">
        <v>0</v>
      </c>
      <c r="M173" t="n">
        <v>0</v>
      </c>
      <c r="N173" t="n">
        <v>0</v>
      </c>
      <c r="O173" t="n">
        <v>0</v>
      </c>
      <c r="P173" t="n">
        <v>0</v>
      </c>
      <c r="Q173" t="n">
        <v>0</v>
      </c>
      <c r="R173" s="2" t="inlineStr"/>
    </row>
    <row r="174" ht="15" customHeight="1">
      <c r="A174" t="inlineStr">
        <is>
          <t>A 62289-2023</t>
        </is>
      </c>
      <c r="B174" s="1" t="n">
        <v>45266</v>
      </c>
      <c r="C174" s="1" t="n">
        <v>46188</v>
      </c>
      <c r="D174" t="inlineStr">
        <is>
          <t>DALARNAS LÄN</t>
        </is>
      </c>
      <c r="E174" t="inlineStr">
        <is>
          <t>ORSA</t>
        </is>
      </c>
      <c r="G174" t="n">
        <v>1.9</v>
      </c>
      <c r="H174" t="n">
        <v>0</v>
      </c>
      <c r="I174" t="n">
        <v>0</v>
      </c>
      <c r="J174" t="n">
        <v>0</v>
      </c>
      <c r="K174" t="n">
        <v>0</v>
      </c>
      <c r="L174" t="n">
        <v>0</v>
      </c>
      <c r="M174" t="n">
        <v>0</v>
      </c>
      <c r="N174" t="n">
        <v>0</v>
      </c>
      <c r="O174" t="n">
        <v>0</v>
      </c>
      <c r="P174" t="n">
        <v>0</v>
      </c>
      <c r="Q174" t="n">
        <v>0</v>
      </c>
      <c r="R174" s="2" t="inlineStr"/>
    </row>
    <row r="175" ht="15" customHeight="1">
      <c r="A175" t="inlineStr">
        <is>
          <t>A 44119-2025</t>
        </is>
      </c>
      <c r="B175" s="1" t="n">
        <v>45915.57738425926</v>
      </c>
      <c r="C175" s="1" t="n">
        <v>46188</v>
      </c>
      <c r="D175" t="inlineStr">
        <is>
          <t>DALARNAS LÄN</t>
        </is>
      </c>
      <c r="E175" t="inlineStr">
        <is>
          <t>ORSA</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44121-2025</t>
        </is>
      </c>
      <c r="B176" s="1" t="n">
        <v>45915.57792824074</v>
      </c>
      <c r="C176" s="1" t="n">
        <v>46188</v>
      </c>
      <c r="D176" t="inlineStr">
        <is>
          <t>DALARNAS LÄN</t>
        </is>
      </c>
      <c r="E176" t="inlineStr">
        <is>
          <t>ORSA</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57533-2022</t>
        </is>
      </c>
      <c r="B177" s="1" t="n">
        <v>44896.68393518519</v>
      </c>
      <c r="C177" s="1" t="n">
        <v>46188</v>
      </c>
      <c r="D177" t="inlineStr">
        <is>
          <t>DALARNAS LÄN</t>
        </is>
      </c>
      <c r="E177" t="inlineStr">
        <is>
          <t>ORSA</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56288-2025</t>
        </is>
      </c>
      <c r="B178" s="1" t="n">
        <v>45974.59688657407</v>
      </c>
      <c r="C178" s="1" t="n">
        <v>46188</v>
      </c>
      <c r="D178" t="inlineStr">
        <is>
          <t>DALARNAS LÄN</t>
        </is>
      </c>
      <c r="E178" t="inlineStr">
        <is>
          <t>ORSA</t>
        </is>
      </c>
      <c r="G178" t="n">
        <v>7.2</v>
      </c>
      <c r="H178" t="n">
        <v>0</v>
      </c>
      <c r="I178" t="n">
        <v>0</v>
      </c>
      <c r="J178" t="n">
        <v>0</v>
      </c>
      <c r="K178" t="n">
        <v>0</v>
      </c>
      <c r="L178" t="n">
        <v>0</v>
      </c>
      <c r="M178" t="n">
        <v>0</v>
      </c>
      <c r="N178" t="n">
        <v>0</v>
      </c>
      <c r="O178" t="n">
        <v>0</v>
      </c>
      <c r="P178" t="n">
        <v>0</v>
      </c>
      <c r="Q178" t="n">
        <v>0</v>
      </c>
      <c r="R178" s="2" t="inlineStr"/>
    </row>
    <row r="179" ht="15" customHeight="1">
      <c r="A179" t="inlineStr">
        <is>
          <t>A 43965-2025</t>
        </is>
      </c>
      <c r="B179" s="1" t="n">
        <v>45915.40027777778</v>
      </c>
      <c r="C179" s="1" t="n">
        <v>46188</v>
      </c>
      <c r="D179" t="inlineStr">
        <is>
          <t>DALARNAS LÄN</t>
        </is>
      </c>
      <c r="E179" t="inlineStr">
        <is>
          <t>ORSA</t>
        </is>
      </c>
      <c r="F179" t="inlineStr">
        <is>
          <t>Allmännings- och besparingsskogar</t>
        </is>
      </c>
      <c r="G179" t="n">
        <v>11.5</v>
      </c>
      <c r="H179" t="n">
        <v>0</v>
      </c>
      <c r="I179" t="n">
        <v>0</v>
      </c>
      <c r="J179" t="n">
        <v>0</v>
      </c>
      <c r="K179" t="n">
        <v>0</v>
      </c>
      <c r="L179" t="n">
        <v>0</v>
      </c>
      <c r="M179" t="n">
        <v>0</v>
      </c>
      <c r="N179" t="n">
        <v>0</v>
      </c>
      <c r="O179" t="n">
        <v>0</v>
      </c>
      <c r="P179" t="n">
        <v>0</v>
      </c>
      <c r="Q179" t="n">
        <v>0</v>
      </c>
      <c r="R179" s="2" t="inlineStr"/>
    </row>
    <row r="180" ht="15" customHeight="1">
      <c r="A180" t="inlineStr">
        <is>
          <t>A 44117-2025</t>
        </is>
      </c>
      <c r="B180" s="1" t="n">
        <v>45915.57677083334</v>
      </c>
      <c r="C180" s="1" t="n">
        <v>46188</v>
      </c>
      <c r="D180" t="inlineStr">
        <is>
          <t>DALARNAS LÄN</t>
        </is>
      </c>
      <c r="E180" t="inlineStr">
        <is>
          <t>ORSA</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44129-2025</t>
        </is>
      </c>
      <c r="B181" s="1" t="n">
        <v>45915.58392361111</v>
      </c>
      <c r="C181" s="1" t="n">
        <v>46188</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57383-2025</t>
        </is>
      </c>
      <c r="B182" s="1" t="n">
        <v>45980.40871527778</v>
      </c>
      <c r="C182" s="1" t="n">
        <v>46188</v>
      </c>
      <c r="D182" t="inlineStr">
        <is>
          <t>DALARNAS LÄN</t>
        </is>
      </c>
      <c r="E182" t="inlineStr">
        <is>
          <t>ORSA</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43967-2025</t>
        </is>
      </c>
      <c r="B183" s="1" t="n">
        <v>45915.40188657407</v>
      </c>
      <c r="C183" s="1" t="n">
        <v>46188</v>
      </c>
      <c r="D183" t="inlineStr">
        <is>
          <t>DALARNAS LÄN</t>
        </is>
      </c>
      <c r="E183" t="inlineStr">
        <is>
          <t>ORSA</t>
        </is>
      </c>
      <c r="F183" t="inlineStr">
        <is>
          <t>Allmännings- och besparingsskogar</t>
        </is>
      </c>
      <c r="G183" t="n">
        <v>8.4</v>
      </c>
      <c r="H183" t="n">
        <v>0</v>
      </c>
      <c r="I183" t="n">
        <v>0</v>
      </c>
      <c r="J183" t="n">
        <v>0</v>
      </c>
      <c r="K183" t="n">
        <v>0</v>
      </c>
      <c r="L183" t="n">
        <v>0</v>
      </c>
      <c r="M183" t="n">
        <v>0</v>
      </c>
      <c r="N183" t="n">
        <v>0</v>
      </c>
      <c r="O183" t="n">
        <v>0</v>
      </c>
      <c r="P183" t="n">
        <v>0</v>
      </c>
      <c r="Q183" t="n">
        <v>0</v>
      </c>
      <c r="R183" s="2" t="inlineStr"/>
    </row>
    <row r="184" ht="15" customHeight="1">
      <c r="A184" t="inlineStr">
        <is>
          <t>A 57681-2025</t>
        </is>
      </c>
      <c r="B184" s="1" t="n">
        <v>45980.30490740741</v>
      </c>
      <c r="C184" s="1" t="n">
        <v>46188</v>
      </c>
      <c r="D184" t="inlineStr">
        <is>
          <t>DALARNAS LÄN</t>
        </is>
      </c>
      <c r="E184" t="inlineStr">
        <is>
          <t>ORSA</t>
        </is>
      </c>
      <c r="G184" t="n">
        <v>1.7</v>
      </c>
      <c r="H184" t="n">
        <v>0</v>
      </c>
      <c r="I184" t="n">
        <v>0</v>
      </c>
      <c r="J184" t="n">
        <v>0</v>
      </c>
      <c r="K184" t="n">
        <v>0</v>
      </c>
      <c r="L184" t="n">
        <v>0</v>
      </c>
      <c r="M184" t="n">
        <v>0</v>
      </c>
      <c r="N184" t="n">
        <v>0</v>
      </c>
      <c r="O184" t="n">
        <v>0</v>
      </c>
      <c r="P184" t="n">
        <v>0</v>
      </c>
      <c r="Q184" t="n">
        <v>0</v>
      </c>
      <c r="R184" s="2" t="inlineStr"/>
    </row>
    <row r="185" ht="15" customHeight="1">
      <c r="A185" t="inlineStr">
        <is>
          <t>A 47778-2021</t>
        </is>
      </c>
      <c r="B185" s="1" t="n">
        <v>44448</v>
      </c>
      <c r="C185" s="1" t="n">
        <v>46188</v>
      </c>
      <c r="D185" t="inlineStr">
        <is>
          <t>DALARNAS LÄN</t>
        </is>
      </c>
      <c r="E185" t="inlineStr">
        <is>
          <t>ORSA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23055-2025</t>
        </is>
      </c>
      <c r="B186" s="1" t="n">
        <v>45790.73469907408</v>
      </c>
      <c r="C186" s="1" t="n">
        <v>46188</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45803-2025</t>
        </is>
      </c>
      <c r="B187" s="1" t="n">
        <v>45923.58125</v>
      </c>
      <c r="C187" s="1" t="n">
        <v>46188</v>
      </c>
      <c r="D187" t="inlineStr">
        <is>
          <t>DALARNAS LÄN</t>
        </is>
      </c>
      <c r="E187" t="inlineStr">
        <is>
          <t>ORSA</t>
        </is>
      </c>
      <c r="F187" t="inlineStr">
        <is>
          <t>Allmännings- och besparingsskogar</t>
        </is>
      </c>
      <c r="G187" t="n">
        <v>3.4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46188</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58904-2025</t>
        </is>
      </c>
      <c r="B189" s="1" t="n">
        <v>45987.50958333333</v>
      </c>
      <c r="C189" s="1" t="n">
        <v>46188</v>
      </c>
      <c r="D189" t="inlineStr">
        <is>
          <t>DALARNAS LÄN</t>
        </is>
      </c>
      <c r="E189" t="inlineStr">
        <is>
          <t>ORSA</t>
        </is>
      </c>
      <c r="G189" t="n">
        <v>5.5</v>
      </c>
      <c r="H189" t="n">
        <v>0</v>
      </c>
      <c r="I189" t="n">
        <v>0</v>
      </c>
      <c r="J189" t="n">
        <v>0</v>
      </c>
      <c r="K189" t="n">
        <v>0</v>
      </c>
      <c r="L189" t="n">
        <v>0</v>
      </c>
      <c r="M189" t="n">
        <v>0</v>
      </c>
      <c r="N189" t="n">
        <v>0</v>
      </c>
      <c r="O189" t="n">
        <v>0</v>
      </c>
      <c r="P189" t="n">
        <v>0</v>
      </c>
      <c r="Q189" t="n">
        <v>0</v>
      </c>
      <c r="R189" s="2" t="inlineStr"/>
    </row>
    <row r="190" ht="15" customHeight="1">
      <c r="A190" t="inlineStr">
        <is>
          <t>A 58657-2025</t>
        </is>
      </c>
      <c r="B190" s="1" t="n">
        <v>45986.52584490741</v>
      </c>
      <c r="C190" s="1" t="n">
        <v>46188</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58834-2025</t>
        </is>
      </c>
      <c r="B191" s="1" t="n">
        <v>45987.35487268519</v>
      </c>
      <c r="C191" s="1" t="n">
        <v>46188</v>
      </c>
      <c r="D191" t="inlineStr">
        <is>
          <t>DALARNAS LÄN</t>
        </is>
      </c>
      <c r="E191" t="inlineStr">
        <is>
          <t>ORSA</t>
        </is>
      </c>
      <c r="G191" t="n">
        <v>3.6</v>
      </c>
      <c r="H191" t="n">
        <v>0</v>
      </c>
      <c r="I191" t="n">
        <v>0</v>
      </c>
      <c r="J191" t="n">
        <v>0</v>
      </c>
      <c r="K191" t="n">
        <v>0</v>
      </c>
      <c r="L191" t="n">
        <v>0</v>
      </c>
      <c r="M191" t="n">
        <v>0</v>
      </c>
      <c r="N191" t="n">
        <v>0</v>
      </c>
      <c r="O191" t="n">
        <v>0</v>
      </c>
      <c r="P191" t="n">
        <v>0</v>
      </c>
      <c r="Q191" t="n">
        <v>0</v>
      </c>
      <c r="R191" s="2" t="inlineStr"/>
    </row>
    <row r="192" ht="15" customHeight="1">
      <c r="A192" t="inlineStr">
        <is>
          <t>A 58691-2025</t>
        </is>
      </c>
      <c r="B192" s="1" t="n">
        <v>45986.58231481481</v>
      </c>
      <c r="C192" s="1" t="n">
        <v>46188</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58910-2025</t>
        </is>
      </c>
      <c r="B193" s="1" t="n">
        <v>45987.51534722222</v>
      </c>
      <c r="C193" s="1" t="n">
        <v>46188</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58686-2025</t>
        </is>
      </c>
      <c r="B194" s="1" t="n">
        <v>45986.57303240741</v>
      </c>
      <c r="C194" s="1" t="n">
        <v>46188</v>
      </c>
      <c r="D194" t="inlineStr">
        <is>
          <t>DALARNAS LÄN</t>
        </is>
      </c>
      <c r="E194" t="inlineStr">
        <is>
          <t>ORSA</t>
        </is>
      </c>
      <c r="G194" t="n">
        <v>1.2</v>
      </c>
      <c r="H194" t="n">
        <v>0</v>
      </c>
      <c r="I194" t="n">
        <v>0</v>
      </c>
      <c r="J194" t="n">
        <v>0</v>
      </c>
      <c r="K194" t="n">
        <v>0</v>
      </c>
      <c r="L194" t="n">
        <v>0</v>
      </c>
      <c r="M194" t="n">
        <v>0</v>
      </c>
      <c r="N194" t="n">
        <v>0</v>
      </c>
      <c r="O194" t="n">
        <v>0</v>
      </c>
      <c r="P194" t="n">
        <v>0</v>
      </c>
      <c r="Q194" t="n">
        <v>0</v>
      </c>
      <c r="R194" s="2" t="inlineStr"/>
    </row>
    <row r="195" ht="15" customHeight="1">
      <c r="A195" t="inlineStr">
        <is>
          <t>A 58647-2025</t>
        </is>
      </c>
      <c r="B195" s="1" t="n">
        <v>45986.50476851852</v>
      </c>
      <c r="C195" s="1" t="n">
        <v>46188</v>
      </c>
      <c r="D195" t="inlineStr">
        <is>
          <t>DALARNAS LÄN</t>
        </is>
      </c>
      <c r="E195" t="inlineStr">
        <is>
          <t>ORSA</t>
        </is>
      </c>
      <c r="G195" t="n">
        <v>2.8</v>
      </c>
      <c r="H195" t="n">
        <v>0</v>
      </c>
      <c r="I195" t="n">
        <v>0</v>
      </c>
      <c r="J195" t="n">
        <v>0</v>
      </c>
      <c r="K195" t="n">
        <v>0</v>
      </c>
      <c r="L195" t="n">
        <v>0</v>
      </c>
      <c r="M195" t="n">
        <v>0</v>
      </c>
      <c r="N195" t="n">
        <v>0</v>
      </c>
      <c r="O195" t="n">
        <v>0</v>
      </c>
      <c r="P195" t="n">
        <v>0</v>
      </c>
      <c r="Q195" t="n">
        <v>0</v>
      </c>
      <c r="R195" s="2" t="inlineStr"/>
    </row>
    <row r="196" ht="15" customHeight="1">
      <c r="A196" t="inlineStr">
        <is>
          <t>A 58886-2025</t>
        </is>
      </c>
      <c r="B196" s="1" t="n">
        <v>45987.48171296297</v>
      </c>
      <c r="C196" s="1" t="n">
        <v>46188</v>
      </c>
      <c r="D196" t="inlineStr">
        <is>
          <t>DALARNAS LÄN</t>
        </is>
      </c>
      <c r="E196" t="inlineStr">
        <is>
          <t>ORSA</t>
        </is>
      </c>
      <c r="G196" t="n">
        <v>2.7</v>
      </c>
      <c r="H196" t="n">
        <v>0</v>
      </c>
      <c r="I196" t="n">
        <v>0</v>
      </c>
      <c r="J196" t="n">
        <v>0</v>
      </c>
      <c r="K196" t="n">
        <v>0</v>
      </c>
      <c r="L196" t="n">
        <v>0</v>
      </c>
      <c r="M196" t="n">
        <v>0</v>
      </c>
      <c r="N196" t="n">
        <v>0</v>
      </c>
      <c r="O196" t="n">
        <v>0</v>
      </c>
      <c r="P196" t="n">
        <v>0</v>
      </c>
      <c r="Q196" t="n">
        <v>0</v>
      </c>
      <c r="R196" s="2" t="inlineStr"/>
    </row>
    <row r="197" ht="15" customHeight="1">
      <c r="A197" t="inlineStr">
        <is>
          <t>A 58683-2025</t>
        </is>
      </c>
      <c r="B197" s="1" t="n">
        <v>45986.56949074074</v>
      </c>
      <c r="C197" s="1" t="n">
        <v>46188</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5302-2024</t>
        </is>
      </c>
      <c r="B198" s="1" t="n">
        <v>45331.38175925926</v>
      </c>
      <c r="C198" s="1" t="n">
        <v>46188</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46279-2025</t>
        </is>
      </c>
      <c r="B199" s="1" t="n">
        <v>45925.37534722222</v>
      </c>
      <c r="C199" s="1" t="n">
        <v>46188</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46272-2025</t>
        </is>
      </c>
      <c r="B200" s="1" t="n">
        <v>45925.36988425926</v>
      </c>
      <c r="C200" s="1" t="n">
        <v>46188</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59149-2025</t>
        </is>
      </c>
      <c r="B201" s="1" t="n">
        <v>45988.52844907407</v>
      </c>
      <c r="C201" s="1" t="n">
        <v>46188</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59114-2025</t>
        </is>
      </c>
      <c r="B202" s="1" t="n">
        <v>45988.4884375</v>
      </c>
      <c r="C202" s="1" t="n">
        <v>46188</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59124-2025</t>
        </is>
      </c>
      <c r="B203" s="1" t="n">
        <v>45988.4934375</v>
      </c>
      <c r="C203" s="1" t="n">
        <v>46188</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17850-2025</t>
        </is>
      </c>
      <c r="B204" s="1" t="n">
        <v>45758.60162037037</v>
      </c>
      <c r="C204" s="1" t="n">
        <v>46188</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60162-2025</t>
        </is>
      </c>
      <c r="B205" s="1" t="n">
        <v>45994.43018518519</v>
      </c>
      <c r="C205" s="1" t="n">
        <v>46188</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48525-2024</t>
        </is>
      </c>
      <c r="B206" s="1" t="n">
        <v>45593.33947916667</v>
      </c>
      <c r="C206" s="1" t="n">
        <v>46188</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55701-2023</t>
        </is>
      </c>
      <c r="B207" s="1" t="n">
        <v>45239.37113425926</v>
      </c>
      <c r="C207" s="1" t="n">
        <v>46188</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60837-2025</t>
        </is>
      </c>
      <c r="B208" s="1" t="n">
        <v>45999.47630787037</v>
      </c>
      <c r="C208" s="1" t="n">
        <v>46188</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31634-2025</t>
        </is>
      </c>
      <c r="B209" s="1" t="n">
        <v>45834</v>
      </c>
      <c r="C209" s="1" t="n">
        <v>46188</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11784-2024</t>
        </is>
      </c>
      <c r="B210" s="1" t="n">
        <v>45374.67886574074</v>
      </c>
      <c r="C210" s="1" t="n">
        <v>46188</v>
      </c>
      <c r="D210" t="inlineStr">
        <is>
          <t>DALARNAS LÄN</t>
        </is>
      </c>
      <c r="E210" t="inlineStr">
        <is>
          <t>ORSA</t>
        </is>
      </c>
      <c r="G210" t="n">
        <v>1.7</v>
      </c>
      <c r="H210" t="n">
        <v>0</v>
      </c>
      <c r="I210" t="n">
        <v>0</v>
      </c>
      <c r="J210" t="n">
        <v>0</v>
      </c>
      <c r="K210" t="n">
        <v>0</v>
      </c>
      <c r="L210" t="n">
        <v>0</v>
      </c>
      <c r="M210" t="n">
        <v>0</v>
      </c>
      <c r="N210" t="n">
        <v>0</v>
      </c>
      <c r="O210" t="n">
        <v>0</v>
      </c>
      <c r="P210" t="n">
        <v>0</v>
      </c>
      <c r="Q210" t="n">
        <v>0</v>
      </c>
      <c r="R210" s="2" t="inlineStr"/>
    </row>
    <row r="211" ht="15" customHeight="1">
      <c r="A211" t="inlineStr">
        <is>
          <t>A 60945-2025</t>
        </is>
      </c>
      <c r="B211" s="1" t="n">
        <v>45999.64672453704</v>
      </c>
      <c r="C211" s="1" t="n">
        <v>46188</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47134-2024</t>
        </is>
      </c>
      <c r="B212" s="1" t="n">
        <v>45586.58081018519</v>
      </c>
      <c r="C212" s="1" t="n">
        <v>46188</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55843-2023</t>
        </is>
      </c>
      <c r="B213" s="1" t="n">
        <v>45239</v>
      </c>
      <c r="C213" s="1" t="n">
        <v>46188</v>
      </c>
      <c r="D213" t="inlineStr">
        <is>
          <t>DALARNAS LÄN</t>
        </is>
      </c>
      <c r="E213" t="inlineStr">
        <is>
          <t>ORSA</t>
        </is>
      </c>
      <c r="G213" t="n">
        <v>2.4</v>
      </c>
      <c r="H213" t="n">
        <v>0</v>
      </c>
      <c r="I213" t="n">
        <v>0</v>
      </c>
      <c r="J213" t="n">
        <v>0</v>
      </c>
      <c r="K213" t="n">
        <v>0</v>
      </c>
      <c r="L213" t="n">
        <v>0</v>
      </c>
      <c r="M213" t="n">
        <v>0</v>
      </c>
      <c r="N213" t="n">
        <v>0</v>
      </c>
      <c r="O213" t="n">
        <v>0</v>
      </c>
      <c r="P213" t="n">
        <v>0</v>
      </c>
      <c r="Q213" t="n">
        <v>0</v>
      </c>
      <c r="R213" s="2" t="inlineStr"/>
    </row>
    <row r="214" ht="15" customHeight="1">
      <c r="A214" t="inlineStr">
        <is>
          <t>A 22911-2023</t>
        </is>
      </c>
      <c r="B214" s="1" t="n">
        <v>45072</v>
      </c>
      <c r="C214" s="1" t="n">
        <v>46188</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35477-2023</t>
        </is>
      </c>
      <c r="B215" s="1" t="n">
        <v>45146</v>
      </c>
      <c r="C215" s="1" t="n">
        <v>46188</v>
      </c>
      <c r="D215" t="inlineStr">
        <is>
          <t>DALARNAS LÄN</t>
        </is>
      </c>
      <c r="E215" t="inlineStr">
        <is>
          <t>ORSA</t>
        </is>
      </c>
      <c r="G215" t="n">
        <v>7.7</v>
      </c>
      <c r="H215" t="n">
        <v>0</v>
      </c>
      <c r="I215" t="n">
        <v>0</v>
      </c>
      <c r="J215" t="n">
        <v>0</v>
      </c>
      <c r="K215" t="n">
        <v>0</v>
      </c>
      <c r="L215" t="n">
        <v>0</v>
      </c>
      <c r="M215" t="n">
        <v>0</v>
      </c>
      <c r="N215" t="n">
        <v>0</v>
      </c>
      <c r="O215" t="n">
        <v>0</v>
      </c>
      <c r="P215" t="n">
        <v>0</v>
      </c>
      <c r="Q215" t="n">
        <v>0</v>
      </c>
      <c r="R215" s="2" t="inlineStr"/>
    </row>
    <row r="216" ht="15" customHeight="1">
      <c r="A216" t="inlineStr">
        <is>
          <t>A 47579-2023</t>
        </is>
      </c>
      <c r="B216" s="1" t="n">
        <v>45203.42181712963</v>
      </c>
      <c r="C216" s="1" t="n">
        <v>46188</v>
      </c>
      <c r="D216" t="inlineStr">
        <is>
          <t>DALARNAS LÄN</t>
        </is>
      </c>
      <c r="E216" t="inlineStr">
        <is>
          <t>ORSA</t>
        </is>
      </c>
      <c r="G216" t="n">
        <v>2.9</v>
      </c>
      <c r="H216" t="n">
        <v>0</v>
      </c>
      <c r="I216" t="n">
        <v>0</v>
      </c>
      <c r="J216" t="n">
        <v>0</v>
      </c>
      <c r="K216" t="n">
        <v>0</v>
      </c>
      <c r="L216" t="n">
        <v>0</v>
      </c>
      <c r="M216" t="n">
        <v>0</v>
      </c>
      <c r="N216" t="n">
        <v>0</v>
      </c>
      <c r="O216" t="n">
        <v>0</v>
      </c>
      <c r="P216" t="n">
        <v>0</v>
      </c>
      <c r="Q216" t="n">
        <v>0</v>
      </c>
      <c r="R216" s="2" t="inlineStr"/>
    </row>
    <row r="217" ht="15" customHeight="1">
      <c r="A217" t="inlineStr">
        <is>
          <t>A 48819-2024</t>
        </is>
      </c>
      <c r="B217" s="1" t="n">
        <v>45593.67824074074</v>
      </c>
      <c r="C217" s="1" t="n">
        <v>46188</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23350-2024</t>
        </is>
      </c>
      <c r="B218" s="1" t="n">
        <v>45453</v>
      </c>
      <c r="C218" s="1" t="n">
        <v>46188</v>
      </c>
      <c r="D218" t="inlineStr">
        <is>
          <t>DALARNAS LÄN</t>
        </is>
      </c>
      <c r="E218" t="inlineStr">
        <is>
          <t>ORSA</t>
        </is>
      </c>
      <c r="G218" t="n">
        <v>18.7</v>
      </c>
      <c r="H218" t="n">
        <v>0</v>
      </c>
      <c r="I218" t="n">
        <v>0</v>
      </c>
      <c r="J218" t="n">
        <v>0</v>
      </c>
      <c r="K218" t="n">
        <v>0</v>
      </c>
      <c r="L218" t="n">
        <v>0</v>
      </c>
      <c r="M218" t="n">
        <v>0</v>
      </c>
      <c r="N218" t="n">
        <v>0</v>
      </c>
      <c r="O218" t="n">
        <v>0</v>
      </c>
      <c r="P218" t="n">
        <v>0</v>
      </c>
      <c r="Q218" t="n">
        <v>0</v>
      </c>
      <c r="R218" s="2" t="inlineStr"/>
    </row>
    <row r="219" ht="15" customHeight="1">
      <c r="A219" t="inlineStr">
        <is>
          <t>A 48447-2023</t>
        </is>
      </c>
      <c r="B219" s="1" t="n">
        <v>45206.39274305556</v>
      </c>
      <c r="C219" s="1" t="n">
        <v>46188</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2563-2025</t>
        </is>
      </c>
      <c r="B220" s="1" t="n">
        <v>45674.65692129629</v>
      </c>
      <c r="C220" s="1" t="n">
        <v>46188</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31170-2023</t>
        </is>
      </c>
      <c r="B221" s="1" t="n">
        <v>45113.84923611111</v>
      </c>
      <c r="C221" s="1" t="n">
        <v>46188</v>
      </c>
      <c r="D221" t="inlineStr">
        <is>
          <t>DALARNAS LÄN</t>
        </is>
      </c>
      <c r="E221" t="inlineStr">
        <is>
          <t>ORSA</t>
        </is>
      </c>
      <c r="G221" t="n">
        <v>2.1</v>
      </c>
      <c r="H221" t="n">
        <v>0</v>
      </c>
      <c r="I221" t="n">
        <v>0</v>
      </c>
      <c r="J221" t="n">
        <v>0</v>
      </c>
      <c r="K221" t="n">
        <v>0</v>
      </c>
      <c r="L221" t="n">
        <v>0</v>
      </c>
      <c r="M221" t="n">
        <v>0</v>
      </c>
      <c r="N221" t="n">
        <v>0</v>
      </c>
      <c r="O221" t="n">
        <v>0</v>
      </c>
      <c r="P221" t="n">
        <v>0</v>
      </c>
      <c r="Q221" t="n">
        <v>0</v>
      </c>
      <c r="R221" s="2" t="inlineStr"/>
    </row>
    <row r="222" ht="15" customHeight="1">
      <c r="A222" t="inlineStr">
        <is>
          <t>A 31172-2023</t>
        </is>
      </c>
      <c r="B222" s="1" t="n">
        <v>45113.8637037037</v>
      </c>
      <c r="C222" s="1" t="n">
        <v>46188</v>
      </c>
      <c r="D222" t="inlineStr">
        <is>
          <t>DALARNAS LÄN</t>
        </is>
      </c>
      <c r="E222" t="inlineStr">
        <is>
          <t>ORSA</t>
        </is>
      </c>
      <c r="G222" t="n">
        <v>2.9</v>
      </c>
      <c r="H222" t="n">
        <v>0</v>
      </c>
      <c r="I222" t="n">
        <v>0</v>
      </c>
      <c r="J222" t="n">
        <v>0</v>
      </c>
      <c r="K222" t="n">
        <v>0</v>
      </c>
      <c r="L222" t="n">
        <v>0</v>
      </c>
      <c r="M222" t="n">
        <v>0</v>
      </c>
      <c r="N222" t="n">
        <v>0</v>
      </c>
      <c r="O222" t="n">
        <v>0</v>
      </c>
      <c r="P222" t="n">
        <v>0</v>
      </c>
      <c r="Q222" t="n">
        <v>0</v>
      </c>
      <c r="R222" s="2" t="inlineStr"/>
    </row>
    <row r="223" ht="15" customHeight="1">
      <c r="A223" t="inlineStr">
        <is>
          <t>A 31171-2023</t>
        </is>
      </c>
      <c r="B223" s="1" t="n">
        <v>45113.85704861111</v>
      </c>
      <c r="C223" s="1" t="n">
        <v>46188</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60844-2025</t>
        </is>
      </c>
      <c r="B224" s="1" t="n">
        <v>45999.4887037037</v>
      </c>
      <c r="C224" s="1" t="n">
        <v>46188</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29025-2023</t>
        </is>
      </c>
      <c r="B225" s="1" t="n">
        <v>45104.70399305555</v>
      </c>
      <c r="C225" s="1" t="n">
        <v>46188</v>
      </c>
      <c r="D225" t="inlineStr">
        <is>
          <t>DALARNAS LÄN</t>
        </is>
      </c>
      <c r="E225" t="inlineStr">
        <is>
          <t>ORSA</t>
        </is>
      </c>
      <c r="G225" t="n">
        <v>6.6</v>
      </c>
      <c r="H225" t="n">
        <v>0</v>
      </c>
      <c r="I225" t="n">
        <v>0</v>
      </c>
      <c r="J225" t="n">
        <v>0</v>
      </c>
      <c r="K225" t="n">
        <v>0</v>
      </c>
      <c r="L225" t="n">
        <v>0</v>
      </c>
      <c r="M225" t="n">
        <v>0</v>
      </c>
      <c r="N225" t="n">
        <v>0</v>
      </c>
      <c r="O225" t="n">
        <v>0</v>
      </c>
      <c r="P225" t="n">
        <v>0</v>
      </c>
      <c r="Q225" t="n">
        <v>0</v>
      </c>
      <c r="R225" s="2" t="inlineStr"/>
    </row>
    <row r="226" ht="15" customHeight="1">
      <c r="A226" t="inlineStr">
        <is>
          <t>A 48518-2024</t>
        </is>
      </c>
      <c r="B226" s="1" t="n">
        <v>45593.31915509259</v>
      </c>
      <c r="C226" s="1" t="n">
        <v>46188</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58793-2023</t>
        </is>
      </c>
      <c r="B227" s="1" t="n">
        <v>45252.34607638889</v>
      </c>
      <c r="C227" s="1" t="n">
        <v>46188</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51551-2025</t>
        </is>
      </c>
      <c r="B228" s="1" t="n">
        <v>45950.84275462963</v>
      </c>
      <c r="C228" s="1" t="n">
        <v>46188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41291-2021</t>
        </is>
      </c>
      <c r="B229" s="1" t="n">
        <v>44424</v>
      </c>
      <c r="C229" s="1" t="n">
        <v>46188</v>
      </c>
      <c r="D229" t="inlineStr">
        <is>
          <t>DALARNAS LÄN</t>
        </is>
      </c>
      <c r="E229" t="inlineStr">
        <is>
          <t>ORSA</t>
        </is>
      </c>
      <c r="G229" t="n">
        <v>2</v>
      </c>
      <c r="H229" t="n">
        <v>0</v>
      </c>
      <c r="I229" t="n">
        <v>0</v>
      </c>
      <c r="J229" t="n">
        <v>0</v>
      </c>
      <c r="K229" t="n">
        <v>0</v>
      </c>
      <c r="L229" t="n">
        <v>0</v>
      </c>
      <c r="M229" t="n">
        <v>0</v>
      </c>
      <c r="N229" t="n">
        <v>0</v>
      </c>
      <c r="O229" t="n">
        <v>0</v>
      </c>
      <c r="P229" t="n">
        <v>0</v>
      </c>
      <c r="Q229" t="n">
        <v>0</v>
      </c>
      <c r="R229" s="2" t="inlineStr"/>
    </row>
    <row r="230" ht="15" customHeight="1">
      <c r="A230" t="inlineStr">
        <is>
          <t>A 21446-2024</t>
        </is>
      </c>
      <c r="B230" s="1" t="n">
        <v>45441.45840277777</v>
      </c>
      <c r="C230" s="1" t="n">
        <v>46188</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51563-2023</t>
        </is>
      </c>
      <c r="B231" s="1" t="n">
        <v>45222</v>
      </c>
      <c r="C231" s="1" t="n">
        <v>46188</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56975-2023</t>
        </is>
      </c>
      <c r="B232" s="1" t="n">
        <v>45244</v>
      </c>
      <c r="C232" s="1" t="n">
        <v>46188</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61279-2023</t>
        </is>
      </c>
      <c r="B233" s="1" t="n">
        <v>45264.5270949074</v>
      </c>
      <c r="C233" s="1" t="n">
        <v>46188</v>
      </c>
      <c r="D233" t="inlineStr">
        <is>
          <t>DALARNAS LÄN</t>
        </is>
      </c>
      <c r="E233" t="inlineStr">
        <is>
          <t>ORSA</t>
        </is>
      </c>
      <c r="G233" t="n">
        <v>0.2</v>
      </c>
      <c r="H233" t="n">
        <v>0</v>
      </c>
      <c r="I233" t="n">
        <v>0</v>
      </c>
      <c r="J233" t="n">
        <v>0</v>
      </c>
      <c r="K233" t="n">
        <v>0</v>
      </c>
      <c r="L233" t="n">
        <v>0</v>
      </c>
      <c r="M233" t="n">
        <v>0</v>
      </c>
      <c r="N233" t="n">
        <v>0</v>
      </c>
      <c r="O233" t="n">
        <v>0</v>
      </c>
      <c r="P233" t="n">
        <v>0</v>
      </c>
      <c r="Q233" t="n">
        <v>0</v>
      </c>
      <c r="R233" s="2" t="inlineStr"/>
    </row>
    <row r="234" ht="15" customHeight="1">
      <c r="A234" t="inlineStr">
        <is>
          <t>A 62971-2025</t>
        </is>
      </c>
      <c r="B234" s="1" t="n">
        <v>46009.46511574074</v>
      </c>
      <c r="C234" s="1" t="n">
        <v>46188</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62830-2025</t>
        </is>
      </c>
      <c r="B235" s="1" t="n">
        <v>46008.67211805555</v>
      </c>
      <c r="C235" s="1" t="n">
        <v>46188</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62810-2025</t>
        </is>
      </c>
      <c r="B236" s="1" t="n">
        <v>46008.64875</v>
      </c>
      <c r="C236" s="1" t="n">
        <v>46188</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62832-2025</t>
        </is>
      </c>
      <c r="B237" s="1" t="n">
        <v>46008.67696759259</v>
      </c>
      <c r="C237" s="1" t="n">
        <v>46188</v>
      </c>
      <c r="D237" t="inlineStr">
        <is>
          <t>DALARNAS LÄN</t>
        </is>
      </c>
      <c r="E237" t="inlineStr">
        <is>
          <t>ORSA</t>
        </is>
      </c>
      <c r="G237" t="n">
        <v>1.9</v>
      </c>
      <c r="H237" t="n">
        <v>0</v>
      </c>
      <c r="I237" t="n">
        <v>0</v>
      </c>
      <c r="J237" t="n">
        <v>0</v>
      </c>
      <c r="K237" t="n">
        <v>0</v>
      </c>
      <c r="L237" t="n">
        <v>0</v>
      </c>
      <c r="M237" t="n">
        <v>0</v>
      </c>
      <c r="N237" t="n">
        <v>0</v>
      </c>
      <c r="O237" t="n">
        <v>0</v>
      </c>
      <c r="P237" t="n">
        <v>0</v>
      </c>
      <c r="Q237" t="n">
        <v>0</v>
      </c>
      <c r="R237" s="2" t="inlineStr"/>
    </row>
    <row r="238" ht="15" customHeight="1">
      <c r="A238" t="inlineStr">
        <is>
          <t>A 62858-2025</t>
        </is>
      </c>
      <c r="B238" s="1" t="n">
        <v>46008.74334490741</v>
      </c>
      <c r="C238" s="1" t="n">
        <v>46188</v>
      </c>
      <c r="D238" t="inlineStr">
        <is>
          <t>DALARNAS LÄN</t>
        </is>
      </c>
      <c r="E238" t="inlineStr">
        <is>
          <t>ORSA</t>
        </is>
      </c>
      <c r="G238" t="n">
        <v>5</v>
      </c>
      <c r="H238" t="n">
        <v>0</v>
      </c>
      <c r="I238" t="n">
        <v>0</v>
      </c>
      <c r="J238" t="n">
        <v>0</v>
      </c>
      <c r="K238" t="n">
        <v>0</v>
      </c>
      <c r="L238" t="n">
        <v>0</v>
      </c>
      <c r="M238" t="n">
        <v>0</v>
      </c>
      <c r="N238" t="n">
        <v>0</v>
      </c>
      <c r="O238" t="n">
        <v>0</v>
      </c>
      <c r="P238" t="n">
        <v>0</v>
      </c>
      <c r="Q238" t="n">
        <v>0</v>
      </c>
      <c r="R238" s="2" t="inlineStr"/>
    </row>
    <row r="239" ht="15" customHeight="1">
      <c r="A239" t="inlineStr">
        <is>
          <t>A 63118-2025</t>
        </is>
      </c>
      <c r="B239" s="1" t="n">
        <v>46009.85609953704</v>
      </c>
      <c r="C239" s="1" t="n">
        <v>46188</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5434-2025</t>
        </is>
      </c>
      <c r="B240" s="1" t="n">
        <v>45692</v>
      </c>
      <c r="C240" s="1" t="n">
        <v>46188</v>
      </c>
      <c r="D240" t="inlineStr">
        <is>
          <t>DALARNAS LÄN</t>
        </is>
      </c>
      <c r="E240" t="inlineStr">
        <is>
          <t>ORSA</t>
        </is>
      </c>
      <c r="G240" t="n">
        <v>6.9</v>
      </c>
      <c r="H240" t="n">
        <v>0</v>
      </c>
      <c r="I240" t="n">
        <v>0</v>
      </c>
      <c r="J240" t="n">
        <v>0</v>
      </c>
      <c r="K240" t="n">
        <v>0</v>
      </c>
      <c r="L240" t="n">
        <v>0</v>
      </c>
      <c r="M240" t="n">
        <v>0</v>
      </c>
      <c r="N240" t="n">
        <v>0</v>
      </c>
      <c r="O240" t="n">
        <v>0</v>
      </c>
      <c r="P240" t="n">
        <v>0</v>
      </c>
      <c r="Q240" t="n">
        <v>0</v>
      </c>
      <c r="R240" s="2" t="inlineStr"/>
    </row>
    <row r="241" ht="15" customHeight="1">
      <c r="A241" t="inlineStr">
        <is>
          <t>A 63371-2023</t>
        </is>
      </c>
      <c r="B241" s="1" t="n">
        <v>45274.47642361111</v>
      </c>
      <c r="C241" s="1" t="n">
        <v>46188</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63231-2025</t>
        </is>
      </c>
      <c r="B242" s="1" t="n">
        <v>46010.50851851852</v>
      </c>
      <c r="C242" s="1" t="n">
        <v>46188</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63467-2025</t>
        </is>
      </c>
      <c r="B243" s="1" t="n">
        <v>46013.43195601852</v>
      </c>
      <c r="C243" s="1" t="n">
        <v>46188</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16392-2024</t>
        </is>
      </c>
      <c r="B244" s="1" t="n">
        <v>45407.62380787037</v>
      </c>
      <c r="C244" s="1" t="n">
        <v>46188</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8579-2025</t>
        </is>
      </c>
      <c r="B245" s="1" t="n">
        <v>45709</v>
      </c>
      <c r="C245" s="1" t="n">
        <v>46188</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144-2026</t>
        </is>
      </c>
      <c r="B246" s="1" t="n">
        <v>46024.63174768518</v>
      </c>
      <c r="C246" s="1" t="n">
        <v>46188</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33673-2023</t>
        </is>
      </c>
      <c r="B247" s="1" t="n">
        <v>45132</v>
      </c>
      <c r="C247" s="1" t="n">
        <v>46188</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51-2026</t>
        </is>
      </c>
      <c r="B248" s="1" t="n">
        <v>46024</v>
      </c>
      <c r="C248" s="1" t="n">
        <v>46188</v>
      </c>
      <c r="D248" t="inlineStr">
        <is>
          <t>DALARNAS LÄN</t>
        </is>
      </c>
      <c r="E248" t="inlineStr">
        <is>
          <t>ORSA</t>
        </is>
      </c>
      <c r="G248" t="n">
        <v>2</v>
      </c>
      <c r="H248" t="n">
        <v>0</v>
      </c>
      <c r="I248" t="n">
        <v>0</v>
      </c>
      <c r="J248" t="n">
        <v>0</v>
      </c>
      <c r="K248" t="n">
        <v>0</v>
      </c>
      <c r="L248" t="n">
        <v>0</v>
      </c>
      <c r="M248" t="n">
        <v>0</v>
      </c>
      <c r="N248" t="n">
        <v>0</v>
      </c>
      <c r="O248" t="n">
        <v>0</v>
      </c>
      <c r="P248" t="n">
        <v>0</v>
      </c>
      <c r="Q248" t="n">
        <v>0</v>
      </c>
      <c r="R248" s="2" t="inlineStr"/>
    </row>
    <row r="249" ht="15" customHeight="1">
      <c r="A249" t="inlineStr">
        <is>
          <t>A 101-2026</t>
        </is>
      </c>
      <c r="B249" s="1" t="n">
        <v>46024.51534722222</v>
      </c>
      <c r="C249" s="1" t="n">
        <v>46188</v>
      </c>
      <c r="D249" t="inlineStr">
        <is>
          <t>DALARNAS LÄN</t>
        </is>
      </c>
      <c r="E249" t="inlineStr">
        <is>
          <t>ORSA</t>
        </is>
      </c>
      <c r="G249" t="n">
        <v>1.1</v>
      </c>
      <c r="H249" t="n">
        <v>0</v>
      </c>
      <c r="I249" t="n">
        <v>0</v>
      </c>
      <c r="J249" t="n">
        <v>0</v>
      </c>
      <c r="K249" t="n">
        <v>0</v>
      </c>
      <c r="L249" t="n">
        <v>0</v>
      </c>
      <c r="M249" t="n">
        <v>0</v>
      </c>
      <c r="N249" t="n">
        <v>0</v>
      </c>
      <c r="O249" t="n">
        <v>0</v>
      </c>
      <c r="P249" t="n">
        <v>0</v>
      </c>
      <c r="Q249" t="n">
        <v>0</v>
      </c>
      <c r="R249" s="2" t="inlineStr"/>
    </row>
    <row r="250" ht="15" customHeight="1">
      <c r="A250" t="inlineStr">
        <is>
          <t>A 39-2026</t>
        </is>
      </c>
      <c r="B250" s="1" t="n">
        <v>46024</v>
      </c>
      <c r="C250" s="1" t="n">
        <v>46188</v>
      </c>
      <c r="D250" t="inlineStr">
        <is>
          <t>DALARNAS LÄN</t>
        </is>
      </c>
      <c r="E250" t="inlineStr">
        <is>
          <t>ORSA</t>
        </is>
      </c>
      <c r="G250" t="n">
        <v>2.8</v>
      </c>
      <c r="H250" t="n">
        <v>0</v>
      </c>
      <c r="I250" t="n">
        <v>0</v>
      </c>
      <c r="J250" t="n">
        <v>0</v>
      </c>
      <c r="K250" t="n">
        <v>0</v>
      </c>
      <c r="L250" t="n">
        <v>0</v>
      </c>
      <c r="M250" t="n">
        <v>0</v>
      </c>
      <c r="N250" t="n">
        <v>0</v>
      </c>
      <c r="O250" t="n">
        <v>0</v>
      </c>
      <c r="P250" t="n">
        <v>0</v>
      </c>
      <c r="Q250" t="n">
        <v>0</v>
      </c>
      <c r="R250" s="2" t="inlineStr"/>
    </row>
    <row r="251" ht="15" customHeight="1">
      <c r="A251" t="inlineStr">
        <is>
          <t>A 1785-2024</t>
        </is>
      </c>
      <c r="B251" s="1" t="n">
        <v>45307</v>
      </c>
      <c r="C251" s="1" t="n">
        <v>46188</v>
      </c>
      <c r="D251" t="inlineStr">
        <is>
          <t>DALARNAS LÄN</t>
        </is>
      </c>
      <c r="E251" t="inlineStr">
        <is>
          <t>ORSA</t>
        </is>
      </c>
      <c r="G251" t="n">
        <v>42.8</v>
      </c>
      <c r="H251" t="n">
        <v>0</v>
      </c>
      <c r="I251" t="n">
        <v>0</v>
      </c>
      <c r="J251" t="n">
        <v>0</v>
      </c>
      <c r="K251" t="n">
        <v>0</v>
      </c>
      <c r="L251" t="n">
        <v>0</v>
      </c>
      <c r="M251" t="n">
        <v>0</v>
      </c>
      <c r="N251" t="n">
        <v>0</v>
      </c>
      <c r="O251" t="n">
        <v>0</v>
      </c>
      <c r="P251" t="n">
        <v>0</v>
      </c>
      <c r="Q251" t="n">
        <v>0</v>
      </c>
      <c r="R251" s="2" t="inlineStr"/>
    </row>
    <row r="252" ht="15" customHeight="1">
      <c r="A252" t="inlineStr">
        <is>
          <t>A 53703-2024</t>
        </is>
      </c>
      <c r="B252" s="1" t="n">
        <v>45615.3990162037</v>
      </c>
      <c r="C252" s="1" t="n">
        <v>46188</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384-2026</t>
        </is>
      </c>
      <c r="B253" s="1" t="n">
        <v>46027.80430555555</v>
      </c>
      <c r="C253" s="1" t="n">
        <v>46188</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46188</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46188</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28388-2024</t>
        </is>
      </c>
      <c r="B256" s="1" t="n">
        <v>45477.59960648148</v>
      </c>
      <c r="C256" s="1" t="n">
        <v>46188</v>
      </c>
      <c r="D256" t="inlineStr">
        <is>
          <t>DALARNAS LÄN</t>
        </is>
      </c>
      <c r="E256" t="inlineStr">
        <is>
          <t>ORSA</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46188</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24969-2025</t>
        </is>
      </c>
      <c r="B258" s="1" t="n">
        <v>45799</v>
      </c>
      <c r="C258" s="1" t="n">
        <v>46188</v>
      </c>
      <c r="D258" t="inlineStr">
        <is>
          <t>DALARNAS LÄN</t>
        </is>
      </c>
      <c r="E258" t="inlineStr">
        <is>
          <t>ORSA</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2551-2026</t>
        </is>
      </c>
      <c r="B259" s="1" t="n">
        <v>46037.47077546296</v>
      </c>
      <c r="C259" s="1" t="n">
        <v>46188</v>
      </c>
      <c r="D259" t="inlineStr">
        <is>
          <t>DALARNAS LÄN</t>
        </is>
      </c>
      <c r="E259" t="inlineStr">
        <is>
          <t>ORSA</t>
        </is>
      </c>
      <c r="G259" t="n">
        <v>2.6</v>
      </c>
      <c r="H259" t="n">
        <v>0</v>
      </c>
      <c r="I259" t="n">
        <v>0</v>
      </c>
      <c r="J259" t="n">
        <v>0</v>
      </c>
      <c r="K259" t="n">
        <v>0</v>
      </c>
      <c r="L259" t="n">
        <v>0</v>
      </c>
      <c r="M259" t="n">
        <v>0</v>
      </c>
      <c r="N259" t="n">
        <v>0</v>
      </c>
      <c r="O259" t="n">
        <v>0</v>
      </c>
      <c r="P259" t="n">
        <v>0</v>
      </c>
      <c r="Q259" t="n">
        <v>0</v>
      </c>
      <c r="R259" s="2" t="inlineStr"/>
    </row>
    <row r="260" ht="15" customHeight="1">
      <c r="A260" t="inlineStr">
        <is>
          <t>A 2090-2026</t>
        </is>
      </c>
      <c r="B260" s="1" t="n">
        <v>46036</v>
      </c>
      <c r="C260" s="1" t="n">
        <v>46188</v>
      </c>
      <c r="D260" t="inlineStr">
        <is>
          <t>DALARNAS LÄN</t>
        </is>
      </c>
      <c r="E260" t="inlineStr">
        <is>
          <t>ORSA</t>
        </is>
      </c>
      <c r="G260" t="n">
        <v>5.7</v>
      </c>
      <c r="H260" t="n">
        <v>0</v>
      </c>
      <c r="I260" t="n">
        <v>0</v>
      </c>
      <c r="J260" t="n">
        <v>0</v>
      </c>
      <c r="K260" t="n">
        <v>0</v>
      </c>
      <c r="L260" t="n">
        <v>0</v>
      </c>
      <c r="M260" t="n">
        <v>0</v>
      </c>
      <c r="N260" t="n">
        <v>0</v>
      </c>
      <c r="O260" t="n">
        <v>0</v>
      </c>
      <c r="P260" t="n">
        <v>0</v>
      </c>
      <c r="Q260" t="n">
        <v>0</v>
      </c>
      <c r="R260" s="2" t="inlineStr"/>
    </row>
    <row r="261" ht="15" customHeight="1">
      <c r="A261" t="inlineStr">
        <is>
          <t>A 50392-2024</t>
        </is>
      </c>
      <c r="B261" s="1" t="n">
        <v>45601.33789351852</v>
      </c>
      <c r="C261" s="1" t="n">
        <v>46188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21301-2023</t>
        </is>
      </c>
      <c r="B262" s="1" t="n">
        <v>45062.66613425926</v>
      </c>
      <c r="C262" s="1" t="n">
        <v>46188</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25211-2025</t>
        </is>
      </c>
      <c r="B263" s="1" t="n">
        <v>45800.46965277778</v>
      </c>
      <c r="C263" s="1" t="n">
        <v>46188</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10374-2023</t>
        </is>
      </c>
      <c r="B264" s="1" t="n">
        <v>44987.41359953704</v>
      </c>
      <c r="C264" s="1" t="n">
        <v>46188</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18817-2023</t>
        </is>
      </c>
      <c r="B265" s="1" t="n">
        <v>45043</v>
      </c>
      <c r="C265" s="1" t="n">
        <v>46188</v>
      </c>
      <c r="D265" t="inlineStr">
        <is>
          <t>DALARNAS LÄN</t>
        </is>
      </c>
      <c r="E265" t="inlineStr">
        <is>
          <t>ORSA</t>
        </is>
      </c>
      <c r="G265" t="n">
        <v>4.4</v>
      </c>
      <c r="H265" t="n">
        <v>0</v>
      </c>
      <c r="I265" t="n">
        <v>0</v>
      </c>
      <c r="J265" t="n">
        <v>0</v>
      </c>
      <c r="K265" t="n">
        <v>0</v>
      </c>
      <c r="L265" t="n">
        <v>0</v>
      </c>
      <c r="M265" t="n">
        <v>0</v>
      </c>
      <c r="N265" t="n">
        <v>0</v>
      </c>
      <c r="O265" t="n">
        <v>0</v>
      </c>
      <c r="P265" t="n">
        <v>0</v>
      </c>
      <c r="Q265" t="n">
        <v>0</v>
      </c>
      <c r="R265" s="2" t="inlineStr"/>
    </row>
    <row r="266" ht="15" customHeight="1">
      <c r="A266" t="inlineStr">
        <is>
          <t>A 15113-2025</t>
        </is>
      </c>
      <c r="B266" s="1" t="n">
        <v>45744.36179398148</v>
      </c>
      <c r="C266" s="1" t="n">
        <v>46188</v>
      </c>
      <c r="D266" t="inlineStr">
        <is>
          <t>DALARNAS LÄN</t>
        </is>
      </c>
      <c r="E266" t="inlineStr">
        <is>
          <t>ORSA</t>
        </is>
      </c>
      <c r="F266" t="inlineStr">
        <is>
          <t>Allmännings- och besparingsskogar</t>
        </is>
      </c>
      <c r="G266" t="n">
        <v>3.3</v>
      </c>
      <c r="H266" t="n">
        <v>0</v>
      </c>
      <c r="I266" t="n">
        <v>0</v>
      </c>
      <c r="J266" t="n">
        <v>0</v>
      </c>
      <c r="K266" t="n">
        <v>0</v>
      </c>
      <c r="L266" t="n">
        <v>0</v>
      </c>
      <c r="M266" t="n">
        <v>0</v>
      </c>
      <c r="N266" t="n">
        <v>0</v>
      </c>
      <c r="O266" t="n">
        <v>0</v>
      </c>
      <c r="P266" t="n">
        <v>0</v>
      </c>
      <c r="Q266" t="n">
        <v>0</v>
      </c>
      <c r="R266" s="2" t="inlineStr"/>
    </row>
    <row r="267" ht="15" customHeight="1">
      <c r="A267" t="inlineStr">
        <is>
          <t>A 3000-2026</t>
        </is>
      </c>
      <c r="B267" s="1" t="n">
        <v>46038</v>
      </c>
      <c r="C267" s="1" t="n">
        <v>46188</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47732-2022</t>
        </is>
      </c>
      <c r="B268" s="1" t="n">
        <v>44854.63668981481</v>
      </c>
      <c r="C268" s="1" t="n">
        <v>46188</v>
      </c>
      <c r="D268" t="inlineStr">
        <is>
          <t>DALARNAS LÄN</t>
        </is>
      </c>
      <c r="E268" t="inlineStr">
        <is>
          <t>ORSA</t>
        </is>
      </c>
      <c r="F268" t="inlineStr">
        <is>
          <t>Bergvik skog öst AB</t>
        </is>
      </c>
      <c r="G268" t="n">
        <v>1.7</v>
      </c>
      <c r="H268" t="n">
        <v>0</v>
      </c>
      <c r="I268" t="n">
        <v>0</v>
      </c>
      <c r="J268" t="n">
        <v>0</v>
      </c>
      <c r="K268" t="n">
        <v>0</v>
      </c>
      <c r="L268" t="n">
        <v>0</v>
      </c>
      <c r="M268" t="n">
        <v>0</v>
      </c>
      <c r="N268" t="n">
        <v>0</v>
      </c>
      <c r="O268" t="n">
        <v>0</v>
      </c>
      <c r="P268" t="n">
        <v>0</v>
      </c>
      <c r="Q268" t="n">
        <v>0</v>
      </c>
      <c r="R268" s="2" t="inlineStr"/>
    </row>
    <row r="269" ht="15" customHeight="1">
      <c r="A269" t="inlineStr">
        <is>
          <t>A 36089-2023</t>
        </is>
      </c>
      <c r="B269" s="1" t="n">
        <v>45149.51068287037</v>
      </c>
      <c r="C269" s="1" t="n">
        <v>46188</v>
      </c>
      <c r="D269" t="inlineStr">
        <is>
          <t>DALARNAS LÄN</t>
        </is>
      </c>
      <c r="E269" t="inlineStr">
        <is>
          <t>ORSA</t>
        </is>
      </c>
      <c r="F269" t="inlineStr">
        <is>
          <t>Allmännings- och besparingsskogar</t>
        </is>
      </c>
      <c r="G269" t="n">
        <v>1.2</v>
      </c>
      <c r="H269" t="n">
        <v>0</v>
      </c>
      <c r="I269" t="n">
        <v>0</v>
      </c>
      <c r="J269" t="n">
        <v>0</v>
      </c>
      <c r="K269" t="n">
        <v>0</v>
      </c>
      <c r="L269" t="n">
        <v>0</v>
      </c>
      <c r="M269" t="n">
        <v>0</v>
      </c>
      <c r="N269" t="n">
        <v>0</v>
      </c>
      <c r="O269" t="n">
        <v>0</v>
      </c>
      <c r="P269" t="n">
        <v>0</v>
      </c>
      <c r="Q269" t="n">
        <v>0</v>
      </c>
      <c r="R269" s="2" t="inlineStr"/>
    </row>
    <row r="270" ht="15" customHeight="1">
      <c r="A270" t="inlineStr">
        <is>
          <t>A 89-2026</t>
        </is>
      </c>
      <c r="B270" s="1" t="n">
        <v>46016</v>
      </c>
      <c r="C270" s="1" t="n">
        <v>46188</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26741-2025</t>
        </is>
      </c>
      <c r="B271" s="1" t="n">
        <v>45810.52444444445</v>
      </c>
      <c r="C271" s="1" t="n">
        <v>46188</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3364-2026</t>
        </is>
      </c>
      <c r="B272" s="1" t="n">
        <v>46042</v>
      </c>
      <c r="C272" s="1" t="n">
        <v>46188</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3988-2026</t>
        </is>
      </c>
      <c r="B273" s="1" t="n">
        <v>46044.37626157407</v>
      </c>
      <c r="C273" s="1" t="n">
        <v>46188</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29984-2025</t>
        </is>
      </c>
      <c r="B274" s="1" t="n">
        <v>45826</v>
      </c>
      <c r="C274" s="1" t="n">
        <v>46188</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4011-2026</t>
        </is>
      </c>
      <c r="B275" s="1" t="n">
        <v>46044.41059027778</v>
      </c>
      <c r="C275" s="1" t="n">
        <v>46188</v>
      </c>
      <c r="D275" t="inlineStr">
        <is>
          <t>DALARNAS LÄN</t>
        </is>
      </c>
      <c r="E275" t="inlineStr">
        <is>
          <t>ORSA</t>
        </is>
      </c>
      <c r="G275" t="n">
        <v>3.6</v>
      </c>
      <c r="H275" t="n">
        <v>0</v>
      </c>
      <c r="I275" t="n">
        <v>0</v>
      </c>
      <c r="J275" t="n">
        <v>0</v>
      </c>
      <c r="K275" t="n">
        <v>0</v>
      </c>
      <c r="L275" t="n">
        <v>0</v>
      </c>
      <c r="M275" t="n">
        <v>0</v>
      </c>
      <c r="N275" t="n">
        <v>0</v>
      </c>
      <c r="O275" t="n">
        <v>0</v>
      </c>
      <c r="P275" t="n">
        <v>0</v>
      </c>
      <c r="Q275" t="n">
        <v>0</v>
      </c>
      <c r="R275" s="2" t="inlineStr"/>
    </row>
    <row r="276" ht="15" customHeight="1">
      <c r="A276" t="inlineStr">
        <is>
          <t>A 20302-2023</t>
        </is>
      </c>
      <c r="B276" s="1" t="n">
        <v>45056</v>
      </c>
      <c r="C276" s="1" t="n">
        <v>46188</v>
      </c>
      <c r="D276" t="inlineStr">
        <is>
          <t>DALARNAS LÄN</t>
        </is>
      </c>
      <c r="E276" t="inlineStr">
        <is>
          <t>ORSA</t>
        </is>
      </c>
      <c r="G276" t="n">
        <v>2.1</v>
      </c>
      <c r="H276" t="n">
        <v>0</v>
      </c>
      <c r="I276" t="n">
        <v>0</v>
      </c>
      <c r="J276" t="n">
        <v>0</v>
      </c>
      <c r="K276" t="n">
        <v>0</v>
      </c>
      <c r="L276" t="n">
        <v>0</v>
      </c>
      <c r="M276" t="n">
        <v>0</v>
      </c>
      <c r="N276" t="n">
        <v>0</v>
      </c>
      <c r="O276" t="n">
        <v>0</v>
      </c>
      <c r="P276" t="n">
        <v>0</v>
      </c>
      <c r="Q276" t="n">
        <v>0</v>
      </c>
      <c r="R276" s="2" t="inlineStr"/>
    </row>
    <row r="277" ht="15" customHeight="1">
      <c r="A277" t="inlineStr">
        <is>
          <t>A 3107-2025</t>
        </is>
      </c>
      <c r="B277" s="1" t="n">
        <v>45678.68400462963</v>
      </c>
      <c r="C277" s="1" t="n">
        <v>46188</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46188</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45272-2022</t>
        </is>
      </c>
      <c r="B279" s="1" t="n">
        <v>44844</v>
      </c>
      <c r="C279" s="1" t="n">
        <v>46188</v>
      </c>
      <c r="D279" t="inlineStr">
        <is>
          <t>DALARNAS LÄN</t>
        </is>
      </c>
      <c r="E279" t="inlineStr">
        <is>
          <t>ORSA</t>
        </is>
      </c>
      <c r="G279" t="n">
        <v>0.3</v>
      </c>
      <c r="H279" t="n">
        <v>0</v>
      </c>
      <c r="I279" t="n">
        <v>0</v>
      </c>
      <c r="J279" t="n">
        <v>0</v>
      </c>
      <c r="K279" t="n">
        <v>0</v>
      </c>
      <c r="L279" t="n">
        <v>0</v>
      </c>
      <c r="M279" t="n">
        <v>0</v>
      </c>
      <c r="N279" t="n">
        <v>0</v>
      </c>
      <c r="O279" t="n">
        <v>0</v>
      </c>
      <c r="P279" t="n">
        <v>0</v>
      </c>
      <c r="Q279" t="n">
        <v>0</v>
      </c>
      <c r="R279" s="2" t="inlineStr"/>
    </row>
    <row r="280" ht="15" customHeight="1">
      <c r="A280" t="inlineStr">
        <is>
          <t>A 4690-2026</t>
        </is>
      </c>
      <c r="B280" s="1" t="n">
        <v>46048</v>
      </c>
      <c r="C280" s="1" t="n">
        <v>46188</v>
      </c>
      <c r="D280" t="inlineStr">
        <is>
          <t>DALARNAS LÄN</t>
        </is>
      </c>
      <c r="E280" t="inlineStr">
        <is>
          <t>ORSA</t>
        </is>
      </c>
      <c r="G280" t="n">
        <v>14.2</v>
      </c>
      <c r="H280" t="n">
        <v>0</v>
      </c>
      <c r="I280" t="n">
        <v>0</v>
      </c>
      <c r="J280" t="n">
        <v>0</v>
      </c>
      <c r="K280" t="n">
        <v>0</v>
      </c>
      <c r="L280" t="n">
        <v>0</v>
      </c>
      <c r="M280" t="n">
        <v>0</v>
      </c>
      <c r="N280" t="n">
        <v>0</v>
      </c>
      <c r="O280" t="n">
        <v>0</v>
      </c>
      <c r="P280" t="n">
        <v>0</v>
      </c>
      <c r="Q280" t="n">
        <v>0</v>
      </c>
      <c r="R280" s="2" t="inlineStr"/>
    </row>
    <row r="281" ht="15" customHeight="1">
      <c r="A281" t="inlineStr">
        <is>
          <t>A 33265-2021</t>
        </is>
      </c>
      <c r="B281" s="1" t="n">
        <v>44377</v>
      </c>
      <c r="C281" s="1" t="n">
        <v>46188</v>
      </c>
      <c r="D281" t="inlineStr">
        <is>
          <t>DALARNAS LÄN</t>
        </is>
      </c>
      <c r="E281" t="inlineStr">
        <is>
          <t>ORSA</t>
        </is>
      </c>
      <c r="G281" t="n">
        <v>1.9</v>
      </c>
      <c r="H281" t="n">
        <v>0</v>
      </c>
      <c r="I281" t="n">
        <v>0</v>
      </c>
      <c r="J281" t="n">
        <v>0</v>
      </c>
      <c r="K281" t="n">
        <v>0</v>
      </c>
      <c r="L281" t="n">
        <v>0</v>
      </c>
      <c r="M281" t="n">
        <v>0</v>
      </c>
      <c r="N281" t="n">
        <v>0</v>
      </c>
      <c r="O281" t="n">
        <v>0</v>
      </c>
      <c r="P281" t="n">
        <v>0</v>
      </c>
      <c r="Q281" t="n">
        <v>0</v>
      </c>
      <c r="R281" s="2" t="inlineStr"/>
    </row>
    <row r="282" ht="15" customHeight="1">
      <c r="A282" t="inlineStr">
        <is>
          <t>A 5377-2026</t>
        </is>
      </c>
      <c r="B282" s="1" t="n">
        <v>46050.46118055555</v>
      </c>
      <c r="C282" s="1" t="n">
        <v>46188</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5393-2026</t>
        </is>
      </c>
      <c r="B283" s="1" t="n">
        <v>46050.47733796296</v>
      </c>
      <c r="C283" s="1" t="n">
        <v>46188</v>
      </c>
      <c r="D283" t="inlineStr">
        <is>
          <t>DALARNAS LÄN</t>
        </is>
      </c>
      <c r="E283" t="inlineStr">
        <is>
          <t>ORSA</t>
        </is>
      </c>
      <c r="G283" t="n">
        <v>4.2</v>
      </c>
      <c r="H283" t="n">
        <v>0</v>
      </c>
      <c r="I283" t="n">
        <v>0</v>
      </c>
      <c r="J283" t="n">
        <v>0</v>
      </c>
      <c r="K283" t="n">
        <v>0</v>
      </c>
      <c r="L283" t="n">
        <v>0</v>
      </c>
      <c r="M283" t="n">
        <v>0</v>
      </c>
      <c r="N283" t="n">
        <v>0</v>
      </c>
      <c r="O283" t="n">
        <v>0</v>
      </c>
      <c r="P283" t="n">
        <v>0</v>
      </c>
      <c r="Q283" t="n">
        <v>0</v>
      </c>
      <c r="R283" s="2" t="inlineStr"/>
    </row>
    <row r="284" ht="15" customHeight="1">
      <c r="A284" t="inlineStr">
        <is>
          <t>A 21364-2025</t>
        </is>
      </c>
      <c r="B284" s="1" t="n">
        <v>45782</v>
      </c>
      <c r="C284" s="1" t="n">
        <v>46188</v>
      </c>
      <c r="D284" t="inlineStr">
        <is>
          <t>DALARNAS LÄN</t>
        </is>
      </c>
      <c r="E284" t="inlineStr">
        <is>
          <t>ORSA</t>
        </is>
      </c>
      <c r="F284" t="inlineStr">
        <is>
          <t>Allmännings- och besparingsskogar</t>
        </is>
      </c>
      <c r="G284" t="n">
        <v>52.6</v>
      </c>
      <c r="H284" t="n">
        <v>0</v>
      </c>
      <c r="I284" t="n">
        <v>0</v>
      </c>
      <c r="J284" t="n">
        <v>0</v>
      </c>
      <c r="K284" t="n">
        <v>0</v>
      </c>
      <c r="L284" t="n">
        <v>0</v>
      </c>
      <c r="M284" t="n">
        <v>0</v>
      </c>
      <c r="N284" t="n">
        <v>0</v>
      </c>
      <c r="O284" t="n">
        <v>0</v>
      </c>
      <c r="P284" t="n">
        <v>0</v>
      </c>
      <c r="Q284" t="n">
        <v>0</v>
      </c>
      <c r="R284" s="2" t="inlineStr"/>
    </row>
    <row r="285" ht="15" customHeight="1">
      <c r="A285" t="inlineStr">
        <is>
          <t>A 5460-2026</t>
        </is>
      </c>
      <c r="B285" s="1" t="n">
        <v>46050</v>
      </c>
      <c r="C285" s="1" t="n">
        <v>46188</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5395-2026</t>
        </is>
      </c>
      <c r="B286" s="1" t="n">
        <v>46050.47840277778</v>
      </c>
      <c r="C286" s="1" t="n">
        <v>46188</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3720-2023</t>
        </is>
      </c>
      <c r="B287" s="1" t="n">
        <v>44951.36688657408</v>
      </c>
      <c r="C287" s="1" t="n">
        <v>46188</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62342-2023</t>
        </is>
      </c>
      <c r="B288" s="1" t="n">
        <v>45267.9268287037</v>
      </c>
      <c r="C288" s="1" t="n">
        <v>46188</v>
      </c>
      <c r="D288" t="inlineStr">
        <is>
          <t>DALARNAS LÄN</t>
        </is>
      </c>
      <c r="E288" t="inlineStr">
        <is>
          <t>ORSA</t>
        </is>
      </c>
      <c r="G288" t="n">
        <v>2.5</v>
      </c>
      <c r="H288" t="n">
        <v>0</v>
      </c>
      <c r="I288" t="n">
        <v>0</v>
      </c>
      <c r="J288" t="n">
        <v>0</v>
      </c>
      <c r="K288" t="n">
        <v>0</v>
      </c>
      <c r="L288" t="n">
        <v>0</v>
      </c>
      <c r="M288" t="n">
        <v>0</v>
      </c>
      <c r="N288" t="n">
        <v>0</v>
      </c>
      <c r="O288" t="n">
        <v>0</v>
      </c>
      <c r="P288" t="n">
        <v>0</v>
      </c>
      <c r="Q288" t="n">
        <v>0</v>
      </c>
      <c r="R288" s="2" t="inlineStr"/>
    </row>
    <row r="289" ht="15" customHeight="1">
      <c r="A289" t="inlineStr">
        <is>
          <t>A 52044-2023</t>
        </is>
      </c>
      <c r="B289" s="1" t="n">
        <v>45223.6365625</v>
      </c>
      <c r="C289" s="1" t="n">
        <v>46188</v>
      </c>
      <c r="D289" t="inlineStr">
        <is>
          <t>DALARNAS LÄN</t>
        </is>
      </c>
      <c r="E289" t="inlineStr">
        <is>
          <t>ORSA</t>
        </is>
      </c>
      <c r="G289" t="n">
        <v>2.6</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46188</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5896-2026</t>
        </is>
      </c>
      <c r="B291" s="1" t="n">
        <v>46052.42724537037</v>
      </c>
      <c r="C291" s="1" t="n">
        <v>46188</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6490-2025</t>
        </is>
      </c>
      <c r="B292" s="1" t="n">
        <v>45699</v>
      </c>
      <c r="C292" s="1" t="n">
        <v>46188</v>
      </c>
      <c r="D292" t="inlineStr">
        <is>
          <t>DALARNAS LÄN</t>
        </is>
      </c>
      <c r="E292" t="inlineStr">
        <is>
          <t>ORSA</t>
        </is>
      </c>
      <c r="G292" t="n">
        <v>7.5</v>
      </c>
      <c r="H292" t="n">
        <v>0</v>
      </c>
      <c r="I292" t="n">
        <v>0</v>
      </c>
      <c r="J292" t="n">
        <v>0</v>
      </c>
      <c r="K292" t="n">
        <v>0</v>
      </c>
      <c r="L292" t="n">
        <v>0</v>
      </c>
      <c r="M292" t="n">
        <v>0</v>
      </c>
      <c r="N292" t="n">
        <v>0</v>
      </c>
      <c r="O292" t="n">
        <v>0</v>
      </c>
      <c r="P292" t="n">
        <v>0</v>
      </c>
      <c r="Q292" t="n">
        <v>0</v>
      </c>
      <c r="R292" s="2" t="inlineStr"/>
    </row>
    <row r="293" ht="15" customHeight="1">
      <c r="A293" t="inlineStr">
        <is>
          <t>A 27313-2025</t>
        </is>
      </c>
      <c r="B293" s="1" t="n">
        <v>45812.58365740741</v>
      </c>
      <c r="C293" s="1" t="n">
        <v>46188</v>
      </c>
      <c r="D293" t="inlineStr">
        <is>
          <t>DALARNAS LÄN</t>
        </is>
      </c>
      <c r="E293" t="inlineStr">
        <is>
          <t>ORSA</t>
        </is>
      </c>
      <c r="F293" t="inlineStr">
        <is>
          <t>Allmännings- och besparingsskogar</t>
        </is>
      </c>
      <c r="G293" t="n">
        <v>1.4</v>
      </c>
      <c r="H293" t="n">
        <v>0</v>
      </c>
      <c r="I293" t="n">
        <v>0</v>
      </c>
      <c r="J293" t="n">
        <v>0</v>
      </c>
      <c r="K293" t="n">
        <v>0</v>
      </c>
      <c r="L293" t="n">
        <v>0</v>
      </c>
      <c r="M293" t="n">
        <v>0</v>
      </c>
      <c r="N293" t="n">
        <v>0</v>
      </c>
      <c r="O293" t="n">
        <v>0</v>
      </c>
      <c r="P293" t="n">
        <v>0</v>
      </c>
      <c r="Q293" t="n">
        <v>0</v>
      </c>
      <c r="R293" s="2" t="inlineStr"/>
    </row>
    <row r="294" ht="15" customHeight="1">
      <c r="A294" t="inlineStr">
        <is>
          <t>A 6945-2026</t>
        </is>
      </c>
      <c r="B294" s="1" t="n">
        <v>46057.56788194444</v>
      </c>
      <c r="C294" s="1" t="n">
        <v>46188</v>
      </c>
      <c r="D294" t="inlineStr">
        <is>
          <t>DALARNAS LÄN</t>
        </is>
      </c>
      <c r="E294" t="inlineStr">
        <is>
          <t>ORSA</t>
        </is>
      </c>
      <c r="G294" t="n">
        <v>1.2</v>
      </c>
      <c r="H294" t="n">
        <v>0</v>
      </c>
      <c r="I294" t="n">
        <v>0</v>
      </c>
      <c r="J294" t="n">
        <v>0</v>
      </c>
      <c r="K294" t="n">
        <v>0</v>
      </c>
      <c r="L294" t="n">
        <v>0</v>
      </c>
      <c r="M294" t="n">
        <v>0</v>
      </c>
      <c r="N294" t="n">
        <v>0</v>
      </c>
      <c r="O294" t="n">
        <v>0</v>
      </c>
      <c r="P294" t="n">
        <v>0</v>
      </c>
      <c r="Q294" t="n">
        <v>0</v>
      </c>
      <c r="R294" s="2" t="inlineStr"/>
    </row>
    <row r="295" ht="15" customHeight="1">
      <c r="A295" t="inlineStr">
        <is>
          <t>A 10048-2023</t>
        </is>
      </c>
      <c r="B295" s="1" t="n">
        <v>44985.67237268519</v>
      </c>
      <c r="C295" s="1" t="n">
        <v>46188</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51001-2021</t>
        </is>
      </c>
      <c r="B296" s="1" t="n">
        <v>44460.86221064815</v>
      </c>
      <c r="C296" s="1" t="n">
        <v>46188</v>
      </c>
      <c r="D296" t="inlineStr">
        <is>
          <t>DALARNAS LÄN</t>
        </is>
      </c>
      <c r="E296" t="inlineStr">
        <is>
          <t>ORSA</t>
        </is>
      </c>
      <c r="G296" t="n">
        <v>2.6</v>
      </c>
      <c r="H296" t="n">
        <v>0</v>
      </c>
      <c r="I296" t="n">
        <v>0</v>
      </c>
      <c r="J296" t="n">
        <v>0</v>
      </c>
      <c r="K296" t="n">
        <v>0</v>
      </c>
      <c r="L296" t="n">
        <v>0</v>
      </c>
      <c r="M296" t="n">
        <v>0</v>
      </c>
      <c r="N296" t="n">
        <v>0</v>
      </c>
      <c r="O296" t="n">
        <v>0</v>
      </c>
      <c r="P296" t="n">
        <v>0</v>
      </c>
      <c r="Q296" t="n">
        <v>0</v>
      </c>
      <c r="R296" s="2" t="inlineStr"/>
    </row>
    <row r="297" ht="15" customHeight="1">
      <c r="A297" t="inlineStr">
        <is>
          <t>A 892-2024</t>
        </is>
      </c>
      <c r="B297" s="1" t="n">
        <v>45301</v>
      </c>
      <c r="C297" s="1" t="n">
        <v>46188</v>
      </c>
      <c r="D297" t="inlineStr">
        <is>
          <t>DALARNAS LÄN</t>
        </is>
      </c>
      <c r="E297" t="inlineStr">
        <is>
          <t>ORSA</t>
        </is>
      </c>
      <c r="G297" t="n">
        <v>1.2</v>
      </c>
      <c r="H297" t="n">
        <v>0</v>
      </c>
      <c r="I297" t="n">
        <v>0</v>
      </c>
      <c r="J297" t="n">
        <v>0</v>
      </c>
      <c r="K297" t="n">
        <v>0</v>
      </c>
      <c r="L297" t="n">
        <v>0</v>
      </c>
      <c r="M297" t="n">
        <v>0</v>
      </c>
      <c r="N297" t="n">
        <v>0</v>
      </c>
      <c r="O297" t="n">
        <v>0</v>
      </c>
      <c r="P297" t="n">
        <v>0</v>
      </c>
      <c r="Q297" t="n">
        <v>0</v>
      </c>
      <c r="R297" s="2" t="inlineStr"/>
    </row>
    <row r="298" ht="15" customHeight="1">
      <c r="A298" t="inlineStr">
        <is>
          <t>A 16585-2023</t>
        </is>
      </c>
      <c r="B298" s="1" t="n">
        <v>45030</v>
      </c>
      <c r="C298" s="1" t="n">
        <v>46188</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27885-2025</t>
        </is>
      </c>
      <c r="B299" s="1" t="n">
        <v>45817.45034722222</v>
      </c>
      <c r="C299" s="1" t="n">
        <v>46188</v>
      </c>
      <c r="D299" t="inlineStr">
        <is>
          <t>DALARNAS LÄN</t>
        </is>
      </c>
      <c r="E299" t="inlineStr">
        <is>
          <t>ORSA</t>
        </is>
      </c>
      <c r="F299" t="inlineStr">
        <is>
          <t>Allmännings- och besparingsskogar</t>
        </is>
      </c>
      <c r="G299" t="n">
        <v>3.4</v>
      </c>
      <c r="H299" t="n">
        <v>0</v>
      </c>
      <c r="I299" t="n">
        <v>0</v>
      </c>
      <c r="J299" t="n">
        <v>0</v>
      </c>
      <c r="K299" t="n">
        <v>0</v>
      </c>
      <c r="L299" t="n">
        <v>0</v>
      </c>
      <c r="M299" t="n">
        <v>0</v>
      </c>
      <c r="N299" t="n">
        <v>0</v>
      </c>
      <c r="O299" t="n">
        <v>0</v>
      </c>
      <c r="P299" t="n">
        <v>0</v>
      </c>
      <c r="Q299" t="n">
        <v>0</v>
      </c>
      <c r="R299" s="2" t="inlineStr"/>
    </row>
    <row r="300" ht="15" customHeight="1">
      <c r="A300" t="inlineStr">
        <is>
          <t>A 27987-2025</t>
        </is>
      </c>
      <c r="B300" s="1" t="n">
        <v>45817.58361111111</v>
      </c>
      <c r="C300" s="1" t="n">
        <v>46188</v>
      </c>
      <c r="D300" t="inlineStr">
        <is>
          <t>DALARNAS LÄN</t>
        </is>
      </c>
      <c r="E300" t="inlineStr">
        <is>
          <t>ORSA</t>
        </is>
      </c>
      <c r="F300" t="inlineStr">
        <is>
          <t>Allmännings- och besparingsskogar</t>
        </is>
      </c>
      <c r="G300" t="n">
        <v>2.5</v>
      </c>
      <c r="H300" t="n">
        <v>0</v>
      </c>
      <c r="I300" t="n">
        <v>0</v>
      </c>
      <c r="J300" t="n">
        <v>0</v>
      </c>
      <c r="K300" t="n">
        <v>0</v>
      </c>
      <c r="L300" t="n">
        <v>0</v>
      </c>
      <c r="M300" t="n">
        <v>0</v>
      </c>
      <c r="N300" t="n">
        <v>0</v>
      </c>
      <c r="O300" t="n">
        <v>0</v>
      </c>
      <c r="P300" t="n">
        <v>0</v>
      </c>
      <c r="Q300" t="n">
        <v>0</v>
      </c>
      <c r="R300" s="2" t="inlineStr"/>
    </row>
    <row r="301" ht="15" customHeight="1">
      <c r="A301" t="inlineStr">
        <is>
          <t>A 6757-2026</t>
        </is>
      </c>
      <c r="B301" s="1" t="n">
        <v>46056</v>
      </c>
      <c r="C301" s="1" t="n">
        <v>46188</v>
      </c>
      <c r="D301" t="inlineStr">
        <is>
          <t>DALARNAS LÄN</t>
        </is>
      </c>
      <c r="E301" t="inlineStr">
        <is>
          <t>ORSA</t>
        </is>
      </c>
      <c r="G301" t="n">
        <v>5.5</v>
      </c>
      <c r="H301" t="n">
        <v>0</v>
      </c>
      <c r="I301" t="n">
        <v>0</v>
      </c>
      <c r="J301" t="n">
        <v>0</v>
      </c>
      <c r="K301" t="n">
        <v>0</v>
      </c>
      <c r="L301" t="n">
        <v>0</v>
      </c>
      <c r="M301" t="n">
        <v>0</v>
      </c>
      <c r="N301" t="n">
        <v>0</v>
      </c>
      <c r="O301" t="n">
        <v>0</v>
      </c>
      <c r="P301" t="n">
        <v>0</v>
      </c>
      <c r="Q301" t="n">
        <v>0</v>
      </c>
      <c r="R301" s="2" t="inlineStr"/>
    </row>
    <row r="302" ht="15" customHeight="1">
      <c r="A302" t="inlineStr">
        <is>
          <t>A 7027-2026</t>
        </is>
      </c>
      <c r="B302" s="1" t="n">
        <v>46057.67493055556</v>
      </c>
      <c r="C302" s="1" t="n">
        <v>46188</v>
      </c>
      <c r="D302" t="inlineStr">
        <is>
          <t>DALARNAS LÄN</t>
        </is>
      </c>
      <c r="E302" t="inlineStr">
        <is>
          <t>ORSA</t>
        </is>
      </c>
      <c r="G302" t="n">
        <v>12.1</v>
      </c>
      <c r="H302" t="n">
        <v>0</v>
      </c>
      <c r="I302" t="n">
        <v>0</v>
      </c>
      <c r="J302" t="n">
        <v>0</v>
      </c>
      <c r="K302" t="n">
        <v>0</v>
      </c>
      <c r="L302" t="n">
        <v>0</v>
      </c>
      <c r="M302" t="n">
        <v>0</v>
      </c>
      <c r="N302" t="n">
        <v>0</v>
      </c>
      <c r="O302" t="n">
        <v>0</v>
      </c>
      <c r="P302" t="n">
        <v>0</v>
      </c>
      <c r="Q302" t="n">
        <v>0</v>
      </c>
      <c r="R302" s="2" t="inlineStr"/>
    </row>
    <row r="303" ht="15" customHeight="1">
      <c r="A303" t="inlineStr">
        <is>
          <t>A 54519-2023</t>
        </is>
      </c>
      <c r="B303" s="1" t="n">
        <v>45233.58359953704</v>
      </c>
      <c r="C303" s="1" t="n">
        <v>46188</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7178-2026</t>
        </is>
      </c>
      <c r="B304" s="1" t="n">
        <v>46058.47203703703</v>
      </c>
      <c r="C304" s="1" t="n">
        <v>46188</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13185-2022</t>
        </is>
      </c>
      <c r="B305" s="1" t="n">
        <v>44644.48491898148</v>
      </c>
      <c r="C305" s="1" t="n">
        <v>46188</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3168-2024</t>
        </is>
      </c>
      <c r="B306" s="1" t="n">
        <v>45316.62863425926</v>
      </c>
      <c r="C306" s="1" t="n">
        <v>46188</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7970-2026</t>
        </is>
      </c>
      <c r="B307" s="1" t="n">
        <v>46063</v>
      </c>
      <c r="C307" s="1" t="n">
        <v>46188</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34125-2023</t>
        </is>
      </c>
      <c r="B308" s="1" t="n">
        <v>45135</v>
      </c>
      <c r="C308" s="1" t="n">
        <v>46188</v>
      </c>
      <c r="D308" t="inlineStr">
        <is>
          <t>DALARNAS LÄN</t>
        </is>
      </c>
      <c r="E308" t="inlineStr">
        <is>
          <t>ORSA</t>
        </is>
      </c>
      <c r="G308" t="n">
        <v>2.7</v>
      </c>
      <c r="H308" t="n">
        <v>0</v>
      </c>
      <c r="I308" t="n">
        <v>0</v>
      </c>
      <c r="J308" t="n">
        <v>0</v>
      </c>
      <c r="K308" t="n">
        <v>0</v>
      </c>
      <c r="L308" t="n">
        <v>0</v>
      </c>
      <c r="M308" t="n">
        <v>0</v>
      </c>
      <c r="N308" t="n">
        <v>0</v>
      </c>
      <c r="O308" t="n">
        <v>0</v>
      </c>
      <c r="P308" t="n">
        <v>0</v>
      </c>
      <c r="Q308" t="n">
        <v>0</v>
      </c>
      <c r="R308" s="2" t="inlineStr"/>
    </row>
    <row r="309" ht="15" customHeight="1">
      <c r="A309" t="inlineStr">
        <is>
          <t>A 28974-2024</t>
        </is>
      </c>
      <c r="B309" s="1" t="n">
        <v>45481.45445601852</v>
      </c>
      <c r="C309" s="1" t="n">
        <v>46188</v>
      </c>
      <c r="D309" t="inlineStr">
        <is>
          <t>DALARNAS LÄN</t>
        </is>
      </c>
      <c r="E309" t="inlineStr">
        <is>
          <t>ORSA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37770-2023</t>
        </is>
      </c>
      <c r="B310" s="1" t="n">
        <v>45159</v>
      </c>
      <c r="C310" s="1" t="n">
        <v>46188</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18312-2024</t>
        </is>
      </c>
      <c r="B311" s="1" t="n">
        <v>45422.48225694444</v>
      </c>
      <c r="C311" s="1" t="n">
        <v>46188</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29933-2025</t>
        </is>
      </c>
      <c r="B312" s="1" t="n">
        <v>45826.44121527778</v>
      </c>
      <c r="C312" s="1" t="n">
        <v>46188</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51574-2023</t>
        </is>
      </c>
      <c r="B313" s="1" t="n">
        <v>45222.45090277777</v>
      </c>
      <c r="C313" s="1" t="n">
        <v>46188</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72310-2021</t>
        </is>
      </c>
      <c r="B314" s="1" t="n">
        <v>44545</v>
      </c>
      <c r="C314" s="1" t="n">
        <v>46188</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60803-2022</t>
        </is>
      </c>
      <c r="B315" s="1" t="n">
        <v>44914</v>
      </c>
      <c r="C315" s="1" t="n">
        <v>46188</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9269-2026</t>
        </is>
      </c>
      <c r="B316" s="1" t="n">
        <v>46070.55048611111</v>
      </c>
      <c r="C316" s="1" t="n">
        <v>46188</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46188</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19505-2022</t>
        </is>
      </c>
      <c r="B318" s="1" t="n">
        <v>44693</v>
      </c>
      <c r="C318" s="1" t="n">
        <v>46188</v>
      </c>
      <c r="D318" t="inlineStr">
        <is>
          <t>DALARNAS LÄN</t>
        </is>
      </c>
      <c r="E318" t="inlineStr">
        <is>
          <t>ORSA</t>
        </is>
      </c>
      <c r="G318" t="n">
        <v>2.7</v>
      </c>
      <c r="H318" t="n">
        <v>0</v>
      </c>
      <c r="I318" t="n">
        <v>0</v>
      </c>
      <c r="J318" t="n">
        <v>0</v>
      </c>
      <c r="K318" t="n">
        <v>0</v>
      </c>
      <c r="L318" t="n">
        <v>0</v>
      </c>
      <c r="M318" t="n">
        <v>0</v>
      </c>
      <c r="N318" t="n">
        <v>0</v>
      </c>
      <c r="O318" t="n">
        <v>0</v>
      </c>
      <c r="P318" t="n">
        <v>0</v>
      </c>
      <c r="Q318" t="n">
        <v>0</v>
      </c>
      <c r="R318" s="2" t="inlineStr"/>
    </row>
    <row r="319" ht="15" customHeight="1">
      <c r="A319" t="inlineStr">
        <is>
          <t>A 61685-2024</t>
        </is>
      </c>
      <c r="B319" s="1" t="n">
        <v>45647.56972222222</v>
      </c>
      <c r="C319" s="1" t="n">
        <v>46188</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34169-2023</t>
        </is>
      </c>
      <c r="B320" s="1" t="n">
        <v>45138.3071412037</v>
      </c>
      <c r="C320" s="1" t="n">
        <v>46188</v>
      </c>
      <c r="D320" t="inlineStr">
        <is>
          <t>DALARNAS LÄN</t>
        </is>
      </c>
      <c r="E320" t="inlineStr">
        <is>
          <t>ORSA</t>
        </is>
      </c>
      <c r="F320" t="inlineStr">
        <is>
          <t>Allmännings- och besparingsskogar</t>
        </is>
      </c>
      <c r="G320" t="n">
        <v>0.7</v>
      </c>
      <c r="H320" t="n">
        <v>0</v>
      </c>
      <c r="I320" t="n">
        <v>0</v>
      </c>
      <c r="J320" t="n">
        <v>0</v>
      </c>
      <c r="K320" t="n">
        <v>0</v>
      </c>
      <c r="L320" t="n">
        <v>0</v>
      </c>
      <c r="M320" t="n">
        <v>0</v>
      </c>
      <c r="N320" t="n">
        <v>0</v>
      </c>
      <c r="O320" t="n">
        <v>0</v>
      </c>
      <c r="P320" t="n">
        <v>0</v>
      </c>
      <c r="Q320" t="n">
        <v>0</v>
      </c>
      <c r="R320" s="2" t="inlineStr"/>
    </row>
    <row r="321" ht="15" customHeight="1">
      <c r="A321" t="inlineStr">
        <is>
          <t>A 10065-2026</t>
        </is>
      </c>
      <c r="B321" s="1" t="n">
        <v>46073</v>
      </c>
      <c r="C321" s="1" t="n">
        <v>46188</v>
      </c>
      <c r="D321" t="inlineStr">
        <is>
          <t>DALARNAS LÄN</t>
        </is>
      </c>
      <c r="E321" t="inlineStr">
        <is>
          <t>ORSA</t>
        </is>
      </c>
      <c r="G321" t="n">
        <v>1.1</v>
      </c>
      <c r="H321" t="n">
        <v>0</v>
      </c>
      <c r="I321" t="n">
        <v>0</v>
      </c>
      <c r="J321" t="n">
        <v>0</v>
      </c>
      <c r="K321" t="n">
        <v>0</v>
      </c>
      <c r="L321" t="n">
        <v>0</v>
      </c>
      <c r="M321" t="n">
        <v>0</v>
      </c>
      <c r="N321" t="n">
        <v>0</v>
      </c>
      <c r="O321" t="n">
        <v>0</v>
      </c>
      <c r="P321" t="n">
        <v>0</v>
      </c>
      <c r="Q321" t="n">
        <v>0</v>
      </c>
      <c r="R321" s="2" t="inlineStr"/>
    </row>
    <row r="322" ht="15" customHeight="1">
      <c r="A322" t="inlineStr">
        <is>
          <t>A 7534-2025</t>
        </is>
      </c>
      <c r="B322" s="1" t="n">
        <v>45705.56287037037</v>
      </c>
      <c r="C322" s="1" t="n">
        <v>46188</v>
      </c>
      <c r="D322" t="inlineStr">
        <is>
          <t>DALARNAS LÄN</t>
        </is>
      </c>
      <c r="E322" t="inlineStr">
        <is>
          <t>ORSA</t>
        </is>
      </c>
      <c r="G322" t="n">
        <v>1.1</v>
      </c>
      <c r="H322" t="n">
        <v>0</v>
      </c>
      <c r="I322" t="n">
        <v>0</v>
      </c>
      <c r="J322" t="n">
        <v>0</v>
      </c>
      <c r="K322" t="n">
        <v>0</v>
      </c>
      <c r="L322" t="n">
        <v>0</v>
      </c>
      <c r="M322" t="n">
        <v>0</v>
      </c>
      <c r="N322" t="n">
        <v>0</v>
      </c>
      <c r="O322" t="n">
        <v>0</v>
      </c>
      <c r="P322" t="n">
        <v>0</v>
      </c>
      <c r="Q322" t="n">
        <v>0</v>
      </c>
      <c r="R322" s="2" t="inlineStr"/>
    </row>
    <row r="323" ht="15" customHeight="1">
      <c r="A323" t="inlineStr">
        <is>
          <t>A 36427-2023</t>
        </is>
      </c>
      <c r="B323" s="1" t="n">
        <v>45152.60333333333</v>
      </c>
      <c r="C323" s="1" t="n">
        <v>46188</v>
      </c>
      <c r="D323" t="inlineStr">
        <is>
          <t>DALARNAS LÄN</t>
        </is>
      </c>
      <c r="E323" t="inlineStr">
        <is>
          <t>ORSA</t>
        </is>
      </c>
      <c r="F323" t="inlineStr">
        <is>
          <t>Bergvik skog öst AB</t>
        </is>
      </c>
      <c r="G323" t="n">
        <v>1.2</v>
      </c>
      <c r="H323" t="n">
        <v>0</v>
      </c>
      <c r="I323" t="n">
        <v>0</v>
      </c>
      <c r="J323" t="n">
        <v>0</v>
      </c>
      <c r="K323" t="n">
        <v>0</v>
      </c>
      <c r="L323" t="n">
        <v>0</v>
      </c>
      <c r="M323" t="n">
        <v>0</v>
      </c>
      <c r="N323" t="n">
        <v>0</v>
      </c>
      <c r="O323" t="n">
        <v>0</v>
      </c>
      <c r="P323" t="n">
        <v>0</v>
      </c>
      <c r="Q323" t="n">
        <v>0</v>
      </c>
      <c r="R323" s="2" t="inlineStr"/>
    </row>
    <row r="324" ht="15" customHeight="1">
      <c r="A324" t="inlineStr">
        <is>
          <t>A 10784-2026</t>
        </is>
      </c>
      <c r="B324" s="1" t="n">
        <v>46078.57954861111</v>
      </c>
      <c r="C324" s="1" t="n">
        <v>46188</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6171-2025</t>
        </is>
      </c>
      <c r="B325" s="1" t="n">
        <v>45698.43287037037</v>
      </c>
      <c r="C325" s="1" t="n">
        <v>46188</v>
      </c>
      <c r="D325" t="inlineStr">
        <is>
          <t>DALARNAS LÄN</t>
        </is>
      </c>
      <c r="E325" t="inlineStr">
        <is>
          <t>ORSA</t>
        </is>
      </c>
      <c r="G325" t="n">
        <v>11.1</v>
      </c>
      <c r="H325" t="n">
        <v>0</v>
      </c>
      <c r="I325" t="n">
        <v>0</v>
      </c>
      <c r="J325" t="n">
        <v>0</v>
      </c>
      <c r="K325" t="n">
        <v>0</v>
      </c>
      <c r="L325" t="n">
        <v>0</v>
      </c>
      <c r="M325" t="n">
        <v>0</v>
      </c>
      <c r="N325" t="n">
        <v>0</v>
      </c>
      <c r="O325" t="n">
        <v>0</v>
      </c>
      <c r="P325" t="n">
        <v>0</v>
      </c>
      <c r="Q325" t="n">
        <v>0</v>
      </c>
      <c r="R325" s="2" t="inlineStr"/>
    </row>
    <row r="326" ht="15" customHeight="1">
      <c r="A326" t="inlineStr">
        <is>
          <t>A 10202-2026</t>
        </is>
      </c>
      <c r="B326" s="1" t="n">
        <v>46076.47400462963</v>
      </c>
      <c r="C326" s="1" t="n">
        <v>46188</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46188</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10209-2026</t>
        </is>
      </c>
      <c r="B328" s="1" t="n">
        <v>46076.48559027778</v>
      </c>
      <c r="C328" s="1" t="n">
        <v>46188</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46188</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46188</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10579-2026</t>
        </is>
      </c>
      <c r="B331" s="1" t="n">
        <v>46077</v>
      </c>
      <c r="C331" s="1" t="n">
        <v>46188</v>
      </c>
      <c r="D331" t="inlineStr">
        <is>
          <t>DALARNAS LÄN</t>
        </is>
      </c>
      <c r="E331" t="inlineStr">
        <is>
          <t>ORSA</t>
        </is>
      </c>
      <c r="F331" t="inlineStr">
        <is>
          <t>Övriga Aktiebolag</t>
        </is>
      </c>
      <c r="G331" t="n">
        <v>3.9</v>
      </c>
      <c r="H331" t="n">
        <v>0</v>
      </c>
      <c r="I331" t="n">
        <v>0</v>
      </c>
      <c r="J331" t="n">
        <v>0</v>
      </c>
      <c r="K331" t="n">
        <v>0</v>
      </c>
      <c r="L331" t="n">
        <v>0</v>
      </c>
      <c r="M331" t="n">
        <v>0</v>
      </c>
      <c r="N331" t="n">
        <v>0</v>
      </c>
      <c r="O331" t="n">
        <v>0</v>
      </c>
      <c r="P331" t="n">
        <v>0</v>
      </c>
      <c r="Q331" t="n">
        <v>0</v>
      </c>
      <c r="R331" s="2" t="inlineStr"/>
    </row>
    <row r="332" ht="15" customHeight="1">
      <c r="A332" t="inlineStr">
        <is>
          <t>A 10205-2026</t>
        </is>
      </c>
      <c r="B332" s="1" t="n">
        <v>46076.47856481482</v>
      </c>
      <c r="C332" s="1" t="n">
        <v>46188</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10210-2026</t>
        </is>
      </c>
      <c r="B333" s="1" t="n">
        <v>46076.48800925926</v>
      </c>
      <c r="C333" s="1" t="n">
        <v>46188</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10525-2026</t>
        </is>
      </c>
      <c r="B334" s="1" t="n">
        <v>46077.58356481481</v>
      </c>
      <c r="C334" s="1" t="n">
        <v>46188</v>
      </c>
      <c r="D334" t="inlineStr">
        <is>
          <t>DALARNAS LÄN</t>
        </is>
      </c>
      <c r="E334" t="inlineStr">
        <is>
          <t>ORSA</t>
        </is>
      </c>
      <c r="G334" t="n">
        <v>1</v>
      </c>
      <c r="H334" t="n">
        <v>0</v>
      </c>
      <c r="I334" t="n">
        <v>0</v>
      </c>
      <c r="J334" t="n">
        <v>0</v>
      </c>
      <c r="K334" t="n">
        <v>0</v>
      </c>
      <c r="L334" t="n">
        <v>0</v>
      </c>
      <c r="M334" t="n">
        <v>0</v>
      </c>
      <c r="N334" t="n">
        <v>0</v>
      </c>
      <c r="O334" t="n">
        <v>0</v>
      </c>
      <c r="P334" t="n">
        <v>0</v>
      </c>
      <c r="Q334" t="n">
        <v>0</v>
      </c>
      <c r="R334" s="2" t="inlineStr"/>
    </row>
    <row r="335" ht="15" customHeight="1">
      <c r="A335" t="inlineStr">
        <is>
          <t>A 10035-2026</t>
        </is>
      </c>
      <c r="B335" s="1" t="n">
        <v>46073</v>
      </c>
      <c r="C335" s="1" t="n">
        <v>46188</v>
      </c>
      <c r="D335" t="inlineStr">
        <is>
          <t>DALARNAS LÄN</t>
        </is>
      </c>
      <c r="E335" t="inlineStr">
        <is>
          <t>ORSA</t>
        </is>
      </c>
      <c r="F335" t="inlineStr">
        <is>
          <t>Bergvik skog öst AB</t>
        </is>
      </c>
      <c r="G335" t="n">
        <v>19.6</v>
      </c>
      <c r="H335" t="n">
        <v>0</v>
      </c>
      <c r="I335" t="n">
        <v>0</v>
      </c>
      <c r="J335" t="n">
        <v>0</v>
      </c>
      <c r="K335" t="n">
        <v>0</v>
      </c>
      <c r="L335" t="n">
        <v>0</v>
      </c>
      <c r="M335" t="n">
        <v>0</v>
      </c>
      <c r="N335" t="n">
        <v>0</v>
      </c>
      <c r="O335" t="n">
        <v>0</v>
      </c>
      <c r="P335" t="n">
        <v>0</v>
      </c>
      <c r="Q335" t="n">
        <v>0</v>
      </c>
      <c r="R335" s="2" t="inlineStr"/>
    </row>
    <row r="336" ht="15" customHeight="1">
      <c r="A336" t="inlineStr">
        <is>
          <t>A 13209-2022</t>
        </is>
      </c>
      <c r="B336" s="1" t="n">
        <v>44644.56325231482</v>
      </c>
      <c r="C336" s="1" t="n">
        <v>46188</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10442-2026</t>
        </is>
      </c>
      <c r="B337" s="1" t="n">
        <v>46077.41434027778</v>
      </c>
      <c r="C337" s="1" t="n">
        <v>46188</v>
      </c>
      <c r="D337" t="inlineStr">
        <is>
          <t>DALARNAS LÄN</t>
        </is>
      </c>
      <c r="E337" t="inlineStr">
        <is>
          <t>ORSA</t>
        </is>
      </c>
      <c r="G337" t="n">
        <v>3</v>
      </c>
      <c r="H337" t="n">
        <v>0</v>
      </c>
      <c r="I337" t="n">
        <v>0</v>
      </c>
      <c r="J337" t="n">
        <v>0</v>
      </c>
      <c r="K337" t="n">
        <v>0</v>
      </c>
      <c r="L337" t="n">
        <v>0</v>
      </c>
      <c r="M337" t="n">
        <v>0</v>
      </c>
      <c r="N337" t="n">
        <v>0</v>
      </c>
      <c r="O337" t="n">
        <v>0</v>
      </c>
      <c r="P337" t="n">
        <v>0</v>
      </c>
      <c r="Q337" t="n">
        <v>0</v>
      </c>
      <c r="R337" s="2" t="inlineStr"/>
    </row>
    <row r="338" ht="15" customHeight="1">
      <c r="A338" t="inlineStr">
        <is>
          <t>A 10506-2026</t>
        </is>
      </c>
      <c r="B338" s="1" t="n">
        <v>46077.55996527777</v>
      </c>
      <c r="C338" s="1" t="n">
        <v>46188</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10195-2026</t>
        </is>
      </c>
      <c r="B339" s="1" t="n">
        <v>46076.4662962963</v>
      </c>
      <c r="C339" s="1" t="n">
        <v>46188</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26301-2023</t>
        </is>
      </c>
      <c r="B340" s="1" t="n">
        <v>45091</v>
      </c>
      <c r="C340" s="1" t="n">
        <v>46188</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10206-2026</t>
        </is>
      </c>
      <c r="B341" s="1" t="n">
        <v>46076.48180555556</v>
      </c>
      <c r="C341" s="1" t="n">
        <v>46188</v>
      </c>
      <c r="D341" t="inlineStr">
        <is>
          <t>DALARNAS LÄN</t>
        </is>
      </c>
      <c r="E341" t="inlineStr">
        <is>
          <t>ORSA</t>
        </is>
      </c>
      <c r="G341" t="n">
        <v>1.1</v>
      </c>
      <c r="H341" t="n">
        <v>0</v>
      </c>
      <c r="I341" t="n">
        <v>0</v>
      </c>
      <c r="J341" t="n">
        <v>0</v>
      </c>
      <c r="K341" t="n">
        <v>0</v>
      </c>
      <c r="L341" t="n">
        <v>0</v>
      </c>
      <c r="M341" t="n">
        <v>0</v>
      </c>
      <c r="N341" t="n">
        <v>0</v>
      </c>
      <c r="O341" t="n">
        <v>0</v>
      </c>
      <c r="P341" t="n">
        <v>0</v>
      </c>
      <c r="Q341" t="n">
        <v>0</v>
      </c>
      <c r="R341" s="2" t="inlineStr"/>
    </row>
    <row r="342" ht="15" customHeight="1">
      <c r="A342" t="inlineStr">
        <is>
          <t>A 13236-2022</t>
        </is>
      </c>
      <c r="B342" s="1" t="n">
        <v>44644.61106481482</v>
      </c>
      <c r="C342" s="1" t="n">
        <v>46188</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8429-2024</t>
        </is>
      </c>
      <c r="B343" s="1" t="n">
        <v>45353.38880787037</v>
      </c>
      <c r="C343" s="1" t="n">
        <v>46188</v>
      </c>
      <c r="D343" t="inlineStr">
        <is>
          <t>DALARNAS LÄN</t>
        </is>
      </c>
      <c r="E343" t="inlineStr">
        <is>
          <t>ORSA</t>
        </is>
      </c>
      <c r="G343" t="n">
        <v>0.3</v>
      </c>
      <c r="H343" t="n">
        <v>0</v>
      </c>
      <c r="I343" t="n">
        <v>0</v>
      </c>
      <c r="J343" t="n">
        <v>0</v>
      </c>
      <c r="K343" t="n">
        <v>0</v>
      </c>
      <c r="L343" t="n">
        <v>0</v>
      </c>
      <c r="M343" t="n">
        <v>0</v>
      </c>
      <c r="N343" t="n">
        <v>0</v>
      </c>
      <c r="O343" t="n">
        <v>0</v>
      </c>
      <c r="P343" t="n">
        <v>0</v>
      </c>
      <c r="Q343" t="n">
        <v>0</v>
      </c>
      <c r="R343" s="2" t="inlineStr"/>
    </row>
    <row r="344" ht="15" customHeight="1">
      <c r="A344" t="inlineStr">
        <is>
          <t>A 31659-2025</t>
        </is>
      </c>
      <c r="B344" s="1" t="n">
        <v>45834.35421296296</v>
      </c>
      <c r="C344" s="1" t="n">
        <v>46188</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32325-2025</t>
        </is>
      </c>
      <c r="B345" s="1" t="n">
        <v>45836</v>
      </c>
      <c r="C345" s="1" t="n">
        <v>46188</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32984-2025</t>
        </is>
      </c>
      <c r="B346" s="1" t="n">
        <v>45839.93006944445</v>
      </c>
      <c r="C346" s="1" t="n">
        <v>46188</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32985-2025</t>
        </is>
      </c>
      <c r="B347" s="1" t="n">
        <v>45839.93033564815</v>
      </c>
      <c r="C347" s="1" t="n">
        <v>46188</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33374-2025</t>
        </is>
      </c>
      <c r="B348" s="1" t="n">
        <v>45841.39582175926</v>
      </c>
      <c r="C348" s="1" t="n">
        <v>46188</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33951-2025</t>
        </is>
      </c>
      <c r="B349" s="1" t="n">
        <v>45842.66791666667</v>
      </c>
      <c r="C349" s="1" t="n">
        <v>46188</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12404-2026</t>
        </is>
      </c>
      <c r="B350" s="1" t="n">
        <v>46090.40299768518</v>
      </c>
      <c r="C350" s="1" t="n">
        <v>46188</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15114-2025</t>
        </is>
      </c>
      <c r="B351" s="1" t="n">
        <v>45744.36232638889</v>
      </c>
      <c r="C351" s="1" t="n">
        <v>46188</v>
      </c>
      <c r="D351" t="inlineStr">
        <is>
          <t>DALARNAS LÄN</t>
        </is>
      </c>
      <c r="E351" t="inlineStr">
        <is>
          <t>ORSA</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12805-2026</t>
        </is>
      </c>
      <c r="B352" s="1" t="n">
        <v>46092</v>
      </c>
      <c r="C352" s="1" t="n">
        <v>46188</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10045-2026</t>
        </is>
      </c>
      <c r="B353" s="1" t="n">
        <v>46073</v>
      </c>
      <c r="C353" s="1" t="n">
        <v>46188</v>
      </c>
      <c r="D353" t="inlineStr">
        <is>
          <t>DALARNAS LÄN</t>
        </is>
      </c>
      <c r="E353" t="inlineStr">
        <is>
          <t>ORSA</t>
        </is>
      </c>
      <c r="F353" t="inlineStr">
        <is>
          <t>Bergvik skog öst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12678-2026</t>
        </is>
      </c>
      <c r="B354" s="1" t="n">
        <v>46091.54976851852</v>
      </c>
      <c r="C354" s="1" t="n">
        <v>46188</v>
      </c>
      <c r="D354" t="inlineStr">
        <is>
          <t>DALARNAS LÄN</t>
        </is>
      </c>
      <c r="E354" t="inlineStr">
        <is>
          <t>ORSA</t>
        </is>
      </c>
      <c r="F354" t="inlineStr">
        <is>
          <t>Allmännings- och besparingsskogar</t>
        </is>
      </c>
      <c r="G354" t="n">
        <v>0.6</v>
      </c>
      <c r="H354" t="n">
        <v>0</v>
      </c>
      <c r="I354" t="n">
        <v>0</v>
      </c>
      <c r="J354" t="n">
        <v>0</v>
      </c>
      <c r="K354" t="n">
        <v>0</v>
      </c>
      <c r="L354" t="n">
        <v>0</v>
      </c>
      <c r="M354" t="n">
        <v>0</v>
      </c>
      <c r="N354" t="n">
        <v>0</v>
      </c>
      <c r="O354" t="n">
        <v>0</v>
      </c>
      <c r="P354" t="n">
        <v>0</v>
      </c>
      <c r="Q354" t="n">
        <v>0</v>
      </c>
      <c r="R354" s="2" t="inlineStr"/>
    </row>
    <row r="355" ht="15" customHeight="1">
      <c r="A355" t="inlineStr">
        <is>
          <t>A 10481-2026</t>
        </is>
      </c>
      <c r="B355" s="1" t="n">
        <v>46077</v>
      </c>
      <c r="C355" s="1" t="n">
        <v>46188</v>
      </c>
      <c r="D355" t="inlineStr">
        <is>
          <t>DALARNAS LÄN</t>
        </is>
      </c>
      <c r="E355" t="inlineStr">
        <is>
          <t>ORSA</t>
        </is>
      </c>
      <c r="F355" t="inlineStr">
        <is>
          <t>Bergvik skog öst AB</t>
        </is>
      </c>
      <c r="G355" t="n">
        <v>11.1</v>
      </c>
      <c r="H355" t="n">
        <v>0</v>
      </c>
      <c r="I355" t="n">
        <v>0</v>
      </c>
      <c r="J355" t="n">
        <v>0</v>
      </c>
      <c r="K355" t="n">
        <v>0</v>
      </c>
      <c r="L355" t="n">
        <v>0</v>
      </c>
      <c r="M355" t="n">
        <v>0</v>
      </c>
      <c r="N355" t="n">
        <v>0</v>
      </c>
      <c r="O355" t="n">
        <v>0</v>
      </c>
      <c r="P355" t="n">
        <v>0</v>
      </c>
      <c r="Q355" t="n">
        <v>0</v>
      </c>
      <c r="R355" s="2" t="inlineStr"/>
    </row>
    <row r="356" ht="15" customHeight="1">
      <c r="A356" t="inlineStr">
        <is>
          <t>A 9963-2026</t>
        </is>
      </c>
      <c r="B356" s="1" t="n">
        <v>46073</v>
      </c>
      <c r="C356" s="1" t="n">
        <v>46188</v>
      </c>
      <c r="D356" t="inlineStr">
        <is>
          <t>DALARNAS LÄN</t>
        </is>
      </c>
      <c r="E356" t="inlineStr">
        <is>
          <t>ORSA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12677-2026</t>
        </is>
      </c>
      <c r="B357" s="1" t="n">
        <v>46091.54840277778</v>
      </c>
      <c r="C357" s="1" t="n">
        <v>46188</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13242-2026</t>
        </is>
      </c>
      <c r="B358" s="1" t="n">
        <v>46093.65078703704</v>
      </c>
      <c r="C358" s="1" t="n">
        <v>46188</v>
      </c>
      <c r="D358" t="inlineStr">
        <is>
          <t>DALARNAS LÄN</t>
        </is>
      </c>
      <c r="E358" t="inlineStr">
        <is>
          <t>ORSA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6097-2025</t>
        </is>
      </c>
      <c r="B359" s="1" t="n">
        <v>45697</v>
      </c>
      <c r="C359" s="1" t="n">
        <v>46188</v>
      </c>
      <c r="D359" t="inlineStr">
        <is>
          <t>DALARNAS LÄN</t>
        </is>
      </c>
      <c r="E359" t="inlineStr">
        <is>
          <t>ORSA</t>
        </is>
      </c>
      <c r="G359" t="n">
        <v>11.1</v>
      </c>
      <c r="H359" t="n">
        <v>0</v>
      </c>
      <c r="I359" t="n">
        <v>0</v>
      </c>
      <c r="J359" t="n">
        <v>0</v>
      </c>
      <c r="K359" t="n">
        <v>0</v>
      </c>
      <c r="L359" t="n">
        <v>0</v>
      </c>
      <c r="M359" t="n">
        <v>0</v>
      </c>
      <c r="N359" t="n">
        <v>0</v>
      </c>
      <c r="O359" t="n">
        <v>0</v>
      </c>
      <c r="P359" t="n">
        <v>0</v>
      </c>
      <c r="Q359" t="n">
        <v>0</v>
      </c>
      <c r="R359" s="2" t="inlineStr"/>
    </row>
    <row r="360" ht="15" customHeight="1">
      <c r="A360" t="inlineStr">
        <is>
          <t>A 34769-2025</t>
        </is>
      </c>
      <c r="B360" s="1" t="n">
        <v>45848.6534837963</v>
      </c>
      <c r="C360" s="1" t="n">
        <v>46188</v>
      </c>
      <c r="D360" t="inlineStr">
        <is>
          <t>DALARNAS LÄN</t>
        </is>
      </c>
      <c r="E360" t="inlineStr">
        <is>
          <t>ORSA</t>
        </is>
      </c>
      <c r="G360" t="n">
        <v>0.4</v>
      </c>
      <c r="H360" t="n">
        <v>0</v>
      </c>
      <c r="I360" t="n">
        <v>0</v>
      </c>
      <c r="J360" t="n">
        <v>0</v>
      </c>
      <c r="K360" t="n">
        <v>0</v>
      </c>
      <c r="L360" t="n">
        <v>0</v>
      </c>
      <c r="M360" t="n">
        <v>0</v>
      </c>
      <c r="N360" t="n">
        <v>0</v>
      </c>
      <c r="O360" t="n">
        <v>0</v>
      </c>
      <c r="P360" t="n">
        <v>0</v>
      </c>
      <c r="Q360" t="n">
        <v>0</v>
      </c>
      <c r="R360" s="2" t="inlineStr"/>
    </row>
    <row r="361" ht="15" customHeight="1">
      <c r="A361" t="inlineStr">
        <is>
          <t>A 34777-2025</t>
        </is>
      </c>
      <c r="B361" s="1" t="n">
        <v>45848.66167824074</v>
      </c>
      <c r="C361" s="1" t="n">
        <v>46188</v>
      </c>
      <c r="D361" t="inlineStr">
        <is>
          <t>DALARNAS LÄN</t>
        </is>
      </c>
      <c r="E361" t="inlineStr">
        <is>
          <t>ORSA</t>
        </is>
      </c>
      <c r="G361" t="n">
        <v>0.4</v>
      </c>
      <c r="H361" t="n">
        <v>0</v>
      </c>
      <c r="I361" t="n">
        <v>0</v>
      </c>
      <c r="J361" t="n">
        <v>0</v>
      </c>
      <c r="K361" t="n">
        <v>0</v>
      </c>
      <c r="L361" t="n">
        <v>0</v>
      </c>
      <c r="M361" t="n">
        <v>0</v>
      </c>
      <c r="N361" t="n">
        <v>0</v>
      </c>
      <c r="O361" t="n">
        <v>0</v>
      </c>
      <c r="P361" t="n">
        <v>0</v>
      </c>
      <c r="Q361" t="n">
        <v>0</v>
      </c>
      <c r="R361" s="2" t="inlineStr"/>
    </row>
    <row r="362" ht="15" customHeight="1">
      <c r="A362" t="inlineStr">
        <is>
          <t>A 13580-2025</t>
        </is>
      </c>
      <c r="B362" s="1" t="n">
        <v>45736.58362268518</v>
      </c>
      <c r="C362" s="1" t="n">
        <v>46188</v>
      </c>
      <c r="D362" t="inlineStr">
        <is>
          <t>DALARNAS LÄN</t>
        </is>
      </c>
      <c r="E362" t="inlineStr">
        <is>
          <t>ORSA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13995-2026</t>
        </is>
      </c>
      <c r="B363" s="1" t="n">
        <v>46098</v>
      </c>
      <c r="C363" s="1" t="n">
        <v>46188</v>
      </c>
      <c r="D363" t="inlineStr">
        <is>
          <t>DALARNAS LÄN</t>
        </is>
      </c>
      <c r="E363" t="inlineStr">
        <is>
          <t>ORSA</t>
        </is>
      </c>
      <c r="G363" t="n">
        <v>1.2</v>
      </c>
      <c r="H363" t="n">
        <v>0</v>
      </c>
      <c r="I363" t="n">
        <v>0</v>
      </c>
      <c r="J363" t="n">
        <v>0</v>
      </c>
      <c r="K363" t="n">
        <v>0</v>
      </c>
      <c r="L363" t="n">
        <v>0</v>
      </c>
      <c r="M363" t="n">
        <v>0</v>
      </c>
      <c r="N363" t="n">
        <v>0</v>
      </c>
      <c r="O363" t="n">
        <v>0</v>
      </c>
      <c r="P363" t="n">
        <v>0</v>
      </c>
      <c r="Q363" t="n">
        <v>0</v>
      </c>
      <c r="R363" s="2" t="inlineStr"/>
    </row>
    <row r="364" ht="15" customHeight="1">
      <c r="A364" t="inlineStr">
        <is>
          <t>A 63917-2023</t>
        </is>
      </c>
      <c r="B364" s="1" t="n">
        <v>45278</v>
      </c>
      <c r="C364" s="1" t="n">
        <v>46188</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34779-2025</t>
        </is>
      </c>
      <c r="B365" s="1" t="n">
        <v>45848.66987268518</v>
      </c>
      <c r="C365" s="1" t="n">
        <v>46188</v>
      </c>
      <c r="D365" t="inlineStr">
        <is>
          <t>DALARNAS LÄN</t>
        </is>
      </c>
      <c r="E365" t="inlineStr">
        <is>
          <t>ORSA</t>
        </is>
      </c>
      <c r="G365" t="n">
        <v>0.6</v>
      </c>
      <c r="H365" t="n">
        <v>0</v>
      </c>
      <c r="I365" t="n">
        <v>0</v>
      </c>
      <c r="J365" t="n">
        <v>0</v>
      </c>
      <c r="K365" t="n">
        <v>0</v>
      </c>
      <c r="L365" t="n">
        <v>0</v>
      </c>
      <c r="M365" t="n">
        <v>0</v>
      </c>
      <c r="N365" t="n">
        <v>0</v>
      </c>
      <c r="O365" t="n">
        <v>0</v>
      </c>
      <c r="P365" t="n">
        <v>0</v>
      </c>
      <c r="Q365" t="n">
        <v>0</v>
      </c>
      <c r="R365" s="2" t="inlineStr"/>
    </row>
    <row r="366" ht="15" customHeight="1">
      <c r="A366" t="inlineStr">
        <is>
          <t>A 14509-2026</t>
        </is>
      </c>
      <c r="B366" s="1" t="n">
        <v>46100.63200231481</v>
      </c>
      <c r="C366" s="1" t="n">
        <v>46188</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34753-2025</t>
        </is>
      </c>
      <c r="B367" s="1" t="n">
        <v>45848.62001157407</v>
      </c>
      <c r="C367" s="1" t="n">
        <v>46188</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34764-2025</t>
        </is>
      </c>
      <c r="B368" s="1" t="n">
        <v>45848.64788194445</v>
      </c>
      <c r="C368" s="1" t="n">
        <v>46188</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34781-2025</t>
        </is>
      </c>
      <c r="B369" s="1" t="n">
        <v>45848.67424768519</v>
      </c>
      <c r="C369" s="1" t="n">
        <v>46188</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48985-2023</t>
        </is>
      </c>
      <c r="B370" s="1" t="n">
        <v>45209.64077546296</v>
      </c>
      <c r="C370" s="1" t="n">
        <v>46188</v>
      </c>
      <c r="D370" t="inlineStr">
        <is>
          <t>DALARNAS LÄN</t>
        </is>
      </c>
      <c r="E370" t="inlineStr">
        <is>
          <t>ORSA</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42346-2022</t>
        </is>
      </c>
      <c r="B371" s="1" t="n">
        <v>44831.35561342593</v>
      </c>
      <c r="C371" s="1" t="n">
        <v>46188</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28451-2023</t>
        </is>
      </c>
      <c r="B372" s="1" t="n">
        <v>45103.33896990741</v>
      </c>
      <c r="C372" s="1" t="n">
        <v>46188</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21225-2026</t>
        </is>
      </c>
      <c r="B373" s="1" t="n">
        <v>46146</v>
      </c>
      <c r="C373" s="1" t="n">
        <v>46188</v>
      </c>
      <c r="D373" t="inlineStr">
        <is>
          <t>DALARNAS LÄN</t>
        </is>
      </c>
      <c r="E373" t="inlineStr">
        <is>
          <t>ORSA</t>
        </is>
      </c>
      <c r="G373" t="n">
        <v>4.6</v>
      </c>
      <c r="H373" t="n">
        <v>0</v>
      </c>
      <c r="I373" t="n">
        <v>0</v>
      </c>
      <c r="J373" t="n">
        <v>0</v>
      </c>
      <c r="K373" t="n">
        <v>0</v>
      </c>
      <c r="L373" t="n">
        <v>0</v>
      </c>
      <c r="M373" t="n">
        <v>0</v>
      </c>
      <c r="N373" t="n">
        <v>0</v>
      </c>
      <c r="O373" t="n">
        <v>0</v>
      </c>
      <c r="P373" t="n">
        <v>0</v>
      </c>
      <c r="Q373" t="n">
        <v>0</v>
      </c>
      <c r="R373" s="2" t="inlineStr"/>
    </row>
    <row r="374" ht="15" customHeight="1">
      <c r="A374" t="inlineStr">
        <is>
          <t>A 15657-2026</t>
        </is>
      </c>
      <c r="B374" s="1" t="n">
        <v>46106.66402777778</v>
      </c>
      <c r="C374" s="1" t="n">
        <v>46188</v>
      </c>
      <c r="D374" t="inlineStr">
        <is>
          <t>DALARNAS LÄN</t>
        </is>
      </c>
      <c r="E374" t="inlineStr">
        <is>
          <t>ORSA</t>
        </is>
      </c>
      <c r="G374" t="n">
        <v>1.6</v>
      </c>
      <c r="H374" t="n">
        <v>0</v>
      </c>
      <c r="I374" t="n">
        <v>0</v>
      </c>
      <c r="J374" t="n">
        <v>0</v>
      </c>
      <c r="K374" t="n">
        <v>0</v>
      </c>
      <c r="L374" t="n">
        <v>0</v>
      </c>
      <c r="M374" t="n">
        <v>0</v>
      </c>
      <c r="N374" t="n">
        <v>0</v>
      </c>
      <c r="O374" t="n">
        <v>0</v>
      </c>
      <c r="P374" t="n">
        <v>0</v>
      </c>
      <c r="Q374" t="n">
        <v>0</v>
      </c>
      <c r="R374" s="2" t="inlineStr"/>
    </row>
    <row r="375" ht="15" customHeight="1">
      <c r="A375" t="inlineStr">
        <is>
          <t>A 56942-2024</t>
        </is>
      </c>
      <c r="B375" s="1" t="n">
        <v>45628.62292824074</v>
      </c>
      <c r="C375" s="1" t="n">
        <v>46188</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21530-2026</t>
        </is>
      </c>
      <c r="B376" s="1" t="n">
        <v>46148.6219212963</v>
      </c>
      <c r="C376" s="1" t="n">
        <v>46188</v>
      </c>
      <c r="D376" t="inlineStr">
        <is>
          <t>DALARNAS LÄN</t>
        </is>
      </c>
      <c r="E376" t="inlineStr">
        <is>
          <t>ORSA</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15414-2026</t>
        </is>
      </c>
      <c r="B377" s="1" t="n">
        <v>46106.37048611111</v>
      </c>
      <c r="C377" s="1" t="n">
        <v>46188</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21511-2026</t>
        </is>
      </c>
      <c r="B378" s="1" t="n">
        <v>46146</v>
      </c>
      <c r="C378" s="1" t="n">
        <v>46188</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10522-2026</t>
        </is>
      </c>
      <c r="B379" s="1" t="n">
        <v>46077</v>
      </c>
      <c r="C379" s="1" t="n">
        <v>46188</v>
      </c>
      <c r="D379" t="inlineStr">
        <is>
          <t>DALARNAS LÄN</t>
        </is>
      </c>
      <c r="E379" t="inlineStr">
        <is>
          <t>ORSA</t>
        </is>
      </c>
      <c r="F379" t="inlineStr">
        <is>
          <t>Bergvik skog öst AB</t>
        </is>
      </c>
      <c r="G379" t="n">
        <v>13.7</v>
      </c>
      <c r="H379" t="n">
        <v>0</v>
      </c>
      <c r="I379" t="n">
        <v>0</v>
      </c>
      <c r="J379" t="n">
        <v>0</v>
      </c>
      <c r="K379" t="n">
        <v>0</v>
      </c>
      <c r="L379" t="n">
        <v>0</v>
      </c>
      <c r="M379" t="n">
        <v>0</v>
      </c>
      <c r="N379" t="n">
        <v>0</v>
      </c>
      <c r="O379" t="n">
        <v>0</v>
      </c>
      <c r="P379" t="n">
        <v>0</v>
      </c>
      <c r="Q379" t="n">
        <v>0</v>
      </c>
      <c r="R379" s="2" t="inlineStr"/>
    </row>
    <row r="380" ht="15" customHeight="1">
      <c r="A380" t="inlineStr">
        <is>
          <t>A 11510-2026</t>
        </is>
      </c>
      <c r="B380" s="1" t="n">
        <v>46083</v>
      </c>
      <c r="C380" s="1" t="n">
        <v>46188</v>
      </c>
      <c r="D380" t="inlineStr">
        <is>
          <t>DALARNAS LÄN</t>
        </is>
      </c>
      <c r="E380" t="inlineStr">
        <is>
          <t>ORSA</t>
        </is>
      </c>
      <c r="F380" t="inlineStr">
        <is>
          <t>Bergvik skog öst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21379-2026</t>
        </is>
      </c>
      <c r="B381" s="1" t="n">
        <v>46147.66445601852</v>
      </c>
      <c r="C381" s="1" t="n">
        <v>46188</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12440-2026</t>
        </is>
      </c>
      <c r="B382" s="1" t="n">
        <v>46090</v>
      </c>
      <c r="C382" s="1" t="n">
        <v>46188</v>
      </c>
      <c r="D382" t="inlineStr">
        <is>
          <t>DALARNAS LÄN</t>
        </is>
      </c>
      <c r="E382" t="inlineStr">
        <is>
          <t>ORSA</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21900-2026</t>
        </is>
      </c>
      <c r="B383" s="1" t="n">
        <v>46150.61177083333</v>
      </c>
      <c r="C383" s="1" t="n">
        <v>46188</v>
      </c>
      <c r="D383" t="inlineStr">
        <is>
          <t>DALARNAS LÄN</t>
        </is>
      </c>
      <c r="E383" t="inlineStr">
        <is>
          <t>ORSA</t>
        </is>
      </c>
      <c r="F383" t="inlineStr">
        <is>
          <t>Allmännings- och besparingsskogar</t>
        </is>
      </c>
      <c r="G383" t="n">
        <v>11.8</v>
      </c>
      <c r="H383" t="n">
        <v>0</v>
      </c>
      <c r="I383" t="n">
        <v>0</v>
      </c>
      <c r="J383" t="n">
        <v>0</v>
      </c>
      <c r="K383" t="n">
        <v>0</v>
      </c>
      <c r="L383" t="n">
        <v>0</v>
      </c>
      <c r="M383" t="n">
        <v>0</v>
      </c>
      <c r="N383" t="n">
        <v>0</v>
      </c>
      <c r="O383" t="n">
        <v>0</v>
      </c>
      <c r="P383" t="n">
        <v>0</v>
      </c>
      <c r="Q383" t="n">
        <v>0</v>
      </c>
      <c r="R383" s="2" t="inlineStr"/>
    </row>
    <row r="384" ht="15" customHeight="1">
      <c r="A384" t="inlineStr">
        <is>
          <t>A 16777-2024</t>
        </is>
      </c>
      <c r="B384" s="1" t="n">
        <v>45411</v>
      </c>
      <c r="C384" s="1" t="n">
        <v>46188</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53102-2021</t>
        </is>
      </c>
      <c r="B385" s="1" t="n">
        <v>44467</v>
      </c>
      <c r="C385" s="1" t="n">
        <v>46188</v>
      </c>
      <c r="D385" t="inlineStr">
        <is>
          <t>DALARNAS LÄN</t>
        </is>
      </c>
      <c r="E385" t="inlineStr">
        <is>
          <t>ORSA</t>
        </is>
      </c>
      <c r="G385" t="n">
        <v>1.4</v>
      </c>
      <c r="H385" t="n">
        <v>0</v>
      </c>
      <c r="I385" t="n">
        <v>0</v>
      </c>
      <c r="J385" t="n">
        <v>0</v>
      </c>
      <c r="K385" t="n">
        <v>0</v>
      </c>
      <c r="L385" t="n">
        <v>0</v>
      </c>
      <c r="M385" t="n">
        <v>0</v>
      </c>
      <c r="N385" t="n">
        <v>0</v>
      </c>
      <c r="O385" t="n">
        <v>0</v>
      </c>
      <c r="P385" t="n">
        <v>0</v>
      </c>
      <c r="Q385" t="n">
        <v>0</v>
      </c>
      <c r="R385" s="2" t="inlineStr"/>
    </row>
    <row r="386" ht="15" customHeight="1">
      <c r="A386" t="inlineStr">
        <is>
          <t>A 6047-2023</t>
        </is>
      </c>
      <c r="B386" s="1" t="n">
        <v>44964</v>
      </c>
      <c r="C386" s="1" t="n">
        <v>46188</v>
      </c>
      <c r="D386" t="inlineStr">
        <is>
          <t>DALARNAS LÄN</t>
        </is>
      </c>
      <c r="E386" t="inlineStr">
        <is>
          <t>ORSA</t>
        </is>
      </c>
      <c r="F386" t="inlineStr">
        <is>
          <t>Bergvik skog öst AB</t>
        </is>
      </c>
      <c r="G386" t="n">
        <v>0.2</v>
      </c>
      <c r="H386" t="n">
        <v>0</v>
      </c>
      <c r="I386" t="n">
        <v>0</v>
      </c>
      <c r="J386" t="n">
        <v>0</v>
      </c>
      <c r="K386" t="n">
        <v>0</v>
      </c>
      <c r="L386" t="n">
        <v>0</v>
      </c>
      <c r="M386" t="n">
        <v>0</v>
      </c>
      <c r="N386" t="n">
        <v>0</v>
      </c>
      <c r="O386" t="n">
        <v>0</v>
      </c>
      <c r="P386" t="n">
        <v>0</v>
      </c>
      <c r="Q386" t="n">
        <v>0</v>
      </c>
      <c r="R386" s="2" t="inlineStr"/>
    </row>
    <row r="387" ht="15" customHeight="1">
      <c r="A387" t="inlineStr">
        <is>
          <t>A 9962-2026</t>
        </is>
      </c>
      <c r="B387" s="1" t="n">
        <v>46073</v>
      </c>
      <c r="C387" s="1" t="n">
        <v>46188</v>
      </c>
      <c r="D387" t="inlineStr">
        <is>
          <t>DALARNAS LÄN</t>
        </is>
      </c>
      <c r="E387" t="inlineStr">
        <is>
          <t>ORSA</t>
        </is>
      </c>
      <c r="F387" t="inlineStr">
        <is>
          <t>Bergvik skog öst AB</t>
        </is>
      </c>
      <c r="G387" t="n">
        <v>2.5</v>
      </c>
      <c r="H387" t="n">
        <v>0</v>
      </c>
      <c r="I387" t="n">
        <v>0</v>
      </c>
      <c r="J387" t="n">
        <v>0</v>
      </c>
      <c r="K387" t="n">
        <v>0</v>
      </c>
      <c r="L387" t="n">
        <v>0</v>
      </c>
      <c r="M387" t="n">
        <v>0</v>
      </c>
      <c r="N387" t="n">
        <v>0</v>
      </c>
      <c r="O387" t="n">
        <v>0</v>
      </c>
      <c r="P387" t="n">
        <v>0</v>
      </c>
      <c r="Q387" t="n">
        <v>0</v>
      </c>
      <c r="R387" s="2" t="inlineStr"/>
    </row>
    <row r="388" ht="15" customHeight="1">
      <c r="A388" t="inlineStr">
        <is>
          <t>A 35619-2025</t>
        </is>
      </c>
      <c r="B388" s="1" t="n">
        <v>45859</v>
      </c>
      <c r="C388" s="1" t="n">
        <v>46188</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16034-2026</t>
        </is>
      </c>
      <c r="B389" s="1" t="n">
        <v>46108</v>
      </c>
      <c r="C389" s="1" t="n">
        <v>46188</v>
      </c>
      <c r="D389" t="inlineStr">
        <is>
          <t>DALARNAS LÄN</t>
        </is>
      </c>
      <c r="E389" t="inlineStr">
        <is>
          <t>ORSA</t>
        </is>
      </c>
      <c r="G389" t="n">
        <v>5.1</v>
      </c>
      <c r="H389" t="n">
        <v>0</v>
      </c>
      <c r="I389" t="n">
        <v>0</v>
      </c>
      <c r="J389" t="n">
        <v>0</v>
      </c>
      <c r="K389" t="n">
        <v>0</v>
      </c>
      <c r="L389" t="n">
        <v>0</v>
      </c>
      <c r="M389" t="n">
        <v>0</v>
      </c>
      <c r="N389" t="n">
        <v>0</v>
      </c>
      <c r="O389" t="n">
        <v>0</v>
      </c>
      <c r="P389" t="n">
        <v>0</v>
      </c>
      <c r="Q389" t="n">
        <v>0</v>
      </c>
      <c r="R389" s="2" t="inlineStr"/>
    </row>
    <row r="390" ht="15" customHeight="1">
      <c r="A390" t="inlineStr">
        <is>
          <t>A 10151-2026</t>
        </is>
      </c>
      <c r="B390" s="1" t="n">
        <v>46076</v>
      </c>
      <c r="C390" s="1" t="n">
        <v>46188</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5100-2026</t>
        </is>
      </c>
      <c r="B391" s="1" t="n">
        <v>46049</v>
      </c>
      <c r="C391" s="1" t="n">
        <v>46188</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35933-2025</t>
        </is>
      </c>
      <c r="B392" s="1" t="n">
        <v>45862.62653935186</v>
      </c>
      <c r="C392" s="1" t="n">
        <v>46188</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35935-2025</t>
        </is>
      </c>
      <c r="B393" s="1" t="n">
        <v>45862.6353125</v>
      </c>
      <c r="C393" s="1" t="n">
        <v>46188</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35940-2025</t>
        </is>
      </c>
      <c r="B394" s="1" t="n">
        <v>45862.65081018519</v>
      </c>
      <c r="C394" s="1" t="n">
        <v>46188</v>
      </c>
      <c r="D394" t="inlineStr">
        <is>
          <t>DALARNAS LÄN</t>
        </is>
      </c>
      <c r="E394" t="inlineStr">
        <is>
          <t>ORSA</t>
        </is>
      </c>
      <c r="G394" t="n">
        <v>5.1</v>
      </c>
      <c r="H394" t="n">
        <v>0</v>
      </c>
      <c r="I394" t="n">
        <v>0</v>
      </c>
      <c r="J394" t="n">
        <v>0</v>
      </c>
      <c r="K394" t="n">
        <v>0</v>
      </c>
      <c r="L394" t="n">
        <v>0</v>
      </c>
      <c r="M394" t="n">
        <v>0</v>
      </c>
      <c r="N394" t="n">
        <v>0</v>
      </c>
      <c r="O394" t="n">
        <v>0</v>
      </c>
      <c r="P394" t="n">
        <v>0</v>
      </c>
      <c r="Q394" t="n">
        <v>0</v>
      </c>
      <c r="R394" s="2" t="inlineStr"/>
    </row>
    <row r="395" ht="15" customHeight="1">
      <c r="A395" t="inlineStr">
        <is>
          <t>A 50714-2023</t>
        </is>
      </c>
      <c r="B395" s="1" t="n">
        <v>45217.56513888889</v>
      </c>
      <c r="C395" s="1" t="n">
        <v>46188</v>
      </c>
      <c r="D395" t="inlineStr">
        <is>
          <t>DALARNAS LÄN</t>
        </is>
      </c>
      <c r="E395" t="inlineStr">
        <is>
          <t>ORSA</t>
        </is>
      </c>
      <c r="G395" t="n">
        <v>1.1</v>
      </c>
      <c r="H395" t="n">
        <v>0</v>
      </c>
      <c r="I395" t="n">
        <v>0</v>
      </c>
      <c r="J395" t="n">
        <v>0</v>
      </c>
      <c r="K395" t="n">
        <v>0</v>
      </c>
      <c r="L395" t="n">
        <v>0</v>
      </c>
      <c r="M395" t="n">
        <v>0</v>
      </c>
      <c r="N395" t="n">
        <v>0</v>
      </c>
      <c r="O395" t="n">
        <v>0</v>
      </c>
      <c r="P395" t="n">
        <v>0</v>
      </c>
      <c r="Q395" t="n">
        <v>0</v>
      </c>
      <c r="R395" s="2" t="inlineStr"/>
    </row>
    <row r="396" ht="15" customHeight="1">
      <c r="A396" t="inlineStr">
        <is>
          <t>A 3166-2024</t>
        </is>
      </c>
      <c r="B396" s="1" t="n">
        <v>45316.62592592592</v>
      </c>
      <c r="C396" s="1" t="n">
        <v>46188</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10049-2026</t>
        </is>
      </c>
      <c r="B397" s="1" t="n">
        <v>46073</v>
      </c>
      <c r="C397" s="1" t="n">
        <v>46188</v>
      </c>
      <c r="D397" t="inlineStr">
        <is>
          <t>DALARNAS LÄN</t>
        </is>
      </c>
      <c r="E397" t="inlineStr">
        <is>
          <t>ORSA</t>
        </is>
      </c>
      <c r="F397" t="inlineStr">
        <is>
          <t>Bergvik skog öst AB</t>
        </is>
      </c>
      <c r="G397" t="n">
        <v>4.4</v>
      </c>
      <c r="H397" t="n">
        <v>0</v>
      </c>
      <c r="I397" t="n">
        <v>0</v>
      </c>
      <c r="J397" t="n">
        <v>0</v>
      </c>
      <c r="K397" t="n">
        <v>0</v>
      </c>
      <c r="L397" t="n">
        <v>0</v>
      </c>
      <c r="M397" t="n">
        <v>0</v>
      </c>
      <c r="N397" t="n">
        <v>0</v>
      </c>
      <c r="O397" t="n">
        <v>0</v>
      </c>
      <c r="P397" t="n">
        <v>0</v>
      </c>
      <c r="Q397" t="n">
        <v>0</v>
      </c>
      <c r="R397" s="2" t="inlineStr"/>
    </row>
    <row r="398" ht="15" customHeight="1">
      <c r="A398" t="inlineStr">
        <is>
          <t>A 56887-2024</t>
        </is>
      </c>
      <c r="B398" s="1" t="n">
        <v>45628.57388888889</v>
      </c>
      <c r="C398" s="1" t="n">
        <v>46188</v>
      </c>
      <c r="D398" t="inlineStr">
        <is>
          <t>DALARNAS LÄN</t>
        </is>
      </c>
      <c r="E398" t="inlineStr">
        <is>
          <t>ORSA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22267-2026</t>
        </is>
      </c>
      <c r="B399" s="1" t="n">
        <v>46154.39655092593</v>
      </c>
      <c r="C399" s="1" t="n">
        <v>46188</v>
      </c>
      <c r="D399" t="inlineStr">
        <is>
          <t>DALARNAS LÄN</t>
        </is>
      </c>
      <c r="E399" t="inlineStr">
        <is>
          <t>ORSA</t>
        </is>
      </c>
      <c r="F399" t="inlineStr">
        <is>
          <t>Allmännings- och besparingsskogar</t>
        </is>
      </c>
      <c r="G399" t="n">
        <v>4.4</v>
      </c>
      <c r="H399" t="n">
        <v>0</v>
      </c>
      <c r="I399" t="n">
        <v>0</v>
      </c>
      <c r="J399" t="n">
        <v>0</v>
      </c>
      <c r="K399" t="n">
        <v>0</v>
      </c>
      <c r="L399" t="n">
        <v>0</v>
      </c>
      <c r="M399" t="n">
        <v>0</v>
      </c>
      <c r="N399" t="n">
        <v>0</v>
      </c>
      <c r="O399" t="n">
        <v>0</v>
      </c>
      <c r="P399" t="n">
        <v>0</v>
      </c>
      <c r="Q399" t="n">
        <v>0</v>
      </c>
      <c r="R399" s="2" t="inlineStr"/>
    </row>
    <row r="400" ht="15" customHeight="1">
      <c r="A400" t="inlineStr">
        <is>
          <t>A 16302-2026</t>
        </is>
      </c>
      <c r="B400" s="1" t="n">
        <v>46111.53943287037</v>
      </c>
      <c r="C400" s="1" t="n">
        <v>46188</v>
      </c>
      <c r="D400" t="inlineStr">
        <is>
          <t>DALARNAS LÄN</t>
        </is>
      </c>
      <c r="E400" t="inlineStr">
        <is>
          <t>ORSA</t>
        </is>
      </c>
      <c r="F400" t="inlineStr">
        <is>
          <t>Bergvik skog öst AB</t>
        </is>
      </c>
      <c r="G400" t="n">
        <v>21</v>
      </c>
      <c r="H400" t="n">
        <v>0</v>
      </c>
      <c r="I400" t="n">
        <v>0</v>
      </c>
      <c r="J400" t="n">
        <v>0</v>
      </c>
      <c r="K400" t="n">
        <v>0</v>
      </c>
      <c r="L400" t="n">
        <v>0</v>
      </c>
      <c r="M400" t="n">
        <v>0</v>
      </c>
      <c r="N400" t="n">
        <v>0</v>
      </c>
      <c r="O400" t="n">
        <v>0</v>
      </c>
      <c r="P400" t="n">
        <v>0</v>
      </c>
      <c r="Q400" t="n">
        <v>0</v>
      </c>
      <c r="R400" s="2" t="inlineStr"/>
    </row>
    <row r="401" ht="15" customHeight="1">
      <c r="A401" t="inlineStr">
        <is>
          <t>A 22228-2026</t>
        </is>
      </c>
      <c r="B401" s="1" t="n">
        <v>46153.76313657407</v>
      </c>
      <c r="C401" s="1" t="n">
        <v>46188</v>
      </c>
      <c r="D401" t="inlineStr">
        <is>
          <t>DALARNAS LÄN</t>
        </is>
      </c>
      <c r="E401" t="inlineStr">
        <is>
          <t>ORSA</t>
        </is>
      </c>
      <c r="G401" t="n">
        <v>3.5</v>
      </c>
      <c r="H401" t="n">
        <v>0</v>
      </c>
      <c r="I401" t="n">
        <v>0</v>
      </c>
      <c r="J401" t="n">
        <v>0</v>
      </c>
      <c r="K401" t="n">
        <v>0</v>
      </c>
      <c r="L401" t="n">
        <v>0</v>
      </c>
      <c r="M401" t="n">
        <v>0</v>
      </c>
      <c r="N401" t="n">
        <v>0</v>
      </c>
      <c r="O401" t="n">
        <v>0</v>
      </c>
      <c r="P401" t="n">
        <v>0</v>
      </c>
      <c r="Q401" t="n">
        <v>0</v>
      </c>
      <c r="R401" s="2" t="inlineStr"/>
    </row>
    <row r="402" ht="15" customHeight="1">
      <c r="A402" t="inlineStr">
        <is>
          <t>A 13316-2026</t>
        </is>
      </c>
      <c r="B402" s="1" t="n">
        <v>46094</v>
      </c>
      <c r="C402" s="1" t="n">
        <v>46188</v>
      </c>
      <c r="D402" t="inlineStr">
        <is>
          <t>DALARNAS LÄN</t>
        </is>
      </c>
      <c r="E402" t="inlineStr">
        <is>
          <t>ORSA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22615-2026</t>
        </is>
      </c>
      <c r="B403" s="1" t="n">
        <v>46155.60784722222</v>
      </c>
      <c r="C403" s="1" t="n">
        <v>46188</v>
      </c>
      <c r="D403" t="inlineStr">
        <is>
          <t>DALARNAS LÄN</t>
        </is>
      </c>
      <c r="E403" t="inlineStr">
        <is>
          <t>ORSA</t>
        </is>
      </c>
      <c r="F403" t="inlineStr">
        <is>
          <t>Bergvik skog öst AB</t>
        </is>
      </c>
      <c r="G403" t="n">
        <v>5.5</v>
      </c>
      <c r="H403" t="n">
        <v>0</v>
      </c>
      <c r="I403" t="n">
        <v>0</v>
      </c>
      <c r="J403" t="n">
        <v>0</v>
      </c>
      <c r="K403" t="n">
        <v>0</v>
      </c>
      <c r="L403" t="n">
        <v>0</v>
      </c>
      <c r="M403" t="n">
        <v>0</v>
      </c>
      <c r="N403" t="n">
        <v>0</v>
      </c>
      <c r="O403" t="n">
        <v>0</v>
      </c>
      <c r="P403" t="n">
        <v>0</v>
      </c>
      <c r="Q403" t="n">
        <v>0</v>
      </c>
      <c r="R403" s="2" t="inlineStr"/>
    </row>
    <row r="404" ht="15" customHeight="1">
      <c r="A404" t="inlineStr">
        <is>
          <t>A 17094-2026</t>
        </is>
      </c>
      <c r="B404" s="1" t="n">
        <v>46114.58635416667</v>
      </c>
      <c r="C404" s="1" t="n">
        <v>46188</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22515-2026</t>
        </is>
      </c>
      <c r="B405" s="1" t="n">
        <v>46155.45591435185</v>
      </c>
      <c r="C405" s="1" t="n">
        <v>46188</v>
      </c>
      <c r="D405" t="inlineStr">
        <is>
          <t>DALARNAS LÄN</t>
        </is>
      </c>
      <c r="E405" t="inlineStr">
        <is>
          <t>ORSA</t>
        </is>
      </c>
      <c r="F405" t="inlineStr">
        <is>
          <t>Bergvik skog öst AB</t>
        </is>
      </c>
      <c r="G405" t="n">
        <v>1.7</v>
      </c>
      <c r="H405" t="n">
        <v>0</v>
      </c>
      <c r="I405" t="n">
        <v>0</v>
      </c>
      <c r="J405" t="n">
        <v>0</v>
      </c>
      <c r="K405" t="n">
        <v>0</v>
      </c>
      <c r="L405" t="n">
        <v>0</v>
      </c>
      <c r="M405" t="n">
        <v>0</v>
      </c>
      <c r="N405" t="n">
        <v>0</v>
      </c>
      <c r="O405" t="n">
        <v>0</v>
      </c>
      <c r="P405" t="n">
        <v>0</v>
      </c>
      <c r="Q405" t="n">
        <v>0</v>
      </c>
      <c r="R405" s="2" t="inlineStr"/>
    </row>
    <row r="406" ht="15" customHeight="1">
      <c r="A406" t="inlineStr">
        <is>
          <t>A 16900-2026</t>
        </is>
      </c>
      <c r="B406" s="1" t="n">
        <v>46113.6306712963</v>
      </c>
      <c r="C406" s="1" t="n">
        <v>46188</v>
      </c>
      <c r="D406" t="inlineStr">
        <is>
          <t>DALARNAS LÄN</t>
        </is>
      </c>
      <c r="E406" t="inlineStr">
        <is>
          <t>ORSA</t>
        </is>
      </c>
      <c r="G406" t="n">
        <v>0.6</v>
      </c>
      <c r="H406" t="n">
        <v>0</v>
      </c>
      <c r="I406" t="n">
        <v>0</v>
      </c>
      <c r="J406" t="n">
        <v>0</v>
      </c>
      <c r="K406" t="n">
        <v>0</v>
      </c>
      <c r="L406" t="n">
        <v>0</v>
      </c>
      <c r="M406" t="n">
        <v>0</v>
      </c>
      <c r="N406" t="n">
        <v>0</v>
      </c>
      <c r="O406" t="n">
        <v>0</v>
      </c>
      <c r="P406" t="n">
        <v>0</v>
      </c>
      <c r="Q406" t="n">
        <v>0</v>
      </c>
      <c r="R406" s="2" t="inlineStr"/>
    </row>
    <row r="407" ht="15" customHeight="1">
      <c r="A407" t="inlineStr">
        <is>
          <t>A 22590-2026</t>
        </is>
      </c>
      <c r="B407" s="1" t="n">
        <v>46155.58239583333</v>
      </c>
      <c r="C407" s="1" t="n">
        <v>46188</v>
      </c>
      <c r="D407" t="inlineStr">
        <is>
          <t>DALARNAS LÄN</t>
        </is>
      </c>
      <c r="E407" t="inlineStr">
        <is>
          <t>ORSA</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22728-2026</t>
        </is>
      </c>
      <c r="B408" s="1" t="n">
        <v>46157.35543981481</v>
      </c>
      <c r="C408" s="1" t="n">
        <v>46188</v>
      </c>
      <c r="D408" t="inlineStr">
        <is>
          <t>DALARNAS LÄN</t>
        </is>
      </c>
      <c r="E408" t="inlineStr">
        <is>
          <t>ORSA</t>
        </is>
      </c>
      <c r="F408" t="inlineStr">
        <is>
          <t>Allmännings- och besparingsskogar</t>
        </is>
      </c>
      <c r="G408" t="n">
        <v>4</v>
      </c>
      <c r="H408" t="n">
        <v>0</v>
      </c>
      <c r="I408" t="n">
        <v>0</v>
      </c>
      <c r="J408" t="n">
        <v>0</v>
      </c>
      <c r="K408" t="n">
        <v>0</v>
      </c>
      <c r="L408" t="n">
        <v>0</v>
      </c>
      <c r="M408" t="n">
        <v>0</v>
      </c>
      <c r="N408" t="n">
        <v>0</v>
      </c>
      <c r="O408" t="n">
        <v>0</v>
      </c>
      <c r="P408" t="n">
        <v>0</v>
      </c>
      <c r="Q408" t="n">
        <v>0</v>
      </c>
      <c r="R408" s="2" t="inlineStr"/>
    </row>
    <row r="409" ht="15" customHeight="1">
      <c r="A409" t="inlineStr">
        <is>
          <t>A 36570-2025</t>
        </is>
      </c>
      <c r="B409" s="1" t="n">
        <v>45870.38728009259</v>
      </c>
      <c r="C409" s="1" t="n">
        <v>46188</v>
      </c>
      <c r="D409" t="inlineStr">
        <is>
          <t>DALARNAS LÄN</t>
        </is>
      </c>
      <c r="E409" t="inlineStr">
        <is>
          <t>ORSA</t>
        </is>
      </c>
      <c r="F409" t="inlineStr">
        <is>
          <t>Bergvik skog öst AB</t>
        </is>
      </c>
      <c r="G409" t="n">
        <v>2.2</v>
      </c>
      <c r="H409" t="n">
        <v>0</v>
      </c>
      <c r="I409" t="n">
        <v>0</v>
      </c>
      <c r="J409" t="n">
        <v>0</v>
      </c>
      <c r="K409" t="n">
        <v>0</v>
      </c>
      <c r="L409" t="n">
        <v>0</v>
      </c>
      <c r="M409" t="n">
        <v>0</v>
      </c>
      <c r="N409" t="n">
        <v>0</v>
      </c>
      <c r="O409" t="n">
        <v>0</v>
      </c>
      <c r="P409" t="n">
        <v>0</v>
      </c>
      <c r="Q409" t="n">
        <v>0</v>
      </c>
      <c r="R409" s="2" t="inlineStr"/>
    </row>
    <row r="410" ht="15" customHeight="1">
      <c r="A410" t="inlineStr">
        <is>
          <t>A 22829-2026</t>
        </is>
      </c>
      <c r="B410" s="1" t="n">
        <v>46160.36649305555</v>
      </c>
      <c r="C410" s="1" t="n">
        <v>46188</v>
      </c>
      <c r="D410" t="inlineStr">
        <is>
          <t>DALARNAS LÄN</t>
        </is>
      </c>
      <c r="E410" t="inlineStr">
        <is>
          <t>ORSA</t>
        </is>
      </c>
      <c r="G410" t="n">
        <v>2.1</v>
      </c>
      <c r="H410" t="n">
        <v>0</v>
      </c>
      <c r="I410" t="n">
        <v>0</v>
      </c>
      <c r="J410" t="n">
        <v>0</v>
      </c>
      <c r="K410" t="n">
        <v>0</v>
      </c>
      <c r="L410" t="n">
        <v>0</v>
      </c>
      <c r="M410" t="n">
        <v>0</v>
      </c>
      <c r="N410" t="n">
        <v>0</v>
      </c>
      <c r="O410" t="n">
        <v>0</v>
      </c>
      <c r="P410" t="n">
        <v>0</v>
      </c>
      <c r="Q410" t="n">
        <v>0</v>
      </c>
      <c r="R410" s="2" t="inlineStr"/>
    </row>
    <row r="411" ht="15" customHeight="1">
      <c r="A411" t="inlineStr">
        <is>
          <t>A 23058-2026</t>
        </is>
      </c>
      <c r="B411" s="1" t="n">
        <v>46161.45857638889</v>
      </c>
      <c r="C411" s="1" t="n">
        <v>46188</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50742-2023</t>
        </is>
      </c>
      <c r="B412" s="1" t="n">
        <v>45217.58891203703</v>
      </c>
      <c r="C412" s="1" t="n">
        <v>46188</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52776-2022</t>
        </is>
      </c>
      <c r="B413" s="1" t="n">
        <v>44875.36341435185</v>
      </c>
      <c r="C413" s="1" t="n">
        <v>46188</v>
      </c>
      <c r="D413" t="inlineStr">
        <is>
          <t>DALARNAS LÄN</t>
        </is>
      </c>
      <c r="E413" t="inlineStr">
        <is>
          <t>ORSA</t>
        </is>
      </c>
      <c r="F413" t="inlineStr">
        <is>
          <t>Allmännings- och besparingsskogar</t>
        </is>
      </c>
      <c r="G413" t="n">
        <v>4.4</v>
      </c>
      <c r="H413" t="n">
        <v>0</v>
      </c>
      <c r="I413" t="n">
        <v>0</v>
      </c>
      <c r="J413" t="n">
        <v>0</v>
      </c>
      <c r="K413" t="n">
        <v>0</v>
      </c>
      <c r="L413" t="n">
        <v>0</v>
      </c>
      <c r="M413" t="n">
        <v>0</v>
      </c>
      <c r="N413" t="n">
        <v>0</v>
      </c>
      <c r="O413" t="n">
        <v>0</v>
      </c>
      <c r="P413" t="n">
        <v>0</v>
      </c>
      <c r="Q413" t="n">
        <v>0</v>
      </c>
      <c r="R413" s="2" t="inlineStr"/>
    </row>
    <row r="414" ht="15" customHeight="1">
      <c r="A414" t="inlineStr">
        <is>
          <t>A 21477-2026</t>
        </is>
      </c>
      <c r="B414" s="1" t="n">
        <v>46148</v>
      </c>
      <c r="C414" s="1" t="n">
        <v>46188</v>
      </c>
      <c r="D414" t="inlineStr">
        <is>
          <t>DALARNAS LÄN</t>
        </is>
      </c>
      <c r="E414" t="inlineStr">
        <is>
          <t>ORSA</t>
        </is>
      </c>
      <c r="G414" t="n">
        <v>17.1</v>
      </c>
      <c r="H414" t="n">
        <v>0</v>
      </c>
      <c r="I414" t="n">
        <v>0</v>
      </c>
      <c r="J414" t="n">
        <v>0</v>
      </c>
      <c r="K414" t="n">
        <v>0</v>
      </c>
      <c r="L414" t="n">
        <v>0</v>
      </c>
      <c r="M414" t="n">
        <v>0</v>
      </c>
      <c r="N414" t="n">
        <v>0</v>
      </c>
      <c r="O414" t="n">
        <v>0</v>
      </c>
      <c r="P414" t="n">
        <v>0</v>
      </c>
      <c r="Q414" t="n">
        <v>0</v>
      </c>
      <c r="R414" s="2" t="inlineStr"/>
    </row>
    <row r="415" ht="15" customHeight="1">
      <c r="A415" t="inlineStr">
        <is>
          <t>A 6492-2025</t>
        </is>
      </c>
      <c r="B415" s="1" t="n">
        <v>45699</v>
      </c>
      <c r="C415" s="1" t="n">
        <v>46188</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23235-2026</t>
        </is>
      </c>
      <c r="B416" s="1" t="n">
        <v>46162.39581018518</v>
      </c>
      <c r="C416" s="1" t="n">
        <v>46188</v>
      </c>
      <c r="D416" t="inlineStr">
        <is>
          <t>DALARNAS LÄN</t>
        </is>
      </c>
      <c r="E416" t="inlineStr">
        <is>
          <t>ORSA</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23582-2026</t>
        </is>
      </c>
      <c r="B417" s="1" t="n">
        <v>46163.61466435185</v>
      </c>
      <c r="C417" s="1" t="n">
        <v>46188</v>
      </c>
      <c r="D417" t="inlineStr">
        <is>
          <t>DALARNAS LÄN</t>
        </is>
      </c>
      <c r="E417" t="inlineStr">
        <is>
          <t>ORSA</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23746-2026</t>
        </is>
      </c>
      <c r="B418" s="1" t="n">
        <v>46164.51518518518</v>
      </c>
      <c r="C418" s="1" t="n">
        <v>46188</v>
      </c>
      <c r="D418" t="inlineStr">
        <is>
          <t>DALARNAS LÄN</t>
        </is>
      </c>
      <c r="E418" t="inlineStr">
        <is>
          <t>ORSA</t>
        </is>
      </c>
      <c r="F418" t="inlineStr">
        <is>
          <t>Bergvik skog öst AB</t>
        </is>
      </c>
      <c r="G418" t="n">
        <v>4.3</v>
      </c>
      <c r="H418" t="n">
        <v>0</v>
      </c>
      <c r="I418" t="n">
        <v>0</v>
      </c>
      <c r="J418" t="n">
        <v>0</v>
      </c>
      <c r="K418" t="n">
        <v>0</v>
      </c>
      <c r="L418" t="n">
        <v>0</v>
      </c>
      <c r="M418" t="n">
        <v>0</v>
      </c>
      <c r="N418" t="n">
        <v>0</v>
      </c>
      <c r="O418" t="n">
        <v>0</v>
      </c>
      <c r="P418" t="n">
        <v>0</v>
      </c>
      <c r="Q418" t="n">
        <v>0</v>
      </c>
      <c r="R418" s="2" t="inlineStr"/>
    </row>
    <row r="419" ht="15" customHeight="1">
      <c r="A419" t="inlineStr">
        <is>
          <t>A 22039-2026</t>
        </is>
      </c>
      <c r="B419" s="1" t="n">
        <v>46153.45459490741</v>
      </c>
      <c r="C419" s="1" t="n">
        <v>46188</v>
      </c>
      <c r="D419" t="inlineStr">
        <is>
          <t>DALARNAS LÄN</t>
        </is>
      </c>
      <c r="E419" t="inlineStr">
        <is>
          <t>ORSA</t>
        </is>
      </c>
      <c r="F419" t="inlineStr">
        <is>
          <t>Bergvik skog öst AB</t>
        </is>
      </c>
      <c r="G419" t="n">
        <v>13.1</v>
      </c>
      <c r="H419" t="n">
        <v>0</v>
      </c>
      <c r="I419" t="n">
        <v>0</v>
      </c>
      <c r="J419" t="n">
        <v>0</v>
      </c>
      <c r="K419" t="n">
        <v>0</v>
      </c>
      <c r="L419" t="n">
        <v>0</v>
      </c>
      <c r="M419" t="n">
        <v>0</v>
      </c>
      <c r="N419" t="n">
        <v>0</v>
      </c>
      <c r="O419" t="n">
        <v>0</v>
      </c>
      <c r="P419" t="n">
        <v>0</v>
      </c>
      <c r="Q419" t="n">
        <v>0</v>
      </c>
      <c r="R419" s="2" t="inlineStr"/>
    </row>
    <row r="420" ht="15" customHeight="1">
      <c r="A420" t="inlineStr">
        <is>
          <t>A 23712-2026</t>
        </is>
      </c>
      <c r="B420" s="1" t="n">
        <v>46164.46298611111</v>
      </c>
      <c r="C420" s="1" t="n">
        <v>46188</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23583-2026</t>
        </is>
      </c>
      <c r="B421" s="1" t="n">
        <v>46163.62005787037</v>
      </c>
      <c r="C421" s="1" t="n">
        <v>46188</v>
      </c>
      <c r="D421" t="inlineStr">
        <is>
          <t>DALARNAS LÄN</t>
        </is>
      </c>
      <c r="E421" t="inlineStr">
        <is>
          <t>ORSA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46188</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37439-2025</t>
        </is>
      </c>
      <c r="B423" s="1" t="n">
        <v>45877.53644675926</v>
      </c>
      <c r="C423" s="1" t="n">
        <v>46188</v>
      </c>
      <c r="D423" t="inlineStr">
        <is>
          <t>DALARNAS LÄN</t>
        </is>
      </c>
      <c r="E423" t="inlineStr">
        <is>
          <t>ORSA</t>
        </is>
      </c>
      <c r="F423" t="inlineStr">
        <is>
          <t>Allmännings- och besparingsskogar</t>
        </is>
      </c>
      <c r="G423" t="n">
        <v>7.9</v>
      </c>
      <c r="H423" t="n">
        <v>0</v>
      </c>
      <c r="I423" t="n">
        <v>0</v>
      </c>
      <c r="J423" t="n">
        <v>0</v>
      </c>
      <c r="K423" t="n">
        <v>0</v>
      </c>
      <c r="L423" t="n">
        <v>0</v>
      </c>
      <c r="M423" t="n">
        <v>0</v>
      </c>
      <c r="N423" t="n">
        <v>0</v>
      </c>
      <c r="O423" t="n">
        <v>0</v>
      </c>
      <c r="P423" t="n">
        <v>0</v>
      </c>
      <c r="Q423" t="n">
        <v>0</v>
      </c>
      <c r="R423" s="2" t="inlineStr"/>
    </row>
    <row r="424" ht="15" customHeight="1">
      <c r="A424" t="inlineStr">
        <is>
          <t>A 23709-2026</t>
        </is>
      </c>
      <c r="B424" s="1" t="n">
        <v>46164.46054398148</v>
      </c>
      <c r="C424" s="1" t="n">
        <v>46188</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37457-2025</t>
        </is>
      </c>
      <c r="B425" s="1" t="n">
        <v>45877.56829861111</v>
      </c>
      <c r="C425" s="1" t="n">
        <v>46188</v>
      </c>
      <c r="D425" t="inlineStr">
        <is>
          <t>DALARNAS LÄN</t>
        </is>
      </c>
      <c r="E425" t="inlineStr">
        <is>
          <t>ORSA</t>
        </is>
      </c>
      <c r="F425" t="inlineStr">
        <is>
          <t>Allmännings- och besparingsskogar</t>
        </is>
      </c>
      <c r="G425" t="n">
        <v>6.5</v>
      </c>
      <c r="H425" t="n">
        <v>0</v>
      </c>
      <c r="I425" t="n">
        <v>0</v>
      </c>
      <c r="J425" t="n">
        <v>0</v>
      </c>
      <c r="K425" t="n">
        <v>0</v>
      </c>
      <c r="L425" t="n">
        <v>0</v>
      </c>
      <c r="M425" t="n">
        <v>0</v>
      </c>
      <c r="N425" t="n">
        <v>0</v>
      </c>
      <c r="O425" t="n">
        <v>0</v>
      </c>
      <c r="P425" t="n">
        <v>0</v>
      </c>
      <c r="Q425" t="n">
        <v>0</v>
      </c>
      <c r="R425" s="2" t="inlineStr"/>
    </row>
    <row r="426" ht="15" customHeight="1">
      <c r="A426" t="inlineStr">
        <is>
          <t>A 37838-2024</t>
        </is>
      </c>
      <c r="B426" s="1" t="n">
        <v>45544.36310185185</v>
      </c>
      <c r="C426" s="1" t="n">
        <v>46188</v>
      </c>
      <c r="D426" t="inlineStr">
        <is>
          <t>DALARNAS LÄN</t>
        </is>
      </c>
      <c r="E426" t="inlineStr">
        <is>
          <t>ORSA</t>
        </is>
      </c>
      <c r="G426" t="n">
        <v>2.9</v>
      </c>
      <c r="H426" t="n">
        <v>0</v>
      </c>
      <c r="I426" t="n">
        <v>0</v>
      </c>
      <c r="J426" t="n">
        <v>0</v>
      </c>
      <c r="K426" t="n">
        <v>0</v>
      </c>
      <c r="L426" t="n">
        <v>0</v>
      </c>
      <c r="M426" t="n">
        <v>0</v>
      </c>
      <c r="N426" t="n">
        <v>0</v>
      </c>
      <c r="O426" t="n">
        <v>0</v>
      </c>
      <c r="P426" t="n">
        <v>0</v>
      </c>
      <c r="Q426" t="n">
        <v>0</v>
      </c>
      <c r="R426" s="2" t="inlineStr"/>
    </row>
    <row r="427" ht="15" customHeight="1">
      <c r="A427" t="inlineStr">
        <is>
          <t>A 34708-2021</t>
        </is>
      </c>
      <c r="B427" s="1" t="n">
        <v>44382</v>
      </c>
      <c r="C427" s="1" t="n">
        <v>46188</v>
      </c>
      <c r="D427" t="inlineStr">
        <is>
          <t>DALARNAS LÄN</t>
        </is>
      </c>
      <c r="E427" t="inlineStr">
        <is>
          <t>ORSA</t>
        </is>
      </c>
      <c r="G427" t="n">
        <v>4.3</v>
      </c>
      <c r="H427" t="n">
        <v>0</v>
      </c>
      <c r="I427" t="n">
        <v>0</v>
      </c>
      <c r="J427" t="n">
        <v>0</v>
      </c>
      <c r="K427" t="n">
        <v>0</v>
      </c>
      <c r="L427" t="n">
        <v>0</v>
      </c>
      <c r="M427" t="n">
        <v>0</v>
      </c>
      <c r="N427" t="n">
        <v>0</v>
      </c>
      <c r="O427" t="n">
        <v>0</v>
      </c>
      <c r="P427" t="n">
        <v>0</v>
      </c>
      <c r="Q427" t="n">
        <v>0</v>
      </c>
      <c r="R427" s="2" t="inlineStr"/>
    </row>
    <row r="428" ht="15" customHeight="1">
      <c r="A428" t="inlineStr">
        <is>
          <t>A 18037-2023</t>
        </is>
      </c>
      <c r="B428" s="1" t="n">
        <v>45040</v>
      </c>
      <c r="C428" s="1" t="n">
        <v>46188</v>
      </c>
      <c r="D428" t="inlineStr">
        <is>
          <t>DALARNAS LÄN</t>
        </is>
      </c>
      <c r="E428" t="inlineStr">
        <is>
          <t>ORSA</t>
        </is>
      </c>
      <c r="G428" t="n">
        <v>6.6</v>
      </c>
      <c r="H428" t="n">
        <v>0</v>
      </c>
      <c r="I428" t="n">
        <v>0</v>
      </c>
      <c r="J428" t="n">
        <v>0</v>
      </c>
      <c r="K428" t="n">
        <v>0</v>
      </c>
      <c r="L428" t="n">
        <v>0</v>
      </c>
      <c r="M428" t="n">
        <v>0</v>
      </c>
      <c r="N428" t="n">
        <v>0</v>
      </c>
      <c r="O428" t="n">
        <v>0</v>
      </c>
      <c r="P428" t="n">
        <v>0</v>
      </c>
      <c r="Q428" t="n">
        <v>0</v>
      </c>
      <c r="R428" s="2" t="inlineStr"/>
    </row>
    <row r="429" ht="15" customHeight="1">
      <c r="A429" t="inlineStr">
        <is>
          <t>A 37445-2025</t>
        </is>
      </c>
      <c r="B429" s="1" t="n">
        <v>45877.54615740741</v>
      </c>
      <c r="C429" s="1" t="n">
        <v>46188</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52816-2024</t>
        </is>
      </c>
      <c r="B430" s="1" t="n">
        <v>45610.58322916667</v>
      </c>
      <c r="C430" s="1" t="n">
        <v>46188</v>
      </c>
      <c r="D430" t="inlineStr">
        <is>
          <t>DALARNAS LÄN</t>
        </is>
      </c>
      <c r="E430" t="inlineStr">
        <is>
          <t>ORSA</t>
        </is>
      </c>
      <c r="F430" t="inlineStr">
        <is>
          <t>Bergvik skog öst AB</t>
        </is>
      </c>
      <c r="G430" t="n">
        <v>2.2</v>
      </c>
      <c r="H430" t="n">
        <v>0</v>
      </c>
      <c r="I430" t="n">
        <v>0</v>
      </c>
      <c r="J430" t="n">
        <v>0</v>
      </c>
      <c r="K430" t="n">
        <v>0</v>
      </c>
      <c r="L430" t="n">
        <v>0</v>
      </c>
      <c r="M430" t="n">
        <v>0</v>
      </c>
      <c r="N430" t="n">
        <v>0</v>
      </c>
      <c r="O430" t="n">
        <v>0</v>
      </c>
      <c r="P430" t="n">
        <v>0</v>
      </c>
      <c r="Q430" t="n">
        <v>0</v>
      </c>
      <c r="R430" s="2" t="inlineStr"/>
    </row>
    <row r="431" ht="15" customHeight="1">
      <c r="A431" t="inlineStr">
        <is>
          <t>A 18013-2026</t>
        </is>
      </c>
      <c r="B431" s="1" t="n">
        <v>46125.34071759259</v>
      </c>
      <c r="C431" s="1" t="n">
        <v>46188</v>
      </c>
      <c r="D431" t="inlineStr">
        <is>
          <t>DALARNAS LÄN</t>
        </is>
      </c>
      <c r="E431" t="inlineStr">
        <is>
          <t>ORSA</t>
        </is>
      </c>
      <c r="F431" t="inlineStr">
        <is>
          <t>Allmännings- och besparingsskogar</t>
        </is>
      </c>
      <c r="G431" t="n">
        <v>2.7</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46188</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37906-2025</t>
        </is>
      </c>
      <c r="B433" s="1" t="n">
        <v>45881.56803240741</v>
      </c>
      <c r="C433" s="1" t="n">
        <v>46188</v>
      </c>
      <c r="D433" t="inlineStr">
        <is>
          <t>DALARNAS LÄN</t>
        </is>
      </c>
      <c r="E433" t="inlineStr">
        <is>
          <t>ORSA</t>
        </is>
      </c>
      <c r="G433" t="n">
        <v>1</v>
      </c>
      <c r="H433" t="n">
        <v>0</v>
      </c>
      <c r="I433" t="n">
        <v>0</v>
      </c>
      <c r="J433" t="n">
        <v>0</v>
      </c>
      <c r="K433" t="n">
        <v>0</v>
      </c>
      <c r="L433" t="n">
        <v>0</v>
      </c>
      <c r="M433" t="n">
        <v>0</v>
      </c>
      <c r="N433" t="n">
        <v>0</v>
      </c>
      <c r="O433" t="n">
        <v>0</v>
      </c>
      <c r="P433" t="n">
        <v>0</v>
      </c>
      <c r="Q433" t="n">
        <v>0</v>
      </c>
      <c r="R433" s="2" t="inlineStr"/>
    </row>
    <row r="434" ht="15" customHeight="1">
      <c r="A434" t="inlineStr">
        <is>
          <t>A 18348-2026</t>
        </is>
      </c>
      <c r="B434" s="1" t="n">
        <v>46126</v>
      </c>
      <c r="C434" s="1" t="n">
        <v>46188</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36569-2021</t>
        </is>
      </c>
      <c r="B435" s="1" t="n">
        <v>44391</v>
      </c>
      <c r="C435" s="1" t="n">
        <v>46188</v>
      </c>
      <c r="D435" t="inlineStr">
        <is>
          <t>DALARNAS LÄN</t>
        </is>
      </c>
      <c r="E435" t="inlineStr">
        <is>
          <t>ORSA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23940-2026</t>
        </is>
      </c>
      <c r="B436" s="1" t="n">
        <v>46167.55766203703</v>
      </c>
      <c r="C436" s="1" t="n">
        <v>46188</v>
      </c>
      <c r="D436" t="inlineStr">
        <is>
          <t>DALARNAS LÄN</t>
        </is>
      </c>
      <c r="E436" t="inlineStr">
        <is>
          <t>ORSA</t>
        </is>
      </c>
      <c r="F436" t="inlineStr">
        <is>
          <t>Bergvik skog öst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23981-2026</t>
        </is>
      </c>
      <c r="B437" s="1" t="n">
        <v>46167.59725694444</v>
      </c>
      <c r="C437" s="1" t="n">
        <v>46188</v>
      </c>
      <c r="D437" t="inlineStr">
        <is>
          <t>DALARNAS LÄN</t>
        </is>
      </c>
      <c r="E437" t="inlineStr">
        <is>
          <t>ORSA</t>
        </is>
      </c>
      <c r="F437" t="inlineStr">
        <is>
          <t>Bergvik skog öst AB</t>
        </is>
      </c>
      <c r="G437" t="n">
        <v>4.6</v>
      </c>
      <c r="H437" t="n">
        <v>0</v>
      </c>
      <c r="I437" t="n">
        <v>0</v>
      </c>
      <c r="J437" t="n">
        <v>0</v>
      </c>
      <c r="K437" t="n">
        <v>0</v>
      </c>
      <c r="L437" t="n">
        <v>0</v>
      </c>
      <c r="M437" t="n">
        <v>0</v>
      </c>
      <c r="N437" t="n">
        <v>0</v>
      </c>
      <c r="O437" t="n">
        <v>0</v>
      </c>
      <c r="P437" t="n">
        <v>0</v>
      </c>
      <c r="Q437" t="n">
        <v>0</v>
      </c>
      <c r="R437" s="2" t="inlineStr"/>
    </row>
    <row r="438" ht="15" customHeight="1">
      <c r="A438" t="inlineStr">
        <is>
          <t>A 23985-2026</t>
        </is>
      </c>
      <c r="B438" s="1" t="n">
        <v>46167.60168981482</v>
      </c>
      <c r="C438" s="1" t="n">
        <v>46188</v>
      </c>
      <c r="D438" t="inlineStr">
        <is>
          <t>DALARNAS LÄN</t>
        </is>
      </c>
      <c r="E438" t="inlineStr">
        <is>
          <t>ORSA</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23924-2026</t>
        </is>
      </c>
      <c r="B439" s="1" t="n">
        <v>46167.5275462963</v>
      </c>
      <c r="C439" s="1" t="n">
        <v>46188</v>
      </c>
      <c r="D439" t="inlineStr">
        <is>
          <t>DALARNAS LÄN</t>
        </is>
      </c>
      <c r="E439" t="inlineStr">
        <is>
          <t>ORSA</t>
        </is>
      </c>
      <c r="F439" t="inlineStr">
        <is>
          <t>Allmännings- och besparingsskogar</t>
        </is>
      </c>
      <c r="G439" t="n">
        <v>26.5</v>
      </c>
      <c r="H439" t="n">
        <v>0</v>
      </c>
      <c r="I439" t="n">
        <v>0</v>
      </c>
      <c r="J439" t="n">
        <v>0</v>
      </c>
      <c r="K439" t="n">
        <v>0</v>
      </c>
      <c r="L439" t="n">
        <v>0</v>
      </c>
      <c r="M439" t="n">
        <v>0</v>
      </c>
      <c r="N439" t="n">
        <v>0</v>
      </c>
      <c r="O439" t="n">
        <v>0</v>
      </c>
      <c r="P439" t="n">
        <v>0</v>
      </c>
      <c r="Q439" t="n">
        <v>0</v>
      </c>
      <c r="R439" s="2" t="inlineStr"/>
    </row>
    <row r="440" ht="15" customHeight="1">
      <c r="A440" t="inlineStr">
        <is>
          <t>A 18009-2023</t>
        </is>
      </c>
      <c r="B440" s="1" t="n">
        <v>45040.56190972222</v>
      </c>
      <c r="C440" s="1" t="n">
        <v>46188</v>
      </c>
      <c r="D440" t="inlineStr">
        <is>
          <t>DALARNAS LÄN</t>
        </is>
      </c>
      <c r="E440" t="inlineStr">
        <is>
          <t>ORSA</t>
        </is>
      </c>
      <c r="G440" t="n">
        <v>5.8</v>
      </c>
      <c r="H440" t="n">
        <v>0</v>
      </c>
      <c r="I440" t="n">
        <v>0</v>
      </c>
      <c r="J440" t="n">
        <v>0</v>
      </c>
      <c r="K440" t="n">
        <v>0</v>
      </c>
      <c r="L440" t="n">
        <v>0</v>
      </c>
      <c r="M440" t="n">
        <v>0</v>
      </c>
      <c r="N440" t="n">
        <v>0</v>
      </c>
      <c r="O440" t="n">
        <v>0</v>
      </c>
      <c r="P440" t="n">
        <v>0</v>
      </c>
      <c r="Q440" t="n">
        <v>0</v>
      </c>
      <c r="R440" s="2" t="inlineStr"/>
    </row>
    <row r="441" ht="15" customHeight="1">
      <c r="A441" t="inlineStr">
        <is>
          <t>A 5921-2025</t>
        </is>
      </c>
      <c r="B441" s="1" t="n">
        <v>45695</v>
      </c>
      <c r="C441" s="1" t="n">
        <v>46188</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41295-2021</t>
        </is>
      </c>
      <c r="B442" s="1" t="n">
        <v>44424</v>
      </c>
      <c r="C442" s="1" t="n">
        <v>46188</v>
      </c>
      <c r="D442" t="inlineStr">
        <is>
          <t>DALARNAS LÄN</t>
        </is>
      </c>
      <c r="E442" t="inlineStr">
        <is>
          <t>ORSA</t>
        </is>
      </c>
      <c r="G442" t="n">
        <v>3.1</v>
      </c>
      <c r="H442" t="n">
        <v>0</v>
      </c>
      <c r="I442" t="n">
        <v>0</v>
      </c>
      <c r="J442" t="n">
        <v>0</v>
      </c>
      <c r="K442" t="n">
        <v>0</v>
      </c>
      <c r="L442" t="n">
        <v>0</v>
      </c>
      <c r="M442" t="n">
        <v>0</v>
      </c>
      <c r="N442" t="n">
        <v>0</v>
      </c>
      <c r="O442" t="n">
        <v>0</v>
      </c>
      <c r="P442" t="n">
        <v>0</v>
      </c>
      <c r="Q442" t="n">
        <v>0</v>
      </c>
      <c r="R442" s="2" t="inlineStr"/>
    </row>
    <row r="443" ht="15" customHeight="1">
      <c r="A443" t="inlineStr">
        <is>
          <t>A 31031-2023</t>
        </is>
      </c>
      <c r="B443" s="1" t="n">
        <v>45113</v>
      </c>
      <c r="C443" s="1" t="n">
        <v>46188</v>
      </c>
      <c r="D443" t="inlineStr">
        <is>
          <t>DALARNAS LÄN</t>
        </is>
      </c>
      <c r="E443" t="inlineStr">
        <is>
          <t>ORSA</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42238-2023</t>
        </is>
      </c>
      <c r="B444" s="1" t="n">
        <v>45180.34207175926</v>
      </c>
      <c r="C444" s="1" t="n">
        <v>46188</v>
      </c>
      <c r="D444" t="inlineStr">
        <is>
          <t>DALARNAS LÄN</t>
        </is>
      </c>
      <c r="E444" t="inlineStr">
        <is>
          <t>ORSA</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10832-2022</t>
        </is>
      </c>
      <c r="B445" s="1" t="n">
        <v>44627</v>
      </c>
      <c r="C445" s="1" t="n">
        <v>46188</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36682-2024</t>
        </is>
      </c>
      <c r="B446" s="1" t="n">
        <v>45537.65519675926</v>
      </c>
      <c r="C446" s="1" t="n">
        <v>46188</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18694-2026</t>
        </is>
      </c>
      <c r="B447" s="1" t="n">
        <v>46128.40887731482</v>
      </c>
      <c r="C447" s="1" t="n">
        <v>46188</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24722-2026</t>
        </is>
      </c>
      <c r="B448" s="1" t="n">
        <v>46171.54648148148</v>
      </c>
      <c r="C448" s="1" t="n">
        <v>46188</v>
      </c>
      <c r="D448" t="inlineStr">
        <is>
          <t>DALARNAS LÄN</t>
        </is>
      </c>
      <c r="E448" t="inlineStr">
        <is>
          <t>ORSA</t>
        </is>
      </c>
      <c r="F448" t="inlineStr">
        <is>
          <t>Allmännings- och besparingsskogar</t>
        </is>
      </c>
      <c r="G448" t="n">
        <v>3.6</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46188</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16220-2026</t>
        </is>
      </c>
      <c r="B450" s="1" t="n">
        <v>46111</v>
      </c>
      <c r="C450" s="1" t="n">
        <v>46188</v>
      </c>
      <c r="D450" t="inlineStr">
        <is>
          <t>DALARNAS LÄN</t>
        </is>
      </c>
      <c r="E450" t="inlineStr">
        <is>
          <t>ORSA</t>
        </is>
      </c>
      <c r="F450" t="inlineStr">
        <is>
          <t>Bergvik skog öst AB</t>
        </is>
      </c>
      <c r="G450" t="n">
        <v>7.7</v>
      </c>
      <c r="H450" t="n">
        <v>0</v>
      </c>
      <c r="I450" t="n">
        <v>0</v>
      </c>
      <c r="J450" t="n">
        <v>0</v>
      </c>
      <c r="K450" t="n">
        <v>0</v>
      </c>
      <c r="L450" t="n">
        <v>0</v>
      </c>
      <c r="M450" t="n">
        <v>0</v>
      </c>
      <c r="N450" t="n">
        <v>0</v>
      </c>
      <c r="O450" t="n">
        <v>0</v>
      </c>
      <c r="P450" t="n">
        <v>0</v>
      </c>
      <c r="Q450" t="n">
        <v>0</v>
      </c>
      <c r="R450" s="2" t="inlineStr"/>
    </row>
    <row r="451" ht="15" customHeight="1">
      <c r="A451" t="inlineStr">
        <is>
          <t>A 24858-2026</t>
        </is>
      </c>
      <c r="B451" s="1" t="n">
        <v>46174.39219907407</v>
      </c>
      <c r="C451" s="1" t="n">
        <v>46188</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24994-2026</t>
        </is>
      </c>
      <c r="B452" s="1" t="n">
        <v>46174.60793981481</v>
      </c>
      <c r="C452" s="1" t="n">
        <v>46188</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38844-2025</t>
        </is>
      </c>
      <c r="B453" s="1" t="n">
        <v>45887.54075231482</v>
      </c>
      <c r="C453" s="1" t="n">
        <v>46188</v>
      </c>
      <c r="D453" t="inlineStr">
        <is>
          <t>DALARNAS LÄN</t>
        </is>
      </c>
      <c r="E453" t="inlineStr">
        <is>
          <t>ORSA</t>
        </is>
      </c>
      <c r="G453" t="n">
        <v>1.6</v>
      </c>
      <c r="H453" t="n">
        <v>0</v>
      </c>
      <c r="I453" t="n">
        <v>0</v>
      </c>
      <c r="J453" t="n">
        <v>0</v>
      </c>
      <c r="K453" t="n">
        <v>0</v>
      </c>
      <c r="L453" t="n">
        <v>0</v>
      </c>
      <c r="M453" t="n">
        <v>0</v>
      </c>
      <c r="N453" t="n">
        <v>0</v>
      </c>
      <c r="O453" t="n">
        <v>0</v>
      </c>
      <c r="P453" t="n">
        <v>0</v>
      </c>
      <c r="Q453" t="n">
        <v>0</v>
      </c>
      <c r="R453" s="2" t="inlineStr"/>
    </row>
    <row r="454" ht="15" customHeight="1">
      <c r="A454" t="inlineStr">
        <is>
          <t>A 19024-2026</t>
        </is>
      </c>
      <c r="B454" s="1" t="n">
        <v>46131.61427083334</v>
      </c>
      <c r="C454" s="1" t="n">
        <v>46188</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19089-2026</t>
        </is>
      </c>
      <c r="B455" s="1" t="n">
        <v>46132.40895833333</v>
      </c>
      <c r="C455" s="1" t="n">
        <v>46188</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1304-2024</t>
        </is>
      </c>
      <c r="B456" s="1" t="n">
        <v>45303</v>
      </c>
      <c r="C456" s="1" t="n">
        <v>46188</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8526-2026</t>
        </is>
      </c>
      <c r="B457" s="1" t="n">
        <v>46065</v>
      </c>
      <c r="C457" s="1" t="n">
        <v>46188</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24895-2026</t>
        </is>
      </c>
      <c r="B458" s="1" t="n">
        <v>46174.46524305556</v>
      </c>
      <c r="C458" s="1" t="n">
        <v>46188</v>
      </c>
      <c r="D458" t="inlineStr">
        <is>
          <t>DALARNAS LÄN</t>
        </is>
      </c>
      <c r="E458" t="inlineStr">
        <is>
          <t>ORSA</t>
        </is>
      </c>
      <c r="F458" t="inlineStr">
        <is>
          <t>Allmännings- och besparingsskogar</t>
        </is>
      </c>
      <c r="G458" t="n">
        <v>14.7</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46188</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46188</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19026-2026</t>
        </is>
      </c>
      <c r="B461" s="1" t="n">
        <v>46131.62427083333</v>
      </c>
      <c r="C461" s="1" t="n">
        <v>46188</v>
      </c>
      <c r="D461" t="inlineStr">
        <is>
          <t>DALARNAS LÄN</t>
        </is>
      </c>
      <c r="E461" t="inlineStr">
        <is>
          <t>ORSA</t>
        </is>
      </c>
      <c r="G461" t="n">
        <v>3.9</v>
      </c>
      <c r="H461" t="n">
        <v>0</v>
      </c>
      <c r="I461" t="n">
        <v>0</v>
      </c>
      <c r="J461" t="n">
        <v>0</v>
      </c>
      <c r="K461" t="n">
        <v>0</v>
      </c>
      <c r="L461" t="n">
        <v>0</v>
      </c>
      <c r="M461" t="n">
        <v>0</v>
      </c>
      <c r="N461" t="n">
        <v>0</v>
      </c>
      <c r="O461" t="n">
        <v>0</v>
      </c>
      <c r="P461" t="n">
        <v>0</v>
      </c>
      <c r="Q461" t="n">
        <v>0</v>
      </c>
      <c r="R461" s="2" t="inlineStr"/>
    </row>
    <row r="462" ht="15" customHeight="1">
      <c r="A462" t="inlineStr">
        <is>
          <t>A 19891-2026</t>
        </is>
      </c>
      <c r="B462" s="1" t="n">
        <v>46135.70008101852</v>
      </c>
      <c r="C462" s="1" t="n">
        <v>46188</v>
      </c>
      <c r="D462" t="inlineStr">
        <is>
          <t>DALARNAS LÄN</t>
        </is>
      </c>
      <c r="E462" t="inlineStr">
        <is>
          <t>ORSA</t>
        </is>
      </c>
      <c r="F462" t="inlineStr">
        <is>
          <t>Bergvik skog öst AB</t>
        </is>
      </c>
      <c r="G462" t="n">
        <v>10</v>
      </c>
      <c r="H462" t="n">
        <v>0</v>
      </c>
      <c r="I462" t="n">
        <v>0</v>
      </c>
      <c r="J462" t="n">
        <v>0</v>
      </c>
      <c r="K462" t="n">
        <v>0</v>
      </c>
      <c r="L462" t="n">
        <v>0</v>
      </c>
      <c r="M462" t="n">
        <v>0</v>
      </c>
      <c r="N462" t="n">
        <v>0</v>
      </c>
      <c r="O462" t="n">
        <v>0</v>
      </c>
      <c r="P462" t="n">
        <v>0</v>
      </c>
      <c r="Q462" t="n">
        <v>0</v>
      </c>
      <c r="R462" s="2" t="inlineStr"/>
    </row>
    <row r="463" ht="15" customHeight="1">
      <c r="A463" t="inlineStr">
        <is>
          <t>A 31026-2023</t>
        </is>
      </c>
      <c r="B463" s="1" t="n">
        <v>45113.5812962963</v>
      </c>
      <c r="C463" s="1" t="n">
        <v>46188</v>
      </c>
      <c r="D463" t="inlineStr">
        <is>
          <t>DALARNAS LÄN</t>
        </is>
      </c>
      <c r="E463" t="inlineStr">
        <is>
          <t>ORSA</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30458-2023</t>
        </is>
      </c>
      <c r="B464" s="1" t="n">
        <v>45111</v>
      </c>
      <c r="C464" s="1" t="n">
        <v>46188</v>
      </c>
      <c r="D464" t="inlineStr">
        <is>
          <t>DALARNAS LÄN</t>
        </is>
      </c>
      <c r="E464" t="inlineStr">
        <is>
          <t>ORSA</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14680-2023</t>
        </is>
      </c>
      <c r="B465" s="1" t="n">
        <v>45014.30054398148</v>
      </c>
      <c r="C465" s="1" t="n">
        <v>46188</v>
      </c>
      <c r="D465" t="inlineStr">
        <is>
          <t>DALARNAS LÄN</t>
        </is>
      </c>
      <c r="E465" t="inlineStr">
        <is>
          <t>ORSA</t>
        </is>
      </c>
      <c r="G465" t="n">
        <v>4.2</v>
      </c>
      <c r="H465" t="n">
        <v>0</v>
      </c>
      <c r="I465" t="n">
        <v>0</v>
      </c>
      <c r="J465" t="n">
        <v>0</v>
      </c>
      <c r="K465" t="n">
        <v>0</v>
      </c>
      <c r="L465" t="n">
        <v>0</v>
      </c>
      <c r="M465" t="n">
        <v>0</v>
      </c>
      <c r="N465" t="n">
        <v>0</v>
      </c>
      <c r="O465" t="n">
        <v>0</v>
      </c>
      <c r="P465" t="n">
        <v>0</v>
      </c>
      <c r="Q465" t="n">
        <v>0</v>
      </c>
      <c r="R465" s="2" t="inlineStr"/>
    </row>
    <row r="466" ht="15" customHeight="1">
      <c r="A466" t="inlineStr">
        <is>
          <t>A 4738-2025</t>
        </is>
      </c>
      <c r="B466" s="1" t="n">
        <v>45688</v>
      </c>
      <c r="C466" s="1" t="n">
        <v>46188</v>
      </c>
      <c r="D466" t="inlineStr">
        <is>
          <t>DALARNAS LÄN</t>
        </is>
      </c>
      <c r="E466" t="inlineStr">
        <is>
          <t>ORSA</t>
        </is>
      </c>
      <c r="G466" t="n">
        <v>3.7</v>
      </c>
      <c r="H466" t="n">
        <v>0</v>
      </c>
      <c r="I466" t="n">
        <v>0</v>
      </c>
      <c r="J466" t="n">
        <v>0</v>
      </c>
      <c r="K466" t="n">
        <v>0</v>
      </c>
      <c r="L466" t="n">
        <v>0</v>
      </c>
      <c r="M466" t="n">
        <v>0</v>
      </c>
      <c r="N466" t="n">
        <v>0</v>
      </c>
      <c r="O466" t="n">
        <v>0</v>
      </c>
      <c r="P466" t="n">
        <v>0</v>
      </c>
      <c r="Q466" t="n">
        <v>0</v>
      </c>
      <c r="R466" s="2" t="inlineStr"/>
    </row>
    <row r="467" ht="15" customHeight="1">
      <c r="A467" t="inlineStr">
        <is>
          <t>A 2948-2025</t>
        </is>
      </c>
      <c r="B467" s="1" t="n">
        <v>45678.42868055555</v>
      </c>
      <c r="C467" s="1" t="n">
        <v>46188</v>
      </c>
      <c r="D467" t="inlineStr">
        <is>
          <t>DALARNAS LÄN</t>
        </is>
      </c>
      <c r="E467" t="inlineStr">
        <is>
          <t>ORSA</t>
        </is>
      </c>
      <c r="G467" t="n">
        <v>2</v>
      </c>
      <c r="H467" t="n">
        <v>0</v>
      </c>
      <c r="I467" t="n">
        <v>0</v>
      </c>
      <c r="J467" t="n">
        <v>0</v>
      </c>
      <c r="K467" t="n">
        <v>0</v>
      </c>
      <c r="L467" t="n">
        <v>0</v>
      </c>
      <c r="M467" t="n">
        <v>0</v>
      </c>
      <c r="N467" t="n">
        <v>0</v>
      </c>
      <c r="O467" t="n">
        <v>0</v>
      </c>
      <c r="P467" t="n">
        <v>0</v>
      </c>
      <c r="Q467" t="n">
        <v>0</v>
      </c>
      <c r="R467" s="2" t="inlineStr"/>
    </row>
    <row r="468" ht="15" customHeight="1">
      <c r="A468" t="inlineStr">
        <is>
          <t>A 25576-2026</t>
        </is>
      </c>
      <c r="B468" s="1" t="n">
        <v>46177.62800925926</v>
      </c>
      <c r="C468" s="1" t="n">
        <v>46188</v>
      </c>
      <c r="D468" t="inlineStr">
        <is>
          <t>DALARNAS LÄN</t>
        </is>
      </c>
      <c r="E468" t="inlineStr">
        <is>
          <t>ORSA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16224-2026</t>
        </is>
      </c>
      <c r="B469" s="1" t="n">
        <v>46111.4474537037</v>
      </c>
      <c r="C469" s="1" t="n">
        <v>46188</v>
      </c>
      <c r="D469" t="inlineStr">
        <is>
          <t>DALARNAS LÄN</t>
        </is>
      </c>
      <c r="E469" t="inlineStr">
        <is>
          <t>ORSA</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37931-2023</t>
        </is>
      </c>
      <c r="B470" s="1" t="n">
        <v>45160.51721064815</v>
      </c>
      <c r="C470" s="1" t="n">
        <v>46188</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9116-2026</t>
        </is>
      </c>
      <c r="B471" s="1" t="n">
        <v>46069</v>
      </c>
      <c r="C471" s="1" t="n">
        <v>46188</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61698-2022</t>
        </is>
      </c>
      <c r="B472" s="1" t="n">
        <v>44917.40038194445</v>
      </c>
      <c r="C472" s="1" t="n">
        <v>46188</v>
      </c>
      <c r="D472" t="inlineStr">
        <is>
          <t>DALARNAS LÄN</t>
        </is>
      </c>
      <c r="E472" t="inlineStr">
        <is>
          <t>ORSA</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22497-2026</t>
        </is>
      </c>
      <c r="B473" s="1" t="n">
        <v>46154</v>
      </c>
      <c r="C473" s="1" t="n">
        <v>46188</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7775-2026</t>
        </is>
      </c>
      <c r="B474" s="1" t="n">
        <v>46062</v>
      </c>
      <c r="C474" s="1" t="n">
        <v>46188</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1967-2026</t>
        </is>
      </c>
      <c r="B475" s="1" t="n">
        <v>46035.63864583334</v>
      </c>
      <c r="C475" s="1" t="n">
        <v>46188</v>
      </c>
      <c r="D475" t="inlineStr">
        <is>
          <t>DALARNAS LÄN</t>
        </is>
      </c>
      <c r="E475" t="inlineStr">
        <is>
          <t>ORSA</t>
        </is>
      </c>
      <c r="G475" t="n">
        <v>6.3</v>
      </c>
      <c r="H475" t="n">
        <v>0</v>
      </c>
      <c r="I475" t="n">
        <v>0</v>
      </c>
      <c r="J475" t="n">
        <v>0</v>
      </c>
      <c r="K475" t="n">
        <v>0</v>
      </c>
      <c r="L475" t="n">
        <v>0</v>
      </c>
      <c r="M475" t="n">
        <v>0</v>
      </c>
      <c r="N475" t="n">
        <v>0</v>
      </c>
      <c r="O475" t="n">
        <v>0</v>
      </c>
      <c r="P475" t="n">
        <v>0</v>
      </c>
      <c r="Q475" t="n">
        <v>0</v>
      </c>
      <c r="R475" s="2" t="inlineStr"/>
    </row>
    <row r="476" ht="15" customHeight="1">
      <c r="A476" t="inlineStr">
        <is>
          <t>A 12704-2022</t>
        </is>
      </c>
      <c r="B476" s="1" t="n">
        <v>44641</v>
      </c>
      <c r="C476" s="1" t="n">
        <v>46188</v>
      </c>
      <c r="D476" t="inlineStr">
        <is>
          <t>DALARNAS LÄN</t>
        </is>
      </c>
      <c r="E476" t="inlineStr">
        <is>
          <t>ORSA</t>
        </is>
      </c>
      <c r="G476" t="n">
        <v>2.4</v>
      </c>
      <c r="H476" t="n">
        <v>0</v>
      </c>
      <c r="I476" t="n">
        <v>0</v>
      </c>
      <c r="J476" t="n">
        <v>0</v>
      </c>
      <c r="K476" t="n">
        <v>0</v>
      </c>
      <c r="L476" t="n">
        <v>0</v>
      </c>
      <c r="M476" t="n">
        <v>0</v>
      </c>
      <c r="N476" t="n">
        <v>0</v>
      </c>
      <c r="O476" t="n">
        <v>0</v>
      </c>
      <c r="P476" t="n">
        <v>0</v>
      </c>
      <c r="Q476" t="n">
        <v>0</v>
      </c>
      <c r="R476" s="2" t="inlineStr"/>
    </row>
    <row r="477" ht="15" customHeight="1">
      <c r="A477" t="inlineStr">
        <is>
          <t>A 38611-2022</t>
        </is>
      </c>
      <c r="B477" s="1" t="n">
        <v>44813.60177083333</v>
      </c>
      <c r="C477" s="1" t="n">
        <v>46188</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8807-2026</t>
        </is>
      </c>
      <c r="B478" s="1" t="n">
        <v>46066</v>
      </c>
      <c r="C478" s="1" t="n">
        <v>46188</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612-2025</t>
        </is>
      </c>
      <c r="B479" s="1" t="n">
        <v>45660</v>
      </c>
      <c r="C479" s="1" t="n">
        <v>46188</v>
      </c>
      <c r="D479" t="inlineStr">
        <is>
          <t>DALARNAS LÄN</t>
        </is>
      </c>
      <c r="E479" t="inlineStr">
        <is>
          <t>ORSA</t>
        </is>
      </c>
      <c r="F479" t="inlineStr">
        <is>
          <t>Allmännings- och besparingsskogar</t>
        </is>
      </c>
      <c r="G479" t="n">
        <v>0.8</v>
      </c>
      <c r="H479" t="n">
        <v>0</v>
      </c>
      <c r="I479" t="n">
        <v>0</v>
      </c>
      <c r="J479" t="n">
        <v>0</v>
      </c>
      <c r="K479" t="n">
        <v>0</v>
      </c>
      <c r="L479" t="n">
        <v>0</v>
      </c>
      <c r="M479" t="n">
        <v>0</v>
      </c>
      <c r="N479" t="n">
        <v>0</v>
      </c>
      <c r="O479" t="n">
        <v>0</v>
      </c>
      <c r="P479" t="n">
        <v>0</v>
      </c>
      <c r="Q479" t="n">
        <v>0</v>
      </c>
      <c r="R479" s="2" t="inlineStr"/>
    </row>
    <row r="480" ht="15" customHeight="1">
      <c r="A480" t="inlineStr">
        <is>
          <t>A 25712-2026</t>
        </is>
      </c>
      <c r="B480" s="1" t="n">
        <v>46178.37490740741</v>
      </c>
      <c r="C480" s="1" t="n">
        <v>46188</v>
      </c>
      <c r="D480" t="inlineStr">
        <is>
          <t>DALARNAS LÄN</t>
        </is>
      </c>
      <c r="E480" t="inlineStr">
        <is>
          <t>ORSA</t>
        </is>
      </c>
      <c r="F480" t="inlineStr">
        <is>
          <t>Allmännings- och besparingsskogar</t>
        </is>
      </c>
      <c r="G480" t="n">
        <v>4</v>
      </c>
      <c r="H480" t="n">
        <v>0</v>
      </c>
      <c r="I480" t="n">
        <v>0</v>
      </c>
      <c r="J480" t="n">
        <v>0</v>
      </c>
      <c r="K480" t="n">
        <v>0</v>
      </c>
      <c r="L480" t="n">
        <v>0</v>
      </c>
      <c r="M480" t="n">
        <v>0</v>
      </c>
      <c r="N480" t="n">
        <v>0</v>
      </c>
      <c r="O480" t="n">
        <v>0</v>
      </c>
      <c r="P480" t="n">
        <v>0</v>
      </c>
      <c r="Q480" t="n">
        <v>0</v>
      </c>
      <c r="R480" s="2" t="inlineStr"/>
    </row>
    <row r="481" ht="15" customHeight="1">
      <c r="A481" t="inlineStr">
        <is>
          <t>A 21335-2025</t>
        </is>
      </c>
      <c r="B481" s="1" t="n">
        <v>45782.37519675926</v>
      </c>
      <c r="C481" s="1" t="n">
        <v>46188</v>
      </c>
      <c r="D481" t="inlineStr">
        <is>
          <t>DALARNAS LÄN</t>
        </is>
      </c>
      <c r="E481" t="inlineStr">
        <is>
          <t>ORSA</t>
        </is>
      </c>
      <c r="F481" t="inlineStr">
        <is>
          <t>Bergvik skog väst AB</t>
        </is>
      </c>
      <c r="G481" t="n">
        <v>14.3</v>
      </c>
      <c r="H481" t="n">
        <v>0</v>
      </c>
      <c r="I481" t="n">
        <v>0</v>
      </c>
      <c r="J481" t="n">
        <v>0</v>
      </c>
      <c r="K481" t="n">
        <v>0</v>
      </c>
      <c r="L481" t="n">
        <v>0</v>
      </c>
      <c r="M481" t="n">
        <v>0</v>
      </c>
      <c r="N481" t="n">
        <v>0</v>
      </c>
      <c r="O481" t="n">
        <v>0</v>
      </c>
      <c r="P481" t="n">
        <v>0</v>
      </c>
      <c r="Q481" t="n">
        <v>0</v>
      </c>
      <c r="R481" s="2" t="inlineStr"/>
    </row>
    <row r="482" ht="15" customHeight="1">
      <c r="A482" t="inlineStr">
        <is>
          <t>A 20589-2025</t>
        </is>
      </c>
      <c r="B482" s="1" t="n">
        <v>45775</v>
      </c>
      <c r="C482" s="1" t="n">
        <v>46188</v>
      </c>
      <c r="D482" t="inlineStr">
        <is>
          <t>DALARNAS LÄN</t>
        </is>
      </c>
      <c r="E482" t="inlineStr">
        <is>
          <t>ORSA</t>
        </is>
      </c>
      <c r="G482" t="n">
        <v>2</v>
      </c>
      <c r="H482" t="n">
        <v>0</v>
      </c>
      <c r="I482" t="n">
        <v>0</v>
      </c>
      <c r="J482" t="n">
        <v>0</v>
      </c>
      <c r="K482" t="n">
        <v>0</v>
      </c>
      <c r="L482" t="n">
        <v>0</v>
      </c>
      <c r="M482" t="n">
        <v>0</v>
      </c>
      <c r="N482" t="n">
        <v>0</v>
      </c>
      <c r="O482" t="n">
        <v>0</v>
      </c>
      <c r="P482" t="n">
        <v>0</v>
      </c>
      <c r="Q482" t="n">
        <v>0</v>
      </c>
      <c r="R482" s="2" t="inlineStr"/>
    </row>
    <row r="483" ht="15" customHeight="1">
      <c r="A483" t="inlineStr">
        <is>
          <t>A 59411-2024</t>
        </is>
      </c>
      <c r="B483" s="1" t="n">
        <v>45638.39675925926</v>
      </c>
      <c r="C483" s="1" t="n">
        <v>46188</v>
      </c>
      <c r="D483" t="inlineStr">
        <is>
          <t>DALARNAS LÄN</t>
        </is>
      </c>
      <c r="E483" t="inlineStr">
        <is>
          <t>ORSA</t>
        </is>
      </c>
      <c r="G483" t="n">
        <v>1.4</v>
      </c>
      <c r="H483" t="n">
        <v>0</v>
      </c>
      <c r="I483" t="n">
        <v>0</v>
      </c>
      <c r="J483" t="n">
        <v>0</v>
      </c>
      <c r="K483" t="n">
        <v>0</v>
      </c>
      <c r="L483" t="n">
        <v>0</v>
      </c>
      <c r="M483" t="n">
        <v>0</v>
      </c>
      <c r="N483" t="n">
        <v>0</v>
      </c>
      <c r="O483" t="n">
        <v>0</v>
      </c>
      <c r="P483" t="n">
        <v>0</v>
      </c>
      <c r="Q483" t="n">
        <v>0</v>
      </c>
      <c r="R483" s="2" t="inlineStr"/>
    </row>
    <row r="484" ht="15" customHeight="1">
      <c r="A484" t="inlineStr">
        <is>
          <t>A 59414-2024</t>
        </is>
      </c>
      <c r="B484" s="1" t="n">
        <v>45638.39965277778</v>
      </c>
      <c r="C484" s="1" t="n">
        <v>46188</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48516-2024</t>
        </is>
      </c>
      <c r="B485" s="1" t="n">
        <v>45593.31292824074</v>
      </c>
      <c r="C485" s="1" t="n">
        <v>46188</v>
      </c>
      <c r="D485" t="inlineStr">
        <is>
          <t>DALARNAS LÄN</t>
        </is>
      </c>
      <c r="E485" t="inlineStr">
        <is>
          <t>ORSA</t>
        </is>
      </c>
      <c r="G485" t="n">
        <v>3.3</v>
      </c>
      <c r="H485" t="n">
        <v>0</v>
      </c>
      <c r="I485" t="n">
        <v>0</v>
      </c>
      <c r="J485" t="n">
        <v>0</v>
      </c>
      <c r="K485" t="n">
        <v>0</v>
      </c>
      <c r="L485" t="n">
        <v>0</v>
      </c>
      <c r="M485" t="n">
        <v>0</v>
      </c>
      <c r="N485" t="n">
        <v>0</v>
      </c>
      <c r="O485" t="n">
        <v>0</v>
      </c>
      <c r="P485" t="n">
        <v>0</v>
      </c>
      <c r="Q485" t="n">
        <v>0</v>
      </c>
      <c r="R485" s="2" t="inlineStr"/>
    </row>
    <row r="486" ht="15" customHeight="1">
      <c r="A486" t="inlineStr">
        <is>
          <t>A 4202-2025</t>
        </is>
      </c>
      <c r="B486" s="1" t="n">
        <v>45685.46236111111</v>
      </c>
      <c r="C486" s="1" t="n">
        <v>46188</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4204-2025</t>
        </is>
      </c>
      <c r="B487" s="1" t="n">
        <v>45685.46390046296</v>
      </c>
      <c r="C487" s="1" t="n">
        <v>46188</v>
      </c>
      <c r="D487" t="inlineStr">
        <is>
          <t>DALARNAS LÄN</t>
        </is>
      </c>
      <c r="E487" t="inlineStr">
        <is>
          <t>ORSA</t>
        </is>
      </c>
      <c r="G487" t="n">
        <v>1.8</v>
      </c>
      <c r="H487" t="n">
        <v>0</v>
      </c>
      <c r="I487" t="n">
        <v>0</v>
      </c>
      <c r="J487" t="n">
        <v>0</v>
      </c>
      <c r="K487" t="n">
        <v>0</v>
      </c>
      <c r="L487" t="n">
        <v>0</v>
      </c>
      <c r="M487" t="n">
        <v>0</v>
      </c>
      <c r="N487" t="n">
        <v>0</v>
      </c>
      <c r="O487" t="n">
        <v>0</v>
      </c>
      <c r="P487" t="n">
        <v>0</v>
      </c>
      <c r="Q487" t="n">
        <v>0</v>
      </c>
      <c r="R487" s="2" t="inlineStr"/>
    </row>
    <row r="488" ht="15" customHeight="1">
      <c r="A488" t="inlineStr">
        <is>
          <t>A 20254-2026</t>
        </is>
      </c>
      <c r="B488" s="1" t="n">
        <v>46139.48541666667</v>
      </c>
      <c r="C488" s="1" t="n">
        <v>46188</v>
      </c>
      <c r="D488" t="inlineStr">
        <is>
          <t>DALARNAS LÄN</t>
        </is>
      </c>
      <c r="E488" t="inlineStr">
        <is>
          <t>ORSA</t>
        </is>
      </c>
      <c r="F488" t="inlineStr">
        <is>
          <t>Bergvik skog öst AB</t>
        </is>
      </c>
      <c r="G488" t="n">
        <v>18.5</v>
      </c>
      <c r="H488" t="n">
        <v>0</v>
      </c>
      <c r="I488" t="n">
        <v>0</v>
      </c>
      <c r="J488" t="n">
        <v>0</v>
      </c>
      <c r="K488" t="n">
        <v>0</v>
      </c>
      <c r="L488" t="n">
        <v>0</v>
      </c>
      <c r="M488" t="n">
        <v>0</v>
      </c>
      <c r="N488" t="n">
        <v>0</v>
      </c>
      <c r="O488" t="n">
        <v>0</v>
      </c>
      <c r="P488" t="n">
        <v>0</v>
      </c>
      <c r="Q488" t="n">
        <v>0</v>
      </c>
      <c r="R488" s="2" t="inlineStr"/>
    </row>
    <row r="489" ht="15" customHeight="1">
      <c r="A489" t="inlineStr">
        <is>
          <t>A 55538-2023</t>
        </is>
      </c>
      <c r="B489" s="1" t="n">
        <v>45238.5996875</v>
      </c>
      <c r="C489" s="1" t="n">
        <v>46188</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61034-2024</t>
        </is>
      </c>
      <c r="B490" s="1" t="n">
        <v>45645.46608796297</v>
      </c>
      <c r="C490" s="1" t="n">
        <v>46188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33209-2025</t>
        </is>
      </c>
      <c r="B491" s="1" t="n">
        <v>45840.62648148148</v>
      </c>
      <c r="C491" s="1" t="n">
        <v>46188</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20165-2026</t>
        </is>
      </c>
      <c r="B492" s="1" t="n">
        <v>46139.31881944444</v>
      </c>
      <c r="C492" s="1" t="n">
        <v>46188</v>
      </c>
      <c r="D492" t="inlineStr">
        <is>
          <t>DALARNAS LÄN</t>
        </is>
      </c>
      <c r="E492" t="inlineStr">
        <is>
          <t>ORSA</t>
        </is>
      </c>
      <c r="F492" t="inlineStr">
        <is>
          <t>Bergvik skog öst AB</t>
        </is>
      </c>
      <c r="G492" t="n">
        <v>10.3</v>
      </c>
      <c r="H492" t="n">
        <v>0</v>
      </c>
      <c r="I492" t="n">
        <v>0</v>
      </c>
      <c r="J492" t="n">
        <v>0</v>
      </c>
      <c r="K492" t="n">
        <v>0</v>
      </c>
      <c r="L492" t="n">
        <v>0</v>
      </c>
      <c r="M492" t="n">
        <v>0</v>
      </c>
      <c r="N492" t="n">
        <v>0</v>
      </c>
      <c r="O492" t="n">
        <v>0</v>
      </c>
      <c r="P492" t="n">
        <v>0</v>
      </c>
      <c r="Q492" t="n">
        <v>0</v>
      </c>
      <c r="R492" s="2" t="inlineStr"/>
    </row>
    <row r="493" ht="15" customHeight="1">
      <c r="A493" t="inlineStr">
        <is>
          <t>A 35939-2025</t>
        </is>
      </c>
      <c r="B493" s="1" t="n">
        <v>45862.64581018518</v>
      </c>
      <c r="C493" s="1" t="n">
        <v>46188</v>
      </c>
      <c r="D493" t="inlineStr">
        <is>
          <t>DALARNAS LÄN</t>
        </is>
      </c>
      <c r="E493" t="inlineStr">
        <is>
          <t>ORSA</t>
        </is>
      </c>
      <c r="G493" t="n">
        <v>5.6</v>
      </c>
      <c r="H493" t="n">
        <v>0</v>
      </c>
      <c r="I493" t="n">
        <v>0</v>
      </c>
      <c r="J493" t="n">
        <v>0</v>
      </c>
      <c r="K493" t="n">
        <v>0</v>
      </c>
      <c r="L493" t="n">
        <v>0</v>
      </c>
      <c r="M493" t="n">
        <v>0</v>
      </c>
      <c r="N493" t="n">
        <v>0</v>
      </c>
      <c r="O493" t="n">
        <v>0</v>
      </c>
      <c r="P493" t="n">
        <v>0</v>
      </c>
      <c r="Q493" t="n">
        <v>0</v>
      </c>
      <c r="R493" s="2" t="inlineStr"/>
    </row>
    <row r="494" ht="15" customHeight="1">
      <c r="A494" t="inlineStr">
        <is>
          <t>A 19108-2025</t>
        </is>
      </c>
      <c r="B494" s="1" t="n">
        <v>45768</v>
      </c>
      <c r="C494" s="1" t="n">
        <v>46188</v>
      </c>
      <c r="D494" t="inlineStr">
        <is>
          <t>DALARNAS LÄN</t>
        </is>
      </c>
      <c r="E494" t="inlineStr">
        <is>
          <t>ORSA</t>
        </is>
      </c>
      <c r="F494" t="inlineStr">
        <is>
          <t>Bergvik skog väst AB</t>
        </is>
      </c>
      <c r="G494" t="n">
        <v>14.3</v>
      </c>
      <c r="H494" t="n">
        <v>0</v>
      </c>
      <c r="I494" t="n">
        <v>0</v>
      </c>
      <c r="J494" t="n">
        <v>0</v>
      </c>
      <c r="K494" t="n">
        <v>0</v>
      </c>
      <c r="L494" t="n">
        <v>0</v>
      </c>
      <c r="M494" t="n">
        <v>0</v>
      </c>
      <c r="N494" t="n">
        <v>0</v>
      </c>
      <c r="O494" t="n">
        <v>0</v>
      </c>
      <c r="P494" t="n">
        <v>0</v>
      </c>
      <c r="Q494" t="n">
        <v>0</v>
      </c>
      <c r="R494" s="2" t="inlineStr"/>
    </row>
    <row r="495" ht="15" customHeight="1">
      <c r="A495" t="inlineStr">
        <is>
          <t>A 20588-2025</t>
        </is>
      </c>
      <c r="B495" s="1" t="n">
        <v>45775</v>
      </c>
      <c r="C495" s="1" t="n">
        <v>46188</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12800-2026</t>
        </is>
      </c>
      <c r="B496" s="1" t="n">
        <v>46092</v>
      </c>
      <c r="C496" s="1" t="n">
        <v>46188</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5045-2026</t>
        </is>
      </c>
      <c r="B497" s="1" t="n">
        <v>46049</v>
      </c>
      <c r="C497" s="1" t="n">
        <v>46188</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4040-2026</t>
        </is>
      </c>
      <c r="B498" s="1" t="n">
        <v>46044</v>
      </c>
      <c r="C498" s="1" t="n">
        <v>46188</v>
      </c>
      <c r="D498" t="inlineStr">
        <is>
          <t>DALARNAS LÄN</t>
        </is>
      </c>
      <c r="E498" t="inlineStr">
        <is>
          <t>ORSA</t>
        </is>
      </c>
      <c r="G498" t="n">
        <v>4.3</v>
      </c>
      <c r="H498" t="n">
        <v>0</v>
      </c>
      <c r="I498" t="n">
        <v>0</v>
      </c>
      <c r="J498" t="n">
        <v>0</v>
      </c>
      <c r="K498" t="n">
        <v>0</v>
      </c>
      <c r="L498" t="n">
        <v>0</v>
      </c>
      <c r="M498" t="n">
        <v>0</v>
      </c>
      <c r="N498" t="n">
        <v>0</v>
      </c>
      <c r="O498" t="n">
        <v>0</v>
      </c>
      <c r="P498" t="n">
        <v>0</v>
      </c>
      <c r="Q498" t="n">
        <v>0</v>
      </c>
      <c r="R498" s="2" t="inlineStr"/>
    </row>
    <row r="499" ht="15" customHeight="1">
      <c r="A499" t="inlineStr">
        <is>
          <t>A 37981-2024</t>
        </is>
      </c>
      <c r="B499" s="1" t="n">
        <v>45544</v>
      </c>
      <c r="C499" s="1" t="n">
        <v>46188</v>
      </c>
      <c r="D499" t="inlineStr">
        <is>
          <t>DALARNAS LÄN</t>
        </is>
      </c>
      <c r="E499" t="inlineStr">
        <is>
          <t>ORSA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597-2024</t>
        </is>
      </c>
      <c r="B500" s="1" t="n">
        <v>45299.63410879629</v>
      </c>
      <c r="C500" s="1" t="n">
        <v>46188</v>
      </c>
      <c r="D500" t="inlineStr">
        <is>
          <t>DALARNAS LÄN</t>
        </is>
      </c>
      <c r="E500" t="inlineStr">
        <is>
          <t>ORSA</t>
        </is>
      </c>
      <c r="G500" t="n">
        <v>4.4</v>
      </c>
      <c r="H500" t="n">
        <v>0</v>
      </c>
      <c r="I500" t="n">
        <v>0</v>
      </c>
      <c r="J500" t="n">
        <v>0</v>
      </c>
      <c r="K500" t="n">
        <v>0</v>
      </c>
      <c r="L500" t="n">
        <v>0</v>
      </c>
      <c r="M500" t="n">
        <v>0</v>
      </c>
      <c r="N500" t="n">
        <v>0</v>
      </c>
      <c r="O500" t="n">
        <v>0</v>
      </c>
      <c r="P500" t="n">
        <v>0</v>
      </c>
      <c r="Q500" t="n">
        <v>0</v>
      </c>
      <c r="R500" s="2" t="inlineStr"/>
    </row>
    <row r="501" ht="15" customHeight="1">
      <c r="A501" t="inlineStr">
        <is>
          <t>A 24235-2025</t>
        </is>
      </c>
      <c r="B501" s="1" t="n">
        <v>45797.38252314815</v>
      </c>
      <c r="C501" s="1" t="n">
        <v>46188</v>
      </c>
      <c r="D501" t="inlineStr">
        <is>
          <t>DALARNAS LÄN</t>
        </is>
      </c>
      <c r="E501" t="inlineStr">
        <is>
          <t>ORSA</t>
        </is>
      </c>
      <c r="G501" t="n">
        <v>3.1</v>
      </c>
      <c r="H501" t="n">
        <v>0</v>
      </c>
      <c r="I501" t="n">
        <v>0</v>
      </c>
      <c r="J501" t="n">
        <v>0</v>
      </c>
      <c r="K501" t="n">
        <v>0</v>
      </c>
      <c r="L501" t="n">
        <v>0</v>
      </c>
      <c r="M501" t="n">
        <v>0</v>
      </c>
      <c r="N501" t="n">
        <v>0</v>
      </c>
      <c r="O501" t="n">
        <v>0</v>
      </c>
      <c r="P501" t="n">
        <v>0</v>
      </c>
      <c r="Q501" t="n">
        <v>0</v>
      </c>
      <c r="R501" s="2" t="inlineStr"/>
    </row>
    <row r="502" ht="15" customHeight="1">
      <c r="A502" t="inlineStr">
        <is>
          <t>A 34744-2025</t>
        </is>
      </c>
      <c r="B502" s="1" t="n">
        <v>45848.6125</v>
      </c>
      <c r="C502" s="1" t="n">
        <v>46188</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20615-2026</t>
        </is>
      </c>
      <c r="B503" s="1" t="n">
        <v>46140</v>
      </c>
      <c r="C503" s="1" t="n">
        <v>46188</v>
      </c>
      <c r="D503" t="inlineStr">
        <is>
          <t>DALARNAS LÄN</t>
        </is>
      </c>
      <c r="E503" t="inlineStr">
        <is>
          <t>ORSA</t>
        </is>
      </c>
      <c r="G503" t="n">
        <v>1.1</v>
      </c>
      <c r="H503" t="n">
        <v>0</v>
      </c>
      <c r="I503" t="n">
        <v>0</v>
      </c>
      <c r="J503" t="n">
        <v>0</v>
      </c>
      <c r="K503" t="n">
        <v>0</v>
      </c>
      <c r="L503" t="n">
        <v>0</v>
      </c>
      <c r="M503" t="n">
        <v>0</v>
      </c>
      <c r="N503" t="n">
        <v>0</v>
      </c>
      <c r="O503" t="n">
        <v>0</v>
      </c>
      <c r="P503" t="n">
        <v>0</v>
      </c>
      <c r="Q503" t="n">
        <v>0</v>
      </c>
      <c r="R503" s="2" t="inlineStr"/>
    </row>
    <row r="504" ht="15" customHeight="1">
      <c r="A504" t="inlineStr">
        <is>
          <t>A 41971-2025</t>
        </is>
      </c>
      <c r="B504" s="1" t="n">
        <v>45903.48930555556</v>
      </c>
      <c r="C504" s="1" t="n">
        <v>46188</v>
      </c>
      <c r="D504" t="inlineStr">
        <is>
          <t>DALARNAS LÄN</t>
        </is>
      </c>
      <c r="E504" t="inlineStr">
        <is>
          <t>ORSA</t>
        </is>
      </c>
      <c r="G504" t="n">
        <v>15.8</v>
      </c>
      <c r="H504" t="n">
        <v>0</v>
      </c>
      <c r="I504" t="n">
        <v>0</v>
      </c>
      <c r="J504" t="n">
        <v>0</v>
      </c>
      <c r="K504" t="n">
        <v>0</v>
      </c>
      <c r="L504" t="n">
        <v>0</v>
      </c>
      <c r="M504" t="n">
        <v>0</v>
      </c>
      <c r="N504" t="n">
        <v>0</v>
      </c>
      <c r="O504" t="n">
        <v>0</v>
      </c>
      <c r="P504" t="n">
        <v>0</v>
      </c>
      <c r="Q504" t="n">
        <v>0</v>
      </c>
      <c r="R504" s="2" t="inlineStr"/>
    </row>
    <row r="505" ht="15" customHeight="1">
      <c r="A505" t="inlineStr">
        <is>
          <t>A 51915-2022</t>
        </is>
      </c>
      <c r="B505" s="1" t="n">
        <v>44872.62795138889</v>
      </c>
      <c r="C505" s="1" t="n">
        <v>46188</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986-2025</t>
        </is>
      </c>
      <c r="B506" s="1" t="n">
        <v>45666.42952546296</v>
      </c>
      <c r="C506" s="1" t="n">
        <v>46188</v>
      </c>
      <c r="D506" t="inlineStr">
        <is>
          <t>DALARNAS LÄN</t>
        </is>
      </c>
      <c r="E506" t="inlineStr">
        <is>
          <t>ORSA</t>
        </is>
      </c>
      <c r="G506" t="n">
        <v>5.7</v>
      </c>
      <c r="H506" t="n">
        <v>0</v>
      </c>
      <c r="I506" t="n">
        <v>0</v>
      </c>
      <c r="J506" t="n">
        <v>0</v>
      </c>
      <c r="K506" t="n">
        <v>0</v>
      </c>
      <c r="L506" t="n">
        <v>0</v>
      </c>
      <c r="M506" t="n">
        <v>0</v>
      </c>
      <c r="N506" t="n">
        <v>0</v>
      </c>
      <c r="O506" t="n">
        <v>0</v>
      </c>
      <c r="P506" t="n">
        <v>0</v>
      </c>
      <c r="Q506" t="n">
        <v>0</v>
      </c>
      <c r="R506" s="2" t="inlineStr"/>
    </row>
    <row r="507" ht="15" customHeight="1">
      <c r="A507" t="inlineStr">
        <is>
          <t>A 3226-2026</t>
        </is>
      </c>
      <c r="B507" s="1" t="n">
        <v>46041.54016203704</v>
      </c>
      <c r="C507" s="1" t="n">
        <v>46188</v>
      </c>
      <c r="D507" t="inlineStr">
        <is>
          <t>DALARNAS LÄN</t>
        </is>
      </c>
      <c r="E507" t="inlineStr">
        <is>
          <t>ORSA</t>
        </is>
      </c>
      <c r="G507" t="n">
        <v>1.8</v>
      </c>
      <c r="H507" t="n">
        <v>0</v>
      </c>
      <c r="I507" t="n">
        <v>0</v>
      </c>
      <c r="J507" t="n">
        <v>0</v>
      </c>
      <c r="K507" t="n">
        <v>0</v>
      </c>
      <c r="L507" t="n">
        <v>0</v>
      </c>
      <c r="M507" t="n">
        <v>0</v>
      </c>
      <c r="N507" t="n">
        <v>0</v>
      </c>
      <c r="O507" t="n">
        <v>0</v>
      </c>
      <c r="P507" t="n">
        <v>0</v>
      </c>
      <c r="Q507" t="n">
        <v>0</v>
      </c>
      <c r="R507" s="2" t="inlineStr"/>
    </row>
    <row r="508" ht="15" customHeight="1">
      <c r="A508" t="inlineStr">
        <is>
          <t>A 42513-2024</t>
        </is>
      </c>
      <c r="B508" s="1" t="n">
        <v>45565.53810185185</v>
      </c>
      <c r="C508" s="1" t="n">
        <v>46188</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42517-2024</t>
        </is>
      </c>
      <c r="B509" s="1" t="n">
        <v>45565.54078703704</v>
      </c>
      <c r="C509" s="1" t="n">
        <v>46188</v>
      </c>
      <c r="D509" t="inlineStr">
        <is>
          <t>DALARNAS LÄN</t>
        </is>
      </c>
      <c r="E509" t="inlineStr">
        <is>
          <t>ORSA</t>
        </is>
      </c>
      <c r="G509" t="n">
        <v>3</v>
      </c>
      <c r="H509" t="n">
        <v>0</v>
      </c>
      <c r="I509" t="n">
        <v>0</v>
      </c>
      <c r="J509" t="n">
        <v>0</v>
      </c>
      <c r="K509" t="n">
        <v>0</v>
      </c>
      <c r="L509" t="n">
        <v>0</v>
      </c>
      <c r="M509" t="n">
        <v>0</v>
      </c>
      <c r="N509" t="n">
        <v>0</v>
      </c>
      <c r="O509" t="n">
        <v>0</v>
      </c>
      <c r="P509" t="n">
        <v>0</v>
      </c>
      <c r="Q509" t="n">
        <v>0</v>
      </c>
      <c r="R509" s="2" t="inlineStr"/>
    </row>
    <row r="510" ht="15" customHeight="1">
      <c r="A510" t="inlineStr">
        <is>
          <t>A 57685-2021</t>
        </is>
      </c>
      <c r="B510" s="1" t="n">
        <v>44484.46385416666</v>
      </c>
      <c r="C510" s="1" t="n">
        <v>46188</v>
      </c>
      <c r="D510" t="inlineStr">
        <is>
          <t>DALARNAS LÄN</t>
        </is>
      </c>
      <c r="E510" t="inlineStr">
        <is>
          <t>ORSA</t>
        </is>
      </c>
      <c r="G510" t="n">
        <v>4.1</v>
      </c>
      <c r="H510" t="n">
        <v>0</v>
      </c>
      <c r="I510" t="n">
        <v>0</v>
      </c>
      <c r="J510" t="n">
        <v>0</v>
      </c>
      <c r="K510" t="n">
        <v>0</v>
      </c>
      <c r="L510" t="n">
        <v>0</v>
      </c>
      <c r="M510" t="n">
        <v>0</v>
      </c>
      <c r="N510" t="n">
        <v>0</v>
      </c>
      <c r="O510" t="n">
        <v>0</v>
      </c>
      <c r="P510" t="n">
        <v>0</v>
      </c>
      <c r="Q510" t="n">
        <v>0</v>
      </c>
      <c r="R510" s="2" t="inlineStr"/>
    </row>
    <row r="511" ht="15" customHeight="1">
      <c r="A511" t="inlineStr">
        <is>
          <t>A 33488-2024</t>
        </is>
      </c>
      <c r="B511" s="1" t="n">
        <v>45519.61466435185</v>
      </c>
      <c r="C511" s="1" t="n">
        <v>46188</v>
      </c>
      <c r="D511" t="inlineStr">
        <is>
          <t>DALARNAS LÄN</t>
        </is>
      </c>
      <c r="E511" t="inlineStr">
        <is>
          <t>ORSA</t>
        </is>
      </c>
      <c r="F511" t="inlineStr">
        <is>
          <t>Övriga statliga verk och myndigheter</t>
        </is>
      </c>
      <c r="G511" t="n">
        <v>0.5</v>
      </c>
      <c r="H511" t="n">
        <v>0</v>
      </c>
      <c r="I511" t="n">
        <v>0</v>
      </c>
      <c r="J511" t="n">
        <v>0</v>
      </c>
      <c r="K511" t="n">
        <v>0</v>
      </c>
      <c r="L511" t="n">
        <v>0</v>
      </c>
      <c r="M511" t="n">
        <v>0</v>
      </c>
      <c r="N511" t="n">
        <v>0</v>
      </c>
      <c r="O511" t="n">
        <v>0</v>
      </c>
      <c r="P511" t="n">
        <v>0</v>
      </c>
      <c r="Q511" t="n">
        <v>0</v>
      </c>
      <c r="R511" s="2" t="inlineStr"/>
    </row>
    <row r="512" ht="15" customHeight="1">
      <c r="A512" t="inlineStr">
        <is>
          <t>A 5435-2025</t>
        </is>
      </c>
      <c r="B512" s="1" t="n">
        <v>45692</v>
      </c>
      <c r="C512" s="1" t="n">
        <v>46188</v>
      </c>
      <c r="D512" t="inlineStr">
        <is>
          <t>DALARNAS LÄN</t>
        </is>
      </c>
      <c r="E512" t="inlineStr">
        <is>
          <t>ORSA</t>
        </is>
      </c>
      <c r="G512" t="n">
        <v>7.8</v>
      </c>
      <c r="H512" t="n">
        <v>0</v>
      </c>
      <c r="I512" t="n">
        <v>0</v>
      </c>
      <c r="J512" t="n">
        <v>0</v>
      </c>
      <c r="K512" t="n">
        <v>0</v>
      </c>
      <c r="L512" t="n">
        <v>0</v>
      </c>
      <c r="M512" t="n">
        <v>0</v>
      </c>
      <c r="N512" t="n">
        <v>0</v>
      </c>
      <c r="O512" t="n">
        <v>0</v>
      </c>
      <c r="P512" t="n">
        <v>0</v>
      </c>
      <c r="Q512" t="n">
        <v>0</v>
      </c>
      <c r="R512" s="2" t="inlineStr"/>
    </row>
    <row r="513" ht="15" customHeight="1">
      <c r="A513" t="inlineStr">
        <is>
          <t>A 17848-2025</t>
        </is>
      </c>
      <c r="B513" s="1" t="n">
        <v>45758.59981481481</v>
      </c>
      <c r="C513" s="1" t="n">
        <v>46188</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57055-2025</t>
        </is>
      </c>
      <c r="B514" s="1" t="n">
        <v>45979.36299768519</v>
      </c>
      <c r="C514" s="1" t="n">
        <v>46188</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26201-2026</t>
        </is>
      </c>
      <c r="B515" s="1" t="n">
        <v>46182.38954861111</v>
      </c>
      <c r="C515" s="1" t="n">
        <v>46188</v>
      </c>
      <c r="D515" t="inlineStr">
        <is>
          <t>DALARNAS LÄN</t>
        </is>
      </c>
      <c r="E515" t="inlineStr">
        <is>
          <t>ORSA</t>
        </is>
      </c>
      <c r="G515" t="n">
        <v>3.4</v>
      </c>
      <c r="H515" t="n">
        <v>0</v>
      </c>
      <c r="I515" t="n">
        <v>0</v>
      </c>
      <c r="J515" t="n">
        <v>0</v>
      </c>
      <c r="K515" t="n">
        <v>0</v>
      </c>
      <c r="L515" t="n">
        <v>0</v>
      </c>
      <c r="M515" t="n">
        <v>0</v>
      </c>
      <c r="N515" t="n">
        <v>0</v>
      </c>
      <c r="O515" t="n">
        <v>0</v>
      </c>
      <c r="P515" t="n">
        <v>0</v>
      </c>
      <c r="Q515" t="n">
        <v>0</v>
      </c>
      <c r="R515" s="2" t="inlineStr"/>
    </row>
    <row r="516" ht="15" customHeight="1">
      <c r="A516" t="inlineStr">
        <is>
          <t>A 37897-2025</t>
        </is>
      </c>
      <c r="B516" s="1" t="n">
        <v>45881.55274305555</v>
      </c>
      <c r="C516" s="1" t="n">
        <v>46188</v>
      </c>
      <c r="D516" t="inlineStr">
        <is>
          <t>DALARNAS LÄN</t>
        </is>
      </c>
      <c r="E516" t="inlineStr">
        <is>
          <t>ORSA</t>
        </is>
      </c>
      <c r="G516" t="n">
        <v>1.9</v>
      </c>
      <c r="H516" t="n">
        <v>0</v>
      </c>
      <c r="I516" t="n">
        <v>0</v>
      </c>
      <c r="J516" t="n">
        <v>0</v>
      </c>
      <c r="K516" t="n">
        <v>0</v>
      </c>
      <c r="L516" t="n">
        <v>0</v>
      </c>
      <c r="M516" t="n">
        <v>0</v>
      </c>
      <c r="N516" t="n">
        <v>0</v>
      </c>
      <c r="O516" t="n">
        <v>0</v>
      </c>
      <c r="P516" t="n">
        <v>0</v>
      </c>
      <c r="Q516" t="n">
        <v>0</v>
      </c>
      <c r="R516" s="2" t="inlineStr"/>
    </row>
    <row r="517" ht="15" customHeight="1">
      <c r="A517" t="inlineStr">
        <is>
          <t>A 47564-2023</t>
        </is>
      </c>
      <c r="B517" s="1" t="n">
        <v>45203.40004629629</v>
      </c>
      <c r="C517" s="1" t="n">
        <v>46188</v>
      </c>
      <c r="D517" t="inlineStr">
        <is>
          <t>DALARNAS LÄN</t>
        </is>
      </c>
      <c r="E517" t="inlineStr">
        <is>
          <t>ORSA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14814-2026</t>
        </is>
      </c>
      <c r="B518" s="1" t="n">
        <v>46104</v>
      </c>
      <c r="C518" s="1" t="n">
        <v>46188</v>
      </c>
      <c r="D518" t="inlineStr">
        <is>
          <t>DALARNAS LÄN</t>
        </is>
      </c>
      <c r="E518" t="inlineStr">
        <is>
          <t>ORSA</t>
        </is>
      </c>
      <c r="G518" t="n">
        <v>14.2</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46188</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33945-2022</t>
        </is>
      </c>
      <c r="B520" s="1" t="n">
        <v>44790.66212962963</v>
      </c>
      <c r="C520" s="1" t="n">
        <v>46188</v>
      </c>
      <c r="D520" t="inlineStr">
        <is>
          <t>DALARNAS LÄN</t>
        </is>
      </c>
      <c r="E520" t="inlineStr">
        <is>
          <t>ORSA</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21216-2023</t>
        </is>
      </c>
      <c r="B521" s="1" t="n">
        <v>45062</v>
      </c>
      <c r="C521" s="1" t="n">
        <v>46188</v>
      </c>
      <c r="D521" t="inlineStr">
        <is>
          <t>DALARNAS LÄN</t>
        </is>
      </c>
      <c r="E521" t="inlineStr">
        <is>
          <t>ORSA</t>
        </is>
      </c>
      <c r="F521" t="inlineStr">
        <is>
          <t>Bergvik skog öst AB</t>
        </is>
      </c>
      <c r="G521" t="n">
        <v>3.8</v>
      </c>
      <c r="H521" t="n">
        <v>0</v>
      </c>
      <c r="I521" t="n">
        <v>0</v>
      </c>
      <c r="J521" t="n">
        <v>0</v>
      </c>
      <c r="K521" t="n">
        <v>0</v>
      </c>
      <c r="L521" t="n">
        <v>0</v>
      </c>
      <c r="M521" t="n">
        <v>0</v>
      </c>
      <c r="N521" t="n">
        <v>0</v>
      </c>
      <c r="O521" t="n">
        <v>0</v>
      </c>
      <c r="P521" t="n">
        <v>0</v>
      </c>
      <c r="Q521" t="n">
        <v>0</v>
      </c>
      <c r="R521" s="2" t="inlineStr"/>
    </row>
    <row r="522" ht="15" customHeight="1">
      <c r="A522" t="inlineStr">
        <is>
          <t>A 30382-2023</t>
        </is>
      </c>
      <c r="B522" s="1" t="n">
        <v>45111</v>
      </c>
      <c r="C522" s="1" t="n">
        <v>46188</v>
      </c>
      <c r="D522" t="inlineStr">
        <is>
          <t>DALARNAS LÄN</t>
        </is>
      </c>
      <c r="E522" t="inlineStr">
        <is>
          <t>ORSA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37852-2024</t>
        </is>
      </c>
      <c r="B523" s="1" t="n">
        <v>45544.3786574074</v>
      </c>
      <c r="C523" s="1" t="n">
        <v>46188</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53717-2024</t>
        </is>
      </c>
      <c r="B524" s="1" t="n">
        <v>45615.43141203704</v>
      </c>
      <c r="C524" s="1" t="n">
        <v>46188</v>
      </c>
      <c r="D524" t="inlineStr">
        <is>
          <t>DALARNAS LÄN</t>
        </is>
      </c>
      <c r="E524" t="inlineStr">
        <is>
          <t>ORSA</t>
        </is>
      </c>
      <c r="G524" t="n">
        <v>1.5</v>
      </c>
      <c r="H524" t="n">
        <v>0</v>
      </c>
      <c r="I524" t="n">
        <v>0</v>
      </c>
      <c r="J524" t="n">
        <v>0</v>
      </c>
      <c r="K524" t="n">
        <v>0</v>
      </c>
      <c r="L524" t="n">
        <v>0</v>
      </c>
      <c r="M524" t="n">
        <v>0</v>
      </c>
      <c r="N524" t="n">
        <v>0</v>
      </c>
      <c r="O524" t="n">
        <v>0</v>
      </c>
      <c r="P524" t="n">
        <v>0</v>
      </c>
      <c r="Q524" t="n">
        <v>0</v>
      </c>
      <c r="R524" s="2" t="inlineStr"/>
    </row>
    <row r="525" ht="15" customHeight="1">
      <c r="A525" t="inlineStr">
        <is>
          <t>A 31688-2024</t>
        </is>
      </c>
      <c r="B525" s="1" t="n">
        <v>45507.46103009259</v>
      </c>
      <c r="C525" s="1" t="n">
        <v>46188</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56706-2021</t>
        </is>
      </c>
      <c r="B526" s="1" t="n">
        <v>44481.4037962963</v>
      </c>
      <c r="C526" s="1" t="n">
        <v>46188</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50999-2021</t>
        </is>
      </c>
      <c r="B527" s="1" t="n">
        <v>44460.85565972222</v>
      </c>
      <c r="C527" s="1" t="n">
        <v>46188</v>
      </c>
      <c r="D527" t="inlineStr">
        <is>
          <t>DALARNAS LÄN</t>
        </is>
      </c>
      <c r="E527" t="inlineStr">
        <is>
          <t>ORSA</t>
        </is>
      </c>
      <c r="G527" t="n">
        <v>3</v>
      </c>
      <c r="H527" t="n">
        <v>0</v>
      </c>
      <c r="I527" t="n">
        <v>0</v>
      </c>
      <c r="J527" t="n">
        <v>0</v>
      </c>
      <c r="K527" t="n">
        <v>0</v>
      </c>
      <c r="L527" t="n">
        <v>0</v>
      </c>
      <c r="M527" t="n">
        <v>0</v>
      </c>
      <c r="N527" t="n">
        <v>0</v>
      </c>
      <c r="O527" t="n">
        <v>0</v>
      </c>
      <c r="P527" t="n">
        <v>0</v>
      </c>
      <c r="Q527" t="n">
        <v>0</v>
      </c>
      <c r="R527" s="2" t="inlineStr"/>
    </row>
    <row r="528" ht="15" customHeight="1">
      <c r="A528" t="inlineStr">
        <is>
          <t>A 28082-2023</t>
        </is>
      </c>
      <c r="B528" s="1" t="n">
        <v>45099</v>
      </c>
      <c r="C528" s="1" t="n">
        <v>46188</v>
      </c>
      <c r="D528" t="inlineStr">
        <is>
          <t>DALARNAS LÄN</t>
        </is>
      </c>
      <c r="E528" t="inlineStr">
        <is>
          <t>ORSA</t>
        </is>
      </c>
      <c r="G528" t="n">
        <v>0.4</v>
      </c>
      <c r="H528" t="n">
        <v>0</v>
      </c>
      <c r="I528" t="n">
        <v>0</v>
      </c>
      <c r="J528" t="n">
        <v>0</v>
      </c>
      <c r="K528" t="n">
        <v>0</v>
      </c>
      <c r="L528" t="n">
        <v>0</v>
      </c>
      <c r="M528" t="n">
        <v>0</v>
      </c>
      <c r="N528" t="n">
        <v>0</v>
      </c>
      <c r="O528" t="n">
        <v>0</v>
      </c>
      <c r="P528" t="n">
        <v>0</v>
      </c>
      <c r="Q528" t="n">
        <v>0</v>
      </c>
      <c r="R528" s="2" t="inlineStr"/>
    </row>
    <row r="529" ht="15" customHeight="1">
      <c r="A529" t="inlineStr">
        <is>
          <t>A 4553-2025</t>
        </is>
      </c>
      <c r="B529" s="1" t="n">
        <v>45687.42143518518</v>
      </c>
      <c r="C529" s="1" t="n">
        <v>46188</v>
      </c>
      <c r="D529" t="inlineStr">
        <is>
          <t>DALARNAS LÄN</t>
        </is>
      </c>
      <c r="E529" t="inlineStr">
        <is>
          <t>ORSA</t>
        </is>
      </c>
      <c r="G529" t="n">
        <v>1.3</v>
      </c>
      <c r="H529" t="n">
        <v>0</v>
      </c>
      <c r="I529" t="n">
        <v>0</v>
      </c>
      <c r="J529" t="n">
        <v>0</v>
      </c>
      <c r="K529" t="n">
        <v>0</v>
      </c>
      <c r="L529" t="n">
        <v>0</v>
      </c>
      <c r="M529" t="n">
        <v>0</v>
      </c>
      <c r="N529" t="n">
        <v>0</v>
      </c>
      <c r="O529" t="n">
        <v>0</v>
      </c>
      <c r="P529" t="n">
        <v>0</v>
      </c>
      <c r="Q529" t="n">
        <v>0</v>
      </c>
      <c r="R529" s="2" t="inlineStr"/>
    </row>
    <row r="530" ht="15" customHeight="1">
      <c r="A530" t="inlineStr">
        <is>
          <t>A 51567-2023</t>
        </is>
      </c>
      <c r="B530" s="1" t="n">
        <v>45222.44800925926</v>
      </c>
      <c r="C530" s="1" t="n">
        <v>46188</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29485-2022</t>
        </is>
      </c>
      <c r="B531" s="1" t="n">
        <v>44753</v>
      </c>
      <c r="C531" s="1" t="n">
        <v>46188</v>
      </c>
      <c r="D531" t="inlineStr">
        <is>
          <t>DALARNAS LÄN</t>
        </is>
      </c>
      <c r="E531" t="inlineStr">
        <is>
          <t>ORSA</t>
        </is>
      </c>
      <c r="G531" t="n">
        <v>1.2</v>
      </c>
      <c r="H531" t="n">
        <v>0</v>
      </c>
      <c r="I531" t="n">
        <v>0</v>
      </c>
      <c r="J531" t="n">
        <v>0</v>
      </c>
      <c r="K531" t="n">
        <v>0</v>
      </c>
      <c r="L531" t="n">
        <v>0</v>
      </c>
      <c r="M531" t="n">
        <v>0</v>
      </c>
      <c r="N531" t="n">
        <v>0</v>
      </c>
      <c r="O531" t="n">
        <v>0</v>
      </c>
      <c r="P531" t="n">
        <v>0</v>
      </c>
      <c r="Q531" t="n">
        <v>0</v>
      </c>
      <c r="R531" s="2" t="inlineStr"/>
    </row>
    <row r="532" ht="15" customHeight="1">
      <c r="A532" t="inlineStr">
        <is>
          <t>A 23461-2023</t>
        </is>
      </c>
      <c r="B532" s="1" t="n">
        <v>45076</v>
      </c>
      <c r="C532" s="1" t="n">
        <v>46188</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30290-2024</t>
        </is>
      </c>
      <c r="B533" s="1" t="n">
        <v>45490.64681712963</v>
      </c>
      <c r="C533" s="1" t="n">
        <v>46188</v>
      </c>
      <c r="D533" t="inlineStr">
        <is>
          <t>DALARNAS LÄN</t>
        </is>
      </c>
      <c r="E533" t="inlineStr">
        <is>
          <t>ORSA</t>
        </is>
      </c>
      <c r="F533" t="inlineStr">
        <is>
          <t>Bergvik skog öst AB</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37836-2024</t>
        </is>
      </c>
      <c r="B534" s="1" t="n">
        <v>45544.35747685185</v>
      </c>
      <c r="C534" s="1" t="n">
        <v>46188</v>
      </c>
      <c r="D534" t="inlineStr">
        <is>
          <t>DALARNAS LÄN</t>
        </is>
      </c>
      <c r="E534" t="inlineStr">
        <is>
          <t>ORSA</t>
        </is>
      </c>
      <c r="G534" t="n">
        <v>2.3</v>
      </c>
      <c r="H534" t="n">
        <v>0</v>
      </c>
      <c r="I534" t="n">
        <v>0</v>
      </c>
      <c r="J534" t="n">
        <v>0</v>
      </c>
      <c r="K534" t="n">
        <v>0</v>
      </c>
      <c r="L534" t="n">
        <v>0</v>
      </c>
      <c r="M534" t="n">
        <v>0</v>
      </c>
      <c r="N534" t="n">
        <v>0</v>
      </c>
      <c r="O534" t="n">
        <v>0</v>
      </c>
      <c r="P534" t="n">
        <v>0</v>
      </c>
      <c r="Q534" t="n">
        <v>0</v>
      </c>
      <c r="R534" s="2" t="inlineStr"/>
    </row>
    <row r="535" ht="15" customHeight="1">
      <c r="A535" t="inlineStr">
        <is>
          <t>A 34374-2024</t>
        </is>
      </c>
      <c r="B535" s="1" t="n">
        <v>45525.40091435185</v>
      </c>
      <c r="C535" s="1" t="n">
        <v>46188</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54546-2024</t>
        </is>
      </c>
      <c r="B536" s="1" t="n">
        <v>45617.61476851852</v>
      </c>
      <c r="C536" s="1" t="n">
        <v>46188</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55534-2023</t>
        </is>
      </c>
      <c r="B537" s="1" t="n">
        <v>45238</v>
      </c>
      <c r="C537" s="1" t="n">
        <v>46188</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10261-2022</t>
        </is>
      </c>
      <c r="B538" s="1" t="n">
        <v>44622.6445949074</v>
      </c>
      <c r="C538" s="1" t="n">
        <v>46188</v>
      </c>
      <c r="D538" t="inlineStr">
        <is>
          <t>DALARNAS LÄN</t>
        </is>
      </c>
      <c r="E538" t="inlineStr">
        <is>
          <t>ORSA</t>
        </is>
      </c>
      <c r="G538" t="n">
        <v>3.1</v>
      </c>
      <c r="H538" t="n">
        <v>0</v>
      </c>
      <c r="I538" t="n">
        <v>0</v>
      </c>
      <c r="J538" t="n">
        <v>0</v>
      </c>
      <c r="K538" t="n">
        <v>0</v>
      </c>
      <c r="L538" t="n">
        <v>0</v>
      </c>
      <c r="M538" t="n">
        <v>0</v>
      </c>
      <c r="N538" t="n">
        <v>0</v>
      </c>
      <c r="O538" t="n">
        <v>0</v>
      </c>
      <c r="P538" t="n">
        <v>0</v>
      </c>
      <c r="Q538" t="n">
        <v>0</v>
      </c>
      <c r="R538" s="2" t="inlineStr"/>
    </row>
    <row r="539" ht="15" customHeight="1">
      <c r="A539" t="inlineStr">
        <is>
          <t>A 55338-2022</t>
        </is>
      </c>
      <c r="B539" s="1" t="n">
        <v>44887.45185185185</v>
      </c>
      <c r="C539" s="1" t="n">
        <v>46188</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49814-2023</t>
        </is>
      </c>
      <c r="B540" s="1" t="n">
        <v>45212.67149305555</v>
      </c>
      <c r="C540" s="1" t="n">
        <v>46188</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25591-2022</t>
        </is>
      </c>
      <c r="B541" s="1" t="n">
        <v>44732.67958333333</v>
      </c>
      <c r="C541" s="1" t="n">
        <v>46188</v>
      </c>
      <c r="D541" t="inlineStr">
        <is>
          <t>DALARNAS LÄN</t>
        </is>
      </c>
      <c r="E541" t="inlineStr">
        <is>
          <t>ORSA</t>
        </is>
      </c>
      <c r="G541" t="n">
        <v>6</v>
      </c>
      <c r="H541" t="n">
        <v>0</v>
      </c>
      <c r="I541" t="n">
        <v>0</v>
      </c>
      <c r="J541" t="n">
        <v>0</v>
      </c>
      <c r="K541" t="n">
        <v>0</v>
      </c>
      <c r="L541" t="n">
        <v>0</v>
      </c>
      <c r="M541" t="n">
        <v>0</v>
      </c>
      <c r="N541" t="n">
        <v>0</v>
      </c>
      <c r="O541" t="n">
        <v>0</v>
      </c>
      <c r="P541" t="n">
        <v>0</v>
      </c>
      <c r="Q541" t="n">
        <v>0</v>
      </c>
      <c r="R541" s="2" t="inlineStr"/>
    </row>
    <row r="542" ht="15" customHeight="1">
      <c r="A542" t="inlineStr">
        <is>
          <t>A 60189-2022</t>
        </is>
      </c>
      <c r="B542" s="1" t="n">
        <v>44910.36798611111</v>
      </c>
      <c r="C542" s="1" t="n">
        <v>46188</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52925-2024</t>
        </is>
      </c>
      <c r="B543" s="1" t="n">
        <v>45610.73276620371</v>
      </c>
      <c r="C543" s="1" t="n">
        <v>46188</v>
      </c>
      <c r="D543" t="inlineStr">
        <is>
          <t>DALARNAS LÄN</t>
        </is>
      </c>
      <c r="E543" t="inlineStr">
        <is>
          <t>ORSA</t>
        </is>
      </c>
      <c r="F543" t="inlineStr">
        <is>
          <t>Allmännings- och besparingsskogar</t>
        </is>
      </c>
      <c r="G543" t="n">
        <v>2.5</v>
      </c>
      <c r="H543" t="n">
        <v>0</v>
      </c>
      <c r="I543" t="n">
        <v>0</v>
      </c>
      <c r="J543" t="n">
        <v>0</v>
      </c>
      <c r="K543" t="n">
        <v>0</v>
      </c>
      <c r="L543" t="n">
        <v>0</v>
      </c>
      <c r="M543" t="n">
        <v>0</v>
      </c>
      <c r="N543" t="n">
        <v>0</v>
      </c>
      <c r="O543" t="n">
        <v>0</v>
      </c>
      <c r="P543" t="n">
        <v>0</v>
      </c>
      <c r="Q543" t="n">
        <v>0</v>
      </c>
      <c r="R543" s="2" t="inlineStr"/>
    </row>
    <row r="544" ht="15" customHeight="1">
      <c r="A544" t="inlineStr">
        <is>
          <t>A 6476-2025</t>
        </is>
      </c>
      <c r="B544" s="1" t="n">
        <v>45699</v>
      </c>
      <c r="C544" s="1" t="n">
        <v>46188</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6479-2025</t>
        </is>
      </c>
      <c r="B545" s="1" t="n">
        <v>45699</v>
      </c>
      <c r="C545" s="1" t="n">
        <v>46188</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56807-2024</t>
        </is>
      </c>
      <c r="B546" s="1" t="n">
        <v>45628.47519675926</v>
      </c>
      <c r="C546" s="1" t="n">
        <v>46188</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52643-2024</t>
        </is>
      </c>
      <c r="B547" s="1" t="n">
        <v>45610.34175925926</v>
      </c>
      <c r="C547" s="1" t="n">
        <v>46188</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47732-2021</t>
        </is>
      </c>
      <c r="B548" s="1" t="n">
        <v>44448.52815972222</v>
      </c>
      <c r="C548" s="1" t="n">
        <v>46188</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46188</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46188</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46188</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46188</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48521-2024</t>
        </is>
      </c>
      <c r="B553" s="1" t="n">
        <v>45593.32871527778</v>
      </c>
      <c r="C553" s="1" t="n">
        <v>46188</v>
      </c>
      <c r="D553" t="inlineStr">
        <is>
          <t>DALARNAS LÄN</t>
        </is>
      </c>
      <c r="E553" t="inlineStr">
        <is>
          <t>ORSA</t>
        </is>
      </c>
      <c r="G553" t="n">
        <v>1.6</v>
      </c>
      <c r="H553" t="n">
        <v>0</v>
      </c>
      <c r="I553" t="n">
        <v>0</v>
      </c>
      <c r="J553" t="n">
        <v>0</v>
      </c>
      <c r="K553" t="n">
        <v>0</v>
      </c>
      <c r="L553" t="n">
        <v>0</v>
      </c>
      <c r="M553" t="n">
        <v>0</v>
      </c>
      <c r="N553" t="n">
        <v>0</v>
      </c>
      <c r="O553" t="n">
        <v>0</v>
      </c>
      <c r="P553" t="n">
        <v>0</v>
      </c>
      <c r="Q553" t="n">
        <v>0</v>
      </c>
      <c r="R553" s="2" t="inlineStr"/>
    </row>
    <row r="554" ht="15" customHeight="1">
      <c r="A554" t="inlineStr">
        <is>
          <t>A 41832-2024</t>
        </is>
      </c>
      <c r="B554" s="1" t="n">
        <v>45561.40730324074</v>
      </c>
      <c r="C554" s="1" t="n">
        <v>46188</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53758-2024</t>
        </is>
      </c>
      <c r="B555" s="1" t="n">
        <v>45615.50483796297</v>
      </c>
      <c r="C555" s="1" t="n">
        <v>46188</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27163-2023</t>
        </is>
      </c>
      <c r="B556" s="1" t="n">
        <v>45096.4878125</v>
      </c>
      <c r="C556" s="1" t="n">
        <v>46188</v>
      </c>
      <c r="D556" t="inlineStr">
        <is>
          <t>DALARNAS LÄN</t>
        </is>
      </c>
      <c r="E556" t="inlineStr">
        <is>
          <t>ORSA</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22022-2022</t>
        </is>
      </c>
      <c r="B557" s="1" t="n">
        <v>44711.60145833333</v>
      </c>
      <c r="C557" s="1" t="n">
        <v>46188</v>
      </c>
      <c r="D557" t="inlineStr">
        <is>
          <t>DALARNAS LÄN</t>
        </is>
      </c>
      <c r="E557" t="inlineStr">
        <is>
          <t>ORSA</t>
        </is>
      </c>
      <c r="F557" t="inlineStr">
        <is>
          <t>Bergvik skog öst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56810-2024</t>
        </is>
      </c>
      <c r="B558" s="1" t="n">
        <v>45628</v>
      </c>
      <c r="C558" s="1" t="n">
        <v>46188</v>
      </c>
      <c r="D558" t="inlineStr">
        <is>
          <t>DALARNAS LÄN</t>
        </is>
      </c>
      <c r="E558" t="inlineStr">
        <is>
          <t>ORSA</t>
        </is>
      </c>
      <c r="G558" t="n">
        <v>0.9</v>
      </c>
      <c r="H558" t="n">
        <v>0</v>
      </c>
      <c r="I558" t="n">
        <v>0</v>
      </c>
      <c r="J558" t="n">
        <v>0</v>
      </c>
      <c r="K558" t="n">
        <v>0</v>
      </c>
      <c r="L558" t="n">
        <v>0</v>
      </c>
      <c r="M558" t="n">
        <v>0</v>
      </c>
      <c r="N558" t="n">
        <v>0</v>
      </c>
      <c r="O558" t="n">
        <v>0</v>
      </c>
      <c r="P558" t="n">
        <v>0</v>
      </c>
      <c r="Q558" t="n">
        <v>0</v>
      </c>
      <c r="R558" s="2" t="inlineStr"/>
    </row>
    <row r="559" ht="15" customHeight="1">
      <c r="A559" t="inlineStr">
        <is>
          <t>A 56811-2024</t>
        </is>
      </c>
      <c r="B559" s="1" t="n">
        <v>45628</v>
      </c>
      <c r="C559" s="1" t="n">
        <v>46188</v>
      </c>
      <c r="D559" t="inlineStr">
        <is>
          <t>DALARNAS LÄN</t>
        </is>
      </c>
      <c r="E559" t="inlineStr">
        <is>
          <t>ORSA</t>
        </is>
      </c>
      <c r="G559" t="n">
        <v>1.3</v>
      </c>
      <c r="H559" t="n">
        <v>0</v>
      </c>
      <c r="I559" t="n">
        <v>0</v>
      </c>
      <c r="J559" t="n">
        <v>0</v>
      </c>
      <c r="K559" t="n">
        <v>0</v>
      </c>
      <c r="L559" t="n">
        <v>0</v>
      </c>
      <c r="M559" t="n">
        <v>0</v>
      </c>
      <c r="N559" t="n">
        <v>0</v>
      </c>
      <c r="O559" t="n">
        <v>0</v>
      </c>
      <c r="P559" t="n">
        <v>0</v>
      </c>
      <c r="Q559" t="n">
        <v>0</v>
      </c>
      <c r="R559" s="2" t="inlineStr"/>
    </row>
    <row r="560" ht="15" customHeight="1">
      <c r="A560" t="inlineStr">
        <is>
          <t>A 56803-2024</t>
        </is>
      </c>
      <c r="B560" s="1" t="n">
        <v>45628.47212962963</v>
      </c>
      <c r="C560" s="1" t="n">
        <v>46188</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9836-2022</t>
        </is>
      </c>
      <c r="B561" s="1" t="n">
        <v>44620</v>
      </c>
      <c r="C561" s="1" t="n">
        <v>46188</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c r="A562" t="inlineStr">
        <is>
          <t>A 890-2024</t>
        </is>
      </c>
      <c r="B562" s="1" t="n">
        <v>45301.40552083333</v>
      </c>
      <c r="C562" s="1" t="n">
        <v>46188</v>
      </c>
      <c r="D562" t="inlineStr">
        <is>
          <t>DALARNAS LÄN</t>
        </is>
      </c>
      <c r="E562" t="inlineStr">
        <is>
          <t>ORSA</t>
        </is>
      </c>
      <c r="G562" t="n">
        <v>2.5</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2026-06-15T09:26:46Z</dcterms:created>
  <dcterms:modified xmlns:dcterms="http://purl.org/dc/terms/" xmlns:xsi="http://www.w3.org/2001/XMLSchema-instance" xsi:type="dcterms:W3CDTF">2026-06-15T09:26:47Z</dcterms:modified>
</cp:coreProperties>
</file>