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45723</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45723</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45723</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45723</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45723</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7507-2025</t>
        </is>
      </c>
      <c r="B29" s="1" t="n">
        <v>45705</v>
      </c>
      <c r="C29" s="1" t="n">
        <v>45723</v>
      </c>
      <c r="D29" t="inlineStr">
        <is>
          <t>DALARNAS LÄN</t>
        </is>
      </c>
      <c r="E29" t="inlineStr">
        <is>
          <t>ORSA</t>
        </is>
      </c>
      <c r="G29" t="n">
        <v>25.8</v>
      </c>
      <c r="H29" t="n">
        <v>3</v>
      </c>
      <c r="I29" t="n">
        <v>1</v>
      </c>
      <c r="J29" t="n">
        <v>7</v>
      </c>
      <c r="K29" t="n">
        <v>0</v>
      </c>
      <c r="L29" t="n">
        <v>0</v>
      </c>
      <c r="M29" t="n">
        <v>0</v>
      </c>
      <c r="N29" t="n">
        <v>0</v>
      </c>
      <c r="O29" t="n">
        <v>7</v>
      </c>
      <c r="P29" t="n">
        <v>0</v>
      </c>
      <c r="Q29" t="n">
        <v>9</v>
      </c>
      <c r="R29" s="2" t="inlineStr">
        <is>
          <t>Dvärgbägarlav
Garnlav
Kolflarnlav
Mörk kolflarnlav
Spillkråka
Tallticka
Tretåig hackspett
Mindre märgborre
Tjäder</t>
        </is>
      </c>
      <c r="S29">
        <f>HYPERLINK("https://klasma.github.io/Logging_2034/artfynd/A 7507-2025 artfynd.xlsx", "A 7507-2025")</f>
        <v/>
      </c>
      <c r="T29">
        <f>HYPERLINK("https://klasma.github.io/Logging_2034/kartor/A 7507-2025 karta.png", "A 7507-2025")</f>
        <v/>
      </c>
      <c r="V29">
        <f>HYPERLINK("https://klasma.github.io/Logging_2034/klagomål/A 7507-2025 FSC-klagomål.docx", "A 7507-2025")</f>
        <v/>
      </c>
      <c r="W29">
        <f>HYPERLINK("https://klasma.github.io/Logging_2034/klagomålsmail/A 7507-2025 FSC-klagomål mail.docx", "A 7507-2025")</f>
        <v/>
      </c>
      <c r="X29">
        <f>HYPERLINK("https://klasma.github.io/Logging_2034/tillsyn/A 7507-2025 tillsynsbegäran.docx", "A 7507-2025")</f>
        <v/>
      </c>
      <c r="Y29">
        <f>HYPERLINK("https://klasma.github.io/Logging_2034/tillsynsmail/A 7507-2025 tillsynsbegäran mail.docx", "A 7507-2025")</f>
        <v/>
      </c>
      <c r="Z29">
        <f>HYPERLINK("https://klasma.github.io/Logging_2034/fåglar/A 7507-2025 prioriterade fågelarter.docx", "A 7507-2025")</f>
        <v/>
      </c>
    </row>
    <row r="30" ht="15" customHeight="1">
      <c r="A30" t="inlineStr">
        <is>
          <t>A 45887-2024</t>
        </is>
      </c>
      <c r="B30" s="1" t="n">
        <v>45580</v>
      </c>
      <c r="C30" s="1" t="n">
        <v>45723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40197-2023</t>
        </is>
      </c>
      <c r="B40" s="1" t="n">
        <v>45169</v>
      </c>
      <c r="C40" s="1" t="n">
        <v>45723</v>
      </c>
      <c r="D40" t="inlineStr">
        <is>
          <t>DALARNAS LÄN</t>
        </is>
      </c>
      <c r="E40" t="inlineStr">
        <is>
          <t>ORSA</t>
        </is>
      </c>
      <c r="F40" t="inlineStr">
        <is>
          <t>Allmännings- och besparingsskogar</t>
        </is>
      </c>
      <c r="G40" t="n">
        <v>6.2</v>
      </c>
      <c r="H40" t="n">
        <v>0</v>
      </c>
      <c r="I40" t="n">
        <v>0</v>
      </c>
      <c r="J40" t="n">
        <v>5</v>
      </c>
      <c r="K40" t="n">
        <v>0</v>
      </c>
      <c r="L40" t="n">
        <v>0</v>
      </c>
      <c r="M40" t="n">
        <v>0</v>
      </c>
      <c r="N40" t="n">
        <v>0</v>
      </c>
      <c r="O40" t="n">
        <v>5</v>
      </c>
      <c r="P40" t="n">
        <v>0</v>
      </c>
      <c r="Q40" t="n">
        <v>5</v>
      </c>
      <c r="R40" s="2" t="inlineStr">
        <is>
          <t>Garnlav
Halmgul örnlav
Skrovellav
Ullticka
Violettgrå tagellav</t>
        </is>
      </c>
      <c r="S40">
        <f>HYPERLINK("https://klasma.github.io/Logging_2034/artfynd/A 40197-2023 artfynd.xlsx", "A 40197-2023")</f>
        <v/>
      </c>
      <c r="T40">
        <f>HYPERLINK("https://klasma.github.io/Logging_2034/kartor/A 40197-2023 karta.png", "A 40197-2023")</f>
        <v/>
      </c>
      <c r="V40">
        <f>HYPERLINK("https://klasma.github.io/Logging_2034/klagomål/A 40197-2023 FSC-klagomål.docx", "A 40197-2023")</f>
        <v/>
      </c>
      <c r="W40">
        <f>HYPERLINK("https://klasma.github.io/Logging_2034/klagomålsmail/A 40197-2023 FSC-klagomål mail.docx", "A 40197-2023")</f>
        <v/>
      </c>
      <c r="X40">
        <f>HYPERLINK("https://klasma.github.io/Logging_2034/tillsyn/A 40197-2023 tillsynsbegäran.docx", "A 40197-2023")</f>
        <v/>
      </c>
      <c r="Y40">
        <f>HYPERLINK("https://klasma.github.io/Logging_2034/tillsynsmail/A 40197-2023 tillsynsbegäran mail.docx", "A 40197-2023")</f>
        <v/>
      </c>
    </row>
    <row r="41" ht="15" customHeight="1">
      <c r="A41" t="inlineStr">
        <is>
          <t>A 44628-2023</t>
        </is>
      </c>
      <c r="B41" s="1" t="n">
        <v>45189</v>
      </c>
      <c r="C41" s="1" t="n">
        <v>45723</v>
      </c>
      <c r="D41" t="inlineStr">
        <is>
          <t>DALARNAS LÄN</t>
        </is>
      </c>
      <c r="E41" t="inlineStr">
        <is>
          <t>ORSA</t>
        </is>
      </c>
      <c r="F41" t="inlineStr">
        <is>
          <t>Bergvik skog öst AB</t>
        </is>
      </c>
      <c r="G41" t="n">
        <v>12.3</v>
      </c>
      <c r="H41" t="n">
        <v>1</v>
      </c>
      <c r="I41" t="n">
        <v>1</v>
      </c>
      <c r="J41" t="n">
        <v>4</v>
      </c>
      <c r="K41" t="n">
        <v>0</v>
      </c>
      <c r="L41" t="n">
        <v>0</v>
      </c>
      <c r="M41" t="n">
        <v>0</v>
      </c>
      <c r="N41" t="n">
        <v>0</v>
      </c>
      <c r="O41" t="n">
        <v>4</v>
      </c>
      <c r="P41" t="n">
        <v>0</v>
      </c>
      <c r="Q41" t="n">
        <v>5</v>
      </c>
      <c r="R41" s="2" t="inlineStr">
        <is>
          <t>Garnlav
Kolflarnlav
Tretåig hackspett
Violettgrå tagellav
Kambräken</t>
        </is>
      </c>
      <c r="S41">
        <f>HYPERLINK("https://klasma.github.io/Logging_2034/artfynd/A 44628-2023 artfynd.xlsx", "A 44628-2023")</f>
        <v/>
      </c>
      <c r="T41">
        <f>HYPERLINK("https://klasma.github.io/Logging_2034/kartor/A 44628-2023 karta.png", "A 44628-2023")</f>
        <v/>
      </c>
      <c r="V41">
        <f>HYPERLINK("https://klasma.github.io/Logging_2034/klagomål/A 44628-2023 FSC-klagomål.docx", "A 44628-2023")</f>
        <v/>
      </c>
      <c r="W41">
        <f>HYPERLINK("https://klasma.github.io/Logging_2034/klagomålsmail/A 44628-2023 FSC-klagomål mail.docx", "A 44628-2023")</f>
        <v/>
      </c>
      <c r="X41">
        <f>HYPERLINK("https://klasma.github.io/Logging_2034/tillsyn/A 44628-2023 tillsynsbegäran.docx", "A 44628-2023")</f>
        <v/>
      </c>
      <c r="Y41">
        <f>HYPERLINK("https://klasma.github.io/Logging_2034/tillsynsmail/A 44628-2023 tillsynsbegäran mail.docx", "A 44628-2023")</f>
        <v/>
      </c>
      <c r="Z41">
        <f>HYPERLINK("https://klasma.github.io/Logging_2034/fåglar/A 44628-2023 prioriterade fågelarter.docx", "A 44628-2023")</f>
        <v/>
      </c>
    </row>
    <row r="42" ht="15" customHeight="1">
      <c r="A42" t="inlineStr">
        <is>
          <t>A 3421-2021</t>
        </is>
      </c>
      <c r="B42" s="1" t="n">
        <v>44218</v>
      </c>
      <c r="C42" s="1" t="n">
        <v>45723</v>
      </c>
      <c r="D42" t="inlineStr">
        <is>
          <t>DALARNAS LÄN</t>
        </is>
      </c>
      <c r="E42" t="inlineStr">
        <is>
          <t>ORSA</t>
        </is>
      </c>
      <c r="G42" t="n">
        <v>2.2</v>
      </c>
      <c r="H42" t="n">
        <v>2</v>
      </c>
      <c r="I42" t="n">
        <v>3</v>
      </c>
      <c r="J42" t="n">
        <v>0</v>
      </c>
      <c r="K42" t="n">
        <v>0</v>
      </c>
      <c r="L42" t="n">
        <v>0</v>
      </c>
      <c r="M42" t="n">
        <v>0</v>
      </c>
      <c r="N42" t="n">
        <v>0</v>
      </c>
      <c r="O42" t="n">
        <v>0</v>
      </c>
      <c r="P42" t="n">
        <v>0</v>
      </c>
      <c r="Q42" t="n">
        <v>4</v>
      </c>
      <c r="R42" s="2" t="inlineStr">
        <is>
          <t>Guckusko
Svavelriska
Tibast
Blåsippa</t>
        </is>
      </c>
      <c r="S42">
        <f>HYPERLINK("https://klasma.github.io/Logging_2034/artfynd/A 3421-2021 artfynd.xlsx", "A 3421-2021")</f>
        <v/>
      </c>
      <c r="T42">
        <f>HYPERLINK("https://klasma.github.io/Logging_2034/kartor/A 3421-2021 karta.png", "A 3421-2021")</f>
        <v/>
      </c>
      <c r="V42">
        <f>HYPERLINK("https://klasma.github.io/Logging_2034/klagomål/A 3421-2021 FSC-klagomål.docx", "A 3421-2021")</f>
        <v/>
      </c>
      <c r="W42">
        <f>HYPERLINK("https://klasma.github.io/Logging_2034/klagomålsmail/A 3421-2021 FSC-klagomål mail.docx", "A 3421-2021")</f>
        <v/>
      </c>
      <c r="X42">
        <f>HYPERLINK("https://klasma.github.io/Logging_2034/tillsyn/A 3421-2021 tillsynsbegäran.docx", "A 3421-2021")</f>
        <v/>
      </c>
      <c r="Y42">
        <f>HYPERLINK("https://klasma.github.io/Logging_2034/tillsynsmail/A 3421-2021 tillsynsbegäran mail.docx", "A 3421-2021")</f>
        <v/>
      </c>
    </row>
    <row r="43" ht="15" customHeight="1">
      <c r="A43" t="inlineStr">
        <is>
          <t>A 33366-2023</t>
        </is>
      </c>
      <c r="B43" s="1" t="n">
        <v>45128</v>
      </c>
      <c r="C43" s="1" t="n">
        <v>45723</v>
      </c>
      <c r="D43" t="inlineStr">
        <is>
          <t>DALARNAS LÄN</t>
        </is>
      </c>
      <c r="E43" t="inlineStr">
        <is>
          <t>ORSA</t>
        </is>
      </c>
      <c r="F43" t="inlineStr">
        <is>
          <t>Bergvik skog väst AB</t>
        </is>
      </c>
      <c r="G43" t="n">
        <v>3.5</v>
      </c>
      <c r="H43" t="n">
        <v>1</v>
      </c>
      <c r="I43" t="n">
        <v>0</v>
      </c>
      <c r="J43" t="n">
        <v>4</v>
      </c>
      <c r="K43" t="n">
        <v>0</v>
      </c>
      <c r="L43" t="n">
        <v>0</v>
      </c>
      <c r="M43" t="n">
        <v>0</v>
      </c>
      <c r="N43" t="n">
        <v>0</v>
      </c>
      <c r="O43" t="n">
        <v>4</v>
      </c>
      <c r="P43" t="n">
        <v>0</v>
      </c>
      <c r="Q43" t="n">
        <v>4</v>
      </c>
      <c r="R43" s="2" t="inlineStr">
        <is>
          <t>Garnlav
Granticka
Tretåig hackspett
Violettgrå tagellav</t>
        </is>
      </c>
      <c r="S43">
        <f>HYPERLINK("https://klasma.github.io/Logging_2034/artfynd/A 33366-2023 artfynd.xlsx", "A 33366-2023")</f>
        <v/>
      </c>
      <c r="T43">
        <f>HYPERLINK("https://klasma.github.io/Logging_2034/kartor/A 33366-2023 karta.png", "A 33366-2023")</f>
        <v/>
      </c>
      <c r="V43">
        <f>HYPERLINK("https://klasma.github.io/Logging_2034/klagomål/A 33366-2023 FSC-klagomål.docx", "A 33366-2023")</f>
        <v/>
      </c>
      <c r="W43">
        <f>HYPERLINK("https://klasma.github.io/Logging_2034/klagomålsmail/A 33366-2023 FSC-klagomål mail.docx", "A 33366-2023")</f>
        <v/>
      </c>
      <c r="X43">
        <f>HYPERLINK("https://klasma.github.io/Logging_2034/tillsyn/A 33366-2023 tillsynsbegäran.docx", "A 33366-2023")</f>
        <v/>
      </c>
      <c r="Y43">
        <f>HYPERLINK("https://klasma.github.io/Logging_2034/tillsynsmail/A 33366-2023 tillsynsbegäran mail.docx", "A 33366-2023")</f>
        <v/>
      </c>
      <c r="Z43">
        <f>HYPERLINK("https://klasma.github.io/Logging_2034/fåglar/A 33366-2023 prioriterade fågelarter.docx", "A 33366-2023")</f>
        <v/>
      </c>
    </row>
    <row r="44" ht="15" customHeight="1">
      <c r="A44" t="inlineStr">
        <is>
          <t>A 38458-2023</t>
        </is>
      </c>
      <c r="B44" s="1" t="n">
        <v>45162</v>
      </c>
      <c r="C44" s="1" t="n">
        <v>45723</v>
      </c>
      <c r="D44" t="inlineStr">
        <is>
          <t>DALARNAS LÄN</t>
        </is>
      </c>
      <c r="E44" t="inlineStr">
        <is>
          <t>ORSA</t>
        </is>
      </c>
      <c r="F44" t="inlineStr">
        <is>
          <t>Allmännings- och besparingsskogar</t>
        </is>
      </c>
      <c r="G44" t="n">
        <v>1.4</v>
      </c>
      <c r="H44" t="n">
        <v>1</v>
      </c>
      <c r="I44" t="n">
        <v>1</v>
      </c>
      <c r="J44" t="n">
        <v>3</v>
      </c>
      <c r="K44" t="n">
        <v>0</v>
      </c>
      <c r="L44" t="n">
        <v>0</v>
      </c>
      <c r="M44" t="n">
        <v>0</v>
      </c>
      <c r="N44" t="n">
        <v>0</v>
      </c>
      <c r="O44" t="n">
        <v>3</v>
      </c>
      <c r="P44" t="n">
        <v>0</v>
      </c>
      <c r="Q44" t="n">
        <v>4</v>
      </c>
      <c r="R44" s="2" t="inlineStr">
        <is>
          <t>Garnlav
Tretåig hackspett
Violettgrå tagellav
Bronshjon</t>
        </is>
      </c>
      <c r="S44">
        <f>HYPERLINK("https://klasma.github.io/Logging_2034/artfynd/A 38458-2023 artfynd.xlsx", "A 38458-2023")</f>
        <v/>
      </c>
      <c r="T44">
        <f>HYPERLINK("https://klasma.github.io/Logging_2034/kartor/A 38458-2023 karta.png", "A 38458-2023")</f>
        <v/>
      </c>
      <c r="V44">
        <f>HYPERLINK("https://klasma.github.io/Logging_2034/klagomål/A 38458-2023 FSC-klagomål.docx", "A 38458-2023")</f>
        <v/>
      </c>
      <c r="W44">
        <f>HYPERLINK("https://klasma.github.io/Logging_2034/klagomålsmail/A 38458-2023 FSC-klagomål mail.docx", "A 38458-2023")</f>
        <v/>
      </c>
      <c r="X44">
        <f>HYPERLINK("https://klasma.github.io/Logging_2034/tillsyn/A 38458-2023 tillsynsbegäran.docx", "A 38458-2023")</f>
        <v/>
      </c>
      <c r="Y44">
        <f>HYPERLINK("https://klasma.github.io/Logging_2034/tillsynsmail/A 38458-2023 tillsynsbegäran mail.docx", "A 38458-2023")</f>
        <v/>
      </c>
      <c r="Z44">
        <f>HYPERLINK("https://klasma.github.io/Logging_2034/fåglar/A 38458-2023 prioriterade fågelarter.docx", "A 38458-2023")</f>
        <v/>
      </c>
    </row>
    <row r="45" ht="15" customHeight="1">
      <c r="A45" t="inlineStr">
        <is>
          <t>A 35570-2024</t>
        </is>
      </c>
      <c r="B45" s="1" t="n">
        <v>45531</v>
      </c>
      <c r="C45" s="1" t="n">
        <v>45723</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43588-2024</t>
        </is>
      </c>
      <c r="B46" s="1" t="n">
        <v>45569</v>
      </c>
      <c r="C46" s="1" t="n">
        <v>45723</v>
      </c>
      <c r="D46" t="inlineStr">
        <is>
          <t>DALARNAS LÄN</t>
        </is>
      </c>
      <c r="E46" t="inlineStr">
        <is>
          <t>ORSA</t>
        </is>
      </c>
      <c r="G46" t="n">
        <v>6.4</v>
      </c>
      <c r="H46" t="n">
        <v>0</v>
      </c>
      <c r="I46" t="n">
        <v>2</v>
      </c>
      <c r="J46" t="n">
        <v>2</v>
      </c>
      <c r="K46" t="n">
        <v>0</v>
      </c>
      <c r="L46" t="n">
        <v>0</v>
      </c>
      <c r="M46" t="n">
        <v>0</v>
      </c>
      <c r="N46" t="n">
        <v>0</v>
      </c>
      <c r="O46" t="n">
        <v>2</v>
      </c>
      <c r="P46" t="n">
        <v>0</v>
      </c>
      <c r="Q46" t="n">
        <v>4</v>
      </c>
      <c r="R46" s="2" t="inlineStr">
        <is>
          <t>Garnlav
Granticka
Thymalus limbatus
Vedticka</t>
        </is>
      </c>
      <c r="S46">
        <f>HYPERLINK("https://klasma.github.io/Logging_2034/artfynd/A 43588-2024 artfynd.xlsx", "A 43588-2024")</f>
        <v/>
      </c>
      <c r="T46">
        <f>HYPERLINK("https://klasma.github.io/Logging_2034/kartor/A 43588-2024 karta.png", "A 43588-2024")</f>
        <v/>
      </c>
      <c r="V46">
        <f>HYPERLINK("https://klasma.github.io/Logging_2034/klagomål/A 43588-2024 FSC-klagomål.docx", "A 43588-2024")</f>
        <v/>
      </c>
      <c r="W46">
        <f>HYPERLINK("https://klasma.github.io/Logging_2034/klagomålsmail/A 43588-2024 FSC-klagomål mail.docx", "A 43588-2024")</f>
        <v/>
      </c>
      <c r="X46">
        <f>HYPERLINK("https://klasma.github.io/Logging_2034/tillsyn/A 43588-2024 tillsynsbegäran.docx", "A 43588-2024")</f>
        <v/>
      </c>
      <c r="Y46">
        <f>HYPERLINK("https://klasma.github.io/Logging_2034/tillsynsmail/A 43588-2024 tillsynsbegäran mail.docx", "A 43588-2024")</f>
        <v/>
      </c>
    </row>
    <row r="47" ht="15" customHeight="1">
      <c r="A47" t="inlineStr">
        <is>
          <t>A 42651-2020</t>
        </is>
      </c>
      <c r="B47" s="1" t="n">
        <v>44077</v>
      </c>
      <c r="C47" s="1" t="n">
        <v>45723</v>
      </c>
      <c r="D47" t="inlineStr">
        <is>
          <t>DALARNAS LÄN</t>
        </is>
      </c>
      <c r="E47" t="inlineStr">
        <is>
          <t>ORSA</t>
        </is>
      </c>
      <c r="G47" t="n">
        <v>3.9</v>
      </c>
      <c r="H47" t="n">
        <v>0</v>
      </c>
      <c r="I47" t="n">
        <v>0</v>
      </c>
      <c r="J47" t="n">
        <v>3</v>
      </c>
      <c r="K47" t="n">
        <v>0</v>
      </c>
      <c r="L47" t="n">
        <v>0</v>
      </c>
      <c r="M47" t="n">
        <v>0</v>
      </c>
      <c r="N47" t="n">
        <v>0</v>
      </c>
      <c r="O47" t="n">
        <v>3</v>
      </c>
      <c r="P47" t="n">
        <v>0</v>
      </c>
      <c r="Q47" t="n">
        <v>3</v>
      </c>
      <c r="R47" s="2" t="inlineStr">
        <is>
          <t>Skrovellav
Tallticka
Vedflamlav</t>
        </is>
      </c>
      <c r="S47">
        <f>HYPERLINK("https://klasma.github.io/Logging_2034/artfynd/A 42651-2020 artfynd.xlsx", "A 42651-2020")</f>
        <v/>
      </c>
      <c r="T47">
        <f>HYPERLINK("https://klasma.github.io/Logging_2034/kartor/A 42651-2020 karta.png", "A 42651-2020")</f>
        <v/>
      </c>
      <c r="V47">
        <f>HYPERLINK("https://klasma.github.io/Logging_2034/klagomål/A 42651-2020 FSC-klagomål.docx", "A 42651-2020")</f>
        <v/>
      </c>
      <c r="W47">
        <f>HYPERLINK("https://klasma.github.io/Logging_2034/klagomålsmail/A 42651-2020 FSC-klagomål mail.docx", "A 42651-2020")</f>
        <v/>
      </c>
      <c r="X47">
        <f>HYPERLINK("https://klasma.github.io/Logging_2034/tillsyn/A 42651-2020 tillsynsbegäran.docx", "A 42651-2020")</f>
        <v/>
      </c>
      <c r="Y47">
        <f>HYPERLINK("https://klasma.github.io/Logging_2034/tillsynsmail/A 42651-2020 tillsynsbegäran mail.docx", "A 42651-2020")</f>
        <v/>
      </c>
    </row>
    <row r="48" ht="15" customHeight="1">
      <c r="A48" t="inlineStr">
        <is>
          <t>A 30654-2024</t>
        </is>
      </c>
      <c r="B48" s="1" t="n">
        <v>45495</v>
      </c>
      <c r="C48" s="1" t="n">
        <v>45723</v>
      </c>
      <c r="D48" t="inlineStr">
        <is>
          <t>DALARNAS LÄN</t>
        </is>
      </c>
      <c r="E48" t="inlineStr">
        <is>
          <t>ORSA</t>
        </is>
      </c>
      <c r="F48" t="inlineStr">
        <is>
          <t>Allmännings- och besparingsskogar</t>
        </is>
      </c>
      <c r="G48" t="n">
        <v>1.9</v>
      </c>
      <c r="H48" t="n">
        <v>1</v>
      </c>
      <c r="I48" t="n">
        <v>0</v>
      </c>
      <c r="J48" t="n">
        <v>2</v>
      </c>
      <c r="K48" t="n">
        <v>1</v>
      </c>
      <c r="L48" t="n">
        <v>0</v>
      </c>
      <c r="M48" t="n">
        <v>0</v>
      </c>
      <c r="N48" t="n">
        <v>0</v>
      </c>
      <c r="O48" t="n">
        <v>3</v>
      </c>
      <c r="P48" t="n">
        <v>1</v>
      </c>
      <c r="Q48" t="n">
        <v>3</v>
      </c>
      <c r="R48" s="2" t="inlineStr">
        <is>
          <t>Knärot
Garnlav
Granticka</t>
        </is>
      </c>
      <c r="S48">
        <f>HYPERLINK("https://klasma.github.io/Logging_2034/artfynd/A 30654-2024 artfynd.xlsx", "A 30654-2024")</f>
        <v/>
      </c>
      <c r="T48">
        <f>HYPERLINK("https://klasma.github.io/Logging_2034/kartor/A 30654-2024 karta.png", "A 30654-2024")</f>
        <v/>
      </c>
      <c r="U48">
        <f>HYPERLINK("https://klasma.github.io/Logging_2034/knärot/A 30654-2024 karta knärot.png", "A 30654-2024")</f>
        <v/>
      </c>
      <c r="V48">
        <f>HYPERLINK("https://klasma.github.io/Logging_2034/klagomål/A 30654-2024 FSC-klagomål.docx", "A 30654-2024")</f>
        <v/>
      </c>
      <c r="W48">
        <f>HYPERLINK("https://klasma.github.io/Logging_2034/klagomålsmail/A 30654-2024 FSC-klagomål mail.docx", "A 30654-2024")</f>
        <v/>
      </c>
      <c r="X48">
        <f>HYPERLINK("https://klasma.github.io/Logging_2034/tillsyn/A 30654-2024 tillsynsbegäran.docx", "A 30654-2024")</f>
        <v/>
      </c>
      <c r="Y48">
        <f>HYPERLINK("https://klasma.github.io/Logging_2034/tillsynsmail/A 30654-2024 tillsynsbegäran mail.docx", "A 30654-2024")</f>
        <v/>
      </c>
    </row>
    <row r="49" ht="15" customHeight="1">
      <c r="A49" t="inlineStr">
        <is>
          <t>A 63810-2021</t>
        </is>
      </c>
      <c r="B49" s="1" t="n">
        <v>44509</v>
      </c>
      <c r="C49" s="1" t="n">
        <v>45723</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20914-2022</t>
        </is>
      </c>
      <c r="B50" s="1" t="n">
        <v>44701</v>
      </c>
      <c r="C50" s="1" t="n">
        <v>45723</v>
      </c>
      <c r="D50" t="inlineStr">
        <is>
          <t>DALARNAS LÄN</t>
        </is>
      </c>
      <c r="E50" t="inlineStr">
        <is>
          <t>ORSA</t>
        </is>
      </c>
      <c r="F50" t="inlineStr">
        <is>
          <t>Allmännings- och besparingsskogar</t>
        </is>
      </c>
      <c r="G50" t="n">
        <v>32.6</v>
      </c>
      <c r="H50" t="n">
        <v>1</v>
      </c>
      <c r="I50" t="n">
        <v>1</v>
      </c>
      <c r="J50" t="n">
        <v>1</v>
      </c>
      <c r="K50" t="n">
        <v>0</v>
      </c>
      <c r="L50" t="n">
        <v>0</v>
      </c>
      <c r="M50" t="n">
        <v>0</v>
      </c>
      <c r="N50" t="n">
        <v>0</v>
      </c>
      <c r="O50" t="n">
        <v>1</v>
      </c>
      <c r="P50" t="n">
        <v>0</v>
      </c>
      <c r="Q50" t="n">
        <v>2</v>
      </c>
      <c r="R50" s="2" t="inlineStr">
        <is>
          <t>Kungsörn
Vågbandad barkbock</t>
        </is>
      </c>
      <c r="S50">
        <f>HYPERLINK("https://klasma.github.io/Logging_2034/artfynd/A 20914-2022 artfynd.xlsx", "A 20914-2022")</f>
        <v/>
      </c>
      <c r="T50">
        <f>HYPERLINK("https://klasma.github.io/Logging_2034/kartor/A 20914-2022 karta.png", "A 20914-2022")</f>
        <v/>
      </c>
      <c r="V50">
        <f>HYPERLINK("https://klasma.github.io/Logging_2034/klagomål/A 20914-2022 FSC-klagomål.docx", "A 20914-2022")</f>
        <v/>
      </c>
      <c r="W50">
        <f>HYPERLINK("https://klasma.github.io/Logging_2034/klagomålsmail/A 20914-2022 FSC-klagomål mail.docx", "A 20914-2022")</f>
        <v/>
      </c>
      <c r="X50">
        <f>HYPERLINK("https://klasma.github.io/Logging_2034/tillsyn/A 20914-2022 tillsynsbegäran.docx", "A 20914-2022")</f>
        <v/>
      </c>
      <c r="Y50">
        <f>HYPERLINK("https://klasma.github.io/Logging_2034/tillsynsmail/A 20914-2022 tillsynsbegäran mail.docx", "A 20914-2022")</f>
        <v/>
      </c>
      <c r="Z50">
        <f>HYPERLINK("https://klasma.github.io/Logging_2034/fåglar/A 20914-2022 prioriterade fågelarter.docx", "A 20914-2022")</f>
        <v/>
      </c>
    </row>
    <row r="51" ht="15" customHeight="1">
      <c r="A51" t="inlineStr">
        <is>
          <t>A 47714-2022</t>
        </is>
      </c>
      <c r="B51" s="1" t="n">
        <v>44854</v>
      </c>
      <c r="C51" s="1" t="n">
        <v>45723</v>
      </c>
      <c r="D51" t="inlineStr">
        <is>
          <t>DALARNAS LÄN</t>
        </is>
      </c>
      <c r="E51" t="inlineStr">
        <is>
          <t>ORSA</t>
        </is>
      </c>
      <c r="F51" t="inlineStr">
        <is>
          <t>Bergvik skog öst AB</t>
        </is>
      </c>
      <c r="G51" t="n">
        <v>4.6</v>
      </c>
      <c r="H51" t="n">
        <v>2</v>
      </c>
      <c r="I51" t="n">
        <v>1</v>
      </c>
      <c r="J51" t="n">
        <v>1</v>
      </c>
      <c r="K51" t="n">
        <v>0</v>
      </c>
      <c r="L51" t="n">
        <v>0</v>
      </c>
      <c r="M51" t="n">
        <v>0</v>
      </c>
      <c r="N51" t="n">
        <v>0</v>
      </c>
      <c r="O51" t="n">
        <v>1</v>
      </c>
      <c r="P51" t="n">
        <v>0</v>
      </c>
      <c r="Q51" t="n">
        <v>2</v>
      </c>
      <c r="R51" s="2" t="inlineStr">
        <is>
          <t>Talltita
Plattlummer</t>
        </is>
      </c>
      <c r="S51">
        <f>HYPERLINK("https://klasma.github.io/Logging_2034/artfynd/A 47714-2022 artfynd.xlsx", "A 47714-2022")</f>
        <v/>
      </c>
      <c r="T51">
        <f>HYPERLINK("https://klasma.github.io/Logging_2034/kartor/A 47714-2022 karta.png", "A 47714-2022")</f>
        <v/>
      </c>
      <c r="V51">
        <f>HYPERLINK("https://klasma.github.io/Logging_2034/klagomål/A 47714-2022 FSC-klagomål.docx", "A 47714-2022")</f>
        <v/>
      </c>
      <c r="W51">
        <f>HYPERLINK("https://klasma.github.io/Logging_2034/klagomålsmail/A 47714-2022 FSC-klagomål mail.docx", "A 47714-2022")</f>
        <v/>
      </c>
      <c r="X51">
        <f>HYPERLINK("https://klasma.github.io/Logging_2034/tillsyn/A 47714-2022 tillsynsbegäran.docx", "A 47714-2022")</f>
        <v/>
      </c>
      <c r="Y51">
        <f>HYPERLINK("https://klasma.github.io/Logging_2034/tillsynsmail/A 47714-2022 tillsynsbegäran mail.docx", "A 47714-2022")</f>
        <v/>
      </c>
      <c r="Z51">
        <f>HYPERLINK("https://klasma.github.io/Logging_2034/fåglar/A 47714-2022 prioriterade fågelarter.docx", "A 47714-2022")</f>
        <v/>
      </c>
    </row>
    <row r="52" ht="15" customHeight="1">
      <c r="A52" t="inlineStr">
        <is>
          <t>A 48343-2022</t>
        </is>
      </c>
      <c r="B52" s="1" t="n">
        <v>44858</v>
      </c>
      <c r="C52" s="1" t="n">
        <v>45723</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53629-2022</t>
        </is>
      </c>
      <c r="B53" s="1" t="n">
        <v>44879</v>
      </c>
      <c r="C53" s="1" t="n">
        <v>45723</v>
      </c>
      <c r="D53" t="inlineStr">
        <is>
          <t>DALARNAS LÄN</t>
        </is>
      </c>
      <c r="E53" t="inlineStr">
        <is>
          <t>ORSA</t>
        </is>
      </c>
      <c r="G53" t="n">
        <v>8.199999999999999</v>
      </c>
      <c r="H53" t="n">
        <v>2</v>
      </c>
      <c r="I53" t="n">
        <v>0</v>
      </c>
      <c r="J53" t="n">
        <v>0</v>
      </c>
      <c r="K53" t="n">
        <v>0</v>
      </c>
      <c r="L53" t="n">
        <v>0</v>
      </c>
      <c r="M53" t="n">
        <v>0</v>
      </c>
      <c r="N53" t="n">
        <v>0</v>
      </c>
      <c r="O53" t="n">
        <v>0</v>
      </c>
      <c r="P53" t="n">
        <v>0</v>
      </c>
      <c r="Q53" t="n">
        <v>2</v>
      </c>
      <c r="R53" s="2" t="inlineStr">
        <is>
          <t>Större vattensalamander
Mindre vattensalamander</t>
        </is>
      </c>
      <c r="S53">
        <f>HYPERLINK("https://klasma.github.io/Logging_2034/artfynd/A 53629-2022 artfynd.xlsx", "A 53629-2022")</f>
        <v/>
      </c>
      <c r="T53">
        <f>HYPERLINK("https://klasma.github.io/Logging_2034/kartor/A 53629-2022 karta.png", "A 53629-2022")</f>
        <v/>
      </c>
      <c r="V53">
        <f>HYPERLINK("https://klasma.github.io/Logging_2034/klagomål/A 53629-2022 FSC-klagomål.docx", "A 53629-2022")</f>
        <v/>
      </c>
      <c r="W53">
        <f>HYPERLINK("https://klasma.github.io/Logging_2034/klagomålsmail/A 53629-2022 FSC-klagomål mail.docx", "A 53629-2022")</f>
        <v/>
      </c>
      <c r="X53">
        <f>HYPERLINK("https://klasma.github.io/Logging_2034/tillsyn/A 53629-2022 tillsynsbegäran.docx", "A 53629-2022")</f>
        <v/>
      </c>
      <c r="Y53">
        <f>HYPERLINK("https://klasma.github.io/Logging_2034/tillsynsmail/A 53629-2022 tillsynsbegäran mail.docx", "A 53629-2022")</f>
        <v/>
      </c>
    </row>
    <row r="54" ht="15" customHeight="1">
      <c r="A54" t="inlineStr">
        <is>
          <t>A 44656-2023</t>
        </is>
      </c>
      <c r="B54" s="1" t="n">
        <v>45189</v>
      </c>
      <c r="C54" s="1" t="n">
        <v>45723</v>
      </c>
      <c r="D54" t="inlineStr">
        <is>
          <t>DALARNAS LÄN</t>
        </is>
      </c>
      <c r="E54" t="inlineStr">
        <is>
          <t>ORSA</t>
        </is>
      </c>
      <c r="F54" t="inlineStr">
        <is>
          <t>Bergvik skog öst AB</t>
        </is>
      </c>
      <c r="G54" t="n">
        <v>3.4</v>
      </c>
      <c r="H54" t="n">
        <v>2</v>
      </c>
      <c r="I54" t="n">
        <v>0</v>
      </c>
      <c r="J54" t="n">
        <v>2</v>
      </c>
      <c r="K54" t="n">
        <v>0</v>
      </c>
      <c r="L54" t="n">
        <v>0</v>
      </c>
      <c r="M54" t="n">
        <v>0</v>
      </c>
      <c r="N54" t="n">
        <v>0</v>
      </c>
      <c r="O54" t="n">
        <v>2</v>
      </c>
      <c r="P54" t="n">
        <v>0</v>
      </c>
      <c r="Q54" t="n">
        <v>2</v>
      </c>
      <c r="R54" s="2" t="inlineStr">
        <is>
          <t>Spillkråka
Tretåig hackspett</t>
        </is>
      </c>
      <c r="S54">
        <f>HYPERLINK("https://klasma.github.io/Logging_2034/artfynd/A 44656-2023 artfynd.xlsx", "A 44656-2023")</f>
        <v/>
      </c>
      <c r="T54">
        <f>HYPERLINK("https://klasma.github.io/Logging_2034/kartor/A 44656-2023 karta.png", "A 44656-2023")</f>
        <v/>
      </c>
      <c r="V54">
        <f>HYPERLINK("https://klasma.github.io/Logging_2034/klagomål/A 44656-2023 FSC-klagomål.docx", "A 44656-2023")</f>
        <v/>
      </c>
      <c r="W54">
        <f>HYPERLINK("https://klasma.github.io/Logging_2034/klagomålsmail/A 44656-2023 FSC-klagomål mail.docx", "A 44656-2023")</f>
        <v/>
      </c>
      <c r="X54">
        <f>HYPERLINK("https://klasma.github.io/Logging_2034/tillsyn/A 44656-2023 tillsynsbegäran.docx", "A 44656-2023")</f>
        <v/>
      </c>
      <c r="Y54">
        <f>HYPERLINK("https://klasma.github.io/Logging_2034/tillsynsmail/A 44656-2023 tillsynsbegäran mail.docx", "A 44656-2023")</f>
        <v/>
      </c>
      <c r="Z54">
        <f>HYPERLINK("https://klasma.github.io/Logging_2034/fåglar/A 44656-2023 prioriterade fågelarter.docx", "A 44656-2023")</f>
        <v/>
      </c>
    </row>
    <row r="55" ht="15" customHeight="1">
      <c r="A55" t="inlineStr">
        <is>
          <t>A 6029-2024</t>
        </is>
      </c>
      <c r="B55" s="1" t="n">
        <v>45336</v>
      </c>
      <c r="C55" s="1" t="n">
        <v>45723</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52927-2024</t>
        </is>
      </c>
      <c r="B56" s="1" t="n">
        <v>45610</v>
      </c>
      <c r="C56" s="1" t="n">
        <v>45723</v>
      </c>
      <c r="D56" t="inlineStr">
        <is>
          <t>DALARNAS LÄN</t>
        </is>
      </c>
      <c r="E56" t="inlineStr">
        <is>
          <t>ORSA</t>
        </is>
      </c>
      <c r="F56" t="inlineStr">
        <is>
          <t>Allmännings- och besparingsskogar</t>
        </is>
      </c>
      <c r="G56" t="n">
        <v>1.6</v>
      </c>
      <c r="H56" t="n">
        <v>0</v>
      </c>
      <c r="I56" t="n">
        <v>0</v>
      </c>
      <c r="J56" t="n">
        <v>2</v>
      </c>
      <c r="K56" t="n">
        <v>0</v>
      </c>
      <c r="L56" t="n">
        <v>0</v>
      </c>
      <c r="M56" t="n">
        <v>0</v>
      </c>
      <c r="N56" t="n">
        <v>0</v>
      </c>
      <c r="O56" t="n">
        <v>2</v>
      </c>
      <c r="P56" t="n">
        <v>0</v>
      </c>
      <c r="Q56" t="n">
        <v>2</v>
      </c>
      <c r="R56" s="2" t="inlineStr">
        <is>
          <t>Garnlav
Ullticka</t>
        </is>
      </c>
      <c r="S56">
        <f>HYPERLINK("https://klasma.github.io/Logging_2034/artfynd/A 52927-2024 artfynd.xlsx", "A 52927-2024")</f>
        <v/>
      </c>
      <c r="T56">
        <f>HYPERLINK("https://klasma.github.io/Logging_2034/kartor/A 52927-2024 karta.png", "A 52927-2024")</f>
        <v/>
      </c>
      <c r="V56">
        <f>HYPERLINK("https://klasma.github.io/Logging_2034/klagomål/A 52927-2024 FSC-klagomål.docx", "A 52927-2024")</f>
        <v/>
      </c>
      <c r="W56">
        <f>HYPERLINK("https://klasma.github.io/Logging_2034/klagomålsmail/A 52927-2024 FSC-klagomål mail.docx", "A 52927-2024")</f>
        <v/>
      </c>
      <c r="X56">
        <f>HYPERLINK("https://klasma.github.io/Logging_2034/tillsyn/A 52927-2024 tillsynsbegäran.docx", "A 52927-2024")</f>
        <v/>
      </c>
      <c r="Y56">
        <f>HYPERLINK("https://klasma.github.io/Logging_2034/tillsynsmail/A 52927-2024 tillsynsbegäran mail.docx", "A 52927-2024")</f>
        <v/>
      </c>
    </row>
    <row r="57" ht="15" customHeight="1">
      <c r="A57" t="inlineStr">
        <is>
          <t>A 7618-2025</t>
        </is>
      </c>
      <c r="B57" s="1" t="n">
        <v>45705</v>
      </c>
      <c r="C57" s="1" t="n">
        <v>45723</v>
      </c>
      <c r="D57" t="inlineStr">
        <is>
          <t>DALARNAS LÄN</t>
        </is>
      </c>
      <c r="E57" t="inlineStr">
        <is>
          <t>ORSA</t>
        </is>
      </c>
      <c r="G57" t="n">
        <v>0.9</v>
      </c>
      <c r="H57" t="n">
        <v>1</v>
      </c>
      <c r="I57" t="n">
        <v>0</v>
      </c>
      <c r="J57" t="n">
        <v>2</v>
      </c>
      <c r="K57" t="n">
        <v>0</v>
      </c>
      <c r="L57" t="n">
        <v>0</v>
      </c>
      <c r="M57" t="n">
        <v>0</v>
      </c>
      <c r="N57" t="n">
        <v>0</v>
      </c>
      <c r="O57" t="n">
        <v>2</v>
      </c>
      <c r="P57" t="n">
        <v>0</v>
      </c>
      <c r="Q57" t="n">
        <v>2</v>
      </c>
      <c r="R57" s="2" t="inlineStr">
        <is>
          <t>Garnlav
Talltita</t>
        </is>
      </c>
      <c r="S57">
        <f>HYPERLINK("https://klasma.github.io/Logging_2034/artfynd/A 7618-2025 artfynd.xlsx", "A 7618-2025")</f>
        <v/>
      </c>
      <c r="T57">
        <f>HYPERLINK("https://klasma.github.io/Logging_2034/kartor/A 7618-2025 karta.png", "A 7618-2025")</f>
        <v/>
      </c>
      <c r="V57">
        <f>HYPERLINK("https://klasma.github.io/Logging_2034/klagomål/A 7618-2025 FSC-klagomål.docx", "A 7618-2025")</f>
        <v/>
      </c>
      <c r="W57">
        <f>HYPERLINK("https://klasma.github.io/Logging_2034/klagomålsmail/A 7618-2025 FSC-klagomål mail.docx", "A 7618-2025")</f>
        <v/>
      </c>
      <c r="X57">
        <f>HYPERLINK("https://klasma.github.io/Logging_2034/tillsyn/A 7618-2025 tillsynsbegäran.docx", "A 7618-2025")</f>
        <v/>
      </c>
      <c r="Y57">
        <f>HYPERLINK("https://klasma.github.io/Logging_2034/tillsynsmail/A 7618-2025 tillsynsbegäran mail.docx", "A 7618-2025")</f>
        <v/>
      </c>
      <c r="Z57">
        <f>HYPERLINK("https://klasma.github.io/Logging_2034/fåglar/A 7618-2025 prioriterade fågelarter.docx", "A 7618-2025")</f>
        <v/>
      </c>
    </row>
    <row r="58" ht="15" customHeight="1">
      <c r="A58" t="inlineStr">
        <is>
          <t>A 32094-2019</t>
        </is>
      </c>
      <c r="B58" s="1" t="n">
        <v>43643</v>
      </c>
      <c r="C58" s="1" t="n">
        <v>45723</v>
      </c>
      <c r="D58" t="inlineStr">
        <is>
          <t>DALARNAS LÄN</t>
        </is>
      </c>
      <c r="E58" t="inlineStr">
        <is>
          <t>ORSA</t>
        </is>
      </c>
      <c r="F58" t="inlineStr">
        <is>
          <t>Bergvik skog väst AB</t>
        </is>
      </c>
      <c r="G58" t="n">
        <v>19.2</v>
      </c>
      <c r="H58" t="n">
        <v>1</v>
      </c>
      <c r="I58" t="n">
        <v>0</v>
      </c>
      <c r="J58" t="n">
        <v>0</v>
      </c>
      <c r="K58" t="n">
        <v>0</v>
      </c>
      <c r="L58" t="n">
        <v>0</v>
      </c>
      <c r="M58" t="n">
        <v>0</v>
      </c>
      <c r="N58" t="n">
        <v>0</v>
      </c>
      <c r="O58" t="n">
        <v>0</v>
      </c>
      <c r="P58" t="n">
        <v>0</v>
      </c>
      <c r="Q58" t="n">
        <v>1</v>
      </c>
      <c r="R58" s="2" t="inlineStr">
        <is>
          <t>Revlummer</t>
        </is>
      </c>
      <c r="S58">
        <f>HYPERLINK("https://klasma.github.io/Logging_2034/artfynd/A 32094-2019 artfynd.xlsx", "A 32094-2019")</f>
        <v/>
      </c>
      <c r="T58">
        <f>HYPERLINK("https://klasma.github.io/Logging_2034/kartor/A 32094-2019 karta.png", "A 32094-2019")</f>
        <v/>
      </c>
      <c r="V58">
        <f>HYPERLINK("https://klasma.github.io/Logging_2034/klagomål/A 32094-2019 FSC-klagomål.docx", "A 32094-2019")</f>
        <v/>
      </c>
      <c r="W58">
        <f>HYPERLINK("https://klasma.github.io/Logging_2034/klagomålsmail/A 32094-2019 FSC-klagomål mail.docx", "A 32094-2019")</f>
        <v/>
      </c>
      <c r="X58">
        <f>HYPERLINK("https://klasma.github.io/Logging_2034/tillsyn/A 32094-2019 tillsynsbegäran.docx", "A 32094-2019")</f>
        <v/>
      </c>
      <c r="Y58">
        <f>HYPERLINK("https://klasma.github.io/Logging_2034/tillsynsmail/A 32094-2019 tillsynsbegäran mail.docx", "A 32094-2019")</f>
        <v/>
      </c>
    </row>
    <row r="59" ht="15" customHeight="1">
      <c r="A59" t="inlineStr">
        <is>
          <t>A 38211-2020</t>
        </is>
      </c>
      <c r="B59" s="1" t="n">
        <v>44060</v>
      </c>
      <c r="C59" s="1" t="n">
        <v>45723</v>
      </c>
      <c r="D59" t="inlineStr">
        <is>
          <t>DALARNAS LÄN</t>
        </is>
      </c>
      <c r="E59" t="inlineStr">
        <is>
          <t>ORSA</t>
        </is>
      </c>
      <c r="G59" t="n">
        <v>1.2</v>
      </c>
      <c r="H59" t="n">
        <v>1</v>
      </c>
      <c r="I59" t="n">
        <v>0</v>
      </c>
      <c r="J59" t="n">
        <v>1</v>
      </c>
      <c r="K59" t="n">
        <v>0</v>
      </c>
      <c r="L59" t="n">
        <v>0</v>
      </c>
      <c r="M59" t="n">
        <v>0</v>
      </c>
      <c r="N59" t="n">
        <v>0</v>
      </c>
      <c r="O59" t="n">
        <v>1</v>
      </c>
      <c r="P59" t="n">
        <v>0</v>
      </c>
      <c r="Q59" t="n">
        <v>1</v>
      </c>
      <c r="R59" s="2" t="inlineStr">
        <is>
          <t>Utter</t>
        </is>
      </c>
      <c r="S59">
        <f>HYPERLINK("https://klasma.github.io/Logging_2034/artfynd/A 38211-2020 artfynd.xlsx", "A 38211-2020")</f>
        <v/>
      </c>
      <c r="T59">
        <f>HYPERLINK("https://klasma.github.io/Logging_2034/kartor/A 38211-2020 karta.png", "A 38211-2020")</f>
        <v/>
      </c>
      <c r="V59">
        <f>HYPERLINK("https://klasma.github.io/Logging_2034/klagomål/A 38211-2020 FSC-klagomål.docx", "A 38211-2020")</f>
        <v/>
      </c>
      <c r="W59">
        <f>HYPERLINK("https://klasma.github.io/Logging_2034/klagomålsmail/A 38211-2020 FSC-klagomål mail.docx", "A 38211-2020")</f>
        <v/>
      </c>
      <c r="X59">
        <f>HYPERLINK("https://klasma.github.io/Logging_2034/tillsyn/A 38211-2020 tillsynsbegäran.docx", "A 38211-2020")</f>
        <v/>
      </c>
      <c r="Y59">
        <f>HYPERLINK("https://klasma.github.io/Logging_2034/tillsynsmail/A 38211-2020 tillsynsbegäran mail.docx", "A 38211-2020")</f>
        <v/>
      </c>
    </row>
    <row r="60" ht="15" customHeight="1">
      <c r="A60" t="inlineStr">
        <is>
          <t>A 4144-2022</t>
        </is>
      </c>
      <c r="B60" s="1" t="n">
        <v>44588</v>
      </c>
      <c r="C60" s="1" t="n">
        <v>45723</v>
      </c>
      <c r="D60" t="inlineStr">
        <is>
          <t>DALARNAS LÄN</t>
        </is>
      </c>
      <c r="E60" t="inlineStr">
        <is>
          <t>ORSA</t>
        </is>
      </c>
      <c r="G60" t="n">
        <v>1</v>
      </c>
      <c r="H60" t="n">
        <v>0</v>
      </c>
      <c r="I60" t="n">
        <v>1</v>
      </c>
      <c r="J60" t="n">
        <v>0</v>
      </c>
      <c r="K60" t="n">
        <v>0</v>
      </c>
      <c r="L60" t="n">
        <v>0</v>
      </c>
      <c r="M60" t="n">
        <v>0</v>
      </c>
      <c r="N60" t="n">
        <v>0</v>
      </c>
      <c r="O60" t="n">
        <v>0</v>
      </c>
      <c r="P60" t="n">
        <v>0</v>
      </c>
      <c r="Q60" t="n">
        <v>1</v>
      </c>
      <c r="R60" s="2" t="inlineStr">
        <is>
          <t>Svart trolldruva</t>
        </is>
      </c>
      <c r="S60">
        <f>HYPERLINK("https://klasma.github.io/Logging_2034/artfynd/A 4144-2022 artfynd.xlsx", "A 4144-2022")</f>
        <v/>
      </c>
      <c r="T60">
        <f>HYPERLINK("https://klasma.github.io/Logging_2034/kartor/A 4144-2022 karta.png", "A 4144-2022")</f>
        <v/>
      </c>
      <c r="V60">
        <f>HYPERLINK("https://klasma.github.io/Logging_2034/klagomål/A 4144-2022 FSC-klagomål.docx", "A 4144-2022")</f>
        <v/>
      </c>
      <c r="W60">
        <f>HYPERLINK("https://klasma.github.io/Logging_2034/klagomålsmail/A 4144-2022 FSC-klagomål mail.docx", "A 4144-2022")</f>
        <v/>
      </c>
      <c r="X60">
        <f>HYPERLINK("https://klasma.github.io/Logging_2034/tillsyn/A 4144-2022 tillsynsbegäran.docx", "A 4144-2022")</f>
        <v/>
      </c>
      <c r="Y60">
        <f>HYPERLINK("https://klasma.github.io/Logging_2034/tillsynsmail/A 4144-2022 tillsynsbegäran mail.docx", "A 4144-2022")</f>
        <v/>
      </c>
    </row>
    <row r="61" ht="15" customHeight="1">
      <c r="A61" t="inlineStr">
        <is>
          <t>A 48766-2022</t>
        </is>
      </c>
      <c r="B61" s="1" t="n">
        <v>44859</v>
      </c>
      <c r="C61" s="1" t="n">
        <v>45723</v>
      </c>
      <c r="D61" t="inlineStr">
        <is>
          <t>DALARNAS LÄN</t>
        </is>
      </c>
      <c r="E61" t="inlineStr">
        <is>
          <t>ORSA</t>
        </is>
      </c>
      <c r="F61" t="inlineStr">
        <is>
          <t>Allmännings- och besparingsskogar</t>
        </is>
      </c>
      <c r="G61" t="n">
        <v>3.1</v>
      </c>
      <c r="H61" t="n">
        <v>0</v>
      </c>
      <c r="I61" t="n">
        <v>0</v>
      </c>
      <c r="J61" t="n">
        <v>1</v>
      </c>
      <c r="K61" t="n">
        <v>0</v>
      </c>
      <c r="L61" t="n">
        <v>0</v>
      </c>
      <c r="M61" t="n">
        <v>0</v>
      </c>
      <c r="N61" t="n">
        <v>0</v>
      </c>
      <c r="O61" t="n">
        <v>1</v>
      </c>
      <c r="P61" t="n">
        <v>0</v>
      </c>
      <c r="Q61" t="n">
        <v>1</v>
      </c>
      <c r="R61" s="2" t="inlineStr">
        <is>
          <t>Garnlav</t>
        </is>
      </c>
      <c r="S61">
        <f>HYPERLINK("https://klasma.github.io/Logging_2034/artfynd/A 48766-2022 artfynd.xlsx", "A 48766-2022")</f>
        <v/>
      </c>
      <c r="T61">
        <f>HYPERLINK("https://klasma.github.io/Logging_2034/kartor/A 48766-2022 karta.png", "A 48766-2022")</f>
        <v/>
      </c>
      <c r="V61">
        <f>HYPERLINK("https://klasma.github.io/Logging_2034/klagomål/A 48766-2022 FSC-klagomål.docx", "A 48766-2022")</f>
        <v/>
      </c>
      <c r="W61">
        <f>HYPERLINK("https://klasma.github.io/Logging_2034/klagomålsmail/A 48766-2022 FSC-klagomål mail.docx", "A 48766-2022")</f>
        <v/>
      </c>
      <c r="X61">
        <f>HYPERLINK("https://klasma.github.io/Logging_2034/tillsyn/A 48766-2022 tillsynsbegäran.docx", "A 48766-2022")</f>
        <v/>
      </c>
      <c r="Y61">
        <f>HYPERLINK("https://klasma.github.io/Logging_2034/tillsynsmail/A 48766-2022 tillsynsbegäran mail.docx", "A 48766-2022")</f>
        <v/>
      </c>
    </row>
    <row r="62" ht="15" customHeight="1">
      <c r="A62" t="inlineStr">
        <is>
          <t>A 29044-2023</t>
        </is>
      </c>
      <c r="B62" s="1" t="n">
        <v>45104</v>
      </c>
      <c r="C62" s="1" t="n">
        <v>45723</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Korallblylav</t>
        </is>
      </c>
      <c r="S62">
        <f>HYPERLINK("https://klasma.github.io/Logging_2034/artfynd/A 29044-2023 artfynd.xlsx", "A 29044-2023")</f>
        <v/>
      </c>
      <c r="T62">
        <f>HYPERLINK("https://klasma.github.io/Logging_2034/kartor/A 29044-2023 karta.png", "A 29044-2023")</f>
        <v/>
      </c>
      <c r="V62">
        <f>HYPERLINK("https://klasma.github.io/Logging_2034/klagomål/A 29044-2023 FSC-klagomål.docx", "A 29044-2023")</f>
        <v/>
      </c>
      <c r="W62">
        <f>HYPERLINK("https://klasma.github.io/Logging_2034/klagomålsmail/A 29044-2023 FSC-klagomål mail.docx", "A 29044-2023")</f>
        <v/>
      </c>
      <c r="X62">
        <f>HYPERLINK("https://klasma.github.io/Logging_2034/tillsyn/A 29044-2023 tillsynsbegäran.docx", "A 29044-2023")</f>
        <v/>
      </c>
      <c r="Y62">
        <f>HYPERLINK("https://klasma.github.io/Logging_2034/tillsynsmail/A 29044-2023 tillsynsbegäran mail.docx", "A 29044-2023")</f>
        <v/>
      </c>
    </row>
    <row r="63" ht="15" customHeight="1">
      <c r="A63" t="inlineStr">
        <is>
          <t>A 35112-2023</t>
        </is>
      </c>
      <c r="B63" s="1" t="n">
        <v>45145</v>
      </c>
      <c r="C63" s="1" t="n">
        <v>45723</v>
      </c>
      <c r="D63" t="inlineStr">
        <is>
          <t>DALARNAS LÄN</t>
        </is>
      </c>
      <c r="E63" t="inlineStr">
        <is>
          <t>ORSA</t>
        </is>
      </c>
      <c r="F63" t="inlineStr">
        <is>
          <t>Allmännings- och besparingsskogar</t>
        </is>
      </c>
      <c r="G63" t="n">
        <v>6.9</v>
      </c>
      <c r="H63" t="n">
        <v>0</v>
      </c>
      <c r="I63" t="n">
        <v>0</v>
      </c>
      <c r="J63" t="n">
        <v>1</v>
      </c>
      <c r="K63" t="n">
        <v>0</v>
      </c>
      <c r="L63" t="n">
        <v>0</v>
      </c>
      <c r="M63" t="n">
        <v>0</v>
      </c>
      <c r="N63" t="n">
        <v>0</v>
      </c>
      <c r="O63" t="n">
        <v>1</v>
      </c>
      <c r="P63" t="n">
        <v>0</v>
      </c>
      <c r="Q63" t="n">
        <v>1</v>
      </c>
      <c r="R63" s="2" t="inlineStr">
        <is>
          <t>Skrovellav</t>
        </is>
      </c>
      <c r="S63">
        <f>HYPERLINK("https://klasma.github.io/Logging_2034/artfynd/A 35112-2023 artfynd.xlsx", "A 35112-2023")</f>
        <v/>
      </c>
      <c r="T63">
        <f>HYPERLINK("https://klasma.github.io/Logging_2034/kartor/A 35112-2023 karta.png", "A 35112-2023")</f>
        <v/>
      </c>
      <c r="V63">
        <f>HYPERLINK("https://klasma.github.io/Logging_2034/klagomål/A 35112-2023 FSC-klagomål.docx", "A 35112-2023")</f>
        <v/>
      </c>
      <c r="W63">
        <f>HYPERLINK("https://klasma.github.io/Logging_2034/klagomålsmail/A 35112-2023 FSC-klagomål mail.docx", "A 35112-2023")</f>
        <v/>
      </c>
      <c r="X63">
        <f>HYPERLINK("https://klasma.github.io/Logging_2034/tillsyn/A 35112-2023 tillsynsbegäran.docx", "A 35112-2023")</f>
        <v/>
      </c>
      <c r="Y63">
        <f>HYPERLINK("https://klasma.github.io/Logging_2034/tillsynsmail/A 35112-2023 tillsynsbegäran mail.docx", "A 35112-2023")</f>
        <v/>
      </c>
    </row>
    <row r="64" ht="15" customHeight="1">
      <c r="A64" t="inlineStr">
        <is>
          <t>A 37887-2023</t>
        </is>
      </c>
      <c r="B64" s="1" t="n">
        <v>45160</v>
      </c>
      <c r="C64" s="1" t="n">
        <v>45723</v>
      </c>
      <c r="D64" t="inlineStr">
        <is>
          <t>DALARNAS LÄN</t>
        </is>
      </c>
      <c r="E64" t="inlineStr">
        <is>
          <t>ORSA</t>
        </is>
      </c>
      <c r="F64" t="inlineStr">
        <is>
          <t>Allmännings- och besparingsskogar</t>
        </is>
      </c>
      <c r="G64" t="n">
        <v>20.5</v>
      </c>
      <c r="H64" t="n">
        <v>1</v>
      </c>
      <c r="I64" t="n">
        <v>0</v>
      </c>
      <c r="J64" t="n">
        <v>1</v>
      </c>
      <c r="K64" t="n">
        <v>0</v>
      </c>
      <c r="L64" t="n">
        <v>0</v>
      </c>
      <c r="M64" t="n">
        <v>0</v>
      </c>
      <c r="N64" t="n">
        <v>0</v>
      </c>
      <c r="O64" t="n">
        <v>1</v>
      </c>
      <c r="P64" t="n">
        <v>0</v>
      </c>
      <c r="Q64" t="n">
        <v>1</v>
      </c>
      <c r="R64" s="2" t="inlineStr">
        <is>
          <t>Varglav</t>
        </is>
      </c>
      <c r="S64">
        <f>HYPERLINK("https://klasma.github.io/Logging_2034/artfynd/A 37887-2023 artfynd.xlsx", "A 37887-2023")</f>
        <v/>
      </c>
      <c r="T64">
        <f>HYPERLINK("https://klasma.github.io/Logging_2034/kartor/A 37887-2023 karta.png", "A 37887-2023")</f>
        <v/>
      </c>
      <c r="V64">
        <f>HYPERLINK("https://klasma.github.io/Logging_2034/klagomål/A 37887-2023 FSC-klagomål.docx", "A 37887-2023")</f>
        <v/>
      </c>
      <c r="W64">
        <f>HYPERLINK("https://klasma.github.io/Logging_2034/klagomålsmail/A 37887-2023 FSC-klagomål mail.docx", "A 37887-2023")</f>
        <v/>
      </c>
      <c r="X64">
        <f>HYPERLINK("https://klasma.github.io/Logging_2034/tillsyn/A 37887-2023 tillsynsbegäran.docx", "A 37887-2023")</f>
        <v/>
      </c>
      <c r="Y64">
        <f>HYPERLINK("https://klasma.github.io/Logging_2034/tillsynsmail/A 37887-2023 tillsynsbegäran mail.docx", "A 37887-2023")</f>
        <v/>
      </c>
    </row>
    <row r="65" ht="15" customHeight="1">
      <c r="A65" t="inlineStr">
        <is>
          <t>A 40288-2023</t>
        </is>
      </c>
      <c r="B65" s="1" t="n">
        <v>45169</v>
      </c>
      <c r="C65" s="1" t="n">
        <v>45723</v>
      </c>
      <c r="D65" t="inlineStr">
        <is>
          <t>DALARNAS LÄN</t>
        </is>
      </c>
      <c r="E65" t="inlineStr">
        <is>
          <t>ORSA</t>
        </is>
      </c>
      <c r="F65" t="inlineStr">
        <is>
          <t>Allmännings- och besparingsskogar</t>
        </is>
      </c>
      <c r="G65" t="n">
        <v>4.2</v>
      </c>
      <c r="H65" t="n">
        <v>0</v>
      </c>
      <c r="I65" t="n">
        <v>0</v>
      </c>
      <c r="J65" t="n">
        <v>1</v>
      </c>
      <c r="K65" t="n">
        <v>0</v>
      </c>
      <c r="L65" t="n">
        <v>0</v>
      </c>
      <c r="M65" t="n">
        <v>0</v>
      </c>
      <c r="N65" t="n">
        <v>0</v>
      </c>
      <c r="O65" t="n">
        <v>1</v>
      </c>
      <c r="P65" t="n">
        <v>0</v>
      </c>
      <c r="Q65" t="n">
        <v>1</v>
      </c>
      <c r="R65" s="2" t="inlineStr">
        <is>
          <t>Vedflamlav</t>
        </is>
      </c>
      <c r="S65">
        <f>HYPERLINK("https://klasma.github.io/Logging_2034/artfynd/A 40288-2023 artfynd.xlsx", "A 40288-2023")</f>
        <v/>
      </c>
      <c r="T65">
        <f>HYPERLINK("https://klasma.github.io/Logging_2034/kartor/A 40288-2023 karta.png", "A 40288-2023")</f>
        <v/>
      </c>
      <c r="V65">
        <f>HYPERLINK("https://klasma.github.io/Logging_2034/klagomål/A 40288-2023 FSC-klagomål.docx", "A 40288-2023")</f>
        <v/>
      </c>
      <c r="W65">
        <f>HYPERLINK("https://klasma.github.io/Logging_2034/klagomålsmail/A 40288-2023 FSC-klagomål mail.docx", "A 40288-2023")</f>
        <v/>
      </c>
      <c r="X65">
        <f>HYPERLINK("https://klasma.github.io/Logging_2034/tillsyn/A 40288-2023 tillsynsbegäran.docx", "A 40288-2023")</f>
        <v/>
      </c>
      <c r="Y65">
        <f>HYPERLINK("https://klasma.github.io/Logging_2034/tillsynsmail/A 40288-2023 tillsynsbegäran mail.docx", "A 40288-2023")</f>
        <v/>
      </c>
    </row>
    <row r="66" ht="15" customHeight="1">
      <c r="A66" t="inlineStr">
        <is>
          <t>A 46179-2023</t>
        </is>
      </c>
      <c r="B66" s="1" t="n">
        <v>45196</v>
      </c>
      <c r="C66" s="1" t="n">
        <v>45723</v>
      </c>
      <c r="D66" t="inlineStr">
        <is>
          <t>DALARNAS LÄN</t>
        </is>
      </c>
      <c r="E66" t="inlineStr">
        <is>
          <t>ORSA</t>
        </is>
      </c>
      <c r="G66" t="n">
        <v>4.1</v>
      </c>
      <c r="H66" t="n">
        <v>0</v>
      </c>
      <c r="I66" t="n">
        <v>1</v>
      </c>
      <c r="J66" t="n">
        <v>0</v>
      </c>
      <c r="K66" t="n">
        <v>0</v>
      </c>
      <c r="L66" t="n">
        <v>0</v>
      </c>
      <c r="M66" t="n">
        <v>0</v>
      </c>
      <c r="N66" t="n">
        <v>0</v>
      </c>
      <c r="O66" t="n">
        <v>0</v>
      </c>
      <c r="P66" t="n">
        <v>0</v>
      </c>
      <c r="Q66" t="n">
        <v>1</v>
      </c>
      <c r="R66" s="2" t="inlineStr">
        <is>
          <t>Dropptaggsvamp</t>
        </is>
      </c>
      <c r="S66">
        <f>HYPERLINK("https://klasma.github.io/Logging_2034/artfynd/A 46179-2023 artfynd.xlsx", "A 46179-2023")</f>
        <v/>
      </c>
      <c r="T66">
        <f>HYPERLINK("https://klasma.github.io/Logging_2034/kartor/A 46179-2023 karta.png", "A 46179-2023")</f>
        <v/>
      </c>
      <c r="V66">
        <f>HYPERLINK("https://klasma.github.io/Logging_2034/klagomål/A 46179-2023 FSC-klagomål.docx", "A 46179-2023")</f>
        <v/>
      </c>
      <c r="W66">
        <f>HYPERLINK("https://klasma.github.io/Logging_2034/klagomålsmail/A 46179-2023 FSC-klagomål mail.docx", "A 46179-2023")</f>
        <v/>
      </c>
      <c r="X66">
        <f>HYPERLINK("https://klasma.github.io/Logging_2034/tillsyn/A 46179-2023 tillsynsbegäran.docx", "A 46179-2023")</f>
        <v/>
      </c>
      <c r="Y66">
        <f>HYPERLINK("https://klasma.github.io/Logging_2034/tillsynsmail/A 46179-2023 tillsynsbegäran mail.docx", "A 46179-2023")</f>
        <v/>
      </c>
    </row>
    <row r="67" ht="15" customHeight="1">
      <c r="A67" t="inlineStr">
        <is>
          <t>A 48452-2023</t>
        </is>
      </c>
      <c r="B67" s="1" t="n">
        <v>45206</v>
      </c>
      <c r="C67" s="1" t="n">
        <v>45723</v>
      </c>
      <c r="D67" t="inlineStr">
        <is>
          <t>DALARNAS LÄN</t>
        </is>
      </c>
      <c r="E67" t="inlineStr">
        <is>
          <t>ORSA</t>
        </is>
      </c>
      <c r="G67" t="n">
        <v>1.5</v>
      </c>
      <c r="H67" t="n">
        <v>0</v>
      </c>
      <c r="I67" t="n">
        <v>0</v>
      </c>
      <c r="J67" t="n">
        <v>1</v>
      </c>
      <c r="K67" t="n">
        <v>0</v>
      </c>
      <c r="L67" t="n">
        <v>0</v>
      </c>
      <c r="M67" t="n">
        <v>0</v>
      </c>
      <c r="N67" t="n">
        <v>0</v>
      </c>
      <c r="O67" t="n">
        <v>1</v>
      </c>
      <c r="P67" t="n">
        <v>0</v>
      </c>
      <c r="Q67" t="n">
        <v>1</v>
      </c>
      <c r="R67" s="2" t="inlineStr">
        <is>
          <t>Motaggsvamp</t>
        </is>
      </c>
      <c r="S67">
        <f>HYPERLINK("https://klasma.github.io/Logging_2034/artfynd/A 48452-2023 artfynd.xlsx", "A 48452-2023")</f>
        <v/>
      </c>
      <c r="T67">
        <f>HYPERLINK("https://klasma.github.io/Logging_2034/kartor/A 48452-2023 karta.png", "A 48452-2023")</f>
        <v/>
      </c>
      <c r="V67">
        <f>HYPERLINK("https://klasma.github.io/Logging_2034/klagomål/A 48452-2023 FSC-klagomål.docx", "A 48452-2023")</f>
        <v/>
      </c>
      <c r="W67">
        <f>HYPERLINK("https://klasma.github.io/Logging_2034/klagomålsmail/A 48452-2023 FSC-klagomål mail.docx", "A 48452-2023")</f>
        <v/>
      </c>
      <c r="X67">
        <f>HYPERLINK("https://klasma.github.io/Logging_2034/tillsyn/A 48452-2023 tillsynsbegäran.docx", "A 48452-2023")</f>
        <v/>
      </c>
      <c r="Y67">
        <f>HYPERLINK("https://klasma.github.io/Logging_2034/tillsynsmail/A 48452-2023 tillsynsbegäran mail.docx", "A 48452-2023")</f>
        <v/>
      </c>
    </row>
    <row r="68" ht="15" customHeight="1">
      <c r="A68" t="inlineStr">
        <is>
          <t>A 49515-2023</t>
        </is>
      </c>
      <c r="B68" s="1" t="n">
        <v>45211</v>
      </c>
      <c r="C68" s="1" t="n">
        <v>45723</v>
      </c>
      <c r="D68" t="inlineStr">
        <is>
          <t>DALARNAS LÄN</t>
        </is>
      </c>
      <c r="E68" t="inlineStr">
        <is>
          <t>ORSA</t>
        </is>
      </c>
      <c r="F68" t="inlineStr">
        <is>
          <t>Allmännings- och besparingsskogar</t>
        </is>
      </c>
      <c r="G68" t="n">
        <v>17.5</v>
      </c>
      <c r="H68" t="n">
        <v>0</v>
      </c>
      <c r="I68" t="n">
        <v>1</v>
      </c>
      <c r="J68" t="n">
        <v>0</v>
      </c>
      <c r="K68" t="n">
        <v>0</v>
      </c>
      <c r="L68" t="n">
        <v>0</v>
      </c>
      <c r="M68" t="n">
        <v>0</v>
      </c>
      <c r="N68" t="n">
        <v>0</v>
      </c>
      <c r="O68" t="n">
        <v>0</v>
      </c>
      <c r="P68" t="n">
        <v>0</v>
      </c>
      <c r="Q68" t="n">
        <v>1</v>
      </c>
      <c r="R68" s="2" t="inlineStr">
        <is>
          <t>Skarp dropptaggsvamp</t>
        </is>
      </c>
      <c r="S68">
        <f>HYPERLINK("https://klasma.github.io/Logging_2034/artfynd/A 49515-2023 artfynd.xlsx", "A 49515-2023")</f>
        <v/>
      </c>
      <c r="T68">
        <f>HYPERLINK("https://klasma.github.io/Logging_2034/kartor/A 49515-2023 karta.png", "A 49515-2023")</f>
        <v/>
      </c>
      <c r="V68">
        <f>HYPERLINK("https://klasma.github.io/Logging_2034/klagomål/A 49515-2023 FSC-klagomål.docx", "A 49515-2023")</f>
        <v/>
      </c>
      <c r="W68">
        <f>HYPERLINK("https://klasma.github.io/Logging_2034/klagomålsmail/A 49515-2023 FSC-klagomål mail.docx", "A 49515-2023")</f>
        <v/>
      </c>
      <c r="X68">
        <f>HYPERLINK("https://klasma.github.io/Logging_2034/tillsyn/A 49515-2023 tillsynsbegäran.docx", "A 49515-2023")</f>
        <v/>
      </c>
      <c r="Y68">
        <f>HYPERLINK("https://klasma.github.io/Logging_2034/tillsynsmail/A 49515-2023 tillsynsbegäran mail.docx", "A 49515-2023")</f>
        <v/>
      </c>
    </row>
    <row r="69" ht="15" customHeight="1">
      <c r="A69" t="inlineStr">
        <is>
          <t>A 30493-2024</t>
        </is>
      </c>
      <c r="B69" s="1" t="n">
        <v>45492</v>
      </c>
      <c r="C69" s="1" t="n">
        <v>45723</v>
      </c>
      <c r="D69" t="inlineStr">
        <is>
          <t>DALARNAS LÄN</t>
        </is>
      </c>
      <c r="E69" t="inlineStr">
        <is>
          <t>ORSA</t>
        </is>
      </c>
      <c r="F69" t="inlineStr">
        <is>
          <t>Övriga statliga verk och myndigheter</t>
        </is>
      </c>
      <c r="G69" t="n">
        <v>2.2</v>
      </c>
      <c r="H69" t="n">
        <v>0</v>
      </c>
      <c r="I69" t="n">
        <v>0</v>
      </c>
      <c r="J69" t="n">
        <v>1</v>
      </c>
      <c r="K69" t="n">
        <v>0</v>
      </c>
      <c r="L69" t="n">
        <v>0</v>
      </c>
      <c r="M69" t="n">
        <v>0</v>
      </c>
      <c r="N69" t="n">
        <v>0</v>
      </c>
      <c r="O69" t="n">
        <v>1</v>
      </c>
      <c r="P69" t="n">
        <v>0</v>
      </c>
      <c r="Q69" t="n">
        <v>1</v>
      </c>
      <c r="R69" s="2" t="inlineStr">
        <is>
          <t>Garnlav</t>
        </is>
      </c>
      <c r="S69">
        <f>HYPERLINK("https://klasma.github.io/Logging_2034/artfynd/A 30493-2024 artfynd.xlsx", "A 30493-2024")</f>
        <v/>
      </c>
      <c r="T69">
        <f>HYPERLINK("https://klasma.github.io/Logging_2034/kartor/A 30493-2024 karta.png", "A 30493-2024")</f>
        <v/>
      </c>
      <c r="V69">
        <f>HYPERLINK("https://klasma.github.io/Logging_2034/klagomål/A 30493-2024 FSC-klagomål.docx", "A 30493-2024")</f>
        <v/>
      </c>
      <c r="W69">
        <f>HYPERLINK("https://klasma.github.io/Logging_2034/klagomålsmail/A 30493-2024 FSC-klagomål mail.docx", "A 30493-2024")</f>
        <v/>
      </c>
      <c r="X69">
        <f>HYPERLINK("https://klasma.github.io/Logging_2034/tillsyn/A 30493-2024 tillsynsbegäran.docx", "A 30493-2024")</f>
        <v/>
      </c>
      <c r="Y69">
        <f>HYPERLINK("https://klasma.github.io/Logging_2034/tillsynsmail/A 30493-2024 tillsynsbegäran mail.docx", "A 30493-2024")</f>
        <v/>
      </c>
    </row>
    <row r="70" ht="15" customHeight="1">
      <c r="A70" t="inlineStr">
        <is>
          <t>A 26119-2019</t>
        </is>
      </c>
      <c r="B70" s="1" t="n">
        <v>43609</v>
      </c>
      <c r="C70" s="1" t="n">
        <v>45723</v>
      </c>
      <c r="D70" t="inlineStr">
        <is>
          <t>DALARNAS LÄN</t>
        </is>
      </c>
      <c r="E70" t="inlineStr">
        <is>
          <t>ORSA</t>
        </is>
      </c>
      <c r="F70" t="inlineStr">
        <is>
          <t>Allmännings- och besparingsskogar</t>
        </is>
      </c>
      <c r="G70" t="n">
        <v>4.7</v>
      </c>
      <c r="H70" t="n">
        <v>0</v>
      </c>
      <c r="I70" t="n">
        <v>0</v>
      </c>
      <c r="J70" t="n">
        <v>0</v>
      </c>
      <c r="K70" t="n">
        <v>0</v>
      </c>
      <c r="L70" t="n">
        <v>0</v>
      </c>
      <c r="M70" t="n">
        <v>0</v>
      </c>
      <c r="N70" t="n">
        <v>0</v>
      </c>
      <c r="O70" t="n">
        <v>0</v>
      </c>
      <c r="P70" t="n">
        <v>0</v>
      </c>
      <c r="Q70" t="n">
        <v>0</v>
      </c>
      <c r="R70" s="2" t="inlineStr"/>
    </row>
    <row r="71" ht="15" customHeight="1">
      <c r="A71" t="inlineStr">
        <is>
          <t>A 28464-2019</t>
        </is>
      </c>
      <c r="B71" s="1" t="n">
        <v>43626</v>
      </c>
      <c r="C71" s="1" t="n">
        <v>45723</v>
      </c>
      <c r="D71" t="inlineStr">
        <is>
          <t>DALARNAS LÄN</t>
        </is>
      </c>
      <c r="E71" t="inlineStr">
        <is>
          <t>ORSA</t>
        </is>
      </c>
      <c r="F71" t="inlineStr">
        <is>
          <t>Bergvik skog öst AB</t>
        </is>
      </c>
      <c r="G71" t="n">
        <v>0.8</v>
      </c>
      <c r="H71" t="n">
        <v>0</v>
      </c>
      <c r="I71" t="n">
        <v>0</v>
      </c>
      <c r="J71" t="n">
        <v>0</v>
      </c>
      <c r="K71" t="n">
        <v>0</v>
      </c>
      <c r="L71" t="n">
        <v>0</v>
      </c>
      <c r="M71" t="n">
        <v>0</v>
      </c>
      <c r="N71" t="n">
        <v>0</v>
      </c>
      <c r="O71" t="n">
        <v>0</v>
      </c>
      <c r="P71" t="n">
        <v>0</v>
      </c>
      <c r="Q71" t="n">
        <v>0</v>
      </c>
      <c r="R71" s="2" t="inlineStr"/>
    </row>
    <row r="72" ht="15" customHeight="1">
      <c r="A72" t="inlineStr">
        <is>
          <t>A 31099-2019</t>
        </is>
      </c>
      <c r="B72" s="1" t="n">
        <v>43640</v>
      </c>
      <c r="C72" s="1" t="n">
        <v>45723</v>
      </c>
      <c r="D72" t="inlineStr">
        <is>
          <t>DALARNAS LÄN</t>
        </is>
      </c>
      <c r="E72" t="inlineStr">
        <is>
          <t>ORSA</t>
        </is>
      </c>
      <c r="F72" t="inlineStr">
        <is>
          <t>Allmännings- och besparingsskogar</t>
        </is>
      </c>
      <c r="G72" t="n">
        <v>5</v>
      </c>
      <c r="H72" t="n">
        <v>0</v>
      </c>
      <c r="I72" t="n">
        <v>0</v>
      </c>
      <c r="J72" t="n">
        <v>0</v>
      </c>
      <c r="K72" t="n">
        <v>0</v>
      </c>
      <c r="L72" t="n">
        <v>0</v>
      </c>
      <c r="M72" t="n">
        <v>0</v>
      </c>
      <c r="N72" t="n">
        <v>0</v>
      </c>
      <c r="O72" t="n">
        <v>0</v>
      </c>
      <c r="P72" t="n">
        <v>0</v>
      </c>
      <c r="Q72" t="n">
        <v>0</v>
      </c>
      <c r="R72" s="2" t="inlineStr"/>
    </row>
    <row r="73" ht="15" customHeight="1">
      <c r="A73" t="inlineStr">
        <is>
          <t>A 31956-2019</t>
        </is>
      </c>
      <c r="B73" s="1" t="n">
        <v>43643</v>
      </c>
      <c r="C73" s="1" t="n">
        <v>45723</v>
      </c>
      <c r="D73" t="inlineStr">
        <is>
          <t>DALARNAS LÄN</t>
        </is>
      </c>
      <c r="E73" t="inlineStr">
        <is>
          <t>ORSA</t>
        </is>
      </c>
      <c r="F73" t="inlineStr">
        <is>
          <t>Bergvik skog öst AB</t>
        </is>
      </c>
      <c r="G73" t="n">
        <v>1.3</v>
      </c>
      <c r="H73" t="n">
        <v>0</v>
      </c>
      <c r="I73" t="n">
        <v>0</v>
      </c>
      <c r="J73" t="n">
        <v>0</v>
      </c>
      <c r="K73" t="n">
        <v>0</v>
      </c>
      <c r="L73" t="n">
        <v>0</v>
      </c>
      <c r="M73" t="n">
        <v>0</v>
      </c>
      <c r="N73" t="n">
        <v>0</v>
      </c>
      <c r="O73" t="n">
        <v>0</v>
      </c>
      <c r="P73" t="n">
        <v>0</v>
      </c>
      <c r="Q73" t="n">
        <v>0</v>
      </c>
      <c r="R73" s="2" t="inlineStr"/>
    </row>
    <row r="74" ht="15" customHeight="1">
      <c r="A74" t="inlineStr">
        <is>
          <t>A 32933-2019</t>
        </is>
      </c>
      <c r="B74" s="1" t="n">
        <v>43648</v>
      </c>
      <c r="C74" s="1" t="n">
        <v>45723</v>
      </c>
      <c r="D74" t="inlineStr">
        <is>
          <t>DALARNAS LÄN</t>
        </is>
      </c>
      <c r="E74" t="inlineStr">
        <is>
          <t>ORSA</t>
        </is>
      </c>
      <c r="G74" t="n">
        <v>6.3</v>
      </c>
      <c r="H74" t="n">
        <v>0</v>
      </c>
      <c r="I74" t="n">
        <v>0</v>
      </c>
      <c r="J74" t="n">
        <v>0</v>
      </c>
      <c r="K74" t="n">
        <v>0</v>
      </c>
      <c r="L74" t="n">
        <v>0</v>
      </c>
      <c r="M74" t="n">
        <v>0</v>
      </c>
      <c r="N74" t="n">
        <v>0</v>
      </c>
      <c r="O74" t="n">
        <v>0</v>
      </c>
      <c r="P74" t="n">
        <v>0</v>
      </c>
      <c r="Q74" t="n">
        <v>0</v>
      </c>
      <c r="R74" s="2" t="inlineStr"/>
    </row>
    <row r="75" ht="15" customHeight="1">
      <c r="A75" t="inlineStr">
        <is>
          <t>A 34257-2019</t>
        </is>
      </c>
      <c r="B75" s="1" t="n">
        <v>43655</v>
      </c>
      <c r="C75" s="1" t="n">
        <v>45723</v>
      </c>
      <c r="D75" t="inlineStr">
        <is>
          <t>DALARNAS LÄN</t>
        </is>
      </c>
      <c r="E75" t="inlineStr">
        <is>
          <t>ORSA</t>
        </is>
      </c>
      <c r="G75" t="n">
        <v>2.9</v>
      </c>
      <c r="H75" t="n">
        <v>0</v>
      </c>
      <c r="I75" t="n">
        <v>0</v>
      </c>
      <c r="J75" t="n">
        <v>0</v>
      </c>
      <c r="K75" t="n">
        <v>0</v>
      </c>
      <c r="L75" t="n">
        <v>0</v>
      </c>
      <c r="M75" t="n">
        <v>0</v>
      </c>
      <c r="N75" t="n">
        <v>0</v>
      </c>
      <c r="O75" t="n">
        <v>0</v>
      </c>
      <c r="P75" t="n">
        <v>0</v>
      </c>
      <c r="Q75" t="n">
        <v>0</v>
      </c>
      <c r="R75" s="2" t="inlineStr"/>
    </row>
    <row r="76" ht="15" customHeight="1">
      <c r="A76" t="inlineStr">
        <is>
          <t>A 34521-2019</t>
        </is>
      </c>
      <c r="B76" s="1" t="n">
        <v>43657</v>
      </c>
      <c r="C76" s="1" t="n">
        <v>45723</v>
      </c>
      <c r="D76" t="inlineStr">
        <is>
          <t>DALARNAS LÄN</t>
        </is>
      </c>
      <c r="E76" t="inlineStr">
        <is>
          <t>ORSA</t>
        </is>
      </c>
      <c r="G76" t="n">
        <v>0.8</v>
      </c>
      <c r="H76" t="n">
        <v>0</v>
      </c>
      <c r="I76" t="n">
        <v>0</v>
      </c>
      <c r="J76" t="n">
        <v>0</v>
      </c>
      <c r="K76" t="n">
        <v>0</v>
      </c>
      <c r="L76" t="n">
        <v>0</v>
      </c>
      <c r="M76" t="n">
        <v>0</v>
      </c>
      <c r="N76" t="n">
        <v>0</v>
      </c>
      <c r="O76" t="n">
        <v>0</v>
      </c>
      <c r="P76" t="n">
        <v>0</v>
      </c>
      <c r="Q76" t="n">
        <v>0</v>
      </c>
      <c r="R76" s="2" t="inlineStr"/>
    </row>
    <row r="77" ht="15" customHeight="1">
      <c r="A77" t="inlineStr">
        <is>
          <t>A 36274-2019</t>
        </is>
      </c>
      <c r="B77" s="1" t="n">
        <v>43661</v>
      </c>
      <c r="C77" s="1" t="n">
        <v>45723</v>
      </c>
      <c r="D77" t="inlineStr">
        <is>
          <t>DALARNAS LÄN</t>
        </is>
      </c>
      <c r="E77" t="inlineStr">
        <is>
          <t>ORSA</t>
        </is>
      </c>
      <c r="G77" t="n">
        <v>1.4</v>
      </c>
      <c r="H77" t="n">
        <v>0</v>
      </c>
      <c r="I77" t="n">
        <v>0</v>
      </c>
      <c r="J77" t="n">
        <v>0</v>
      </c>
      <c r="K77" t="n">
        <v>0</v>
      </c>
      <c r="L77" t="n">
        <v>0</v>
      </c>
      <c r="M77" t="n">
        <v>0</v>
      </c>
      <c r="N77" t="n">
        <v>0</v>
      </c>
      <c r="O77" t="n">
        <v>0</v>
      </c>
      <c r="P77" t="n">
        <v>0</v>
      </c>
      <c r="Q77" t="n">
        <v>0</v>
      </c>
      <c r="R77" s="2" t="inlineStr"/>
    </row>
    <row r="78" ht="15" customHeight="1">
      <c r="A78" t="inlineStr">
        <is>
          <t>A 35663-2019</t>
        </is>
      </c>
      <c r="B78" s="1" t="n">
        <v>43664</v>
      </c>
      <c r="C78" s="1" t="n">
        <v>45723</v>
      </c>
      <c r="D78" t="inlineStr">
        <is>
          <t>DALARNAS LÄN</t>
        </is>
      </c>
      <c r="E78" t="inlineStr">
        <is>
          <t>ORSA</t>
        </is>
      </c>
      <c r="G78" t="n">
        <v>2.7</v>
      </c>
      <c r="H78" t="n">
        <v>0</v>
      </c>
      <c r="I78" t="n">
        <v>0</v>
      </c>
      <c r="J78" t="n">
        <v>0</v>
      </c>
      <c r="K78" t="n">
        <v>0</v>
      </c>
      <c r="L78" t="n">
        <v>0</v>
      </c>
      <c r="M78" t="n">
        <v>0</v>
      </c>
      <c r="N78" t="n">
        <v>0</v>
      </c>
      <c r="O78" t="n">
        <v>0</v>
      </c>
      <c r="P78" t="n">
        <v>0</v>
      </c>
      <c r="Q78" t="n">
        <v>0</v>
      </c>
      <c r="R78" s="2" t="inlineStr"/>
    </row>
    <row r="79" ht="15" customHeight="1">
      <c r="A79" t="inlineStr">
        <is>
          <t>A 36989-2019</t>
        </is>
      </c>
      <c r="B79" s="1" t="n">
        <v>43676</v>
      </c>
      <c r="C79" s="1" t="n">
        <v>45723</v>
      </c>
      <c r="D79" t="inlineStr">
        <is>
          <t>DALARNAS LÄN</t>
        </is>
      </c>
      <c r="E79" t="inlineStr">
        <is>
          <t>ORSA</t>
        </is>
      </c>
      <c r="G79" t="n">
        <v>0.5</v>
      </c>
      <c r="H79" t="n">
        <v>0</v>
      </c>
      <c r="I79" t="n">
        <v>0</v>
      </c>
      <c r="J79" t="n">
        <v>0</v>
      </c>
      <c r="K79" t="n">
        <v>0</v>
      </c>
      <c r="L79" t="n">
        <v>0</v>
      </c>
      <c r="M79" t="n">
        <v>0</v>
      </c>
      <c r="N79" t="n">
        <v>0</v>
      </c>
      <c r="O79" t="n">
        <v>0</v>
      </c>
      <c r="P79" t="n">
        <v>0</v>
      </c>
      <c r="Q79" t="n">
        <v>0</v>
      </c>
      <c r="R79" s="2" t="inlineStr"/>
    </row>
    <row r="80" ht="15" customHeight="1">
      <c r="A80" t="inlineStr">
        <is>
          <t>A 37001-2019</t>
        </is>
      </c>
      <c r="B80" s="1" t="n">
        <v>43676</v>
      </c>
      <c r="C80" s="1" t="n">
        <v>45723</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37809-2019</t>
        </is>
      </c>
      <c r="B81" s="1" t="n">
        <v>43682</v>
      </c>
      <c r="C81" s="1" t="n">
        <v>45723</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38858-2019</t>
        </is>
      </c>
      <c r="B82" s="1" t="n">
        <v>43689</v>
      </c>
      <c r="C82" s="1" t="n">
        <v>45723</v>
      </c>
      <c r="D82" t="inlineStr">
        <is>
          <t>DALARNAS LÄN</t>
        </is>
      </c>
      <c r="E82" t="inlineStr">
        <is>
          <t>ORSA</t>
        </is>
      </c>
      <c r="G82" t="n">
        <v>2.1</v>
      </c>
      <c r="H82" t="n">
        <v>0</v>
      </c>
      <c r="I82" t="n">
        <v>0</v>
      </c>
      <c r="J82" t="n">
        <v>0</v>
      </c>
      <c r="K82" t="n">
        <v>0</v>
      </c>
      <c r="L82" t="n">
        <v>0</v>
      </c>
      <c r="M82" t="n">
        <v>0</v>
      </c>
      <c r="N82" t="n">
        <v>0</v>
      </c>
      <c r="O82" t="n">
        <v>0</v>
      </c>
      <c r="P82" t="n">
        <v>0</v>
      </c>
      <c r="Q82" t="n">
        <v>0</v>
      </c>
      <c r="R82" s="2" t="inlineStr"/>
    </row>
    <row r="83" ht="15" customHeight="1">
      <c r="A83" t="inlineStr">
        <is>
          <t>A 38857-2019</t>
        </is>
      </c>
      <c r="B83" s="1" t="n">
        <v>43689</v>
      </c>
      <c r="C83" s="1" t="n">
        <v>45723</v>
      </c>
      <c r="D83" t="inlineStr">
        <is>
          <t>DALARNAS LÄN</t>
        </is>
      </c>
      <c r="E83" t="inlineStr">
        <is>
          <t>ORSA</t>
        </is>
      </c>
      <c r="G83" t="n">
        <v>1.7</v>
      </c>
      <c r="H83" t="n">
        <v>0</v>
      </c>
      <c r="I83" t="n">
        <v>0</v>
      </c>
      <c r="J83" t="n">
        <v>0</v>
      </c>
      <c r="K83" t="n">
        <v>0</v>
      </c>
      <c r="L83" t="n">
        <v>0</v>
      </c>
      <c r="M83" t="n">
        <v>0</v>
      </c>
      <c r="N83" t="n">
        <v>0</v>
      </c>
      <c r="O83" t="n">
        <v>0</v>
      </c>
      <c r="P83" t="n">
        <v>0</v>
      </c>
      <c r="Q83" t="n">
        <v>0</v>
      </c>
      <c r="R83" s="2" t="inlineStr"/>
    </row>
    <row r="84" ht="15" customHeight="1">
      <c r="A84" t="inlineStr">
        <is>
          <t>A 43403-2019</t>
        </is>
      </c>
      <c r="B84" s="1" t="n">
        <v>43706</v>
      </c>
      <c r="C84" s="1" t="n">
        <v>45723</v>
      </c>
      <c r="D84" t="inlineStr">
        <is>
          <t>DALARNAS LÄN</t>
        </is>
      </c>
      <c r="E84" t="inlineStr">
        <is>
          <t>ORSA</t>
        </is>
      </c>
      <c r="G84" t="n">
        <v>2.5</v>
      </c>
      <c r="H84" t="n">
        <v>0</v>
      </c>
      <c r="I84" t="n">
        <v>0</v>
      </c>
      <c r="J84" t="n">
        <v>0</v>
      </c>
      <c r="K84" t="n">
        <v>0</v>
      </c>
      <c r="L84" t="n">
        <v>0</v>
      </c>
      <c r="M84" t="n">
        <v>0</v>
      </c>
      <c r="N84" t="n">
        <v>0</v>
      </c>
      <c r="O84" t="n">
        <v>0</v>
      </c>
      <c r="P84" t="n">
        <v>0</v>
      </c>
      <c r="Q84" t="n">
        <v>0</v>
      </c>
      <c r="R84" s="2" t="inlineStr"/>
    </row>
    <row r="85" ht="15" customHeight="1">
      <c r="A85" t="inlineStr">
        <is>
          <t>A 45996-2019</t>
        </is>
      </c>
      <c r="B85" s="1" t="n">
        <v>43713</v>
      </c>
      <c r="C85" s="1" t="n">
        <v>45723</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45612-2019</t>
        </is>
      </c>
      <c r="B86" s="1" t="n">
        <v>43717</v>
      </c>
      <c r="C86" s="1" t="n">
        <v>45723</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49953-2019</t>
        </is>
      </c>
      <c r="B87" s="1" t="n">
        <v>43733</v>
      </c>
      <c r="C87" s="1" t="n">
        <v>45723</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50528-2019</t>
        </is>
      </c>
      <c r="B88" s="1" t="n">
        <v>43735</v>
      </c>
      <c r="C88" s="1" t="n">
        <v>45723</v>
      </c>
      <c r="D88" t="inlineStr">
        <is>
          <t>DALARNAS LÄN</t>
        </is>
      </c>
      <c r="E88" t="inlineStr">
        <is>
          <t>ORSA</t>
        </is>
      </c>
      <c r="F88" t="inlineStr">
        <is>
          <t>Kyrkan</t>
        </is>
      </c>
      <c r="G88" t="n">
        <v>4.2</v>
      </c>
      <c r="H88" t="n">
        <v>0</v>
      </c>
      <c r="I88" t="n">
        <v>0</v>
      </c>
      <c r="J88" t="n">
        <v>0</v>
      </c>
      <c r="K88" t="n">
        <v>0</v>
      </c>
      <c r="L88" t="n">
        <v>0</v>
      </c>
      <c r="M88" t="n">
        <v>0</v>
      </c>
      <c r="N88" t="n">
        <v>0</v>
      </c>
      <c r="O88" t="n">
        <v>0</v>
      </c>
      <c r="P88" t="n">
        <v>0</v>
      </c>
      <c r="Q88" t="n">
        <v>0</v>
      </c>
      <c r="R88" s="2" t="inlineStr"/>
    </row>
    <row r="89" ht="15" customHeight="1">
      <c r="A89" t="inlineStr">
        <is>
          <t>A 50934-2019</t>
        </is>
      </c>
      <c r="B89" s="1" t="n">
        <v>43738</v>
      </c>
      <c r="C89" s="1" t="n">
        <v>45723</v>
      </c>
      <c r="D89" t="inlineStr">
        <is>
          <t>DALARNAS LÄN</t>
        </is>
      </c>
      <c r="E89" t="inlineStr">
        <is>
          <t>ORSA</t>
        </is>
      </c>
      <c r="F89" t="inlineStr">
        <is>
          <t>Allmännings- och besparingsskogar</t>
        </is>
      </c>
      <c r="G89" t="n">
        <v>11.4</v>
      </c>
      <c r="H89" t="n">
        <v>0</v>
      </c>
      <c r="I89" t="n">
        <v>0</v>
      </c>
      <c r="J89" t="n">
        <v>0</v>
      </c>
      <c r="K89" t="n">
        <v>0</v>
      </c>
      <c r="L89" t="n">
        <v>0</v>
      </c>
      <c r="M89" t="n">
        <v>0</v>
      </c>
      <c r="N89" t="n">
        <v>0</v>
      </c>
      <c r="O89" t="n">
        <v>0</v>
      </c>
      <c r="P89" t="n">
        <v>0</v>
      </c>
      <c r="Q89" t="n">
        <v>0</v>
      </c>
      <c r="R89" s="2" t="inlineStr"/>
    </row>
    <row r="90" ht="15" customHeight="1">
      <c r="A90" t="inlineStr">
        <is>
          <t>A 55522-2019</t>
        </is>
      </c>
      <c r="B90" s="1" t="n">
        <v>43759</v>
      </c>
      <c r="C90" s="1" t="n">
        <v>45723</v>
      </c>
      <c r="D90" t="inlineStr">
        <is>
          <t>DALARNAS LÄN</t>
        </is>
      </c>
      <c r="E90" t="inlineStr">
        <is>
          <t>ORSA</t>
        </is>
      </c>
      <c r="G90" t="n">
        <v>8.1</v>
      </c>
      <c r="H90" t="n">
        <v>0</v>
      </c>
      <c r="I90" t="n">
        <v>0</v>
      </c>
      <c r="J90" t="n">
        <v>0</v>
      </c>
      <c r="K90" t="n">
        <v>0</v>
      </c>
      <c r="L90" t="n">
        <v>0</v>
      </c>
      <c r="M90" t="n">
        <v>0</v>
      </c>
      <c r="N90" t="n">
        <v>0</v>
      </c>
      <c r="O90" t="n">
        <v>0</v>
      </c>
      <c r="P90" t="n">
        <v>0</v>
      </c>
      <c r="Q90" t="n">
        <v>0</v>
      </c>
      <c r="R90" s="2" t="inlineStr"/>
    </row>
    <row r="91" ht="15" customHeight="1">
      <c r="A91" t="inlineStr">
        <is>
          <t>A 56862-2019</t>
        </is>
      </c>
      <c r="B91" s="1" t="n">
        <v>43765</v>
      </c>
      <c r="C91" s="1" t="n">
        <v>45723</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59007-2019</t>
        </is>
      </c>
      <c r="B92" s="1" t="n">
        <v>43774</v>
      </c>
      <c r="C92" s="1" t="n">
        <v>45723</v>
      </c>
      <c r="D92" t="inlineStr">
        <is>
          <t>DALARNAS LÄN</t>
        </is>
      </c>
      <c r="E92" t="inlineStr">
        <is>
          <t>ORSA</t>
        </is>
      </c>
      <c r="G92" t="n">
        <v>0.6</v>
      </c>
      <c r="H92" t="n">
        <v>0</v>
      </c>
      <c r="I92" t="n">
        <v>0</v>
      </c>
      <c r="J92" t="n">
        <v>0</v>
      </c>
      <c r="K92" t="n">
        <v>0</v>
      </c>
      <c r="L92" t="n">
        <v>0</v>
      </c>
      <c r="M92" t="n">
        <v>0</v>
      </c>
      <c r="N92" t="n">
        <v>0</v>
      </c>
      <c r="O92" t="n">
        <v>0</v>
      </c>
      <c r="P92" t="n">
        <v>0</v>
      </c>
      <c r="Q92" t="n">
        <v>0</v>
      </c>
      <c r="R92" s="2" t="inlineStr"/>
    </row>
    <row r="93" ht="15" customHeight="1">
      <c r="A93" t="inlineStr">
        <is>
          <t>A 64389-2019</t>
        </is>
      </c>
      <c r="B93" s="1" t="n">
        <v>43797</v>
      </c>
      <c r="C93" s="1" t="n">
        <v>45723</v>
      </c>
      <c r="D93" t="inlineStr">
        <is>
          <t>DALARNAS LÄN</t>
        </is>
      </c>
      <c r="E93" t="inlineStr">
        <is>
          <t>ORSA</t>
        </is>
      </c>
      <c r="G93" t="n">
        <v>0.3</v>
      </c>
      <c r="H93" t="n">
        <v>0</v>
      </c>
      <c r="I93" t="n">
        <v>0</v>
      </c>
      <c r="J93" t="n">
        <v>0</v>
      </c>
      <c r="K93" t="n">
        <v>0</v>
      </c>
      <c r="L93" t="n">
        <v>0</v>
      </c>
      <c r="M93" t="n">
        <v>0</v>
      </c>
      <c r="N93" t="n">
        <v>0</v>
      </c>
      <c r="O93" t="n">
        <v>0</v>
      </c>
      <c r="P93" t="n">
        <v>0</v>
      </c>
      <c r="Q93" t="n">
        <v>0</v>
      </c>
      <c r="R93" s="2" t="inlineStr"/>
    </row>
    <row r="94" ht="15" customHeight="1">
      <c r="A94" t="inlineStr">
        <is>
          <t>A 65252-2019</t>
        </is>
      </c>
      <c r="B94" s="1" t="n">
        <v>43797</v>
      </c>
      <c r="C94" s="1" t="n">
        <v>45723</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67884-2019</t>
        </is>
      </c>
      <c r="B95" s="1" t="n">
        <v>43810</v>
      </c>
      <c r="C95" s="1" t="n">
        <v>45723</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66862-2019</t>
        </is>
      </c>
      <c r="B96" s="1" t="n">
        <v>43810</v>
      </c>
      <c r="C96" s="1" t="n">
        <v>45723</v>
      </c>
      <c r="D96" t="inlineStr">
        <is>
          <t>DALARNAS LÄN</t>
        </is>
      </c>
      <c r="E96" t="inlineStr">
        <is>
          <t>ORSA</t>
        </is>
      </c>
      <c r="G96" t="n">
        <v>2.4</v>
      </c>
      <c r="H96" t="n">
        <v>0</v>
      </c>
      <c r="I96" t="n">
        <v>0</v>
      </c>
      <c r="J96" t="n">
        <v>0</v>
      </c>
      <c r="K96" t="n">
        <v>0</v>
      </c>
      <c r="L96" t="n">
        <v>0</v>
      </c>
      <c r="M96" t="n">
        <v>0</v>
      </c>
      <c r="N96" t="n">
        <v>0</v>
      </c>
      <c r="O96" t="n">
        <v>0</v>
      </c>
      <c r="P96" t="n">
        <v>0</v>
      </c>
      <c r="Q96" t="n">
        <v>0</v>
      </c>
      <c r="R96" s="2" t="inlineStr"/>
    </row>
    <row r="97" ht="15" customHeight="1">
      <c r="A97" t="inlineStr">
        <is>
          <t>A 67295-2019</t>
        </is>
      </c>
      <c r="B97" s="1" t="n">
        <v>43811</v>
      </c>
      <c r="C97" s="1" t="n">
        <v>45723</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67878-2019</t>
        </is>
      </c>
      <c r="B98" s="1" t="n">
        <v>43816</v>
      </c>
      <c r="C98" s="1" t="n">
        <v>45723</v>
      </c>
      <c r="D98" t="inlineStr">
        <is>
          <t>DALARNAS LÄN</t>
        </is>
      </c>
      <c r="E98" t="inlineStr">
        <is>
          <t>ORSA</t>
        </is>
      </c>
      <c r="G98" t="n">
        <v>2.7</v>
      </c>
      <c r="H98" t="n">
        <v>0</v>
      </c>
      <c r="I98" t="n">
        <v>0</v>
      </c>
      <c r="J98" t="n">
        <v>0</v>
      </c>
      <c r="K98" t="n">
        <v>0</v>
      </c>
      <c r="L98" t="n">
        <v>0</v>
      </c>
      <c r="M98" t="n">
        <v>0</v>
      </c>
      <c r="N98" t="n">
        <v>0</v>
      </c>
      <c r="O98" t="n">
        <v>0</v>
      </c>
      <c r="P98" t="n">
        <v>0</v>
      </c>
      <c r="Q98" t="n">
        <v>0</v>
      </c>
      <c r="R98" s="2" t="inlineStr"/>
    </row>
    <row r="99" ht="15" customHeight="1">
      <c r="A99" t="inlineStr">
        <is>
          <t>A 68558-2019</t>
        </is>
      </c>
      <c r="B99" s="1" t="n">
        <v>43818</v>
      </c>
      <c r="C99" s="1" t="n">
        <v>45723</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68376-2019</t>
        </is>
      </c>
      <c r="B100" s="1" t="n">
        <v>43818</v>
      </c>
      <c r="C100" s="1" t="n">
        <v>45723</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1829-2020</t>
        </is>
      </c>
      <c r="B101" s="1" t="n">
        <v>43844</v>
      </c>
      <c r="C101" s="1" t="n">
        <v>45723</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3337-2020</t>
        </is>
      </c>
      <c r="B102" s="1" t="n">
        <v>43845</v>
      </c>
      <c r="C102" s="1" t="n">
        <v>45723</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2166-2020</t>
        </is>
      </c>
      <c r="B103" s="1" t="n">
        <v>43846</v>
      </c>
      <c r="C103" s="1" t="n">
        <v>45723</v>
      </c>
      <c r="D103" t="inlineStr">
        <is>
          <t>DALARNAS LÄN</t>
        </is>
      </c>
      <c r="E103" t="inlineStr">
        <is>
          <t>ORSA</t>
        </is>
      </c>
      <c r="G103" t="n">
        <v>11.2</v>
      </c>
      <c r="H103" t="n">
        <v>0</v>
      </c>
      <c r="I103" t="n">
        <v>0</v>
      </c>
      <c r="J103" t="n">
        <v>0</v>
      </c>
      <c r="K103" t="n">
        <v>0</v>
      </c>
      <c r="L103" t="n">
        <v>0</v>
      </c>
      <c r="M103" t="n">
        <v>0</v>
      </c>
      <c r="N103" t="n">
        <v>0</v>
      </c>
      <c r="O103" t="n">
        <v>0</v>
      </c>
      <c r="P103" t="n">
        <v>0</v>
      </c>
      <c r="Q103" t="n">
        <v>0</v>
      </c>
      <c r="R103" s="2" t="inlineStr"/>
    </row>
    <row r="104" ht="15" customHeight="1">
      <c r="A104" t="inlineStr">
        <is>
          <t>A 6597-2020</t>
        </is>
      </c>
      <c r="B104" s="1" t="n">
        <v>43865</v>
      </c>
      <c r="C104" s="1" t="n">
        <v>45723</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7249-2020</t>
        </is>
      </c>
      <c r="B105" s="1" t="n">
        <v>43871</v>
      </c>
      <c r="C105" s="1" t="n">
        <v>45723</v>
      </c>
      <c r="D105" t="inlineStr">
        <is>
          <t>DALARNAS LÄN</t>
        </is>
      </c>
      <c r="E105" t="inlineStr">
        <is>
          <t>ORSA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14947-2020</t>
        </is>
      </c>
      <c r="B106" s="1" t="n">
        <v>43906</v>
      </c>
      <c r="C106" s="1" t="n">
        <v>45723</v>
      </c>
      <c r="D106" t="inlineStr">
        <is>
          <t>DALARNAS LÄN</t>
        </is>
      </c>
      <c r="E106" t="inlineStr">
        <is>
          <t>ORSA</t>
        </is>
      </c>
      <c r="F106" t="inlineStr">
        <is>
          <t>Allmännings- och besparingsskogar</t>
        </is>
      </c>
      <c r="G106" t="n">
        <v>26.8</v>
      </c>
      <c r="H106" t="n">
        <v>0</v>
      </c>
      <c r="I106" t="n">
        <v>0</v>
      </c>
      <c r="J106" t="n">
        <v>0</v>
      </c>
      <c r="K106" t="n">
        <v>0</v>
      </c>
      <c r="L106" t="n">
        <v>0</v>
      </c>
      <c r="M106" t="n">
        <v>0</v>
      </c>
      <c r="N106" t="n">
        <v>0</v>
      </c>
      <c r="O106" t="n">
        <v>0</v>
      </c>
      <c r="P106" t="n">
        <v>0</v>
      </c>
      <c r="Q106" t="n">
        <v>0</v>
      </c>
      <c r="R106" s="2" t="inlineStr"/>
    </row>
    <row r="107" ht="15" customHeight="1">
      <c r="A107" t="inlineStr">
        <is>
          <t>A 14682-2020</t>
        </is>
      </c>
      <c r="B107" s="1" t="n">
        <v>43909</v>
      </c>
      <c r="C107" s="1" t="n">
        <v>45723</v>
      </c>
      <c r="D107" t="inlineStr">
        <is>
          <t>DALARNAS LÄN</t>
        </is>
      </c>
      <c r="E107" t="inlineStr">
        <is>
          <t>ORSA</t>
        </is>
      </c>
      <c r="G107" t="n">
        <v>1.7</v>
      </c>
      <c r="H107" t="n">
        <v>0</v>
      </c>
      <c r="I107" t="n">
        <v>0</v>
      </c>
      <c r="J107" t="n">
        <v>0</v>
      </c>
      <c r="K107" t="n">
        <v>0</v>
      </c>
      <c r="L107" t="n">
        <v>0</v>
      </c>
      <c r="M107" t="n">
        <v>0</v>
      </c>
      <c r="N107" t="n">
        <v>0</v>
      </c>
      <c r="O107" t="n">
        <v>0</v>
      </c>
      <c r="P107" t="n">
        <v>0</v>
      </c>
      <c r="Q107" t="n">
        <v>0</v>
      </c>
      <c r="R107" s="2" t="inlineStr"/>
    </row>
    <row r="108" ht="15" customHeight="1">
      <c r="A108" t="inlineStr">
        <is>
          <t>A 17406-2020</t>
        </is>
      </c>
      <c r="B108" s="1" t="n">
        <v>43923</v>
      </c>
      <c r="C108" s="1" t="n">
        <v>45723</v>
      </c>
      <c r="D108" t="inlineStr">
        <is>
          <t>DALARNAS LÄN</t>
        </is>
      </c>
      <c r="E108" t="inlineStr">
        <is>
          <t>ORSA</t>
        </is>
      </c>
      <c r="F108" t="inlineStr">
        <is>
          <t>Allmännings- och besparingsskogar</t>
        </is>
      </c>
      <c r="G108" t="n">
        <v>89.8</v>
      </c>
      <c r="H108" t="n">
        <v>0</v>
      </c>
      <c r="I108" t="n">
        <v>0</v>
      </c>
      <c r="J108" t="n">
        <v>0</v>
      </c>
      <c r="K108" t="n">
        <v>0</v>
      </c>
      <c r="L108" t="n">
        <v>0</v>
      </c>
      <c r="M108" t="n">
        <v>0</v>
      </c>
      <c r="N108" t="n">
        <v>0</v>
      </c>
      <c r="O108" t="n">
        <v>0</v>
      </c>
      <c r="P108" t="n">
        <v>0</v>
      </c>
      <c r="Q108" t="n">
        <v>0</v>
      </c>
      <c r="R108" s="2" t="inlineStr"/>
    </row>
    <row r="109" ht="15" customHeight="1">
      <c r="A109" t="inlineStr">
        <is>
          <t>A 19208-2020</t>
        </is>
      </c>
      <c r="B109" s="1" t="n">
        <v>43937</v>
      </c>
      <c r="C109" s="1" t="n">
        <v>45723</v>
      </c>
      <c r="D109" t="inlineStr">
        <is>
          <t>DALARNAS LÄN</t>
        </is>
      </c>
      <c r="E109" t="inlineStr">
        <is>
          <t>ORSA</t>
        </is>
      </c>
      <c r="G109" t="n">
        <v>0.9</v>
      </c>
      <c r="H109" t="n">
        <v>0</v>
      </c>
      <c r="I109" t="n">
        <v>0</v>
      </c>
      <c r="J109" t="n">
        <v>0</v>
      </c>
      <c r="K109" t="n">
        <v>0</v>
      </c>
      <c r="L109" t="n">
        <v>0</v>
      </c>
      <c r="M109" t="n">
        <v>0</v>
      </c>
      <c r="N109" t="n">
        <v>0</v>
      </c>
      <c r="O109" t="n">
        <v>0</v>
      </c>
      <c r="P109" t="n">
        <v>0</v>
      </c>
      <c r="Q109" t="n">
        <v>0</v>
      </c>
      <c r="R109" s="2" t="inlineStr"/>
    </row>
    <row r="110" ht="15" customHeight="1">
      <c r="A110" t="inlineStr">
        <is>
          <t>A 19404-2020</t>
        </is>
      </c>
      <c r="B110" s="1" t="n">
        <v>43938</v>
      </c>
      <c r="C110" s="1" t="n">
        <v>45723</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20590-2020</t>
        </is>
      </c>
      <c r="B111" s="1" t="n">
        <v>43948</v>
      </c>
      <c r="C111" s="1" t="n">
        <v>45723</v>
      </c>
      <c r="D111" t="inlineStr">
        <is>
          <t>DALARNAS LÄN</t>
        </is>
      </c>
      <c r="E111" t="inlineStr">
        <is>
          <t>ORSA</t>
        </is>
      </c>
      <c r="G111" t="n">
        <v>0.8</v>
      </c>
      <c r="H111" t="n">
        <v>0</v>
      </c>
      <c r="I111" t="n">
        <v>0</v>
      </c>
      <c r="J111" t="n">
        <v>0</v>
      </c>
      <c r="K111" t="n">
        <v>0</v>
      </c>
      <c r="L111" t="n">
        <v>0</v>
      </c>
      <c r="M111" t="n">
        <v>0</v>
      </c>
      <c r="N111" t="n">
        <v>0</v>
      </c>
      <c r="O111" t="n">
        <v>0</v>
      </c>
      <c r="P111" t="n">
        <v>0</v>
      </c>
      <c r="Q111" t="n">
        <v>0</v>
      </c>
      <c r="R111" s="2" t="inlineStr"/>
    </row>
    <row r="112" ht="15" customHeight="1">
      <c r="A112" t="inlineStr">
        <is>
          <t>A 21057-2020</t>
        </is>
      </c>
      <c r="B112" s="1" t="n">
        <v>43951</v>
      </c>
      <c r="C112" s="1" t="n">
        <v>45723</v>
      </c>
      <c r="D112" t="inlineStr">
        <is>
          <t>DALARNAS LÄN</t>
        </is>
      </c>
      <c r="E112" t="inlineStr">
        <is>
          <t>ORSA</t>
        </is>
      </c>
      <c r="G112" t="n">
        <v>2.2</v>
      </c>
      <c r="H112" t="n">
        <v>0</v>
      </c>
      <c r="I112" t="n">
        <v>0</v>
      </c>
      <c r="J112" t="n">
        <v>0</v>
      </c>
      <c r="K112" t="n">
        <v>0</v>
      </c>
      <c r="L112" t="n">
        <v>0</v>
      </c>
      <c r="M112" t="n">
        <v>0</v>
      </c>
      <c r="N112" t="n">
        <v>0</v>
      </c>
      <c r="O112" t="n">
        <v>0</v>
      </c>
      <c r="P112" t="n">
        <v>0</v>
      </c>
      <c r="Q112" t="n">
        <v>0</v>
      </c>
      <c r="R112" s="2" t="inlineStr"/>
    </row>
    <row r="113" ht="15" customHeight="1">
      <c r="A113" t="inlineStr">
        <is>
          <t>A 22785-2020</t>
        </is>
      </c>
      <c r="B113" s="1" t="n">
        <v>43964</v>
      </c>
      <c r="C113" s="1" t="n">
        <v>45723</v>
      </c>
      <c r="D113" t="inlineStr">
        <is>
          <t>DALARNAS LÄN</t>
        </is>
      </c>
      <c r="E113" t="inlineStr">
        <is>
          <t>ORSA</t>
        </is>
      </c>
      <c r="F113" t="inlineStr">
        <is>
          <t>Bergvik skog öst AB</t>
        </is>
      </c>
      <c r="G113" t="n">
        <v>1</v>
      </c>
      <c r="H113" t="n">
        <v>0</v>
      </c>
      <c r="I113" t="n">
        <v>0</v>
      </c>
      <c r="J113" t="n">
        <v>0</v>
      </c>
      <c r="K113" t="n">
        <v>0</v>
      </c>
      <c r="L113" t="n">
        <v>0</v>
      </c>
      <c r="M113" t="n">
        <v>0</v>
      </c>
      <c r="N113" t="n">
        <v>0</v>
      </c>
      <c r="O113" t="n">
        <v>0</v>
      </c>
      <c r="P113" t="n">
        <v>0</v>
      </c>
      <c r="Q113" t="n">
        <v>0</v>
      </c>
      <c r="R113" s="2" t="inlineStr"/>
    </row>
    <row r="114" ht="15" customHeight="1">
      <c r="A114" t="inlineStr">
        <is>
          <t>A 23746-2020</t>
        </is>
      </c>
      <c r="B114" s="1" t="n">
        <v>43970</v>
      </c>
      <c r="C114" s="1" t="n">
        <v>45723</v>
      </c>
      <c r="D114" t="inlineStr">
        <is>
          <t>DALARNAS LÄN</t>
        </is>
      </c>
      <c r="E114" t="inlineStr">
        <is>
          <t>ORSA</t>
        </is>
      </c>
      <c r="F114" t="inlineStr">
        <is>
          <t>Allmännings- och besparingsskogar</t>
        </is>
      </c>
      <c r="G114" t="n">
        <v>13.9</v>
      </c>
      <c r="H114" t="n">
        <v>0</v>
      </c>
      <c r="I114" t="n">
        <v>0</v>
      </c>
      <c r="J114" t="n">
        <v>0</v>
      </c>
      <c r="K114" t="n">
        <v>0</v>
      </c>
      <c r="L114" t="n">
        <v>0</v>
      </c>
      <c r="M114" t="n">
        <v>0</v>
      </c>
      <c r="N114" t="n">
        <v>0</v>
      </c>
      <c r="O114" t="n">
        <v>0</v>
      </c>
      <c r="P114" t="n">
        <v>0</v>
      </c>
      <c r="Q114" t="n">
        <v>0</v>
      </c>
      <c r="R114" s="2" t="inlineStr"/>
    </row>
    <row r="115" ht="15" customHeight="1">
      <c r="A115" t="inlineStr">
        <is>
          <t>A 23766-2020</t>
        </is>
      </c>
      <c r="B115" s="1" t="n">
        <v>43970</v>
      </c>
      <c r="C115" s="1" t="n">
        <v>45723</v>
      </c>
      <c r="D115" t="inlineStr">
        <is>
          <t>DALARNAS LÄN</t>
        </is>
      </c>
      <c r="E115" t="inlineStr">
        <is>
          <t>ORSA</t>
        </is>
      </c>
      <c r="F115" t="inlineStr">
        <is>
          <t>Bergvik skog öst AB</t>
        </is>
      </c>
      <c r="G115" t="n">
        <v>1.6</v>
      </c>
      <c r="H115" t="n">
        <v>0</v>
      </c>
      <c r="I115" t="n">
        <v>0</v>
      </c>
      <c r="J115" t="n">
        <v>0</v>
      </c>
      <c r="K115" t="n">
        <v>0</v>
      </c>
      <c r="L115" t="n">
        <v>0</v>
      </c>
      <c r="M115" t="n">
        <v>0</v>
      </c>
      <c r="N115" t="n">
        <v>0</v>
      </c>
      <c r="O115" t="n">
        <v>0</v>
      </c>
      <c r="P115" t="n">
        <v>0</v>
      </c>
      <c r="Q115" t="n">
        <v>0</v>
      </c>
      <c r="R115" s="2" t="inlineStr"/>
    </row>
    <row r="116" ht="15" customHeight="1">
      <c r="A116" t="inlineStr">
        <is>
          <t>A 25664-2020</t>
        </is>
      </c>
      <c r="B116" s="1" t="n">
        <v>43983</v>
      </c>
      <c r="C116" s="1" t="n">
        <v>45723</v>
      </c>
      <c r="D116" t="inlineStr">
        <is>
          <t>DALARNAS LÄN</t>
        </is>
      </c>
      <c r="E116" t="inlineStr">
        <is>
          <t>ORSA</t>
        </is>
      </c>
      <c r="G116" t="n">
        <v>5.3</v>
      </c>
      <c r="H116" t="n">
        <v>0</v>
      </c>
      <c r="I116" t="n">
        <v>0</v>
      </c>
      <c r="J116" t="n">
        <v>0</v>
      </c>
      <c r="K116" t="n">
        <v>0</v>
      </c>
      <c r="L116" t="n">
        <v>0</v>
      </c>
      <c r="M116" t="n">
        <v>0</v>
      </c>
      <c r="N116" t="n">
        <v>0</v>
      </c>
      <c r="O116" t="n">
        <v>0</v>
      </c>
      <c r="P116" t="n">
        <v>0</v>
      </c>
      <c r="Q116" t="n">
        <v>0</v>
      </c>
      <c r="R116" s="2" t="inlineStr"/>
    </row>
    <row r="117" ht="15" customHeight="1">
      <c r="A117" t="inlineStr">
        <is>
          <t>A 27436-2020</t>
        </is>
      </c>
      <c r="B117" s="1" t="n">
        <v>43993</v>
      </c>
      <c r="C117" s="1" t="n">
        <v>45723</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27945-2020</t>
        </is>
      </c>
      <c r="B118" s="1" t="n">
        <v>43997</v>
      </c>
      <c r="C118" s="1" t="n">
        <v>45723</v>
      </c>
      <c r="D118" t="inlineStr">
        <is>
          <t>DALARNAS LÄN</t>
        </is>
      </c>
      <c r="E118" t="inlineStr">
        <is>
          <t>ORSA</t>
        </is>
      </c>
      <c r="F118" t="inlineStr">
        <is>
          <t>Bergvik skog öst AB</t>
        </is>
      </c>
      <c r="G118" t="n">
        <v>0.8</v>
      </c>
      <c r="H118" t="n">
        <v>0</v>
      </c>
      <c r="I118" t="n">
        <v>0</v>
      </c>
      <c r="J118" t="n">
        <v>0</v>
      </c>
      <c r="K118" t="n">
        <v>0</v>
      </c>
      <c r="L118" t="n">
        <v>0</v>
      </c>
      <c r="M118" t="n">
        <v>0</v>
      </c>
      <c r="N118" t="n">
        <v>0</v>
      </c>
      <c r="O118" t="n">
        <v>0</v>
      </c>
      <c r="P118" t="n">
        <v>0</v>
      </c>
      <c r="Q118" t="n">
        <v>0</v>
      </c>
      <c r="R118" s="2" t="inlineStr"/>
    </row>
    <row r="119" ht="15" customHeight="1">
      <c r="A119" t="inlineStr">
        <is>
          <t>A 30153-2020</t>
        </is>
      </c>
      <c r="B119" s="1" t="n">
        <v>44007</v>
      </c>
      <c r="C119" s="1" t="n">
        <v>45723</v>
      </c>
      <c r="D119" t="inlineStr">
        <is>
          <t>DALARNAS LÄN</t>
        </is>
      </c>
      <c r="E119" t="inlineStr">
        <is>
          <t>ORSA</t>
        </is>
      </c>
      <c r="G119" t="n">
        <v>0.2</v>
      </c>
      <c r="H119" t="n">
        <v>0</v>
      </c>
      <c r="I119" t="n">
        <v>0</v>
      </c>
      <c r="J119" t="n">
        <v>0</v>
      </c>
      <c r="K119" t="n">
        <v>0</v>
      </c>
      <c r="L119" t="n">
        <v>0</v>
      </c>
      <c r="M119" t="n">
        <v>0</v>
      </c>
      <c r="N119" t="n">
        <v>0</v>
      </c>
      <c r="O119" t="n">
        <v>0</v>
      </c>
      <c r="P119" t="n">
        <v>0</v>
      </c>
      <c r="Q119" t="n">
        <v>0</v>
      </c>
      <c r="R119" s="2" t="inlineStr"/>
    </row>
    <row r="120" ht="15" customHeight="1">
      <c r="A120" t="inlineStr">
        <is>
          <t>A 30149-2020</t>
        </is>
      </c>
      <c r="B120" s="1" t="n">
        <v>44007</v>
      </c>
      <c r="C120" s="1" t="n">
        <v>45723</v>
      </c>
      <c r="D120" t="inlineStr">
        <is>
          <t>DALARNAS LÄN</t>
        </is>
      </c>
      <c r="E120" t="inlineStr">
        <is>
          <t>ORSA</t>
        </is>
      </c>
      <c r="G120" t="n">
        <v>0.4</v>
      </c>
      <c r="H120" t="n">
        <v>0</v>
      </c>
      <c r="I120" t="n">
        <v>0</v>
      </c>
      <c r="J120" t="n">
        <v>0</v>
      </c>
      <c r="K120" t="n">
        <v>0</v>
      </c>
      <c r="L120" t="n">
        <v>0</v>
      </c>
      <c r="M120" t="n">
        <v>0</v>
      </c>
      <c r="N120" t="n">
        <v>0</v>
      </c>
      <c r="O120" t="n">
        <v>0</v>
      </c>
      <c r="P120" t="n">
        <v>0</v>
      </c>
      <c r="Q120" t="n">
        <v>0</v>
      </c>
      <c r="R120" s="2" t="inlineStr"/>
    </row>
    <row r="121" ht="15" customHeight="1">
      <c r="A121" t="inlineStr">
        <is>
          <t>A 30672-2020</t>
        </is>
      </c>
      <c r="B121" s="1" t="n">
        <v>44008</v>
      </c>
      <c r="C121" s="1" t="n">
        <v>45723</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32096-2020</t>
        </is>
      </c>
      <c r="B122" s="1" t="n">
        <v>44015</v>
      </c>
      <c r="C122" s="1" t="n">
        <v>45723</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32628-2020</t>
        </is>
      </c>
      <c r="B123" s="1" t="n">
        <v>44019</v>
      </c>
      <c r="C123" s="1" t="n">
        <v>45723</v>
      </c>
      <c r="D123" t="inlineStr">
        <is>
          <t>DALARNAS LÄN</t>
        </is>
      </c>
      <c r="E123" t="inlineStr">
        <is>
          <t>ORSA</t>
        </is>
      </c>
      <c r="F123" t="inlineStr">
        <is>
          <t>Bergvik skog öst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34544-2020</t>
        </is>
      </c>
      <c r="B124" s="1" t="n">
        <v>44032</v>
      </c>
      <c r="C124" s="1" t="n">
        <v>45723</v>
      </c>
      <c r="D124" t="inlineStr">
        <is>
          <t>DALARNAS LÄN</t>
        </is>
      </c>
      <c r="E124" t="inlineStr">
        <is>
          <t>ORSA</t>
        </is>
      </c>
      <c r="G124" t="n">
        <v>3.2</v>
      </c>
      <c r="H124" t="n">
        <v>0</v>
      </c>
      <c r="I124" t="n">
        <v>0</v>
      </c>
      <c r="J124" t="n">
        <v>0</v>
      </c>
      <c r="K124" t="n">
        <v>0</v>
      </c>
      <c r="L124" t="n">
        <v>0</v>
      </c>
      <c r="M124" t="n">
        <v>0</v>
      </c>
      <c r="N124" t="n">
        <v>0</v>
      </c>
      <c r="O124" t="n">
        <v>0</v>
      </c>
      <c r="P124" t="n">
        <v>0</v>
      </c>
      <c r="Q124" t="n">
        <v>0</v>
      </c>
      <c r="R124" s="2" t="inlineStr"/>
    </row>
    <row r="125" ht="15" customHeight="1">
      <c r="A125" t="inlineStr">
        <is>
          <t>A 34986-2020</t>
        </is>
      </c>
      <c r="B125" s="1" t="n">
        <v>44039</v>
      </c>
      <c r="C125" s="1" t="n">
        <v>45723</v>
      </c>
      <c r="D125" t="inlineStr">
        <is>
          <t>DALARNAS LÄN</t>
        </is>
      </c>
      <c r="E125" t="inlineStr">
        <is>
          <t>ORSA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36822-2020</t>
        </is>
      </c>
      <c r="B126" s="1" t="n">
        <v>44053</v>
      </c>
      <c r="C126" s="1" t="n">
        <v>45723</v>
      </c>
      <c r="D126" t="inlineStr">
        <is>
          <t>DALARNAS LÄN</t>
        </is>
      </c>
      <c r="E126" t="inlineStr">
        <is>
          <t>ORSA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36919-2020</t>
        </is>
      </c>
      <c r="B127" s="1" t="n">
        <v>44053</v>
      </c>
      <c r="C127" s="1" t="n">
        <v>45723</v>
      </c>
      <c r="D127" t="inlineStr">
        <is>
          <t>DALARNAS LÄN</t>
        </is>
      </c>
      <c r="E127" t="inlineStr">
        <is>
          <t>ORSA</t>
        </is>
      </c>
      <c r="F127" t="inlineStr">
        <is>
          <t>Bergvik skog öst AB</t>
        </is>
      </c>
      <c r="G127" t="n">
        <v>1.6</v>
      </c>
      <c r="H127" t="n">
        <v>0</v>
      </c>
      <c r="I127" t="n">
        <v>0</v>
      </c>
      <c r="J127" t="n">
        <v>0</v>
      </c>
      <c r="K127" t="n">
        <v>0</v>
      </c>
      <c r="L127" t="n">
        <v>0</v>
      </c>
      <c r="M127" t="n">
        <v>0</v>
      </c>
      <c r="N127" t="n">
        <v>0</v>
      </c>
      <c r="O127" t="n">
        <v>0</v>
      </c>
      <c r="P127" t="n">
        <v>0</v>
      </c>
      <c r="Q127" t="n">
        <v>0</v>
      </c>
      <c r="R127" s="2" t="inlineStr"/>
    </row>
    <row r="128" ht="15" customHeight="1">
      <c r="A128" t="inlineStr">
        <is>
          <t>A 39969-2020</t>
        </is>
      </c>
      <c r="B128" s="1" t="n">
        <v>44067</v>
      </c>
      <c r="C128" s="1" t="n">
        <v>45723</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41079-2020</t>
        </is>
      </c>
      <c r="B129" s="1" t="n">
        <v>44071</v>
      </c>
      <c r="C129" s="1" t="n">
        <v>45723</v>
      </c>
      <c r="D129" t="inlineStr">
        <is>
          <t>DALARNAS LÄN</t>
        </is>
      </c>
      <c r="E129" t="inlineStr">
        <is>
          <t>ORSA</t>
        </is>
      </c>
      <c r="G129" t="n">
        <v>2.2</v>
      </c>
      <c r="H129" t="n">
        <v>0</v>
      </c>
      <c r="I129" t="n">
        <v>0</v>
      </c>
      <c r="J129" t="n">
        <v>0</v>
      </c>
      <c r="K129" t="n">
        <v>0</v>
      </c>
      <c r="L129" t="n">
        <v>0</v>
      </c>
      <c r="M129" t="n">
        <v>0</v>
      </c>
      <c r="N129" t="n">
        <v>0</v>
      </c>
      <c r="O129" t="n">
        <v>0</v>
      </c>
      <c r="P129" t="n">
        <v>0</v>
      </c>
      <c r="Q129" t="n">
        <v>0</v>
      </c>
      <c r="R129" s="2" t="inlineStr"/>
    </row>
    <row r="130" ht="15" customHeight="1">
      <c r="A130" t="inlineStr">
        <is>
          <t>A 48954-2020</t>
        </is>
      </c>
      <c r="B130" s="1" t="n">
        <v>44102</v>
      </c>
      <c r="C130" s="1" t="n">
        <v>45723</v>
      </c>
      <c r="D130" t="inlineStr">
        <is>
          <t>DALARNAS LÄN</t>
        </is>
      </c>
      <c r="E130" t="inlineStr">
        <is>
          <t>ORSA</t>
        </is>
      </c>
      <c r="G130" t="n">
        <v>2.7</v>
      </c>
      <c r="H130" t="n">
        <v>0</v>
      </c>
      <c r="I130" t="n">
        <v>0</v>
      </c>
      <c r="J130" t="n">
        <v>0</v>
      </c>
      <c r="K130" t="n">
        <v>0</v>
      </c>
      <c r="L130" t="n">
        <v>0</v>
      </c>
      <c r="M130" t="n">
        <v>0</v>
      </c>
      <c r="N130" t="n">
        <v>0</v>
      </c>
      <c r="O130" t="n">
        <v>0</v>
      </c>
      <c r="P130" t="n">
        <v>0</v>
      </c>
      <c r="Q130" t="n">
        <v>0</v>
      </c>
      <c r="R130" s="2" t="inlineStr"/>
    </row>
    <row r="131" ht="15" customHeight="1">
      <c r="A131" t="inlineStr">
        <is>
          <t>A 48956-2020</t>
        </is>
      </c>
      <c r="B131" s="1" t="n">
        <v>44102</v>
      </c>
      <c r="C131" s="1" t="n">
        <v>45723</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51094-2020</t>
        </is>
      </c>
      <c r="B132" s="1" t="n">
        <v>44112</v>
      </c>
      <c r="C132" s="1" t="n">
        <v>45723</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52495-2020</t>
        </is>
      </c>
      <c r="B133" s="1" t="n">
        <v>44116</v>
      </c>
      <c r="C133" s="1" t="n">
        <v>45723</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55447-2020</t>
        </is>
      </c>
      <c r="B134" s="1" t="n">
        <v>44131</v>
      </c>
      <c r="C134" s="1" t="n">
        <v>45723</v>
      </c>
      <c r="D134" t="inlineStr">
        <is>
          <t>DALARNAS LÄN</t>
        </is>
      </c>
      <c r="E134" t="inlineStr">
        <is>
          <t>ORSA</t>
        </is>
      </c>
      <c r="F134" t="inlineStr">
        <is>
          <t>Bergvik skog öst AB</t>
        </is>
      </c>
      <c r="G134" t="n">
        <v>3.1</v>
      </c>
      <c r="H134" t="n">
        <v>0</v>
      </c>
      <c r="I134" t="n">
        <v>0</v>
      </c>
      <c r="J134" t="n">
        <v>0</v>
      </c>
      <c r="K134" t="n">
        <v>0</v>
      </c>
      <c r="L134" t="n">
        <v>0</v>
      </c>
      <c r="M134" t="n">
        <v>0</v>
      </c>
      <c r="N134" t="n">
        <v>0</v>
      </c>
      <c r="O134" t="n">
        <v>0</v>
      </c>
      <c r="P134" t="n">
        <v>0</v>
      </c>
      <c r="Q134" t="n">
        <v>0</v>
      </c>
      <c r="R134" s="2" t="inlineStr"/>
    </row>
    <row r="135" ht="15" customHeight="1">
      <c r="A135" t="inlineStr">
        <is>
          <t>A 57765-2020</t>
        </is>
      </c>
      <c r="B135" s="1" t="n">
        <v>44141</v>
      </c>
      <c r="C135" s="1" t="n">
        <v>45723</v>
      </c>
      <c r="D135" t="inlineStr">
        <is>
          <t>DALARNAS LÄN</t>
        </is>
      </c>
      <c r="E135" t="inlineStr">
        <is>
          <t>ORSA</t>
        </is>
      </c>
      <c r="F135" t="inlineStr">
        <is>
          <t>Bergvik skog öst AB</t>
        </is>
      </c>
      <c r="G135" t="n">
        <v>3.7</v>
      </c>
      <c r="H135" t="n">
        <v>0</v>
      </c>
      <c r="I135" t="n">
        <v>0</v>
      </c>
      <c r="J135" t="n">
        <v>0</v>
      </c>
      <c r="K135" t="n">
        <v>0</v>
      </c>
      <c r="L135" t="n">
        <v>0</v>
      </c>
      <c r="M135" t="n">
        <v>0</v>
      </c>
      <c r="N135" t="n">
        <v>0</v>
      </c>
      <c r="O135" t="n">
        <v>0</v>
      </c>
      <c r="P135" t="n">
        <v>0</v>
      </c>
      <c r="Q135" t="n">
        <v>0</v>
      </c>
      <c r="R135" s="2" t="inlineStr"/>
    </row>
    <row r="136" ht="15" customHeight="1">
      <c r="A136" t="inlineStr">
        <is>
          <t>A 58556-2020</t>
        </is>
      </c>
      <c r="B136" s="1" t="n">
        <v>44145</v>
      </c>
      <c r="C136" s="1" t="n">
        <v>45723</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61699-2020</t>
        </is>
      </c>
      <c r="B137" s="1" t="n">
        <v>44158</v>
      </c>
      <c r="C137" s="1" t="n">
        <v>45723</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62379-2020</t>
        </is>
      </c>
      <c r="B138" s="1" t="n">
        <v>44160</v>
      </c>
      <c r="C138" s="1" t="n">
        <v>45723</v>
      </c>
      <c r="D138" t="inlineStr">
        <is>
          <t>DALARNAS LÄN</t>
        </is>
      </c>
      <c r="E138" t="inlineStr">
        <is>
          <t>ORSA</t>
        </is>
      </c>
      <c r="F138" t="inlineStr">
        <is>
          <t>Bergvik skog öst AB</t>
        </is>
      </c>
      <c r="G138" t="n">
        <v>1.9</v>
      </c>
      <c r="H138" t="n">
        <v>0</v>
      </c>
      <c r="I138" t="n">
        <v>0</v>
      </c>
      <c r="J138" t="n">
        <v>0</v>
      </c>
      <c r="K138" t="n">
        <v>0</v>
      </c>
      <c r="L138" t="n">
        <v>0</v>
      </c>
      <c r="M138" t="n">
        <v>0</v>
      </c>
      <c r="N138" t="n">
        <v>0</v>
      </c>
      <c r="O138" t="n">
        <v>0</v>
      </c>
      <c r="P138" t="n">
        <v>0</v>
      </c>
      <c r="Q138" t="n">
        <v>0</v>
      </c>
      <c r="R138" s="2" t="inlineStr"/>
    </row>
    <row r="139" ht="15" customHeight="1">
      <c r="A139" t="inlineStr">
        <is>
          <t>A 63367-2020</t>
        </is>
      </c>
      <c r="B139" s="1" t="n">
        <v>44160</v>
      </c>
      <c r="C139" s="1" t="n">
        <v>45723</v>
      </c>
      <c r="D139" t="inlineStr">
        <is>
          <t>DALARNAS LÄN</t>
        </is>
      </c>
      <c r="E139" t="inlineStr">
        <is>
          <t>ORSA</t>
        </is>
      </c>
      <c r="G139" t="n">
        <v>0.8</v>
      </c>
      <c r="H139" t="n">
        <v>0</v>
      </c>
      <c r="I139" t="n">
        <v>0</v>
      </c>
      <c r="J139" t="n">
        <v>0</v>
      </c>
      <c r="K139" t="n">
        <v>0</v>
      </c>
      <c r="L139" t="n">
        <v>0</v>
      </c>
      <c r="M139" t="n">
        <v>0</v>
      </c>
      <c r="N139" t="n">
        <v>0</v>
      </c>
      <c r="O139" t="n">
        <v>0</v>
      </c>
      <c r="P139" t="n">
        <v>0</v>
      </c>
      <c r="Q139" t="n">
        <v>0</v>
      </c>
      <c r="R139" s="2" t="inlineStr"/>
    </row>
    <row r="140" ht="15" customHeight="1">
      <c r="A140" t="inlineStr">
        <is>
          <t>A 63374-2020</t>
        </is>
      </c>
      <c r="B140" s="1" t="n">
        <v>44160</v>
      </c>
      <c r="C140" s="1" t="n">
        <v>45723</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63543-2020</t>
        </is>
      </c>
      <c r="B141" s="1" t="n">
        <v>44165</v>
      </c>
      <c r="C141" s="1" t="n">
        <v>45723</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66323-2020</t>
        </is>
      </c>
      <c r="B142" s="1" t="n">
        <v>44176</v>
      </c>
      <c r="C142" s="1" t="n">
        <v>45723</v>
      </c>
      <c r="D142" t="inlineStr">
        <is>
          <t>DALARNAS LÄN</t>
        </is>
      </c>
      <c r="E142" t="inlineStr">
        <is>
          <t>ORSA</t>
        </is>
      </c>
      <c r="G142" t="n">
        <v>3.1</v>
      </c>
      <c r="H142" t="n">
        <v>0</v>
      </c>
      <c r="I142" t="n">
        <v>0</v>
      </c>
      <c r="J142" t="n">
        <v>0</v>
      </c>
      <c r="K142" t="n">
        <v>0</v>
      </c>
      <c r="L142" t="n">
        <v>0</v>
      </c>
      <c r="M142" t="n">
        <v>0</v>
      </c>
      <c r="N142" t="n">
        <v>0</v>
      </c>
      <c r="O142" t="n">
        <v>0</v>
      </c>
      <c r="P142" t="n">
        <v>0</v>
      </c>
      <c r="Q142" t="n">
        <v>0</v>
      </c>
      <c r="R142" s="2" t="inlineStr"/>
    </row>
    <row r="143" ht="15" customHeight="1">
      <c r="A143" t="inlineStr">
        <is>
          <t>A 66536-2020</t>
        </is>
      </c>
      <c r="B143" s="1" t="n">
        <v>44179</v>
      </c>
      <c r="C143" s="1" t="n">
        <v>45723</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66567-2020</t>
        </is>
      </c>
      <c r="B144" s="1" t="n">
        <v>44179</v>
      </c>
      <c r="C144" s="1" t="n">
        <v>45723</v>
      </c>
      <c r="D144" t="inlineStr">
        <is>
          <t>DALARNAS LÄN</t>
        </is>
      </c>
      <c r="E144" t="inlineStr">
        <is>
          <t>ORSA</t>
        </is>
      </c>
      <c r="G144" t="n">
        <v>7.8</v>
      </c>
      <c r="H144" t="n">
        <v>0</v>
      </c>
      <c r="I144" t="n">
        <v>0</v>
      </c>
      <c r="J144" t="n">
        <v>0</v>
      </c>
      <c r="K144" t="n">
        <v>0</v>
      </c>
      <c r="L144" t="n">
        <v>0</v>
      </c>
      <c r="M144" t="n">
        <v>0</v>
      </c>
      <c r="N144" t="n">
        <v>0</v>
      </c>
      <c r="O144" t="n">
        <v>0</v>
      </c>
      <c r="P144" t="n">
        <v>0</v>
      </c>
      <c r="Q144" t="n">
        <v>0</v>
      </c>
      <c r="R144" s="2" t="inlineStr"/>
    </row>
    <row r="145" ht="15" customHeight="1">
      <c r="A145" t="inlineStr">
        <is>
          <t>A 66533-2020</t>
        </is>
      </c>
      <c r="B145" s="1" t="n">
        <v>44179</v>
      </c>
      <c r="C145" s="1" t="n">
        <v>45723</v>
      </c>
      <c r="D145" t="inlineStr">
        <is>
          <t>DALARNAS LÄN</t>
        </is>
      </c>
      <c r="E145" t="inlineStr">
        <is>
          <t>ORSA</t>
        </is>
      </c>
      <c r="G145" t="n">
        <v>2.3</v>
      </c>
      <c r="H145" t="n">
        <v>0</v>
      </c>
      <c r="I145" t="n">
        <v>0</v>
      </c>
      <c r="J145" t="n">
        <v>0</v>
      </c>
      <c r="K145" t="n">
        <v>0</v>
      </c>
      <c r="L145" t="n">
        <v>0</v>
      </c>
      <c r="M145" t="n">
        <v>0</v>
      </c>
      <c r="N145" t="n">
        <v>0</v>
      </c>
      <c r="O145" t="n">
        <v>0</v>
      </c>
      <c r="P145" t="n">
        <v>0</v>
      </c>
      <c r="Q145" t="n">
        <v>0</v>
      </c>
      <c r="R145" s="2" t="inlineStr"/>
    </row>
    <row r="146" ht="15" customHeight="1">
      <c r="A146" t="inlineStr">
        <is>
          <t>A 66593-2020</t>
        </is>
      </c>
      <c r="B146" s="1" t="n">
        <v>44179</v>
      </c>
      <c r="C146" s="1" t="n">
        <v>45723</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67189-2020</t>
        </is>
      </c>
      <c r="B147" s="1" t="n">
        <v>44180</v>
      </c>
      <c r="C147" s="1" t="n">
        <v>45723</v>
      </c>
      <c r="D147" t="inlineStr">
        <is>
          <t>DALARNAS LÄN</t>
        </is>
      </c>
      <c r="E147" t="inlineStr">
        <is>
          <t>ORSA</t>
        </is>
      </c>
      <c r="F147" t="inlineStr">
        <is>
          <t>Allmännings- och besparingsskogar</t>
        </is>
      </c>
      <c r="G147" t="n">
        <v>5</v>
      </c>
      <c r="H147" t="n">
        <v>0</v>
      </c>
      <c r="I147" t="n">
        <v>0</v>
      </c>
      <c r="J147" t="n">
        <v>0</v>
      </c>
      <c r="K147" t="n">
        <v>0</v>
      </c>
      <c r="L147" t="n">
        <v>0</v>
      </c>
      <c r="M147" t="n">
        <v>0</v>
      </c>
      <c r="N147" t="n">
        <v>0</v>
      </c>
      <c r="O147" t="n">
        <v>0</v>
      </c>
      <c r="P147" t="n">
        <v>0</v>
      </c>
      <c r="Q147" t="n">
        <v>0</v>
      </c>
      <c r="R147" s="2" t="inlineStr"/>
    </row>
    <row r="148" ht="15" customHeight="1">
      <c r="A148" t="inlineStr">
        <is>
          <t>A 67755-2020</t>
        </is>
      </c>
      <c r="B148" s="1" t="n">
        <v>44182</v>
      </c>
      <c r="C148" s="1" t="n">
        <v>45723</v>
      </c>
      <c r="D148" t="inlineStr">
        <is>
          <t>DALARNAS LÄN</t>
        </is>
      </c>
      <c r="E148" t="inlineStr">
        <is>
          <t>ORSA</t>
        </is>
      </c>
      <c r="G148" t="n">
        <v>7.5</v>
      </c>
      <c r="H148" t="n">
        <v>0</v>
      </c>
      <c r="I148" t="n">
        <v>0</v>
      </c>
      <c r="J148" t="n">
        <v>0</v>
      </c>
      <c r="K148" t="n">
        <v>0</v>
      </c>
      <c r="L148" t="n">
        <v>0</v>
      </c>
      <c r="M148" t="n">
        <v>0</v>
      </c>
      <c r="N148" t="n">
        <v>0</v>
      </c>
      <c r="O148" t="n">
        <v>0</v>
      </c>
      <c r="P148" t="n">
        <v>0</v>
      </c>
      <c r="Q148" t="n">
        <v>0</v>
      </c>
      <c r="R148" s="2" t="inlineStr"/>
    </row>
    <row r="149" ht="15" customHeight="1">
      <c r="A149" t="inlineStr">
        <is>
          <t>A 67834-2020</t>
        </is>
      </c>
      <c r="B149" s="1" t="n">
        <v>44182</v>
      </c>
      <c r="C149" s="1" t="n">
        <v>45723</v>
      </c>
      <c r="D149" t="inlineStr">
        <is>
          <t>DALARNAS LÄN</t>
        </is>
      </c>
      <c r="E149" t="inlineStr">
        <is>
          <t>ORSA</t>
        </is>
      </c>
      <c r="G149" t="n">
        <v>4</v>
      </c>
      <c r="H149" t="n">
        <v>0</v>
      </c>
      <c r="I149" t="n">
        <v>0</v>
      </c>
      <c r="J149" t="n">
        <v>0</v>
      </c>
      <c r="K149" t="n">
        <v>0</v>
      </c>
      <c r="L149" t="n">
        <v>0</v>
      </c>
      <c r="M149" t="n">
        <v>0</v>
      </c>
      <c r="N149" t="n">
        <v>0</v>
      </c>
      <c r="O149" t="n">
        <v>0</v>
      </c>
      <c r="P149" t="n">
        <v>0</v>
      </c>
      <c r="Q149" t="n">
        <v>0</v>
      </c>
      <c r="R149" s="2" t="inlineStr"/>
    </row>
    <row r="150" ht="15" customHeight="1">
      <c r="A150" t="inlineStr">
        <is>
          <t>A 67842-2020</t>
        </is>
      </c>
      <c r="B150" s="1" t="n">
        <v>44182</v>
      </c>
      <c r="C150" s="1" t="n">
        <v>45723</v>
      </c>
      <c r="D150" t="inlineStr">
        <is>
          <t>DALARNAS LÄN</t>
        </is>
      </c>
      <c r="E150" t="inlineStr">
        <is>
          <t>ORSA</t>
        </is>
      </c>
      <c r="G150" t="n">
        <v>10.6</v>
      </c>
      <c r="H150" t="n">
        <v>0</v>
      </c>
      <c r="I150" t="n">
        <v>0</v>
      </c>
      <c r="J150" t="n">
        <v>0</v>
      </c>
      <c r="K150" t="n">
        <v>0</v>
      </c>
      <c r="L150" t="n">
        <v>0</v>
      </c>
      <c r="M150" t="n">
        <v>0</v>
      </c>
      <c r="N150" t="n">
        <v>0</v>
      </c>
      <c r="O150" t="n">
        <v>0</v>
      </c>
      <c r="P150" t="n">
        <v>0</v>
      </c>
      <c r="Q150" t="n">
        <v>0</v>
      </c>
      <c r="R150" s="2" t="inlineStr"/>
    </row>
    <row r="151" ht="15" customHeight="1">
      <c r="A151" t="inlineStr">
        <is>
          <t>A 67950-2020</t>
        </is>
      </c>
      <c r="B151" s="1" t="n">
        <v>44182</v>
      </c>
      <c r="C151" s="1" t="n">
        <v>45723</v>
      </c>
      <c r="D151" t="inlineStr">
        <is>
          <t>DALARNAS LÄN</t>
        </is>
      </c>
      <c r="E151" t="inlineStr">
        <is>
          <t>ORSA</t>
        </is>
      </c>
      <c r="G151" t="n">
        <v>1.1</v>
      </c>
      <c r="H151" t="n">
        <v>0</v>
      </c>
      <c r="I151" t="n">
        <v>0</v>
      </c>
      <c r="J151" t="n">
        <v>0</v>
      </c>
      <c r="K151" t="n">
        <v>0</v>
      </c>
      <c r="L151" t="n">
        <v>0</v>
      </c>
      <c r="M151" t="n">
        <v>0</v>
      </c>
      <c r="N151" t="n">
        <v>0</v>
      </c>
      <c r="O151" t="n">
        <v>0</v>
      </c>
      <c r="P151" t="n">
        <v>0</v>
      </c>
      <c r="Q151" t="n">
        <v>0</v>
      </c>
      <c r="R151" s="2" t="inlineStr"/>
    </row>
    <row r="152" ht="15" customHeight="1">
      <c r="A152" t="inlineStr">
        <is>
          <t>A 67971-2020</t>
        </is>
      </c>
      <c r="B152" s="1" t="n">
        <v>44182</v>
      </c>
      <c r="C152" s="1" t="n">
        <v>45723</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67911-2020</t>
        </is>
      </c>
      <c r="B153" s="1" t="n">
        <v>44182</v>
      </c>
      <c r="C153" s="1" t="n">
        <v>45723</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67929-2020</t>
        </is>
      </c>
      <c r="B154" s="1" t="n">
        <v>44182</v>
      </c>
      <c r="C154" s="1" t="n">
        <v>45723</v>
      </c>
      <c r="D154" t="inlineStr">
        <is>
          <t>DALARNAS LÄN</t>
        </is>
      </c>
      <c r="E154" t="inlineStr">
        <is>
          <t>ORSA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67935-2020</t>
        </is>
      </c>
      <c r="B155" s="1" t="n">
        <v>44182</v>
      </c>
      <c r="C155" s="1" t="n">
        <v>45723</v>
      </c>
      <c r="D155" t="inlineStr">
        <is>
          <t>DALARNAS LÄN</t>
        </is>
      </c>
      <c r="E155" t="inlineStr">
        <is>
          <t>ORSA</t>
        </is>
      </c>
      <c r="G155" t="n">
        <v>5</v>
      </c>
      <c r="H155" t="n">
        <v>0</v>
      </c>
      <c r="I155" t="n">
        <v>0</v>
      </c>
      <c r="J155" t="n">
        <v>0</v>
      </c>
      <c r="K155" t="n">
        <v>0</v>
      </c>
      <c r="L155" t="n">
        <v>0</v>
      </c>
      <c r="M155" t="n">
        <v>0</v>
      </c>
      <c r="N155" t="n">
        <v>0</v>
      </c>
      <c r="O155" t="n">
        <v>0</v>
      </c>
      <c r="P155" t="n">
        <v>0</v>
      </c>
      <c r="Q155" t="n">
        <v>0</v>
      </c>
      <c r="R155" s="2" t="inlineStr"/>
    </row>
    <row r="156" ht="15" customHeight="1">
      <c r="A156" t="inlineStr">
        <is>
          <t>A 112-2021</t>
        </is>
      </c>
      <c r="B156" s="1" t="n">
        <v>44200</v>
      </c>
      <c r="C156" s="1" t="n">
        <v>45723</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2112-2021</t>
        </is>
      </c>
      <c r="B157" s="1" t="n">
        <v>44211</v>
      </c>
      <c r="C157" s="1" t="n">
        <v>45723</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3452-2021</t>
        </is>
      </c>
      <c r="B158" s="1" t="n">
        <v>44218</v>
      </c>
      <c r="C158" s="1" t="n">
        <v>45723</v>
      </c>
      <c r="D158" t="inlineStr">
        <is>
          <t>DALARNAS LÄN</t>
        </is>
      </c>
      <c r="E158" t="inlineStr">
        <is>
          <t>ORSA</t>
        </is>
      </c>
      <c r="G158" t="n">
        <v>12.5</v>
      </c>
      <c r="H158" t="n">
        <v>0</v>
      </c>
      <c r="I158" t="n">
        <v>0</v>
      </c>
      <c r="J158" t="n">
        <v>0</v>
      </c>
      <c r="K158" t="n">
        <v>0</v>
      </c>
      <c r="L158" t="n">
        <v>0</v>
      </c>
      <c r="M158" t="n">
        <v>0</v>
      </c>
      <c r="N158" t="n">
        <v>0</v>
      </c>
      <c r="O158" t="n">
        <v>0</v>
      </c>
      <c r="P158" t="n">
        <v>0</v>
      </c>
      <c r="Q158" t="n">
        <v>0</v>
      </c>
      <c r="R158" s="2" t="inlineStr"/>
    </row>
    <row r="159" ht="15" customHeight="1">
      <c r="A159" t="inlineStr">
        <is>
          <t>A 4108-2021</t>
        </is>
      </c>
      <c r="B159" s="1" t="n">
        <v>44222</v>
      </c>
      <c r="C159" s="1" t="n">
        <v>45723</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4454-2021</t>
        </is>
      </c>
      <c r="B160" s="1" t="n">
        <v>44224</v>
      </c>
      <c r="C160" s="1" t="n">
        <v>45723</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9306-2021</t>
        </is>
      </c>
      <c r="B161" s="1" t="n">
        <v>44250</v>
      </c>
      <c r="C161" s="1" t="n">
        <v>45723</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12622-2021</t>
        </is>
      </c>
      <c r="B162" s="1" t="n">
        <v>44270</v>
      </c>
      <c r="C162" s="1" t="n">
        <v>45723</v>
      </c>
      <c r="D162" t="inlineStr">
        <is>
          <t>DALARNAS LÄN</t>
        </is>
      </c>
      <c r="E162" t="inlineStr">
        <is>
          <t>ORSA</t>
        </is>
      </c>
      <c r="G162" t="n">
        <v>5.1</v>
      </c>
      <c r="H162" t="n">
        <v>0</v>
      </c>
      <c r="I162" t="n">
        <v>0</v>
      </c>
      <c r="J162" t="n">
        <v>0</v>
      </c>
      <c r="K162" t="n">
        <v>0</v>
      </c>
      <c r="L162" t="n">
        <v>0</v>
      </c>
      <c r="M162" t="n">
        <v>0</v>
      </c>
      <c r="N162" t="n">
        <v>0</v>
      </c>
      <c r="O162" t="n">
        <v>0</v>
      </c>
      <c r="P162" t="n">
        <v>0</v>
      </c>
      <c r="Q162" t="n">
        <v>0</v>
      </c>
      <c r="R162" s="2" t="inlineStr"/>
    </row>
    <row r="163" ht="15" customHeight="1">
      <c r="A163" t="inlineStr">
        <is>
          <t>A 15914-2021</t>
        </is>
      </c>
      <c r="B163" s="1" t="n">
        <v>44287</v>
      </c>
      <c r="C163" s="1" t="n">
        <v>45723</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16270-2021</t>
        </is>
      </c>
      <c r="B164" s="1" t="n">
        <v>44292</v>
      </c>
      <c r="C164" s="1" t="n">
        <v>45723</v>
      </c>
      <c r="D164" t="inlineStr">
        <is>
          <t>DALARNAS LÄN</t>
        </is>
      </c>
      <c r="E164" t="inlineStr">
        <is>
          <t>ORSA</t>
        </is>
      </c>
      <c r="G164" t="n">
        <v>8.4</v>
      </c>
      <c r="H164" t="n">
        <v>0</v>
      </c>
      <c r="I164" t="n">
        <v>0</v>
      </c>
      <c r="J164" t="n">
        <v>0</v>
      </c>
      <c r="K164" t="n">
        <v>0</v>
      </c>
      <c r="L164" t="n">
        <v>0</v>
      </c>
      <c r="M164" t="n">
        <v>0</v>
      </c>
      <c r="N164" t="n">
        <v>0</v>
      </c>
      <c r="O164" t="n">
        <v>0</v>
      </c>
      <c r="P164" t="n">
        <v>0</v>
      </c>
      <c r="Q164" t="n">
        <v>0</v>
      </c>
      <c r="R164" s="2" t="inlineStr"/>
    </row>
    <row r="165" ht="15" customHeight="1">
      <c r="A165" t="inlineStr">
        <is>
          <t>A 17718-2021</t>
        </is>
      </c>
      <c r="B165" s="1" t="n">
        <v>44300</v>
      </c>
      <c r="C165" s="1" t="n">
        <v>45723</v>
      </c>
      <c r="D165" t="inlineStr">
        <is>
          <t>DALARNAS LÄN</t>
        </is>
      </c>
      <c r="E165" t="inlineStr">
        <is>
          <t>ORSA</t>
        </is>
      </c>
      <c r="G165" t="n">
        <v>0.6</v>
      </c>
      <c r="H165" t="n">
        <v>0</v>
      </c>
      <c r="I165" t="n">
        <v>0</v>
      </c>
      <c r="J165" t="n">
        <v>0</v>
      </c>
      <c r="K165" t="n">
        <v>0</v>
      </c>
      <c r="L165" t="n">
        <v>0</v>
      </c>
      <c r="M165" t="n">
        <v>0</v>
      </c>
      <c r="N165" t="n">
        <v>0</v>
      </c>
      <c r="O165" t="n">
        <v>0</v>
      </c>
      <c r="P165" t="n">
        <v>0</v>
      </c>
      <c r="Q165" t="n">
        <v>0</v>
      </c>
      <c r="R165" s="2" t="inlineStr"/>
    </row>
    <row r="166" ht="15" customHeight="1">
      <c r="A166" t="inlineStr">
        <is>
          <t>A 18708-2021</t>
        </is>
      </c>
      <c r="B166" s="1" t="n">
        <v>44307</v>
      </c>
      <c r="C166" s="1" t="n">
        <v>45723</v>
      </c>
      <c r="D166" t="inlineStr">
        <is>
          <t>DALARNAS LÄN</t>
        </is>
      </c>
      <c r="E166" t="inlineStr">
        <is>
          <t>ORSA</t>
        </is>
      </c>
      <c r="G166" t="n">
        <v>2.8</v>
      </c>
      <c r="H166" t="n">
        <v>0</v>
      </c>
      <c r="I166" t="n">
        <v>0</v>
      </c>
      <c r="J166" t="n">
        <v>0</v>
      </c>
      <c r="K166" t="n">
        <v>0</v>
      </c>
      <c r="L166" t="n">
        <v>0</v>
      </c>
      <c r="M166" t="n">
        <v>0</v>
      </c>
      <c r="N166" t="n">
        <v>0</v>
      </c>
      <c r="O166" t="n">
        <v>0</v>
      </c>
      <c r="P166" t="n">
        <v>0</v>
      </c>
      <c r="Q166" t="n">
        <v>0</v>
      </c>
      <c r="R166" s="2" t="inlineStr"/>
    </row>
    <row r="167" ht="15" customHeight="1">
      <c r="A167" t="inlineStr">
        <is>
          <t>A 19024-2021</t>
        </is>
      </c>
      <c r="B167" s="1" t="n">
        <v>44308</v>
      </c>
      <c r="C167" s="1" t="n">
        <v>45723</v>
      </c>
      <c r="D167" t="inlineStr">
        <is>
          <t>DALARNAS LÄN</t>
        </is>
      </c>
      <c r="E167" t="inlineStr">
        <is>
          <t>ORSA</t>
        </is>
      </c>
      <c r="G167" t="n">
        <v>1.7</v>
      </c>
      <c r="H167" t="n">
        <v>0</v>
      </c>
      <c r="I167" t="n">
        <v>0</v>
      </c>
      <c r="J167" t="n">
        <v>0</v>
      </c>
      <c r="K167" t="n">
        <v>0</v>
      </c>
      <c r="L167" t="n">
        <v>0</v>
      </c>
      <c r="M167" t="n">
        <v>0</v>
      </c>
      <c r="N167" t="n">
        <v>0</v>
      </c>
      <c r="O167" t="n">
        <v>0</v>
      </c>
      <c r="P167" t="n">
        <v>0</v>
      </c>
      <c r="Q167" t="n">
        <v>0</v>
      </c>
      <c r="R167" s="2" t="inlineStr"/>
    </row>
    <row r="168" ht="15" customHeight="1">
      <c r="A168" t="inlineStr">
        <is>
          <t>A 19932-2021</t>
        </is>
      </c>
      <c r="B168" s="1" t="n">
        <v>44313</v>
      </c>
      <c r="C168" s="1" t="n">
        <v>45723</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v>
      </c>
      <c r="C169" s="1" t="n">
        <v>45723</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21678-2021</t>
        </is>
      </c>
      <c r="B170" s="1" t="n">
        <v>44322</v>
      </c>
      <c r="C170" s="1" t="n">
        <v>45723</v>
      </c>
      <c r="D170" t="inlineStr">
        <is>
          <t>DALARNAS LÄN</t>
        </is>
      </c>
      <c r="E170" t="inlineStr">
        <is>
          <t>ORSA</t>
        </is>
      </c>
      <c r="G170" t="n">
        <v>11.4</v>
      </c>
      <c r="H170" t="n">
        <v>0</v>
      </c>
      <c r="I170" t="n">
        <v>0</v>
      </c>
      <c r="J170" t="n">
        <v>0</v>
      </c>
      <c r="K170" t="n">
        <v>0</v>
      </c>
      <c r="L170" t="n">
        <v>0</v>
      </c>
      <c r="M170" t="n">
        <v>0</v>
      </c>
      <c r="N170" t="n">
        <v>0</v>
      </c>
      <c r="O170" t="n">
        <v>0</v>
      </c>
      <c r="P170" t="n">
        <v>0</v>
      </c>
      <c r="Q170" t="n">
        <v>0</v>
      </c>
      <c r="R170" s="2" t="inlineStr"/>
    </row>
    <row r="171" ht="15" customHeight="1">
      <c r="A171" t="inlineStr">
        <is>
          <t>A 23685-2021</t>
        </is>
      </c>
      <c r="B171" s="1" t="n">
        <v>44334</v>
      </c>
      <c r="C171" s="1" t="n">
        <v>45723</v>
      </c>
      <c r="D171" t="inlineStr">
        <is>
          <t>DALARNAS LÄN</t>
        </is>
      </c>
      <c r="E171" t="inlineStr">
        <is>
          <t>ORSA</t>
        </is>
      </c>
      <c r="F171" t="inlineStr">
        <is>
          <t>Allmännings- och besparingsskogar</t>
        </is>
      </c>
      <c r="G171" t="n">
        <v>20.3</v>
      </c>
      <c r="H171" t="n">
        <v>0</v>
      </c>
      <c r="I171" t="n">
        <v>0</v>
      </c>
      <c r="J171" t="n">
        <v>0</v>
      </c>
      <c r="K171" t="n">
        <v>0</v>
      </c>
      <c r="L171" t="n">
        <v>0</v>
      </c>
      <c r="M171" t="n">
        <v>0</v>
      </c>
      <c r="N171" t="n">
        <v>0</v>
      </c>
      <c r="O171" t="n">
        <v>0</v>
      </c>
      <c r="P171" t="n">
        <v>0</v>
      </c>
      <c r="Q171" t="n">
        <v>0</v>
      </c>
      <c r="R171" s="2" t="inlineStr"/>
    </row>
    <row r="172" ht="15" customHeight="1">
      <c r="A172" t="inlineStr">
        <is>
          <t>A 24083-2021</t>
        </is>
      </c>
      <c r="B172" s="1" t="n">
        <v>44336</v>
      </c>
      <c r="C172" s="1" t="n">
        <v>45723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25761-2021</t>
        </is>
      </c>
      <c r="B173" s="1" t="n">
        <v>44343</v>
      </c>
      <c r="C173" s="1" t="n">
        <v>45723</v>
      </c>
      <c r="D173" t="inlineStr">
        <is>
          <t>DALARNAS LÄN</t>
        </is>
      </c>
      <c r="E173" t="inlineStr">
        <is>
          <t>ORSA</t>
        </is>
      </c>
      <c r="G173" t="n">
        <v>3.4</v>
      </c>
      <c r="H173" t="n">
        <v>0</v>
      </c>
      <c r="I173" t="n">
        <v>0</v>
      </c>
      <c r="J173" t="n">
        <v>0</v>
      </c>
      <c r="K173" t="n">
        <v>0</v>
      </c>
      <c r="L173" t="n">
        <v>0</v>
      </c>
      <c r="M173" t="n">
        <v>0</v>
      </c>
      <c r="N173" t="n">
        <v>0</v>
      </c>
      <c r="O173" t="n">
        <v>0</v>
      </c>
      <c r="P173" t="n">
        <v>0</v>
      </c>
      <c r="Q173" t="n">
        <v>0</v>
      </c>
      <c r="R173" s="2" t="inlineStr"/>
    </row>
    <row r="174" ht="15" customHeight="1">
      <c r="A174" t="inlineStr">
        <is>
          <t>A 26831-2021</t>
        </is>
      </c>
      <c r="B174" s="1" t="n">
        <v>44349</v>
      </c>
      <c r="C174" s="1" t="n">
        <v>45723</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27146-2021</t>
        </is>
      </c>
      <c r="B175" s="1" t="n">
        <v>44350</v>
      </c>
      <c r="C175" s="1" t="n">
        <v>45723</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27542-2021</t>
        </is>
      </c>
      <c r="B176" s="1" t="n">
        <v>44351</v>
      </c>
      <c r="C176" s="1" t="n">
        <v>45723</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27877-2021</t>
        </is>
      </c>
      <c r="B177" s="1" t="n">
        <v>44354</v>
      </c>
      <c r="C177" s="1" t="n">
        <v>45723</v>
      </c>
      <c r="D177" t="inlineStr">
        <is>
          <t>DALARNAS LÄN</t>
        </is>
      </c>
      <c r="E177" t="inlineStr">
        <is>
          <t>ORSA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28210-2021</t>
        </is>
      </c>
      <c r="B178" s="1" t="n">
        <v>44355</v>
      </c>
      <c r="C178" s="1" t="n">
        <v>45723</v>
      </c>
      <c r="D178" t="inlineStr">
        <is>
          <t>DALARNAS LÄN</t>
        </is>
      </c>
      <c r="E178" t="inlineStr">
        <is>
          <t>ORSA</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28259-2021</t>
        </is>
      </c>
      <c r="B179" s="1" t="n">
        <v>44355</v>
      </c>
      <c r="C179" s="1" t="n">
        <v>45723</v>
      </c>
      <c r="D179" t="inlineStr">
        <is>
          <t>DALARNAS LÄN</t>
        </is>
      </c>
      <c r="E179" t="inlineStr">
        <is>
          <t>ORSA</t>
        </is>
      </c>
      <c r="G179" t="n">
        <v>1.2</v>
      </c>
      <c r="H179" t="n">
        <v>0</v>
      </c>
      <c r="I179" t="n">
        <v>0</v>
      </c>
      <c r="J179" t="n">
        <v>0</v>
      </c>
      <c r="K179" t="n">
        <v>0</v>
      </c>
      <c r="L179" t="n">
        <v>0</v>
      </c>
      <c r="M179" t="n">
        <v>0</v>
      </c>
      <c r="N179" t="n">
        <v>0</v>
      </c>
      <c r="O179" t="n">
        <v>0</v>
      </c>
      <c r="P179" t="n">
        <v>0</v>
      </c>
      <c r="Q179" t="n">
        <v>0</v>
      </c>
      <c r="R179" s="2" t="inlineStr"/>
    </row>
    <row r="180" ht="15" customHeight="1">
      <c r="A180" t="inlineStr">
        <is>
          <t>A 28630-2021</t>
        </is>
      </c>
      <c r="B180" s="1" t="n">
        <v>44356</v>
      </c>
      <c r="C180" s="1" t="n">
        <v>45723</v>
      </c>
      <c r="D180" t="inlineStr">
        <is>
          <t>DALARNAS LÄN</t>
        </is>
      </c>
      <c r="E180" t="inlineStr">
        <is>
          <t>ORSA</t>
        </is>
      </c>
      <c r="G180" t="n">
        <v>3.5</v>
      </c>
      <c r="H180" t="n">
        <v>0</v>
      </c>
      <c r="I180" t="n">
        <v>0</v>
      </c>
      <c r="J180" t="n">
        <v>0</v>
      </c>
      <c r="K180" t="n">
        <v>0</v>
      </c>
      <c r="L180" t="n">
        <v>0</v>
      </c>
      <c r="M180" t="n">
        <v>0</v>
      </c>
      <c r="N180" t="n">
        <v>0</v>
      </c>
      <c r="O180" t="n">
        <v>0</v>
      </c>
      <c r="P180" t="n">
        <v>0</v>
      </c>
      <c r="Q180" t="n">
        <v>0</v>
      </c>
      <c r="R180" s="2" t="inlineStr"/>
    </row>
    <row r="181" ht="15" customHeight="1">
      <c r="A181" t="inlineStr">
        <is>
          <t>A 29366-2021</t>
        </is>
      </c>
      <c r="B181" s="1" t="n">
        <v>44361</v>
      </c>
      <c r="C181" s="1" t="n">
        <v>45723</v>
      </c>
      <c r="D181" t="inlineStr">
        <is>
          <t>DALARNAS LÄN</t>
        </is>
      </c>
      <c r="E181" t="inlineStr">
        <is>
          <t>ORSA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29555-2021</t>
        </is>
      </c>
      <c r="B182" s="1" t="n">
        <v>44361</v>
      </c>
      <c r="C182" s="1" t="n">
        <v>45723</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29874-2021</t>
        </is>
      </c>
      <c r="B183" s="1" t="n">
        <v>44362</v>
      </c>
      <c r="C183" s="1" t="n">
        <v>45723</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30125-2021</t>
        </is>
      </c>
      <c r="B184" s="1" t="n">
        <v>44363</v>
      </c>
      <c r="C184" s="1" t="n">
        <v>45723</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31647-2021</t>
        </is>
      </c>
      <c r="B185" s="1" t="n">
        <v>44369</v>
      </c>
      <c r="C185" s="1" t="n">
        <v>45723</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33265-2021</t>
        </is>
      </c>
      <c r="B186" s="1" t="n">
        <v>44377</v>
      </c>
      <c r="C186" s="1" t="n">
        <v>45723</v>
      </c>
      <c r="D186" t="inlineStr">
        <is>
          <t>DALARNAS LÄN</t>
        </is>
      </c>
      <c r="E186" t="inlineStr">
        <is>
          <t>ORSA</t>
        </is>
      </c>
      <c r="G186" t="n">
        <v>1.9</v>
      </c>
      <c r="H186" t="n">
        <v>0</v>
      </c>
      <c r="I186" t="n">
        <v>0</v>
      </c>
      <c r="J186" t="n">
        <v>0</v>
      </c>
      <c r="K186" t="n">
        <v>0</v>
      </c>
      <c r="L186" t="n">
        <v>0</v>
      </c>
      <c r="M186" t="n">
        <v>0</v>
      </c>
      <c r="N186" t="n">
        <v>0</v>
      </c>
      <c r="O186" t="n">
        <v>0</v>
      </c>
      <c r="P186" t="n">
        <v>0</v>
      </c>
      <c r="Q186" t="n">
        <v>0</v>
      </c>
      <c r="R186" s="2" t="inlineStr"/>
    </row>
    <row r="187" ht="15" customHeight="1">
      <c r="A187" t="inlineStr">
        <is>
          <t>A 33480-2021</t>
        </is>
      </c>
      <c r="B187" s="1" t="n">
        <v>44377</v>
      </c>
      <c r="C187" s="1" t="n">
        <v>45723</v>
      </c>
      <c r="D187" t="inlineStr">
        <is>
          <t>DALARNAS LÄN</t>
        </is>
      </c>
      <c r="E187" t="inlineStr">
        <is>
          <t>ORSA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34713-2021</t>
        </is>
      </c>
      <c r="B188" s="1" t="n">
        <v>44382</v>
      </c>
      <c r="C188" s="1" t="n">
        <v>45723</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34708-2021</t>
        </is>
      </c>
      <c r="B189" s="1" t="n">
        <v>44382</v>
      </c>
      <c r="C189" s="1" t="n">
        <v>45723</v>
      </c>
      <c r="D189" t="inlineStr">
        <is>
          <t>DALARNAS LÄN</t>
        </is>
      </c>
      <c r="E189" t="inlineStr">
        <is>
          <t>ORSA</t>
        </is>
      </c>
      <c r="G189" t="n">
        <v>4.3</v>
      </c>
      <c r="H189" t="n">
        <v>0</v>
      </c>
      <c r="I189" t="n">
        <v>0</v>
      </c>
      <c r="J189" t="n">
        <v>0</v>
      </c>
      <c r="K189" t="n">
        <v>0</v>
      </c>
      <c r="L189" t="n">
        <v>0</v>
      </c>
      <c r="M189" t="n">
        <v>0</v>
      </c>
      <c r="N189" t="n">
        <v>0</v>
      </c>
      <c r="O189" t="n">
        <v>0</v>
      </c>
      <c r="P189" t="n">
        <v>0</v>
      </c>
      <c r="Q189" t="n">
        <v>0</v>
      </c>
      <c r="R189" s="2" t="inlineStr"/>
    </row>
    <row r="190" ht="15" customHeight="1">
      <c r="A190" t="inlineStr">
        <is>
          <t>A 36559-2021</t>
        </is>
      </c>
      <c r="B190" s="1" t="n">
        <v>44391</v>
      </c>
      <c r="C190" s="1" t="n">
        <v>45723</v>
      </c>
      <c r="D190" t="inlineStr">
        <is>
          <t>DALARNAS LÄN</t>
        </is>
      </c>
      <c r="E190" t="inlineStr">
        <is>
          <t>ORSA</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36569-2021</t>
        </is>
      </c>
      <c r="B191" s="1" t="n">
        <v>44391</v>
      </c>
      <c r="C191" s="1" t="n">
        <v>45723</v>
      </c>
      <c r="D191" t="inlineStr">
        <is>
          <t>DALARNAS LÄN</t>
        </is>
      </c>
      <c r="E191" t="inlineStr">
        <is>
          <t>ORSA</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36613-2021</t>
        </is>
      </c>
      <c r="B192" s="1" t="n">
        <v>44391</v>
      </c>
      <c r="C192" s="1" t="n">
        <v>45723</v>
      </c>
      <c r="D192" t="inlineStr">
        <is>
          <t>DALARNAS LÄN</t>
        </is>
      </c>
      <c r="E192" t="inlineStr">
        <is>
          <t>ORSA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39920-2021</t>
        </is>
      </c>
      <c r="B193" s="1" t="n">
        <v>44417</v>
      </c>
      <c r="C193" s="1" t="n">
        <v>45723</v>
      </c>
      <c r="D193" t="inlineStr">
        <is>
          <t>DALARNAS LÄN</t>
        </is>
      </c>
      <c r="E193" t="inlineStr">
        <is>
          <t>ORSA</t>
        </is>
      </c>
      <c r="F193" t="inlineStr">
        <is>
          <t>Kyrkan</t>
        </is>
      </c>
      <c r="G193" t="n">
        <v>2.2</v>
      </c>
      <c r="H193" t="n">
        <v>0</v>
      </c>
      <c r="I193" t="n">
        <v>0</v>
      </c>
      <c r="J193" t="n">
        <v>0</v>
      </c>
      <c r="K193" t="n">
        <v>0</v>
      </c>
      <c r="L193" t="n">
        <v>0</v>
      </c>
      <c r="M193" t="n">
        <v>0</v>
      </c>
      <c r="N193" t="n">
        <v>0</v>
      </c>
      <c r="O193" t="n">
        <v>0</v>
      </c>
      <c r="P193" t="n">
        <v>0</v>
      </c>
      <c r="Q193" t="n">
        <v>0</v>
      </c>
      <c r="R193" s="2" t="inlineStr"/>
    </row>
    <row r="194" ht="15" customHeight="1">
      <c r="A194" t="inlineStr">
        <is>
          <t>A 41291-2021</t>
        </is>
      </c>
      <c r="B194" s="1" t="n">
        <v>44424</v>
      </c>
      <c r="C194" s="1" t="n">
        <v>45723</v>
      </c>
      <c r="D194" t="inlineStr">
        <is>
          <t>DALARNAS LÄN</t>
        </is>
      </c>
      <c r="E194" t="inlineStr">
        <is>
          <t>ORSA</t>
        </is>
      </c>
      <c r="G194" t="n">
        <v>2</v>
      </c>
      <c r="H194" t="n">
        <v>0</v>
      </c>
      <c r="I194" t="n">
        <v>0</v>
      </c>
      <c r="J194" t="n">
        <v>0</v>
      </c>
      <c r="K194" t="n">
        <v>0</v>
      </c>
      <c r="L194" t="n">
        <v>0</v>
      </c>
      <c r="M194" t="n">
        <v>0</v>
      </c>
      <c r="N194" t="n">
        <v>0</v>
      </c>
      <c r="O194" t="n">
        <v>0</v>
      </c>
      <c r="P194" t="n">
        <v>0</v>
      </c>
      <c r="Q194" t="n">
        <v>0</v>
      </c>
      <c r="R194" s="2" t="inlineStr"/>
    </row>
    <row r="195" ht="15" customHeight="1">
      <c r="A195" t="inlineStr">
        <is>
          <t>A 41295-2021</t>
        </is>
      </c>
      <c r="B195" s="1" t="n">
        <v>44424</v>
      </c>
      <c r="C195" s="1" t="n">
        <v>45723</v>
      </c>
      <c r="D195" t="inlineStr">
        <is>
          <t>DALARNAS LÄN</t>
        </is>
      </c>
      <c r="E195" t="inlineStr">
        <is>
          <t>ORSA</t>
        </is>
      </c>
      <c r="G195" t="n">
        <v>3.1</v>
      </c>
      <c r="H195" t="n">
        <v>0</v>
      </c>
      <c r="I195" t="n">
        <v>0</v>
      </c>
      <c r="J195" t="n">
        <v>0</v>
      </c>
      <c r="K195" t="n">
        <v>0</v>
      </c>
      <c r="L195" t="n">
        <v>0</v>
      </c>
      <c r="M195" t="n">
        <v>0</v>
      </c>
      <c r="N195" t="n">
        <v>0</v>
      </c>
      <c r="O195" t="n">
        <v>0</v>
      </c>
      <c r="P195" t="n">
        <v>0</v>
      </c>
      <c r="Q195" t="n">
        <v>0</v>
      </c>
      <c r="R195" s="2" t="inlineStr"/>
    </row>
    <row r="196" ht="15" customHeight="1">
      <c r="A196" t="inlineStr">
        <is>
          <t>A 41425-2021</t>
        </is>
      </c>
      <c r="B196" s="1" t="n">
        <v>44424</v>
      </c>
      <c r="C196" s="1" t="n">
        <v>45723</v>
      </c>
      <c r="D196" t="inlineStr">
        <is>
          <t>DALARNAS LÄN</t>
        </is>
      </c>
      <c r="E196" t="inlineStr">
        <is>
          <t>ORSA</t>
        </is>
      </c>
      <c r="G196" t="n">
        <v>0.4</v>
      </c>
      <c r="H196" t="n">
        <v>0</v>
      </c>
      <c r="I196" t="n">
        <v>0</v>
      </c>
      <c r="J196" t="n">
        <v>0</v>
      </c>
      <c r="K196" t="n">
        <v>0</v>
      </c>
      <c r="L196" t="n">
        <v>0</v>
      </c>
      <c r="M196" t="n">
        <v>0</v>
      </c>
      <c r="N196" t="n">
        <v>0</v>
      </c>
      <c r="O196" t="n">
        <v>0</v>
      </c>
      <c r="P196" t="n">
        <v>0</v>
      </c>
      <c r="Q196" t="n">
        <v>0</v>
      </c>
      <c r="R196" s="2" t="inlineStr"/>
    </row>
    <row r="197" ht="15" customHeight="1">
      <c r="A197" t="inlineStr">
        <is>
          <t>A 43391-2021</t>
        </is>
      </c>
      <c r="B197" s="1" t="n">
        <v>44432</v>
      </c>
      <c r="C197" s="1" t="n">
        <v>45723</v>
      </c>
      <c r="D197" t="inlineStr">
        <is>
          <t>DALARNAS LÄN</t>
        </is>
      </c>
      <c r="E197" t="inlineStr">
        <is>
          <t>ORSA</t>
        </is>
      </c>
      <c r="F197" t="inlineStr">
        <is>
          <t>Bergvik skog öst AB</t>
        </is>
      </c>
      <c r="G197" t="n">
        <v>6.8</v>
      </c>
      <c r="H197" t="n">
        <v>0</v>
      </c>
      <c r="I197" t="n">
        <v>0</v>
      </c>
      <c r="J197" t="n">
        <v>0</v>
      </c>
      <c r="K197" t="n">
        <v>0</v>
      </c>
      <c r="L197" t="n">
        <v>0</v>
      </c>
      <c r="M197" t="n">
        <v>0</v>
      </c>
      <c r="N197" t="n">
        <v>0</v>
      </c>
      <c r="O197" t="n">
        <v>0</v>
      </c>
      <c r="P197" t="n">
        <v>0</v>
      </c>
      <c r="Q197" t="n">
        <v>0</v>
      </c>
      <c r="R197" s="2" t="inlineStr"/>
    </row>
    <row r="198" ht="15" customHeight="1">
      <c r="A198" t="inlineStr">
        <is>
          <t>A 47126-2021</t>
        </is>
      </c>
      <c r="B198" s="1" t="n">
        <v>44446</v>
      </c>
      <c r="C198" s="1" t="n">
        <v>45723</v>
      </c>
      <c r="D198" t="inlineStr">
        <is>
          <t>DALARNAS LÄN</t>
        </is>
      </c>
      <c r="E198" t="inlineStr">
        <is>
          <t>ORSA</t>
        </is>
      </c>
      <c r="G198" t="n">
        <v>1.3</v>
      </c>
      <c r="H198" t="n">
        <v>0</v>
      </c>
      <c r="I198" t="n">
        <v>0</v>
      </c>
      <c r="J198" t="n">
        <v>0</v>
      </c>
      <c r="K198" t="n">
        <v>0</v>
      </c>
      <c r="L198" t="n">
        <v>0</v>
      </c>
      <c r="M198" t="n">
        <v>0</v>
      </c>
      <c r="N198" t="n">
        <v>0</v>
      </c>
      <c r="O198" t="n">
        <v>0</v>
      </c>
      <c r="P198" t="n">
        <v>0</v>
      </c>
      <c r="Q198" t="n">
        <v>0</v>
      </c>
      <c r="R198" s="2" t="inlineStr"/>
    </row>
    <row r="199" ht="15" customHeight="1">
      <c r="A199" t="inlineStr">
        <is>
          <t>A 47732-2021</t>
        </is>
      </c>
      <c r="B199" s="1" t="n">
        <v>44448</v>
      </c>
      <c r="C199" s="1" t="n">
        <v>45723</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47778-2021</t>
        </is>
      </c>
      <c r="B200" s="1" t="n">
        <v>44448</v>
      </c>
      <c r="C200" s="1" t="n">
        <v>45723</v>
      </c>
      <c r="D200" t="inlineStr">
        <is>
          <t>DALARNAS LÄN</t>
        </is>
      </c>
      <c r="E200" t="inlineStr">
        <is>
          <t>ORSA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49028-2021</t>
        </is>
      </c>
      <c r="B201" s="1" t="n">
        <v>44453</v>
      </c>
      <c r="C201" s="1" t="n">
        <v>45723</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49004-2021</t>
        </is>
      </c>
      <c r="B202" s="1" t="n">
        <v>44453</v>
      </c>
      <c r="C202" s="1" t="n">
        <v>45723</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49533-2021</t>
        </is>
      </c>
      <c r="B203" s="1" t="n">
        <v>44455</v>
      </c>
      <c r="C203" s="1" t="n">
        <v>45723</v>
      </c>
      <c r="D203" t="inlineStr">
        <is>
          <t>DALARNAS LÄN</t>
        </is>
      </c>
      <c r="E203" t="inlineStr">
        <is>
          <t>ORSA</t>
        </is>
      </c>
      <c r="F203" t="inlineStr">
        <is>
          <t>Allmännings- och besparingsskogar</t>
        </is>
      </c>
      <c r="G203" t="n">
        <v>22.2</v>
      </c>
      <c r="H203" t="n">
        <v>0</v>
      </c>
      <c r="I203" t="n">
        <v>0</v>
      </c>
      <c r="J203" t="n">
        <v>0</v>
      </c>
      <c r="K203" t="n">
        <v>0</v>
      </c>
      <c r="L203" t="n">
        <v>0</v>
      </c>
      <c r="M203" t="n">
        <v>0</v>
      </c>
      <c r="N203" t="n">
        <v>0</v>
      </c>
      <c r="O203" t="n">
        <v>0</v>
      </c>
      <c r="P203" t="n">
        <v>0</v>
      </c>
      <c r="Q203" t="n">
        <v>0</v>
      </c>
      <c r="R203" s="2" t="inlineStr"/>
    </row>
    <row r="204" ht="15" customHeight="1">
      <c r="A204" t="inlineStr">
        <is>
          <t>A 50297-2021</t>
        </is>
      </c>
      <c r="B204" s="1" t="n">
        <v>44459</v>
      </c>
      <c r="C204" s="1" t="n">
        <v>45723</v>
      </c>
      <c r="D204" t="inlineStr">
        <is>
          <t>DALARNAS LÄN</t>
        </is>
      </c>
      <c r="E204" t="inlineStr">
        <is>
          <t>ORSA</t>
        </is>
      </c>
      <c r="G204" t="n">
        <v>0.6</v>
      </c>
      <c r="H204" t="n">
        <v>0</v>
      </c>
      <c r="I204" t="n">
        <v>0</v>
      </c>
      <c r="J204" t="n">
        <v>0</v>
      </c>
      <c r="K204" t="n">
        <v>0</v>
      </c>
      <c r="L204" t="n">
        <v>0</v>
      </c>
      <c r="M204" t="n">
        <v>0</v>
      </c>
      <c r="N204" t="n">
        <v>0</v>
      </c>
      <c r="O204" t="n">
        <v>0</v>
      </c>
      <c r="P204" t="n">
        <v>0</v>
      </c>
      <c r="Q204" t="n">
        <v>0</v>
      </c>
      <c r="R204" s="2" t="inlineStr"/>
    </row>
    <row r="205" ht="15" customHeight="1">
      <c r="A205" t="inlineStr">
        <is>
          <t>A 50843-2021</t>
        </is>
      </c>
      <c r="B205" s="1" t="n">
        <v>44460</v>
      </c>
      <c r="C205" s="1" t="n">
        <v>45723</v>
      </c>
      <c r="D205" t="inlineStr">
        <is>
          <t>DALARNAS LÄN</t>
        </is>
      </c>
      <c r="E205" t="inlineStr">
        <is>
          <t>ORSA</t>
        </is>
      </c>
      <c r="G205" t="n">
        <v>2.5</v>
      </c>
      <c r="H205" t="n">
        <v>0</v>
      </c>
      <c r="I205" t="n">
        <v>0</v>
      </c>
      <c r="J205" t="n">
        <v>0</v>
      </c>
      <c r="K205" t="n">
        <v>0</v>
      </c>
      <c r="L205" t="n">
        <v>0</v>
      </c>
      <c r="M205" t="n">
        <v>0</v>
      </c>
      <c r="N205" t="n">
        <v>0</v>
      </c>
      <c r="O205" t="n">
        <v>0</v>
      </c>
      <c r="P205" t="n">
        <v>0</v>
      </c>
      <c r="Q205" t="n">
        <v>0</v>
      </c>
      <c r="R205" s="2" t="inlineStr"/>
    </row>
    <row r="206" ht="15" customHeight="1">
      <c r="A206" t="inlineStr">
        <is>
          <t>A 50779-2021</t>
        </is>
      </c>
      <c r="B206" s="1" t="n">
        <v>44460</v>
      </c>
      <c r="C206" s="1" t="n">
        <v>45723</v>
      </c>
      <c r="D206" t="inlineStr">
        <is>
          <t>DALARNAS LÄN</t>
        </is>
      </c>
      <c r="E206" t="inlineStr">
        <is>
          <t>ORSA</t>
        </is>
      </c>
      <c r="G206" t="n">
        <v>2.2</v>
      </c>
      <c r="H206" t="n">
        <v>0</v>
      </c>
      <c r="I206" t="n">
        <v>0</v>
      </c>
      <c r="J206" t="n">
        <v>0</v>
      </c>
      <c r="K206" t="n">
        <v>0</v>
      </c>
      <c r="L206" t="n">
        <v>0</v>
      </c>
      <c r="M206" t="n">
        <v>0</v>
      </c>
      <c r="N206" t="n">
        <v>0</v>
      </c>
      <c r="O206" t="n">
        <v>0</v>
      </c>
      <c r="P206" t="n">
        <v>0</v>
      </c>
      <c r="Q206" t="n">
        <v>0</v>
      </c>
      <c r="R206" s="2" t="inlineStr"/>
    </row>
    <row r="207" ht="15" customHeight="1">
      <c r="A207" t="inlineStr">
        <is>
          <t>A 50905-2021</t>
        </is>
      </c>
      <c r="B207" s="1" t="n">
        <v>44460</v>
      </c>
      <c r="C207" s="1" t="n">
        <v>45723</v>
      </c>
      <c r="D207" t="inlineStr">
        <is>
          <t>DALARNAS LÄN</t>
        </is>
      </c>
      <c r="E207" t="inlineStr">
        <is>
          <t>ORSA</t>
        </is>
      </c>
      <c r="G207" t="n">
        <v>2.1</v>
      </c>
      <c r="H207" t="n">
        <v>0</v>
      </c>
      <c r="I207" t="n">
        <v>0</v>
      </c>
      <c r="J207" t="n">
        <v>0</v>
      </c>
      <c r="K207" t="n">
        <v>0</v>
      </c>
      <c r="L207" t="n">
        <v>0</v>
      </c>
      <c r="M207" t="n">
        <v>0</v>
      </c>
      <c r="N207" t="n">
        <v>0</v>
      </c>
      <c r="O207" t="n">
        <v>0</v>
      </c>
      <c r="P207" t="n">
        <v>0</v>
      </c>
      <c r="Q207" t="n">
        <v>0</v>
      </c>
      <c r="R207" s="2" t="inlineStr"/>
    </row>
    <row r="208" ht="15" customHeight="1">
      <c r="A208" t="inlineStr">
        <is>
          <t>A 51001-2021</t>
        </is>
      </c>
      <c r="B208" s="1" t="n">
        <v>44460</v>
      </c>
      <c r="C208" s="1" t="n">
        <v>45723</v>
      </c>
      <c r="D208" t="inlineStr">
        <is>
          <t>DALARNAS LÄN</t>
        </is>
      </c>
      <c r="E208" t="inlineStr">
        <is>
          <t>ORSA</t>
        </is>
      </c>
      <c r="G208" t="n">
        <v>2.6</v>
      </c>
      <c r="H208" t="n">
        <v>0</v>
      </c>
      <c r="I208" t="n">
        <v>0</v>
      </c>
      <c r="J208" t="n">
        <v>0</v>
      </c>
      <c r="K208" t="n">
        <v>0</v>
      </c>
      <c r="L208" t="n">
        <v>0</v>
      </c>
      <c r="M208" t="n">
        <v>0</v>
      </c>
      <c r="N208" t="n">
        <v>0</v>
      </c>
      <c r="O208" t="n">
        <v>0</v>
      </c>
      <c r="P208" t="n">
        <v>0</v>
      </c>
      <c r="Q208" t="n">
        <v>0</v>
      </c>
      <c r="R208" s="2" t="inlineStr"/>
    </row>
    <row r="209" ht="15" customHeight="1">
      <c r="A209" t="inlineStr">
        <is>
          <t>A 50999-2021</t>
        </is>
      </c>
      <c r="B209" s="1" t="n">
        <v>44460</v>
      </c>
      <c r="C209" s="1" t="n">
        <v>45723</v>
      </c>
      <c r="D209" t="inlineStr">
        <is>
          <t>DALARNAS LÄN</t>
        </is>
      </c>
      <c r="E209" t="inlineStr">
        <is>
          <t>ORSA</t>
        </is>
      </c>
      <c r="G209" t="n">
        <v>3</v>
      </c>
      <c r="H209" t="n">
        <v>0</v>
      </c>
      <c r="I209" t="n">
        <v>0</v>
      </c>
      <c r="J209" t="n">
        <v>0</v>
      </c>
      <c r="K209" t="n">
        <v>0</v>
      </c>
      <c r="L209" t="n">
        <v>0</v>
      </c>
      <c r="M209" t="n">
        <v>0</v>
      </c>
      <c r="N209" t="n">
        <v>0</v>
      </c>
      <c r="O209" t="n">
        <v>0</v>
      </c>
      <c r="P209" t="n">
        <v>0</v>
      </c>
      <c r="Q209" t="n">
        <v>0</v>
      </c>
      <c r="R209" s="2" t="inlineStr"/>
    </row>
    <row r="210" ht="15" customHeight="1">
      <c r="A210" t="inlineStr">
        <is>
          <t>A 51277-2021</t>
        </is>
      </c>
      <c r="B210" s="1" t="n">
        <v>44461</v>
      </c>
      <c r="C210" s="1" t="n">
        <v>45723</v>
      </c>
      <c r="D210" t="inlineStr">
        <is>
          <t>DALARNAS LÄN</t>
        </is>
      </c>
      <c r="E210" t="inlineStr">
        <is>
          <t>ORSA</t>
        </is>
      </c>
      <c r="F210" t="inlineStr">
        <is>
          <t>Allmännings- och besparingsskogar</t>
        </is>
      </c>
      <c r="G210" t="n">
        <v>0.2</v>
      </c>
      <c r="H210" t="n">
        <v>0</v>
      </c>
      <c r="I210" t="n">
        <v>0</v>
      </c>
      <c r="J210" t="n">
        <v>0</v>
      </c>
      <c r="K210" t="n">
        <v>0</v>
      </c>
      <c r="L210" t="n">
        <v>0</v>
      </c>
      <c r="M210" t="n">
        <v>0</v>
      </c>
      <c r="N210" t="n">
        <v>0</v>
      </c>
      <c r="O210" t="n">
        <v>0</v>
      </c>
      <c r="P210" t="n">
        <v>0</v>
      </c>
      <c r="Q210" t="n">
        <v>0</v>
      </c>
      <c r="R210" s="2" t="inlineStr"/>
    </row>
    <row r="211" ht="15" customHeight="1">
      <c r="A211" t="inlineStr">
        <is>
          <t>A 51278-2021</t>
        </is>
      </c>
      <c r="B211" s="1" t="n">
        <v>44461</v>
      </c>
      <c r="C211" s="1" t="n">
        <v>45723</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52542-2021</t>
        </is>
      </c>
      <c r="B212" s="1" t="n">
        <v>44466</v>
      </c>
      <c r="C212" s="1" t="n">
        <v>45723</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52574-2021</t>
        </is>
      </c>
      <c r="B213" s="1" t="n">
        <v>44466</v>
      </c>
      <c r="C213" s="1" t="n">
        <v>45723</v>
      </c>
      <c r="D213" t="inlineStr">
        <is>
          <t>DALARNAS LÄN</t>
        </is>
      </c>
      <c r="E213" t="inlineStr">
        <is>
          <t>ORSA</t>
        </is>
      </c>
      <c r="G213" t="n">
        <v>1</v>
      </c>
      <c r="H213" t="n">
        <v>0</v>
      </c>
      <c r="I213" t="n">
        <v>0</v>
      </c>
      <c r="J213" t="n">
        <v>0</v>
      </c>
      <c r="K213" t="n">
        <v>0</v>
      </c>
      <c r="L213" t="n">
        <v>0</v>
      </c>
      <c r="M213" t="n">
        <v>0</v>
      </c>
      <c r="N213" t="n">
        <v>0</v>
      </c>
      <c r="O213" t="n">
        <v>0</v>
      </c>
      <c r="P213" t="n">
        <v>0</v>
      </c>
      <c r="Q213" t="n">
        <v>0</v>
      </c>
      <c r="R213" s="2" t="inlineStr"/>
    </row>
    <row r="214" ht="15" customHeight="1">
      <c r="A214" t="inlineStr">
        <is>
          <t>A 53102-2021</t>
        </is>
      </c>
      <c r="B214" s="1" t="n">
        <v>44467</v>
      </c>
      <c r="C214" s="1" t="n">
        <v>45723</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53104-2021</t>
        </is>
      </c>
      <c r="B215" s="1" t="n">
        <v>44467</v>
      </c>
      <c r="C215" s="1" t="n">
        <v>45723</v>
      </c>
      <c r="D215" t="inlineStr">
        <is>
          <t>DALARNAS LÄN</t>
        </is>
      </c>
      <c r="E215" t="inlineStr">
        <is>
          <t>ORSA</t>
        </is>
      </c>
      <c r="G215" t="n">
        <v>1.2</v>
      </c>
      <c r="H215" t="n">
        <v>0</v>
      </c>
      <c r="I215" t="n">
        <v>0</v>
      </c>
      <c r="J215" t="n">
        <v>0</v>
      </c>
      <c r="K215" t="n">
        <v>0</v>
      </c>
      <c r="L215" t="n">
        <v>0</v>
      </c>
      <c r="M215" t="n">
        <v>0</v>
      </c>
      <c r="N215" t="n">
        <v>0</v>
      </c>
      <c r="O215" t="n">
        <v>0</v>
      </c>
      <c r="P215" t="n">
        <v>0</v>
      </c>
      <c r="Q215" t="n">
        <v>0</v>
      </c>
      <c r="R215" s="2" t="inlineStr"/>
    </row>
    <row r="216" ht="15" customHeight="1">
      <c r="A216" t="inlineStr">
        <is>
          <t>A 53106-2021</t>
        </is>
      </c>
      <c r="B216" s="1" t="n">
        <v>44468</v>
      </c>
      <c r="C216" s="1" t="n">
        <v>45723</v>
      </c>
      <c r="D216" t="inlineStr">
        <is>
          <t>DALARNAS LÄN</t>
        </is>
      </c>
      <c r="E216" t="inlineStr">
        <is>
          <t>ORSA</t>
        </is>
      </c>
      <c r="G216" t="n">
        <v>2</v>
      </c>
      <c r="H216" t="n">
        <v>0</v>
      </c>
      <c r="I216" t="n">
        <v>0</v>
      </c>
      <c r="J216" t="n">
        <v>0</v>
      </c>
      <c r="K216" t="n">
        <v>0</v>
      </c>
      <c r="L216" t="n">
        <v>0</v>
      </c>
      <c r="M216" t="n">
        <v>0</v>
      </c>
      <c r="N216" t="n">
        <v>0</v>
      </c>
      <c r="O216" t="n">
        <v>0</v>
      </c>
      <c r="P216" t="n">
        <v>0</v>
      </c>
      <c r="Q216" t="n">
        <v>0</v>
      </c>
      <c r="R216" s="2" t="inlineStr"/>
    </row>
    <row r="217" ht="15" customHeight="1">
      <c r="A217" t="inlineStr">
        <is>
          <t>A 53740-2021</t>
        </is>
      </c>
      <c r="B217" s="1" t="n">
        <v>44469</v>
      </c>
      <c r="C217" s="1" t="n">
        <v>45723</v>
      </c>
      <c r="D217" t="inlineStr">
        <is>
          <t>DALARNAS LÄN</t>
        </is>
      </c>
      <c r="E217" t="inlineStr">
        <is>
          <t>ORSA</t>
        </is>
      </c>
      <c r="G217" t="n">
        <v>1.1</v>
      </c>
      <c r="H217" t="n">
        <v>0</v>
      </c>
      <c r="I217" t="n">
        <v>0</v>
      </c>
      <c r="J217" t="n">
        <v>0</v>
      </c>
      <c r="K217" t="n">
        <v>0</v>
      </c>
      <c r="L217" t="n">
        <v>0</v>
      </c>
      <c r="M217" t="n">
        <v>0</v>
      </c>
      <c r="N217" t="n">
        <v>0</v>
      </c>
      <c r="O217" t="n">
        <v>0</v>
      </c>
      <c r="P217" t="n">
        <v>0</v>
      </c>
      <c r="Q217" t="n">
        <v>0</v>
      </c>
      <c r="R217" s="2" t="inlineStr"/>
    </row>
    <row r="218" ht="15" customHeight="1">
      <c r="A218" t="inlineStr">
        <is>
          <t>A 53745-2021</t>
        </is>
      </c>
      <c r="B218" s="1" t="n">
        <v>44469</v>
      </c>
      <c r="C218" s="1" t="n">
        <v>45723</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54760-2021</t>
        </is>
      </c>
      <c r="B219" s="1" t="n">
        <v>44474</v>
      </c>
      <c r="C219" s="1" t="n">
        <v>45723</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55354-2021</t>
        </is>
      </c>
      <c r="B220" s="1" t="n">
        <v>44475</v>
      </c>
      <c r="C220" s="1" t="n">
        <v>45723</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56162-2021</t>
        </is>
      </c>
      <c r="B221" s="1" t="n">
        <v>44477</v>
      </c>
      <c r="C221" s="1" t="n">
        <v>45723</v>
      </c>
      <c r="D221" t="inlineStr">
        <is>
          <t>DALARNAS LÄN</t>
        </is>
      </c>
      <c r="E221" t="inlineStr">
        <is>
          <t>ORSA</t>
        </is>
      </c>
      <c r="G221" t="n">
        <v>0.6</v>
      </c>
      <c r="H221" t="n">
        <v>0</v>
      </c>
      <c r="I221" t="n">
        <v>0</v>
      </c>
      <c r="J221" t="n">
        <v>0</v>
      </c>
      <c r="K221" t="n">
        <v>0</v>
      </c>
      <c r="L221" t="n">
        <v>0</v>
      </c>
      <c r="M221" t="n">
        <v>0</v>
      </c>
      <c r="N221" t="n">
        <v>0</v>
      </c>
      <c r="O221" t="n">
        <v>0</v>
      </c>
      <c r="P221" t="n">
        <v>0</v>
      </c>
      <c r="Q221" t="n">
        <v>0</v>
      </c>
      <c r="R221" s="2" t="inlineStr"/>
    </row>
    <row r="222" ht="15" customHeight="1">
      <c r="A222" t="inlineStr">
        <is>
          <t>A 56711-2021</t>
        </is>
      </c>
      <c r="B222" s="1" t="n">
        <v>44481</v>
      </c>
      <c r="C222" s="1" t="n">
        <v>45723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56706-2021</t>
        </is>
      </c>
      <c r="B223" s="1" t="n">
        <v>44481</v>
      </c>
      <c r="C223" s="1" t="n">
        <v>45723</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57271-2021</t>
        </is>
      </c>
      <c r="B224" s="1" t="n">
        <v>44483</v>
      </c>
      <c r="C224" s="1" t="n">
        <v>45723</v>
      </c>
      <c r="D224" t="inlineStr">
        <is>
          <t>DALARNAS LÄN</t>
        </is>
      </c>
      <c r="E224" t="inlineStr">
        <is>
          <t>ORSA</t>
        </is>
      </c>
      <c r="G224" t="n">
        <v>2.2</v>
      </c>
      <c r="H224" t="n">
        <v>0</v>
      </c>
      <c r="I224" t="n">
        <v>0</v>
      </c>
      <c r="J224" t="n">
        <v>0</v>
      </c>
      <c r="K224" t="n">
        <v>0</v>
      </c>
      <c r="L224" t="n">
        <v>0</v>
      </c>
      <c r="M224" t="n">
        <v>0</v>
      </c>
      <c r="N224" t="n">
        <v>0</v>
      </c>
      <c r="O224" t="n">
        <v>0</v>
      </c>
      <c r="P224" t="n">
        <v>0</v>
      </c>
      <c r="Q224" t="n">
        <v>0</v>
      </c>
      <c r="R224" s="2" t="inlineStr"/>
    </row>
    <row r="225" ht="15" customHeight="1">
      <c r="A225" t="inlineStr">
        <is>
          <t>A 57685-2021</t>
        </is>
      </c>
      <c r="B225" s="1" t="n">
        <v>44484</v>
      </c>
      <c r="C225" s="1" t="n">
        <v>45723</v>
      </c>
      <c r="D225" t="inlineStr">
        <is>
          <t>DALARNAS LÄN</t>
        </is>
      </c>
      <c r="E225" t="inlineStr">
        <is>
          <t>ORSA</t>
        </is>
      </c>
      <c r="G225" t="n">
        <v>4.1</v>
      </c>
      <c r="H225" t="n">
        <v>0</v>
      </c>
      <c r="I225" t="n">
        <v>0</v>
      </c>
      <c r="J225" t="n">
        <v>0</v>
      </c>
      <c r="K225" t="n">
        <v>0</v>
      </c>
      <c r="L225" t="n">
        <v>0</v>
      </c>
      <c r="M225" t="n">
        <v>0</v>
      </c>
      <c r="N225" t="n">
        <v>0</v>
      </c>
      <c r="O225" t="n">
        <v>0</v>
      </c>
      <c r="P225" t="n">
        <v>0</v>
      </c>
      <c r="Q225" t="n">
        <v>0</v>
      </c>
      <c r="R225" s="2" t="inlineStr"/>
    </row>
    <row r="226" ht="15" customHeight="1">
      <c r="A226" t="inlineStr">
        <is>
          <t>A 59868-2021</t>
        </is>
      </c>
      <c r="B226" s="1" t="n">
        <v>44494</v>
      </c>
      <c r="C226" s="1" t="n">
        <v>45723</v>
      </c>
      <c r="D226" t="inlineStr">
        <is>
          <t>DALARNAS LÄN</t>
        </is>
      </c>
      <c r="E226" t="inlineStr">
        <is>
          <t>ORSA</t>
        </is>
      </c>
      <c r="G226" t="n">
        <v>4.3</v>
      </c>
      <c r="H226" t="n">
        <v>0</v>
      </c>
      <c r="I226" t="n">
        <v>0</v>
      </c>
      <c r="J226" t="n">
        <v>0</v>
      </c>
      <c r="K226" t="n">
        <v>0</v>
      </c>
      <c r="L226" t="n">
        <v>0</v>
      </c>
      <c r="M226" t="n">
        <v>0</v>
      </c>
      <c r="N226" t="n">
        <v>0</v>
      </c>
      <c r="O226" t="n">
        <v>0</v>
      </c>
      <c r="P226" t="n">
        <v>0</v>
      </c>
      <c r="Q226" t="n">
        <v>0</v>
      </c>
      <c r="R226" s="2" t="inlineStr"/>
    </row>
    <row r="227" ht="15" customHeight="1">
      <c r="A227" t="inlineStr">
        <is>
          <t>A 60391-2021</t>
        </is>
      </c>
      <c r="B227" s="1" t="n">
        <v>44496</v>
      </c>
      <c r="C227" s="1" t="n">
        <v>45723</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61005-2021</t>
        </is>
      </c>
      <c r="B228" s="1" t="n">
        <v>44497</v>
      </c>
      <c r="C228" s="1" t="n">
        <v>45723</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60827-2021</t>
        </is>
      </c>
      <c r="B229" s="1" t="n">
        <v>44497</v>
      </c>
      <c r="C229" s="1" t="n">
        <v>45723</v>
      </c>
      <c r="D229" t="inlineStr">
        <is>
          <t>DALARNAS LÄN</t>
        </is>
      </c>
      <c r="E229" t="inlineStr">
        <is>
          <t>ORSA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61000-2021</t>
        </is>
      </c>
      <c r="B230" s="1" t="n">
        <v>44497</v>
      </c>
      <c r="C230" s="1" t="n">
        <v>45723</v>
      </c>
      <c r="D230" t="inlineStr">
        <is>
          <t>DALARNAS LÄN</t>
        </is>
      </c>
      <c r="E230" t="inlineStr">
        <is>
          <t>ORSA</t>
        </is>
      </c>
      <c r="G230" t="n">
        <v>4.4</v>
      </c>
      <c r="H230" t="n">
        <v>0</v>
      </c>
      <c r="I230" t="n">
        <v>0</v>
      </c>
      <c r="J230" t="n">
        <v>0</v>
      </c>
      <c r="K230" t="n">
        <v>0</v>
      </c>
      <c r="L230" t="n">
        <v>0</v>
      </c>
      <c r="M230" t="n">
        <v>0</v>
      </c>
      <c r="N230" t="n">
        <v>0</v>
      </c>
      <c r="O230" t="n">
        <v>0</v>
      </c>
      <c r="P230" t="n">
        <v>0</v>
      </c>
      <c r="Q230" t="n">
        <v>0</v>
      </c>
      <c r="R230" s="2" t="inlineStr"/>
    </row>
    <row r="231" ht="15" customHeight="1">
      <c r="A231" t="inlineStr">
        <is>
          <t>A 62370-2021</t>
        </is>
      </c>
      <c r="B231" s="1" t="n">
        <v>44503</v>
      </c>
      <c r="C231" s="1" t="n">
        <v>45723</v>
      </c>
      <c r="D231" t="inlineStr">
        <is>
          <t>DALARNAS LÄN</t>
        </is>
      </c>
      <c r="E231" t="inlineStr">
        <is>
          <t>ORSA</t>
        </is>
      </c>
      <c r="F231" t="inlineStr">
        <is>
          <t>Allmännings- och besparingsskogar</t>
        </is>
      </c>
      <c r="G231" t="n">
        <v>1.1</v>
      </c>
      <c r="H231" t="n">
        <v>0</v>
      </c>
      <c r="I231" t="n">
        <v>0</v>
      </c>
      <c r="J231" t="n">
        <v>0</v>
      </c>
      <c r="K231" t="n">
        <v>0</v>
      </c>
      <c r="L231" t="n">
        <v>0</v>
      </c>
      <c r="M231" t="n">
        <v>0</v>
      </c>
      <c r="N231" t="n">
        <v>0</v>
      </c>
      <c r="O231" t="n">
        <v>0</v>
      </c>
      <c r="P231" t="n">
        <v>0</v>
      </c>
      <c r="Q231" t="n">
        <v>0</v>
      </c>
      <c r="R231" s="2" t="inlineStr"/>
    </row>
    <row r="232" ht="15" customHeight="1">
      <c r="A232" t="inlineStr">
        <is>
          <t>A 64776-2021</t>
        </is>
      </c>
      <c r="B232" s="1" t="n">
        <v>44512</v>
      </c>
      <c r="C232" s="1" t="n">
        <v>45723</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64747-2021</t>
        </is>
      </c>
      <c r="B233" s="1" t="n">
        <v>44512</v>
      </c>
      <c r="C233" s="1" t="n">
        <v>45723</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68013-2021</t>
        </is>
      </c>
      <c r="B234" s="1" t="n">
        <v>44525</v>
      </c>
      <c r="C234" s="1" t="n">
        <v>45723</v>
      </c>
      <c r="D234" t="inlineStr">
        <is>
          <t>DALARNAS LÄN</t>
        </is>
      </c>
      <c r="E234" t="inlineStr">
        <is>
          <t>ORSA</t>
        </is>
      </c>
      <c r="G234" t="n">
        <v>2.1</v>
      </c>
      <c r="H234" t="n">
        <v>0</v>
      </c>
      <c r="I234" t="n">
        <v>0</v>
      </c>
      <c r="J234" t="n">
        <v>0</v>
      </c>
      <c r="K234" t="n">
        <v>0</v>
      </c>
      <c r="L234" t="n">
        <v>0</v>
      </c>
      <c r="M234" t="n">
        <v>0</v>
      </c>
      <c r="N234" t="n">
        <v>0</v>
      </c>
      <c r="O234" t="n">
        <v>0</v>
      </c>
      <c r="P234" t="n">
        <v>0</v>
      </c>
      <c r="Q234" t="n">
        <v>0</v>
      </c>
      <c r="R234" s="2" t="inlineStr"/>
    </row>
    <row r="235" ht="15" customHeight="1">
      <c r="A235" t="inlineStr">
        <is>
          <t>A 68230-2021</t>
        </is>
      </c>
      <c r="B235" s="1" t="n">
        <v>44526</v>
      </c>
      <c r="C235" s="1" t="n">
        <v>45723</v>
      </c>
      <c r="D235" t="inlineStr">
        <is>
          <t>DALARNAS LÄN</t>
        </is>
      </c>
      <c r="E235" t="inlineStr">
        <is>
          <t>ORSA</t>
        </is>
      </c>
      <c r="F235" t="inlineStr">
        <is>
          <t>Kyrkan</t>
        </is>
      </c>
      <c r="G235" t="n">
        <v>2.2</v>
      </c>
      <c r="H235" t="n">
        <v>0</v>
      </c>
      <c r="I235" t="n">
        <v>0</v>
      </c>
      <c r="J235" t="n">
        <v>0</v>
      </c>
      <c r="K235" t="n">
        <v>0</v>
      </c>
      <c r="L235" t="n">
        <v>0</v>
      </c>
      <c r="M235" t="n">
        <v>0</v>
      </c>
      <c r="N235" t="n">
        <v>0</v>
      </c>
      <c r="O235" t="n">
        <v>0</v>
      </c>
      <c r="P235" t="n">
        <v>0</v>
      </c>
      <c r="Q235" t="n">
        <v>0</v>
      </c>
      <c r="R235" s="2" t="inlineStr"/>
    </row>
    <row r="236" ht="15" customHeight="1">
      <c r="A236" t="inlineStr">
        <is>
          <t>A 69060-2021</t>
        </is>
      </c>
      <c r="B236" s="1" t="n">
        <v>44530</v>
      </c>
      <c r="C236" s="1" t="n">
        <v>45723</v>
      </c>
      <c r="D236" t="inlineStr">
        <is>
          <t>DALARNAS LÄN</t>
        </is>
      </c>
      <c r="E236" t="inlineStr">
        <is>
          <t>ORSA</t>
        </is>
      </c>
      <c r="F236" t="inlineStr">
        <is>
          <t>Allmännings- och besparingsskogar</t>
        </is>
      </c>
      <c r="G236" t="n">
        <v>2.8</v>
      </c>
      <c r="H236" t="n">
        <v>0</v>
      </c>
      <c r="I236" t="n">
        <v>0</v>
      </c>
      <c r="J236" t="n">
        <v>0</v>
      </c>
      <c r="K236" t="n">
        <v>0</v>
      </c>
      <c r="L236" t="n">
        <v>0</v>
      </c>
      <c r="M236" t="n">
        <v>0</v>
      </c>
      <c r="N236" t="n">
        <v>0</v>
      </c>
      <c r="O236" t="n">
        <v>0</v>
      </c>
      <c r="P236" t="n">
        <v>0</v>
      </c>
      <c r="Q236" t="n">
        <v>0</v>
      </c>
      <c r="R236" s="2" t="inlineStr"/>
    </row>
    <row r="237" ht="15" customHeight="1">
      <c r="A237" t="inlineStr">
        <is>
          <t>A 69046-2021</t>
        </is>
      </c>
      <c r="B237" s="1" t="n">
        <v>44530</v>
      </c>
      <c r="C237" s="1" t="n">
        <v>45723</v>
      </c>
      <c r="D237" t="inlineStr">
        <is>
          <t>DALARNAS LÄN</t>
        </is>
      </c>
      <c r="E237" t="inlineStr">
        <is>
          <t>ORSA</t>
        </is>
      </c>
      <c r="F237" t="inlineStr">
        <is>
          <t>Allmännings- och besparingsskogar</t>
        </is>
      </c>
      <c r="G237" t="n">
        <v>1.3</v>
      </c>
      <c r="H237" t="n">
        <v>0</v>
      </c>
      <c r="I237" t="n">
        <v>0</v>
      </c>
      <c r="J237" t="n">
        <v>0</v>
      </c>
      <c r="K237" t="n">
        <v>0</v>
      </c>
      <c r="L237" t="n">
        <v>0</v>
      </c>
      <c r="M237" t="n">
        <v>0</v>
      </c>
      <c r="N237" t="n">
        <v>0</v>
      </c>
      <c r="O237" t="n">
        <v>0</v>
      </c>
      <c r="P237" t="n">
        <v>0</v>
      </c>
      <c r="Q237" t="n">
        <v>0</v>
      </c>
      <c r="R237" s="2" t="inlineStr"/>
    </row>
    <row r="238" ht="15" customHeight="1">
      <c r="A238" t="inlineStr">
        <is>
          <t>A 69721-2021</t>
        </is>
      </c>
      <c r="B238" s="1" t="n">
        <v>44532</v>
      </c>
      <c r="C238" s="1" t="n">
        <v>45723</v>
      </c>
      <c r="D238" t="inlineStr">
        <is>
          <t>DALARNAS LÄN</t>
        </is>
      </c>
      <c r="E238" t="inlineStr">
        <is>
          <t>ORSA</t>
        </is>
      </c>
      <c r="G238" t="n">
        <v>3.4</v>
      </c>
      <c r="H238" t="n">
        <v>0</v>
      </c>
      <c r="I238" t="n">
        <v>0</v>
      </c>
      <c r="J238" t="n">
        <v>0</v>
      </c>
      <c r="K238" t="n">
        <v>0</v>
      </c>
      <c r="L238" t="n">
        <v>0</v>
      </c>
      <c r="M238" t="n">
        <v>0</v>
      </c>
      <c r="N238" t="n">
        <v>0</v>
      </c>
      <c r="O238" t="n">
        <v>0</v>
      </c>
      <c r="P238" t="n">
        <v>0</v>
      </c>
      <c r="Q238" t="n">
        <v>0</v>
      </c>
      <c r="R238" s="2" t="inlineStr"/>
    </row>
    <row r="239" ht="15" customHeight="1">
      <c r="A239" t="inlineStr">
        <is>
          <t>A 69735-2021</t>
        </is>
      </c>
      <c r="B239" s="1" t="n">
        <v>44532</v>
      </c>
      <c r="C239" s="1" t="n">
        <v>45723</v>
      </c>
      <c r="D239" t="inlineStr">
        <is>
          <t>DALARNAS LÄN</t>
        </is>
      </c>
      <c r="E239" t="inlineStr">
        <is>
          <t>ORSA</t>
        </is>
      </c>
      <c r="G239" t="n">
        <v>2.4</v>
      </c>
      <c r="H239" t="n">
        <v>0</v>
      </c>
      <c r="I239" t="n">
        <v>0</v>
      </c>
      <c r="J239" t="n">
        <v>0</v>
      </c>
      <c r="K239" t="n">
        <v>0</v>
      </c>
      <c r="L239" t="n">
        <v>0</v>
      </c>
      <c r="M239" t="n">
        <v>0</v>
      </c>
      <c r="N239" t="n">
        <v>0</v>
      </c>
      <c r="O239" t="n">
        <v>0</v>
      </c>
      <c r="P239" t="n">
        <v>0</v>
      </c>
      <c r="Q239" t="n">
        <v>0</v>
      </c>
      <c r="R239" s="2" t="inlineStr"/>
    </row>
    <row r="240" ht="15" customHeight="1">
      <c r="A240" t="inlineStr">
        <is>
          <t>A 70332-2021</t>
        </is>
      </c>
      <c r="B240" s="1" t="n">
        <v>44536</v>
      </c>
      <c r="C240" s="1" t="n">
        <v>45723</v>
      </c>
      <c r="D240" t="inlineStr">
        <is>
          <t>DALARNAS LÄN</t>
        </is>
      </c>
      <c r="E240" t="inlineStr">
        <is>
          <t>ORSA</t>
        </is>
      </c>
      <c r="G240" t="n">
        <v>7.2</v>
      </c>
      <c r="H240" t="n">
        <v>0</v>
      </c>
      <c r="I240" t="n">
        <v>0</v>
      </c>
      <c r="J240" t="n">
        <v>0</v>
      </c>
      <c r="K240" t="n">
        <v>0</v>
      </c>
      <c r="L240" t="n">
        <v>0</v>
      </c>
      <c r="M240" t="n">
        <v>0</v>
      </c>
      <c r="N240" t="n">
        <v>0</v>
      </c>
      <c r="O240" t="n">
        <v>0</v>
      </c>
      <c r="P240" t="n">
        <v>0</v>
      </c>
      <c r="Q240" t="n">
        <v>0</v>
      </c>
      <c r="R240" s="2" t="inlineStr"/>
    </row>
    <row r="241" ht="15" customHeight="1">
      <c r="A241" t="inlineStr">
        <is>
          <t>A 71744-2021</t>
        </is>
      </c>
      <c r="B241" s="1" t="n">
        <v>44543</v>
      </c>
      <c r="C241" s="1" t="n">
        <v>45723</v>
      </c>
      <c r="D241" t="inlineStr">
        <is>
          <t>DALARNAS LÄN</t>
        </is>
      </c>
      <c r="E241" t="inlineStr">
        <is>
          <t>ORSA</t>
        </is>
      </c>
      <c r="F241" t="inlineStr">
        <is>
          <t>Kyrkan</t>
        </is>
      </c>
      <c r="G241" t="n">
        <v>1.5</v>
      </c>
      <c r="H241" t="n">
        <v>0</v>
      </c>
      <c r="I241" t="n">
        <v>0</v>
      </c>
      <c r="J241" t="n">
        <v>0</v>
      </c>
      <c r="K241" t="n">
        <v>0</v>
      </c>
      <c r="L241" t="n">
        <v>0</v>
      </c>
      <c r="M241" t="n">
        <v>0</v>
      </c>
      <c r="N241" t="n">
        <v>0</v>
      </c>
      <c r="O241" t="n">
        <v>0</v>
      </c>
      <c r="P241" t="n">
        <v>0</v>
      </c>
      <c r="Q241" t="n">
        <v>0</v>
      </c>
      <c r="R241" s="2" t="inlineStr"/>
    </row>
    <row r="242" ht="15" customHeight="1">
      <c r="A242" t="inlineStr">
        <is>
          <t>A 72310-2021</t>
        </is>
      </c>
      <c r="B242" s="1" t="n">
        <v>44545</v>
      </c>
      <c r="C242" s="1" t="n">
        <v>45723</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72284-2021</t>
        </is>
      </c>
      <c r="B243" s="1" t="n">
        <v>44545</v>
      </c>
      <c r="C243" s="1" t="n">
        <v>45723</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160-2022</t>
        </is>
      </c>
      <c r="B244" s="1" t="n">
        <v>44564</v>
      </c>
      <c r="C244" s="1" t="n">
        <v>45723</v>
      </c>
      <c r="D244" t="inlineStr">
        <is>
          <t>DALARNAS LÄN</t>
        </is>
      </c>
      <c r="E244" t="inlineStr">
        <is>
          <t>ORSA</t>
        </is>
      </c>
      <c r="F244" t="inlineStr">
        <is>
          <t>Kommuner</t>
        </is>
      </c>
      <c r="G244" t="n">
        <v>0.1</v>
      </c>
      <c r="H244" t="n">
        <v>0</v>
      </c>
      <c r="I244" t="n">
        <v>0</v>
      </c>
      <c r="J244" t="n">
        <v>0</v>
      </c>
      <c r="K244" t="n">
        <v>0</v>
      </c>
      <c r="L244" t="n">
        <v>0</v>
      </c>
      <c r="M244" t="n">
        <v>0</v>
      </c>
      <c r="N244" t="n">
        <v>0</v>
      </c>
      <c r="O244" t="n">
        <v>0</v>
      </c>
      <c r="P244" t="n">
        <v>0</v>
      </c>
      <c r="Q244" t="n">
        <v>0</v>
      </c>
      <c r="R244" s="2" t="inlineStr"/>
    </row>
    <row r="245" ht="15" customHeight="1">
      <c r="A245" t="inlineStr">
        <is>
          <t>A 169-2022</t>
        </is>
      </c>
      <c r="B245" s="1" t="n">
        <v>44564</v>
      </c>
      <c r="C245" s="1" t="n">
        <v>45723</v>
      </c>
      <c r="D245" t="inlineStr">
        <is>
          <t>DALARNAS LÄN</t>
        </is>
      </c>
      <c r="E245" t="inlineStr">
        <is>
          <t>ORSA</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2882-2022</t>
        </is>
      </c>
      <c r="B246" s="1" t="n">
        <v>44581</v>
      </c>
      <c r="C246" s="1" t="n">
        <v>45723</v>
      </c>
      <c r="D246" t="inlineStr">
        <is>
          <t>DALARNAS LÄN</t>
        </is>
      </c>
      <c r="E246" t="inlineStr">
        <is>
          <t>ORSA</t>
        </is>
      </c>
      <c r="G246" t="n">
        <v>2.7</v>
      </c>
      <c r="H246" t="n">
        <v>0</v>
      </c>
      <c r="I246" t="n">
        <v>0</v>
      </c>
      <c r="J246" t="n">
        <v>0</v>
      </c>
      <c r="K246" t="n">
        <v>0</v>
      </c>
      <c r="L246" t="n">
        <v>0</v>
      </c>
      <c r="M246" t="n">
        <v>0</v>
      </c>
      <c r="N246" t="n">
        <v>0</v>
      </c>
      <c r="O246" t="n">
        <v>0</v>
      </c>
      <c r="P246" t="n">
        <v>0</v>
      </c>
      <c r="Q246" t="n">
        <v>0</v>
      </c>
      <c r="R246" s="2" t="inlineStr"/>
    </row>
    <row r="247" ht="15" customHeight="1">
      <c r="A247" t="inlineStr">
        <is>
          <t>A 9561-2022</t>
        </is>
      </c>
      <c r="B247" s="1" t="n">
        <v>44617</v>
      </c>
      <c r="C247" s="1" t="n">
        <v>45723</v>
      </c>
      <c r="D247" t="inlineStr">
        <is>
          <t>DALARNAS LÄN</t>
        </is>
      </c>
      <c r="E247" t="inlineStr">
        <is>
          <t>ORSA</t>
        </is>
      </c>
      <c r="F247" t="inlineStr">
        <is>
          <t>Kyrkan</t>
        </is>
      </c>
      <c r="G247" t="n">
        <v>0.6</v>
      </c>
      <c r="H247" t="n">
        <v>0</v>
      </c>
      <c r="I247" t="n">
        <v>0</v>
      </c>
      <c r="J247" t="n">
        <v>0</v>
      </c>
      <c r="K247" t="n">
        <v>0</v>
      </c>
      <c r="L247" t="n">
        <v>0</v>
      </c>
      <c r="M247" t="n">
        <v>0</v>
      </c>
      <c r="N247" t="n">
        <v>0</v>
      </c>
      <c r="O247" t="n">
        <v>0</v>
      </c>
      <c r="P247" t="n">
        <v>0</v>
      </c>
      <c r="Q247" t="n">
        <v>0</v>
      </c>
      <c r="R247" s="2" t="inlineStr"/>
    </row>
    <row r="248" ht="15" customHeight="1">
      <c r="A248" t="inlineStr">
        <is>
          <t>A 9807-2022</t>
        </is>
      </c>
      <c r="B248" s="1" t="n">
        <v>44620</v>
      </c>
      <c r="C248" s="1" t="n">
        <v>45723</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9836-2022</t>
        </is>
      </c>
      <c r="B249" s="1" t="n">
        <v>44620</v>
      </c>
      <c r="C249" s="1" t="n">
        <v>45723</v>
      </c>
      <c r="D249" t="inlineStr">
        <is>
          <t>DALARNAS LÄN</t>
        </is>
      </c>
      <c r="E249" t="inlineStr">
        <is>
          <t>ORSA</t>
        </is>
      </c>
      <c r="G249" t="n">
        <v>1</v>
      </c>
      <c r="H249" t="n">
        <v>0</v>
      </c>
      <c r="I249" t="n">
        <v>0</v>
      </c>
      <c r="J249" t="n">
        <v>0</v>
      </c>
      <c r="K249" t="n">
        <v>0</v>
      </c>
      <c r="L249" t="n">
        <v>0</v>
      </c>
      <c r="M249" t="n">
        <v>0</v>
      </c>
      <c r="N249" t="n">
        <v>0</v>
      </c>
      <c r="O249" t="n">
        <v>0</v>
      </c>
      <c r="P249" t="n">
        <v>0</v>
      </c>
      <c r="Q249" t="n">
        <v>0</v>
      </c>
      <c r="R249" s="2" t="inlineStr"/>
    </row>
    <row r="250" ht="15" customHeight="1">
      <c r="A250" t="inlineStr">
        <is>
          <t>A 10261-2022</t>
        </is>
      </c>
      <c r="B250" s="1" t="n">
        <v>44622</v>
      </c>
      <c r="C250" s="1" t="n">
        <v>45723</v>
      </c>
      <c r="D250" t="inlineStr">
        <is>
          <t>DALARNAS LÄN</t>
        </is>
      </c>
      <c r="E250" t="inlineStr">
        <is>
          <t>ORSA</t>
        </is>
      </c>
      <c r="G250" t="n">
        <v>3.1</v>
      </c>
      <c r="H250" t="n">
        <v>0</v>
      </c>
      <c r="I250" t="n">
        <v>0</v>
      </c>
      <c r="J250" t="n">
        <v>0</v>
      </c>
      <c r="K250" t="n">
        <v>0</v>
      </c>
      <c r="L250" t="n">
        <v>0</v>
      </c>
      <c r="M250" t="n">
        <v>0</v>
      </c>
      <c r="N250" t="n">
        <v>0</v>
      </c>
      <c r="O250" t="n">
        <v>0</v>
      </c>
      <c r="P250" t="n">
        <v>0</v>
      </c>
      <c r="Q250" t="n">
        <v>0</v>
      </c>
      <c r="R250" s="2" t="inlineStr"/>
    </row>
    <row r="251" ht="15" customHeight="1">
      <c r="A251" t="inlineStr">
        <is>
          <t>A 10262-2022</t>
        </is>
      </c>
      <c r="B251" s="1" t="n">
        <v>44622</v>
      </c>
      <c r="C251" s="1" t="n">
        <v>45723</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10398-2022</t>
        </is>
      </c>
      <c r="B252" s="1" t="n">
        <v>44623</v>
      </c>
      <c r="C252" s="1" t="n">
        <v>45723</v>
      </c>
      <c r="D252" t="inlineStr">
        <is>
          <t>DALARNAS LÄN</t>
        </is>
      </c>
      <c r="E252" t="inlineStr">
        <is>
          <t>ORSA</t>
        </is>
      </c>
      <c r="G252" t="n">
        <v>2.6</v>
      </c>
      <c r="H252" t="n">
        <v>0</v>
      </c>
      <c r="I252" t="n">
        <v>0</v>
      </c>
      <c r="J252" t="n">
        <v>0</v>
      </c>
      <c r="K252" t="n">
        <v>0</v>
      </c>
      <c r="L252" t="n">
        <v>0</v>
      </c>
      <c r="M252" t="n">
        <v>0</v>
      </c>
      <c r="N252" t="n">
        <v>0</v>
      </c>
      <c r="O252" t="n">
        <v>0</v>
      </c>
      <c r="P252" t="n">
        <v>0</v>
      </c>
      <c r="Q252" t="n">
        <v>0</v>
      </c>
      <c r="R252" s="2" t="inlineStr"/>
    </row>
    <row r="253" ht="15" customHeight="1">
      <c r="A253" t="inlineStr">
        <is>
          <t>A 10405-2022</t>
        </is>
      </c>
      <c r="B253" s="1" t="n">
        <v>44623</v>
      </c>
      <c r="C253" s="1" t="n">
        <v>45723</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10375-2022</t>
        </is>
      </c>
      <c r="B254" s="1" t="n">
        <v>44623</v>
      </c>
      <c r="C254" s="1" t="n">
        <v>45723</v>
      </c>
      <c r="D254" t="inlineStr">
        <is>
          <t>DALARNAS LÄN</t>
        </is>
      </c>
      <c r="E254" t="inlineStr">
        <is>
          <t>ORSA</t>
        </is>
      </c>
      <c r="G254" t="n">
        <v>4.8</v>
      </c>
      <c r="H254" t="n">
        <v>0</v>
      </c>
      <c r="I254" t="n">
        <v>0</v>
      </c>
      <c r="J254" t="n">
        <v>0</v>
      </c>
      <c r="K254" t="n">
        <v>0</v>
      </c>
      <c r="L254" t="n">
        <v>0</v>
      </c>
      <c r="M254" t="n">
        <v>0</v>
      </c>
      <c r="N254" t="n">
        <v>0</v>
      </c>
      <c r="O254" t="n">
        <v>0</v>
      </c>
      <c r="P254" t="n">
        <v>0</v>
      </c>
      <c r="Q254" t="n">
        <v>0</v>
      </c>
      <c r="R254" s="2" t="inlineStr"/>
    </row>
    <row r="255" ht="15" customHeight="1">
      <c r="A255" t="inlineStr">
        <is>
          <t>A 10832-2022</t>
        </is>
      </c>
      <c r="B255" s="1" t="n">
        <v>44627</v>
      </c>
      <c r="C255" s="1" t="n">
        <v>45723</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11138-2022</t>
        </is>
      </c>
      <c r="B256" s="1" t="n">
        <v>44629</v>
      </c>
      <c r="C256" s="1" t="n">
        <v>45723</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12704-2022</t>
        </is>
      </c>
      <c r="B257" s="1" t="n">
        <v>44641</v>
      </c>
      <c r="C257" s="1" t="n">
        <v>45723</v>
      </c>
      <c r="D257" t="inlineStr">
        <is>
          <t>DALARNAS LÄN</t>
        </is>
      </c>
      <c r="E257" t="inlineStr">
        <is>
          <t>ORSA</t>
        </is>
      </c>
      <c r="G257" t="n">
        <v>2.4</v>
      </c>
      <c r="H257" t="n">
        <v>0</v>
      </c>
      <c r="I257" t="n">
        <v>0</v>
      </c>
      <c r="J257" t="n">
        <v>0</v>
      </c>
      <c r="K257" t="n">
        <v>0</v>
      </c>
      <c r="L257" t="n">
        <v>0</v>
      </c>
      <c r="M257" t="n">
        <v>0</v>
      </c>
      <c r="N257" t="n">
        <v>0</v>
      </c>
      <c r="O257" t="n">
        <v>0</v>
      </c>
      <c r="P257" t="n">
        <v>0</v>
      </c>
      <c r="Q257" t="n">
        <v>0</v>
      </c>
      <c r="R257" s="2" t="inlineStr"/>
    </row>
    <row r="258" ht="15" customHeight="1">
      <c r="A258" t="inlineStr">
        <is>
          <t>A 13236-2022</t>
        </is>
      </c>
      <c r="B258" s="1" t="n">
        <v>44644</v>
      </c>
      <c r="C258" s="1" t="n">
        <v>45723</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13185-2022</t>
        </is>
      </c>
      <c r="B259" s="1" t="n">
        <v>44644</v>
      </c>
      <c r="C259" s="1" t="n">
        <v>45723</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13209-2022</t>
        </is>
      </c>
      <c r="B260" s="1" t="n">
        <v>44644</v>
      </c>
      <c r="C260" s="1" t="n">
        <v>45723</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14535-2022</t>
        </is>
      </c>
      <c r="B261" s="1" t="n">
        <v>44655</v>
      </c>
      <c r="C261" s="1" t="n">
        <v>45723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19067-2022</t>
        </is>
      </c>
      <c r="B262" s="1" t="n">
        <v>44691</v>
      </c>
      <c r="C262" s="1" t="n">
        <v>45723</v>
      </c>
      <c r="D262" t="inlineStr">
        <is>
          <t>DALARNAS LÄN</t>
        </is>
      </c>
      <c r="E262" t="inlineStr">
        <is>
          <t>ORSA</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19505-2022</t>
        </is>
      </c>
      <c r="B263" s="1" t="n">
        <v>44693</v>
      </c>
      <c r="C263" s="1" t="n">
        <v>45723</v>
      </c>
      <c r="D263" t="inlineStr">
        <is>
          <t>DALARNAS LÄN</t>
        </is>
      </c>
      <c r="E263" t="inlineStr">
        <is>
          <t>ORSA</t>
        </is>
      </c>
      <c r="G263" t="n">
        <v>2.7</v>
      </c>
      <c r="H263" t="n">
        <v>0</v>
      </c>
      <c r="I263" t="n">
        <v>0</v>
      </c>
      <c r="J263" t="n">
        <v>0</v>
      </c>
      <c r="K263" t="n">
        <v>0</v>
      </c>
      <c r="L263" t="n">
        <v>0</v>
      </c>
      <c r="M263" t="n">
        <v>0</v>
      </c>
      <c r="N263" t="n">
        <v>0</v>
      </c>
      <c r="O263" t="n">
        <v>0</v>
      </c>
      <c r="P263" t="n">
        <v>0</v>
      </c>
      <c r="Q263" t="n">
        <v>0</v>
      </c>
      <c r="R263" s="2" t="inlineStr"/>
    </row>
    <row r="264" ht="15" customHeight="1">
      <c r="A264" t="inlineStr">
        <is>
          <t>A 20493-2022</t>
        </is>
      </c>
      <c r="B264" s="1" t="n">
        <v>44699</v>
      </c>
      <c r="C264" s="1" t="n">
        <v>45723</v>
      </c>
      <c r="D264" t="inlineStr">
        <is>
          <t>DALARNAS LÄN</t>
        </is>
      </c>
      <c r="E264" t="inlineStr">
        <is>
          <t>ORSA</t>
        </is>
      </c>
      <c r="F264" t="inlineStr">
        <is>
          <t>Bergvik skog väst AB</t>
        </is>
      </c>
      <c r="G264" t="n">
        <v>61.7</v>
      </c>
      <c r="H264" t="n">
        <v>0</v>
      </c>
      <c r="I264" t="n">
        <v>0</v>
      </c>
      <c r="J264" t="n">
        <v>0</v>
      </c>
      <c r="K264" t="n">
        <v>0</v>
      </c>
      <c r="L264" t="n">
        <v>0</v>
      </c>
      <c r="M264" t="n">
        <v>0</v>
      </c>
      <c r="N264" t="n">
        <v>0</v>
      </c>
      <c r="O264" t="n">
        <v>0</v>
      </c>
      <c r="P264" t="n">
        <v>0</v>
      </c>
      <c r="Q264" t="n">
        <v>0</v>
      </c>
      <c r="R264" s="2" t="inlineStr"/>
    </row>
    <row r="265" ht="15" customHeight="1">
      <c r="A265" t="inlineStr">
        <is>
          <t>A 21905-2022</t>
        </is>
      </c>
      <c r="B265" s="1" t="n">
        <v>44711</v>
      </c>
      <c r="C265" s="1" t="n">
        <v>45723</v>
      </c>
      <c r="D265" t="inlineStr">
        <is>
          <t>DALARNAS LÄN</t>
        </is>
      </c>
      <c r="E265" t="inlineStr">
        <is>
          <t>ORSA</t>
        </is>
      </c>
      <c r="F265" t="inlineStr">
        <is>
          <t>Allmännings- och besparingsskogar</t>
        </is>
      </c>
      <c r="G265" t="n">
        <v>3.1</v>
      </c>
      <c r="H265" t="n">
        <v>0</v>
      </c>
      <c r="I265" t="n">
        <v>0</v>
      </c>
      <c r="J265" t="n">
        <v>0</v>
      </c>
      <c r="K265" t="n">
        <v>0</v>
      </c>
      <c r="L265" t="n">
        <v>0</v>
      </c>
      <c r="M265" t="n">
        <v>0</v>
      </c>
      <c r="N265" t="n">
        <v>0</v>
      </c>
      <c r="O265" t="n">
        <v>0</v>
      </c>
      <c r="P265" t="n">
        <v>0</v>
      </c>
      <c r="Q265" t="n">
        <v>0</v>
      </c>
      <c r="R265" s="2" t="inlineStr"/>
    </row>
    <row r="266" ht="15" customHeight="1">
      <c r="A266" t="inlineStr">
        <is>
          <t>A 22022-2022</t>
        </is>
      </c>
      <c r="B266" s="1" t="n">
        <v>44711</v>
      </c>
      <c r="C266" s="1" t="n">
        <v>45723</v>
      </c>
      <c r="D266" t="inlineStr">
        <is>
          <t>DALARNAS LÄN</t>
        </is>
      </c>
      <c r="E266" t="inlineStr">
        <is>
          <t>ORSA</t>
        </is>
      </c>
      <c r="F266" t="inlineStr">
        <is>
          <t>Bergvik skog öst AB</t>
        </is>
      </c>
      <c r="G266" t="n">
        <v>1.9</v>
      </c>
      <c r="H266" t="n">
        <v>0</v>
      </c>
      <c r="I266" t="n">
        <v>0</v>
      </c>
      <c r="J266" t="n">
        <v>0</v>
      </c>
      <c r="K266" t="n">
        <v>0</v>
      </c>
      <c r="L266" t="n">
        <v>0</v>
      </c>
      <c r="M266" t="n">
        <v>0</v>
      </c>
      <c r="N266" t="n">
        <v>0</v>
      </c>
      <c r="O266" t="n">
        <v>0</v>
      </c>
      <c r="P266" t="n">
        <v>0</v>
      </c>
      <c r="Q266" t="n">
        <v>0</v>
      </c>
      <c r="R266" s="2" t="inlineStr"/>
    </row>
    <row r="267" ht="15" customHeight="1">
      <c r="A267" t="inlineStr">
        <is>
          <t>A 22371-2022</t>
        </is>
      </c>
      <c r="B267" s="1" t="n">
        <v>44713</v>
      </c>
      <c r="C267" s="1" t="n">
        <v>45723</v>
      </c>
      <c r="D267" t="inlineStr">
        <is>
          <t>DALARNAS LÄN</t>
        </is>
      </c>
      <c r="E267" t="inlineStr">
        <is>
          <t>ORSA</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22813-2022</t>
        </is>
      </c>
      <c r="B268" s="1" t="n">
        <v>44715</v>
      </c>
      <c r="C268" s="1" t="n">
        <v>45723</v>
      </c>
      <c r="D268" t="inlineStr">
        <is>
          <t>DALARNAS LÄN</t>
        </is>
      </c>
      <c r="E268" t="inlineStr">
        <is>
          <t>ORSA</t>
        </is>
      </c>
      <c r="G268" t="n">
        <v>0.4</v>
      </c>
      <c r="H268" t="n">
        <v>0</v>
      </c>
      <c r="I268" t="n">
        <v>0</v>
      </c>
      <c r="J268" t="n">
        <v>0</v>
      </c>
      <c r="K268" t="n">
        <v>0</v>
      </c>
      <c r="L268" t="n">
        <v>0</v>
      </c>
      <c r="M268" t="n">
        <v>0</v>
      </c>
      <c r="N268" t="n">
        <v>0</v>
      </c>
      <c r="O268" t="n">
        <v>0</v>
      </c>
      <c r="P268" t="n">
        <v>0</v>
      </c>
      <c r="Q268" t="n">
        <v>0</v>
      </c>
      <c r="R268" s="2" t="inlineStr"/>
    </row>
    <row r="269" ht="15" customHeight="1">
      <c r="A269" t="inlineStr">
        <is>
          <t>A 23348-2022</t>
        </is>
      </c>
      <c r="B269" s="1" t="n">
        <v>44720</v>
      </c>
      <c r="C269" s="1" t="n">
        <v>45723</v>
      </c>
      <c r="D269" t="inlineStr">
        <is>
          <t>DALARNAS LÄN</t>
        </is>
      </c>
      <c r="E269" t="inlineStr">
        <is>
          <t>ORSA</t>
        </is>
      </c>
      <c r="G269" t="n">
        <v>0.9</v>
      </c>
      <c r="H269" t="n">
        <v>0</v>
      </c>
      <c r="I269" t="n">
        <v>0</v>
      </c>
      <c r="J269" t="n">
        <v>0</v>
      </c>
      <c r="K269" t="n">
        <v>0</v>
      </c>
      <c r="L269" t="n">
        <v>0</v>
      </c>
      <c r="M269" t="n">
        <v>0</v>
      </c>
      <c r="N269" t="n">
        <v>0</v>
      </c>
      <c r="O269" t="n">
        <v>0</v>
      </c>
      <c r="P269" t="n">
        <v>0</v>
      </c>
      <c r="Q269" t="n">
        <v>0</v>
      </c>
      <c r="R269" s="2" t="inlineStr"/>
    </row>
    <row r="270" ht="15" customHeight="1">
      <c r="A270" t="inlineStr">
        <is>
          <t>A 23344-2022</t>
        </is>
      </c>
      <c r="B270" s="1" t="n">
        <v>44720</v>
      </c>
      <c r="C270" s="1" t="n">
        <v>45723</v>
      </c>
      <c r="D270" t="inlineStr">
        <is>
          <t>DALARNAS LÄN</t>
        </is>
      </c>
      <c r="E270" t="inlineStr">
        <is>
          <t>ORSA</t>
        </is>
      </c>
      <c r="G270" t="n">
        <v>0.2</v>
      </c>
      <c r="H270" t="n">
        <v>0</v>
      </c>
      <c r="I270" t="n">
        <v>0</v>
      </c>
      <c r="J270" t="n">
        <v>0</v>
      </c>
      <c r="K270" t="n">
        <v>0</v>
      </c>
      <c r="L270" t="n">
        <v>0</v>
      </c>
      <c r="M270" t="n">
        <v>0</v>
      </c>
      <c r="N270" t="n">
        <v>0</v>
      </c>
      <c r="O270" t="n">
        <v>0</v>
      </c>
      <c r="P270" t="n">
        <v>0</v>
      </c>
      <c r="Q270" t="n">
        <v>0</v>
      </c>
      <c r="R270" s="2" t="inlineStr"/>
    </row>
    <row r="271" ht="15" customHeight="1">
      <c r="A271" t="inlineStr">
        <is>
          <t>A 23725-2022</t>
        </is>
      </c>
      <c r="B271" s="1" t="n">
        <v>44722</v>
      </c>
      <c r="C271" s="1" t="n">
        <v>45723</v>
      </c>
      <c r="D271" t="inlineStr">
        <is>
          <t>DALARNAS LÄN</t>
        </is>
      </c>
      <c r="E271" t="inlineStr">
        <is>
          <t>ORSA</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23821-2022</t>
        </is>
      </c>
      <c r="B272" s="1" t="n">
        <v>44722</v>
      </c>
      <c r="C272" s="1" t="n">
        <v>45723</v>
      </c>
      <c r="D272" t="inlineStr">
        <is>
          <t>DALARNAS LÄN</t>
        </is>
      </c>
      <c r="E272" t="inlineStr">
        <is>
          <t>ORSA</t>
        </is>
      </c>
      <c r="F272" t="inlineStr">
        <is>
          <t>Allmännings- och besparingsskogar</t>
        </is>
      </c>
      <c r="G272" t="n">
        <v>1.7</v>
      </c>
      <c r="H272" t="n">
        <v>0</v>
      </c>
      <c r="I272" t="n">
        <v>0</v>
      </c>
      <c r="J272" t="n">
        <v>0</v>
      </c>
      <c r="K272" t="n">
        <v>0</v>
      </c>
      <c r="L272" t="n">
        <v>0</v>
      </c>
      <c r="M272" t="n">
        <v>0</v>
      </c>
      <c r="N272" t="n">
        <v>0</v>
      </c>
      <c r="O272" t="n">
        <v>0</v>
      </c>
      <c r="P272" t="n">
        <v>0</v>
      </c>
      <c r="Q272" t="n">
        <v>0</v>
      </c>
      <c r="R272" s="2" t="inlineStr"/>
    </row>
    <row r="273" ht="15" customHeight="1">
      <c r="A273" t="inlineStr">
        <is>
          <t>A 24438-2022</t>
        </is>
      </c>
      <c r="B273" s="1" t="n">
        <v>44726</v>
      </c>
      <c r="C273" s="1" t="n">
        <v>45723</v>
      </c>
      <c r="D273" t="inlineStr">
        <is>
          <t>DALARNAS LÄN</t>
        </is>
      </c>
      <c r="E273" t="inlineStr">
        <is>
          <t>ORSA</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24651-2022</t>
        </is>
      </c>
      <c r="B274" s="1" t="n">
        <v>44727</v>
      </c>
      <c r="C274" s="1" t="n">
        <v>45723</v>
      </c>
      <c r="D274" t="inlineStr">
        <is>
          <t>DALARNAS LÄN</t>
        </is>
      </c>
      <c r="E274" t="inlineStr">
        <is>
          <t>ORSA</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25172-2022</t>
        </is>
      </c>
      <c r="B275" s="1" t="n">
        <v>44729</v>
      </c>
      <c r="C275" s="1" t="n">
        <v>45723</v>
      </c>
      <c r="D275" t="inlineStr">
        <is>
          <t>DALARNAS LÄN</t>
        </is>
      </c>
      <c r="E275" t="inlineStr">
        <is>
          <t>ORSA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25591-2022</t>
        </is>
      </c>
      <c r="B276" s="1" t="n">
        <v>44732</v>
      </c>
      <c r="C276" s="1" t="n">
        <v>45723</v>
      </c>
      <c r="D276" t="inlineStr">
        <is>
          <t>DALARNAS LÄN</t>
        </is>
      </c>
      <c r="E276" t="inlineStr">
        <is>
          <t>ORSA</t>
        </is>
      </c>
      <c r="G276" t="n">
        <v>6</v>
      </c>
      <c r="H276" t="n">
        <v>0</v>
      </c>
      <c r="I276" t="n">
        <v>0</v>
      </c>
      <c r="J276" t="n">
        <v>0</v>
      </c>
      <c r="K276" t="n">
        <v>0</v>
      </c>
      <c r="L276" t="n">
        <v>0</v>
      </c>
      <c r="M276" t="n">
        <v>0</v>
      </c>
      <c r="N276" t="n">
        <v>0</v>
      </c>
      <c r="O276" t="n">
        <v>0</v>
      </c>
      <c r="P276" t="n">
        <v>0</v>
      </c>
      <c r="Q276" t="n">
        <v>0</v>
      </c>
      <c r="R276" s="2" t="inlineStr"/>
    </row>
    <row r="277" ht="15" customHeight="1">
      <c r="A277" t="inlineStr">
        <is>
          <t>A 26215-2022</t>
        </is>
      </c>
      <c r="B277" s="1" t="n">
        <v>44735</v>
      </c>
      <c r="C277" s="1" t="n">
        <v>45723</v>
      </c>
      <c r="D277" t="inlineStr">
        <is>
          <t>DALARNAS LÄN</t>
        </is>
      </c>
      <c r="E277" t="inlineStr">
        <is>
          <t>ORSA</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27498-2022</t>
        </is>
      </c>
      <c r="B278" s="1" t="n">
        <v>44742</v>
      </c>
      <c r="C278" s="1" t="n">
        <v>45723</v>
      </c>
      <c r="D278" t="inlineStr">
        <is>
          <t>DALARNAS LÄN</t>
        </is>
      </c>
      <c r="E278" t="inlineStr">
        <is>
          <t>ORSA</t>
        </is>
      </c>
      <c r="G278" t="n">
        <v>5.7</v>
      </c>
      <c r="H278" t="n">
        <v>0</v>
      </c>
      <c r="I278" t="n">
        <v>0</v>
      </c>
      <c r="J278" t="n">
        <v>0</v>
      </c>
      <c r="K278" t="n">
        <v>0</v>
      </c>
      <c r="L278" t="n">
        <v>0</v>
      </c>
      <c r="M278" t="n">
        <v>0</v>
      </c>
      <c r="N278" t="n">
        <v>0</v>
      </c>
      <c r="O278" t="n">
        <v>0</v>
      </c>
      <c r="P278" t="n">
        <v>0</v>
      </c>
      <c r="Q278" t="n">
        <v>0</v>
      </c>
      <c r="R278" s="2" t="inlineStr"/>
    </row>
    <row r="279" ht="15" customHeight="1">
      <c r="A279" t="inlineStr">
        <is>
          <t>A 29485-2022</t>
        </is>
      </c>
      <c r="B279" s="1" t="n">
        <v>44753</v>
      </c>
      <c r="C279" s="1" t="n">
        <v>45723</v>
      </c>
      <c r="D279" t="inlineStr">
        <is>
          <t>DALARNAS LÄN</t>
        </is>
      </c>
      <c r="E279" t="inlineStr">
        <is>
          <t>ORSA</t>
        </is>
      </c>
      <c r="G279" t="n">
        <v>1.2</v>
      </c>
      <c r="H279" t="n">
        <v>0</v>
      </c>
      <c r="I279" t="n">
        <v>0</v>
      </c>
      <c r="J279" t="n">
        <v>0</v>
      </c>
      <c r="K279" t="n">
        <v>0</v>
      </c>
      <c r="L279" t="n">
        <v>0</v>
      </c>
      <c r="M279" t="n">
        <v>0</v>
      </c>
      <c r="N279" t="n">
        <v>0</v>
      </c>
      <c r="O279" t="n">
        <v>0</v>
      </c>
      <c r="P279" t="n">
        <v>0</v>
      </c>
      <c r="Q279" t="n">
        <v>0</v>
      </c>
      <c r="R279" s="2" t="inlineStr"/>
    </row>
    <row r="280" ht="15" customHeight="1">
      <c r="A280" t="inlineStr">
        <is>
          <t>A 30109-2022</t>
        </is>
      </c>
      <c r="B280" s="1" t="n">
        <v>44757</v>
      </c>
      <c r="C280" s="1" t="n">
        <v>45723</v>
      </c>
      <c r="D280" t="inlineStr">
        <is>
          <t>DALARNAS LÄN</t>
        </is>
      </c>
      <c r="E280" t="inlineStr">
        <is>
          <t>ORSA</t>
        </is>
      </c>
      <c r="F280" t="inlineStr">
        <is>
          <t>Allmännings- och besparingsskogar</t>
        </is>
      </c>
      <c r="G280" t="n">
        <v>0.8</v>
      </c>
      <c r="H280" t="n">
        <v>0</v>
      </c>
      <c r="I280" t="n">
        <v>0</v>
      </c>
      <c r="J280" t="n">
        <v>0</v>
      </c>
      <c r="K280" t="n">
        <v>0</v>
      </c>
      <c r="L280" t="n">
        <v>0</v>
      </c>
      <c r="M280" t="n">
        <v>0</v>
      </c>
      <c r="N280" t="n">
        <v>0</v>
      </c>
      <c r="O280" t="n">
        <v>0</v>
      </c>
      <c r="P280" t="n">
        <v>0</v>
      </c>
      <c r="Q280" t="n">
        <v>0</v>
      </c>
      <c r="R280" s="2" t="inlineStr"/>
    </row>
    <row r="281" ht="15" customHeight="1">
      <c r="A281" t="inlineStr">
        <is>
          <t>A 30690-2022</t>
        </is>
      </c>
      <c r="B281" s="1" t="n">
        <v>44763</v>
      </c>
      <c r="C281" s="1" t="n">
        <v>45723</v>
      </c>
      <c r="D281" t="inlineStr">
        <is>
          <t>DALARNAS LÄN</t>
        </is>
      </c>
      <c r="E281" t="inlineStr">
        <is>
          <t>ORSA</t>
        </is>
      </c>
      <c r="F281" t="inlineStr">
        <is>
          <t>Bergvik skog öst AB</t>
        </is>
      </c>
      <c r="G281" t="n">
        <v>1.6</v>
      </c>
      <c r="H281" t="n">
        <v>0</v>
      </c>
      <c r="I281" t="n">
        <v>0</v>
      </c>
      <c r="J281" t="n">
        <v>0</v>
      </c>
      <c r="K281" t="n">
        <v>0</v>
      </c>
      <c r="L281" t="n">
        <v>0</v>
      </c>
      <c r="M281" t="n">
        <v>0</v>
      </c>
      <c r="N281" t="n">
        <v>0</v>
      </c>
      <c r="O281" t="n">
        <v>0</v>
      </c>
      <c r="P281" t="n">
        <v>0</v>
      </c>
      <c r="Q281" t="n">
        <v>0</v>
      </c>
      <c r="R281" s="2" t="inlineStr"/>
    </row>
    <row r="282" ht="15" customHeight="1">
      <c r="A282" t="inlineStr">
        <is>
          <t>A 30861-2022</t>
        </is>
      </c>
      <c r="B282" s="1" t="n">
        <v>44767</v>
      </c>
      <c r="C282" s="1" t="n">
        <v>45723</v>
      </c>
      <c r="D282" t="inlineStr">
        <is>
          <t>DALARNAS LÄN</t>
        </is>
      </c>
      <c r="E282" t="inlineStr">
        <is>
          <t>ORSA</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31164-2022</t>
        </is>
      </c>
      <c r="B283" s="1" t="n">
        <v>44770</v>
      </c>
      <c r="C283" s="1" t="n">
        <v>45723</v>
      </c>
      <c r="D283" t="inlineStr">
        <is>
          <t>DALARNAS LÄN</t>
        </is>
      </c>
      <c r="E283" t="inlineStr">
        <is>
          <t>ORSA</t>
        </is>
      </c>
      <c r="F283" t="inlineStr">
        <is>
          <t>Bergvik skog öst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31876-2022</t>
        </is>
      </c>
      <c r="B284" s="1" t="n">
        <v>44777</v>
      </c>
      <c r="C284" s="1" t="n">
        <v>45723</v>
      </c>
      <c r="D284" t="inlineStr">
        <is>
          <t>DALARNAS LÄN</t>
        </is>
      </c>
      <c r="E284" t="inlineStr">
        <is>
          <t>ORSA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32931-2022</t>
        </is>
      </c>
      <c r="B285" s="1" t="n">
        <v>44784</v>
      </c>
      <c r="C285" s="1" t="n">
        <v>45723</v>
      </c>
      <c r="D285" t="inlineStr">
        <is>
          <t>DALARNAS LÄN</t>
        </is>
      </c>
      <c r="E285" t="inlineStr">
        <is>
          <t>ORSA</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33384-2022</t>
        </is>
      </c>
      <c r="B286" s="1" t="n">
        <v>44788</v>
      </c>
      <c r="C286" s="1" t="n">
        <v>45723</v>
      </c>
      <c r="D286" t="inlineStr">
        <is>
          <t>DALARNAS LÄN</t>
        </is>
      </c>
      <c r="E286" t="inlineStr">
        <is>
          <t>ORSA</t>
        </is>
      </c>
      <c r="F286" t="inlineStr">
        <is>
          <t>Bergvik skog öst AB</t>
        </is>
      </c>
      <c r="G286" t="n">
        <v>0.7</v>
      </c>
      <c r="H286" t="n">
        <v>0</v>
      </c>
      <c r="I286" t="n">
        <v>0</v>
      </c>
      <c r="J286" t="n">
        <v>0</v>
      </c>
      <c r="K286" t="n">
        <v>0</v>
      </c>
      <c r="L286" t="n">
        <v>0</v>
      </c>
      <c r="M286" t="n">
        <v>0</v>
      </c>
      <c r="N286" t="n">
        <v>0</v>
      </c>
      <c r="O286" t="n">
        <v>0</v>
      </c>
      <c r="P286" t="n">
        <v>0</v>
      </c>
      <c r="Q286" t="n">
        <v>0</v>
      </c>
      <c r="R286" s="2" t="inlineStr"/>
    </row>
    <row r="287" ht="15" customHeight="1">
      <c r="A287" t="inlineStr">
        <is>
          <t>A 33945-2022</t>
        </is>
      </c>
      <c r="B287" s="1" t="n">
        <v>44790</v>
      </c>
      <c r="C287" s="1" t="n">
        <v>45723</v>
      </c>
      <c r="D287" t="inlineStr">
        <is>
          <t>DALARNAS LÄN</t>
        </is>
      </c>
      <c r="E287" t="inlineStr">
        <is>
          <t>ORSA</t>
        </is>
      </c>
      <c r="F287" t="inlineStr">
        <is>
          <t>Bergvik skog öst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38303-2022</t>
        </is>
      </c>
      <c r="B288" s="1" t="n">
        <v>44812</v>
      </c>
      <c r="C288" s="1" t="n">
        <v>45723</v>
      </c>
      <c r="D288" t="inlineStr">
        <is>
          <t>DALARNAS LÄN</t>
        </is>
      </c>
      <c r="E288" t="inlineStr">
        <is>
          <t>ORSA</t>
        </is>
      </c>
      <c r="F288" t="inlineStr">
        <is>
          <t>Allmännings- och besparingsskogar</t>
        </is>
      </c>
      <c r="G288" t="n">
        <v>15.5</v>
      </c>
      <c r="H288" t="n">
        <v>0</v>
      </c>
      <c r="I288" t="n">
        <v>0</v>
      </c>
      <c r="J288" t="n">
        <v>0</v>
      </c>
      <c r="K288" t="n">
        <v>0</v>
      </c>
      <c r="L288" t="n">
        <v>0</v>
      </c>
      <c r="M288" t="n">
        <v>0</v>
      </c>
      <c r="N288" t="n">
        <v>0</v>
      </c>
      <c r="O288" t="n">
        <v>0</v>
      </c>
      <c r="P288" t="n">
        <v>0</v>
      </c>
      <c r="Q288" t="n">
        <v>0</v>
      </c>
      <c r="R288" s="2" t="inlineStr"/>
    </row>
    <row r="289" ht="15" customHeight="1">
      <c r="A289" t="inlineStr">
        <is>
          <t>A 38611-2022</t>
        </is>
      </c>
      <c r="B289" s="1" t="n">
        <v>44813</v>
      </c>
      <c r="C289" s="1" t="n">
        <v>45723</v>
      </c>
      <c r="D289" t="inlineStr">
        <is>
          <t>DALARNAS LÄN</t>
        </is>
      </c>
      <c r="E289" t="inlineStr">
        <is>
          <t>ORSA</t>
        </is>
      </c>
      <c r="G289" t="n">
        <v>3.6</v>
      </c>
      <c r="H289" t="n">
        <v>0</v>
      </c>
      <c r="I289" t="n">
        <v>0</v>
      </c>
      <c r="J289" t="n">
        <v>0</v>
      </c>
      <c r="K289" t="n">
        <v>0</v>
      </c>
      <c r="L289" t="n">
        <v>0</v>
      </c>
      <c r="M289" t="n">
        <v>0</v>
      </c>
      <c r="N289" t="n">
        <v>0</v>
      </c>
      <c r="O289" t="n">
        <v>0</v>
      </c>
      <c r="P289" t="n">
        <v>0</v>
      </c>
      <c r="Q289" t="n">
        <v>0</v>
      </c>
      <c r="R289" s="2" t="inlineStr"/>
    </row>
    <row r="290" ht="15" customHeight="1">
      <c r="A290" t="inlineStr">
        <is>
          <t>A 39818-2022</t>
        </is>
      </c>
      <c r="B290" s="1" t="n">
        <v>44819</v>
      </c>
      <c r="C290" s="1" t="n">
        <v>45723</v>
      </c>
      <c r="D290" t="inlineStr">
        <is>
          <t>DALARNAS LÄN</t>
        </is>
      </c>
      <c r="E290" t="inlineStr">
        <is>
          <t>ORSA</t>
        </is>
      </c>
      <c r="F290" t="inlineStr">
        <is>
          <t>Allmännings- och besparingsskogar</t>
        </is>
      </c>
      <c r="G290" t="n">
        <v>9.6</v>
      </c>
      <c r="H290" t="n">
        <v>0</v>
      </c>
      <c r="I290" t="n">
        <v>0</v>
      </c>
      <c r="J290" t="n">
        <v>0</v>
      </c>
      <c r="K290" t="n">
        <v>0</v>
      </c>
      <c r="L290" t="n">
        <v>0</v>
      </c>
      <c r="M290" t="n">
        <v>0</v>
      </c>
      <c r="N290" t="n">
        <v>0</v>
      </c>
      <c r="O290" t="n">
        <v>0</v>
      </c>
      <c r="P290" t="n">
        <v>0</v>
      </c>
      <c r="Q290" t="n">
        <v>0</v>
      </c>
      <c r="R290" s="2" t="inlineStr"/>
    </row>
    <row r="291" ht="15" customHeight="1">
      <c r="A291" t="inlineStr">
        <is>
          <t>A 39816-2022</t>
        </is>
      </c>
      <c r="B291" s="1" t="n">
        <v>44819</v>
      </c>
      <c r="C291" s="1" t="n">
        <v>45723</v>
      </c>
      <c r="D291" t="inlineStr">
        <is>
          <t>DALARNAS LÄN</t>
        </is>
      </c>
      <c r="E291" t="inlineStr">
        <is>
          <t>ORSA</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39893-2022</t>
        </is>
      </c>
      <c r="B292" s="1" t="n">
        <v>44819</v>
      </c>
      <c r="C292" s="1" t="n">
        <v>45723</v>
      </c>
      <c r="D292" t="inlineStr">
        <is>
          <t>DALARNAS LÄN</t>
        </is>
      </c>
      <c r="E292" t="inlineStr">
        <is>
          <t>ORSA</t>
        </is>
      </c>
      <c r="G292" t="n">
        <v>1.8</v>
      </c>
      <c r="H292" t="n">
        <v>0</v>
      </c>
      <c r="I292" t="n">
        <v>0</v>
      </c>
      <c r="J292" t="n">
        <v>0</v>
      </c>
      <c r="K292" t="n">
        <v>0</v>
      </c>
      <c r="L292" t="n">
        <v>0</v>
      </c>
      <c r="M292" t="n">
        <v>0</v>
      </c>
      <c r="N292" t="n">
        <v>0</v>
      </c>
      <c r="O292" t="n">
        <v>0</v>
      </c>
      <c r="P292" t="n">
        <v>0</v>
      </c>
      <c r="Q292" t="n">
        <v>0</v>
      </c>
      <c r="R292" s="2" t="inlineStr"/>
    </row>
    <row r="293" ht="15" customHeight="1">
      <c r="A293" t="inlineStr">
        <is>
          <t>A 40945-2022</t>
        </is>
      </c>
      <c r="B293" s="1" t="n">
        <v>44825</v>
      </c>
      <c r="C293" s="1" t="n">
        <v>45723</v>
      </c>
      <c r="D293" t="inlineStr">
        <is>
          <t>DALARNAS LÄN</t>
        </is>
      </c>
      <c r="E293" t="inlineStr">
        <is>
          <t>ORSA</t>
        </is>
      </c>
      <c r="F293" t="inlineStr">
        <is>
          <t>Allmännings- och besparingsskogar</t>
        </is>
      </c>
      <c r="G293" t="n">
        <v>8.9</v>
      </c>
      <c r="H293" t="n">
        <v>0</v>
      </c>
      <c r="I293" t="n">
        <v>0</v>
      </c>
      <c r="J293" t="n">
        <v>0</v>
      </c>
      <c r="K293" t="n">
        <v>0</v>
      </c>
      <c r="L293" t="n">
        <v>0</v>
      </c>
      <c r="M293" t="n">
        <v>0</v>
      </c>
      <c r="N293" t="n">
        <v>0</v>
      </c>
      <c r="O293" t="n">
        <v>0</v>
      </c>
      <c r="P293" t="n">
        <v>0</v>
      </c>
      <c r="Q293" t="n">
        <v>0</v>
      </c>
      <c r="R293" s="2" t="inlineStr"/>
    </row>
    <row r="294" ht="15" customHeight="1">
      <c r="A294" t="inlineStr">
        <is>
          <t>A 42346-2022</t>
        </is>
      </c>
      <c r="B294" s="1" t="n">
        <v>44831</v>
      </c>
      <c r="C294" s="1" t="n">
        <v>45723</v>
      </c>
      <c r="D294" t="inlineStr">
        <is>
          <t>DALARNAS LÄN</t>
        </is>
      </c>
      <c r="E294" t="inlineStr">
        <is>
          <t>ORSA</t>
        </is>
      </c>
      <c r="G294" t="n">
        <v>2.4</v>
      </c>
      <c r="H294" t="n">
        <v>0</v>
      </c>
      <c r="I294" t="n">
        <v>0</v>
      </c>
      <c r="J294" t="n">
        <v>0</v>
      </c>
      <c r="K294" t="n">
        <v>0</v>
      </c>
      <c r="L294" t="n">
        <v>0</v>
      </c>
      <c r="M294" t="n">
        <v>0</v>
      </c>
      <c r="N294" t="n">
        <v>0</v>
      </c>
      <c r="O294" t="n">
        <v>0</v>
      </c>
      <c r="P294" t="n">
        <v>0</v>
      </c>
      <c r="Q294" t="n">
        <v>0</v>
      </c>
      <c r="R294" s="2" t="inlineStr"/>
    </row>
    <row r="295" ht="15" customHeight="1">
      <c r="A295" t="inlineStr">
        <is>
          <t>A 44035-2022</t>
        </is>
      </c>
      <c r="B295" s="1" t="n">
        <v>44839</v>
      </c>
      <c r="C295" s="1" t="n">
        <v>45723</v>
      </c>
      <c r="D295" t="inlineStr">
        <is>
          <t>DALARNAS LÄN</t>
        </is>
      </c>
      <c r="E295" t="inlineStr">
        <is>
          <t>ORSA</t>
        </is>
      </c>
      <c r="G295" t="n">
        <v>5.8</v>
      </c>
      <c r="H295" t="n">
        <v>0</v>
      </c>
      <c r="I295" t="n">
        <v>0</v>
      </c>
      <c r="J295" t="n">
        <v>0</v>
      </c>
      <c r="K295" t="n">
        <v>0</v>
      </c>
      <c r="L295" t="n">
        <v>0</v>
      </c>
      <c r="M295" t="n">
        <v>0</v>
      </c>
      <c r="N295" t="n">
        <v>0</v>
      </c>
      <c r="O295" t="n">
        <v>0</v>
      </c>
      <c r="P295" t="n">
        <v>0</v>
      </c>
      <c r="Q295" t="n">
        <v>0</v>
      </c>
      <c r="R295" s="2" t="inlineStr"/>
    </row>
    <row r="296" ht="15" customHeight="1">
      <c r="A296" t="inlineStr">
        <is>
          <t>A 44033-2022</t>
        </is>
      </c>
      <c r="B296" s="1" t="n">
        <v>44838</v>
      </c>
      <c r="C296" s="1" t="n">
        <v>45723</v>
      </c>
      <c r="D296" t="inlineStr">
        <is>
          <t>DALARNAS LÄN</t>
        </is>
      </c>
      <c r="E296" t="inlineStr">
        <is>
          <t>ORSA</t>
        </is>
      </c>
      <c r="G296" t="n">
        <v>5.3</v>
      </c>
      <c r="H296" t="n">
        <v>0</v>
      </c>
      <c r="I296" t="n">
        <v>0</v>
      </c>
      <c r="J296" t="n">
        <v>0</v>
      </c>
      <c r="K296" t="n">
        <v>0</v>
      </c>
      <c r="L296" t="n">
        <v>0</v>
      </c>
      <c r="M296" t="n">
        <v>0</v>
      </c>
      <c r="N296" t="n">
        <v>0</v>
      </c>
      <c r="O296" t="n">
        <v>0</v>
      </c>
      <c r="P296" t="n">
        <v>0</v>
      </c>
      <c r="Q296" t="n">
        <v>0</v>
      </c>
      <c r="R296" s="2" t="inlineStr"/>
    </row>
    <row r="297" ht="15" customHeight="1">
      <c r="A297" t="inlineStr">
        <is>
          <t>A 44257-2022</t>
        </is>
      </c>
      <c r="B297" s="1" t="n">
        <v>44839</v>
      </c>
      <c r="C297" s="1" t="n">
        <v>45723</v>
      </c>
      <c r="D297" t="inlineStr">
        <is>
          <t>DALARNAS LÄN</t>
        </is>
      </c>
      <c r="E297" t="inlineStr">
        <is>
          <t>ORSA</t>
        </is>
      </c>
      <c r="G297" t="n">
        <v>13.1</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45723</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46244-2022</t>
        </is>
      </c>
      <c r="B299" s="1" t="n">
        <v>44847</v>
      </c>
      <c r="C299" s="1" t="n">
        <v>45723</v>
      </c>
      <c r="D299" t="inlineStr">
        <is>
          <t>DALARNAS LÄN</t>
        </is>
      </c>
      <c r="E299" t="inlineStr">
        <is>
          <t>ORSA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47135-2022</t>
        </is>
      </c>
      <c r="B300" s="1" t="n">
        <v>44852</v>
      </c>
      <c r="C300" s="1" t="n">
        <v>45723</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47707-2022</t>
        </is>
      </c>
      <c r="B301" s="1" t="n">
        <v>44854</v>
      </c>
      <c r="C301" s="1" t="n">
        <v>45723</v>
      </c>
      <c r="D301" t="inlineStr">
        <is>
          <t>DALARNAS LÄN</t>
        </is>
      </c>
      <c r="E301" t="inlineStr">
        <is>
          <t>ORSA</t>
        </is>
      </c>
      <c r="F301" t="inlineStr">
        <is>
          <t>Bergvik skog öst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47740-2022</t>
        </is>
      </c>
      <c r="B302" s="1" t="n">
        <v>44854</v>
      </c>
      <c r="C302" s="1" t="n">
        <v>45723</v>
      </c>
      <c r="D302" t="inlineStr">
        <is>
          <t>DALARNAS LÄN</t>
        </is>
      </c>
      <c r="E302" t="inlineStr">
        <is>
          <t>ORSA</t>
        </is>
      </c>
      <c r="F302" t="inlineStr">
        <is>
          <t>Bergvik skog öst AB</t>
        </is>
      </c>
      <c r="G302" t="n">
        <v>3.5</v>
      </c>
      <c r="H302" t="n">
        <v>0</v>
      </c>
      <c r="I302" t="n">
        <v>0</v>
      </c>
      <c r="J302" t="n">
        <v>0</v>
      </c>
      <c r="K302" t="n">
        <v>0</v>
      </c>
      <c r="L302" t="n">
        <v>0</v>
      </c>
      <c r="M302" t="n">
        <v>0</v>
      </c>
      <c r="N302" t="n">
        <v>0</v>
      </c>
      <c r="O302" t="n">
        <v>0</v>
      </c>
      <c r="P302" t="n">
        <v>0</v>
      </c>
      <c r="Q302" t="n">
        <v>0</v>
      </c>
      <c r="R302" s="2" t="inlineStr"/>
    </row>
    <row r="303" ht="15" customHeight="1">
      <c r="A303" t="inlineStr">
        <is>
          <t>A 47735-2022</t>
        </is>
      </c>
      <c r="B303" s="1" t="n">
        <v>44854</v>
      </c>
      <c r="C303" s="1" t="n">
        <v>45723</v>
      </c>
      <c r="D303" t="inlineStr">
        <is>
          <t>DALARNAS LÄN</t>
        </is>
      </c>
      <c r="E303" t="inlineStr">
        <is>
          <t>ORSA</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47732-2022</t>
        </is>
      </c>
      <c r="B304" s="1" t="n">
        <v>44854</v>
      </c>
      <c r="C304" s="1" t="n">
        <v>45723</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47746-2022</t>
        </is>
      </c>
      <c r="B305" s="1" t="n">
        <v>44854</v>
      </c>
      <c r="C305" s="1" t="n">
        <v>45723</v>
      </c>
      <c r="D305" t="inlineStr">
        <is>
          <t>DALARNAS LÄN</t>
        </is>
      </c>
      <c r="E305" t="inlineStr">
        <is>
          <t>ORSA</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47742-2022</t>
        </is>
      </c>
      <c r="B306" s="1" t="n">
        <v>44854</v>
      </c>
      <c r="C306" s="1" t="n">
        <v>45723</v>
      </c>
      <c r="D306" t="inlineStr">
        <is>
          <t>DALARNAS LÄN</t>
        </is>
      </c>
      <c r="E306" t="inlineStr">
        <is>
          <t>ORSA</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48131-2022</t>
        </is>
      </c>
      <c r="B307" s="1" t="n">
        <v>44857</v>
      </c>
      <c r="C307" s="1" t="n">
        <v>45723</v>
      </c>
      <c r="D307" t="inlineStr">
        <is>
          <t>DALARNAS LÄN</t>
        </is>
      </c>
      <c r="E307" t="inlineStr">
        <is>
          <t>ORSA</t>
        </is>
      </c>
      <c r="F307" t="inlineStr">
        <is>
          <t>Bergvik skog öst AB</t>
        </is>
      </c>
      <c r="G307" t="n">
        <v>3.4</v>
      </c>
      <c r="H307" t="n">
        <v>0</v>
      </c>
      <c r="I307" t="n">
        <v>0</v>
      </c>
      <c r="J307" t="n">
        <v>0</v>
      </c>
      <c r="K307" t="n">
        <v>0</v>
      </c>
      <c r="L307" t="n">
        <v>0</v>
      </c>
      <c r="M307" t="n">
        <v>0</v>
      </c>
      <c r="N307" t="n">
        <v>0</v>
      </c>
      <c r="O307" t="n">
        <v>0</v>
      </c>
      <c r="P307" t="n">
        <v>0</v>
      </c>
      <c r="Q307" t="n">
        <v>0</v>
      </c>
      <c r="R307" s="2" t="inlineStr"/>
    </row>
    <row r="308" ht="15" customHeight="1">
      <c r="A308" t="inlineStr">
        <is>
          <t>A 48132-2022</t>
        </is>
      </c>
      <c r="B308" s="1" t="n">
        <v>44857</v>
      </c>
      <c r="C308" s="1" t="n">
        <v>45723</v>
      </c>
      <c r="D308" t="inlineStr">
        <is>
          <t>DALARNAS LÄN</t>
        </is>
      </c>
      <c r="E308" t="inlineStr">
        <is>
          <t>ORSA</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48213-2022</t>
        </is>
      </c>
      <c r="B309" s="1" t="n">
        <v>44858</v>
      </c>
      <c r="C309" s="1" t="n">
        <v>45723</v>
      </c>
      <c r="D309" t="inlineStr">
        <is>
          <t>DALARNAS LÄN</t>
        </is>
      </c>
      <c r="E309" t="inlineStr">
        <is>
          <t>ORSA</t>
        </is>
      </c>
      <c r="F309" t="inlineStr">
        <is>
          <t>Allmännings- och besparingsskogar</t>
        </is>
      </c>
      <c r="G309" t="n">
        <v>4.1</v>
      </c>
      <c r="H309" t="n">
        <v>0</v>
      </c>
      <c r="I309" t="n">
        <v>0</v>
      </c>
      <c r="J309" t="n">
        <v>0</v>
      </c>
      <c r="K309" t="n">
        <v>0</v>
      </c>
      <c r="L309" t="n">
        <v>0</v>
      </c>
      <c r="M309" t="n">
        <v>0</v>
      </c>
      <c r="N309" t="n">
        <v>0</v>
      </c>
      <c r="O309" t="n">
        <v>0</v>
      </c>
      <c r="P309" t="n">
        <v>0</v>
      </c>
      <c r="Q309" t="n">
        <v>0</v>
      </c>
      <c r="R309" s="2" t="inlineStr"/>
    </row>
    <row r="310" ht="15" customHeight="1">
      <c r="A310" t="inlineStr">
        <is>
          <t>A 48696-2022</t>
        </is>
      </c>
      <c r="B310" s="1" t="n">
        <v>44859</v>
      </c>
      <c r="C310" s="1" t="n">
        <v>45723</v>
      </c>
      <c r="D310" t="inlineStr">
        <is>
          <t>DALARNAS LÄN</t>
        </is>
      </c>
      <c r="E310" t="inlineStr">
        <is>
          <t>ORSA</t>
        </is>
      </c>
      <c r="F310" t="inlineStr">
        <is>
          <t>Bergvik skog öst AB</t>
        </is>
      </c>
      <c r="G310" t="n">
        <v>4.9</v>
      </c>
      <c r="H310" t="n">
        <v>0</v>
      </c>
      <c r="I310" t="n">
        <v>0</v>
      </c>
      <c r="J310" t="n">
        <v>0</v>
      </c>
      <c r="K310" t="n">
        <v>0</v>
      </c>
      <c r="L310" t="n">
        <v>0</v>
      </c>
      <c r="M310" t="n">
        <v>0</v>
      </c>
      <c r="N310" t="n">
        <v>0</v>
      </c>
      <c r="O310" t="n">
        <v>0</v>
      </c>
      <c r="P310" t="n">
        <v>0</v>
      </c>
      <c r="Q310" t="n">
        <v>0</v>
      </c>
      <c r="R310" s="2" t="inlineStr"/>
    </row>
    <row r="311" ht="15" customHeight="1">
      <c r="A311" t="inlineStr">
        <is>
          <t>A 50454-2022</t>
        </is>
      </c>
      <c r="B311" s="1" t="n">
        <v>44866</v>
      </c>
      <c r="C311" s="1" t="n">
        <v>45723</v>
      </c>
      <c r="D311" t="inlineStr">
        <is>
          <t>DALARNAS LÄN</t>
        </is>
      </c>
      <c r="E311" t="inlineStr">
        <is>
          <t>ORSA</t>
        </is>
      </c>
      <c r="G311" t="n">
        <v>1.5</v>
      </c>
      <c r="H311" t="n">
        <v>0</v>
      </c>
      <c r="I311" t="n">
        <v>0</v>
      </c>
      <c r="J311" t="n">
        <v>0</v>
      </c>
      <c r="K311" t="n">
        <v>0</v>
      </c>
      <c r="L311" t="n">
        <v>0</v>
      </c>
      <c r="M311" t="n">
        <v>0</v>
      </c>
      <c r="N311" t="n">
        <v>0</v>
      </c>
      <c r="O311" t="n">
        <v>0</v>
      </c>
      <c r="P311" t="n">
        <v>0</v>
      </c>
      <c r="Q311" t="n">
        <v>0</v>
      </c>
      <c r="R311" s="2" t="inlineStr"/>
    </row>
    <row r="312" ht="15" customHeight="1">
      <c r="A312" t="inlineStr">
        <is>
          <t>A 50474-2022</t>
        </is>
      </c>
      <c r="B312" s="1" t="n">
        <v>44866</v>
      </c>
      <c r="C312" s="1" t="n">
        <v>45723</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51395-2022</t>
        </is>
      </c>
      <c r="B313" s="1" t="n">
        <v>44869</v>
      </c>
      <c r="C313" s="1" t="n">
        <v>45723</v>
      </c>
      <c r="D313" t="inlineStr">
        <is>
          <t>DALARNAS LÄN</t>
        </is>
      </c>
      <c r="E313" t="inlineStr">
        <is>
          <t>ORSA</t>
        </is>
      </c>
      <c r="F313" t="inlineStr">
        <is>
          <t>Kyrkan</t>
        </is>
      </c>
      <c r="G313" t="n">
        <v>11.8</v>
      </c>
      <c r="H313" t="n">
        <v>0</v>
      </c>
      <c r="I313" t="n">
        <v>0</v>
      </c>
      <c r="J313" t="n">
        <v>0</v>
      </c>
      <c r="K313" t="n">
        <v>0</v>
      </c>
      <c r="L313" t="n">
        <v>0</v>
      </c>
      <c r="M313" t="n">
        <v>0</v>
      </c>
      <c r="N313" t="n">
        <v>0</v>
      </c>
      <c r="O313" t="n">
        <v>0</v>
      </c>
      <c r="P313" t="n">
        <v>0</v>
      </c>
      <c r="Q313" t="n">
        <v>0</v>
      </c>
      <c r="R313" s="2" t="inlineStr"/>
    </row>
    <row r="314" ht="15" customHeight="1">
      <c r="A314" t="inlineStr">
        <is>
          <t>A 51915-2022</t>
        </is>
      </c>
      <c r="B314" s="1" t="n">
        <v>44872</v>
      </c>
      <c r="C314" s="1" t="n">
        <v>45723</v>
      </c>
      <c r="D314" t="inlineStr">
        <is>
          <t>DALARNAS LÄN</t>
        </is>
      </c>
      <c r="E314" t="inlineStr">
        <is>
          <t>ORSA</t>
        </is>
      </c>
      <c r="G314" t="n">
        <v>0.7</v>
      </c>
      <c r="H314" t="n">
        <v>0</v>
      </c>
      <c r="I314" t="n">
        <v>0</v>
      </c>
      <c r="J314" t="n">
        <v>0</v>
      </c>
      <c r="K314" t="n">
        <v>0</v>
      </c>
      <c r="L314" t="n">
        <v>0</v>
      </c>
      <c r="M314" t="n">
        <v>0</v>
      </c>
      <c r="N314" t="n">
        <v>0</v>
      </c>
      <c r="O314" t="n">
        <v>0</v>
      </c>
      <c r="P314" t="n">
        <v>0</v>
      </c>
      <c r="Q314" t="n">
        <v>0</v>
      </c>
      <c r="R314" s="2" t="inlineStr"/>
    </row>
    <row r="315" ht="15" customHeight="1">
      <c r="A315" t="inlineStr">
        <is>
          <t>A 51864-2022</t>
        </is>
      </c>
      <c r="B315" s="1" t="n">
        <v>44872</v>
      </c>
      <c r="C315" s="1" t="n">
        <v>45723</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52579-2022</t>
        </is>
      </c>
      <c r="B316" s="1" t="n">
        <v>44874</v>
      </c>
      <c r="C316" s="1" t="n">
        <v>45723</v>
      </c>
      <c r="D316" t="inlineStr">
        <is>
          <t>DALARNAS LÄN</t>
        </is>
      </c>
      <c r="E316" t="inlineStr">
        <is>
          <t>ORSA</t>
        </is>
      </c>
      <c r="G316" t="n">
        <v>0.9</v>
      </c>
      <c r="H316" t="n">
        <v>0</v>
      </c>
      <c r="I316" t="n">
        <v>0</v>
      </c>
      <c r="J316" t="n">
        <v>0</v>
      </c>
      <c r="K316" t="n">
        <v>0</v>
      </c>
      <c r="L316" t="n">
        <v>0</v>
      </c>
      <c r="M316" t="n">
        <v>0</v>
      </c>
      <c r="N316" t="n">
        <v>0</v>
      </c>
      <c r="O316" t="n">
        <v>0</v>
      </c>
      <c r="P316" t="n">
        <v>0</v>
      </c>
      <c r="Q316" t="n">
        <v>0</v>
      </c>
      <c r="R316" s="2" t="inlineStr"/>
    </row>
    <row r="317" ht="15" customHeight="1">
      <c r="A317" t="inlineStr">
        <is>
          <t>A 52776-2022</t>
        </is>
      </c>
      <c r="B317" s="1" t="n">
        <v>44875</v>
      </c>
      <c r="C317" s="1" t="n">
        <v>45723</v>
      </c>
      <c r="D317" t="inlineStr">
        <is>
          <t>DALARNAS LÄN</t>
        </is>
      </c>
      <c r="E317" t="inlineStr">
        <is>
          <t>ORSA</t>
        </is>
      </c>
      <c r="F317" t="inlineStr">
        <is>
          <t>Allmännings- och besparingsskogar</t>
        </is>
      </c>
      <c r="G317" t="n">
        <v>4.4</v>
      </c>
      <c r="H317" t="n">
        <v>0</v>
      </c>
      <c r="I317" t="n">
        <v>0</v>
      </c>
      <c r="J317" t="n">
        <v>0</v>
      </c>
      <c r="K317" t="n">
        <v>0</v>
      </c>
      <c r="L317" t="n">
        <v>0</v>
      </c>
      <c r="M317" t="n">
        <v>0</v>
      </c>
      <c r="N317" t="n">
        <v>0</v>
      </c>
      <c r="O317" t="n">
        <v>0</v>
      </c>
      <c r="P317" t="n">
        <v>0</v>
      </c>
      <c r="Q317" t="n">
        <v>0</v>
      </c>
      <c r="R317" s="2" t="inlineStr"/>
    </row>
    <row r="318" ht="15" customHeight="1">
      <c r="A318" t="inlineStr">
        <is>
          <t>A 53693-2022</t>
        </is>
      </c>
      <c r="B318" s="1" t="n">
        <v>44880</v>
      </c>
      <c r="C318" s="1" t="n">
        <v>45723</v>
      </c>
      <c r="D318" t="inlineStr">
        <is>
          <t>DALARNAS LÄN</t>
        </is>
      </c>
      <c r="E318" t="inlineStr">
        <is>
          <t>ORSA</t>
        </is>
      </c>
      <c r="F318" t="inlineStr">
        <is>
          <t>Allmännings- och besparingsskogar</t>
        </is>
      </c>
      <c r="G318" t="n">
        <v>3</v>
      </c>
      <c r="H318" t="n">
        <v>0</v>
      </c>
      <c r="I318" t="n">
        <v>0</v>
      </c>
      <c r="J318" t="n">
        <v>0</v>
      </c>
      <c r="K318" t="n">
        <v>0</v>
      </c>
      <c r="L318" t="n">
        <v>0</v>
      </c>
      <c r="M318" t="n">
        <v>0</v>
      </c>
      <c r="N318" t="n">
        <v>0</v>
      </c>
      <c r="O318" t="n">
        <v>0</v>
      </c>
      <c r="P318" t="n">
        <v>0</v>
      </c>
      <c r="Q318" t="n">
        <v>0</v>
      </c>
      <c r="R318" s="2" t="inlineStr"/>
    </row>
    <row r="319" ht="15" customHeight="1">
      <c r="A319" t="inlineStr">
        <is>
          <t>A 53704-2022</t>
        </is>
      </c>
      <c r="B319" s="1" t="n">
        <v>44880</v>
      </c>
      <c r="C319" s="1" t="n">
        <v>45723</v>
      </c>
      <c r="D319" t="inlineStr">
        <is>
          <t>DALARNAS LÄN</t>
        </is>
      </c>
      <c r="E319" t="inlineStr">
        <is>
          <t>ORSA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53709-2022</t>
        </is>
      </c>
      <c r="B320" s="1" t="n">
        <v>44880</v>
      </c>
      <c r="C320" s="1" t="n">
        <v>45723</v>
      </c>
      <c r="D320" t="inlineStr">
        <is>
          <t>DALARNAS LÄN</t>
        </is>
      </c>
      <c r="E320" t="inlineStr">
        <is>
          <t>ORSA</t>
        </is>
      </c>
      <c r="F320" t="inlineStr">
        <is>
          <t>Allmännings- och besparingsskogar</t>
        </is>
      </c>
      <c r="G320" t="n">
        <v>3.3</v>
      </c>
      <c r="H320" t="n">
        <v>0</v>
      </c>
      <c r="I320" t="n">
        <v>0</v>
      </c>
      <c r="J320" t="n">
        <v>0</v>
      </c>
      <c r="K320" t="n">
        <v>0</v>
      </c>
      <c r="L320" t="n">
        <v>0</v>
      </c>
      <c r="M320" t="n">
        <v>0</v>
      </c>
      <c r="N320" t="n">
        <v>0</v>
      </c>
      <c r="O320" t="n">
        <v>0</v>
      </c>
      <c r="P320" t="n">
        <v>0</v>
      </c>
      <c r="Q320" t="n">
        <v>0</v>
      </c>
      <c r="R320" s="2" t="inlineStr"/>
    </row>
    <row r="321" ht="15" customHeight="1">
      <c r="A321" t="inlineStr">
        <is>
          <t>A 53831-2022</t>
        </is>
      </c>
      <c r="B321" s="1" t="n">
        <v>44880</v>
      </c>
      <c r="C321" s="1" t="n">
        <v>45723</v>
      </c>
      <c r="D321" t="inlineStr">
        <is>
          <t>DALARNAS LÄN</t>
        </is>
      </c>
      <c r="E321" t="inlineStr">
        <is>
          <t>ORSA</t>
        </is>
      </c>
      <c r="F321" t="inlineStr">
        <is>
          <t>Allmännings- och besparingsskogar</t>
        </is>
      </c>
      <c r="G321" t="n">
        <v>14.6</v>
      </c>
      <c r="H321" t="n">
        <v>0</v>
      </c>
      <c r="I321" t="n">
        <v>0</v>
      </c>
      <c r="J321" t="n">
        <v>0</v>
      </c>
      <c r="K321" t="n">
        <v>0</v>
      </c>
      <c r="L321" t="n">
        <v>0</v>
      </c>
      <c r="M321" t="n">
        <v>0</v>
      </c>
      <c r="N321" t="n">
        <v>0</v>
      </c>
      <c r="O321" t="n">
        <v>0</v>
      </c>
      <c r="P321" t="n">
        <v>0</v>
      </c>
      <c r="Q321" t="n">
        <v>0</v>
      </c>
      <c r="R321" s="2" t="inlineStr"/>
    </row>
    <row r="322" ht="15" customHeight="1">
      <c r="A322" t="inlineStr">
        <is>
          <t>A 55338-2022</t>
        </is>
      </c>
      <c r="B322" s="1" t="n">
        <v>44887</v>
      </c>
      <c r="C322" s="1" t="n">
        <v>45723</v>
      </c>
      <c r="D322" t="inlineStr">
        <is>
          <t>DALARNAS LÄN</t>
        </is>
      </c>
      <c r="E322" t="inlineStr">
        <is>
          <t>ORSA</t>
        </is>
      </c>
      <c r="G322" t="n">
        <v>2</v>
      </c>
      <c r="H322" t="n">
        <v>0</v>
      </c>
      <c r="I322" t="n">
        <v>0</v>
      </c>
      <c r="J322" t="n">
        <v>0</v>
      </c>
      <c r="K322" t="n">
        <v>0</v>
      </c>
      <c r="L322" t="n">
        <v>0</v>
      </c>
      <c r="M322" t="n">
        <v>0</v>
      </c>
      <c r="N322" t="n">
        <v>0</v>
      </c>
      <c r="O322" t="n">
        <v>0</v>
      </c>
      <c r="P322" t="n">
        <v>0</v>
      </c>
      <c r="Q322" t="n">
        <v>0</v>
      </c>
      <c r="R322" s="2" t="inlineStr"/>
    </row>
    <row r="323" ht="15" customHeight="1">
      <c r="A323" t="inlineStr">
        <is>
          <t>A 55691-2022</t>
        </is>
      </c>
      <c r="B323" s="1" t="n">
        <v>44888</v>
      </c>
      <c r="C323" s="1" t="n">
        <v>45723</v>
      </c>
      <c r="D323" t="inlineStr">
        <is>
          <t>DALARNAS LÄN</t>
        </is>
      </c>
      <c r="E323" t="inlineStr">
        <is>
          <t>ORSA</t>
        </is>
      </c>
      <c r="G323" t="n">
        <v>0.4</v>
      </c>
      <c r="H323" t="n">
        <v>0</v>
      </c>
      <c r="I323" t="n">
        <v>0</v>
      </c>
      <c r="J323" t="n">
        <v>0</v>
      </c>
      <c r="K323" t="n">
        <v>0</v>
      </c>
      <c r="L323" t="n">
        <v>0</v>
      </c>
      <c r="M323" t="n">
        <v>0</v>
      </c>
      <c r="N323" t="n">
        <v>0</v>
      </c>
      <c r="O323" t="n">
        <v>0</v>
      </c>
      <c r="P323" t="n">
        <v>0</v>
      </c>
      <c r="Q323" t="n">
        <v>0</v>
      </c>
      <c r="R323" s="2" t="inlineStr"/>
    </row>
    <row r="324" ht="15" customHeight="1">
      <c r="A324" t="inlineStr">
        <is>
          <t>A 56587-2022</t>
        </is>
      </c>
      <c r="B324" s="1" t="n">
        <v>44893</v>
      </c>
      <c r="C324" s="1" t="n">
        <v>45723</v>
      </c>
      <c r="D324" t="inlineStr">
        <is>
          <t>DALARNAS LÄN</t>
        </is>
      </c>
      <c r="E324" t="inlineStr">
        <is>
          <t>ORSA</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56632-2022</t>
        </is>
      </c>
      <c r="B325" s="1" t="n">
        <v>44893</v>
      </c>
      <c r="C325" s="1" t="n">
        <v>45723</v>
      </c>
      <c r="D325" t="inlineStr">
        <is>
          <t>DALARNAS LÄN</t>
        </is>
      </c>
      <c r="E325" t="inlineStr">
        <is>
          <t>ORSA</t>
        </is>
      </c>
      <c r="G325" t="n">
        <v>6.7</v>
      </c>
      <c r="H325" t="n">
        <v>0</v>
      </c>
      <c r="I325" t="n">
        <v>0</v>
      </c>
      <c r="J325" t="n">
        <v>0</v>
      </c>
      <c r="K325" t="n">
        <v>0</v>
      </c>
      <c r="L325" t="n">
        <v>0</v>
      </c>
      <c r="M325" t="n">
        <v>0</v>
      </c>
      <c r="N325" t="n">
        <v>0</v>
      </c>
      <c r="O325" t="n">
        <v>0</v>
      </c>
      <c r="P325" t="n">
        <v>0</v>
      </c>
      <c r="Q325" t="n">
        <v>0</v>
      </c>
      <c r="R325" s="2" t="inlineStr"/>
    </row>
    <row r="326" ht="15" customHeight="1">
      <c r="A326" t="inlineStr">
        <is>
          <t>A 56578-2022</t>
        </is>
      </c>
      <c r="B326" s="1" t="n">
        <v>44893</v>
      </c>
      <c r="C326" s="1" t="n">
        <v>45723</v>
      </c>
      <c r="D326" t="inlineStr">
        <is>
          <t>DALARNAS LÄN</t>
        </is>
      </c>
      <c r="E326" t="inlineStr">
        <is>
          <t>ORSA</t>
        </is>
      </c>
      <c r="F326" t="inlineStr">
        <is>
          <t>Allmännings- och besparingsskogar</t>
        </is>
      </c>
      <c r="G326" t="n">
        <v>2.3</v>
      </c>
      <c r="H326" t="n">
        <v>0</v>
      </c>
      <c r="I326" t="n">
        <v>0</v>
      </c>
      <c r="J326" t="n">
        <v>0</v>
      </c>
      <c r="K326" t="n">
        <v>0</v>
      </c>
      <c r="L326" t="n">
        <v>0</v>
      </c>
      <c r="M326" t="n">
        <v>0</v>
      </c>
      <c r="N326" t="n">
        <v>0</v>
      </c>
      <c r="O326" t="n">
        <v>0</v>
      </c>
      <c r="P326" t="n">
        <v>0</v>
      </c>
      <c r="Q326" t="n">
        <v>0</v>
      </c>
      <c r="R326" s="2" t="inlineStr"/>
    </row>
    <row r="327" ht="15" customHeight="1">
      <c r="A327" t="inlineStr">
        <is>
          <t>A 57552-2022</t>
        </is>
      </c>
      <c r="B327" s="1" t="n">
        <v>44896</v>
      </c>
      <c r="C327" s="1" t="n">
        <v>45723</v>
      </c>
      <c r="D327" t="inlineStr">
        <is>
          <t>DALARNAS LÄN</t>
        </is>
      </c>
      <c r="E327" t="inlineStr">
        <is>
          <t>ORSA</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57533-2022</t>
        </is>
      </c>
      <c r="B328" s="1" t="n">
        <v>44896</v>
      </c>
      <c r="C328" s="1" t="n">
        <v>45723</v>
      </c>
      <c r="D328" t="inlineStr">
        <is>
          <t>DALARNAS LÄN</t>
        </is>
      </c>
      <c r="E328" t="inlineStr">
        <is>
          <t>ORSA</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58068-2022</t>
        </is>
      </c>
      <c r="B329" s="1" t="n">
        <v>44900</v>
      </c>
      <c r="C329" s="1" t="n">
        <v>45723</v>
      </c>
      <c r="D329" t="inlineStr">
        <is>
          <t>DALARNAS LÄN</t>
        </is>
      </c>
      <c r="E329" t="inlineStr">
        <is>
          <t>ORSA</t>
        </is>
      </c>
      <c r="F329" t="inlineStr">
        <is>
          <t>Bergvik skog öst AB</t>
        </is>
      </c>
      <c r="G329" t="n">
        <v>10.6</v>
      </c>
      <c r="H329" t="n">
        <v>0</v>
      </c>
      <c r="I329" t="n">
        <v>0</v>
      </c>
      <c r="J329" t="n">
        <v>0</v>
      </c>
      <c r="K329" t="n">
        <v>0</v>
      </c>
      <c r="L329" t="n">
        <v>0</v>
      </c>
      <c r="M329" t="n">
        <v>0</v>
      </c>
      <c r="N329" t="n">
        <v>0</v>
      </c>
      <c r="O329" t="n">
        <v>0</v>
      </c>
      <c r="P329" t="n">
        <v>0</v>
      </c>
      <c r="Q329" t="n">
        <v>0</v>
      </c>
      <c r="R329" s="2" t="inlineStr"/>
    </row>
    <row r="330" ht="15" customHeight="1">
      <c r="A330" t="inlineStr">
        <is>
          <t>A 58853-2022</t>
        </is>
      </c>
      <c r="B330" s="1" t="n">
        <v>44903</v>
      </c>
      <c r="C330" s="1" t="n">
        <v>45723</v>
      </c>
      <c r="D330" t="inlineStr">
        <is>
          <t>DALARNAS LÄN</t>
        </is>
      </c>
      <c r="E330" t="inlineStr">
        <is>
          <t>ORSA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58851-2022</t>
        </is>
      </c>
      <c r="B331" s="1" t="n">
        <v>44903</v>
      </c>
      <c r="C331" s="1" t="n">
        <v>45723</v>
      </c>
      <c r="D331" t="inlineStr">
        <is>
          <t>DALARNAS LÄN</t>
        </is>
      </c>
      <c r="E331" t="inlineStr">
        <is>
          <t>ORSA</t>
        </is>
      </c>
      <c r="F331" t="inlineStr">
        <is>
          <t>Bergvik skog öst AB</t>
        </is>
      </c>
      <c r="G331" t="n">
        <v>0.6</v>
      </c>
      <c r="H331" t="n">
        <v>0</v>
      </c>
      <c r="I331" t="n">
        <v>0</v>
      </c>
      <c r="J331" t="n">
        <v>0</v>
      </c>
      <c r="K331" t="n">
        <v>0</v>
      </c>
      <c r="L331" t="n">
        <v>0</v>
      </c>
      <c r="M331" t="n">
        <v>0</v>
      </c>
      <c r="N331" t="n">
        <v>0</v>
      </c>
      <c r="O331" t="n">
        <v>0</v>
      </c>
      <c r="P331" t="n">
        <v>0</v>
      </c>
      <c r="Q331" t="n">
        <v>0</v>
      </c>
      <c r="R331" s="2" t="inlineStr"/>
    </row>
    <row r="332" ht="15" customHeight="1">
      <c r="A332" t="inlineStr">
        <is>
          <t>A 58846-2022</t>
        </is>
      </c>
      <c r="B332" s="1" t="n">
        <v>44903</v>
      </c>
      <c r="C332" s="1" t="n">
        <v>45723</v>
      </c>
      <c r="D332" t="inlineStr">
        <is>
          <t>DALARNAS LÄN</t>
        </is>
      </c>
      <c r="E332" t="inlineStr">
        <is>
          <t>ORSA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59442-2022</t>
        </is>
      </c>
      <c r="B333" s="1" t="n">
        <v>44907</v>
      </c>
      <c r="C333" s="1" t="n">
        <v>45723</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59462-2022</t>
        </is>
      </c>
      <c r="B334" s="1" t="n">
        <v>44907</v>
      </c>
      <c r="C334" s="1" t="n">
        <v>45723</v>
      </c>
      <c r="D334" t="inlineStr">
        <is>
          <t>DALARNAS LÄN</t>
        </is>
      </c>
      <c r="E334" t="inlineStr">
        <is>
          <t>ORSA</t>
        </is>
      </c>
      <c r="G334" t="n">
        <v>2.4</v>
      </c>
      <c r="H334" t="n">
        <v>0</v>
      </c>
      <c r="I334" t="n">
        <v>0</v>
      </c>
      <c r="J334" t="n">
        <v>0</v>
      </c>
      <c r="K334" t="n">
        <v>0</v>
      </c>
      <c r="L334" t="n">
        <v>0</v>
      </c>
      <c r="M334" t="n">
        <v>0</v>
      </c>
      <c r="N334" t="n">
        <v>0</v>
      </c>
      <c r="O334" t="n">
        <v>0</v>
      </c>
      <c r="P334" t="n">
        <v>0</v>
      </c>
      <c r="Q334" t="n">
        <v>0</v>
      </c>
      <c r="R334" s="2" t="inlineStr"/>
    </row>
    <row r="335" ht="15" customHeight="1">
      <c r="A335" t="inlineStr">
        <is>
          <t>A 59737-2022</t>
        </is>
      </c>
      <c r="B335" s="1" t="n">
        <v>44908</v>
      </c>
      <c r="C335" s="1" t="n">
        <v>45723</v>
      </c>
      <c r="D335" t="inlineStr">
        <is>
          <t>DALARNAS LÄN</t>
        </is>
      </c>
      <c r="E335" t="inlineStr">
        <is>
          <t>ORSA</t>
        </is>
      </c>
      <c r="G335" t="n">
        <v>3.5</v>
      </c>
      <c r="H335" t="n">
        <v>0</v>
      </c>
      <c r="I335" t="n">
        <v>0</v>
      </c>
      <c r="J335" t="n">
        <v>0</v>
      </c>
      <c r="K335" t="n">
        <v>0</v>
      </c>
      <c r="L335" t="n">
        <v>0</v>
      </c>
      <c r="M335" t="n">
        <v>0</v>
      </c>
      <c r="N335" t="n">
        <v>0</v>
      </c>
      <c r="O335" t="n">
        <v>0</v>
      </c>
      <c r="P335" t="n">
        <v>0</v>
      </c>
      <c r="Q335" t="n">
        <v>0</v>
      </c>
      <c r="R335" s="2" t="inlineStr"/>
    </row>
    <row r="336" ht="15" customHeight="1">
      <c r="A336" t="inlineStr">
        <is>
          <t>A 59944-2022</t>
        </is>
      </c>
      <c r="B336" s="1" t="n">
        <v>44909</v>
      </c>
      <c r="C336" s="1" t="n">
        <v>45723</v>
      </c>
      <c r="D336" t="inlineStr">
        <is>
          <t>DALARNAS LÄN</t>
        </is>
      </c>
      <c r="E336" t="inlineStr">
        <is>
          <t>ORSA</t>
        </is>
      </c>
      <c r="F336" t="inlineStr">
        <is>
          <t>Allmännings- och besparingsskogar</t>
        </is>
      </c>
      <c r="G336" t="n">
        <v>5</v>
      </c>
      <c r="H336" t="n">
        <v>0</v>
      </c>
      <c r="I336" t="n">
        <v>0</v>
      </c>
      <c r="J336" t="n">
        <v>0</v>
      </c>
      <c r="K336" t="n">
        <v>0</v>
      </c>
      <c r="L336" t="n">
        <v>0</v>
      </c>
      <c r="M336" t="n">
        <v>0</v>
      </c>
      <c r="N336" t="n">
        <v>0</v>
      </c>
      <c r="O336" t="n">
        <v>0</v>
      </c>
      <c r="P336" t="n">
        <v>0</v>
      </c>
      <c r="Q336" t="n">
        <v>0</v>
      </c>
      <c r="R336" s="2" t="inlineStr"/>
    </row>
    <row r="337" ht="15" customHeight="1">
      <c r="A337" t="inlineStr">
        <is>
          <t>A 60189-2022</t>
        </is>
      </c>
      <c r="B337" s="1" t="n">
        <v>44910</v>
      </c>
      <c r="C337" s="1" t="n">
        <v>45723</v>
      </c>
      <c r="D337" t="inlineStr">
        <is>
          <t>DALARNAS LÄN</t>
        </is>
      </c>
      <c r="E337" t="inlineStr">
        <is>
          <t>ORSA</t>
        </is>
      </c>
      <c r="F337" t="inlineStr">
        <is>
          <t>Bergvik skog öst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60803-2022</t>
        </is>
      </c>
      <c r="B338" s="1" t="n">
        <v>44914</v>
      </c>
      <c r="C338" s="1" t="n">
        <v>45723</v>
      </c>
      <c r="D338" t="inlineStr">
        <is>
          <t>DALARNAS LÄN</t>
        </is>
      </c>
      <c r="E338" t="inlineStr">
        <is>
          <t>ORSA</t>
        </is>
      </c>
      <c r="G338" t="n">
        <v>1.2</v>
      </c>
      <c r="H338" t="n">
        <v>0</v>
      </c>
      <c r="I338" t="n">
        <v>0</v>
      </c>
      <c r="J338" t="n">
        <v>0</v>
      </c>
      <c r="K338" t="n">
        <v>0</v>
      </c>
      <c r="L338" t="n">
        <v>0</v>
      </c>
      <c r="M338" t="n">
        <v>0</v>
      </c>
      <c r="N338" t="n">
        <v>0</v>
      </c>
      <c r="O338" t="n">
        <v>0</v>
      </c>
      <c r="P338" t="n">
        <v>0</v>
      </c>
      <c r="Q338" t="n">
        <v>0</v>
      </c>
      <c r="R338" s="2" t="inlineStr"/>
    </row>
    <row r="339" ht="15" customHeight="1">
      <c r="A339" t="inlineStr">
        <is>
          <t>A 61118-2022</t>
        </is>
      </c>
      <c r="B339" s="1" t="n">
        <v>44915</v>
      </c>
      <c r="C339" s="1" t="n">
        <v>45723</v>
      </c>
      <c r="D339" t="inlineStr">
        <is>
          <t>DALARNAS LÄN</t>
        </is>
      </c>
      <c r="E339" t="inlineStr">
        <is>
          <t>ORSA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61698-2022</t>
        </is>
      </c>
      <c r="B340" s="1" t="n">
        <v>44917</v>
      </c>
      <c r="C340" s="1" t="n">
        <v>45723</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61699-2022</t>
        </is>
      </c>
      <c r="B341" s="1" t="n">
        <v>44917</v>
      </c>
      <c r="C341" s="1" t="n">
        <v>45723</v>
      </c>
      <c r="D341" t="inlineStr">
        <is>
          <t>DALARNAS LÄN</t>
        </is>
      </c>
      <c r="E341" t="inlineStr">
        <is>
          <t>ORSA</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61865-2022</t>
        </is>
      </c>
      <c r="B342" s="1" t="n">
        <v>44917</v>
      </c>
      <c r="C342" s="1" t="n">
        <v>45723</v>
      </c>
      <c r="D342" t="inlineStr">
        <is>
          <t>DALARNAS LÄN</t>
        </is>
      </c>
      <c r="E342" t="inlineStr">
        <is>
          <t>ORSA</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159-2023</t>
        </is>
      </c>
      <c r="B343" s="1" t="n">
        <v>44928</v>
      </c>
      <c r="C343" s="1" t="n">
        <v>45723</v>
      </c>
      <c r="D343" t="inlineStr">
        <is>
          <t>DALARNAS LÄN</t>
        </is>
      </c>
      <c r="E343" t="inlineStr">
        <is>
          <t>ORSA</t>
        </is>
      </c>
      <c r="F343" t="inlineStr">
        <is>
          <t>Kyrkan</t>
        </is>
      </c>
      <c r="G343" t="n">
        <v>5.8</v>
      </c>
      <c r="H343" t="n">
        <v>0</v>
      </c>
      <c r="I343" t="n">
        <v>0</v>
      </c>
      <c r="J343" t="n">
        <v>0</v>
      </c>
      <c r="K343" t="n">
        <v>0</v>
      </c>
      <c r="L343" t="n">
        <v>0</v>
      </c>
      <c r="M343" t="n">
        <v>0</v>
      </c>
      <c r="N343" t="n">
        <v>0</v>
      </c>
      <c r="O343" t="n">
        <v>0</v>
      </c>
      <c r="P343" t="n">
        <v>0</v>
      </c>
      <c r="Q343" t="n">
        <v>0</v>
      </c>
      <c r="R343" s="2" t="inlineStr"/>
    </row>
    <row r="344" ht="15" customHeight="1">
      <c r="A344" t="inlineStr">
        <is>
          <t>A 162-2023</t>
        </is>
      </c>
      <c r="B344" s="1" t="n">
        <v>44928</v>
      </c>
      <c r="C344" s="1" t="n">
        <v>45723</v>
      </c>
      <c r="D344" t="inlineStr">
        <is>
          <t>DALARNAS LÄN</t>
        </is>
      </c>
      <c r="E344" t="inlineStr">
        <is>
          <t>ORSA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160-2023</t>
        </is>
      </c>
      <c r="B345" s="1" t="n">
        <v>44928</v>
      </c>
      <c r="C345" s="1" t="n">
        <v>45723</v>
      </c>
      <c r="D345" t="inlineStr">
        <is>
          <t>DALARNAS LÄN</t>
        </is>
      </c>
      <c r="E345" t="inlineStr">
        <is>
          <t>ORSA</t>
        </is>
      </c>
      <c r="F345" t="inlineStr">
        <is>
          <t>Kyrkan</t>
        </is>
      </c>
      <c r="G345" t="n">
        <v>3.4</v>
      </c>
      <c r="H345" t="n">
        <v>0</v>
      </c>
      <c r="I345" t="n">
        <v>0</v>
      </c>
      <c r="J345" t="n">
        <v>0</v>
      </c>
      <c r="K345" t="n">
        <v>0</v>
      </c>
      <c r="L345" t="n">
        <v>0</v>
      </c>
      <c r="M345" t="n">
        <v>0</v>
      </c>
      <c r="N345" t="n">
        <v>0</v>
      </c>
      <c r="O345" t="n">
        <v>0</v>
      </c>
      <c r="P345" t="n">
        <v>0</v>
      </c>
      <c r="Q345" t="n">
        <v>0</v>
      </c>
      <c r="R345" s="2" t="inlineStr"/>
    </row>
    <row r="346" ht="15" customHeight="1">
      <c r="A346" t="inlineStr">
        <is>
          <t>A 2044-2023</t>
        </is>
      </c>
      <c r="B346" s="1" t="n">
        <v>44939</v>
      </c>
      <c r="C346" s="1" t="n">
        <v>45723</v>
      </c>
      <c r="D346" t="inlineStr">
        <is>
          <t>DALARNAS LÄN</t>
        </is>
      </c>
      <c r="E346" t="inlineStr">
        <is>
          <t>ORSA</t>
        </is>
      </c>
      <c r="G346" t="n">
        <v>4.1</v>
      </c>
      <c r="H346" t="n">
        <v>0</v>
      </c>
      <c r="I346" t="n">
        <v>0</v>
      </c>
      <c r="J346" t="n">
        <v>0</v>
      </c>
      <c r="K346" t="n">
        <v>0</v>
      </c>
      <c r="L346" t="n">
        <v>0</v>
      </c>
      <c r="M346" t="n">
        <v>0</v>
      </c>
      <c r="N346" t="n">
        <v>0</v>
      </c>
      <c r="O346" t="n">
        <v>0</v>
      </c>
      <c r="P346" t="n">
        <v>0</v>
      </c>
      <c r="Q346" t="n">
        <v>0</v>
      </c>
      <c r="R346" s="2" t="inlineStr"/>
    </row>
    <row r="347" ht="15" customHeight="1">
      <c r="A347" t="inlineStr">
        <is>
          <t>A 2228-2023</t>
        </is>
      </c>
      <c r="B347" s="1" t="n">
        <v>44942</v>
      </c>
      <c r="C347" s="1" t="n">
        <v>45723</v>
      </c>
      <c r="D347" t="inlineStr">
        <is>
          <t>DALARNAS LÄN</t>
        </is>
      </c>
      <c r="E347" t="inlineStr">
        <is>
          <t>ORSA</t>
        </is>
      </c>
      <c r="G347" t="n">
        <v>6.4</v>
      </c>
      <c r="H347" t="n">
        <v>0</v>
      </c>
      <c r="I347" t="n">
        <v>0</v>
      </c>
      <c r="J347" t="n">
        <v>0</v>
      </c>
      <c r="K347" t="n">
        <v>0</v>
      </c>
      <c r="L347" t="n">
        <v>0</v>
      </c>
      <c r="M347" t="n">
        <v>0</v>
      </c>
      <c r="N347" t="n">
        <v>0</v>
      </c>
      <c r="O347" t="n">
        <v>0</v>
      </c>
      <c r="P347" t="n">
        <v>0</v>
      </c>
      <c r="Q347" t="n">
        <v>0</v>
      </c>
      <c r="R347" s="2" t="inlineStr"/>
    </row>
    <row r="348" ht="15" customHeight="1">
      <c r="A348" t="inlineStr">
        <is>
          <t>A 3318-2023</t>
        </is>
      </c>
      <c r="B348" s="1" t="n">
        <v>44949</v>
      </c>
      <c r="C348" s="1" t="n">
        <v>45723</v>
      </c>
      <c r="D348" t="inlineStr">
        <is>
          <t>DALARNAS LÄN</t>
        </is>
      </c>
      <c r="E348" t="inlineStr">
        <is>
          <t>ORSA</t>
        </is>
      </c>
      <c r="G348" t="n">
        <v>4.4</v>
      </c>
      <c r="H348" t="n">
        <v>0</v>
      </c>
      <c r="I348" t="n">
        <v>0</v>
      </c>
      <c r="J348" t="n">
        <v>0</v>
      </c>
      <c r="K348" t="n">
        <v>0</v>
      </c>
      <c r="L348" t="n">
        <v>0</v>
      </c>
      <c r="M348" t="n">
        <v>0</v>
      </c>
      <c r="N348" t="n">
        <v>0</v>
      </c>
      <c r="O348" t="n">
        <v>0</v>
      </c>
      <c r="P348" t="n">
        <v>0</v>
      </c>
      <c r="Q348" t="n">
        <v>0</v>
      </c>
      <c r="R348" s="2" t="inlineStr"/>
    </row>
    <row r="349" ht="15" customHeight="1">
      <c r="A349" t="inlineStr">
        <is>
          <t>A 3320-2023</t>
        </is>
      </c>
      <c r="B349" s="1" t="n">
        <v>44949</v>
      </c>
      <c r="C349" s="1" t="n">
        <v>45723</v>
      </c>
      <c r="D349" t="inlineStr">
        <is>
          <t>DALARNAS LÄN</t>
        </is>
      </c>
      <c r="E349" t="inlineStr">
        <is>
          <t>ORSA</t>
        </is>
      </c>
      <c r="G349" t="n">
        <v>1.9</v>
      </c>
      <c r="H349" t="n">
        <v>0</v>
      </c>
      <c r="I349" t="n">
        <v>0</v>
      </c>
      <c r="J349" t="n">
        <v>0</v>
      </c>
      <c r="K349" t="n">
        <v>0</v>
      </c>
      <c r="L349" t="n">
        <v>0</v>
      </c>
      <c r="M349" t="n">
        <v>0</v>
      </c>
      <c r="N349" t="n">
        <v>0</v>
      </c>
      <c r="O349" t="n">
        <v>0</v>
      </c>
      <c r="P349" t="n">
        <v>0</v>
      </c>
      <c r="Q349" t="n">
        <v>0</v>
      </c>
      <c r="R349" s="2" t="inlineStr"/>
    </row>
    <row r="350" ht="15" customHeight="1">
      <c r="A350" t="inlineStr">
        <is>
          <t>A 3720-2023</t>
        </is>
      </c>
      <c r="B350" s="1" t="n">
        <v>44951</v>
      </c>
      <c r="C350" s="1" t="n">
        <v>45723</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3951-2023</t>
        </is>
      </c>
      <c r="B351" s="1" t="n">
        <v>44952</v>
      </c>
      <c r="C351" s="1" t="n">
        <v>45723</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6047-2023</t>
        </is>
      </c>
      <c r="B352" s="1" t="n">
        <v>44964</v>
      </c>
      <c r="C352" s="1" t="n">
        <v>45723</v>
      </c>
      <c r="D352" t="inlineStr">
        <is>
          <t>DALARNAS LÄN</t>
        </is>
      </c>
      <c r="E352" t="inlineStr">
        <is>
          <t>ORSA</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7814-2023</t>
        </is>
      </c>
      <c r="B353" s="1" t="n">
        <v>44973</v>
      </c>
      <c r="C353" s="1" t="n">
        <v>45723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7878-2023</t>
        </is>
      </c>
      <c r="B354" s="1" t="n">
        <v>44973</v>
      </c>
      <c r="C354" s="1" t="n">
        <v>45723</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9466-2023</t>
        </is>
      </c>
      <c r="B355" s="1" t="n">
        <v>44981</v>
      </c>
      <c r="C355" s="1" t="n">
        <v>45723</v>
      </c>
      <c r="D355" t="inlineStr">
        <is>
          <t>DALARNAS LÄN</t>
        </is>
      </c>
      <c r="E355" t="inlineStr">
        <is>
          <t>ORSA</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10004-2023</t>
        </is>
      </c>
      <c r="B356" s="1" t="n">
        <v>44985</v>
      </c>
      <c r="C356" s="1" t="n">
        <v>45723</v>
      </c>
      <c r="D356" t="inlineStr">
        <is>
          <t>DALARNAS LÄN</t>
        </is>
      </c>
      <c r="E356" t="inlineStr">
        <is>
          <t>ORSA</t>
        </is>
      </c>
      <c r="G356" t="n">
        <v>2.1</v>
      </c>
      <c r="H356" t="n">
        <v>0</v>
      </c>
      <c r="I356" t="n">
        <v>0</v>
      </c>
      <c r="J356" t="n">
        <v>0</v>
      </c>
      <c r="K356" t="n">
        <v>0</v>
      </c>
      <c r="L356" t="n">
        <v>0</v>
      </c>
      <c r="M356" t="n">
        <v>0</v>
      </c>
      <c r="N356" t="n">
        <v>0</v>
      </c>
      <c r="O356" t="n">
        <v>0</v>
      </c>
      <c r="P356" t="n">
        <v>0</v>
      </c>
      <c r="Q356" t="n">
        <v>0</v>
      </c>
      <c r="R356" s="2" t="inlineStr"/>
    </row>
    <row r="357" ht="15" customHeight="1">
      <c r="A357" t="inlineStr">
        <is>
          <t>A 10048-2023</t>
        </is>
      </c>
      <c r="B357" s="1" t="n">
        <v>44985</v>
      </c>
      <c r="C357" s="1" t="n">
        <v>45723</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10227-2023</t>
        </is>
      </c>
      <c r="B358" s="1" t="n">
        <v>44986</v>
      </c>
      <c r="C358" s="1" t="n">
        <v>45723</v>
      </c>
      <c r="D358" t="inlineStr">
        <is>
          <t>DALARNAS LÄN</t>
        </is>
      </c>
      <c r="E358" t="inlineStr">
        <is>
          <t>ORSA</t>
        </is>
      </c>
      <c r="G358" t="n">
        <v>3.1</v>
      </c>
      <c r="H358" t="n">
        <v>0</v>
      </c>
      <c r="I358" t="n">
        <v>0</v>
      </c>
      <c r="J358" t="n">
        <v>0</v>
      </c>
      <c r="K358" t="n">
        <v>0</v>
      </c>
      <c r="L358" t="n">
        <v>0</v>
      </c>
      <c r="M358" t="n">
        <v>0</v>
      </c>
      <c r="N358" t="n">
        <v>0</v>
      </c>
      <c r="O358" t="n">
        <v>0</v>
      </c>
      <c r="P358" t="n">
        <v>0</v>
      </c>
      <c r="Q358" t="n">
        <v>0</v>
      </c>
      <c r="R358" s="2" t="inlineStr"/>
    </row>
    <row r="359" ht="15" customHeight="1">
      <c r="A359" t="inlineStr">
        <is>
          <t>A 10359-2023</t>
        </is>
      </c>
      <c r="B359" s="1" t="n">
        <v>44987</v>
      </c>
      <c r="C359" s="1" t="n">
        <v>45723</v>
      </c>
      <c r="D359" t="inlineStr">
        <is>
          <t>DALARNAS LÄN</t>
        </is>
      </c>
      <c r="E359" t="inlineStr">
        <is>
          <t>ORSA</t>
        </is>
      </c>
      <c r="G359" t="n">
        <v>2.5</v>
      </c>
      <c r="H359" t="n">
        <v>0</v>
      </c>
      <c r="I359" t="n">
        <v>0</v>
      </c>
      <c r="J359" t="n">
        <v>0</v>
      </c>
      <c r="K359" t="n">
        <v>0</v>
      </c>
      <c r="L359" t="n">
        <v>0</v>
      </c>
      <c r="M359" t="n">
        <v>0</v>
      </c>
      <c r="N359" t="n">
        <v>0</v>
      </c>
      <c r="O359" t="n">
        <v>0</v>
      </c>
      <c r="P359" t="n">
        <v>0</v>
      </c>
      <c r="Q359" t="n">
        <v>0</v>
      </c>
      <c r="R359" s="2" t="inlineStr"/>
    </row>
    <row r="360" ht="15" customHeight="1">
      <c r="A360" t="inlineStr">
        <is>
          <t>A 10374-2023</t>
        </is>
      </c>
      <c r="B360" s="1" t="n">
        <v>44987</v>
      </c>
      <c r="C360" s="1" t="n">
        <v>45723</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11595-2023</t>
        </is>
      </c>
      <c r="B361" s="1" t="n">
        <v>44994</v>
      </c>
      <c r="C361" s="1" t="n">
        <v>45723</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12065-2023</t>
        </is>
      </c>
      <c r="B362" s="1" t="n">
        <v>44997</v>
      </c>
      <c r="C362" s="1" t="n">
        <v>45723</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14680-2023</t>
        </is>
      </c>
      <c r="B363" s="1" t="n">
        <v>45014</v>
      </c>
      <c r="C363" s="1" t="n">
        <v>45723</v>
      </c>
      <c r="D363" t="inlineStr">
        <is>
          <t>DALARNAS LÄN</t>
        </is>
      </c>
      <c r="E363" t="inlineStr">
        <is>
          <t>ORSA</t>
        </is>
      </c>
      <c r="G363" t="n">
        <v>4.2</v>
      </c>
      <c r="H363" t="n">
        <v>0</v>
      </c>
      <c r="I363" t="n">
        <v>0</v>
      </c>
      <c r="J363" t="n">
        <v>0</v>
      </c>
      <c r="K363" t="n">
        <v>0</v>
      </c>
      <c r="L363" t="n">
        <v>0</v>
      </c>
      <c r="M363" t="n">
        <v>0</v>
      </c>
      <c r="N363" t="n">
        <v>0</v>
      </c>
      <c r="O363" t="n">
        <v>0</v>
      </c>
      <c r="P363" t="n">
        <v>0</v>
      </c>
      <c r="Q363" t="n">
        <v>0</v>
      </c>
      <c r="R363" s="2" t="inlineStr"/>
    </row>
    <row r="364" ht="15" customHeight="1">
      <c r="A364" t="inlineStr">
        <is>
          <t>A 15594-2023</t>
        </is>
      </c>
      <c r="B364" s="1" t="n">
        <v>45020</v>
      </c>
      <c r="C364" s="1" t="n">
        <v>45723</v>
      </c>
      <c r="D364" t="inlineStr">
        <is>
          <t>DALARNAS LÄN</t>
        </is>
      </c>
      <c r="E364" t="inlineStr">
        <is>
          <t>ORSA</t>
        </is>
      </c>
      <c r="F364" t="inlineStr">
        <is>
          <t>Bergvik skog öst AB</t>
        </is>
      </c>
      <c r="G364" t="n">
        <v>1.9</v>
      </c>
      <c r="H364" t="n">
        <v>0</v>
      </c>
      <c r="I364" t="n">
        <v>0</v>
      </c>
      <c r="J364" t="n">
        <v>0</v>
      </c>
      <c r="K364" t="n">
        <v>0</v>
      </c>
      <c r="L364" t="n">
        <v>0</v>
      </c>
      <c r="M364" t="n">
        <v>0</v>
      </c>
      <c r="N364" t="n">
        <v>0</v>
      </c>
      <c r="O364" t="n">
        <v>0</v>
      </c>
      <c r="P364" t="n">
        <v>0</v>
      </c>
      <c r="Q364" t="n">
        <v>0</v>
      </c>
      <c r="R364" s="2" t="inlineStr"/>
    </row>
    <row r="365" ht="15" customHeight="1">
      <c r="A365" t="inlineStr">
        <is>
          <t>A 16423-2023</t>
        </is>
      </c>
      <c r="B365" s="1" t="n">
        <v>45029</v>
      </c>
      <c r="C365" s="1" t="n">
        <v>45723</v>
      </c>
      <c r="D365" t="inlineStr">
        <is>
          <t>DALARNAS LÄN</t>
        </is>
      </c>
      <c r="E365" t="inlineStr">
        <is>
          <t>ORSA</t>
        </is>
      </c>
      <c r="F365" t="inlineStr">
        <is>
          <t>Bergvik skog öst AB</t>
        </is>
      </c>
      <c r="G365" t="n">
        <v>3.5</v>
      </c>
      <c r="H365" t="n">
        <v>0</v>
      </c>
      <c r="I365" t="n">
        <v>0</v>
      </c>
      <c r="J365" t="n">
        <v>0</v>
      </c>
      <c r="K365" t="n">
        <v>0</v>
      </c>
      <c r="L365" t="n">
        <v>0</v>
      </c>
      <c r="M365" t="n">
        <v>0</v>
      </c>
      <c r="N365" t="n">
        <v>0</v>
      </c>
      <c r="O365" t="n">
        <v>0</v>
      </c>
      <c r="P365" t="n">
        <v>0</v>
      </c>
      <c r="Q365" t="n">
        <v>0</v>
      </c>
      <c r="R365" s="2" t="inlineStr"/>
    </row>
    <row r="366" ht="15" customHeight="1">
      <c r="A366" t="inlineStr">
        <is>
          <t>A 16585-2023</t>
        </is>
      </c>
      <c r="B366" s="1" t="n">
        <v>45030</v>
      </c>
      <c r="C366" s="1" t="n">
        <v>45723</v>
      </c>
      <c r="D366" t="inlineStr">
        <is>
          <t>DALARNAS LÄN</t>
        </is>
      </c>
      <c r="E366" t="inlineStr">
        <is>
          <t>ORSA</t>
        </is>
      </c>
      <c r="G366" t="n">
        <v>1</v>
      </c>
      <c r="H366" t="n">
        <v>0</v>
      </c>
      <c r="I366" t="n">
        <v>0</v>
      </c>
      <c r="J366" t="n">
        <v>0</v>
      </c>
      <c r="K366" t="n">
        <v>0</v>
      </c>
      <c r="L366" t="n">
        <v>0</v>
      </c>
      <c r="M366" t="n">
        <v>0</v>
      </c>
      <c r="N366" t="n">
        <v>0</v>
      </c>
      <c r="O366" t="n">
        <v>0</v>
      </c>
      <c r="P366" t="n">
        <v>0</v>
      </c>
      <c r="Q366" t="n">
        <v>0</v>
      </c>
      <c r="R366" s="2" t="inlineStr"/>
    </row>
    <row r="367" ht="15" customHeight="1">
      <c r="A367" t="inlineStr">
        <is>
          <t>A 18037-2023</t>
        </is>
      </c>
      <c r="B367" s="1" t="n">
        <v>45040</v>
      </c>
      <c r="C367" s="1" t="n">
        <v>45723</v>
      </c>
      <c r="D367" t="inlineStr">
        <is>
          <t>DALARNAS LÄN</t>
        </is>
      </c>
      <c r="E367" t="inlineStr">
        <is>
          <t>ORSA</t>
        </is>
      </c>
      <c r="G367" t="n">
        <v>6.6</v>
      </c>
      <c r="H367" t="n">
        <v>0</v>
      </c>
      <c r="I367" t="n">
        <v>0</v>
      </c>
      <c r="J367" t="n">
        <v>0</v>
      </c>
      <c r="K367" t="n">
        <v>0</v>
      </c>
      <c r="L367" t="n">
        <v>0</v>
      </c>
      <c r="M367" t="n">
        <v>0</v>
      </c>
      <c r="N367" t="n">
        <v>0</v>
      </c>
      <c r="O367" t="n">
        <v>0</v>
      </c>
      <c r="P367" t="n">
        <v>0</v>
      </c>
      <c r="Q367" t="n">
        <v>0</v>
      </c>
      <c r="R367" s="2" t="inlineStr"/>
    </row>
    <row r="368" ht="15" customHeight="1">
      <c r="A368" t="inlineStr">
        <is>
          <t>A 18069-2023</t>
        </is>
      </c>
      <c r="B368" s="1" t="n">
        <v>45040</v>
      </c>
      <c r="C368" s="1" t="n">
        <v>45723</v>
      </c>
      <c r="D368" t="inlineStr">
        <is>
          <t>DALARNAS LÄN</t>
        </is>
      </c>
      <c r="E368" t="inlineStr">
        <is>
          <t>ORSA</t>
        </is>
      </c>
      <c r="G368" t="n">
        <v>3.7</v>
      </c>
      <c r="H368" t="n">
        <v>0</v>
      </c>
      <c r="I368" t="n">
        <v>0</v>
      </c>
      <c r="J368" t="n">
        <v>0</v>
      </c>
      <c r="K368" t="n">
        <v>0</v>
      </c>
      <c r="L368" t="n">
        <v>0</v>
      </c>
      <c r="M368" t="n">
        <v>0</v>
      </c>
      <c r="N368" t="n">
        <v>0</v>
      </c>
      <c r="O368" t="n">
        <v>0</v>
      </c>
      <c r="P368" t="n">
        <v>0</v>
      </c>
      <c r="Q368" t="n">
        <v>0</v>
      </c>
      <c r="R368" s="2" t="inlineStr"/>
    </row>
    <row r="369" ht="15" customHeight="1">
      <c r="A369" t="inlineStr">
        <is>
          <t>A 18009-2023</t>
        </is>
      </c>
      <c r="B369" s="1" t="n">
        <v>45040</v>
      </c>
      <c r="C369" s="1" t="n">
        <v>45723</v>
      </c>
      <c r="D369" t="inlineStr">
        <is>
          <t>DALARNAS LÄN</t>
        </is>
      </c>
      <c r="E369" t="inlineStr">
        <is>
          <t>ORSA</t>
        </is>
      </c>
      <c r="G369" t="n">
        <v>5.8</v>
      </c>
      <c r="H369" t="n">
        <v>0</v>
      </c>
      <c r="I369" t="n">
        <v>0</v>
      </c>
      <c r="J369" t="n">
        <v>0</v>
      </c>
      <c r="K369" t="n">
        <v>0</v>
      </c>
      <c r="L369" t="n">
        <v>0</v>
      </c>
      <c r="M369" t="n">
        <v>0</v>
      </c>
      <c r="N369" t="n">
        <v>0</v>
      </c>
      <c r="O369" t="n">
        <v>0</v>
      </c>
      <c r="P369" t="n">
        <v>0</v>
      </c>
      <c r="Q369" t="n">
        <v>0</v>
      </c>
      <c r="R369" s="2" t="inlineStr"/>
    </row>
    <row r="370" ht="15" customHeight="1">
      <c r="A370" t="inlineStr">
        <is>
          <t>A 18070-2023</t>
        </is>
      </c>
      <c r="B370" s="1" t="n">
        <v>45040</v>
      </c>
      <c r="C370" s="1" t="n">
        <v>45723</v>
      </c>
      <c r="D370" t="inlineStr">
        <is>
          <t>DALARNAS LÄN</t>
        </is>
      </c>
      <c r="E370" t="inlineStr">
        <is>
          <t>ORSA</t>
        </is>
      </c>
      <c r="G370" t="n">
        <v>3.3</v>
      </c>
      <c r="H370" t="n">
        <v>0</v>
      </c>
      <c r="I370" t="n">
        <v>0</v>
      </c>
      <c r="J370" t="n">
        <v>0</v>
      </c>
      <c r="K370" t="n">
        <v>0</v>
      </c>
      <c r="L370" t="n">
        <v>0</v>
      </c>
      <c r="M370" t="n">
        <v>0</v>
      </c>
      <c r="N370" t="n">
        <v>0</v>
      </c>
      <c r="O370" t="n">
        <v>0</v>
      </c>
      <c r="P370" t="n">
        <v>0</v>
      </c>
      <c r="Q370" t="n">
        <v>0</v>
      </c>
      <c r="R370" s="2" t="inlineStr"/>
    </row>
    <row r="371" ht="15" customHeight="1">
      <c r="A371" t="inlineStr">
        <is>
          <t>A 18817-2023</t>
        </is>
      </c>
      <c r="B371" s="1" t="n">
        <v>45043</v>
      </c>
      <c r="C371" s="1" t="n">
        <v>45723</v>
      </c>
      <c r="D371" t="inlineStr">
        <is>
          <t>DALARNAS LÄN</t>
        </is>
      </c>
      <c r="E371" t="inlineStr">
        <is>
          <t>ORSA</t>
        </is>
      </c>
      <c r="G371" t="n">
        <v>4.4</v>
      </c>
      <c r="H371" t="n">
        <v>0</v>
      </c>
      <c r="I371" t="n">
        <v>0</v>
      </c>
      <c r="J371" t="n">
        <v>0</v>
      </c>
      <c r="K371" t="n">
        <v>0</v>
      </c>
      <c r="L371" t="n">
        <v>0</v>
      </c>
      <c r="M371" t="n">
        <v>0</v>
      </c>
      <c r="N371" t="n">
        <v>0</v>
      </c>
      <c r="O371" t="n">
        <v>0</v>
      </c>
      <c r="P371" t="n">
        <v>0</v>
      </c>
      <c r="Q371" t="n">
        <v>0</v>
      </c>
      <c r="R371" s="2" t="inlineStr"/>
    </row>
    <row r="372" ht="15" customHeight="1">
      <c r="A372" t="inlineStr">
        <is>
          <t>A 19266-2023</t>
        </is>
      </c>
      <c r="B372" s="1" t="n">
        <v>45049</v>
      </c>
      <c r="C372" s="1" t="n">
        <v>45723</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45723</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20493-2023</t>
        </is>
      </c>
      <c r="B374" s="1" t="n">
        <v>45057</v>
      </c>
      <c r="C374" s="1" t="n">
        <v>45723</v>
      </c>
      <c r="D374" t="inlineStr">
        <is>
          <t>DALARNAS LÄN</t>
        </is>
      </c>
      <c r="E374" t="inlineStr">
        <is>
          <t>ORSA</t>
        </is>
      </c>
      <c r="G374" t="n">
        <v>1.5</v>
      </c>
      <c r="H374" t="n">
        <v>0</v>
      </c>
      <c r="I374" t="n">
        <v>0</v>
      </c>
      <c r="J374" t="n">
        <v>0</v>
      </c>
      <c r="K374" t="n">
        <v>0</v>
      </c>
      <c r="L374" t="n">
        <v>0</v>
      </c>
      <c r="M374" t="n">
        <v>0</v>
      </c>
      <c r="N374" t="n">
        <v>0</v>
      </c>
      <c r="O374" t="n">
        <v>0</v>
      </c>
      <c r="P374" t="n">
        <v>0</v>
      </c>
      <c r="Q374" t="n">
        <v>0</v>
      </c>
      <c r="R374" s="2" t="inlineStr"/>
    </row>
    <row r="375" ht="15" customHeight="1">
      <c r="A375" t="inlineStr">
        <is>
          <t>A 20561-2023</t>
        </is>
      </c>
      <c r="B375" s="1" t="n">
        <v>45057</v>
      </c>
      <c r="C375" s="1" t="n">
        <v>45723</v>
      </c>
      <c r="D375" t="inlineStr">
        <is>
          <t>DALARNAS LÄN</t>
        </is>
      </c>
      <c r="E375" t="inlineStr">
        <is>
          <t>ORSA</t>
        </is>
      </c>
      <c r="F375" t="inlineStr">
        <is>
          <t>Allmännings- och besparingsskogar</t>
        </is>
      </c>
      <c r="G375" t="n">
        <v>4.3</v>
      </c>
      <c r="H375" t="n">
        <v>0</v>
      </c>
      <c r="I375" t="n">
        <v>0</v>
      </c>
      <c r="J375" t="n">
        <v>0</v>
      </c>
      <c r="K375" t="n">
        <v>0</v>
      </c>
      <c r="L375" t="n">
        <v>0</v>
      </c>
      <c r="M375" t="n">
        <v>0</v>
      </c>
      <c r="N375" t="n">
        <v>0</v>
      </c>
      <c r="O375" t="n">
        <v>0</v>
      </c>
      <c r="P375" t="n">
        <v>0</v>
      </c>
      <c r="Q375" t="n">
        <v>0</v>
      </c>
      <c r="R375" s="2" t="inlineStr"/>
    </row>
    <row r="376" ht="15" customHeight="1">
      <c r="A376" t="inlineStr">
        <is>
          <t>A 20741-2023</t>
        </is>
      </c>
      <c r="B376" s="1" t="n">
        <v>45058</v>
      </c>
      <c r="C376" s="1" t="n">
        <v>45723</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20927-2023</t>
        </is>
      </c>
      <c r="B377" s="1" t="n">
        <v>45061</v>
      </c>
      <c r="C377" s="1" t="n">
        <v>45723</v>
      </c>
      <c r="D377" t="inlineStr">
        <is>
          <t>DALARNAS LÄN</t>
        </is>
      </c>
      <c r="E377" t="inlineStr">
        <is>
          <t>ORSA</t>
        </is>
      </c>
      <c r="G377" t="n">
        <v>3.8</v>
      </c>
      <c r="H377" t="n">
        <v>0</v>
      </c>
      <c r="I377" t="n">
        <v>0</v>
      </c>
      <c r="J377" t="n">
        <v>0</v>
      </c>
      <c r="K377" t="n">
        <v>0</v>
      </c>
      <c r="L377" t="n">
        <v>0</v>
      </c>
      <c r="M377" t="n">
        <v>0</v>
      </c>
      <c r="N377" t="n">
        <v>0</v>
      </c>
      <c r="O377" t="n">
        <v>0</v>
      </c>
      <c r="P377" t="n">
        <v>0</v>
      </c>
      <c r="Q377" t="n">
        <v>0</v>
      </c>
      <c r="R377" s="2" t="inlineStr"/>
    </row>
    <row r="378" ht="15" customHeight="1">
      <c r="A378" t="inlineStr">
        <is>
          <t>A 21301-2023</t>
        </is>
      </c>
      <c r="B378" s="1" t="n">
        <v>45062</v>
      </c>
      <c r="C378" s="1" t="n">
        <v>45723</v>
      </c>
      <c r="D378" t="inlineStr">
        <is>
          <t>DALARNAS LÄN</t>
        </is>
      </c>
      <c r="E378" t="inlineStr">
        <is>
          <t>ORSA</t>
        </is>
      </c>
      <c r="G378" t="n">
        <v>2.2</v>
      </c>
      <c r="H378" t="n">
        <v>0</v>
      </c>
      <c r="I378" t="n">
        <v>0</v>
      </c>
      <c r="J378" t="n">
        <v>0</v>
      </c>
      <c r="K378" t="n">
        <v>0</v>
      </c>
      <c r="L378" t="n">
        <v>0</v>
      </c>
      <c r="M378" t="n">
        <v>0</v>
      </c>
      <c r="N378" t="n">
        <v>0</v>
      </c>
      <c r="O378" t="n">
        <v>0</v>
      </c>
      <c r="P378" t="n">
        <v>0</v>
      </c>
      <c r="Q378" t="n">
        <v>0</v>
      </c>
      <c r="R378" s="2" t="inlineStr"/>
    </row>
    <row r="379" ht="15" customHeight="1">
      <c r="A379" t="inlineStr">
        <is>
          <t>A 21216-2023</t>
        </is>
      </c>
      <c r="B379" s="1" t="n">
        <v>45062</v>
      </c>
      <c r="C379" s="1" t="n">
        <v>45723</v>
      </c>
      <c r="D379" t="inlineStr">
        <is>
          <t>DALARNAS LÄN</t>
        </is>
      </c>
      <c r="E379" t="inlineStr">
        <is>
          <t>ORSA</t>
        </is>
      </c>
      <c r="F379" t="inlineStr">
        <is>
          <t>Bergvik skog öst AB</t>
        </is>
      </c>
      <c r="G379" t="n">
        <v>3.8</v>
      </c>
      <c r="H379" t="n">
        <v>0</v>
      </c>
      <c r="I379" t="n">
        <v>0</v>
      </c>
      <c r="J379" t="n">
        <v>0</v>
      </c>
      <c r="K379" t="n">
        <v>0</v>
      </c>
      <c r="L379" t="n">
        <v>0</v>
      </c>
      <c r="M379" t="n">
        <v>0</v>
      </c>
      <c r="N379" t="n">
        <v>0</v>
      </c>
      <c r="O379" t="n">
        <v>0</v>
      </c>
      <c r="P379" t="n">
        <v>0</v>
      </c>
      <c r="Q379" t="n">
        <v>0</v>
      </c>
      <c r="R379" s="2" t="inlineStr"/>
    </row>
    <row r="380" ht="15" customHeight="1">
      <c r="A380" t="inlineStr">
        <is>
          <t>A 21560-2023</t>
        </is>
      </c>
      <c r="B380" s="1" t="n">
        <v>45063</v>
      </c>
      <c r="C380" s="1" t="n">
        <v>45723</v>
      </c>
      <c r="D380" t="inlineStr">
        <is>
          <t>DALARNAS LÄN</t>
        </is>
      </c>
      <c r="E380" t="inlineStr">
        <is>
          <t>ORSA</t>
        </is>
      </c>
      <c r="F380" t="inlineStr">
        <is>
          <t>Bergvik skog öst AB</t>
        </is>
      </c>
      <c r="G380" t="n">
        <v>19.1</v>
      </c>
      <c r="H380" t="n">
        <v>0</v>
      </c>
      <c r="I380" t="n">
        <v>0</v>
      </c>
      <c r="J380" t="n">
        <v>0</v>
      </c>
      <c r="K380" t="n">
        <v>0</v>
      </c>
      <c r="L380" t="n">
        <v>0</v>
      </c>
      <c r="M380" t="n">
        <v>0</v>
      </c>
      <c r="N380" t="n">
        <v>0</v>
      </c>
      <c r="O380" t="n">
        <v>0</v>
      </c>
      <c r="P380" t="n">
        <v>0</v>
      </c>
      <c r="Q380" t="n">
        <v>0</v>
      </c>
      <c r="R380" s="2" t="inlineStr"/>
    </row>
    <row r="381" ht="15" customHeight="1">
      <c r="A381" t="inlineStr">
        <is>
          <t>A 21595-2023</t>
        </is>
      </c>
      <c r="B381" s="1" t="n">
        <v>45063</v>
      </c>
      <c r="C381" s="1" t="n">
        <v>45723</v>
      </c>
      <c r="D381" t="inlineStr">
        <is>
          <t>DALARNAS LÄN</t>
        </is>
      </c>
      <c r="E381" t="inlineStr">
        <is>
          <t>ORSA</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22902-2023</t>
        </is>
      </c>
      <c r="B382" s="1" t="n">
        <v>45072</v>
      </c>
      <c r="C382" s="1" t="n">
        <v>45723</v>
      </c>
      <c r="D382" t="inlineStr">
        <is>
          <t>DALARNAS LÄN</t>
        </is>
      </c>
      <c r="E382" t="inlineStr">
        <is>
          <t>ORSA</t>
        </is>
      </c>
      <c r="G382" t="n">
        <v>6.3</v>
      </c>
      <c r="H382" t="n">
        <v>0</v>
      </c>
      <c r="I382" t="n">
        <v>0</v>
      </c>
      <c r="J382" t="n">
        <v>0</v>
      </c>
      <c r="K382" t="n">
        <v>0</v>
      </c>
      <c r="L382" t="n">
        <v>0</v>
      </c>
      <c r="M382" t="n">
        <v>0</v>
      </c>
      <c r="N382" t="n">
        <v>0</v>
      </c>
      <c r="O382" t="n">
        <v>0</v>
      </c>
      <c r="P382" t="n">
        <v>0</v>
      </c>
      <c r="Q382" t="n">
        <v>0</v>
      </c>
      <c r="R382" s="2" t="inlineStr"/>
    </row>
    <row r="383" ht="15" customHeight="1">
      <c r="A383" t="inlineStr">
        <is>
          <t>A 22912-2023</t>
        </is>
      </c>
      <c r="B383" s="1" t="n">
        <v>45072</v>
      </c>
      <c r="C383" s="1" t="n">
        <v>45723</v>
      </c>
      <c r="D383" t="inlineStr">
        <is>
          <t>DALARNAS LÄN</t>
        </is>
      </c>
      <c r="E383" t="inlineStr">
        <is>
          <t>ORSA</t>
        </is>
      </c>
      <c r="G383" t="n">
        <v>3.6</v>
      </c>
      <c r="H383" t="n">
        <v>0</v>
      </c>
      <c r="I383" t="n">
        <v>0</v>
      </c>
      <c r="J383" t="n">
        <v>0</v>
      </c>
      <c r="K383" t="n">
        <v>0</v>
      </c>
      <c r="L383" t="n">
        <v>0</v>
      </c>
      <c r="M383" t="n">
        <v>0</v>
      </c>
      <c r="N383" t="n">
        <v>0</v>
      </c>
      <c r="O383" t="n">
        <v>0</v>
      </c>
      <c r="P383" t="n">
        <v>0</v>
      </c>
      <c r="Q383" t="n">
        <v>0</v>
      </c>
      <c r="R383" s="2" t="inlineStr"/>
    </row>
    <row r="384" ht="15" customHeight="1">
      <c r="A384" t="inlineStr">
        <is>
          <t>A 22911-2023</t>
        </is>
      </c>
      <c r="B384" s="1" t="n">
        <v>45072</v>
      </c>
      <c r="C384" s="1" t="n">
        <v>45723</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23031-2023</t>
        </is>
      </c>
      <c r="B385" s="1" t="n">
        <v>45074</v>
      </c>
      <c r="C385" s="1" t="n">
        <v>45723</v>
      </c>
      <c r="D385" t="inlineStr">
        <is>
          <t>DALARNAS LÄN</t>
        </is>
      </c>
      <c r="E385" t="inlineStr">
        <is>
          <t>ORSA</t>
        </is>
      </c>
      <c r="G385" t="n">
        <v>5.9</v>
      </c>
      <c r="H385" t="n">
        <v>0</v>
      </c>
      <c r="I385" t="n">
        <v>0</v>
      </c>
      <c r="J385" t="n">
        <v>0</v>
      </c>
      <c r="K385" t="n">
        <v>0</v>
      </c>
      <c r="L385" t="n">
        <v>0</v>
      </c>
      <c r="M385" t="n">
        <v>0</v>
      </c>
      <c r="N385" t="n">
        <v>0</v>
      </c>
      <c r="O385" t="n">
        <v>0</v>
      </c>
      <c r="P385" t="n">
        <v>0</v>
      </c>
      <c r="Q385" t="n">
        <v>0</v>
      </c>
      <c r="R385" s="2" t="inlineStr"/>
    </row>
    <row r="386" ht="15" customHeight="1">
      <c r="A386" t="inlineStr">
        <is>
          <t>A 23457-2023</t>
        </is>
      </c>
      <c r="B386" s="1" t="n">
        <v>45076</v>
      </c>
      <c r="C386" s="1" t="n">
        <v>45723</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23461-2023</t>
        </is>
      </c>
      <c r="B387" s="1" t="n">
        <v>45076</v>
      </c>
      <c r="C387" s="1" t="n">
        <v>45723</v>
      </c>
      <c r="D387" t="inlineStr">
        <is>
          <t>DALARNAS LÄN</t>
        </is>
      </c>
      <c r="E387" t="inlineStr">
        <is>
          <t>ORSA</t>
        </is>
      </c>
      <c r="G387" t="n">
        <v>0.5</v>
      </c>
      <c r="H387" t="n">
        <v>0</v>
      </c>
      <c r="I387" t="n">
        <v>0</v>
      </c>
      <c r="J387" t="n">
        <v>0</v>
      </c>
      <c r="K387" t="n">
        <v>0</v>
      </c>
      <c r="L387" t="n">
        <v>0</v>
      </c>
      <c r="M387" t="n">
        <v>0</v>
      </c>
      <c r="N387" t="n">
        <v>0</v>
      </c>
      <c r="O387" t="n">
        <v>0</v>
      </c>
      <c r="P387" t="n">
        <v>0</v>
      </c>
      <c r="Q387" t="n">
        <v>0</v>
      </c>
      <c r="R387" s="2" t="inlineStr"/>
    </row>
    <row r="388" ht="15" customHeight="1">
      <c r="A388" t="inlineStr">
        <is>
          <t>A 23987-2023</t>
        </is>
      </c>
      <c r="B388" s="1" t="n">
        <v>45078</v>
      </c>
      <c r="C388" s="1" t="n">
        <v>45723</v>
      </c>
      <c r="D388" t="inlineStr">
        <is>
          <t>DALARNAS LÄN</t>
        </is>
      </c>
      <c r="E388" t="inlineStr">
        <is>
          <t>ORSA</t>
        </is>
      </c>
      <c r="F388" t="inlineStr">
        <is>
          <t>Bergvik skog öst AB</t>
        </is>
      </c>
      <c r="G388" t="n">
        <v>4.1</v>
      </c>
      <c r="H388" t="n">
        <v>0</v>
      </c>
      <c r="I388" t="n">
        <v>0</v>
      </c>
      <c r="J388" t="n">
        <v>0</v>
      </c>
      <c r="K388" t="n">
        <v>0</v>
      </c>
      <c r="L388" t="n">
        <v>0</v>
      </c>
      <c r="M388" t="n">
        <v>0</v>
      </c>
      <c r="N388" t="n">
        <v>0</v>
      </c>
      <c r="O388" t="n">
        <v>0</v>
      </c>
      <c r="P388" t="n">
        <v>0</v>
      </c>
      <c r="Q388" t="n">
        <v>0</v>
      </c>
      <c r="R388" s="2" t="inlineStr"/>
    </row>
    <row r="389" ht="15" customHeight="1">
      <c r="A389" t="inlineStr">
        <is>
          <t>A 23988-2023</t>
        </is>
      </c>
      <c r="B389" s="1" t="n">
        <v>45078</v>
      </c>
      <c r="C389" s="1" t="n">
        <v>45723</v>
      </c>
      <c r="D389" t="inlineStr">
        <is>
          <t>DALARNAS LÄN</t>
        </is>
      </c>
      <c r="E389" t="inlineStr">
        <is>
          <t>ORSA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24126-2023</t>
        </is>
      </c>
      <c r="B390" s="1" t="n">
        <v>45079</v>
      </c>
      <c r="C390" s="1" t="n">
        <v>45723</v>
      </c>
      <c r="D390" t="inlineStr">
        <is>
          <t>DALARNAS LÄN</t>
        </is>
      </c>
      <c r="E390" t="inlineStr">
        <is>
          <t>ORSA</t>
        </is>
      </c>
      <c r="F390" t="inlineStr">
        <is>
          <t>Allmännings- och besparingsskogar</t>
        </is>
      </c>
      <c r="G390" t="n">
        <v>1.6</v>
      </c>
      <c r="H390" t="n">
        <v>0</v>
      </c>
      <c r="I390" t="n">
        <v>0</v>
      </c>
      <c r="J390" t="n">
        <v>0</v>
      </c>
      <c r="K390" t="n">
        <v>0</v>
      </c>
      <c r="L390" t="n">
        <v>0</v>
      </c>
      <c r="M390" t="n">
        <v>0</v>
      </c>
      <c r="N390" t="n">
        <v>0</v>
      </c>
      <c r="O390" t="n">
        <v>0</v>
      </c>
      <c r="P390" t="n">
        <v>0</v>
      </c>
      <c r="Q390" t="n">
        <v>0</v>
      </c>
      <c r="R390" s="2" t="inlineStr"/>
    </row>
    <row r="391" ht="15" customHeight="1">
      <c r="A391" t="inlineStr">
        <is>
          <t>A 24282-2023</t>
        </is>
      </c>
      <c r="B391" s="1" t="n">
        <v>45079</v>
      </c>
      <c r="C391" s="1" t="n">
        <v>45723</v>
      </c>
      <c r="D391" t="inlineStr">
        <is>
          <t>DALARNAS LÄN</t>
        </is>
      </c>
      <c r="E391" t="inlineStr">
        <is>
          <t>ORSA</t>
        </is>
      </c>
      <c r="F391" t="inlineStr">
        <is>
          <t>Allmännings- och besparingsskogar</t>
        </is>
      </c>
      <c r="G391" t="n">
        <v>2.8</v>
      </c>
      <c r="H391" t="n">
        <v>0</v>
      </c>
      <c r="I391" t="n">
        <v>0</v>
      </c>
      <c r="J391" t="n">
        <v>0</v>
      </c>
      <c r="K391" t="n">
        <v>0</v>
      </c>
      <c r="L391" t="n">
        <v>0</v>
      </c>
      <c r="M391" t="n">
        <v>0</v>
      </c>
      <c r="N391" t="n">
        <v>0</v>
      </c>
      <c r="O391" t="n">
        <v>0</v>
      </c>
      <c r="P391" t="n">
        <v>0</v>
      </c>
      <c r="Q391" t="n">
        <v>0</v>
      </c>
      <c r="R391" s="2" t="inlineStr"/>
    </row>
    <row r="392" ht="15" customHeight="1">
      <c r="A392" t="inlineStr">
        <is>
          <t>A 25753-2023</t>
        </is>
      </c>
      <c r="B392" s="1" t="n">
        <v>45090</v>
      </c>
      <c r="C392" s="1" t="n">
        <v>45723</v>
      </c>
      <c r="D392" t="inlineStr">
        <is>
          <t>DALARNAS LÄN</t>
        </is>
      </c>
      <c r="E392" t="inlineStr">
        <is>
          <t>ORSA</t>
        </is>
      </c>
      <c r="G392" t="n">
        <v>20.4</v>
      </c>
      <c r="H392" t="n">
        <v>0</v>
      </c>
      <c r="I392" t="n">
        <v>0</v>
      </c>
      <c r="J392" t="n">
        <v>0</v>
      </c>
      <c r="K392" t="n">
        <v>0</v>
      </c>
      <c r="L392" t="n">
        <v>0</v>
      </c>
      <c r="M392" t="n">
        <v>0</v>
      </c>
      <c r="N392" t="n">
        <v>0</v>
      </c>
      <c r="O392" t="n">
        <v>0</v>
      </c>
      <c r="P392" t="n">
        <v>0</v>
      </c>
      <c r="Q392" t="n">
        <v>0</v>
      </c>
      <c r="R392" s="2" t="inlineStr"/>
    </row>
    <row r="393" ht="15" customHeight="1">
      <c r="A393" t="inlineStr">
        <is>
          <t>A 25862-2023</t>
        </is>
      </c>
      <c r="B393" s="1" t="n">
        <v>45090</v>
      </c>
      <c r="C393" s="1" t="n">
        <v>45723</v>
      </c>
      <c r="D393" t="inlineStr">
        <is>
          <t>DALARNAS LÄN</t>
        </is>
      </c>
      <c r="E393" t="inlineStr">
        <is>
          <t>ORSA</t>
        </is>
      </c>
      <c r="G393" t="n">
        <v>3.1</v>
      </c>
      <c r="H393" t="n">
        <v>0</v>
      </c>
      <c r="I393" t="n">
        <v>0</v>
      </c>
      <c r="J393" t="n">
        <v>0</v>
      </c>
      <c r="K393" t="n">
        <v>0</v>
      </c>
      <c r="L393" t="n">
        <v>0</v>
      </c>
      <c r="M393" t="n">
        <v>0</v>
      </c>
      <c r="N393" t="n">
        <v>0</v>
      </c>
      <c r="O393" t="n">
        <v>0</v>
      </c>
      <c r="P393" t="n">
        <v>0</v>
      </c>
      <c r="Q393" t="n">
        <v>0</v>
      </c>
      <c r="R393" s="2" t="inlineStr"/>
    </row>
    <row r="394" ht="15" customHeight="1">
      <c r="A394" t="inlineStr">
        <is>
          <t>A 25888-2023</t>
        </is>
      </c>
      <c r="B394" s="1" t="n">
        <v>45090</v>
      </c>
      <c r="C394" s="1" t="n">
        <v>45723</v>
      </c>
      <c r="D394" t="inlineStr">
        <is>
          <t>DALARNAS LÄN</t>
        </is>
      </c>
      <c r="E394" t="inlineStr">
        <is>
          <t>ORSA</t>
        </is>
      </c>
      <c r="F394" t="inlineStr">
        <is>
          <t>Bergvik skog öst AB</t>
        </is>
      </c>
      <c r="G394" t="n">
        <v>11.2</v>
      </c>
      <c r="H394" t="n">
        <v>0</v>
      </c>
      <c r="I394" t="n">
        <v>0</v>
      </c>
      <c r="J394" t="n">
        <v>0</v>
      </c>
      <c r="K394" t="n">
        <v>0</v>
      </c>
      <c r="L394" t="n">
        <v>0</v>
      </c>
      <c r="M394" t="n">
        <v>0</v>
      </c>
      <c r="N394" t="n">
        <v>0</v>
      </c>
      <c r="O394" t="n">
        <v>0</v>
      </c>
      <c r="P394" t="n">
        <v>0</v>
      </c>
      <c r="Q394" t="n">
        <v>0</v>
      </c>
      <c r="R394" s="2" t="inlineStr"/>
    </row>
    <row r="395" ht="15" customHeight="1">
      <c r="A395" t="inlineStr">
        <is>
          <t>A 25859-2023</t>
        </is>
      </c>
      <c r="B395" s="1" t="n">
        <v>45090</v>
      </c>
      <c r="C395" s="1" t="n">
        <v>45723</v>
      </c>
      <c r="D395" t="inlineStr">
        <is>
          <t>DALARNAS LÄN</t>
        </is>
      </c>
      <c r="E395" t="inlineStr">
        <is>
          <t>ORSA</t>
        </is>
      </c>
      <c r="G395" t="n">
        <v>13</v>
      </c>
      <c r="H395" t="n">
        <v>0</v>
      </c>
      <c r="I395" t="n">
        <v>0</v>
      </c>
      <c r="J395" t="n">
        <v>0</v>
      </c>
      <c r="K395" t="n">
        <v>0</v>
      </c>
      <c r="L395" t="n">
        <v>0</v>
      </c>
      <c r="M395" t="n">
        <v>0</v>
      </c>
      <c r="N395" t="n">
        <v>0</v>
      </c>
      <c r="O395" t="n">
        <v>0</v>
      </c>
      <c r="P395" t="n">
        <v>0</v>
      </c>
      <c r="Q395" t="n">
        <v>0</v>
      </c>
      <c r="R395" s="2" t="inlineStr"/>
    </row>
    <row r="396" ht="15" customHeight="1">
      <c r="A396" t="inlineStr">
        <is>
          <t>A 26285-2023</t>
        </is>
      </c>
      <c r="B396" s="1" t="n">
        <v>45091</v>
      </c>
      <c r="C396" s="1" t="n">
        <v>45723</v>
      </c>
      <c r="D396" t="inlineStr">
        <is>
          <t>DALARNAS LÄN</t>
        </is>
      </c>
      <c r="E396" t="inlineStr">
        <is>
          <t>ORSA</t>
        </is>
      </c>
      <c r="G396" t="n">
        <v>16.7</v>
      </c>
      <c r="H396" t="n">
        <v>0</v>
      </c>
      <c r="I396" t="n">
        <v>0</v>
      </c>
      <c r="J396" t="n">
        <v>0</v>
      </c>
      <c r="K396" t="n">
        <v>0</v>
      </c>
      <c r="L396" t="n">
        <v>0</v>
      </c>
      <c r="M396" t="n">
        <v>0</v>
      </c>
      <c r="N396" t="n">
        <v>0</v>
      </c>
      <c r="O396" t="n">
        <v>0</v>
      </c>
      <c r="P396" t="n">
        <v>0</v>
      </c>
      <c r="Q396" t="n">
        <v>0</v>
      </c>
      <c r="R396" s="2" t="inlineStr"/>
    </row>
    <row r="397" ht="15" customHeight="1">
      <c r="A397" t="inlineStr">
        <is>
          <t>A 26261-2023</t>
        </is>
      </c>
      <c r="B397" s="1" t="n">
        <v>45091</v>
      </c>
      <c r="C397" s="1" t="n">
        <v>45723</v>
      </c>
      <c r="D397" t="inlineStr">
        <is>
          <t>DALARNAS LÄN</t>
        </is>
      </c>
      <c r="E397" t="inlineStr">
        <is>
          <t>ORSA</t>
        </is>
      </c>
      <c r="G397" t="n">
        <v>33.5</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45723</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26288-2023</t>
        </is>
      </c>
      <c r="B399" s="1" t="n">
        <v>45091</v>
      </c>
      <c r="C399" s="1" t="n">
        <v>45723</v>
      </c>
      <c r="D399" t="inlineStr">
        <is>
          <t>DALARNAS LÄN</t>
        </is>
      </c>
      <c r="E399" t="inlineStr">
        <is>
          <t>ORSA</t>
        </is>
      </c>
      <c r="G399" t="n">
        <v>4.8</v>
      </c>
      <c r="H399" t="n">
        <v>0</v>
      </c>
      <c r="I399" t="n">
        <v>0</v>
      </c>
      <c r="J399" t="n">
        <v>0</v>
      </c>
      <c r="K399" t="n">
        <v>0</v>
      </c>
      <c r="L399" t="n">
        <v>0</v>
      </c>
      <c r="M399" t="n">
        <v>0</v>
      </c>
      <c r="N399" t="n">
        <v>0</v>
      </c>
      <c r="O399" t="n">
        <v>0</v>
      </c>
      <c r="P399" t="n">
        <v>0</v>
      </c>
      <c r="Q399" t="n">
        <v>0</v>
      </c>
      <c r="R399" s="2" t="inlineStr"/>
    </row>
    <row r="400" ht="15" customHeight="1">
      <c r="A400" t="inlineStr">
        <is>
          <t>A 26294-2023</t>
        </is>
      </c>
      <c r="B400" s="1" t="n">
        <v>45091</v>
      </c>
      <c r="C400" s="1" t="n">
        <v>45723</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26088-2023</t>
        </is>
      </c>
      <c r="B401" s="1" t="n">
        <v>45091</v>
      </c>
      <c r="C401" s="1" t="n">
        <v>45723</v>
      </c>
      <c r="D401" t="inlineStr">
        <is>
          <t>DALARNAS LÄN</t>
        </is>
      </c>
      <c r="E401" t="inlineStr">
        <is>
          <t>ORSA</t>
        </is>
      </c>
      <c r="G401" t="n">
        <v>2.8</v>
      </c>
      <c r="H401" t="n">
        <v>0</v>
      </c>
      <c r="I401" t="n">
        <v>0</v>
      </c>
      <c r="J401" t="n">
        <v>0</v>
      </c>
      <c r="K401" t="n">
        <v>0</v>
      </c>
      <c r="L401" t="n">
        <v>0</v>
      </c>
      <c r="M401" t="n">
        <v>0</v>
      </c>
      <c r="N401" t="n">
        <v>0</v>
      </c>
      <c r="O401" t="n">
        <v>0</v>
      </c>
      <c r="P401" t="n">
        <v>0</v>
      </c>
      <c r="Q401" t="n">
        <v>0</v>
      </c>
      <c r="R401" s="2" t="inlineStr"/>
    </row>
    <row r="402" ht="15" customHeight="1">
      <c r="A402" t="inlineStr">
        <is>
          <t>A 27163-2023</t>
        </is>
      </c>
      <c r="B402" s="1" t="n">
        <v>45096</v>
      </c>
      <c r="C402" s="1" t="n">
        <v>45723</v>
      </c>
      <c r="D402" t="inlineStr">
        <is>
          <t>DALARNAS LÄN</t>
        </is>
      </c>
      <c r="E402" t="inlineStr">
        <is>
          <t>ORSA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27531-2023</t>
        </is>
      </c>
      <c r="B403" s="1" t="n">
        <v>45097</v>
      </c>
      <c r="C403" s="1" t="n">
        <v>45723</v>
      </c>
      <c r="D403" t="inlineStr">
        <is>
          <t>DALARNAS LÄN</t>
        </is>
      </c>
      <c r="E403" t="inlineStr">
        <is>
          <t>ORSA</t>
        </is>
      </c>
      <c r="F403" t="inlineStr">
        <is>
          <t>Allmännings- och besparingsskogar</t>
        </is>
      </c>
      <c r="G403" t="n">
        <v>13.4</v>
      </c>
      <c r="H403" t="n">
        <v>0</v>
      </c>
      <c r="I403" t="n">
        <v>0</v>
      </c>
      <c r="J403" t="n">
        <v>0</v>
      </c>
      <c r="K403" t="n">
        <v>0</v>
      </c>
      <c r="L403" t="n">
        <v>0</v>
      </c>
      <c r="M403" t="n">
        <v>0</v>
      </c>
      <c r="N403" t="n">
        <v>0</v>
      </c>
      <c r="O403" t="n">
        <v>0</v>
      </c>
      <c r="P403" t="n">
        <v>0</v>
      </c>
      <c r="Q403" t="n">
        <v>0</v>
      </c>
      <c r="R403" s="2" t="inlineStr"/>
    </row>
    <row r="404" ht="15" customHeight="1">
      <c r="A404" t="inlineStr">
        <is>
          <t>A 28082-2023</t>
        </is>
      </c>
      <c r="B404" s="1" t="n">
        <v>45099</v>
      </c>
      <c r="C404" s="1" t="n">
        <v>45723</v>
      </c>
      <c r="D404" t="inlineStr">
        <is>
          <t>DALARNAS LÄN</t>
        </is>
      </c>
      <c r="E404" t="inlineStr">
        <is>
          <t>ORSA</t>
        </is>
      </c>
      <c r="G404" t="n">
        <v>0.4</v>
      </c>
      <c r="H404" t="n">
        <v>0</v>
      </c>
      <c r="I404" t="n">
        <v>0</v>
      </c>
      <c r="J404" t="n">
        <v>0</v>
      </c>
      <c r="K404" t="n">
        <v>0</v>
      </c>
      <c r="L404" t="n">
        <v>0</v>
      </c>
      <c r="M404" t="n">
        <v>0</v>
      </c>
      <c r="N404" t="n">
        <v>0</v>
      </c>
      <c r="O404" t="n">
        <v>0</v>
      </c>
      <c r="P404" t="n">
        <v>0</v>
      </c>
      <c r="Q404" t="n">
        <v>0</v>
      </c>
      <c r="R404" s="2" t="inlineStr"/>
    </row>
    <row r="405" ht="15" customHeight="1">
      <c r="A405" t="inlineStr">
        <is>
          <t>A 28196-2023</t>
        </is>
      </c>
      <c r="B405" s="1" t="n">
        <v>45099</v>
      </c>
      <c r="C405" s="1" t="n">
        <v>45723</v>
      </c>
      <c r="D405" t="inlineStr">
        <is>
          <t>DALARNAS LÄN</t>
        </is>
      </c>
      <c r="E405" t="inlineStr">
        <is>
          <t>ORSA</t>
        </is>
      </c>
      <c r="F405" t="inlineStr">
        <is>
          <t>Bergvik skog öst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28155-2023</t>
        </is>
      </c>
      <c r="B406" s="1" t="n">
        <v>45099</v>
      </c>
      <c r="C406" s="1" t="n">
        <v>45723</v>
      </c>
      <c r="D406" t="inlineStr">
        <is>
          <t>DALARNAS LÄN</t>
        </is>
      </c>
      <c r="E406" t="inlineStr">
        <is>
          <t>ORSA</t>
        </is>
      </c>
      <c r="F406" t="inlineStr">
        <is>
          <t>Bergvik skog öst AB</t>
        </is>
      </c>
      <c r="G406" t="n">
        <v>7.8</v>
      </c>
      <c r="H406" t="n">
        <v>0</v>
      </c>
      <c r="I406" t="n">
        <v>0</v>
      </c>
      <c r="J406" t="n">
        <v>0</v>
      </c>
      <c r="K406" t="n">
        <v>0</v>
      </c>
      <c r="L406" t="n">
        <v>0</v>
      </c>
      <c r="M406" t="n">
        <v>0</v>
      </c>
      <c r="N406" t="n">
        <v>0</v>
      </c>
      <c r="O406" t="n">
        <v>0</v>
      </c>
      <c r="P406" t="n">
        <v>0</v>
      </c>
      <c r="Q406" t="n">
        <v>0</v>
      </c>
      <c r="R406" s="2" t="inlineStr"/>
    </row>
    <row r="407" ht="15" customHeight="1">
      <c r="A407" t="inlineStr">
        <is>
          <t>A 28195-2023</t>
        </is>
      </c>
      <c r="B407" s="1" t="n">
        <v>45099</v>
      </c>
      <c r="C407" s="1" t="n">
        <v>45723</v>
      </c>
      <c r="D407" t="inlineStr">
        <is>
          <t>DALARNAS LÄN</t>
        </is>
      </c>
      <c r="E407" t="inlineStr">
        <is>
          <t>ORSA</t>
        </is>
      </c>
      <c r="F407" t="inlineStr">
        <is>
          <t>Bergvik skog öst AB</t>
        </is>
      </c>
      <c r="G407" t="n">
        <v>10.3</v>
      </c>
      <c r="H407" t="n">
        <v>0</v>
      </c>
      <c r="I407" t="n">
        <v>0</v>
      </c>
      <c r="J407" t="n">
        <v>0</v>
      </c>
      <c r="K407" t="n">
        <v>0</v>
      </c>
      <c r="L407" t="n">
        <v>0</v>
      </c>
      <c r="M407" t="n">
        <v>0</v>
      </c>
      <c r="N407" t="n">
        <v>0</v>
      </c>
      <c r="O407" t="n">
        <v>0</v>
      </c>
      <c r="P407" t="n">
        <v>0</v>
      </c>
      <c r="Q407" t="n">
        <v>0</v>
      </c>
      <c r="R407" s="2" t="inlineStr"/>
    </row>
    <row r="408" ht="15" customHeight="1">
      <c r="A408" t="inlineStr">
        <is>
          <t>A 30474-2023</t>
        </is>
      </c>
      <c r="B408" s="1" t="n">
        <v>45099</v>
      </c>
      <c r="C408" s="1" t="n">
        <v>45723</v>
      </c>
      <c r="D408" t="inlineStr">
        <is>
          <t>DALARNAS LÄN</t>
        </is>
      </c>
      <c r="E408" t="inlineStr">
        <is>
          <t>ORSA</t>
        </is>
      </c>
      <c r="G408" t="n">
        <v>2.2</v>
      </c>
      <c r="H408" t="n">
        <v>0</v>
      </c>
      <c r="I408" t="n">
        <v>0</v>
      </c>
      <c r="J408" t="n">
        <v>0</v>
      </c>
      <c r="K408" t="n">
        <v>0</v>
      </c>
      <c r="L408" t="n">
        <v>0</v>
      </c>
      <c r="M408" t="n">
        <v>0</v>
      </c>
      <c r="N408" t="n">
        <v>0</v>
      </c>
      <c r="O408" t="n">
        <v>0</v>
      </c>
      <c r="P408" t="n">
        <v>0</v>
      </c>
      <c r="Q408" t="n">
        <v>0</v>
      </c>
      <c r="R408" s="2" t="inlineStr"/>
    </row>
    <row r="409" ht="15" customHeight="1">
      <c r="A409" t="inlineStr">
        <is>
          <t>A 30464-2023</t>
        </is>
      </c>
      <c r="B409" s="1" t="n">
        <v>45099</v>
      </c>
      <c r="C409" s="1" t="n">
        <v>45723</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28451-2023</t>
        </is>
      </c>
      <c r="B410" s="1" t="n">
        <v>45103</v>
      </c>
      <c r="C410" s="1" t="n">
        <v>45723</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28511-2023</t>
        </is>
      </c>
      <c r="B411" s="1" t="n">
        <v>45103</v>
      </c>
      <c r="C411" s="1" t="n">
        <v>45723</v>
      </c>
      <c r="D411" t="inlineStr">
        <is>
          <t>DALARNAS LÄN</t>
        </is>
      </c>
      <c r="E411" t="inlineStr">
        <is>
          <t>ORSA</t>
        </is>
      </c>
      <c r="F411" t="inlineStr">
        <is>
          <t>Allmännings- och besparingsskogar</t>
        </is>
      </c>
      <c r="G411" t="n">
        <v>41.4</v>
      </c>
      <c r="H411" t="n">
        <v>0</v>
      </c>
      <c r="I411" t="n">
        <v>0</v>
      </c>
      <c r="J411" t="n">
        <v>0</v>
      </c>
      <c r="K411" t="n">
        <v>0</v>
      </c>
      <c r="L411" t="n">
        <v>0</v>
      </c>
      <c r="M411" t="n">
        <v>0</v>
      </c>
      <c r="N411" t="n">
        <v>0</v>
      </c>
      <c r="O411" t="n">
        <v>0</v>
      </c>
      <c r="P411" t="n">
        <v>0</v>
      </c>
      <c r="Q411" t="n">
        <v>0</v>
      </c>
      <c r="R411" s="2" t="inlineStr"/>
    </row>
    <row r="412" ht="15" customHeight="1">
      <c r="A412" t="inlineStr">
        <is>
          <t>A 29025-2023</t>
        </is>
      </c>
      <c r="B412" s="1" t="n">
        <v>45104</v>
      </c>
      <c r="C412" s="1" t="n">
        <v>45723</v>
      </c>
      <c r="D412" t="inlineStr">
        <is>
          <t>DALARNAS LÄN</t>
        </is>
      </c>
      <c r="E412" t="inlineStr">
        <is>
          <t>ORSA</t>
        </is>
      </c>
      <c r="G412" t="n">
        <v>6.6</v>
      </c>
      <c r="H412" t="n">
        <v>0</v>
      </c>
      <c r="I412" t="n">
        <v>0</v>
      </c>
      <c r="J412" t="n">
        <v>0</v>
      </c>
      <c r="K412" t="n">
        <v>0</v>
      </c>
      <c r="L412" t="n">
        <v>0</v>
      </c>
      <c r="M412" t="n">
        <v>0</v>
      </c>
      <c r="N412" t="n">
        <v>0</v>
      </c>
      <c r="O412" t="n">
        <v>0</v>
      </c>
      <c r="P412" t="n">
        <v>0</v>
      </c>
      <c r="Q412" t="n">
        <v>0</v>
      </c>
      <c r="R412" s="2" t="inlineStr"/>
    </row>
    <row r="413" ht="15" customHeight="1">
      <c r="A413" t="inlineStr">
        <is>
          <t>A 29041-2023</t>
        </is>
      </c>
      <c r="B413" s="1" t="n">
        <v>45104</v>
      </c>
      <c r="C413" s="1" t="n">
        <v>45723</v>
      </c>
      <c r="D413" t="inlineStr">
        <is>
          <t>DALARNAS LÄN</t>
        </is>
      </c>
      <c r="E413" t="inlineStr">
        <is>
          <t>ORSA</t>
        </is>
      </c>
      <c r="G413" t="n">
        <v>3.2</v>
      </c>
      <c r="H413" t="n">
        <v>0</v>
      </c>
      <c r="I413" t="n">
        <v>0</v>
      </c>
      <c r="J413" t="n">
        <v>0</v>
      </c>
      <c r="K413" t="n">
        <v>0</v>
      </c>
      <c r="L413" t="n">
        <v>0</v>
      </c>
      <c r="M413" t="n">
        <v>0</v>
      </c>
      <c r="N413" t="n">
        <v>0</v>
      </c>
      <c r="O413" t="n">
        <v>0</v>
      </c>
      <c r="P413" t="n">
        <v>0</v>
      </c>
      <c r="Q413" t="n">
        <v>0</v>
      </c>
      <c r="R413" s="2" t="inlineStr"/>
    </row>
    <row r="414" ht="15" customHeight="1">
      <c r="A414" t="inlineStr">
        <is>
          <t>A 30458-2023</t>
        </is>
      </c>
      <c r="B414" s="1" t="n">
        <v>45111</v>
      </c>
      <c r="C414" s="1" t="n">
        <v>45723</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30356-2023</t>
        </is>
      </c>
      <c r="B415" s="1" t="n">
        <v>45111</v>
      </c>
      <c r="C415" s="1" t="n">
        <v>45723</v>
      </c>
      <c r="D415" t="inlineStr">
        <is>
          <t>DALARNAS LÄN</t>
        </is>
      </c>
      <c r="E415" t="inlineStr">
        <is>
          <t>ORSA</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30389-2023</t>
        </is>
      </c>
      <c r="B416" s="1" t="n">
        <v>45111</v>
      </c>
      <c r="C416" s="1" t="n">
        <v>45723</v>
      </c>
      <c r="D416" t="inlineStr">
        <is>
          <t>DALARNAS LÄN</t>
        </is>
      </c>
      <c r="E416" t="inlineStr">
        <is>
          <t>ORSA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30382-2023</t>
        </is>
      </c>
      <c r="B417" s="1" t="n">
        <v>45111</v>
      </c>
      <c r="C417" s="1" t="n">
        <v>45723</v>
      </c>
      <c r="D417" t="inlineStr">
        <is>
          <t>DALARNAS LÄN</t>
        </is>
      </c>
      <c r="E417" t="inlineStr">
        <is>
          <t>ORSA</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30392-2023</t>
        </is>
      </c>
      <c r="B418" s="1" t="n">
        <v>45111</v>
      </c>
      <c r="C418" s="1" t="n">
        <v>45723</v>
      </c>
      <c r="D418" t="inlineStr">
        <is>
          <t>DALARNAS LÄN</t>
        </is>
      </c>
      <c r="E418" t="inlineStr">
        <is>
          <t>ORSA</t>
        </is>
      </c>
      <c r="F418" t="inlineStr">
        <is>
          <t>Bergvik skog öst AB</t>
        </is>
      </c>
      <c r="G418" t="n">
        <v>2</v>
      </c>
      <c r="H418" t="n">
        <v>0</v>
      </c>
      <c r="I418" t="n">
        <v>0</v>
      </c>
      <c r="J418" t="n">
        <v>0</v>
      </c>
      <c r="K418" t="n">
        <v>0</v>
      </c>
      <c r="L418" t="n">
        <v>0</v>
      </c>
      <c r="M418" t="n">
        <v>0</v>
      </c>
      <c r="N418" t="n">
        <v>0</v>
      </c>
      <c r="O418" t="n">
        <v>0</v>
      </c>
      <c r="P418" t="n">
        <v>0</v>
      </c>
      <c r="Q418" t="n">
        <v>0</v>
      </c>
      <c r="R418" s="2" t="inlineStr"/>
    </row>
    <row r="419" ht="15" customHeight="1">
      <c r="A419" t="inlineStr">
        <is>
          <t>A 30664-2023</t>
        </is>
      </c>
      <c r="B419" s="1" t="n">
        <v>45112</v>
      </c>
      <c r="C419" s="1" t="n">
        <v>45723</v>
      </c>
      <c r="D419" t="inlineStr">
        <is>
          <t>DALARNAS LÄN</t>
        </is>
      </c>
      <c r="E419" t="inlineStr">
        <is>
          <t>ORSA</t>
        </is>
      </c>
      <c r="F419" t="inlineStr">
        <is>
          <t>Allmännings- och besparingsskogar</t>
        </is>
      </c>
      <c r="G419" t="n">
        <v>18.1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45723</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31044-2023</t>
        </is>
      </c>
      <c r="B421" s="1" t="n">
        <v>45113</v>
      </c>
      <c r="C421" s="1" t="n">
        <v>45723</v>
      </c>
      <c r="D421" t="inlineStr">
        <is>
          <t>DALARNAS LÄN</t>
        </is>
      </c>
      <c r="E421" t="inlineStr">
        <is>
          <t>ORSA</t>
        </is>
      </c>
      <c r="G421" t="n">
        <v>4.6</v>
      </c>
      <c r="H421" t="n">
        <v>0</v>
      </c>
      <c r="I421" t="n">
        <v>0</v>
      </c>
      <c r="J421" t="n">
        <v>0</v>
      </c>
      <c r="K421" t="n">
        <v>0</v>
      </c>
      <c r="L421" t="n">
        <v>0</v>
      </c>
      <c r="M421" t="n">
        <v>0</v>
      </c>
      <c r="N421" t="n">
        <v>0</v>
      </c>
      <c r="O421" t="n">
        <v>0</v>
      </c>
      <c r="P421" t="n">
        <v>0</v>
      </c>
      <c r="Q421" t="n">
        <v>0</v>
      </c>
      <c r="R421" s="2" t="inlineStr"/>
    </row>
    <row r="422" ht="15" customHeight="1">
      <c r="A422" t="inlineStr">
        <is>
          <t>A 31026-2023</t>
        </is>
      </c>
      <c r="B422" s="1" t="n">
        <v>45113</v>
      </c>
      <c r="C422" s="1" t="n">
        <v>45723</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31059-2023</t>
        </is>
      </c>
      <c r="B423" s="1" t="n">
        <v>45113</v>
      </c>
      <c r="C423" s="1" t="n">
        <v>45723</v>
      </c>
      <c r="D423" t="inlineStr">
        <is>
          <t>DALARNAS LÄN</t>
        </is>
      </c>
      <c r="E423" t="inlineStr">
        <is>
          <t>ORSA</t>
        </is>
      </c>
      <c r="F423" t="inlineStr">
        <is>
          <t>Bergvik skog öst AB</t>
        </is>
      </c>
      <c r="G423" t="n">
        <v>2.7</v>
      </c>
      <c r="H423" t="n">
        <v>0</v>
      </c>
      <c r="I423" t="n">
        <v>0</v>
      </c>
      <c r="J423" t="n">
        <v>0</v>
      </c>
      <c r="K423" t="n">
        <v>0</v>
      </c>
      <c r="L423" t="n">
        <v>0</v>
      </c>
      <c r="M423" t="n">
        <v>0</v>
      </c>
      <c r="N423" t="n">
        <v>0</v>
      </c>
      <c r="O423" t="n">
        <v>0</v>
      </c>
      <c r="P423" t="n">
        <v>0</v>
      </c>
      <c r="Q423" t="n">
        <v>0</v>
      </c>
      <c r="R423" s="2" t="inlineStr"/>
    </row>
    <row r="424" ht="15" customHeight="1">
      <c r="A424" t="inlineStr">
        <is>
          <t>A 31170-2023</t>
        </is>
      </c>
      <c r="B424" s="1" t="n">
        <v>45113</v>
      </c>
      <c r="C424" s="1" t="n">
        <v>45723</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31174-2023</t>
        </is>
      </c>
      <c r="B425" s="1" t="n">
        <v>45113</v>
      </c>
      <c r="C425" s="1" t="n">
        <v>45723</v>
      </c>
      <c r="D425" t="inlineStr">
        <is>
          <t>DALARNAS LÄN</t>
        </is>
      </c>
      <c r="E425" t="inlineStr">
        <is>
          <t>ORSA</t>
        </is>
      </c>
      <c r="G425" t="n">
        <v>1</v>
      </c>
      <c r="H425" t="n">
        <v>0</v>
      </c>
      <c r="I425" t="n">
        <v>0</v>
      </c>
      <c r="J425" t="n">
        <v>0</v>
      </c>
      <c r="K425" t="n">
        <v>0</v>
      </c>
      <c r="L425" t="n">
        <v>0</v>
      </c>
      <c r="M425" t="n">
        <v>0</v>
      </c>
      <c r="N425" t="n">
        <v>0</v>
      </c>
      <c r="O425" t="n">
        <v>0</v>
      </c>
      <c r="P425" t="n">
        <v>0</v>
      </c>
      <c r="Q425" t="n">
        <v>0</v>
      </c>
      <c r="R425" s="2" t="inlineStr"/>
    </row>
    <row r="426" ht="15" customHeight="1">
      <c r="A426" t="inlineStr">
        <is>
          <t>A 31171-2023</t>
        </is>
      </c>
      <c r="B426" s="1" t="n">
        <v>45113</v>
      </c>
      <c r="C426" s="1" t="n">
        <v>45723</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31172-2023</t>
        </is>
      </c>
      <c r="B427" s="1" t="n">
        <v>45113</v>
      </c>
      <c r="C427" s="1" t="n">
        <v>45723</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31409-2023</t>
        </is>
      </c>
      <c r="B428" s="1" t="n">
        <v>45114</v>
      </c>
      <c r="C428" s="1" t="n">
        <v>45723</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31782-2023</t>
        </is>
      </c>
      <c r="B429" s="1" t="n">
        <v>45118</v>
      </c>
      <c r="C429" s="1" t="n">
        <v>45723</v>
      </c>
      <c r="D429" t="inlineStr">
        <is>
          <t>DALARNAS LÄN</t>
        </is>
      </c>
      <c r="E429" t="inlineStr">
        <is>
          <t>ORSA</t>
        </is>
      </c>
      <c r="F429" t="inlineStr">
        <is>
          <t>Allmännings- och besparingsskogar</t>
        </is>
      </c>
      <c r="G429" t="n">
        <v>0.6</v>
      </c>
      <c r="H429" t="n">
        <v>0</v>
      </c>
      <c r="I429" t="n">
        <v>0</v>
      </c>
      <c r="J429" t="n">
        <v>0</v>
      </c>
      <c r="K429" t="n">
        <v>0</v>
      </c>
      <c r="L429" t="n">
        <v>0</v>
      </c>
      <c r="M429" t="n">
        <v>0</v>
      </c>
      <c r="N429" t="n">
        <v>0</v>
      </c>
      <c r="O429" t="n">
        <v>0</v>
      </c>
      <c r="P429" t="n">
        <v>0</v>
      </c>
      <c r="Q429" t="n">
        <v>0</v>
      </c>
      <c r="R429" s="2" t="inlineStr"/>
    </row>
    <row r="430" ht="15" customHeight="1">
      <c r="A430" t="inlineStr">
        <is>
          <t>A 31780-2023</t>
        </is>
      </c>
      <c r="B430" s="1" t="n">
        <v>45118</v>
      </c>
      <c r="C430" s="1" t="n">
        <v>45723</v>
      </c>
      <c r="D430" t="inlineStr">
        <is>
          <t>DALARNAS LÄN</t>
        </is>
      </c>
      <c r="E430" t="inlineStr">
        <is>
          <t>ORSA</t>
        </is>
      </c>
      <c r="F430" t="inlineStr">
        <is>
          <t>Allmännings- och besparingsskogar</t>
        </is>
      </c>
      <c r="G430" t="n">
        <v>1.6</v>
      </c>
      <c r="H430" t="n">
        <v>0</v>
      </c>
      <c r="I430" t="n">
        <v>0</v>
      </c>
      <c r="J430" t="n">
        <v>0</v>
      </c>
      <c r="K430" t="n">
        <v>0</v>
      </c>
      <c r="L430" t="n">
        <v>0</v>
      </c>
      <c r="M430" t="n">
        <v>0</v>
      </c>
      <c r="N430" t="n">
        <v>0</v>
      </c>
      <c r="O430" t="n">
        <v>0</v>
      </c>
      <c r="P430" t="n">
        <v>0</v>
      </c>
      <c r="Q430" t="n">
        <v>0</v>
      </c>
      <c r="R430" s="2" t="inlineStr"/>
    </row>
    <row r="431" ht="15" customHeight="1">
      <c r="A431" t="inlineStr">
        <is>
          <t>A 33753-2023</t>
        </is>
      </c>
      <c r="B431" s="1" t="n">
        <v>45120</v>
      </c>
      <c r="C431" s="1" t="n">
        <v>45723</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33348-2023</t>
        </is>
      </c>
      <c r="B432" s="1" t="n">
        <v>45128</v>
      </c>
      <c r="C432" s="1" t="n">
        <v>45723</v>
      </c>
      <c r="D432" t="inlineStr">
        <is>
          <t>DALARNAS LÄN</t>
        </is>
      </c>
      <c r="E432" t="inlineStr">
        <is>
          <t>ORSA</t>
        </is>
      </c>
      <c r="F432" t="inlineStr">
        <is>
          <t>Allmännings- och besparingsskogar</t>
        </is>
      </c>
      <c r="G432" t="n">
        <v>25.9</v>
      </c>
      <c r="H432" t="n">
        <v>0</v>
      </c>
      <c r="I432" t="n">
        <v>0</v>
      </c>
      <c r="J432" t="n">
        <v>0</v>
      </c>
      <c r="K432" t="n">
        <v>0</v>
      </c>
      <c r="L432" t="n">
        <v>0</v>
      </c>
      <c r="M432" t="n">
        <v>0</v>
      </c>
      <c r="N432" t="n">
        <v>0</v>
      </c>
      <c r="O432" t="n">
        <v>0</v>
      </c>
      <c r="P432" t="n">
        <v>0</v>
      </c>
      <c r="Q432" t="n">
        <v>0</v>
      </c>
      <c r="R432" s="2" t="inlineStr"/>
    </row>
    <row r="433" ht="15" customHeight="1">
      <c r="A433" t="inlineStr">
        <is>
          <t>A 33452-2023</t>
        </is>
      </c>
      <c r="B433" s="1" t="n">
        <v>45130</v>
      </c>
      <c r="C433" s="1" t="n">
        <v>45723</v>
      </c>
      <c r="D433" t="inlineStr">
        <is>
          <t>DALARNAS LÄN</t>
        </is>
      </c>
      <c r="E433" t="inlineStr">
        <is>
          <t>ORSA</t>
        </is>
      </c>
      <c r="G433" t="n">
        <v>1.1</v>
      </c>
      <c r="H433" t="n">
        <v>0</v>
      </c>
      <c r="I433" t="n">
        <v>0</v>
      </c>
      <c r="J433" t="n">
        <v>0</v>
      </c>
      <c r="K433" t="n">
        <v>0</v>
      </c>
      <c r="L433" t="n">
        <v>0</v>
      </c>
      <c r="M433" t="n">
        <v>0</v>
      </c>
      <c r="N433" t="n">
        <v>0</v>
      </c>
      <c r="O433" t="n">
        <v>0</v>
      </c>
      <c r="P433" t="n">
        <v>0</v>
      </c>
      <c r="Q433" t="n">
        <v>0</v>
      </c>
      <c r="R433" s="2" t="inlineStr"/>
    </row>
    <row r="434" ht="15" customHeight="1">
      <c r="A434" t="inlineStr">
        <is>
          <t>A 33693-2023</t>
        </is>
      </c>
      <c r="B434" s="1" t="n">
        <v>45132</v>
      </c>
      <c r="C434" s="1" t="n">
        <v>45723</v>
      </c>
      <c r="D434" t="inlineStr">
        <is>
          <t>DALARNAS LÄN</t>
        </is>
      </c>
      <c r="E434" t="inlineStr">
        <is>
          <t>ORSA</t>
        </is>
      </c>
      <c r="G434" t="n">
        <v>22.8</v>
      </c>
      <c r="H434" t="n">
        <v>0</v>
      </c>
      <c r="I434" t="n">
        <v>0</v>
      </c>
      <c r="J434" t="n">
        <v>0</v>
      </c>
      <c r="K434" t="n">
        <v>0</v>
      </c>
      <c r="L434" t="n">
        <v>0</v>
      </c>
      <c r="M434" t="n">
        <v>0</v>
      </c>
      <c r="N434" t="n">
        <v>0</v>
      </c>
      <c r="O434" t="n">
        <v>0</v>
      </c>
      <c r="P434" t="n">
        <v>0</v>
      </c>
      <c r="Q434" t="n">
        <v>0</v>
      </c>
      <c r="R434" s="2" t="inlineStr"/>
    </row>
    <row r="435" ht="15" customHeight="1">
      <c r="A435" t="inlineStr">
        <is>
          <t>A 33673-2023</t>
        </is>
      </c>
      <c r="B435" s="1" t="n">
        <v>45132</v>
      </c>
      <c r="C435" s="1" t="n">
        <v>45723</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33823-2023</t>
        </is>
      </c>
      <c r="B436" s="1" t="n">
        <v>45133</v>
      </c>
      <c r="C436" s="1" t="n">
        <v>45723</v>
      </c>
      <c r="D436" t="inlineStr">
        <is>
          <t>DALARNAS LÄN</t>
        </is>
      </c>
      <c r="E436" t="inlineStr">
        <is>
          <t>ORSA</t>
        </is>
      </c>
      <c r="G436" t="n">
        <v>19.7</v>
      </c>
      <c r="H436" t="n">
        <v>0</v>
      </c>
      <c r="I436" t="n">
        <v>0</v>
      </c>
      <c r="J436" t="n">
        <v>0</v>
      </c>
      <c r="K436" t="n">
        <v>0</v>
      </c>
      <c r="L436" t="n">
        <v>0</v>
      </c>
      <c r="M436" t="n">
        <v>0</v>
      </c>
      <c r="N436" t="n">
        <v>0</v>
      </c>
      <c r="O436" t="n">
        <v>0</v>
      </c>
      <c r="P436" t="n">
        <v>0</v>
      </c>
      <c r="Q436" t="n">
        <v>0</v>
      </c>
      <c r="R436" s="2" t="inlineStr"/>
    </row>
    <row r="437" ht="15" customHeight="1">
      <c r="A437" t="inlineStr">
        <is>
          <t>A 33841-2023</t>
        </is>
      </c>
      <c r="B437" s="1" t="n">
        <v>45133</v>
      </c>
      <c r="C437" s="1" t="n">
        <v>45723</v>
      </c>
      <c r="D437" t="inlineStr">
        <is>
          <t>DALARNAS LÄN</t>
        </is>
      </c>
      <c r="E437" t="inlineStr">
        <is>
          <t>ORSA</t>
        </is>
      </c>
      <c r="G437" t="n">
        <v>3.8</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45723</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45723</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45723</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45723</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45723</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45723</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45723</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45723</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45723</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45723</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45723</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45723</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45723</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45723</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45723</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45723</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45723</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45723</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45723</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45723</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45723</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45723</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45723</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45723</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45723</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45723</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45723</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45723</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45723</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45723</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45723</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45723</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45723</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45723</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45723</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45723</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45723</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45723</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45723</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45723</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45723</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45723</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45723</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45723</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45723</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45723</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45723</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45723</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45723</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45723</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45723</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45723</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45723</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45723</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45723</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45723</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45723</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45723</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45723</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45723</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45723</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45723</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45723</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45723</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45723</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45723</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45723</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45723</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45723</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45723</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45723</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45723</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45723</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45723</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45723</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45723</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45723</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45723</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45723</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45723</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45723</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45723</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45723</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45723</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45723</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45723</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45723</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45723</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45723</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45723</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45723</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45723</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45723</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45723</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45723</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45723</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45723</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45723</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45723</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45723</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45723</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45723</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45723</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45723</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45723</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45723</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45723</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45723</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45723</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45723</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45723</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45723</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45723</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45723</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45723</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45723</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45723</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45723</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45723</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45723</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45723</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45723</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45723</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45723</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45723</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45723</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45723</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45723</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45723</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45723</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45723</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45723</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45723</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45723</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45723</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45723</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45723</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45723</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45723</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45723</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45723</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45723</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45723</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45723</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45723</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45723</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45723</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45723</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45723</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45723</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45723</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45723</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45723</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45723</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45723</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45723</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45723</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45723</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45723</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45723</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45723</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45723</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45723</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45723</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45723</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45723</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45723</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45723</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45723</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45723</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45723</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45723</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45723</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45723</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45723</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45723</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45723</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45723</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45723</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45723</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45723</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45723</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45723</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45723</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45723</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45723</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45723</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45723</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45723</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45723</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45723</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45723</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45723</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45723</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45723</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45723</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45723</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45723</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45723</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45723</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45723</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45723</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45723</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45723</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45723</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45723</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45723</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45723</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45723</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45723</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45723</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45723</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45723</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45723</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45723</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45723</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45723</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45723</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45723</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45723</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45723</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45723</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45723</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45723</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45723</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45723</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45723</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45723</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45723</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45723</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45723</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45723</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45723</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45723</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45723</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45723</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45723</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45723</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45723</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45723</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45723</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45723</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45723</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45723</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45723</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45723</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45723</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45723</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45723</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45723</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45723</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45723</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45723</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45723</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45723</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45723</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45723</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45723</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45723</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45723</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45723</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45723</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45723</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45723</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45723</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45723</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45723</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45723</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45723</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45723</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45723</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45723</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45723</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45723</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45723</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45723</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45723</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45723</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45723</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45723</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45723</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45723</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45723</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45723</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45723</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45723</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45723</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45723</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45723</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45723</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45723</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45723</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45723</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45723</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45723</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45723</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45723</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45723</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45723</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45723</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45723</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45723</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45723</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45723</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45723</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45723</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45723</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45723</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45723</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45723</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45723</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45723</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45723</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45723</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45723</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45723</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45723</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45723</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45723</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45723</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45723</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45723</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45723</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45723</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7628-2025</t>
        </is>
      </c>
      <c r="B766" s="1" t="n">
        <v>45705</v>
      </c>
      <c r="C766" s="1" t="n">
        <v>45723</v>
      </c>
      <c r="D766" t="inlineStr">
        <is>
          <t>DALARNAS LÄN</t>
        </is>
      </c>
      <c r="E766" t="inlineStr">
        <is>
          <t>ORSA</t>
        </is>
      </c>
      <c r="G766" t="n">
        <v>1.8</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45723</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45723</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7619-2025</t>
        </is>
      </c>
      <c r="B769" s="1" t="n">
        <v>45705</v>
      </c>
      <c r="C769" s="1" t="n">
        <v>45723</v>
      </c>
      <c r="D769" t="inlineStr">
        <is>
          <t>DALARNAS LÄN</t>
        </is>
      </c>
      <c r="E769" t="inlineStr">
        <is>
          <t>ORSA</t>
        </is>
      </c>
      <c r="G769" t="n">
        <v>5.4</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45723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10644-2025</t>
        </is>
      </c>
      <c r="B772" s="1" t="n">
        <v>45721</v>
      </c>
      <c r="C772" s="1" t="n">
        <v>45723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2025-03-07T16:47:47Z</dcterms:created>
  <dcterms:modified xmlns:dcterms="http://purl.org/dc/terms/" xmlns:xsi="http://www.w3.org/2001/XMLSchema-instance" xsi:type="dcterms:W3CDTF">2025-03-07T16:47:47Z</dcterms:modified>
</cp:coreProperties>
</file>