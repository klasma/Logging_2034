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45924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45924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45924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45924</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45924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45924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45924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45924</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45924</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45924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61338-2024</t>
        </is>
      </c>
      <c r="B14" s="1" t="n">
        <v>45646</v>
      </c>
      <c r="C14" s="1" t="n">
        <v>45924</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45924</v>
      </c>
      <c r="D15" t="inlineStr">
        <is>
          <t>DALARNAS LÄN</t>
        </is>
      </c>
      <c r="E15" t="inlineStr">
        <is>
          <t>ORSA</t>
        </is>
      </c>
      <c r="G15" t="n">
        <v>2.5</v>
      </c>
      <c r="H15" t="n">
        <v>1</v>
      </c>
      <c r="I15" t="n">
        <v>3</v>
      </c>
      <c r="J15" t="n">
        <v>10</v>
      </c>
      <c r="K15" t="n">
        <v>2</v>
      </c>
      <c r="L15" t="n">
        <v>0</v>
      </c>
      <c r="M15" t="n">
        <v>0</v>
      </c>
      <c r="N15" t="n">
        <v>0</v>
      </c>
      <c r="O15" t="n">
        <v>12</v>
      </c>
      <c r="P15" t="n">
        <v>2</v>
      </c>
      <c r="Q15" t="n">
        <v>15</v>
      </c>
      <c r="R15" s="2" t="inlineStr">
        <is>
          <t>Rotfingersvamp
Tallgråticka
Backstarr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22650-2025</t>
        </is>
      </c>
      <c r="B16" s="1" t="n">
        <v>45789.46872685185</v>
      </c>
      <c r="C16" s="1" t="n">
        <v>45924</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38047-2025</t>
        </is>
      </c>
      <c r="B17" s="1" t="n">
        <v>45882.4021875</v>
      </c>
      <c r="C17" s="1" t="n">
        <v>45924</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45924</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45924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45924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45924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45924</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45924</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45924</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45924</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33841-2023</t>
        </is>
      </c>
      <c r="B26" s="1" t="n">
        <v>45133.66758101852</v>
      </c>
      <c r="C26" s="1" t="n">
        <v>45924</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22172-2025</t>
        </is>
      </c>
      <c r="B27" s="1" t="n">
        <v>45785.6050925926</v>
      </c>
      <c r="C27" s="1" t="n">
        <v>45924</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50728-2022</t>
        </is>
      </c>
      <c r="B28" s="1" t="n">
        <v>44867</v>
      </c>
      <c r="C28" s="1" t="n">
        <v>45924</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33366-2023</t>
        </is>
      </c>
      <c r="B29" s="1" t="n">
        <v>45128</v>
      </c>
      <c r="C29" s="1" t="n">
        <v>45924</v>
      </c>
      <c r="D29" t="inlineStr">
        <is>
          <t>DALARNAS LÄN</t>
        </is>
      </c>
      <c r="E29" t="inlineStr">
        <is>
          <t>ORSA</t>
        </is>
      </c>
      <c r="F29" t="inlineStr">
        <is>
          <t>Bergvik skog väst AB</t>
        </is>
      </c>
      <c r="G29" t="n">
        <v>3.5</v>
      </c>
      <c r="H29" t="n">
        <v>1</v>
      </c>
      <c r="I29" t="n">
        <v>0</v>
      </c>
      <c r="J29" t="n">
        <v>4</v>
      </c>
      <c r="K29" t="n">
        <v>0</v>
      </c>
      <c r="L29" t="n">
        <v>0</v>
      </c>
      <c r="M29" t="n">
        <v>0</v>
      </c>
      <c r="N29" t="n">
        <v>0</v>
      </c>
      <c r="O29" t="n">
        <v>4</v>
      </c>
      <c r="P29" t="n">
        <v>0</v>
      </c>
      <c r="Q29" t="n">
        <v>4</v>
      </c>
      <c r="R29" s="2" t="inlineStr">
        <is>
          <t>Garnlav
Granticka
Tretåig hackspett
Violettgrå tagellav</t>
        </is>
      </c>
      <c r="S29">
        <f>HYPERLINK("https://klasma.github.io/Logging_2034/artfynd/A 33366-2023 artfynd.xlsx", "A 33366-2023")</f>
        <v/>
      </c>
      <c r="T29">
        <f>HYPERLINK("https://klasma.github.io/Logging_2034/kartor/A 33366-2023 karta.png", "A 33366-2023")</f>
        <v/>
      </c>
      <c r="V29">
        <f>HYPERLINK("https://klasma.github.io/Logging_2034/klagomål/A 33366-2023 FSC-klagomål.docx", "A 33366-2023")</f>
        <v/>
      </c>
      <c r="W29">
        <f>HYPERLINK("https://klasma.github.io/Logging_2034/klagomålsmail/A 33366-2023 FSC-klagomål mail.docx", "A 33366-2023")</f>
        <v/>
      </c>
      <c r="X29">
        <f>HYPERLINK("https://klasma.github.io/Logging_2034/tillsyn/A 33366-2023 tillsynsbegäran.docx", "A 33366-2023")</f>
        <v/>
      </c>
      <c r="Y29">
        <f>HYPERLINK("https://klasma.github.io/Logging_2034/tillsynsmail/A 33366-2023 tillsynsbegäran mail.docx", "A 33366-2023")</f>
        <v/>
      </c>
      <c r="Z29">
        <f>HYPERLINK("https://klasma.github.io/Logging_2034/fåglar/A 33366-2023 prioriterade fågelarter.docx", "A 33366-2023")</f>
        <v/>
      </c>
    </row>
    <row r="30" ht="15" customHeight="1">
      <c r="A30" t="inlineStr">
        <is>
          <t>A 3421-2021</t>
        </is>
      </c>
      <c r="B30" s="1" t="n">
        <v>44218</v>
      </c>
      <c r="C30" s="1" t="n">
        <v>45924</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22701-2025</t>
        </is>
      </c>
      <c r="B31" s="1" t="n">
        <v>45787</v>
      </c>
      <c r="C31" s="1" t="n">
        <v>45924</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7619-2025</t>
        </is>
      </c>
      <c r="B32" s="1" t="n">
        <v>45705</v>
      </c>
      <c r="C32" s="1" t="n">
        <v>45924</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7618-2025</t>
        </is>
      </c>
      <c r="B33" s="1" t="n">
        <v>45705</v>
      </c>
      <c r="C33" s="1" t="n">
        <v>45924</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48499-2024</t>
        </is>
      </c>
      <c r="B34" s="1" t="n">
        <v>45592</v>
      </c>
      <c r="C34" s="1" t="n">
        <v>45924</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35570-2024</t>
        </is>
      </c>
      <c r="B35" s="1" t="n">
        <v>45531</v>
      </c>
      <c r="C35" s="1" t="n">
        <v>45924</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31336-2025</t>
        </is>
      </c>
      <c r="B36" s="1" t="n">
        <v>45833</v>
      </c>
      <c r="C36" s="1" t="n">
        <v>45924</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45924</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63810-2021</t>
        </is>
      </c>
      <c r="B38" s="1" t="n">
        <v>44509</v>
      </c>
      <c r="C38" s="1" t="n">
        <v>45924</v>
      </c>
      <c r="D38" t="inlineStr">
        <is>
          <t>DALARNAS LÄN</t>
        </is>
      </c>
      <c r="E38" t="inlineStr">
        <is>
          <t>ORSA</t>
        </is>
      </c>
      <c r="G38" t="n">
        <v>18.4</v>
      </c>
      <c r="H38" t="n">
        <v>0</v>
      </c>
      <c r="I38" t="n">
        <v>0</v>
      </c>
      <c r="J38" t="n">
        <v>2</v>
      </c>
      <c r="K38" t="n">
        <v>0</v>
      </c>
      <c r="L38" t="n">
        <v>0</v>
      </c>
      <c r="M38" t="n">
        <v>0</v>
      </c>
      <c r="N38" t="n">
        <v>0</v>
      </c>
      <c r="O38" t="n">
        <v>2</v>
      </c>
      <c r="P38" t="n">
        <v>0</v>
      </c>
      <c r="Q38" t="n">
        <v>2</v>
      </c>
      <c r="R38" s="2" t="inlineStr">
        <is>
          <t>Garnlav
Violettgrå tagellav</t>
        </is>
      </c>
      <c r="S38">
        <f>HYPERLINK("https://klasma.github.io/Logging_2034/artfynd/A 63810-2021 artfynd.xlsx", "A 63810-2021")</f>
        <v/>
      </c>
      <c r="T38">
        <f>HYPERLINK("https://klasma.github.io/Logging_2034/kartor/A 63810-2021 karta.png", "A 63810-2021")</f>
        <v/>
      </c>
      <c r="V38">
        <f>HYPERLINK("https://klasma.github.io/Logging_2034/klagomål/A 63810-2021 FSC-klagomål.docx", "A 63810-2021")</f>
        <v/>
      </c>
      <c r="W38">
        <f>HYPERLINK("https://klasma.github.io/Logging_2034/klagomålsmail/A 63810-2021 FSC-klagomål mail.docx", "A 63810-2021")</f>
        <v/>
      </c>
      <c r="X38">
        <f>HYPERLINK("https://klasma.github.io/Logging_2034/tillsyn/A 63810-2021 tillsynsbegäran.docx", "A 63810-2021")</f>
        <v/>
      </c>
      <c r="Y38">
        <f>HYPERLINK("https://klasma.github.io/Logging_2034/tillsynsmail/A 63810-2021 tillsynsbegäran mail.docx", "A 63810-2021")</f>
        <v/>
      </c>
    </row>
    <row r="39" ht="15" customHeight="1">
      <c r="A39" t="inlineStr">
        <is>
          <t>A 6029-2024</t>
        </is>
      </c>
      <c r="B39" s="1" t="n">
        <v>45336</v>
      </c>
      <c r="C39" s="1" t="n">
        <v>45924</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45924</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45832.65702546296</v>
      </c>
      <c r="C41" s="1" t="n">
        <v>45924</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41553-2025</t>
        </is>
      </c>
      <c r="B42" s="1" t="n">
        <v>45901.59108796297</v>
      </c>
      <c r="C42" s="1" t="n">
        <v>45924</v>
      </c>
      <c r="D42" t="inlineStr">
        <is>
          <t>DALARNAS LÄN</t>
        </is>
      </c>
      <c r="E42" t="inlineStr">
        <is>
          <t>ORSA</t>
        </is>
      </c>
      <c r="F42" t="inlineStr">
        <is>
          <t>Bergvik skog väst AB</t>
        </is>
      </c>
      <c r="G42" t="n">
        <v>2.2</v>
      </c>
      <c r="H42" t="n">
        <v>0</v>
      </c>
      <c r="I42" t="n">
        <v>0</v>
      </c>
      <c r="J42" t="n">
        <v>0</v>
      </c>
      <c r="K42" t="n">
        <v>1</v>
      </c>
      <c r="L42" t="n">
        <v>0</v>
      </c>
      <c r="M42" t="n">
        <v>0</v>
      </c>
      <c r="N42" t="n">
        <v>0</v>
      </c>
      <c r="O42" t="n">
        <v>1</v>
      </c>
      <c r="P42" t="n">
        <v>1</v>
      </c>
      <c r="Q42" t="n">
        <v>1</v>
      </c>
      <c r="R42" s="2" t="inlineStr">
        <is>
          <t>Honungsticka</t>
        </is>
      </c>
      <c r="S42">
        <f>HYPERLINK("https://klasma.github.io/Logging_2034/artfynd/A 41553-2025 artfynd.xlsx", "A 41553-2025")</f>
        <v/>
      </c>
      <c r="T42">
        <f>HYPERLINK("https://klasma.github.io/Logging_2034/kartor/A 41553-2025 karta.png", "A 41553-2025")</f>
        <v/>
      </c>
      <c r="V42">
        <f>HYPERLINK("https://klasma.github.io/Logging_2034/klagomål/A 41553-2025 FSC-klagomål.docx", "A 41553-2025")</f>
        <v/>
      </c>
      <c r="W42">
        <f>HYPERLINK("https://klasma.github.io/Logging_2034/klagomålsmail/A 41553-2025 FSC-klagomål mail.docx", "A 41553-2025")</f>
        <v/>
      </c>
      <c r="X42">
        <f>HYPERLINK("https://klasma.github.io/Logging_2034/tillsyn/A 41553-2025 tillsynsbegäran.docx", "A 41553-2025")</f>
        <v/>
      </c>
      <c r="Y42">
        <f>HYPERLINK("https://klasma.github.io/Logging_2034/tillsynsmail/A 41553-2025 tillsynsbegäran mail.docx", "A 41553-2025")</f>
        <v/>
      </c>
    </row>
    <row r="43" ht="15" customHeight="1">
      <c r="A43" t="inlineStr">
        <is>
          <t>A 41799-2025</t>
        </is>
      </c>
      <c r="B43" s="1" t="n">
        <v>45902.6065162037</v>
      </c>
      <c r="C43" s="1" t="n">
        <v>45924</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42327-2025</t>
        </is>
      </c>
      <c r="B44" s="1" t="n">
        <v>45904.68600694444</v>
      </c>
      <c r="C44" s="1" t="n">
        <v>45924</v>
      </c>
      <c r="D44" t="inlineStr">
        <is>
          <t>DALARNAS LÄN</t>
        </is>
      </c>
      <c r="E44" t="inlineStr">
        <is>
          <t>ORSA</t>
        </is>
      </c>
      <c r="G44" t="n">
        <v>1.6</v>
      </c>
      <c r="H44" t="n">
        <v>1</v>
      </c>
      <c r="I44" t="n">
        <v>0</v>
      </c>
      <c r="J44" t="n">
        <v>1</v>
      </c>
      <c r="K44" t="n">
        <v>0</v>
      </c>
      <c r="L44" t="n">
        <v>0</v>
      </c>
      <c r="M44" t="n">
        <v>0</v>
      </c>
      <c r="N44" t="n">
        <v>0</v>
      </c>
      <c r="O44" t="n">
        <v>1</v>
      </c>
      <c r="P44" t="n">
        <v>0</v>
      </c>
      <c r="Q44" t="n">
        <v>1</v>
      </c>
      <c r="R44" s="2" t="inlineStr">
        <is>
          <t>Grönsångare</t>
        </is>
      </c>
      <c r="S44">
        <f>HYPERLINK("https://klasma.github.io/Logging_2034/artfynd/A 42327-2025 artfynd.xlsx", "A 42327-2025")</f>
        <v/>
      </c>
      <c r="T44">
        <f>HYPERLINK("https://klasma.github.io/Logging_2034/kartor/A 42327-2025 karta.png", "A 42327-2025")</f>
        <v/>
      </c>
      <c r="V44">
        <f>HYPERLINK("https://klasma.github.io/Logging_2034/klagomål/A 42327-2025 FSC-klagomål.docx", "A 42327-2025")</f>
        <v/>
      </c>
      <c r="W44">
        <f>HYPERLINK("https://klasma.github.io/Logging_2034/klagomålsmail/A 42327-2025 FSC-klagomål mail.docx", "A 42327-2025")</f>
        <v/>
      </c>
      <c r="X44">
        <f>HYPERLINK("https://klasma.github.io/Logging_2034/tillsyn/A 42327-2025 tillsynsbegäran.docx", "A 42327-2025")</f>
        <v/>
      </c>
      <c r="Y44">
        <f>HYPERLINK("https://klasma.github.io/Logging_2034/tillsynsmail/A 42327-2025 tillsynsbegäran mail.docx", "A 42327-2025")</f>
        <v/>
      </c>
      <c r="Z44">
        <f>HYPERLINK("https://klasma.github.io/Logging_2034/fåglar/A 42327-2025 prioriterade fågelarter.docx", "A 42327-2025")</f>
        <v/>
      </c>
    </row>
    <row r="45" ht="15" customHeight="1">
      <c r="A45" t="inlineStr">
        <is>
          <t>A 45029-2025</t>
        </is>
      </c>
      <c r="B45" s="1" t="n">
        <v>45918.69835648148</v>
      </c>
      <c r="C45" s="1" t="n">
        <v>45924</v>
      </c>
      <c r="D45" t="inlineStr">
        <is>
          <t>DALARNAS LÄN</t>
        </is>
      </c>
      <c r="E45" t="inlineStr">
        <is>
          <t>ORSA</t>
        </is>
      </c>
      <c r="G45" t="n">
        <v>1.4</v>
      </c>
      <c r="H45" t="n">
        <v>1</v>
      </c>
      <c r="I45" t="n">
        <v>0</v>
      </c>
      <c r="J45" t="n">
        <v>1</v>
      </c>
      <c r="K45" t="n">
        <v>0</v>
      </c>
      <c r="L45" t="n">
        <v>0</v>
      </c>
      <c r="M45" t="n">
        <v>0</v>
      </c>
      <c r="N45" t="n">
        <v>0</v>
      </c>
      <c r="O45" t="n">
        <v>1</v>
      </c>
      <c r="P45" t="n">
        <v>0</v>
      </c>
      <c r="Q45" t="n">
        <v>1</v>
      </c>
      <c r="R45" s="2" t="inlineStr">
        <is>
          <t>Spillkråka</t>
        </is>
      </c>
      <c r="S45">
        <f>HYPERLINK("https://klasma.github.io/Logging_2034/artfynd/A 45029-2025 artfynd.xlsx", "A 45029-2025")</f>
        <v/>
      </c>
      <c r="T45">
        <f>HYPERLINK("https://klasma.github.io/Logging_2034/kartor/A 45029-2025 karta.png", "A 45029-2025")</f>
        <v/>
      </c>
      <c r="V45">
        <f>HYPERLINK("https://klasma.github.io/Logging_2034/klagomål/A 45029-2025 FSC-klagomål.docx", "A 45029-2025")</f>
        <v/>
      </c>
      <c r="W45">
        <f>HYPERLINK("https://klasma.github.io/Logging_2034/klagomålsmail/A 45029-2025 FSC-klagomål mail.docx", "A 45029-2025")</f>
        <v/>
      </c>
      <c r="X45">
        <f>HYPERLINK("https://klasma.github.io/Logging_2034/tillsyn/A 45029-2025 tillsynsbegäran.docx", "A 45029-2025")</f>
        <v/>
      </c>
      <c r="Y45">
        <f>HYPERLINK("https://klasma.github.io/Logging_2034/tillsynsmail/A 45029-2025 tillsynsbegäran mail.docx", "A 45029-2025")</f>
        <v/>
      </c>
      <c r="Z45">
        <f>HYPERLINK("https://klasma.github.io/Logging_2034/fåglar/A 45029-2025 prioriterade fågelarter.docx", "A 45029-2025")</f>
        <v/>
      </c>
    </row>
    <row r="46" ht="15" customHeight="1">
      <c r="A46" t="inlineStr">
        <is>
          <t>A 37887-2023</t>
        </is>
      </c>
      <c r="B46" s="1" t="n">
        <v>45160</v>
      </c>
      <c r="C46" s="1" t="n">
        <v>45924</v>
      </c>
      <c r="D46" t="inlineStr">
        <is>
          <t>DALARNAS LÄN</t>
        </is>
      </c>
      <c r="E46" t="inlineStr">
        <is>
          <t>ORSA</t>
        </is>
      </c>
      <c r="F46" t="inlineStr">
        <is>
          <t>Allmännings- och besparingsskogar</t>
        </is>
      </c>
      <c r="G46" t="n">
        <v>20.5</v>
      </c>
      <c r="H46" t="n">
        <v>1</v>
      </c>
      <c r="I46" t="n">
        <v>0</v>
      </c>
      <c r="J46" t="n">
        <v>1</v>
      </c>
      <c r="K46" t="n">
        <v>0</v>
      </c>
      <c r="L46" t="n">
        <v>0</v>
      </c>
      <c r="M46" t="n">
        <v>0</v>
      </c>
      <c r="N46" t="n">
        <v>0</v>
      </c>
      <c r="O46" t="n">
        <v>1</v>
      </c>
      <c r="P46" t="n">
        <v>0</v>
      </c>
      <c r="Q46" t="n">
        <v>1</v>
      </c>
      <c r="R46" s="2" t="inlineStr">
        <is>
          <t>Varglav</t>
        </is>
      </c>
      <c r="S46">
        <f>HYPERLINK("https://klasma.github.io/Logging_2034/artfynd/A 37887-2023 artfynd.xlsx", "A 37887-2023")</f>
        <v/>
      </c>
      <c r="T46">
        <f>HYPERLINK("https://klasma.github.io/Logging_2034/kartor/A 37887-2023 karta.png", "A 37887-2023")</f>
        <v/>
      </c>
      <c r="V46">
        <f>HYPERLINK("https://klasma.github.io/Logging_2034/klagomål/A 37887-2023 FSC-klagomål.docx", "A 37887-2023")</f>
        <v/>
      </c>
      <c r="W46">
        <f>HYPERLINK("https://klasma.github.io/Logging_2034/klagomålsmail/A 37887-2023 FSC-klagomål mail.docx", "A 37887-2023")</f>
        <v/>
      </c>
      <c r="X46">
        <f>HYPERLINK("https://klasma.github.io/Logging_2034/tillsyn/A 37887-2023 tillsynsbegäran.docx", "A 37887-2023")</f>
        <v/>
      </c>
      <c r="Y46">
        <f>HYPERLINK("https://klasma.github.io/Logging_2034/tillsynsmail/A 37887-2023 tillsynsbegäran mail.docx", "A 37887-2023")</f>
        <v/>
      </c>
    </row>
    <row r="47" ht="15" customHeight="1">
      <c r="A47" t="inlineStr">
        <is>
          <t>A 30493-2024</t>
        </is>
      </c>
      <c r="B47" s="1" t="n">
        <v>45492.34811342593</v>
      </c>
      <c r="C47" s="1" t="n">
        <v>45924</v>
      </c>
      <c r="D47" t="inlineStr">
        <is>
          <t>DALARNAS LÄN</t>
        </is>
      </c>
      <c r="E47" t="inlineStr">
        <is>
          <t>ORSA</t>
        </is>
      </c>
      <c r="F47" t="inlineStr">
        <is>
          <t>Övriga statliga verk och myndigheter</t>
        </is>
      </c>
      <c r="G47" t="n">
        <v>2.2</v>
      </c>
      <c r="H47" t="n">
        <v>0</v>
      </c>
      <c r="I47" t="n">
        <v>0</v>
      </c>
      <c r="J47" t="n">
        <v>1</v>
      </c>
      <c r="K47" t="n">
        <v>0</v>
      </c>
      <c r="L47" t="n">
        <v>0</v>
      </c>
      <c r="M47" t="n">
        <v>0</v>
      </c>
      <c r="N47" t="n">
        <v>0</v>
      </c>
      <c r="O47" t="n">
        <v>1</v>
      </c>
      <c r="P47" t="n">
        <v>0</v>
      </c>
      <c r="Q47" t="n">
        <v>1</v>
      </c>
      <c r="R47" s="2" t="inlineStr">
        <is>
          <t>Garnlav</t>
        </is>
      </c>
      <c r="S47">
        <f>HYPERLINK("https://klasma.github.io/Logging_2034/artfynd/A 30493-2024 artfynd.xlsx", "A 30493-2024")</f>
        <v/>
      </c>
      <c r="T47">
        <f>HYPERLINK("https://klasma.github.io/Logging_2034/kartor/A 30493-2024 karta.png", "A 30493-2024")</f>
        <v/>
      </c>
      <c r="V47">
        <f>HYPERLINK("https://klasma.github.io/Logging_2034/klagomål/A 30493-2024 FSC-klagomål.docx", "A 30493-2024")</f>
        <v/>
      </c>
      <c r="W47">
        <f>HYPERLINK("https://klasma.github.io/Logging_2034/klagomålsmail/A 30493-2024 FSC-klagomål mail.docx", "A 30493-2024")</f>
        <v/>
      </c>
      <c r="X47">
        <f>HYPERLINK("https://klasma.github.io/Logging_2034/tillsyn/A 30493-2024 tillsynsbegäran.docx", "A 30493-2024")</f>
        <v/>
      </c>
      <c r="Y47">
        <f>HYPERLINK("https://klasma.github.io/Logging_2034/tillsynsmail/A 30493-2024 tillsynsbegäran mail.docx", "A 30493-2024")</f>
        <v/>
      </c>
    </row>
    <row r="48" ht="15" customHeight="1">
      <c r="A48" t="inlineStr">
        <is>
          <t>A 34713-2021</t>
        </is>
      </c>
      <c r="B48" s="1" t="n">
        <v>44382</v>
      </c>
      <c r="C48" s="1" t="n">
        <v>45924</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45924</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45924</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45924</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45924</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63374-2020</t>
        </is>
      </c>
      <c r="B53" s="1" t="n">
        <v>44160</v>
      </c>
      <c r="C53" s="1" t="n">
        <v>45924</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28259-2021</t>
        </is>
      </c>
      <c r="B54" s="1" t="n">
        <v>44355</v>
      </c>
      <c r="C54" s="1" t="n">
        <v>45924</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45924</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45924</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45924</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45924</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45924</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45924</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45924</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45924</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45924</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45924</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45924</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45924</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45924</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45924</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45924</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45924</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45924</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45924</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45924</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45924</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45924</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45924</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45924</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63367-2020</t>
        </is>
      </c>
      <c r="B78" s="1" t="n">
        <v>44160</v>
      </c>
      <c r="C78" s="1" t="n">
        <v>45924</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9561-2022</t>
        </is>
      </c>
      <c r="B79" s="1" t="n">
        <v>44617</v>
      </c>
      <c r="C79" s="1" t="n">
        <v>45924</v>
      </c>
      <c r="D79" t="inlineStr">
        <is>
          <t>DALARNAS LÄN</t>
        </is>
      </c>
      <c r="E79" t="inlineStr">
        <is>
          <t>ORSA</t>
        </is>
      </c>
      <c r="F79" t="inlineStr">
        <is>
          <t>Kyrkan</t>
        </is>
      </c>
      <c r="G79" t="n">
        <v>0.6</v>
      </c>
      <c r="H79" t="n">
        <v>0</v>
      </c>
      <c r="I79" t="n">
        <v>0</v>
      </c>
      <c r="J79" t="n">
        <v>0</v>
      </c>
      <c r="K79" t="n">
        <v>0</v>
      </c>
      <c r="L79" t="n">
        <v>0</v>
      </c>
      <c r="M79" t="n">
        <v>0</v>
      </c>
      <c r="N79" t="n">
        <v>0</v>
      </c>
      <c r="O79" t="n">
        <v>0</v>
      </c>
      <c r="P79" t="n">
        <v>0</v>
      </c>
      <c r="Q79" t="n">
        <v>0</v>
      </c>
      <c r="R79" s="2" t="inlineStr"/>
    </row>
    <row r="80" ht="15" customHeight="1">
      <c r="A80" t="inlineStr">
        <is>
          <t>A 52574-2021</t>
        </is>
      </c>
      <c r="B80" s="1" t="n">
        <v>44466.55795138889</v>
      </c>
      <c r="C80" s="1" t="n">
        <v>45924</v>
      </c>
      <c r="D80" t="inlineStr">
        <is>
          <t>DALARNAS LÄN</t>
        </is>
      </c>
      <c r="E80" t="inlineStr">
        <is>
          <t>ORSA</t>
        </is>
      </c>
      <c r="G80" t="n">
        <v>1</v>
      </c>
      <c r="H80" t="n">
        <v>0</v>
      </c>
      <c r="I80" t="n">
        <v>0</v>
      </c>
      <c r="J80" t="n">
        <v>0</v>
      </c>
      <c r="K80" t="n">
        <v>0</v>
      </c>
      <c r="L80" t="n">
        <v>0</v>
      </c>
      <c r="M80" t="n">
        <v>0</v>
      </c>
      <c r="N80" t="n">
        <v>0</v>
      </c>
      <c r="O80" t="n">
        <v>0</v>
      </c>
      <c r="P80" t="n">
        <v>0</v>
      </c>
      <c r="Q80" t="n">
        <v>0</v>
      </c>
      <c r="R80" s="2" t="inlineStr"/>
    </row>
    <row r="81" ht="15" customHeight="1">
      <c r="A81" t="inlineStr">
        <is>
          <t>A 51864-2022</t>
        </is>
      </c>
      <c r="B81" s="1" t="n">
        <v>44872</v>
      </c>
      <c r="C81" s="1" t="n">
        <v>45924</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45924</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18708-2021</t>
        </is>
      </c>
      <c r="B83" s="1" t="n">
        <v>44307</v>
      </c>
      <c r="C83" s="1" t="n">
        <v>45924</v>
      </c>
      <c r="D83" t="inlineStr">
        <is>
          <t>DALARNAS LÄN</t>
        </is>
      </c>
      <c r="E83" t="inlineStr">
        <is>
          <t>ORSA</t>
        </is>
      </c>
      <c r="G83" t="n">
        <v>2.8</v>
      </c>
      <c r="H83" t="n">
        <v>0</v>
      </c>
      <c r="I83" t="n">
        <v>0</v>
      </c>
      <c r="J83" t="n">
        <v>0</v>
      </c>
      <c r="K83" t="n">
        <v>0</v>
      </c>
      <c r="L83" t="n">
        <v>0</v>
      </c>
      <c r="M83" t="n">
        <v>0</v>
      </c>
      <c r="N83" t="n">
        <v>0</v>
      </c>
      <c r="O83" t="n">
        <v>0</v>
      </c>
      <c r="P83" t="n">
        <v>0</v>
      </c>
      <c r="Q83" t="n">
        <v>0</v>
      </c>
      <c r="R83" s="2" t="inlineStr"/>
    </row>
    <row r="84" ht="15" customHeight="1">
      <c r="A84" t="inlineStr">
        <is>
          <t>A 57685-2021</t>
        </is>
      </c>
      <c r="B84" s="1" t="n">
        <v>44484.46385416666</v>
      </c>
      <c r="C84" s="1" t="n">
        <v>45924</v>
      </c>
      <c r="D84" t="inlineStr">
        <is>
          <t>DALARNAS LÄN</t>
        </is>
      </c>
      <c r="E84" t="inlineStr">
        <is>
          <t>ORSA</t>
        </is>
      </c>
      <c r="G84" t="n">
        <v>4.1</v>
      </c>
      <c r="H84" t="n">
        <v>0</v>
      </c>
      <c r="I84" t="n">
        <v>0</v>
      </c>
      <c r="J84" t="n">
        <v>0</v>
      </c>
      <c r="K84" t="n">
        <v>0</v>
      </c>
      <c r="L84" t="n">
        <v>0</v>
      </c>
      <c r="M84" t="n">
        <v>0</v>
      </c>
      <c r="N84" t="n">
        <v>0</v>
      </c>
      <c r="O84" t="n">
        <v>0</v>
      </c>
      <c r="P84" t="n">
        <v>0</v>
      </c>
      <c r="Q84" t="n">
        <v>0</v>
      </c>
      <c r="R84" s="2" t="inlineStr"/>
    </row>
    <row r="85" ht="15" customHeight="1">
      <c r="A85" t="inlineStr">
        <is>
          <t>A 29366-2021</t>
        </is>
      </c>
      <c r="B85" s="1" t="n">
        <v>44361.46637731481</v>
      </c>
      <c r="C85" s="1" t="n">
        <v>45924</v>
      </c>
      <c r="D85" t="inlineStr">
        <is>
          <t>DALARNAS LÄN</t>
        </is>
      </c>
      <c r="E85" t="inlineStr">
        <is>
          <t>ORSA</t>
        </is>
      </c>
      <c r="F85" t="inlineStr">
        <is>
          <t>Bergvik skog öst AB</t>
        </is>
      </c>
      <c r="G85" t="n">
        <v>0.5</v>
      </c>
      <c r="H85" t="n">
        <v>0</v>
      </c>
      <c r="I85" t="n">
        <v>0</v>
      </c>
      <c r="J85" t="n">
        <v>0</v>
      </c>
      <c r="K85" t="n">
        <v>0</v>
      </c>
      <c r="L85" t="n">
        <v>0</v>
      </c>
      <c r="M85" t="n">
        <v>0</v>
      </c>
      <c r="N85" t="n">
        <v>0</v>
      </c>
      <c r="O85" t="n">
        <v>0</v>
      </c>
      <c r="P85" t="n">
        <v>0</v>
      </c>
      <c r="Q85" t="n">
        <v>0</v>
      </c>
      <c r="R85" s="2" t="inlineStr"/>
    </row>
    <row r="86" ht="15" customHeight="1">
      <c r="A86" t="inlineStr">
        <is>
          <t>A 4454-2021</t>
        </is>
      </c>
      <c r="B86" s="1" t="n">
        <v>44224</v>
      </c>
      <c r="C86" s="1" t="n">
        <v>45924</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66533-2020</t>
        </is>
      </c>
      <c r="B87" s="1" t="n">
        <v>44179</v>
      </c>
      <c r="C87" s="1" t="n">
        <v>45924</v>
      </c>
      <c r="D87" t="inlineStr">
        <is>
          <t>DALARNAS LÄN</t>
        </is>
      </c>
      <c r="E87" t="inlineStr">
        <is>
          <t>ORSA</t>
        </is>
      </c>
      <c r="G87" t="n">
        <v>2.3</v>
      </c>
      <c r="H87" t="n">
        <v>0</v>
      </c>
      <c r="I87" t="n">
        <v>0</v>
      </c>
      <c r="J87" t="n">
        <v>0</v>
      </c>
      <c r="K87" t="n">
        <v>0</v>
      </c>
      <c r="L87" t="n">
        <v>0</v>
      </c>
      <c r="M87" t="n">
        <v>0</v>
      </c>
      <c r="N87" t="n">
        <v>0</v>
      </c>
      <c r="O87" t="n">
        <v>0</v>
      </c>
      <c r="P87" t="n">
        <v>0</v>
      </c>
      <c r="Q87" t="n">
        <v>0</v>
      </c>
      <c r="R87" s="2" t="inlineStr"/>
    </row>
    <row r="88" ht="15" customHeight="1">
      <c r="A88" t="inlineStr">
        <is>
          <t>A 66536-2020</t>
        </is>
      </c>
      <c r="B88" s="1" t="n">
        <v>44179</v>
      </c>
      <c r="C88" s="1" t="n">
        <v>45924</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14535-2022</t>
        </is>
      </c>
      <c r="B89" s="1" t="n">
        <v>44655.44512731482</v>
      </c>
      <c r="C89" s="1" t="n">
        <v>45924</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169-2022</t>
        </is>
      </c>
      <c r="B90" s="1" t="n">
        <v>44564</v>
      </c>
      <c r="C90" s="1" t="n">
        <v>45924</v>
      </c>
      <c r="D90" t="inlineStr">
        <is>
          <t>DALARNAS LÄN</t>
        </is>
      </c>
      <c r="E90" t="inlineStr">
        <is>
          <t>ORSA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44035-2022</t>
        </is>
      </c>
      <c r="B91" s="1" t="n">
        <v>44838.94439814815</v>
      </c>
      <c r="C91" s="1" t="n">
        <v>45924</v>
      </c>
      <c r="D91" t="inlineStr">
        <is>
          <t>DALARNAS LÄN</t>
        </is>
      </c>
      <c r="E91" t="inlineStr">
        <is>
          <t>ORSA</t>
        </is>
      </c>
      <c r="G91" t="n">
        <v>5.8</v>
      </c>
      <c r="H91" t="n">
        <v>0</v>
      </c>
      <c r="I91" t="n">
        <v>0</v>
      </c>
      <c r="J91" t="n">
        <v>0</v>
      </c>
      <c r="K91" t="n">
        <v>0</v>
      </c>
      <c r="L91" t="n">
        <v>0</v>
      </c>
      <c r="M91" t="n">
        <v>0</v>
      </c>
      <c r="N91" t="n">
        <v>0</v>
      </c>
      <c r="O91" t="n">
        <v>0</v>
      </c>
      <c r="P91" t="n">
        <v>0</v>
      </c>
      <c r="Q91" t="n">
        <v>0</v>
      </c>
      <c r="R91" s="2" t="inlineStr"/>
    </row>
    <row r="92" ht="15" customHeight="1">
      <c r="A92" t="inlineStr">
        <is>
          <t>A 41425-2021</t>
        </is>
      </c>
      <c r="B92" s="1" t="n">
        <v>44424.71729166667</v>
      </c>
      <c r="C92" s="1" t="n">
        <v>45924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51277-2021</t>
        </is>
      </c>
      <c r="B93" s="1" t="n">
        <v>44461</v>
      </c>
      <c r="C93" s="1" t="n">
        <v>45924</v>
      </c>
      <c r="D93" t="inlineStr">
        <is>
          <t>DALARNAS LÄN</t>
        </is>
      </c>
      <c r="E93" t="inlineStr">
        <is>
          <t>ORSA</t>
        </is>
      </c>
      <c r="F93" t="inlineStr">
        <is>
          <t>Allmännings- och besparingsskogar</t>
        </is>
      </c>
      <c r="G93" t="n">
        <v>0.2</v>
      </c>
      <c r="H93" t="n">
        <v>0</v>
      </c>
      <c r="I93" t="n">
        <v>0</v>
      </c>
      <c r="J93" t="n">
        <v>0</v>
      </c>
      <c r="K93" t="n">
        <v>0</v>
      </c>
      <c r="L93" t="n">
        <v>0</v>
      </c>
      <c r="M93" t="n">
        <v>0</v>
      </c>
      <c r="N93" t="n">
        <v>0</v>
      </c>
      <c r="O93" t="n">
        <v>0</v>
      </c>
      <c r="P93" t="n">
        <v>0</v>
      </c>
      <c r="Q93" t="n">
        <v>0</v>
      </c>
      <c r="R93" s="2" t="inlineStr"/>
    </row>
    <row r="94" ht="15" customHeight="1">
      <c r="A94" t="inlineStr">
        <is>
          <t>A 46244-2022</t>
        </is>
      </c>
      <c r="B94" s="1" t="n">
        <v>44847.62055555556</v>
      </c>
      <c r="C94" s="1" t="n">
        <v>45924</v>
      </c>
      <c r="D94" t="inlineStr">
        <is>
          <t>DALARNAS LÄN</t>
        </is>
      </c>
      <c r="E94" t="inlineStr">
        <is>
          <t>ORSA</t>
        </is>
      </c>
      <c r="F94" t="inlineStr">
        <is>
          <t>Bergvik skog öst AB</t>
        </is>
      </c>
      <c r="G94" t="n">
        <v>2.6</v>
      </c>
      <c r="H94" t="n">
        <v>0</v>
      </c>
      <c r="I94" t="n">
        <v>0</v>
      </c>
      <c r="J94" t="n">
        <v>0</v>
      </c>
      <c r="K94" t="n">
        <v>0</v>
      </c>
      <c r="L94" t="n">
        <v>0</v>
      </c>
      <c r="M94" t="n">
        <v>0</v>
      </c>
      <c r="N94" t="n">
        <v>0</v>
      </c>
      <c r="O94" t="n">
        <v>0</v>
      </c>
      <c r="P94" t="n">
        <v>0</v>
      </c>
      <c r="Q94" t="n">
        <v>0</v>
      </c>
      <c r="R94" s="2" t="inlineStr"/>
    </row>
    <row r="95" ht="15" customHeight="1">
      <c r="A95" t="inlineStr">
        <is>
          <t>A 3452-2021</t>
        </is>
      </c>
      <c r="B95" s="1" t="n">
        <v>44218</v>
      </c>
      <c r="C95" s="1" t="n">
        <v>45924</v>
      </c>
      <c r="D95" t="inlineStr">
        <is>
          <t>DALARNAS LÄN</t>
        </is>
      </c>
      <c r="E95" t="inlineStr">
        <is>
          <t>ORSA</t>
        </is>
      </c>
      <c r="G95" t="n">
        <v>12.5</v>
      </c>
      <c r="H95" t="n">
        <v>0</v>
      </c>
      <c r="I95" t="n">
        <v>0</v>
      </c>
      <c r="J95" t="n">
        <v>0</v>
      </c>
      <c r="K95" t="n">
        <v>0</v>
      </c>
      <c r="L95" t="n">
        <v>0</v>
      </c>
      <c r="M95" t="n">
        <v>0</v>
      </c>
      <c r="N95" t="n">
        <v>0</v>
      </c>
      <c r="O95" t="n">
        <v>0</v>
      </c>
      <c r="P95" t="n">
        <v>0</v>
      </c>
      <c r="Q95" t="n">
        <v>0</v>
      </c>
      <c r="R95" s="2" t="inlineStr"/>
    </row>
    <row r="96" ht="15" customHeight="1">
      <c r="A96" t="inlineStr">
        <is>
          <t>A 21678-2021</t>
        </is>
      </c>
      <c r="B96" s="1" t="n">
        <v>44322</v>
      </c>
      <c r="C96" s="1" t="n">
        <v>45924</v>
      </c>
      <c r="D96" t="inlineStr">
        <is>
          <t>DALARNAS LÄN</t>
        </is>
      </c>
      <c r="E96" t="inlineStr">
        <is>
          <t>ORSA</t>
        </is>
      </c>
      <c r="G96" t="n">
        <v>11.4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45924</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45924</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68230-2021</t>
        </is>
      </c>
      <c r="B99" s="1" t="n">
        <v>44526</v>
      </c>
      <c r="C99" s="1" t="n">
        <v>45924</v>
      </c>
      <c r="D99" t="inlineStr">
        <is>
          <t>DALARNAS LÄN</t>
        </is>
      </c>
      <c r="E99" t="inlineStr">
        <is>
          <t>ORSA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22813-2022</t>
        </is>
      </c>
      <c r="B100" s="1" t="n">
        <v>44715</v>
      </c>
      <c r="C100" s="1" t="n">
        <v>45924</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51278-2021</t>
        </is>
      </c>
      <c r="B101" s="1" t="n">
        <v>44461</v>
      </c>
      <c r="C101" s="1" t="n">
        <v>45924</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31647-2021</t>
        </is>
      </c>
      <c r="B102" s="1" t="n">
        <v>44369.63069444444</v>
      </c>
      <c r="C102" s="1" t="n">
        <v>45924</v>
      </c>
      <c r="D102" t="inlineStr">
        <is>
          <t>DALARNAS LÄN</t>
        </is>
      </c>
      <c r="E102" t="inlineStr">
        <is>
          <t>ORSA</t>
        </is>
      </c>
      <c r="G102" t="n">
        <v>1.4</v>
      </c>
      <c r="H102" t="n">
        <v>0</v>
      </c>
      <c r="I102" t="n">
        <v>0</v>
      </c>
      <c r="J102" t="n">
        <v>0</v>
      </c>
      <c r="K102" t="n">
        <v>0</v>
      </c>
      <c r="L102" t="n">
        <v>0</v>
      </c>
      <c r="M102" t="n">
        <v>0</v>
      </c>
      <c r="N102" t="n">
        <v>0</v>
      </c>
      <c r="O102" t="n">
        <v>0</v>
      </c>
      <c r="P102" t="n">
        <v>0</v>
      </c>
      <c r="Q102" t="n">
        <v>0</v>
      </c>
      <c r="R102" s="2" t="inlineStr"/>
    </row>
    <row r="103" ht="15" customHeight="1">
      <c r="A103" t="inlineStr">
        <is>
          <t>A 44033-2022</t>
        </is>
      </c>
      <c r="B103" s="1" t="n">
        <v>44838</v>
      </c>
      <c r="C103" s="1" t="n">
        <v>45924</v>
      </c>
      <c r="D103" t="inlineStr">
        <is>
          <t>DALARNAS LÄN</t>
        </is>
      </c>
      <c r="E103" t="inlineStr">
        <is>
          <t>ORSA</t>
        </is>
      </c>
      <c r="G103" t="n">
        <v>5.3</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45924</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17421-2025</t>
        </is>
      </c>
      <c r="B105" s="1" t="n">
        <v>45757.38532407407</v>
      </c>
      <c r="C105" s="1" t="n">
        <v>45924</v>
      </c>
      <c r="D105" t="inlineStr">
        <is>
          <t>DALARNAS LÄN</t>
        </is>
      </c>
      <c r="E105" t="inlineStr">
        <is>
          <t>ORSA</t>
        </is>
      </c>
      <c r="F105" t="inlineStr">
        <is>
          <t>Bergvik skog öst AB</t>
        </is>
      </c>
      <c r="G105" t="n">
        <v>0.6</v>
      </c>
      <c r="H105" t="n">
        <v>0</v>
      </c>
      <c r="I105" t="n">
        <v>0</v>
      </c>
      <c r="J105" t="n">
        <v>0</v>
      </c>
      <c r="K105" t="n">
        <v>0</v>
      </c>
      <c r="L105" t="n">
        <v>0</v>
      </c>
      <c r="M105" t="n">
        <v>0</v>
      </c>
      <c r="N105" t="n">
        <v>0</v>
      </c>
      <c r="O105" t="n">
        <v>0</v>
      </c>
      <c r="P105" t="n">
        <v>0</v>
      </c>
      <c r="Q105" t="n">
        <v>0</v>
      </c>
      <c r="R105" s="2" t="inlineStr"/>
    </row>
    <row r="106" ht="15" customHeight="1">
      <c r="A106" t="inlineStr">
        <is>
          <t>A 52776-2022</t>
        </is>
      </c>
      <c r="B106" s="1" t="n">
        <v>44875.36341435185</v>
      </c>
      <c r="C106" s="1" t="n">
        <v>45924</v>
      </c>
      <c r="D106" t="inlineStr">
        <is>
          <t>DALARNAS LÄN</t>
        </is>
      </c>
      <c r="E106" t="inlineStr">
        <is>
          <t>ORSA</t>
        </is>
      </c>
      <c r="F106" t="inlineStr">
        <is>
          <t>Allmännings- och besparingsskogar</t>
        </is>
      </c>
      <c r="G106" t="n">
        <v>4.4</v>
      </c>
      <c r="H106" t="n">
        <v>0</v>
      </c>
      <c r="I106" t="n">
        <v>0</v>
      </c>
      <c r="J106" t="n">
        <v>0</v>
      </c>
      <c r="K106" t="n">
        <v>0</v>
      </c>
      <c r="L106" t="n">
        <v>0</v>
      </c>
      <c r="M106" t="n">
        <v>0</v>
      </c>
      <c r="N106" t="n">
        <v>0</v>
      </c>
      <c r="O106" t="n">
        <v>0</v>
      </c>
      <c r="P106" t="n">
        <v>0</v>
      </c>
      <c r="Q106" t="n">
        <v>0</v>
      </c>
      <c r="R106" s="2" t="inlineStr"/>
    </row>
    <row r="107" ht="15" customHeight="1">
      <c r="A107" t="inlineStr">
        <is>
          <t>A 6492-2025</t>
        </is>
      </c>
      <c r="B107" s="1" t="n">
        <v>45699</v>
      </c>
      <c r="C107" s="1" t="n">
        <v>45924</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61333-2024</t>
        </is>
      </c>
      <c r="B108" s="1" t="n">
        <v>45646.35832175926</v>
      </c>
      <c r="C108" s="1" t="n">
        <v>45924</v>
      </c>
      <c r="D108" t="inlineStr">
        <is>
          <t>DALARNAS LÄN</t>
        </is>
      </c>
      <c r="E108" t="inlineStr">
        <is>
          <t>ORSA</t>
        </is>
      </c>
      <c r="G108" t="n">
        <v>11.5</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45924</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35477-2023</t>
        </is>
      </c>
      <c r="B110" s="1" t="n">
        <v>45146</v>
      </c>
      <c r="C110" s="1" t="n">
        <v>45924</v>
      </c>
      <c r="D110" t="inlineStr">
        <is>
          <t>DALARNAS LÄN</t>
        </is>
      </c>
      <c r="E110" t="inlineStr">
        <is>
          <t>ORSA</t>
        </is>
      </c>
      <c r="G110" t="n">
        <v>7.7</v>
      </c>
      <c r="H110" t="n">
        <v>0</v>
      </c>
      <c r="I110" t="n">
        <v>0</v>
      </c>
      <c r="J110" t="n">
        <v>0</v>
      </c>
      <c r="K110" t="n">
        <v>0</v>
      </c>
      <c r="L110" t="n">
        <v>0</v>
      </c>
      <c r="M110" t="n">
        <v>0</v>
      </c>
      <c r="N110" t="n">
        <v>0</v>
      </c>
      <c r="O110" t="n">
        <v>0</v>
      </c>
      <c r="P110" t="n">
        <v>0</v>
      </c>
      <c r="Q110" t="n">
        <v>0</v>
      </c>
      <c r="R110" s="2" t="inlineStr"/>
    </row>
    <row r="111" ht="15" customHeight="1">
      <c r="A111" t="inlineStr">
        <is>
          <t>A 1785-2024</t>
        </is>
      </c>
      <c r="B111" s="1" t="n">
        <v>45307</v>
      </c>
      <c r="C111" s="1" t="n">
        <v>45924</v>
      </c>
      <c r="D111" t="inlineStr">
        <is>
          <t>DALARNAS LÄN</t>
        </is>
      </c>
      <c r="E111" t="inlineStr">
        <is>
          <t>ORSA</t>
        </is>
      </c>
      <c r="G111" t="n">
        <v>42.8</v>
      </c>
      <c r="H111" t="n">
        <v>0</v>
      </c>
      <c r="I111" t="n">
        <v>0</v>
      </c>
      <c r="J111" t="n">
        <v>0</v>
      </c>
      <c r="K111" t="n">
        <v>0</v>
      </c>
      <c r="L111" t="n">
        <v>0</v>
      </c>
      <c r="M111" t="n">
        <v>0</v>
      </c>
      <c r="N111" t="n">
        <v>0</v>
      </c>
      <c r="O111" t="n">
        <v>0</v>
      </c>
      <c r="P111" t="n">
        <v>0</v>
      </c>
      <c r="Q111" t="n">
        <v>0</v>
      </c>
      <c r="R111" s="2" t="inlineStr"/>
    </row>
    <row r="112" ht="15" customHeight="1">
      <c r="A112" t="inlineStr">
        <is>
          <t>A 24248-2025</t>
        </is>
      </c>
      <c r="B112" s="1" t="n">
        <v>45797.40101851852</v>
      </c>
      <c r="C112" s="1" t="n">
        <v>45924</v>
      </c>
      <c r="D112" t="inlineStr">
        <is>
          <t>DALARNAS LÄN</t>
        </is>
      </c>
      <c r="E112" t="inlineStr">
        <is>
          <t>ORSA</t>
        </is>
      </c>
      <c r="F112" t="inlineStr">
        <is>
          <t>Bergvik skog öst AB</t>
        </is>
      </c>
      <c r="G112" t="n">
        <v>4.3</v>
      </c>
      <c r="H112" t="n">
        <v>0</v>
      </c>
      <c r="I112" t="n">
        <v>0</v>
      </c>
      <c r="J112" t="n">
        <v>0</v>
      </c>
      <c r="K112" t="n">
        <v>0</v>
      </c>
      <c r="L112" t="n">
        <v>0</v>
      </c>
      <c r="M112" t="n">
        <v>0</v>
      </c>
      <c r="N112" t="n">
        <v>0</v>
      </c>
      <c r="O112" t="n">
        <v>0</v>
      </c>
      <c r="P112" t="n">
        <v>0</v>
      </c>
      <c r="Q112" t="n">
        <v>0</v>
      </c>
      <c r="R112" s="2" t="inlineStr"/>
    </row>
    <row r="113" ht="15" customHeight="1">
      <c r="A113" t="inlineStr">
        <is>
          <t>A 53703-2024</t>
        </is>
      </c>
      <c r="B113" s="1" t="n">
        <v>45615.3990162037</v>
      </c>
      <c r="C113" s="1" t="n">
        <v>45924</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24235-2025</t>
        </is>
      </c>
      <c r="B114" s="1" t="n">
        <v>45797.38252314815</v>
      </c>
      <c r="C114" s="1" t="n">
        <v>45924</v>
      </c>
      <c r="D114" t="inlineStr">
        <is>
          <t>DALARNAS LÄN</t>
        </is>
      </c>
      <c r="E114" t="inlineStr">
        <is>
          <t>ORSA</t>
        </is>
      </c>
      <c r="G114" t="n">
        <v>3.1</v>
      </c>
      <c r="H114" t="n">
        <v>0</v>
      </c>
      <c r="I114" t="n">
        <v>0</v>
      </c>
      <c r="J114" t="n">
        <v>0</v>
      </c>
      <c r="K114" t="n">
        <v>0</v>
      </c>
      <c r="L114" t="n">
        <v>0</v>
      </c>
      <c r="M114" t="n">
        <v>0</v>
      </c>
      <c r="N114" t="n">
        <v>0</v>
      </c>
      <c r="O114" t="n">
        <v>0</v>
      </c>
      <c r="P114" t="n">
        <v>0</v>
      </c>
      <c r="Q114" t="n">
        <v>0</v>
      </c>
      <c r="R114" s="2" t="inlineStr"/>
    </row>
    <row r="115" ht="15" customHeight="1">
      <c r="A115" t="inlineStr">
        <is>
          <t>A 26215-2022</t>
        </is>
      </c>
      <c r="B115" s="1" t="n">
        <v>44735.4421412037</v>
      </c>
      <c r="C115" s="1" t="n">
        <v>45924</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10645-2025</t>
        </is>
      </c>
      <c r="B116" s="1" t="n">
        <v>45721.66297453704</v>
      </c>
      <c r="C116" s="1" t="n">
        <v>45924</v>
      </c>
      <c r="D116" t="inlineStr">
        <is>
          <t>DALARNAS LÄN</t>
        </is>
      </c>
      <c r="E116" t="inlineStr">
        <is>
          <t>ORSA</t>
        </is>
      </c>
      <c r="F116" t="inlineStr">
        <is>
          <t>Bergvik skog öst AB</t>
        </is>
      </c>
      <c r="G116" t="n">
        <v>5.8</v>
      </c>
      <c r="H116" t="n">
        <v>0</v>
      </c>
      <c r="I116" t="n">
        <v>0</v>
      </c>
      <c r="J116" t="n">
        <v>0</v>
      </c>
      <c r="K116" t="n">
        <v>0</v>
      </c>
      <c r="L116" t="n">
        <v>0</v>
      </c>
      <c r="M116" t="n">
        <v>0</v>
      </c>
      <c r="N116" t="n">
        <v>0</v>
      </c>
      <c r="O116" t="n">
        <v>0</v>
      </c>
      <c r="P116" t="n">
        <v>0</v>
      </c>
      <c r="Q116" t="n">
        <v>0</v>
      </c>
      <c r="R116" s="2" t="inlineStr"/>
    </row>
    <row r="117" ht="15" customHeight="1">
      <c r="A117" t="inlineStr">
        <is>
          <t>A 37838-2024</t>
        </is>
      </c>
      <c r="B117" s="1" t="n">
        <v>45544.36310185185</v>
      </c>
      <c r="C117" s="1" t="n">
        <v>45924</v>
      </c>
      <c r="D117" t="inlineStr">
        <is>
          <t>DALARNAS LÄN</t>
        </is>
      </c>
      <c r="E117" t="inlineStr">
        <is>
          <t>ORSA</t>
        </is>
      </c>
      <c r="G117" t="n">
        <v>2.9</v>
      </c>
      <c r="H117" t="n">
        <v>0</v>
      </c>
      <c r="I117" t="n">
        <v>0</v>
      </c>
      <c r="J117" t="n">
        <v>0</v>
      </c>
      <c r="K117" t="n">
        <v>0</v>
      </c>
      <c r="L117" t="n">
        <v>0</v>
      </c>
      <c r="M117" t="n">
        <v>0</v>
      </c>
      <c r="N117" t="n">
        <v>0</v>
      </c>
      <c r="O117" t="n">
        <v>0</v>
      </c>
      <c r="P117" t="n">
        <v>0</v>
      </c>
      <c r="Q117" t="n">
        <v>0</v>
      </c>
      <c r="R117" s="2" t="inlineStr"/>
    </row>
    <row r="118" ht="15" customHeight="1">
      <c r="A118" t="inlineStr">
        <is>
          <t>A 61000-2021</t>
        </is>
      </c>
      <c r="B118" s="1" t="n">
        <v>44497</v>
      </c>
      <c r="C118" s="1" t="n">
        <v>45924</v>
      </c>
      <c r="D118" t="inlineStr">
        <is>
          <t>DALARNAS LÄN</t>
        </is>
      </c>
      <c r="E118" t="inlineStr">
        <is>
          <t>ORSA</t>
        </is>
      </c>
      <c r="G118" t="n">
        <v>4.4</v>
      </c>
      <c r="H118" t="n">
        <v>0</v>
      </c>
      <c r="I118" t="n">
        <v>0</v>
      </c>
      <c r="J118" t="n">
        <v>0</v>
      </c>
      <c r="K118" t="n">
        <v>0</v>
      </c>
      <c r="L118" t="n">
        <v>0</v>
      </c>
      <c r="M118" t="n">
        <v>0</v>
      </c>
      <c r="N118" t="n">
        <v>0</v>
      </c>
      <c r="O118" t="n">
        <v>0</v>
      </c>
      <c r="P118" t="n">
        <v>0</v>
      </c>
      <c r="Q118" t="n">
        <v>0</v>
      </c>
      <c r="R118" s="2" t="inlineStr"/>
    </row>
    <row r="119" ht="15" customHeight="1">
      <c r="A119" t="inlineStr">
        <is>
          <t>A 61005-2021</t>
        </is>
      </c>
      <c r="B119" s="1" t="n">
        <v>44497</v>
      </c>
      <c r="C119" s="1" t="n">
        <v>45924</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34708-2021</t>
        </is>
      </c>
      <c r="B120" s="1" t="n">
        <v>44382</v>
      </c>
      <c r="C120" s="1" t="n">
        <v>45924</v>
      </c>
      <c r="D120" t="inlineStr">
        <is>
          <t>DALARNAS LÄN</t>
        </is>
      </c>
      <c r="E120" t="inlineStr">
        <is>
          <t>ORSA</t>
        </is>
      </c>
      <c r="G120" t="n">
        <v>4.3</v>
      </c>
      <c r="H120" t="n">
        <v>0</v>
      </c>
      <c r="I120" t="n">
        <v>0</v>
      </c>
      <c r="J120" t="n">
        <v>0</v>
      </c>
      <c r="K120" t="n">
        <v>0</v>
      </c>
      <c r="L120" t="n">
        <v>0</v>
      </c>
      <c r="M120" t="n">
        <v>0</v>
      </c>
      <c r="N120" t="n">
        <v>0</v>
      </c>
      <c r="O120" t="n">
        <v>0</v>
      </c>
      <c r="P120" t="n">
        <v>0</v>
      </c>
      <c r="Q120" t="n">
        <v>0</v>
      </c>
      <c r="R120" s="2" t="inlineStr"/>
    </row>
    <row r="121" ht="15" customHeight="1">
      <c r="A121" t="inlineStr">
        <is>
          <t>A 18037-2023</t>
        </is>
      </c>
      <c r="B121" s="1" t="n">
        <v>45040</v>
      </c>
      <c r="C121" s="1" t="n">
        <v>45924</v>
      </c>
      <c r="D121" t="inlineStr">
        <is>
          <t>DALARNAS LÄN</t>
        </is>
      </c>
      <c r="E121" t="inlineStr">
        <is>
          <t>ORSA</t>
        </is>
      </c>
      <c r="G121" t="n">
        <v>6.6</v>
      </c>
      <c r="H121" t="n">
        <v>0</v>
      </c>
      <c r="I121" t="n">
        <v>0</v>
      </c>
      <c r="J121" t="n">
        <v>0</v>
      </c>
      <c r="K121" t="n">
        <v>0</v>
      </c>
      <c r="L121" t="n">
        <v>0</v>
      </c>
      <c r="M121" t="n">
        <v>0</v>
      </c>
      <c r="N121" t="n">
        <v>0</v>
      </c>
      <c r="O121" t="n">
        <v>0</v>
      </c>
      <c r="P121" t="n">
        <v>0</v>
      </c>
      <c r="Q121" t="n">
        <v>0</v>
      </c>
      <c r="R121" s="2" t="inlineStr"/>
    </row>
    <row r="122" ht="15" customHeight="1">
      <c r="A122" t="inlineStr">
        <is>
          <t>A 52816-2024</t>
        </is>
      </c>
      <c r="B122" s="1" t="n">
        <v>45610.58322916667</v>
      </c>
      <c r="C122" s="1" t="n">
        <v>45924</v>
      </c>
      <c r="D122" t="inlineStr">
        <is>
          <t>DALARNAS LÄN</t>
        </is>
      </c>
      <c r="E122" t="inlineStr">
        <is>
          <t>ORSA</t>
        </is>
      </c>
      <c r="F122" t="inlineStr">
        <is>
          <t>Bergvik skog öst AB</t>
        </is>
      </c>
      <c r="G122" t="n">
        <v>2.2</v>
      </c>
      <c r="H122" t="n">
        <v>0</v>
      </c>
      <c r="I122" t="n">
        <v>0</v>
      </c>
      <c r="J122" t="n">
        <v>0</v>
      </c>
      <c r="K122" t="n">
        <v>0</v>
      </c>
      <c r="L122" t="n">
        <v>0</v>
      </c>
      <c r="M122" t="n">
        <v>0</v>
      </c>
      <c r="N122" t="n">
        <v>0</v>
      </c>
      <c r="O122" t="n">
        <v>0</v>
      </c>
      <c r="P122" t="n">
        <v>0</v>
      </c>
      <c r="Q122" t="n">
        <v>0</v>
      </c>
      <c r="R122" s="2" t="inlineStr"/>
    </row>
    <row r="123" ht="15" customHeight="1">
      <c r="A123" t="inlineStr">
        <is>
          <t>A 24969-2025</t>
        </is>
      </c>
      <c r="B123" s="1" t="n">
        <v>45799</v>
      </c>
      <c r="C123" s="1" t="n">
        <v>45924</v>
      </c>
      <c r="D123" t="inlineStr">
        <is>
          <t>DALARNAS LÄN</t>
        </is>
      </c>
      <c r="E123" t="inlineStr">
        <is>
          <t>ORSA</t>
        </is>
      </c>
      <c r="F123" t="inlineStr">
        <is>
          <t>Allmännings- och besparingsskogar</t>
        </is>
      </c>
      <c r="G123" t="n">
        <v>2.6</v>
      </c>
      <c r="H123" t="n">
        <v>0</v>
      </c>
      <c r="I123" t="n">
        <v>0</v>
      </c>
      <c r="J123" t="n">
        <v>0</v>
      </c>
      <c r="K123" t="n">
        <v>0</v>
      </c>
      <c r="L123" t="n">
        <v>0</v>
      </c>
      <c r="M123" t="n">
        <v>0</v>
      </c>
      <c r="N123" t="n">
        <v>0</v>
      </c>
      <c r="O123" t="n">
        <v>0</v>
      </c>
      <c r="P123" t="n">
        <v>0</v>
      </c>
      <c r="Q123" t="n">
        <v>0</v>
      </c>
      <c r="R123" s="2" t="inlineStr"/>
    </row>
    <row r="124" ht="15" customHeight="1">
      <c r="A124" t="inlineStr">
        <is>
          <t>A 50905-2021</t>
        </is>
      </c>
      <c r="B124" s="1" t="n">
        <v>44460</v>
      </c>
      <c r="C124" s="1" t="n">
        <v>45924</v>
      </c>
      <c r="D124" t="inlineStr">
        <is>
          <t>DALARNAS LÄN</t>
        </is>
      </c>
      <c r="E124" t="inlineStr">
        <is>
          <t>ORSA</t>
        </is>
      </c>
      <c r="G124" t="n">
        <v>2.1</v>
      </c>
      <c r="H124" t="n">
        <v>0</v>
      </c>
      <c r="I124" t="n">
        <v>0</v>
      </c>
      <c r="J124" t="n">
        <v>0</v>
      </c>
      <c r="K124" t="n">
        <v>0</v>
      </c>
      <c r="L124" t="n">
        <v>0</v>
      </c>
      <c r="M124" t="n">
        <v>0</v>
      </c>
      <c r="N124" t="n">
        <v>0</v>
      </c>
      <c r="O124" t="n">
        <v>0</v>
      </c>
      <c r="P124" t="n">
        <v>0</v>
      </c>
      <c r="Q124" t="n">
        <v>0</v>
      </c>
      <c r="R124" s="2" t="inlineStr"/>
    </row>
    <row r="125" ht="15" customHeight="1">
      <c r="A125" t="inlineStr">
        <is>
          <t>A 55691-2022</t>
        </is>
      </c>
      <c r="B125" s="1" t="n">
        <v>44888</v>
      </c>
      <c r="C125" s="1" t="n">
        <v>45924</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29499-2024</t>
        </is>
      </c>
      <c r="B126" s="1" t="n">
        <v>45484</v>
      </c>
      <c r="C126" s="1" t="n">
        <v>45924</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45924</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45924</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25211-2025</t>
        </is>
      </c>
      <c r="B129" s="1" t="n">
        <v>45800.46965277778</v>
      </c>
      <c r="C129" s="1" t="n">
        <v>45924</v>
      </c>
      <c r="D129" t="inlineStr">
        <is>
          <t>DALARNAS LÄN</t>
        </is>
      </c>
      <c r="E129" t="inlineStr">
        <is>
          <t>ORSA</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36569-2021</t>
        </is>
      </c>
      <c r="B130" s="1" t="n">
        <v>44391</v>
      </c>
      <c r="C130" s="1" t="n">
        <v>45924</v>
      </c>
      <c r="D130" t="inlineStr">
        <is>
          <t>DALARNAS LÄN</t>
        </is>
      </c>
      <c r="E130" t="inlineStr">
        <is>
          <t>ORSA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53229-2023</t>
        </is>
      </c>
      <c r="B131" s="1" t="n">
        <v>45229.48306712963</v>
      </c>
      <c r="C131" s="1" t="n">
        <v>45924</v>
      </c>
      <c r="D131" t="inlineStr">
        <is>
          <t>DALARNAS LÄN</t>
        </is>
      </c>
      <c r="E131" t="inlineStr">
        <is>
          <t>ORSA</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18817-2023</t>
        </is>
      </c>
      <c r="B132" s="1" t="n">
        <v>45043</v>
      </c>
      <c r="C132" s="1" t="n">
        <v>45924</v>
      </c>
      <c r="D132" t="inlineStr">
        <is>
          <t>DALARNAS LÄN</t>
        </is>
      </c>
      <c r="E132" t="inlineStr">
        <is>
          <t>ORSA</t>
        </is>
      </c>
      <c r="G132" t="n">
        <v>4.4</v>
      </c>
      <c r="H132" t="n">
        <v>0</v>
      </c>
      <c r="I132" t="n">
        <v>0</v>
      </c>
      <c r="J132" t="n">
        <v>0</v>
      </c>
      <c r="K132" t="n">
        <v>0</v>
      </c>
      <c r="L132" t="n">
        <v>0</v>
      </c>
      <c r="M132" t="n">
        <v>0</v>
      </c>
      <c r="N132" t="n">
        <v>0</v>
      </c>
      <c r="O132" t="n">
        <v>0</v>
      </c>
      <c r="P132" t="n">
        <v>0</v>
      </c>
      <c r="Q132" t="n">
        <v>0</v>
      </c>
      <c r="R132" s="2" t="inlineStr"/>
    </row>
    <row r="133" ht="15" customHeight="1">
      <c r="A133" t="inlineStr">
        <is>
          <t>A 2717-2024</t>
        </is>
      </c>
      <c r="B133" s="1" t="n">
        <v>45314.49222222222</v>
      </c>
      <c r="C133" s="1" t="n">
        <v>45924</v>
      </c>
      <c r="D133" t="inlineStr">
        <is>
          <t>DALARNAS LÄN</t>
        </is>
      </c>
      <c r="E133" t="inlineStr">
        <is>
          <t>ORSA</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56711-2021</t>
        </is>
      </c>
      <c r="B134" s="1" t="n">
        <v>44481.41222222222</v>
      </c>
      <c r="C134" s="1" t="n">
        <v>45924</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18009-2023</t>
        </is>
      </c>
      <c r="B135" s="1" t="n">
        <v>45040.56190972222</v>
      </c>
      <c r="C135" s="1" t="n">
        <v>45924</v>
      </c>
      <c r="D135" t="inlineStr">
        <is>
          <t>DALARNAS LÄN</t>
        </is>
      </c>
      <c r="E135" t="inlineStr">
        <is>
          <t>ORSA</t>
        </is>
      </c>
      <c r="G135" t="n">
        <v>5.8</v>
      </c>
      <c r="H135" t="n">
        <v>0</v>
      </c>
      <c r="I135" t="n">
        <v>0</v>
      </c>
      <c r="J135" t="n">
        <v>0</v>
      </c>
      <c r="K135" t="n">
        <v>0</v>
      </c>
      <c r="L135" t="n">
        <v>0</v>
      </c>
      <c r="M135" t="n">
        <v>0</v>
      </c>
      <c r="N135" t="n">
        <v>0</v>
      </c>
      <c r="O135" t="n">
        <v>0</v>
      </c>
      <c r="P135" t="n">
        <v>0</v>
      </c>
      <c r="Q135" t="n">
        <v>0</v>
      </c>
      <c r="R135" s="2" t="inlineStr"/>
    </row>
    <row r="136" ht="15" customHeight="1">
      <c r="A136" t="inlineStr">
        <is>
          <t>A 49781-2023</t>
        </is>
      </c>
      <c r="B136" s="1" t="n">
        <v>45212.60275462963</v>
      </c>
      <c r="C136" s="1" t="n">
        <v>45924</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5921-2025</t>
        </is>
      </c>
      <c r="B137" s="1" t="n">
        <v>45695</v>
      </c>
      <c r="C137" s="1" t="n">
        <v>45924</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41295-2021</t>
        </is>
      </c>
      <c r="B138" s="1" t="n">
        <v>44424</v>
      </c>
      <c r="C138" s="1" t="n">
        <v>45924</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31031-2023</t>
        </is>
      </c>
      <c r="B139" s="1" t="n">
        <v>45113</v>
      </c>
      <c r="C139" s="1" t="n">
        <v>45924</v>
      </c>
      <c r="D139" t="inlineStr">
        <is>
          <t>DALARNAS LÄN</t>
        </is>
      </c>
      <c r="E139" t="inlineStr">
        <is>
          <t>ORSA</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27542-2021</t>
        </is>
      </c>
      <c r="B140" s="1" t="n">
        <v>44351</v>
      </c>
      <c r="C140" s="1" t="n">
        <v>45924</v>
      </c>
      <c r="D140" t="inlineStr">
        <is>
          <t>DALARNAS LÄN</t>
        </is>
      </c>
      <c r="E140" t="inlineStr">
        <is>
          <t>ORSA</t>
        </is>
      </c>
      <c r="G140" t="n">
        <v>1</v>
      </c>
      <c r="H140" t="n">
        <v>0</v>
      </c>
      <c r="I140" t="n">
        <v>0</v>
      </c>
      <c r="J140" t="n">
        <v>0</v>
      </c>
      <c r="K140" t="n">
        <v>0</v>
      </c>
      <c r="L140" t="n">
        <v>0</v>
      </c>
      <c r="M140" t="n">
        <v>0</v>
      </c>
      <c r="N140" t="n">
        <v>0</v>
      </c>
      <c r="O140" t="n">
        <v>0</v>
      </c>
      <c r="P140" t="n">
        <v>0</v>
      </c>
      <c r="Q140" t="n">
        <v>0</v>
      </c>
      <c r="R140" s="2" t="inlineStr"/>
    </row>
    <row r="141" ht="15" customHeight="1">
      <c r="A141" t="inlineStr">
        <is>
          <t>A 26741-2025</t>
        </is>
      </c>
      <c r="B141" s="1" t="n">
        <v>45810.52444444445</v>
      </c>
      <c r="C141" s="1" t="n">
        <v>45924</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46454-2024</t>
        </is>
      </c>
      <c r="B142" s="1" t="n">
        <v>45582</v>
      </c>
      <c r="C142" s="1" t="n">
        <v>45924</v>
      </c>
      <c r="D142" t="inlineStr">
        <is>
          <t>DALARNAS LÄN</t>
        </is>
      </c>
      <c r="E142" t="inlineStr">
        <is>
          <t>ORSA</t>
        </is>
      </c>
      <c r="F142" t="inlineStr">
        <is>
          <t>Övriga statliga verk och myndigheter</t>
        </is>
      </c>
      <c r="G142" t="n">
        <v>1</v>
      </c>
      <c r="H142" t="n">
        <v>0</v>
      </c>
      <c r="I142" t="n">
        <v>0</v>
      </c>
      <c r="J142" t="n">
        <v>0</v>
      </c>
      <c r="K142" t="n">
        <v>0</v>
      </c>
      <c r="L142" t="n">
        <v>0</v>
      </c>
      <c r="M142" t="n">
        <v>0</v>
      </c>
      <c r="N142" t="n">
        <v>0</v>
      </c>
      <c r="O142" t="n">
        <v>0</v>
      </c>
      <c r="P142" t="n">
        <v>0</v>
      </c>
      <c r="Q142" t="n">
        <v>0</v>
      </c>
      <c r="R142" s="2" t="inlineStr"/>
    </row>
    <row r="143" ht="15" customHeight="1">
      <c r="A143" t="inlineStr">
        <is>
          <t>A 42238-2023</t>
        </is>
      </c>
      <c r="B143" s="1" t="n">
        <v>45180.34207175926</v>
      </c>
      <c r="C143" s="1" t="n">
        <v>45924</v>
      </c>
      <c r="D143" t="inlineStr">
        <is>
          <t>DALARNAS LÄN</t>
        </is>
      </c>
      <c r="E143" t="inlineStr">
        <is>
          <t>ORSA</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25172-2022</t>
        </is>
      </c>
      <c r="B144" s="1" t="n">
        <v>44729.58356481481</v>
      </c>
      <c r="C144" s="1" t="n">
        <v>45924</v>
      </c>
      <c r="D144" t="inlineStr">
        <is>
          <t>DALARNAS LÄN</t>
        </is>
      </c>
      <c r="E144" t="inlineStr">
        <is>
          <t>ORSA</t>
        </is>
      </c>
      <c r="F144" t="inlineStr">
        <is>
          <t>Bergvik skog öst AB</t>
        </is>
      </c>
      <c r="G144" t="n">
        <v>3.6</v>
      </c>
      <c r="H144" t="n">
        <v>0</v>
      </c>
      <c r="I144" t="n">
        <v>0</v>
      </c>
      <c r="J144" t="n">
        <v>0</v>
      </c>
      <c r="K144" t="n">
        <v>0</v>
      </c>
      <c r="L144" t="n">
        <v>0</v>
      </c>
      <c r="M144" t="n">
        <v>0</v>
      </c>
      <c r="N144" t="n">
        <v>0</v>
      </c>
      <c r="O144" t="n">
        <v>0</v>
      </c>
      <c r="P144" t="n">
        <v>0</v>
      </c>
      <c r="Q144" t="n">
        <v>0</v>
      </c>
      <c r="R144" s="2" t="inlineStr"/>
    </row>
    <row r="145" ht="15" customHeight="1">
      <c r="A145" t="inlineStr">
        <is>
          <t>A 1624-2024</t>
        </is>
      </c>
      <c r="B145" s="1" t="n">
        <v>45306</v>
      </c>
      <c r="C145" s="1" t="n">
        <v>45924</v>
      </c>
      <c r="D145" t="inlineStr">
        <is>
          <t>DALARNAS LÄN</t>
        </is>
      </c>
      <c r="E145" t="inlineStr">
        <is>
          <t>ORSA</t>
        </is>
      </c>
      <c r="G145" t="n">
        <v>1.9</v>
      </c>
      <c r="H145" t="n">
        <v>0</v>
      </c>
      <c r="I145" t="n">
        <v>0</v>
      </c>
      <c r="J145" t="n">
        <v>0</v>
      </c>
      <c r="K145" t="n">
        <v>0</v>
      </c>
      <c r="L145" t="n">
        <v>0</v>
      </c>
      <c r="M145" t="n">
        <v>0</v>
      </c>
      <c r="N145" t="n">
        <v>0</v>
      </c>
      <c r="O145" t="n">
        <v>0</v>
      </c>
      <c r="P145" t="n">
        <v>0</v>
      </c>
      <c r="Q145" t="n">
        <v>0</v>
      </c>
      <c r="R145" s="2" t="inlineStr"/>
    </row>
    <row r="146" ht="15" customHeight="1">
      <c r="A146" t="inlineStr">
        <is>
          <t>A 47134-2024</t>
        </is>
      </c>
      <c r="B146" s="1" t="n">
        <v>45586.58081018519</v>
      </c>
      <c r="C146" s="1" t="n">
        <v>45924</v>
      </c>
      <c r="D146" t="inlineStr">
        <is>
          <t>DALARNAS LÄN</t>
        </is>
      </c>
      <c r="E146" t="inlineStr">
        <is>
          <t>ORSA</t>
        </is>
      </c>
      <c r="G146" t="n">
        <v>0.3</v>
      </c>
      <c r="H146" t="n">
        <v>0</v>
      </c>
      <c r="I146" t="n">
        <v>0</v>
      </c>
      <c r="J146" t="n">
        <v>0</v>
      </c>
      <c r="K146" t="n">
        <v>0</v>
      </c>
      <c r="L146" t="n">
        <v>0</v>
      </c>
      <c r="M146" t="n">
        <v>0</v>
      </c>
      <c r="N146" t="n">
        <v>0</v>
      </c>
      <c r="O146" t="n">
        <v>0</v>
      </c>
      <c r="P146" t="n">
        <v>0</v>
      </c>
      <c r="Q146" t="n">
        <v>0</v>
      </c>
      <c r="R146" s="2" t="inlineStr"/>
    </row>
    <row r="147" ht="15" customHeight="1">
      <c r="A147" t="inlineStr">
        <is>
          <t>A 10832-2022</t>
        </is>
      </c>
      <c r="B147" s="1" t="n">
        <v>44627</v>
      </c>
      <c r="C147" s="1" t="n">
        <v>45924</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20302-2023</t>
        </is>
      </c>
      <c r="B148" s="1" t="n">
        <v>45056</v>
      </c>
      <c r="C148" s="1" t="n">
        <v>45924</v>
      </c>
      <c r="D148" t="inlineStr">
        <is>
          <t>DALARNAS LÄN</t>
        </is>
      </c>
      <c r="E148" t="inlineStr">
        <is>
          <t>ORSA</t>
        </is>
      </c>
      <c r="G148" t="n">
        <v>2.1</v>
      </c>
      <c r="H148" t="n">
        <v>0</v>
      </c>
      <c r="I148" t="n">
        <v>0</v>
      </c>
      <c r="J148" t="n">
        <v>0</v>
      </c>
      <c r="K148" t="n">
        <v>0</v>
      </c>
      <c r="L148" t="n">
        <v>0</v>
      </c>
      <c r="M148" t="n">
        <v>0</v>
      </c>
      <c r="N148" t="n">
        <v>0</v>
      </c>
      <c r="O148" t="n">
        <v>0</v>
      </c>
      <c r="P148" t="n">
        <v>0</v>
      </c>
      <c r="Q148" t="n">
        <v>0</v>
      </c>
      <c r="R148" s="2" t="inlineStr"/>
    </row>
    <row r="149" ht="15" customHeight="1">
      <c r="A149" t="inlineStr">
        <is>
          <t>A 36682-2024</t>
        </is>
      </c>
      <c r="B149" s="1" t="n">
        <v>45537.65519675926</v>
      </c>
      <c r="C149" s="1" t="n">
        <v>45924</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55701-2023</t>
        </is>
      </c>
      <c r="B150" s="1" t="n">
        <v>45239.37113425926</v>
      </c>
      <c r="C150" s="1" t="n">
        <v>45924</v>
      </c>
      <c r="D150" t="inlineStr">
        <is>
          <t>DALARNAS LÄN</t>
        </is>
      </c>
      <c r="E150" t="inlineStr">
        <is>
          <t>ORSA</t>
        </is>
      </c>
      <c r="G150" t="n">
        <v>1.7</v>
      </c>
      <c r="H150" t="n">
        <v>0</v>
      </c>
      <c r="I150" t="n">
        <v>0</v>
      </c>
      <c r="J150" t="n">
        <v>0</v>
      </c>
      <c r="K150" t="n">
        <v>0</v>
      </c>
      <c r="L150" t="n">
        <v>0</v>
      </c>
      <c r="M150" t="n">
        <v>0</v>
      </c>
      <c r="N150" t="n">
        <v>0</v>
      </c>
      <c r="O150" t="n">
        <v>0</v>
      </c>
      <c r="P150" t="n">
        <v>0</v>
      </c>
      <c r="Q150" t="n">
        <v>0</v>
      </c>
      <c r="R150" s="2" t="inlineStr"/>
    </row>
    <row r="151" ht="15" customHeight="1">
      <c r="A151" t="inlineStr">
        <is>
          <t>A 72284-2021</t>
        </is>
      </c>
      <c r="B151" s="1" t="n">
        <v>44545.36940972223</v>
      </c>
      <c r="C151" s="1" t="n">
        <v>45924</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13575-2025</t>
        </is>
      </c>
      <c r="B152" s="1" t="n">
        <v>45736.57871527778</v>
      </c>
      <c r="C152" s="1" t="n">
        <v>45924</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63543-2020</t>
        </is>
      </c>
      <c r="B153" s="1" t="n">
        <v>44165</v>
      </c>
      <c r="C153" s="1" t="n">
        <v>45924</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15870-2025</t>
        </is>
      </c>
      <c r="B154" s="1" t="n">
        <v>45749.37135416667</v>
      </c>
      <c r="C154" s="1" t="n">
        <v>45924</v>
      </c>
      <c r="D154" t="inlineStr">
        <is>
          <t>DALARNAS LÄN</t>
        </is>
      </c>
      <c r="E154" t="inlineStr">
        <is>
          <t>ORSA</t>
        </is>
      </c>
      <c r="F154" t="inlineStr">
        <is>
          <t>Bergvik skog öst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47126-2021</t>
        </is>
      </c>
      <c r="B155" s="1" t="n">
        <v>44446.78168981482</v>
      </c>
      <c r="C155" s="1" t="n">
        <v>45924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17500-2025</t>
        </is>
      </c>
      <c r="B156" s="1" t="n">
        <v>45757.54954861111</v>
      </c>
      <c r="C156" s="1" t="n">
        <v>45924</v>
      </c>
      <c r="D156" t="inlineStr">
        <is>
          <t>DALARNAS LÄN</t>
        </is>
      </c>
      <c r="E156" t="inlineStr">
        <is>
          <t>ORSA</t>
        </is>
      </c>
      <c r="G156" t="n">
        <v>1.9</v>
      </c>
      <c r="H156" t="n">
        <v>0</v>
      </c>
      <c r="I156" t="n">
        <v>0</v>
      </c>
      <c r="J156" t="n">
        <v>0</v>
      </c>
      <c r="K156" t="n">
        <v>0</v>
      </c>
      <c r="L156" t="n">
        <v>0</v>
      </c>
      <c r="M156" t="n">
        <v>0</v>
      </c>
      <c r="N156" t="n">
        <v>0</v>
      </c>
      <c r="O156" t="n">
        <v>0</v>
      </c>
      <c r="P156" t="n">
        <v>0</v>
      </c>
      <c r="Q156" t="n">
        <v>0</v>
      </c>
      <c r="R156" s="2" t="inlineStr"/>
    </row>
    <row r="157" ht="15" customHeight="1">
      <c r="A157" t="inlineStr">
        <is>
          <t>A 21364-2025</t>
        </is>
      </c>
      <c r="B157" s="1" t="n">
        <v>45782</v>
      </c>
      <c r="C157" s="1" t="n">
        <v>45924</v>
      </c>
      <c r="D157" t="inlineStr">
        <is>
          <t>DALARNAS LÄN</t>
        </is>
      </c>
      <c r="E157" t="inlineStr">
        <is>
          <t>ORSA</t>
        </is>
      </c>
      <c r="F157" t="inlineStr">
        <is>
          <t>Allmännings- och besparingsskogar</t>
        </is>
      </c>
      <c r="G157" t="n">
        <v>52.6</v>
      </c>
      <c r="H157" t="n">
        <v>0</v>
      </c>
      <c r="I157" t="n">
        <v>0</v>
      </c>
      <c r="J157" t="n">
        <v>0</v>
      </c>
      <c r="K157" t="n">
        <v>0</v>
      </c>
      <c r="L157" t="n">
        <v>0</v>
      </c>
      <c r="M157" t="n">
        <v>0</v>
      </c>
      <c r="N157" t="n">
        <v>0</v>
      </c>
      <c r="O157" t="n">
        <v>0</v>
      </c>
      <c r="P157" t="n">
        <v>0</v>
      </c>
      <c r="Q157" t="n">
        <v>0</v>
      </c>
      <c r="R157" s="2" t="inlineStr"/>
    </row>
    <row r="158" ht="15" customHeight="1">
      <c r="A158" t="inlineStr">
        <is>
          <t>A 27190-2025</t>
        </is>
      </c>
      <c r="B158" s="1" t="n">
        <v>45812.37025462963</v>
      </c>
      <c r="C158" s="1" t="n">
        <v>45924</v>
      </c>
      <c r="D158" t="inlineStr">
        <is>
          <t>DALARNAS LÄN</t>
        </is>
      </c>
      <c r="E158" t="inlineStr">
        <is>
          <t>ORSA</t>
        </is>
      </c>
      <c r="F158" t="inlineStr">
        <is>
          <t>Bergvik skog öst AB</t>
        </is>
      </c>
      <c r="G158" t="n">
        <v>4.9</v>
      </c>
      <c r="H158" t="n">
        <v>0</v>
      </c>
      <c r="I158" t="n">
        <v>0</v>
      </c>
      <c r="J158" t="n">
        <v>0</v>
      </c>
      <c r="K158" t="n">
        <v>0</v>
      </c>
      <c r="L158" t="n">
        <v>0</v>
      </c>
      <c r="M158" t="n">
        <v>0</v>
      </c>
      <c r="N158" t="n">
        <v>0</v>
      </c>
      <c r="O158" t="n">
        <v>0</v>
      </c>
      <c r="P158" t="n">
        <v>0</v>
      </c>
      <c r="Q158" t="n">
        <v>0</v>
      </c>
      <c r="R158" s="2" t="inlineStr"/>
    </row>
    <row r="159" ht="15" customHeight="1">
      <c r="A159" t="inlineStr">
        <is>
          <t>A 27221-2025</t>
        </is>
      </c>
      <c r="B159" s="1" t="n">
        <v>45812.42304398148</v>
      </c>
      <c r="C159" s="1" t="n">
        <v>45924</v>
      </c>
      <c r="D159" t="inlineStr">
        <is>
          <t>DALARNAS LÄN</t>
        </is>
      </c>
      <c r="E159" t="inlineStr">
        <is>
          <t>ORSA</t>
        </is>
      </c>
      <c r="F159" t="inlineStr">
        <is>
          <t>Bergvik skog öst AB</t>
        </is>
      </c>
      <c r="G159" t="n">
        <v>3.7</v>
      </c>
      <c r="H159" t="n">
        <v>0</v>
      </c>
      <c r="I159" t="n">
        <v>0</v>
      </c>
      <c r="J159" t="n">
        <v>0</v>
      </c>
      <c r="K159" t="n">
        <v>0</v>
      </c>
      <c r="L159" t="n">
        <v>0</v>
      </c>
      <c r="M159" t="n">
        <v>0</v>
      </c>
      <c r="N159" t="n">
        <v>0</v>
      </c>
      <c r="O159" t="n">
        <v>0</v>
      </c>
      <c r="P159" t="n">
        <v>0</v>
      </c>
      <c r="Q159" t="n">
        <v>0</v>
      </c>
      <c r="R159" s="2" t="inlineStr"/>
    </row>
    <row r="160" ht="15" customHeight="1">
      <c r="A160" t="inlineStr">
        <is>
          <t>A 27240-2025</t>
        </is>
      </c>
      <c r="B160" s="1" t="n">
        <v>45812.45170138889</v>
      </c>
      <c r="C160" s="1" t="n">
        <v>45924</v>
      </c>
      <c r="D160" t="inlineStr">
        <is>
          <t>DALARNAS LÄN</t>
        </is>
      </c>
      <c r="E160" t="inlineStr">
        <is>
          <t>ORSA</t>
        </is>
      </c>
      <c r="F160" t="inlineStr">
        <is>
          <t>Bergvik skog öst AB</t>
        </is>
      </c>
      <c r="G160" t="n">
        <v>6.8</v>
      </c>
      <c r="H160" t="n">
        <v>0</v>
      </c>
      <c r="I160" t="n">
        <v>0</v>
      </c>
      <c r="J160" t="n">
        <v>0</v>
      </c>
      <c r="K160" t="n">
        <v>0</v>
      </c>
      <c r="L160" t="n">
        <v>0</v>
      </c>
      <c r="M160" t="n">
        <v>0</v>
      </c>
      <c r="N160" t="n">
        <v>0</v>
      </c>
      <c r="O160" t="n">
        <v>0</v>
      </c>
      <c r="P160" t="n">
        <v>0</v>
      </c>
      <c r="Q160" t="n">
        <v>0</v>
      </c>
      <c r="R160" s="2" t="inlineStr"/>
    </row>
    <row r="161" ht="15" customHeight="1">
      <c r="A161" t="inlineStr">
        <is>
          <t>A 6490-2025</t>
        </is>
      </c>
      <c r="B161" s="1" t="n">
        <v>45699</v>
      </c>
      <c r="C161" s="1" t="n">
        <v>45924</v>
      </c>
      <c r="D161" t="inlineStr">
        <is>
          <t>DALARNAS LÄN</t>
        </is>
      </c>
      <c r="E161" t="inlineStr">
        <is>
          <t>ORSA</t>
        </is>
      </c>
      <c r="G161" t="n">
        <v>7.5</v>
      </c>
      <c r="H161" t="n">
        <v>0</v>
      </c>
      <c r="I161" t="n">
        <v>0</v>
      </c>
      <c r="J161" t="n">
        <v>0</v>
      </c>
      <c r="K161" t="n">
        <v>0</v>
      </c>
      <c r="L161" t="n">
        <v>0</v>
      </c>
      <c r="M161" t="n">
        <v>0</v>
      </c>
      <c r="N161" t="n">
        <v>0</v>
      </c>
      <c r="O161" t="n">
        <v>0</v>
      </c>
      <c r="P161" t="n">
        <v>0</v>
      </c>
      <c r="Q161" t="n">
        <v>0</v>
      </c>
      <c r="R161" s="2" t="inlineStr"/>
    </row>
    <row r="162" ht="15" customHeight="1">
      <c r="A162" t="inlineStr">
        <is>
          <t>A 27313-2025</t>
        </is>
      </c>
      <c r="B162" s="1" t="n">
        <v>45812.58365740741</v>
      </c>
      <c r="C162" s="1" t="n">
        <v>45924</v>
      </c>
      <c r="D162" t="inlineStr">
        <is>
          <t>DALARNAS LÄN</t>
        </is>
      </c>
      <c r="E162" t="inlineStr">
        <is>
          <t>ORSA</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31172-2023</t>
        </is>
      </c>
      <c r="B163" s="1" t="n">
        <v>45113.8637037037</v>
      </c>
      <c r="C163" s="1" t="n">
        <v>45924</v>
      </c>
      <c r="D163" t="inlineStr">
        <is>
          <t>DALARNAS LÄN</t>
        </is>
      </c>
      <c r="E163" t="inlineStr">
        <is>
          <t>ORSA</t>
        </is>
      </c>
      <c r="G163" t="n">
        <v>2.9</v>
      </c>
      <c r="H163" t="n">
        <v>0</v>
      </c>
      <c r="I163" t="n">
        <v>0</v>
      </c>
      <c r="J163" t="n">
        <v>0</v>
      </c>
      <c r="K163" t="n">
        <v>0</v>
      </c>
      <c r="L163" t="n">
        <v>0</v>
      </c>
      <c r="M163" t="n">
        <v>0</v>
      </c>
      <c r="N163" t="n">
        <v>0</v>
      </c>
      <c r="O163" t="n">
        <v>0</v>
      </c>
      <c r="P163" t="n">
        <v>0</v>
      </c>
      <c r="Q163" t="n">
        <v>0</v>
      </c>
      <c r="R163" s="2" t="inlineStr"/>
    </row>
    <row r="164" ht="15" customHeight="1">
      <c r="A164" t="inlineStr">
        <is>
          <t>A 48990-2023</t>
        </is>
      </c>
      <c r="B164" s="1" t="n">
        <v>45209.64740740741</v>
      </c>
      <c r="C164" s="1" t="n">
        <v>45924</v>
      </c>
      <c r="D164" t="inlineStr">
        <is>
          <t>DALARNAS LÄN</t>
        </is>
      </c>
      <c r="E164" t="inlineStr">
        <is>
          <t>ORSA</t>
        </is>
      </c>
      <c r="F164" t="inlineStr">
        <is>
          <t>Allmännings- och besparingsskogar</t>
        </is>
      </c>
      <c r="G164" t="n">
        <v>0.9</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45924</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19108-2025</t>
        </is>
      </c>
      <c r="B166" s="1" t="n">
        <v>45768</v>
      </c>
      <c r="C166" s="1" t="n">
        <v>45924</v>
      </c>
      <c r="D166" t="inlineStr">
        <is>
          <t>DALARNAS LÄN</t>
        </is>
      </c>
      <c r="E166" t="inlineStr">
        <is>
          <t>ORSA</t>
        </is>
      </c>
      <c r="F166" t="inlineStr">
        <is>
          <t>Bergvik skog väst AB</t>
        </is>
      </c>
      <c r="G166" t="n">
        <v>14.3</v>
      </c>
      <c r="H166" t="n">
        <v>0</v>
      </c>
      <c r="I166" t="n">
        <v>0</v>
      </c>
      <c r="J166" t="n">
        <v>0</v>
      </c>
      <c r="K166" t="n">
        <v>0</v>
      </c>
      <c r="L166" t="n">
        <v>0</v>
      </c>
      <c r="M166" t="n">
        <v>0</v>
      </c>
      <c r="N166" t="n">
        <v>0</v>
      </c>
      <c r="O166" t="n">
        <v>0</v>
      </c>
      <c r="P166" t="n">
        <v>0</v>
      </c>
      <c r="Q166" t="n">
        <v>0</v>
      </c>
      <c r="R166" s="2" t="inlineStr"/>
    </row>
    <row r="167" ht="15" customHeight="1">
      <c r="A167" t="inlineStr">
        <is>
          <t>A 58853-2022</t>
        </is>
      </c>
      <c r="B167" s="1" t="n">
        <v>44903</v>
      </c>
      <c r="C167" s="1" t="n">
        <v>45924</v>
      </c>
      <c r="D167" t="inlineStr">
        <is>
          <t>DALARNAS LÄN</t>
        </is>
      </c>
      <c r="E167" t="inlineStr">
        <is>
          <t>ORSA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52649-2024</t>
        </is>
      </c>
      <c r="B168" s="1" t="n">
        <v>45610.3468287037</v>
      </c>
      <c r="C168" s="1" t="n">
        <v>45924</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45924</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45924</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27987-2025</t>
        </is>
      </c>
      <c r="B171" s="1" t="n">
        <v>45817.58361111111</v>
      </c>
      <c r="C171" s="1" t="n">
        <v>45924</v>
      </c>
      <c r="D171" t="inlineStr">
        <is>
          <t>DALARNAS LÄN</t>
        </is>
      </c>
      <c r="E171" t="inlineStr">
        <is>
          <t>ORSA</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8430-2024</t>
        </is>
      </c>
      <c r="B172" s="1" t="n">
        <v>45353.41157407407</v>
      </c>
      <c r="C172" s="1" t="n">
        <v>45924</v>
      </c>
      <c r="D172" t="inlineStr">
        <is>
          <t>DALARNAS LÄN</t>
        </is>
      </c>
      <c r="E172" t="inlineStr">
        <is>
          <t>ORSA</t>
        </is>
      </c>
      <c r="G172" t="n">
        <v>14.4</v>
      </c>
      <c r="H172" t="n">
        <v>0</v>
      </c>
      <c r="I172" t="n">
        <v>0</v>
      </c>
      <c r="J172" t="n">
        <v>0</v>
      </c>
      <c r="K172" t="n">
        <v>0</v>
      </c>
      <c r="L172" t="n">
        <v>0</v>
      </c>
      <c r="M172" t="n">
        <v>0</v>
      </c>
      <c r="N172" t="n">
        <v>0</v>
      </c>
      <c r="O172" t="n">
        <v>0</v>
      </c>
      <c r="P172" t="n">
        <v>0</v>
      </c>
      <c r="Q172" t="n">
        <v>0</v>
      </c>
      <c r="R172" s="2" t="inlineStr"/>
    </row>
    <row r="173" ht="15" customHeight="1">
      <c r="A173" t="inlineStr">
        <is>
          <t>A 28207-2025</t>
        </is>
      </c>
      <c r="B173" s="1" t="n">
        <v>45818.44871527778</v>
      </c>
      <c r="C173" s="1" t="n">
        <v>45924</v>
      </c>
      <c r="D173" t="inlineStr">
        <is>
          <t>DALARNAS LÄN</t>
        </is>
      </c>
      <c r="E173" t="inlineStr">
        <is>
          <t>ORSA</t>
        </is>
      </c>
      <c r="F173" t="inlineStr">
        <is>
          <t>Bergvik skog öst AB</t>
        </is>
      </c>
      <c r="G173" t="n">
        <v>2.9</v>
      </c>
      <c r="H173" t="n">
        <v>0</v>
      </c>
      <c r="I173" t="n">
        <v>0</v>
      </c>
      <c r="J173" t="n">
        <v>0</v>
      </c>
      <c r="K173" t="n">
        <v>0</v>
      </c>
      <c r="L173" t="n">
        <v>0</v>
      </c>
      <c r="M173" t="n">
        <v>0</v>
      </c>
      <c r="N173" t="n">
        <v>0</v>
      </c>
      <c r="O173" t="n">
        <v>0</v>
      </c>
      <c r="P173" t="n">
        <v>0</v>
      </c>
      <c r="Q173" t="n">
        <v>0</v>
      </c>
      <c r="R173" s="2" t="inlineStr"/>
    </row>
    <row r="174" ht="15" customHeight="1">
      <c r="A174" t="inlineStr">
        <is>
          <t>A 28635-2025</t>
        </is>
      </c>
      <c r="B174" s="1" t="n">
        <v>45819.63112268518</v>
      </c>
      <c r="C174" s="1" t="n">
        <v>45924</v>
      </c>
      <c r="D174" t="inlineStr">
        <is>
          <t>DALARNAS LÄN</t>
        </is>
      </c>
      <c r="E174" t="inlineStr">
        <is>
          <t>ORSA</t>
        </is>
      </c>
      <c r="F174" t="inlineStr">
        <is>
          <t>Bergvik skog öst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28317-2025</t>
        </is>
      </c>
      <c r="B175" s="1" t="n">
        <v>45818.6300462963</v>
      </c>
      <c r="C175" s="1" t="n">
        <v>45924</v>
      </c>
      <c r="D175" t="inlineStr">
        <is>
          <t>DALARNAS LÄN</t>
        </is>
      </c>
      <c r="E175" t="inlineStr">
        <is>
          <t>ORSA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10359-2023</t>
        </is>
      </c>
      <c r="B176" s="1" t="n">
        <v>44987.37292824074</v>
      </c>
      <c r="C176" s="1" t="n">
        <v>45924</v>
      </c>
      <c r="D176" t="inlineStr">
        <is>
          <t>DALARNAS LÄN</t>
        </is>
      </c>
      <c r="E176" t="inlineStr">
        <is>
          <t>ORSA</t>
        </is>
      </c>
      <c r="G176" t="n">
        <v>2.5</v>
      </c>
      <c r="H176" t="n">
        <v>0</v>
      </c>
      <c r="I176" t="n">
        <v>0</v>
      </c>
      <c r="J176" t="n">
        <v>0</v>
      </c>
      <c r="K176" t="n">
        <v>0</v>
      </c>
      <c r="L176" t="n">
        <v>0</v>
      </c>
      <c r="M176" t="n">
        <v>0</v>
      </c>
      <c r="N176" t="n">
        <v>0</v>
      </c>
      <c r="O176" t="n">
        <v>0</v>
      </c>
      <c r="P176" t="n">
        <v>0</v>
      </c>
      <c r="Q176" t="n">
        <v>0</v>
      </c>
      <c r="R176" s="2" t="inlineStr"/>
    </row>
    <row r="177" ht="15" customHeight="1">
      <c r="A177" t="inlineStr">
        <is>
          <t>A 28609-2025</t>
        </is>
      </c>
      <c r="B177" s="1" t="n">
        <v>45819.60303240741</v>
      </c>
      <c r="C177" s="1" t="n">
        <v>45924</v>
      </c>
      <c r="D177" t="inlineStr">
        <is>
          <t>DALARNAS LÄN</t>
        </is>
      </c>
      <c r="E177" t="inlineStr">
        <is>
          <t>ORSA</t>
        </is>
      </c>
      <c r="F177" t="inlineStr">
        <is>
          <t>Bergvik skog öst AB</t>
        </is>
      </c>
      <c r="G177" t="n">
        <v>9.1</v>
      </c>
      <c r="H177" t="n">
        <v>0</v>
      </c>
      <c r="I177" t="n">
        <v>0</v>
      </c>
      <c r="J177" t="n">
        <v>0</v>
      </c>
      <c r="K177" t="n">
        <v>0</v>
      </c>
      <c r="L177" t="n">
        <v>0</v>
      </c>
      <c r="M177" t="n">
        <v>0</v>
      </c>
      <c r="N177" t="n">
        <v>0</v>
      </c>
      <c r="O177" t="n">
        <v>0</v>
      </c>
      <c r="P177" t="n">
        <v>0</v>
      </c>
      <c r="Q177" t="n">
        <v>0</v>
      </c>
      <c r="R177" s="2" t="inlineStr"/>
    </row>
    <row r="178" ht="15" customHeight="1">
      <c r="A178" t="inlineStr">
        <is>
          <t>A 3951-2023</t>
        </is>
      </c>
      <c r="B178" s="1" t="n">
        <v>44952.38577546296</v>
      </c>
      <c r="C178" s="1" t="n">
        <v>45924</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57533-2022</t>
        </is>
      </c>
      <c r="B179" s="1" t="n">
        <v>44896.68393518519</v>
      </c>
      <c r="C179" s="1" t="n">
        <v>45924</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1304-2024</t>
        </is>
      </c>
      <c r="B180" s="1" t="n">
        <v>45303</v>
      </c>
      <c r="C180" s="1" t="n">
        <v>45924</v>
      </c>
      <c r="D180" t="inlineStr">
        <is>
          <t>DALARNAS LÄN</t>
        </is>
      </c>
      <c r="E180" t="inlineStr">
        <is>
          <t>ORSA</t>
        </is>
      </c>
      <c r="G180" t="n">
        <v>3.8</v>
      </c>
      <c r="H180" t="n">
        <v>0</v>
      </c>
      <c r="I180" t="n">
        <v>0</v>
      </c>
      <c r="J180" t="n">
        <v>0</v>
      </c>
      <c r="K180" t="n">
        <v>0</v>
      </c>
      <c r="L180" t="n">
        <v>0</v>
      </c>
      <c r="M180" t="n">
        <v>0</v>
      </c>
      <c r="N180" t="n">
        <v>0</v>
      </c>
      <c r="O180" t="n">
        <v>0</v>
      </c>
      <c r="P180" t="n">
        <v>0</v>
      </c>
      <c r="Q180" t="n">
        <v>0</v>
      </c>
      <c r="R180" s="2" t="inlineStr"/>
    </row>
    <row r="181" ht="15" customHeight="1">
      <c r="A181" t="inlineStr">
        <is>
          <t>A 51289-2023</t>
        </is>
      </c>
      <c r="B181" s="1" t="n">
        <v>45219.54077546296</v>
      </c>
      <c r="C181" s="1" t="n">
        <v>45924</v>
      </c>
      <c r="D181" t="inlineStr">
        <is>
          <t>DALARNAS LÄN</t>
        </is>
      </c>
      <c r="E181" t="inlineStr">
        <is>
          <t>ORSA</t>
        </is>
      </c>
      <c r="G181" t="n">
        <v>1.5</v>
      </c>
      <c r="H181" t="n">
        <v>0</v>
      </c>
      <c r="I181" t="n">
        <v>0</v>
      </c>
      <c r="J181" t="n">
        <v>0</v>
      </c>
      <c r="K181" t="n">
        <v>0</v>
      </c>
      <c r="L181" t="n">
        <v>0</v>
      </c>
      <c r="M181" t="n">
        <v>0</v>
      </c>
      <c r="N181" t="n">
        <v>0</v>
      </c>
      <c r="O181" t="n">
        <v>0</v>
      </c>
      <c r="P181" t="n">
        <v>0</v>
      </c>
      <c r="Q181" t="n">
        <v>0</v>
      </c>
      <c r="R181" s="2" t="inlineStr"/>
    </row>
    <row r="182" ht="15" customHeight="1">
      <c r="A182" t="inlineStr">
        <is>
          <t>A 47778-2021</t>
        </is>
      </c>
      <c r="B182" s="1" t="n">
        <v>44448</v>
      </c>
      <c r="C182" s="1" t="n">
        <v>45924</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23339-2024</t>
        </is>
      </c>
      <c r="B183" s="1" t="n">
        <v>45453.48988425926</v>
      </c>
      <c r="C183" s="1" t="n">
        <v>45924</v>
      </c>
      <c r="D183" t="inlineStr">
        <is>
          <t>DALARNAS LÄN</t>
        </is>
      </c>
      <c r="E183" t="inlineStr">
        <is>
          <t>ORSA</t>
        </is>
      </c>
      <c r="G183" t="n">
        <v>3.8</v>
      </c>
      <c r="H183" t="n">
        <v>0</v>
      </c>
      <c r="I183" t="n">
        <v>0</v>
      </c>
      <c r="J183" t="n">
        <v>0</v>
      </c>
      <c r="K183" t="n">
        <v>0</v>
      </c>
      <c r="L183" t="n">
        <v>0</v>
      </c>
      <c r="M183" t="n">
        <v>0</v>
      </c>
      <c r="N183" t="n">
        <v>0</v>
      </c>
      <c r="O183" t="n">
        <v>0</v>
      </c>
      <c r="P183" t="n">
        <v>0</v>
      </c>
      <c r="Q183" t="n">
        <v>0</v>
      </c>
      <c r="R183" s="2" t="inlineStr"/>
    </row>
    <row r="184" ht="15" customHeight="1">
      <c r="A184" t="inlineStr">
        <is>
          <t>A 37647-2023</t>
        </is>
      </c>
      <c r="B184" s="1" t="n">
        <v>45159</v>
      </c>
      <c r="C184" s="1" t="n">
        <v>45924</v>
      </c>
      <c r="D184" t="inlineStr">
        <is>
          <t>DALARNAS LÄN</t>
        </is>
      </c>
      <c r="E184" t="inlineStr">
        <is>
          <t>ORSA</t>
        </is>
      </c>
      <c r="F184" t="inlineStr">
        <is>
          <t>Allmännings- och besparingsskogar</t>
        </is>
      </c>
      <c r="G184" t="n">
        <v>2.1</v>
      </c>
      <c r="H184" t="n">
        <v>0</v>
      </c>
      <c r="I184" t="n">
        <v>0</v>
      </c>
      <c r="J184" t="n">
        <v>0</v>
      </c>
      <c r="K184" t="n">
        <v>0</v>
      </c>
      <c r="L184" t="n">
        <v>0</v>
      </c>
      <c r="M184" t="n">
        <v>0</v>
      </c>
      <c r="N184" t="n">
        <v>0</v>
      </c>
      <c r="O184" t="n">
        <v>0</v>
      </c>
      <c r="P184" t="n">
        <v>0</v>
      </c>
      <c r="Q184" t="n">
        <v>0</v>
      </c>
      <c r="R184" s="2" t="inlineStr"/>
    </row>
    <row r="185" ht="15" customHeight="1">
      <c r="A185" t="inlineStr">
        <is>
          <t>A 15772-2025</t>
        </is>
      </c>
      <c r="B185" s="1" t="n">
        <v>45748.59069444444</v>
      </c>
      <c r="C185" s="1" t="n">
        <v>45924</v>
      </c>
      <c r="D185" t="inlineStr">
        <is>
          <t>DALARNAS LÄN</t>
        </is>
      </c>
      <c r="E185" t="inlineStr">
        <is>
          <t>ORSA</t>
        </is>
      </c>
      <c r="F185" t="inlineStr">
        <is>
          <t>Bergvik skog öst AB</t>
        </is>
      </c>
      <c r="G185" t="n">
        <v>3.8</v>
      </c>
      <c r="H185" t="n">
        <v>0</v>
      </c>
      <c r="I185" t="n">
        <v>0</v>
      </c>
      <c r="J185" t="n">
        <v>0</v>
      </c>
      <c r="K185" t="n">
        <v>0</v>
      </c>
      <c r="L185" t="n">
        <v>0</v>
      </c>
      <c r="M185" t="n">
        <v>0</v>
      </c>
      <c r="N185" t="n">
        <v>0</v>
      </c>
      <c r="O185" t="n">
        <v>0</v>
      </c>
      <c r="P185" t="n">
        <v>0</v>
      </c>
      <c r="Q185" t="n">
        <v>0</v>
      </c>
      <c r="R185" s="2" t="inlineStr"/>
    </row>
    <row r="186" ht="15" customHeight="1">
      <c r="A186" t="inlineStr">
        <is>
          <t>A 51305-2023</t>
        </is>
      </c>
      <c r="B186" s="1" t="n">
        <v>45219</v>
      </c>
      <c r="C186" s="1" t="n">
        <v>45924</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29933-2025</t>
        </is>
      </c>
      <c r="B187" s="1" t="n">
        <v>45826.44121527778</v>
      </c>
      <c r="C187" s="1" t="n">
        <v>45924</v>
      </c>
      <c r="D187" t="inlineStr">
        <is>
          <t>DALARNAS LÄN</t>
        </is>
      </c>
      <c r="E187" t="inlineStr">
        <is>
          <t>ORSA</t>
        </is>
      </c>
      <c r="G187" t="n">
        <v>1.8</v>
      </c>
      <c r="H187" t="n">
        <v>0</v>
      </c>
      <c r="I187" t="n">
        <v>0</v>
      </c>
      <c r="J187" t="n">
        <v>0</v>
      </c>
      <c r="K187" t="n">
        <v>0</v>
      </c>
      <c r="L187" t="n">
        <v>0</v>
      </c>
      <c r="M187" t="n">
        <v>0</v>
      </c>
      <c r="N187" t="n">
        <v>0</v>
      </c>
      <c r="O187" t="n">
        <v>0</v>
      </c>
      <c r="P187" t="n">
        <v>0</v>
      </c>
      <c r="Q187" t="n">
        <v>0</v>
      </c>
      <c r="R187" s="2" t="inlineStr"/>
    </row>
    <row r="188" ht="15" customHeight="1">
      <c r="A188" t="inlineStr">
        <is>
          <t>A 29844-2025</t>
        </is>
      </c>
      <c r="B188" s="1" t="n">
        <v>45826</v>
      </c>
      <c r="C188" s="1" t="n">
        <v>45924</v>
      </c>
      <c r="D188" t="inlineStr">
        <is>
          <t>DALARNAS LÄN</t>
        </is>
      </c>
      <c r="E188" t="inlineStr">
        <is>
          <t>ORSA</t>
        </is>
      </c>
      <c r="F188" t="inlineStr">
        <is>
          <t>Allmännings- och besparingsskogar</t>
        </is>
      </c>
      <c r="G188" t="n">
        <v>53.9</v>
      </c>
      <c r="H188" t="n">
        <v>0</v>
      </c>
      <c r="I188" t="n">
        <v>0</v>
      </c>
      <c r="J188" t="n">
        <v>0</v>
      </c>
      <c r="K188" t="n">
        <v>0</v>
      </c>
      <c r="L188" t="n">
        <v>0</v>
      </c>
      <c r="M188" t="n">
        <v>0</v>
      </c>
      <c r="N188" t="n">
        <v>0</v>
      </c>
      <c r="O188" t="n">
        <v>0</v>
      </c>
      <c r="P188" t="n">
        <v>0</v>
      </c>
      <c r="Q188" t="n">
        <v>0</v>
      </c>
      <c r="R188" s="2" t="inlineStr"/>
    </row>
    <row r="189" ht="15" customHeight="1">
      <c r="A189" t="inlineStr">
        <is>
          <t>A 31026-2023</t>
        </is>
      </c>
      <c r="B189" s="1" t="n">
        <v>45113.5812962963</v>
      </c>
      <c r="C189" s="1" t="n">
        <v>45924</v>
      </c>
      <c r="D189" t="inlineStr">
        <is>
          <t>DALARNAS LÄN</t>
        </is>
      </c>
      <c r="E189" t="inlineStr">
        <is>
          <t>ORSA</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17850-2025</t>
        </is>
      </c>
      <c r="B190" s="1" t="n">
        <v>45758.60162037037</v>
      </c>
      <c r="C190" s="1" t="n">
        <v>45924</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30751-2025</t>
        </is>
      </c>
      <c r="B191" s="1" t="n">
        <v>45831.58921296296</v>
      </c>
      <c r="C191" s="1" t="n">
        <v>45924</v>
      </c>
      <c r="D191" t="inlineStr">
        <is>
          <t>DALARNAS LÄN</t>
        </is>
      </c>
      <c r="E191" t="inlineStr">
        <is>
          <t>ORSA</t>
        </is>
      </c>
      <c r="G191" t="n">
        <v>5.2</v>
      </c>
      <c r="H191" t="n">
        <v>0</v>
      </c>
      <c r="I191" t="n">
        <v>0</v>
      </c>
      <c r="J191" t="n">
        <v>0</v>
      </c>
      <c r="K191" t="n">
        <v>0</v>
      </c>
      <c r="L191" t="n">
        <v>0</v>
      </c>
      <c r="M191" t="n">
        <v>0</v>
      </c>
      <c r="N191" t="n">
        <v>0</v>
      </c>
      <c r="O191" t="n">
        <v>0</v>
      </c>
      <c r="P191" t="n">
        <v>0</v>
      </c>
      <c r="Q191" t="n">
        <v>0</v>
      </c>
      <c r="R191" s="2" t="inlineStr"/>
    </row>
    <row r="192" ht="15" customHeight="1">
      <c r="A192" t="inlineStr">
        <is>
          <t>A 30458-2023</t>
        </is>
      </c>
      <c r="B192" s="1" t="n">
        <v>45111</v>
      </c>
      <c r="C192" s="1" t="n">
        <v>45924</v>
      </c>
      <c r="D192" t="inlineStr">
        <is>
          <t>DALARNAS LÄN</t>
        </is>
      </c>
      <c r="E192" t="inlineStr">
        <is>
          <t>ORSA</t>
        </is>
      </c>
      <c r="F192" t="inlineStr">
        <is>
          <t>Bergvik skog öst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14680-2023</t>
        </is>
      </c>
      <c r="B193" s="1" t="n">
        <v>45014.30054398148</v>
      </c>
      <c r="C193" s="1" t="n">
        <v>45924</v>
      </c>
      <c r="D193" t="inlineStr">
        <is>
          <t>DALARNAS LÄN</t>
        </is>
      </c>
      <c r="E193" t="inlineStr">
        <is>
          <t>ORSA</t>
        </is>
      </c>
      <c r="G193" t="n">
        <v>4.2</v>
      </c>
      <c r="H193" t="n">
        <v>0</v>
      </c>
      <c r="I193" t="n">
        <v>0</v>
      </c>
      <c r="J193" t="n">
        <v>0</v>
      </c>
      <c r="K193" t="n">
        <v>0</v>
      </c>
      <c r="L193" t="n">
        <v>0</v>
      </c>
      <c r="M193" t="n">
        <v>0</v>
      </c>
      <c r="N193" t="n">
        <v>0</v>
      </c>
      <c r="O193" t="n">
        <v>0</v>
      </c>
      <c r="P193" t="n">
        <v>0</v>
      </c>
      <c r="Q193" t="n">
        <v>0</v>
      </c>
      <c r="R193" s="2" t="inlineStr"/>
    </row>
    <row r="194" ht="15" customHeight="1">
      <c r="A194" t="inlineStr">
        <is>
          <t>A 4738-2025</t>
        </is>
      </c>
      <c r="B194" s="1" t="n">
        <v>45688</v>
      </c>
      <c r="C194" s="1" t="n">
        <v>45924</v>
      </c>
      <c r="D194" t="inlineStr">
        <is>
          <t>DALARNAS LÄN</t>
        </is>
      </c>
      <c r="E194" t="inlineStr">
        <is>
          <t>ORSA</t>
        </is>
      </c>
      <c r="G194" t="n">
        <v>3.7</v>
      </c>
      <c r="H194" t="n">
        <v>0</v>
      </c>
      <c r="I194" t="n">
        <v>0</v>
      </c>
      <c r="J194" t="n">
        <v>0</v>
      </c>
      <c r="K194" t="n">
        <v>0</v>
      </c>
      <c r="L194" t="n">
        <v>0</v>
      </c>
      <c r="M194" t="n">
        <v>0</v>
      </c>
      <c r="N194" t="n">
        <v>0</v>
      </c>
      <c r="O194" t="n">
        <v>0</v>
      </c>
      <c r="P194" t="n">
        <v>0</v>
      </c>
      <c r="Q194" t="n">
        <v>0</v>
      </c>
      <c r="R194" s="2" t="inlineStr"/>
    </row>
    <row r="195" ht="15" customHeight="1">
      <c r="A195" t="inlineStr">
        <is>
          <t>A 31365-2025</t>
        </is>
      </c>
      <c r="B195" s="1" t="n">
        <v>45833.43884259259</v>
      </c>
      <c r="C195" s="1" t="n">
        <v>45924</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41291-2021</t>
        </is>
      </c>
      <c r="B196" s="1" t="n">
        <v>44424</v>
      </c>
      <c r="C196" s="1" t="n">
        <v>45924</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21446-2024</t>
        </is>
      </c>
      <c r="B197" s="1" t="n">
        <v>45441.45840277777</v>
      </c>
      <c r="C197" s="1" t="n">
        <v>45924</v>
      </c>
      <c r="D197" t="inlineStr">
        <is>
          <t>DALARNAS LÄN</t>
        </is>
      </c>
      <c r="E197" t="inlineStr">
        <is>
          <t>ORSA</t>
        </is>
      </c>
      <c r="G197" t="n">
        <v>1.6</v>
      </c>
      <c r="H197" t="n">
        <v>0</v>
      </c>
      <c r="I197" t="n">
        <v>0</v>
      </c>
      <c r="J197" t="n">
        <v>0</v>
      </c>
      <c r="K197" t="n">
        <v>0</v>
      </c>
      <c r="L197" t="n">
        <v>0</v>
      </c>
      <c r="M197" t="n">
        <v>0</v>
      </c>
      <c r="N197" t="n">
        <v>0</v>
      </c>
      <c r="O197" t="n">
        <v>0</v>
      </c>
      <c r="P197" t="n">
        <v>0</v>
      </c>
      <c r="Q197" t="n">
        <v>0</v>
      </c>
      <c r="R197" s="2" t="inlineStr"/>
    </row>
    <row r="198" ht="15" customHeight="1">
      <c r="A198" t="inlineStr">
        <is>
          <t>A 2948-2025</t>
        </is>
      </c>
      <c r="B198" s="1" t="n">
        <v>45678.42868055555</v>
      </c>
      <c r="C198" s="1" t="n">
        <v>45924</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32125-2024</t>
        </is>
      </c>
      <c r="B199" s="1" t="n">
        <v>45511</v>
      </c>
      <c r="C199" s="1" t="n">
        <v>45924</v>
      </c>
      <c r="D199" t="inlineStr">
        <is>
          <t>DALARNAS LÄN</t>
        </is>
      </c>
      <c r="E199" t="inlineStr">
        <is>
          <t>ORSA</t>
        </is>
      </c>
      <c r="F199" t="inlineStr">
        <is>
          <t>Allmännings- och besparingsskogar</t>
        </is>
      </c>
      <c r="G199" t="n">
        <v>5.2</v>
      </c>
      <c r="H199" t="n">
        <v>0</v>
      </c>
      <c r="I199" t="n">
        <v>0</v>
      </c>
      <c r="J199" t="n">
        <v>0</v>
      </c>
      <c r="K199" t="n">
        <v>0</v>
      </c>
      <c r="L199" t="n">
        <v>0</v>
      </c>
      <c r="M199" t="n">
        <v>0</v>
      </c>
      <c r="N199" t="n">
        <v>0</v>
      </c>
      <c r="O199" t="n">
        <v>0</v>
      </c>
      <c r="P199" t="n">
        <v>0</v>
      </c>
      <c r="Q199" t="n">
        <v>0</v>
      </c>
      <c r="R199" s="2" t="inlineStr"/>
    </row>
    <row r="200" ht="15" customHeight="1">
      <c r="A200" t="inlineStr">
        <is>
          <t>A 51563-2023</t>
        </is>
      </c>
      <c r="B200" s="1" t="n">
        <v>45222</v>
      </c>
      <c r="C200" s="1" t="n">
        <v>45924</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56975-2023</t>
        </is>
      </c>
      <c r="B201" s="1" t="n">
        <v>45244</v>
      </c>
      <c r="C201" s="1" t="n">
        <v>45924</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61279-2023</t>
        </is>
      </c>
      <c r="B202" s="1" t="n">
        <v>45264.5270949074</v>
      </c>
      <c r="C202" s="1" t="n">
        <v>45924</v>
      </c>
      <c r="D202" t="inlineStr">
        <is>
          <t>DALARNAS LÄN</t>
        </is>
      </c>
      <c r="E202" t="inlineStr">
        <is>
          <t>ORSA</t>
        </is>
      </c>
      <c r="G202" t="n">
        <v>0.2</v>
      </c>
      <c r="H202" t="n">
        <v>0</v>
      </c>
      <c r="I202" t="n">
        <v>0</v>
      </c>
      <c r="J202" t="n">
        <v>0</v>
      </c>
      <c r="K202" t="n">
        <v>0</v>
      </c>
      <c r="L202" t="n">
        <v>0</v>
      </c>
      <c r="M202" t="n">
        <v>0</v>
      </c>
      <c r="N202" t="n">
        <v>0</v>
      </c>
      <c r="O202" t="n">
        <v>0</v>
      </c>
      <c r="P202" t="n">
        <v>0</v>
      </c>
      <c r="Q202" t="n">
        <v>0</v>
      </c>
      <c r="R202" s="2" t="inlineStr"/>
    </row>
    <row r="203" ht="15" customHeight="1">
      <c r="A203" t="inlineStr">
        <is>
          <t>A 31634-2025</t>
        </is>
      </c>
      <c r="B203" s="1" t="n">
        <v>45834</v>
      </c>
      <c r="C203" s="1" t="n">
        <v>45924</v>
      </c>
      <c r="D203" t="inlineStr">
        <is>
          <t>DALARNAS LÄN</t>
        </is>
      </c>
      <c r="E203" t="inlineStr">
        <is>
          <t>ORSA</t>
        </is>
      </c>
      <c r="G203" t="n">
        <v>2</v>
      </c>
      <c r="H203" t="n">
        <v>0</v>
      </c>
      <c r="I203" t="n">
        <v>0</v>
      </c>
      <c r="J203" t="n">
        <v>0</v>
      </c>
      <c r="K203" t="n">
        <v>0</v>
      </c>
      <c r="L203" t="n">
        <v>0</v>
      </c>
      <c r="M203" t="n">
        <v>0</v>
      </c>
      <c r="N203" t="n">
        <v>0</v>
      </c>
      <c r="O203" t="n">
        <v>0</v>
      </c>
      <c r="P203" t="n">
        <v>0</v>
      </c>
      <c r="Q203" t="n">
        <v>0</v>
      </c>
      <c r="R203" s="2" t="inlineStr"/>
    </row>
    <row r="204" ht="15" customHeight="1">
      <c r="A204" t="inlineStr">
        <is>
          <t>A 31659-2025</t>
        </is>
      </c>
      <c r="B204" s="1" t="n">
        <v>45834.35421296296</v>
      </c>
      <c r="C204" s="1" t="n">
        <v>45924</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63371-2023</t>
        </is>
      </c>
      <c r="B205" s="1" t="n">
        <v>45274.47642361111</v>
      </c>
      <c r="C205" s="1" t="n">
        <v>45924</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67834-2020</t>
        </is>
      </c>
      <c r="B206" s="1" t="n">
        <v>44182</v>
      </c>
      <c r="C206" s="1" t="n">
        <v>45924</v>
      </c>
      <c r="D206" t="inlineStr">
        <is>
          <t>DALARNAS LÄN</t>
        </is>
      </c>
      <c r="E206" t="inlineStr">
        <is>
          <t>ORSA</t>
        </is>
      </c>
      <c r="G206" t="n">
        <v>4</v>
      </c>
      <c r="H206" t="n">
        <v>0</v>
      </c>
      <c r="I206" t="n">
        <v>0</v>
      </c>
      <c r="J206" t="n">
        <v>0</v>
      </c>
      <c r="K206" t="n">
        <v>0</v>
      </c>
      <c r="L206" t="n">
        <v>0</v>
      </c>
      <c r="M206" t="n">
        <v>0</v>
      </c>
      <c r="N206" t="n">
        <v>0</v>
      </c>
      <c r="O206" t="n">
        <v>0</v>
      </c>
      <c r="P206" t="n">
        <v>0</v>
      </c>
      <c r="Q206" t="n">
        <v>0</v>
      </c>
      <c r="R206" s="2" t="inlineStr"/>
    </row>
    <row r="207" ht="15" customHeight="1">
      <c r="A207" t="inlineStr">
        <is>
          <t>A 16392-2024</t>
        </is>
      </c>
      <c r="B207" s="1" t="n">
        <v>45407.62380787037</v>
      </c>
      <c r="C207" s="1" t="n">
        <v>45924</v>
      </c>
      <c r="D207" t="inlineStr">
        <is>
          <t>DALARNAS LÄN</t>
        </is>
      </c>
      <c r="E207" t="inlineStr">
        <is>
          <t>ORSA</t>
        </is>
      </c>
      <c r="G207" t="n">
        <v>3.4</v>
      </c>
      <c r="H207" t="n">
        <v>0</v>
      </c>
      <c r="I207" t="n">
        <v>0</v>
      </c>
      <c r="J207" t="n">
        <v>0</v>
      </c>
      <c r="K207" t="n">
        <v>0</v>
      </c>
      <c r="L207" t="n">
        <v>0</v>
      </c>
      <c r="M207" t="n">
        <v>0</v>
      </c>
      <c r="N207" t="n">
        <v>0</v>
      </c>
      <c r="O207" t="n">
        <v>0</v>
      </c>
      <c r="P207" t="n">
        <v>0</v>
      </c>
      <c r="Q207" t="n">
        <v>0</v>
      </c>
      <c r="R207" s="2" t="inlineStr"/>
    </row>
    <row r="208" ht="15" customHeight="1">
      <c r="A208" t="inlineStr">
        <is>
          <t>A 32325-2025</t>
        </is>
      </c>
      <c r="B208" s="1" t="n">
        <v>45836</v>
      </c>
      <c r="C208" s="1" t="n">
        <v>45924</v>
      </c>
      <c r="D208" t="inlineStr">
        <is>
          <t>DALARNAS LÄN</t>
        </is>
      </c>
      <c r="E208" t="inlineStr">
        <is>
          <t>ORSA</t>
        </is>
      </c>
      <c r="G208" t="n">
        <v>3.8</v>
      </c>
      <c r="H208" t="n">
        <v>0</v>
      </c>
      <c r="I208" t="n">
        <v>0</v>
      </c>
      <c r="J208" t="n">
        <v>0</v>
      </c>
      <c r="K208" t="n">
        <v>0</v>
      </c>
      <c r="L208" t="n">
        <v>0</v>
      </c>
      <c r="M208" t="n">
        <v>0</v>
      </c>
      <c r="N208" t="n">
        <v>0</v>
      </c>
      <c r="O208" t="n">
        <v>0</v>
      </c>
      <c r="P208" t="n">
        <v>0</v>
      </c>
      <c r="Q208" t="n">
        <v>0</v>
      </c>
      <c r="R208" s="2" t="inlineStr"/>
    </row>
    <row r="209" ht="15" customHeight="1">
      <c r="A209" t="inlineStr">
        <is>
          <t>A 61698-2022</t>
        </is>
      </c>
      <c r="B209" s="1" t="n">
        <v>44917.40038194445</v>
      </c>
      <c r="C209" s="1" t="n">
        <v>45924</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61034-2024</t>
        </is>
      </c>
      <c r="B210" s="1" t="n">
        <v>45645.46608796297</v>
      </c>
      <c r="C210" s="1" t="n">
        <v>45924</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32984-2025</t>
        </is>
      </c>
      <c r="B211" s="1" t="n">
        <v>45839.93006944445</v>
      </c>
      <c r="C211" s="1" t="n">
        <v>45924</v>
      </c>
      <c r="D211" t="inlineStr">
        <is>
          <t>DALARNAS LÄN</t>
        </is>
      </c>
      <c r="E211" t="inlineStr">
        <is>
          <t>ORSA</t>
        </is>
      </c>
      <c r="G211" t="n">
        <v>0.5</v>
      </c>
      <c r="H211" t="n">
        <v>0</v>
      </c>
      <c r="I211" t="n">
        <v>0</v>
      </c>
      <c r="J211" t="n">
        <v>0</v>
      </c>
      <c r="K211" t="n">
        <v>0</v>
      </c>
      <c r="L211" t="n">
        <v>0</v>
      </c>
      <c r="M211" t="n">
        <v>0</v>
      </c>
      <c r="N211" t="n">
        <v>0</v>
      </c>
      <c r="O211" t="n">
        <v>0</v>
      </c>
      <c r="P211" t="n">
        <v>0</v>
      </c>
      <c r="Q211" t="n">
        <v>0</v>
      </c>
      <c r="R211" s="2" t="inlineStr"/>
    </row>
    <row r="212" ht="15" customHeight="1">
      <c r="A212" t="inlineStr">
        <is>
          <t>A 32985-2025</t>
        </is>
      </c>
      <c r="B212" s="1" t="n">
        <v>45839.93033564815</v>
      </c>
      <c r="C212" s="1" t="n">
        <v>45924</v>
      </c>
      <c r="D212" t="inlineStr">
        <is>
          <t>DALARNAS LÄN</t>
        </is>
      </c>
      <c r="E212" t="inlineStr">
        <is>
          <t>ORSA</t>
        </is>
      </c>
      <c r="G212" t="n">
        <v>1.6</v>
      </c>
      <c r="H212" t="n">
        <v>0</v>
      </c>
      <c r="I212" t="n">
        <v>0</v>
      </c>
      <c r="J212" t="n">
        <v>0</v>
      </c>
      <c r="K212" t="n">
        <v>0</v>
      </c>
      <c r="L212" t="n">
        <v>0</v>
      </c>
      <c r="M212" t="n">
        <v>0</v>
      </c>
      <c r="N212" t="n">
        <v>0</v>
      </c>
      <c r="O212" t="n">
        <v>0</v>
      </c>
      <c r="P212" t="n">
        <v>0</v>
      </c>
      <c r="Q212" t="n">
        <v>0</v>
      </c>
      <c r="R212" s="2" t="inlineStr"/>
    </row>
    <row r="213" ht="15" customHeight="1">
      <c r="A213" t="inlineStr">
        <is>
          <t>A 33158-2025</t>
        </is>
      </c>
      <c r="B213" s="1" t="n">
        <v>45840</v>
      </c>
      <c r="C213" s="1" t="n">
        <v>45924</v>
      </c>
      <c r="D213" t="inlineStr">
        <is>
          <t>DALARNAS LÄN</t>
        </is>
      </c>
      <c r="E213" t="inlineStr">
        <is>
          <t>ORSA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33394-2025</t>
        </is>
      </c>
      <c r="B214" s="1" t="n">
        <v>45841.41704861111</v>
      </c>
      <c r="C214" s="1" t="n">
        <v>45924</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33059-2025</t>
        </is>
      </c>
      <c r="B215" s="1" t="n">
        <v>45840.43072916667</v>
      </c>
      <c r="C215" s="1" t="n">
        <v>45924</v>
      </c>
      <c r="D215" t="inlineStr">
        <is>
          <t>DALARNAS LÄN</t>
        </is>
      </c>
      <c r="E215" t="inlineStr">
        <is>
          <t>ORSA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33057-2025</t>
        </is>
      </c>
      <c r="B216" s="1" t="n">
        <v>45840</v>
      </c>
      <c r="C216" s="1" t="n">
        <v>45924</v>
      </c>
      <c r="D216" t="inlineStr">
        <is>
          <t>DALARNAS LÄN</t>
        </is>
      </c>
      <c r="E216" t="inlineStr">
        <is>
          <t>ORSA</t>
        </is>
      </c>
      <c r="F216" t="inlineStr">
        <is>
          <t>Bergvik skog öst AB</t>
        </is>
      </c>
      <c r="G216" t="n">
        <v>3.3</v>
      </c>
      <c r="H216" t="n">
        <v>0</v>
      </c>
      <c r="I216" t="n">
        <v>0</v>
      </c>
      <c r="J216" t="n">
        <v>0</v>
      </c>
      <c r="K216" t="n">
        <v>0</v>
      </c>
      <c r="L216" t="n">
        <v>0</v>
      </c>
      <c r="M216" t="n">
        <v>0</v>
      </c>
      <c r="N216" t="n">
        <v>0</v>
      </c>
      <c r="O216" t="n">
        <v>0</v>
      </c>
      <c r="P216" t="n">
        <v>0</v>
      </c>
      <c r="Q216" t="n">
        <v>0</v>
      </c>
      <c r="R216" s="2" t="inlineStr"/>
    </row>
    <row r="217" ht="15" customHeight="1">
      <c r="A217" t="inlineStr">
        <is>
          <t>A 33209-2025</t>
        </is>
      </c>
      <c r="B217" s="1" t="n">
        <v>45840.62648148148</v>
      </c>
      <c r="C217" s="1" t="n">
        <v>45924</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33214-2025</t>
        </is>
      </c>
      <c r="B218" s="1" t="n">
        <v>45840.6295949074</v>
      </c>
      <c r="C218" s="1" t="n">
        <v>45924</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33374-2025</t>
        </is>
      </c>
      <c r="B219" s="1" t="n">
        <v>45841.39582175926</v>
      </c>
      <c r="C219" s="1" t="n">
        <v>45924</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38672-2025</t>
        </is>
      </c>
      <c r="B220" s="1" t="n">
        <v>45884.63340277778</v>
      </c>
      <c r="C220" s="1" t="n">
        <v>45924</v>
      </c>
      <c r="D220" t="inlineStr">
        <is>
          <t>DALARNAS LÄN</t>
        </is>
      </c>
      <c r="E220" t="inlineStr">
        <is>
          <t>ORSA</t>
        </is>
      </c>
      <c r="G220" t="n">
        <v>4.6</v>
      </c>
      <c r="H220" t="n">
        <v>0</v>
      </c>
      <c r="I220" t="n">
        <v>0</v>
      </c>
      <c r="J220" t="n">
        <v>0</v>
      </c>
      <c r="K220" t="n">
        <v>0</v>
      </c>
      <c r="L220" t="n">
        <v>0</v>
      </c>
      <c r="M220" t="n">
        <v>0</v>
      </c>
      <c r="N220" t="n">
        <v>0</v>
      </c>
      <c r="O220" t="n">
        <v>0</v>
      </c>
      <c r="P220" t="n">
        <v>0</v>
      </c>
      <c r="Q220" t="n">
        <v>0</v>
      </c>
      <c r="R220" s="2" t="inlineStr"/>
    </row>
    <row r="221" ht="15" customHeight="1">
      <c r="A221" t="inlineStr">
        <is>
          <t>A 38844-2025</t>
        </is>
      </c>
      <c r="B221" s="1" t="n">
        <v>45887.54075231482</v>
      </c>
      <c r="C221" s="1" t="n">
        <v>45924</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33884-2025</t>
        </is>
      </c>
      <c r="B222" s="1" t="n">
        <v>45842.57081018519</v>
      </c>
      <c r="C222" s="1" t="n">
        <v>45924</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20349-2021</t>
        </is>
      </c>
      <c r="B223" s="1" t="n">
        <v>44315.41582175926</v>
      </c>
      <c r="C223" s="1" t="n">
        <v>45924</v>
      </c>
      <c r="D223" t="inlineStr">
        <is>
          <t>DALARNAS LÄN</t>
        </is>
      </c>
      <c r="E223" t="inlineStr">
        <is>
          <t>ORSA</t>
        </is>
      </c>
      <c r="G223" t="n">
        <v>2.3</v>
      </c>
      <c r="H223" t="n">
        <v>0</v>
      </c>
      <c r="I223" t="n">
        <v>0</v>
      </c>
      <c r="J223" t="n">
        <v>0</v>
      </c>
      <c r="K223" t="n">
        <v>0</v>
      </c>
      <c r="L223" t="n">
        <v>0</v>
      </c>
      <c r="M223" t="n">
        <v>0</v>
      </c>
      <c r="N223" t="n">
        <v>0</v>
      </c>
      <c r="O223" t="n">
        <v>0</v>
      </c>
      <c r="P223" t="n">
        <v>0</v>
      </c>
      <c r="Q223" t="n">
        <v>0</v>
      </c>
      <c r="R223" s="2" t="inlineStr"/>
    </row>
    <row r="224" ht="15" customHeight="1">
      <c r="A224" t="inlineStr">
        <is>
          <t>A 38840-2025</t>
        </is>
      </c>
      <c r="B224" s="1" t="n">
        <v>45887.5375</v>
      </c>
      <c r="C224" s="1" t="n">
        <v>45924</v>
      </c>
      <c r="D224" t="inlineStr">
        <is>
          <t>DALARNAS LÄN</t>
        </is>
      </c>
      <c r="E224" t="inlineStr">
        <is>
          <t>ORSA</t>
        </is>
      </c>
      <c r="G224" t="n">
        <v>1.5</v>
      </c>
      <c r="H224" t="n">
        <v>0</v>
      </c>
      <c r="I224" t="n">
        <v>0</v>
      </c>
      <c r="J224" t="n">
        <v>0</v>
      </c>
      <c r="K224" t="n">
        <v>0</v>
      </c>
      <c r="L224" t="n">
        <v>0</v>
      </c>
      <c r="M224" t="n">
        <v>0</v>
      </c>
      <c r="N224" t="n">
        <v>0</v>
      </c>
      <c r="O224" t="n">
        <v>0</v>
      </c>
      <c r="P224" t="n">
        <v>0</v>
      </c>
      <c r="Q224" t="n">
        <v>0</v>
      </c>
      <c r="R224" s="2" t="inlineStr"/>
    </row>
    <row r="225" ht="15" customHeight="1">
      <c r="A225" t="inlineStr">
        <is>
          <t>A 8579-2025</t>
        </is>
      </c>
      <c r="B225" s="1" t="n">
        <v>45709</v>
      </c>
      <c r="C225" s="1" t="n">
        <v>45924</v>
      </c>
      <c r="D225" t="inlineStr">
        <is>
          <t>DALARNAS LÄN</t>
        </is>
      </c>
      <c r="E225" t="inlineStr">
        <is>
          <t>ORSA</t>
        </is>
      </c>
      <c r="G225" t="n">
        <v>1.2</v>
      </c>
      <c r="H225" t="n">
        <v>0</v>
      </c>
      <c r="I225" t="n">
        <v>0</v>
      </c>
      <c r="J225" t="n">
        <v>0</v>
      </c>
      <c r="K225" t="n">
        <v>0</v>
      </c>
      <c r="L225" t="n">
        <v>0</v>
      </c>
      <c r="M225" t="n">
        <v>0</v>
      </c>
      <c r="N225" t="n">
        <v>0</v>
      </c>
      <c r="O225" t="n">
        <v>0</v>
      </c>
      <c r="P225" t="n">
        <v>0</v>
      </c>
      <c r="Q225" t="n">
        <v>0</v>
      </c>
      <c r="R225" s="2" t="inlineStr"/>
    </row>
    <row r="226" ht="15" customHeight="1">
      <c r="A226" t="inlineStr">
        <is>
          <t>A 33951-2025</t>
        </is>
      </c>
      <c r="B226" s="1" t="n">
        <v>45842.66791666667</v>
      </c>
      <c r="C226" s="1" t="n">
        <v>45924</v>
      </c>
      <c r="D226" t="inlineStr">
        <is>
          <t>DALARNAS LÄN</t>
        </is>
      </c>
      <c r="E226" t="inlineStr">
        <is>
          <t>ORSA</t>
        </is>
      </c>
      <c r="G226" t="n">
        <v>1.2</v>
      </c>
      <c r="H226" t="n">
        <v>0</v>
      </c>
      <c r="I226" t="n">
        <v>0</v>
      </c>
      <c r="J226" t="n">
        <v>0</v>
      </c>
      <c r="K226" t="n">
        <v>0</v>
      </c>
      <c r="L226" t="n">
        <v>0</v>
      </c>
      <c r="M226" t="n">
        <v>0</v>
      </c>
      <c r="N226" t="n">
        <v>0</v>
      </c>
      <c r="O226" t="n">
        <v>0</v>
      </c>
      <c r="P226" t="n">
        <v>0</v>
      </c>
      <c r="Q226" t="n">
        <v>0</v>
      </c>
      <c r="R226" s="2" t="inlineStr"/>
    </row>
    <row r="227" ht="15" customHeight="1">
      <c r="A227" t="inlineStr">
        <is>
          <t>A 33673-2023</t>
        </is>
      </c>
      <c r="B227" s="1" t="n">
        <v>45132</v>
      </c>
      <c r="C227" s="1" t="n">
        <v>45924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33835-2025</t>
        </is>
      </c>
      <c r="B228" s="1" t="n">
        <v>45842.47619212963</v>
      </c>
      <c r="C228" s="1" t="n">
        <v>45924</v>
      </c>
      <c r="D228" t="inlineStr">
        <is>
          <t>DALARNAS LÄN</t>
        </is>
      </c>
      <c r="E228" t="inlineStr">
        <is>
          <t>ORSA</t>
        </is>
      </c>
      <c r="G228" t="n">
        <v>15.2</v>
      </c>
      <c r="H228" t="n">
        <v>0</v>
      </c>
      <c r="I228" t="n">
        <v>0</v>
      </c>
      <c r="J228" t="n">
        <v>0</v>
      </c>
      <c r="K228" t="n">
        <v>0</v>
      </c>
      <c r="L228" t="n">
        <v>0</v>
      </c>
      <c r="M228" t="n">
        <v>0</v>
      </c>
      <c r="N228" t="n">
        <v>0</v>
      </c>
      <c r="O228" t="n">
        <v>0</v>
      </c>
      <c r="P228" t="n">
        <v>0</v>
      </c>
      <c r="Q228" t="n">
        <v>0</v>
      </c>
      <c r="R228" s="2" t="inlineStr"/>
    </row>
    <row r="229" ht="15" customHeight="1">
      <c r="A229" t="inlineStr">
        <is>
          <t>A 61699-2020</t>
        </is>
      </c>
      <c r="B229" s="1" t="n">
        <v>44158</v>
      </c>
      <c r="C229" s="1" t="n">
        <v>45924</v>
      </c>
      <c r="D229" t="inlineStr">
        <is>
          <t>DALARNAS LÄN</t>
        </is>
      </c>
      <c r="E229" t="inlineStr">
        <is>
          <t>ORSA</t>
        </is>
      </c>
      <c r="G229" t="n">
        <v>1.5</v>
      </c>
      <c r="H229" t="n">
        <v>0</v>
      </c>
      <c r="I229" t="n">
        <v>0</v>
      </c>
      <c r="J229" t="n">
        <v>0</v>
      </c>
      <c r="K229" t="n">
        <v>0</v>
      </c>
      <c r="L229" t="n">
        <v>0</v>
      </c>
      <c r="M229" t="n">
        <v>0</v>
      </c>
      <c r="N229" t="n">
        <v>0</v>
      </c>
      <c r="O229" t="n">
        <v>0</v>
      </c>
      <c r="P229" t="n">
        <v>0</v>
      </c>
      <c r="Q229" t="n">
        <v>0</v>
      </c>
      <c r="R229" s="2" t="inlineStr"/>
    </row>
    <row r="230" ht="15" customHeight="1">
      <c r="A230" t="inlineStr">
        <is>
          <t>A 33857-2025</t>
        </is>
      </c>
      <c r="B230" s="1" t="n">
        <v>45842.51953703703</v>
      </c>
      <c r="C230" s="1" t="n">
        <v>45924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24083-2021</t>
        </is>
      </c>
      <c r="B231" s="1" t="n">
        <v>44336</v>
      </c>
      <c r="C231" s="1" t="n">
        <v>45924</v>
      </c>
      <c r="D231" t="inlineStr">
        <is>
          <t>DALARNAS LÄN</t>
        </is>
      </c>
      <c r="E231" t="inlineStr">
        <is>
          <t>ORSA</t>
        </is>
      </c>
      <c r="G231" t="n">
        <v>2.3</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45924</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38611-2022</t>
        </is>
      </c>
      <c r="B233" s="1" t="n">
        <v>44813.60177083333</v>
      </c>
      <c r="C233" s="1" t="n">
        <v>45924</v>
      </c>
      <c r="D233" t="inlineStr">
        <is>
          <t>DALARNAS LÄN</t>
        </is>
      </c>
      <c r="E233" t="inlineStr">
        <is>
          <t>ORSA</t>
        </is>
      </c>
      <c r="G233" t="n">
        <v>3.6</v>
      </c>
      <c r="H233" t="n">
        <v>0</v>
      </c>
      <c r="I233" t="n">
        <v>0</v>
      </c>
      <c r="J233" t="n">
        <v>0</v>
      </c>
      <c r="K233" t="n">
        <v>0</v>
      </c>
      <c r="L233" t="n">
        <v>0</v>
      </c>
      <c r="M233" t="n">
        <v>0</v>
      </c>
      <c r="N233" t="n">
        <v>0</v>
      </c>
      <c r="O233" t="n">
        <v>0</v>
      </c>
      <c r="P233" t="n">
        <v>0</v>
      </c>
      <c r="Q233" t="n">
        <v>0</v>
      </c>
      <c r="R233" s="2" t="inlineStr"/>
    </row>
    <row r="234" ht="15" customHeight="1">
      <c r="A234" t="inlineStr">
        <is>
          <t>A 38688-2025</t>
        </is>
      </c>
      <c r="B234" s="1" t="n">
        <v>45884.66097222222</v>
      </c>
      <c r="C234" s="1" t="n">
        <v>45924</v>
      </c>
      <c r="D234" t="inlineStr">
        <is>
          <t>DALARNAS LÄN</t>
        </is>
      </c>
      <c r="E234" t="inlineStr">
        <is>
          <t>ORSA</t>
        </is>
      </c>
      <c r="F234" t="inlineStr">
        <is>
          <t>Allmännings- och besparingsskogar</t>
        </is>
      </c>
      <c r="G234" t="n">
        <v>10.2</v>
      </c>
      <c r="H234" t="n">
        <v>0</v>
      </c>
      <c r="I234" t="n">
        <v>0</v>
      </c>
      <c r="J234" t="n">
        <v>0</v>
      </c>
      <c r="K234" t="n">
        <v>0</v>
      </c>
      <c r="L234" t="n">
        <v>0</v>
      </c>
      <c r="M234" t="n">
        <v>0</v>
      </c>
      <c r="N234" t="n">
        <v>0</v>
      </c>
      <c r="O234" t="n">
        <v>0</v>
      </c>
      <c r="P234" t="n">
        <v>0</v>
      </c>
      <c r="Q234" t="n">
        <v>0</v>
      </c>
      <c r="R234" s="2" t="inlineStr"/>
    </row>
    <row r="235" ht="15" customHeight="1">
      <c r="A235" t="inlineStr">
        <is>
          <t>A 38588-2025</t>
        </is>
      </c>
      <c r="B235" s="1" t="n">
        <v>45884.47355324074</v>
      </c>
      <c r="C235" s="1" t="n">
        <v>45924</v>
      </c>
      <c r="D235" t="inlineStr">
        <is>
          <t>DALARNAS LÄN</t>
        </is>
      </c>
      <c r="E235" t="inlineStr">
        <is>
          <t>ORSA</t>
        </is>
      </c>
      <c r="F235" t="inlineStr">
        <is>
          <t>Bergvik skog öst AB</t>
        </is>
      </c>
      <c r="G235" t="n">
        <v>9.5</v>
      </c>
      <c r="H235" t="n">
        <v>0</v>
      </c>
      <c r="I235" t="n">
        <v>0</v>
      </c>
      <c r="J235" t="n">
        <v>0</v>
      </c>
      <c r="K235" t="n">
        <v>0</v>
      </c>
      <c r="L235" t="n">
        <v>0</v>
      </c>
      <c r="M235" t="n">
        <v>0</v>
      </c>
      <c r="N235" t="n">
        <v>0</v>
      </c>
      <c r="O235" t="n">
        <v>0</v>
      </c>
      <c r="P235" t="n">
        <v>0</v>
      </c>
      <c r="Q235" t="n">
        <v>0</v>
      </c>
      <c r="R235" s="2" t="inlineStr"/>
    </row>
    <row r="236" ht="15" customHeight="1">
      <c r="A236" t="inlineStr">
        <is>
          <t>A 34001-2025</t>
        </is>
      </c>
      <c r="B236" s="1" t="n">
        <v>45844</v>
      </c>
      <c r="C236" s="1" t="n">
        <v>45924</v>
      </c>
      <c r="D236" t="inlineStr">
        <is>
          <t>DALARNAS LÄN</t>
        </is>
      </c>
      <c r="E236" t="inlineStr">
        <is>
          <t>ORSA</t>
        </is>
      </c>
      <c r="F236" t="inlineStr">
        <is>
          <t>Bergvik skog öst AB</t>
        </is>
      </c>
      <c r="G236" t="n">
        <v>13.4</v>
      </c>
      <c r="H236" t="n">
        <v>0</v>
      </c>
      <c r="I236" t="n">
        <v>0</v>
      </c>
      <c r="J236" t="n">
        <v>0</v>
      </c>
      <c r="K236" t="n">
        <v>0</v>
      </c>
      <c r="L236" t="n">
        <v>0</v>
      </c>
      <c r="M236" t="n">
        <v>0</v>
      </c>
      <c r="N236" t="n">
        <v>0</v>
      </c>
      <c r="O236" t="n">
        <v>0</v>
      </c>
      <c r="P236" t="n">
        <v>0</v>
      </c>
      <c r="Q236" t="n">
        <v>0</v>
      </c>
      <c r="R236" s="2" t="inlineStr"/>
    </row>
    <row r="237" ht="15" customHeight="1">
      <c r="A237" t="inlineStr">
        <is>
          <t>A 28155-2023</t>
        </is>
      </c>
      <c r="B237" s="1" t="n">
        <v>45099</v>
      </c>
      <c r="C237" s="1" t="n">
        <v>45924</v>
      </c>
      <c r="D237" t="inlineStr">
        <is>
          <t>DALARNAS LÄN</t>
        </is>
      </c>
      <c r="E237" t="inlineStr">
        <is>
          <t>ORSA</t>
        </is>
      </c>
      <c r="F237" t="inlineStr">
        <is>
          <t>Bergvik skog öst AB</t>
        </is>
      </c>
      <c r="G237" t="n">
        <v>7.8</v>
      </c>
      <c r="H237" t="n">
        <v>0</v>
      </c>
      <c r="I237" t="n">
        <v>0</v>
      </c>
      <c r="J237" t="n">
        <v>0</v>
      </c>
      <c r="K237" t="n">
        <v>0</v>
      </c>
      <c r="L237" t="n">
        <v>0</v>
      </c>
      <c r="M237" t="n">
        <v>0</v>
      </c>
      <c r="N237" t="n">
        <v>0</v>
      </c>
      <c r="O237" t="n">
        <v>0</v>
      </c>
      <c r="P237" t="n">
        <v>0</v>
      </c>
      <c r="Q237" t="n">
        <v>0</v>
      </c>
      <c r="R237" s="2" t="inlineStr"/>
    </row>
    <row r="238" ht="15" customHeight="1">
      <c r="A238" t="inlineStr">
        <is>
          <t>A 51994-2023</t>
        </is>
      </c>
      <c r="B238" s="1" t="n">
        <v>45223.5884375</v>
      </c>
      <c r="C238" s="1" t="n">
        <v>45924</v>
      </c>
      <c r="D238" t="inlineStr">
        <is>
          <t>DALARNAS LÄN</t>
        </is>
      </c>
      <c r="E238" t="inlineStr">
        <is>
          <t>ORSA</t>
        </is>
      </c>
      <c r="G238" t="n">
        <v>10.7</v>
      </c>
      <c r="H238" t="n">
        <v>0</v>
      </c>
      <c r="I238" t="n">
        <v>0</v>
      </c>
      <c r="J238" t="n">
        <v>0</v>
      </c>
      <c r="K238" t="n">
        <v>0</v>
      </c>
      <c r="L238" t="n">
        <v>0</v>
      </c>
      <c r="M238" t="n">
        <v>0</v>
      </c>
      <c r="N238" t="n">
        <v>0</v>
      </c>
      <c r="O238" t="n">
        <v>0</v>
      </c>
      <c r="P238" t="n">
        <v>0</v>
      </c>
      <c r="Q238" t="n">
        <v>0</v>
      </c>
      <c r="R238" s="2" t="inlineStr"/>
    </row>
    <row r="239" ht="15" customHeight="1">
      <c r="A239" t="inlineStr">
        <is>
          <t>A 28388-2024</t>
        </is>
      </c>
      <c r="B239" s="1" t="n">
        <v>45477.59960648148</v>
      </c>
      <c r="C239" s="1" t="n">
        <v>45924</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34744-2025</t>
        </is>
      </c>
      <c r="B240" s="1" t="n">
        <v>45848.6125</v>
      </c>
      <c r="C240" s="1" t="n">
        <v>45924</v>
      </c>
      <c r="D240" t="inlineStr">
        <is>
          <t>DALARNAS LÄN</t>
        </is>
      </c>
      <c r="E240" t="inlineStr">
        <is>
          <t>ORSA</t>
        </is>
      </c>
      <c r="G240" t="n">
        <v>1.7</v>
      </c>
      <c r="H240" t="n">
        <v>0</v>
      </c>
      <c r="I240" t="n">
        <v>0</v>
      </c>
      <c r="J240" t="n">
        <v>0</v>
      </c>
      <c r="K240" t="n">
        <v>0</v>
      </c>
      <c r="L240" t="n">
        <v>0</v>
      </c>
      <c r="M240" t="n">
        <v>0</v>
      </c>
      <c r="N240" t="n">
        <v>0</v>
      </c>
      <c r="O240" t="n">
        <v>0</v>
      </c>
      <c r="P240" t="n">
        <v>0</v>
      </c>
      <c r="Q240" t="n">
        <v>0</v>
      </c>
      <c r="R240" s="2" t="inlineStr"/>
    </row>
    <row r="241" ht="15" customHeight="1">
      <c r="A241" t="inlineStr">
        <is>
          <t>A 52903-2024</t>
        </is>
      </c>
      <c r="B241" s="1" t="n">
        <v>45610.6875462963</v>
      </c>
      <c r="C241" s="1" t="n">
        <v>45924</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34769-2025</t>
        </is>
      </c>
      <c r="B242" s="1" t="n">
        <v>45848.6534837963</v>
      </c>
      <c r="C242" s="1" t="n">
        <v>45924</v>
      </c>
      <c r="D242" t="inlineStr">
        <is>
          <t>DALARNAS LÄN</t>
        </is>
      </c>
      <c r="E242" t="inlineStr">
        <is>
          <t>ORSA</t>
        </is>
      </c>
      <c r="G242" t="n">
        <v>0.4</v>
      </c>
      <c r="H242" t="n">
        <v>0</v>
      </c>
      <c r="I242" t="n">
        <v>0</v>
      </c>
      <c r="J242" t="n">
        <v>0</v>
      </c>
      <c r="K242" t="n">
        <v>0</v>
      </c>
      <c r="L242" t="n">
        <v>0</v>
      </c>
      <c r="M242" t="n">
        <v>0</v>
      </c>
      <c r="N242" t="n">
        <v>0</v>
      </c>
      <c r="O242" t="n">
        <v>0</v>
      </c>
      <c r="P242" t="n">
        <v>0</v>
      </c>
      <c r="Q242" t="n">
        <v>0</v>
      </c>
      <c r="R242" s="2" t="inlineStr"/>
    </row>
    <row r="243" ht="15" customHeight="1">
      <c r="A243" t="inlineStr">
        <is>
          <t>A 34777-2025</t>
        </is>
      </c>
      <c r="B243" s="1" t="n">
        <v>45848.66167824074</v>
      </c>
      <c r="C243" s="1" t="n">
        <v>45924</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39682-2025</t>
        </is>
      </c>
      <c r="B244" s="1" t="n">
        <v>45890.66075231481</v>
      </c>
      <c r="C244" s="1" t="n">
        <v>45924</v>
      </c>
      <c r="D244" t="inlineStr">
        <is>
          <t>DALARNAS LÄN</t>
        </is>
      </c>
      <c r="E244" t="inlineStr">
        <is>
          <t>ORSA</t>
        </is>
      </c>
      <c r="G244" t="n">
        <v>6.6</v>
      </c>
      <c r="H244" t="n">
        <v>0</v>
      </c>
      <c r="I244" t="n">
        <v>0</v>
      </c>
      <c r="J244" t="n">
        <v>0</v>
      </c>
      <c r="K244" t="n">
        <v>0</v>
      </c>
      <c r="L244" t="n">
        <v>0</v>
      </c>
      <c r="M244" t="n">
        <v>0</v>
      </c>
      <c r="N244" t="n">
        <v>0</v>
      </c>
      <c r="O244" t="n">
        <v>0</v>
      </c>
      <c r="P244" t="n">
        <v>0</v>
      </c>
      <c r="Q244" t="n">
        <v>0</v>
      </c>
      <c r="R244" s="2" t="inlineStr"/>
    </row>
    <row r="245" ht="15" customHeight="1">
      <c r="A245" t="inlineStr">
        <is>
          <t>A 34794-2025</t>
        </is>
      </c>
      <c r="B245" s="1" t="n">
        <v>45848.73256944444</v>
      </c>
      <c r="C245" s="1" t="n">
        <v>45924</v>
      </c>
      <c r="D245" t="inlineStr">
        <is>
          <t>DALARNAS LÄN</t>
        </is>
      </c>
      <c r="E245" t="inlineStr">
        <is>
          <t>ORSA</t>
        </is>
      </c>
      <c r="G245" t="n">
        <v>2.3</v>
      </c>
      <c r="H245" t="n">
        <v>0</v>
      </c>
      <c r="I245" t="n">
        <v>0</v>
      </c>
      <c r="J245" t="n">
        <v>0</v>
      </c>
      <c r="K245" t="n">
        <v>0</v>
      </c>
      <c r="L245" t="n">
        <v>0</v>
      </c>
      <c r="M245" t="n">
        <v>0</v>
      </c>
      <c r="N245" t="n">
        <v>0</v>
      </c>
      <c r="O245" t="n">
        <v>0</v>
      </c>
      <c r="P245" t="n">
        <v>0</v>
      </c>
      <c r="Q245" t="n">
        <v>0</v>
      </c>
      <c r="R245" s="2" t="inlineStr"/>
    </row>
    <row r="246" ht="15" customHeight="1">
      <c r="A246" t="inlineStr">
        <is>
          <t>A 34779-2025</t>
        </is>
      </c>
      <c r="B246" s="1" t="n">
        <v>45848.66987268518</v>
      </c>
      <c r="C246" s="1" t="n">
        <v>45924</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34753-2025</t>
        </is>
      </c>
      <c r="B247" s="1" t="n">
        <v>45848.62001157407</v>
      </c>
      <c r="C247" s="1" t="n">
        <v>45924</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59411-2024</t>
        </is>
      </c>
      <c r="B248" s="1" t="n">
        <v>45638.39675925926</v>
      </c>
      <c r="C248" s="1" t="n">
        <v>45924</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59414-2024</t>
        </is>
      </c>
      <c r="B249" s="1" t="n">
        <v>45638.39965277778</v>
      </c>
      <c r="C249" s="1" t="n">
        <v>45924</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67755-2020</t>
        </is>
      </c>
      <c r="B250" s="1" t="n">
        <v>44182</v>
      </c>
      <c r="C250" s="1" t="n">
        <v>45924</v>
      </c>
      <c r="D250" t="inlineStr">
        <is>
          <t>DALARNAS LÄN</t>
        </is>
      </c>
      <c r="E250" t="inlineStr">
        <is>
          <t>ORSA</t>
        </is>
      </c>
      <c r="G250" t="n">
        <v>7.5</v>
      </c>
      <c r="H250" t="n">
        <v>0</v>
      </c>
      <c r="I250" t="n">
        <v>0</v>
      </c>
      <c r="J250" t="n">
        <v>0</v>
      </c>
      <c r="K250" t="n">
        <v>0</v>
      </c>
      <c r="L250" t="n">
        <v>0</v>
      </c>
      <c r="M250" t="n">
        <v>0</v>
      </c>
      <c r="N250" t="n">
        <v>0</v>
      </c>
      <c r="O250" t="n">
        <v>0</v>
      </c>
      <c r="P250" t="n">
        <v>0</v>
      </c>
      <c r="Q250" t="n">
        <v>0</v>
      </c>
      <c r="R250" s="2" t="inlineStr"/>
    </row>
    <row r="251" ht="15" customHeight="1">
      <c r="A251" t="inlineStr">
        <is>
          <t>A 34764-2025</t>
        </is>
      </c>
      <c r="B251" s="1" t="n">
        <v>45848.64788194445</v>
      </c>
      <c r="C251" s="1" t="n">
        <v>45924</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34781-2025</t>
        </is>
      </c>
      <c r="B252" s="1" t="n">
        <v>45848.67424768519</v>
      </c>
      <c r="C252" s="1" t="n">
        <v>45924</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612-2025</t>
        </is>
      </c>
      <c r="B253" s="1" t="n">
        <v>45660</v>
      </c>
      <c r="C253" s="1" t="n">
        <v>45924</v>
      </c>
      <c r="D253" t="inlineStr">
        <is>
          <t>DALARNAS LÄN</t>
        </is>
      </c>
      <c r="E253" t="inlineStr">
        <is>
          <t>ORSA</t>
        </is>
      </c>
      <c r="F253" t="inlineStr">
        <is>
          <t>Allmännings- och besparingsskogar</t>
        </is>
      </c>
      <c r="G253" t="n">
        <v>0.8</v>
      </c>
      <c r="H253" t="n">
        <v>0</v>
      </c>
      <c r="I253" t="n">
        <v>0</v>
      </c>
      <c r="J253" t="n">
        <v>0</v>
      </c>
      <c r="K253" t="n">
        <v>0</v>
      </c>
      <c r="L253" t="n">
        <v>0</v>
      </c>
      <c r="M253" t="n">
        <v>0</v>
      </c>
      <c r="N253" t="n">
        <v>0</v>
      </c>
      <c r="O253" t="n">
        <v>0</v>
      </c>
      <c r="P253" t="n">
        <v>0</v>
      </c>
      <c r="Q253" t="n">
        <v>0</v>
      </c>
      <c r="R253" s="2" t="inlineStr"/>
    </row>
    <row r="254" ht="15" customHeight="1">
      <c r="A254" t="inlineStr">
        <is>
          <t>A 34964-2025</t>
        </is>
      </c>
      <c r="B254" s="1" t="n">
        <v>45849.6330787037</v>
      </c>
      <c r="C254" s="1" t="n">
        <v>45924</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40127-2025</t>
        </is>
      </c>
      <c r="B255" s="1" t="n">
        <v>45894.53300925926</v>
      </c>
      <c r="C255" s="1" t="n">
        <v>45924</v>
      </c>
      <c r="D255" t="inlineStr">
        <is>
          <t>DALARNAS LÄN</t>
        </is>
      </c>
      <c r="E255" t="inlineStr">
        <is>
          <t>ORSA</t>
        </is>
      </c>
      <c r="F255" t="inlineStr">
        <is>
          <t>Allmännings- och besparingsskogar</t>
        </is>
      </c>
      <c r="G255" t="n">
        <v>17.4</v>
      </c>
      <c r="H255" t="n">
        <v>0</v>
      </c>
      <c r="I255" t="n">
        <v>0</v>
      </c>
      <c r="J255" t="n">
        <v>0</v>
      </c>
      <c r="K255" t="n">
        <v>0</v>
      </c>
      <c r="L255" t="n">
        <v>0</v>
      </c>
      <c r="M255" t="n">
        <v>0</v>
      </c>
      <c r="N255" t="n">
        <v>0</v>
      </c>
      <c r="O255" t="n">
        <v>0</v>
      </c>
      <c r="P255" t="n">
        <v>0</v>
      </c>
      <c r="Q255" t="n">
        <v>0</v>
      </c>
      <c r="R255" s="2" t="inlineStr"/>
    </row>
    <row r="256" ht="15" customHeight="1">
      <c r="A256" t="inlineStr">
        <is>
          <t>A 55280-2024</t>
        </is>
      </c>
      <c r="B256" s="1" t="n">
        <v>45621.62524305555</v>
      </c>
      <c r="C256" s="1" t="n">
        <v>45924</v>
      </c>
      <c r="D256" t="inlineStr">
        <is>
          <t>DALARNAS LÄN</t>
        </is>
      </c>
      <c r="E256" t="inlineStr">
        <is>
          <t>ORSA</t>
        </is>
      </c>
      <c r="G256" t="n">
        <v>2.3</v>
      </c>
      <c r="H256" t="n">
        <v>0</v>
      </c>
      <c r="I256" t="n">
        <v>0</v>
      </c>
      <c r="J256" t="n">
        <v>0</v>
      </c>
      <c r="K256" t="n">
        <v>0</v>
      </c>
      <c r="L256" t="n">
        <v>0</v>
      </c>
      <c r="M256" t="n">
        <v>0</v>
      </c>
      <c r="N256" t="n">
        <v>0</v>
      </c>
      <c r="O256" t="n">
        <v>0</v>
      </c>
      <c r="P256" t="n">
        <v>0</v>
      </c>
      <c r="Q256" t="n">
        <v>0</v>
      </c>
      <c r="R256" s="2" t="inlineStr"/>
    </row>
    <row r="257" ht="15" customHeight="1">
      <c r="A257" t="inlineStr">
        <is>
          <t>A 4202-2025</t>
        </is>
      </c>
      <c r="B257" s="1" t="n">
        <v>45685.46236111111</v>
      </c>
      <c r="C257" s="1" t="n">
        <v>45924</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4204-2025</t>
        </is>
      </c>
      <c r="B258" s="1" t="n">
        <v>45685.46390046296</v>
      </c>
      <c r="C258" s="1" t="n">
        <v>45924</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40111-2025</t>
        </is>
      </c>
      <c r="B259" s="1" t="n">
        <v>45894.49417824074</v>
      </c>
      <c r="C259" s="1" t="n">
        <v>45924</v>
      </c>
      <c r="D259" t="inlineStr">
        <is>
          <t>DALARNAS LÄN</t>
        </is>
      </c>
      <c r="E259" t="inlineStr">
        <is>
          <t>ORSA</t>
        </is>
      </c>
      <c r="F259" t="inlineStr">
        <is>
          <t>Allmännings- och besparingsskogar</t>
        </is>
      </c>
      <c r="G259" t="n">
        <v>18.6</v>
      </c>
      <c r="H259" t="n">
        <v>0</v>
      </c>
      <c r="I259" t="n">
        <v>0</v>
      </c>
      <c r="J259" t="n">
        <v>0</v>
      </c>
      <c r="K259" t="n">
        <v>0</v>
      </c>
      <c r="L259" t="n">
        <v>0</v>
      </c>
      <c r="M259" t="n">
        <v>0</v>
      </c>
      <c r="N259" t="n">
        <v>0</v>
      </c>
      <c r="O259" t="n">
        <v>0</v>
      </c>
      <c r="P259" t="n">
        <v>0</v>
      </c>
      <c r="Q259" t="n">
        <v>0</v>
      </c>
      <c r="R259" s="2" t="inlineStr"/>
    </row>
    <row r="260" ht="15" customHeight="1">
      <c r="A260" t="inlineStr">
        <is>
          <t>A 40070-2025</t>
        </is>
      </c>
      <c r="B260" s="1" t="n">
        <v>45894.44197916667</v>
      </c>
      <c r="C260" s="1" t="n">
        <v>45924</v>
      </c>
      <c r="D260" t="inlineStr">
        <is>
          <t>DALARNAS LÄN</t>
        </is>
      </c>
      <c r="E260" t="inlineStr">
        <is>
          <t>ORSA</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40091-2025</t>
        </is>
      </c>
      <c r="B261" s="1" t="n">
        <v>45894.47822916666</v>
      </c>
      <c r="C261" s="1" t="n">
        <v>45924</v>
      </c>
      <c r="D261" t="inlineStr">
        <is>
          <t>DALARNAS LÄN</t>
        </is>
      </c>
      <c r="E261" t="inlineStr">
        <is>
          <t>ORSA</t>
        </is>
      </c>
      <c r="F261" t="inlineStr">
        <is>
          <t>Allmännings- och besparingsskogar</t>
        </is>
      </c>
      <c r="G261" t="n">
        <v>20.4</v>
      </c>
      <c r="H261" t="n">
        <v>0</v>
      </c>
      <c r="I261" t="n">
        <v>0</v>
      </c>
      <c r="J261" t="n">
        <v>0</v>
      </c>
      <c r="K261" t="n">
        <v>0</v>
      </c>
      <c r="L261" t="n">
        <v>0</v>
      </c>
      <c r="M261" t="n">
        <v>0</v>
      </c>
      <c r="N261" t="n">
        <v>0</v>
      </c>
      <c r="O261" t="n">
        <v>0</v>
      </c>
      <c r="P261" t="n">
        <v>0</v>
      </c>
      <c r="Q261" t="n">
        <v>0</v>
      </c>
      <c r="R261" s="2" t="inlineStr"/>
    </row>
    <row r="262" ht="15" customHeight="1">
      <c r="A262" t="inlineStr">
        <is>
          <t>A 19024-2021</t>
        </is>
      </c>
      <c r="B262" s="1" t="n">
        <v>44308.5053587963</v>
      </c>
      <c r="C262" s="1" t="n">
        <v>45924</v>
      </c>
      <c r="D262" t="inlineStr">
        <is>
          <t>DALARNAS LÄN</t>
        </is>
      </c>
      <c r="E262" t="inlineStr">
        <is>
          <t>ORSA</t>
        </is>
      </c>
      <c r="G262" t="n">
        <v>1.7</v>
      </c>
      <c r="H262" t="n">
        <v>0</v>
      </c>
      <c r="I262" t="n">
        <v>0</v>
      </c>
      <c r="J262" t="n">
        <v>0</v>
      </c>
      <c r="K262" t="n">
        <v>0</v>
      </c>
      <c r="L262" t="n">
        <v>0</v>
      </c>
      <c r="M262" t="n">
        <v>0</v>
      </c>
      <c r="N262" t="n">
        <v>0</v>
      </c>
      <c r="O262" t="n">
        <v>0</v>
      </c>
      <c r="P262" t="n">
        <v>0</v>
      </c>
      <c r="Q262" t="n">
        <v>0</v>
      </c>
      <c r="R262" s="2" t="inlineStr"/>
    </row>
    <row r="263" ht="15" customHeight="1">
      <c r="A263" t="inlineStr">
        <is>
          <t>A 55538-2023</t>
        </is>
      </c>
      <c r="B263" s="1" t="n">
        <v>45238.5996875</v>
      </c>
      <c r="C263" s="1" t="n">
        <v>45924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25761-2021</t>
        </is>
      </c>
      <c r="B264" s="1" t="n">
        <v>44343</v>
      </c>
      <c r="C264" s="1" t="n">
        <v>45924</v>
      </c>
      <c r="D264" t="inlineStr">
        <is>
          <t>DALARNAS LÄN</t>
        </is>
      </c>
      <c r="E264" t="inlineStr">
        <is>
          <t>ORSA</t>
        </is>
      </c>
      <c r="G264" t="n">
        <v>3.4</v>
      </c>
      <c r="H264" t="n">
        <v>0</v>
      </c>
      <c r="I264" t="n">
        <v>0</v>
      </c>
      <c r="J264" t="n">
        <v>0</v>
      </c>
      <c r="K264" t="n">
        <v>0</v>
      </c>
      <c r="L264" t="n">
        <v>0</v>
      </c>
      <c r="M264" t="n">
        <v>0</v>
      </c>
      <c r="N264" t="n">
        <v>0</v>
      </c>
      <c r="O264" t="n">
        <v>0</v>
      </c>
      <c r="P264" t="n">
        <v>0</v>
      </c>
      <c r="Q264" t="n">
        <v>0</v>
      </c>
      <c r="R264" s="2" t="inlineStr"/>
    </row>
    <row r="265" ht="15" customHeight="1">
      <c r="A265" t="inlineStr">
        <is>
          <t>A 50392-2024</t>
        </is>
      </c>
      <c r="B265" s="1" t="n">
        <v>45601.33789351852</v>
      </c>
      <c r="C265" s="1" t="n">
        <v>45924</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21301-2023</t>
        </is>
      </c>
      <c r="B266" s="1" t="n">
        <v>45062.66613425926</v>
      </c>
      <c r="C266" s="1" t="n">
        <v>45924</v>
      </c>
      <c r="D266" t="inlineStr">
        <is>
          <t>DALARNAS LÄN</t>
        </is>
      </c>
      <c r="E266" t="inlineStr">
        <is>
          <t>ORSA</t>
        </is>
      </c>
      <c r="G266" t="n">
        <v>2.2</v>
      </c>
      <c r="H266" t="n">
        <v>0</v>
      </c>
      <c r="I266" t="n">
        <v>0</v>
      </c>
      <c r="J266" t="n">
        <v>0</v>
      </c>
      <c r="K266" t="n">
        <v>0</v>
      </c>
      <c r="L266" t="n">
        <v>0</v>
      </c>
      <c r="M266" t="n">
        <v>0</v>
      </c>
      <c r="N266" t="n">
        <v>0</v>
      </c>
      <c r="O266" t="n">
        <v>0</v>
      </c>
      <c r="P266" t="n">
        <v>0</v>
      </c>
      <c r="Q266" t="n">
        <v>0</v>
      </c>
      <c r="R266" s="2" t="inlineStr"/>
    </row>
    <row r="267" ht="15" customHeight="1">
      <c r="A267" t="inlineStr">
        <is>
          <t>A 10374-2023</t>
        </is>
      </c>
      <c r="B267" s="1" t="n">
        <v>44987.41359953704</v>
      </c>
      <c r="C267" s="1" t="n">
        <v>45924</v>
      </c>
      <c r="D267" t="inlineStr">
        <is>
          <t>DALARNAS LÄN</t>
        </is>
      </c>
      <c r="E267" t="inlineStr">
        <is>
          <t>ORSA</t>
        </is>
      </c>
      <c r="G267" t="n">
        <v>1.8</v>
      </c>
      <c r="H267" t="n">
        <v>0</v>
      </c>
      <c r="I267" t="n">
        <v>0</v>
      </c>
      <c r="J267" t="n">
        <v>0</v>
      </c>
      <c r="K267" t="n">
        <v>0</v>
      </c>
      <c r="L267" t="n">
        <v>0</v>
      </c>
      <c r="M267" t="n">
        <v>0</v>
      </c>
      <c r="N267" t="n">
        <v>0</v>
      </c>
      <c r="O267" t="n">
        <v>0</v>
      </c>
      <c r="P267" t="n">
        <v>0</v>
      </c>
      <c r="Q267" t="n">
        <v>0</v>
      </c>
      <c r="R267" s="2" t="inlineStr"/>
    </row>
    <row r="268" ht="15" customHeight="1">
      <c r="A268" t="inlineStr">
        <is>
          <t>A 28923-2024</t>
        </is>
      </c>
      <c r="B268" s="1" t="n">
        <v>45481</v>
      </c>
      <c r="C268" s="1" t="n">
        <v>45924</v>
      </c>
      <c r="D268" t="inlineStr">
        <is>
          <t>DALARNAS LÄN</t>
        </is>
      </c>
      <c r="E268" t="inlineStr">
        <is>
          <t>ORSA</t>
        </is>
      </c>
      <c r="F268" t="inlineStr">
        <is>
          <t>Allmännings- och besparingsskogar</t>
        </is>
      </c>
      <c r="G268" t="n">
        <v>13.9</v>
      </c>
      <c r="H268" t="n">
        <v>0</v>
      </c>
      <c r="I268" t="n">
        <v>0</v>
      </c>
      <c r="J268" t="n">
        <v>0</v>
      </c>
      <c r="K268" t="n">
        <v>0</v>
      </c>
      <c r="L268" t="n">
        <v>0</v>
      </c>
      <c r="M268" t="n">
        <v>0</v>
      </c>
      <c r="N268" t="n">
        <v>0</v>
      </c>
      <c r="O268" t="n">
        <v>0</v>
      </c>
      <c r="P268" t="n">
        <v>0</v>
      </c>
      <c r="Q268" t="n">
        <v>0</v>
      </c>
      <c r="R268" s="2" t="inlineStr"/>
    </row>
    <row r="269" ht="15" customHeight="1">
      <c r="A269" t="inlineStr">
        <is>
          <t>A 15113-2025</t>
        </is>
      </c>
      <c r="B269" s="1" t="n">
        <v>45744.36179398148</v>
      </c>
      <c r="C269" s="1" t="n">
        <v>45924</v>
      </c>
      <c r="D269" t="inlineStr">
        <is>
          <t>DALARNAS LÄN</t>
        </is>
      </c>
      <c r="E269" t="inlineStr">
        <is>
          <t>ORSA</t>
        </is>
      </c>
      <c r="F269" t="inlineStr">
        <is>
          <t>Allmännings- och besparingsskogar</t>
        </is>
      </c>
      <c r="G269" t="n">
        <v>3.3</v>
      </c>
      <c r="H269" t="n">
        <v>0</v>
      </c>
      <c r="I269" t="n">
        <v>0</v>
      </c>
      <c r="J269" t="n">
        <v>0</v>
      </c>
      <c r="K269" t="n">
        <v>0</v>
      </c>
      <c r="L269" t="n">
        <v>0</v>
      </c>
      <c r="M269" t="n">
        <v>0</v>
      </c>
      <c r="N269" t="n">
        <v>0</v>
      </c>
      <c r="O269" t="n">
        <v>0</v>
      </c>
      <c r="P269" t="n">
        <v>0</v>
      </c>
      <c r="Q269" t="n">
        <v>0</v>
      </c>
      <c r="R269" s="2" t="inlineStr"/>
    </row>
    <row r="270" ht="15" customHeight="1">
      <c r="A270" t="inlineStr">
        <is>
          <t>A 40577-2025</t>
        </is>
      </c>
      <c r="B270" s="1" t="n">
        <v>45896.51028935185</v>
      </c>
      <c r="C270" s="1" t="n">
        <v>45924</v>
      </c>
      <c r="D270" t="inlineStr">
        <is>
          <t>DALARNAS LÄN</t>
        </is>
      </c>
      <c r="E270" t="inlineStr">
        <is>
          <t>ORSA</t>
        </is>
      </c>
      <c r="F270" t="inlineStr">
        <is>
          <t>Allmännings- och besparingsskogar</t>
        </is>
      </c>
      <c r="G270" t="n">
        <v>13.8</v>
      </c>
      <c r="H270" t="n">
        <v>0</v>
      </c>
      <c r="I270" t="n">
        <v>0</v>
      </c>
      <c r="J270" t="n">
        <v>0</v>
      </c>
      <c r="K270" t="n">
        <v>0</v>
      </c>
      <c r="L270" t="n">
        <v>0</v>
      </c>
      <c r="M270" t="n">
        <v>0</v>
      </c>
      <c r="N270" t="n">
        <v>0</v>
      </c>
      <c r="O270" t="n">
        <v>0</v>
      </c>
      <c r="P270" t="n">
        <v>0</v>
      </c>
      <c r="Q270" t="n">
        <v>0</v>
      </c>
      <c r="R270" s="2" t="inlineStr"/>
    </row>
    <row r="271" ht="15" customHeight="1">
      <c r="A271" t="inlineStr">
        <is>
          <t>A 19932-2021</t>
        </is>
      </c>
      <c r="B271" s="1" t="n">
        <v>44313.60207175926</v>
      </c>
      <c r="C271" s="1" t="n">
        <v>45924</v>
      </c>
      <c r="D271" t="inlineStr">
        <is>
          <t>DALARNAS LÄN</t>
        </is>
      </c>
      <c r="E271" t="inlineStr">
        <is>
          <t>ORSA</t>
        </is>
      </c>
      <c r="G271" t="n">
        <v>2</v>
      </c>
      <c r="H271" t="n">
        <v>0</v>
      </c>
      <c r="I271" t="n">
        <v>0</v>
      </c>
      <c r="J271" t="n">
        <v>0</v>
      </c>
      <c r="K271" t="n">
        <v>0</v>
      </c>
      <c r="L271" t="n">
        <v>0</v>
      </c>
      <c r="M271" t="n">
        <v>0</v>
      </c>
      <c r="N271" t="n">
        <v>0</v>
      </c>
      <c r="O271" t="n">
        <v>0</v>
      </c>
      <c r="P271" t="n">
        <v>0</v>
      </c>
      <c r="Q271" t="n">
        <v>0</v>
      </c>
      <c r="R271" s="2" t="inlineStr"/>
    </row>
    <row r="272" ht="15" customHeight="1">
      <c r="A272" t="inlineStr">
        <is>
          <t>A 47732-2022</t>
        </is>
      </c>
      <c r="B272" s="1" t="n">
        <v>44854.63668981481</v>
      </c>
      <c r="C272" s="1" t="n">
        <v>45924</v>
      </c>
      <c r="D272" t="inlineStr">
        <is>
          <t>DALARNAS LÄN</t>
        </is>
      </c>
      <c r="E272" t="inlineStr">
        <is>
          <t>ORSA</t>
        </is>
      </c>
      <c r="F272" t="inlineStr">
        <is>
          <t>Bergvik skog öst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36089-2023</t>
        </is>
      </c>
      <c r="B273" s="1" t="n">
        <v>45149.51068287037</v>
      </c>
      <c r="C273" s="1" t="n">
        <v>45924</v>
      </c>
      <c r="D273" t="inlineStr">
        <is>
          <t>DALARNAS LÄN</t>
        </is>
      </c>
      <c r="E273" t="inlineStr">
        <is>
          <t>ORSA</t>
        </is>
      </c>
      <c r="F273" t="inlineStr">
        <is>
          <t>Allmännings- och besparingsskogar</t>
        </is>
      </c>
      <c r="G273" t="n">
        <v>1.2</v>
      </c>
      <c r="H273" t="n">
        <v>0</v>
      </c>
      <c r="I273" t="n">
        <v>0</v>
      </c>
      <c r="J273" t="n">
        <v>0</v>
      </c>
      <c r="K273" t="n">
        <v>0</v>
      </c>
      <c r="L273" t="n">
        <v>0</v>
      </c>
      <c r="M273" t="n">
        <v>0</v>
      </c>
      <c r="N273" t="n">
        <v>0</v>
      </c>
      <c r="O273" t="n">
        <v>0</v>
      </c>
      <c r="P273" t="n">
        <v>0</v>
      </c>
      <c r="Q273" t="n">
        <v>0</v>
      </c>
      <c r="R273" s="2" t="inlineStr"/>
    </row>
    <row r="274" ht="15" customHeight="1">
      <c r="A274" t="inlineStr">
        <is>
          <t>A 48819-2024</t>
        </is>
      </c>
      <c r="B274" s="1" t="n">
        <v>45593.67824074074</v>
      </c>
      <c r="C274" s="1" t="n">
        <v>45924</v>
      </c>
      <c r="D274" t="inlineStr">
        <is>
          <t>DALARNAS LÄN</t>
        </is>
      </c>
      <c r="E274" t="inlineStr">
        <is>
          <t>ORSA</t>
        </is>
      </c>
      <c r="G274" t="n">
        <v>5</v>
      </c>
      <c r="H274" t="n">
        <v>0</v>
      </c>
      <c r="I274" t="n">
        <v>0</v>
      </c>
      <c r="J274" t="n">
        <v>0</v>
      </c>
      <c r="K274" t="n">
        <v>0</v>
      </c>
      <c r="L274" t="n">
        <v>0</v>
      </c>
      <c r="M274" t="n">
        <v>0</v>
      </c>
      <c r="N274" t="n">
        <v>0</v>
      </c>
      <c r="O274" t="n">
        <v>0</v>
      </c>
      <c r="P274" t="n">
        <v>0</v>
      </c>
      <c r="Q274" t="n">
        <v>0</v>
      </c>
      <c r="R274" s="2" t="inlineStr"/>
    </row>
    <row r="275" ht="15" customHeight="1">
      <c r="A275" t="inlineStr">
        <is>
          <t>A 112-2021</t>
        </is>
      </c>
      <c r="B275" s="1" t="n">
        <v>44200</v>
      </c>
      <c r="C275" s="1" t="n">
        <v>45924</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55580-2024</t>
        </is>
      </c>
      <c r="B276" s="1" t="n">
        <v>45622.56038194444</v>
      </c>
      <c r="C276" s="1" t="n">
        <v>45924</v>
      </c>
      <c r="D276" t="inlineStr">
        <is>
          <t>DALARNAS LÄN</t>
        </is>
      </c>
      <c r="E276" t="inlineStr">
        <is>
          <t>ORSA</t>
        </is>
      </c>
      <c r="G276" t="n">
        <v>2</v>
      </c>
      <c r="H276" t="n">
        <v>0</v>
      </c>
      <c r="I276" t="n">
        <v>0</v>
      </c>
      <c r="J276" t="n">
        <v>0</v>
      </c>
      <c r="K276" t="n">
        <v>0</v>
      </c>
      <c r="L276" t="n">
        <v>0</v>
      </c>
      <c r="M276" t="n">
        <v>0</v>
      </c>
      <c r="N276" t="n">
        <v>0</v>
      </c>
      <c r="O276" t="n">
        <v>0</v>
      </c>
      <c r="P276" t="n">
        <v>0</v>
      </c>
      <c r="Q276" t="n">
        <v>0</v>
      </c>
      <c r="R276" s="2" t="inlineStr"/>
    </row>
    <row r="277" ht="15" customHeight="1">
      <c r="A277" t="inlineStr">
        <is>
          <t>A 8107-2024</t>
        </is>
      </c>
      <c r="B277" s="1" t="n">
        <v>45351</v>
      </c>
      <c r="C277" s="1" t="n">
        <v>45924</v>
      </c>
      <c r="D277" t="inlineStr">
        <is>
          <t>DALARNAS LÄN</t>
        </is>
      </c>
      <c r="E277" t="inlineStr">
        <is>
          <t>ORSA</t>
        </is>
      </c>
      <c r="G277" t="n">
        <v>13.6</v>
      </c>
      <c r="H277" t="n">
        <v>0</v>
      </c>
      <c r="I277" t="n">
        <v>0</v>
      </c>
      <c r="J277" t="n">
        <v>0</v>
      </c>
      <c r="K277" t="n">
        <v>0</v>
      </c>
      <c r="L277" t="n">
        <v>0</v>
      </c>
      <c r="M277" t="n">
        <v>0</v>
      </c>
      <c r="N277" t="n">
        <v>0</v>
      </c>
      <c r="O277" t="n">
        <v>0</v>
      </c>
      <c r="P277" t="n">
        <v>0</v>
      </c>
      <c r="Q277" t="n">
        <v>0</v>
      </c>
      <c r="R277" s="2" t="inlineStr"/>
    </row>
    <row r="278" ht="15" customHeight="1">
      <c r="A278" t="inlineStr">
        <is>
          <t>A 48518-2024</t>
        </is>
      </c>
      <c r="B278" s="1" t="n">
        <v>45593.31915509259</v>
      </c>
      <c r="C278" s="1" t="n">
        <v>45924</v>
      </c>
      <c r="D278" t="inlineStr">
        <is>
          <t>DALARNAS LÄN</t>
        </is>
      </c>
      <c r="E278" t="inlineStr">
        <is>
          <t>ORSA</t>
        </is>
      </c>
      <c r="G278" t="n">
        <v>1.9</v>
      </c>
      <c r="H278" t="n">
        <v>0</v>
      </c>
      <c r="I278" t="n">
        <v>0</v>
      </c>
      <c r="J278" t="n">
        <v>0</v>
      </c>
      <c r="K278" t="n">
        <v>0</v>
      </c>
      <c r="L278" t="n">
        <v>0</v>
      </c>
      <c r="M278" t="n">
        <v>0</v>
      </c>
      <c r="N278" t="n">
        <v>0</v>
      </c>
      <c r="O278" t="n">
        <v>0</v>
      </c>
      <c r="P278" t="n">
        <v>0</v>
      </c>
      <c r="Q278" t="n">
        <v>0</v>
      </c>
      <c r="R278" s="2" t="inlineStr"/>
    </row>
    <row r="279" ht="15" customHeight="1">
      <c r="A279" t="inlineStr">
        <is>
          <t>A 35619-2025</t>
        </is>
      </c>
      <c r="B279" s="1" t="n">
        <v>45859</v>
      </c>
      <c r="C279" s="1" t="n">
        <v>45924</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35617-2025</t>
        </is>
      </c>
      <c r="B280" s="1" t="n">
        <v>45859</v>
      </c>
      <c r="C280" s="1" t="n">
        <v>45924</v>
      </c>
      <c r="D280" t="inlineStr">
        <is>
          <t>DALARNAS LÄN</t>
        </is>
      </c>
      <c r="E280" t="inlineStr">
        <is>
          <t>ORSA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3107-2025</t>
        </is>
      </c>
      <c r="B281" s="1" t="n">
        <v>45678.68400462963</v>
      </c>
      <c r="C281" s="1" t="n">
        <v>45924</v>
      </c>
      <c r="D281" t="inlineStr">
        <is>
          <t>DALARNAS LÄN</t>
        </is>
      </c>
      <c r="E281" t="inlineStr">
        <is>
          <t>ORSA</t>
        </is>
      </c>
      <c r="G281" t="n">
        <v>2.1</v>
      </c>
      <c r="H281" t="n">
        <v>0</v>
      </c>
      <c r="I281" t="n">
        <v>0</v>
      </c>
      <c r="J281" t="n">
        <v>0</v>
      </c>
      <c r="K281" t="n">
        <v>0</v>
      </c>
      <c r="L281" t="n">
        <v>0</v>
      </c>
      <c r="M281" t="n">
        <v>0</v>
      </c>
      <c r="N281" t="n">
        <v>0</v>
      </c>
      <c r="O281" t="n">
        <v>0</v>
      </c>
      <c r="P281" t="n">
        <v>0</v>
      </c>
      <c r="Q281" t="n">
        <v>0</v>
      </c>
      <c r="R281" s="2" t="inlineStr"/>
    </row>
    <row r="282" ht="15" customHeight="1">
      <c r="A282" t="inlineStr">
        <is>
          <t>A 52912-2023</t>
        </is>
      </c>
      <c r="B282" s="1" t="n">
        <v>45226.51766203704</v>
      </c>
      <c r="C282" s="1" t="n">
        <v>45924</v>
      </c>
      <c r="D282" t="inlineStr">
        <is>
          <t>DALARNAS LÄN</t>
        </is>
      </c>
      <c r="E282" t="inlineStr">
        <is>
          <t>ORSA</t>
        </is>
      </c>
      <c r="G282" t="n">
        <v>10.9</v>
      </c>
      <c r="H282" t="n">
        <v>0</v>
      </c>
      <c r="I282" t="n">
        <v>0</v>
      </c>
      <c r="J282" t="n">
        <v>0</v>
      </c>
      <c r="K282" t="n">
        <v>0</v>
      </c>
      <c r="L282" t="n">
        <v>0</v>
      </c>
      <c r="M282" t="n">
        <v>0</v>
      </c>
      <c r="N282" t="n">
        <v>0</v>
      </c>
      <c r="O282" t="n">
        <v>0</v>
      </c>
      <c r="P282" t="n">
        <v>0</v>
      </c>
      <c r="Q282" t="n">
        <v>0</v>
      </c>
      <c r="R282" s="2" t="inlineStr"/>
    </row>
    <row r="283" ht="15" customHeight="1">
      <c r="A283" t="inlineStr">
        <is>
          <t>A 41666-2025</t>
        </is>
      </c>
      <c r="B283" s="1" t="n">
        <v>45902.35822916667</v>
      </c>
      <c r="C283" s="1" t="n">
        <v>45924</v>
      </c>
      <c r="D283" t="inlineStr">
        <is>
          <t>DALARNAS LÄN</t>
        </is>
      </c>
      <c r="E283" t="inlineStr">
        <is>
          <t>ORSA</t>
        </is>
      </c>
      <c r="G283" t="n">
        <v>1.4</v>
      </c>
      <c r="H283" t="n">
        <v>0</v>
      </c>
      <c r="I283" t="n">
        <v>0</v>
      </c>
      <c r="J283" t="n">
        <v>0</v>
      </c>
      <c r="K283" t="n">
        <v>0</v>
      </c>
      <c r="L283" t="n">
        <v>0</v>
      </c>
      <c r="M283" t="n">
        <v>0</v>
      </c>
      <c r="N283" t="n">
        <v>0</v>
      </c>
      <c r="O283" t="n">
        <v>0</v>
      </c>
      <c r="P283" t="n">
        <v>0</v>
      </c>
      <c r="Q283" t="n">
        <v>0</v>
      </c>
      <c r="R283" s="2" t="inlineStr"/>
    </row>
    <row r="284" ht="15" customHeight="1">
      <c r="A284" t="inlineStr">
        <is>
          <t>A 41919-2025</t>
        </is>
      </c>
      <c r="B284" s="1" t="n">
        <v>45903.42372685186</v>
      </c>
      <c r="C284" s="1" t="n">
        <v>45924</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41927-2025</t>
        </is>
      </c>
      <c r="B285" s="1" t="n">
        <v>45903.4290625</v>
      </c>
      <c r="C285" s="1" t="n">
        <v>45924</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41971-2025</t>
        </is>
      </c>
      <c r="B286" s="1" t="n">
        <v>45903.48930555556</v>
      </c>
      <c r="C286" s="1" t="n">
        <v>45924</v>
      </c>
      <c r="D286" t="inlineStr">
        <is>
          <t>DALARNAS LÄN</t>
        </is>
      </c>
      <c r="E286" t="inlineStr">
        <is>
          <t>ORSA</t>
        </is>
      </c>
      <c r="G286" t="n">
        <v>15.8</v>
      </c>
      <c r="H286" t="n">
        <v>0</v>
      </c>
      <c r="I286" t="n">
        <v>0</v>
      </c>
      <c r="J286" t="n">
        <v>0</v>
      </c>
      <c r="K286" t="n">
        <v>0</v>
      </c>
      <c r="L286" t="n">
        <v>0</v>
      </c>
      <c r="M286" t="n">
        <v>0</v>
      </c>
      <c r="N286" t="n">
        <v>0</v>
      </c>
      <c r="O286" t="n">
        <v>0</v>
      </c>
      <c r="P286" t="n">
        <v>0</v>
      </c>
      <c r="Q286" t="n">
        <v>0</v>
      </c>
      <c r="R286" s="2" t="inlineStr"/>
    </row>
    <row r="287" ht="15" customHeight="1">
      <c r="A287" t="inlineStr">
        <is>
          <t>A 41991-2025</t>
        </is>
      </c>
      <c r="B287" s="1" t="n">
        <v>45903.54532407408</v>
      </c>
      <c r="C287" s="1" t="n">
        <v>45924</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42226-2025</t>
        </is>
      </c>
      <c r="B288" s="1" t="n">
        <v>45904.53831018518</v>
      </c>
      <c r="C288" s="1" t="n">
        <v>45924</v>
      </c>
      <c r="D288" t="inlineStr">
        <is>
          <t>DALARNAS LÄN</t>
        </is>
      </c>
      <c r="E288" t="inlineStr">
        <is>
          <t>ORSA</t>
        </is>
      </c>
      <c r="F288" t="inlineStr">
        <is>
          <t>Allmännings- och besparingsskogar</t>
        </is>
      </c>
      <c r="G288" t="n">
        <v>18</v>
      </c>
      <c r="H288" t="n">
        <v>0</v>
      </c>
      <c r="I288" t="n">
        <v>0</v>
      </c>
      <c r="J288" t="n">
        <v>0</v>
      </c>
      <c r="K288" t="n">
        <v>0</v>
      </c>
      <c r="L288" t="n">
        <v>0</v>
      </c>
      <c r="M288" t="n">
        <v>0</v>
      </c>
      <c r="N288" t="n">
        <v>0</v>
      </c>
      <c r="O288" t="n">
        <v>0</v>
      </c>
      <c r="P288" t="n">
        <v>0</v>
      </c>
      <c r="Q288" t="n">
        <v>0</v>
      </c>
      <c r="R288" s="2" t="inlineStr"/>
    </row>
    <row r="289" ht="15" customHeight="1">
      <c r="A289" t="inlineStr">
        <is>
          <t>A 35933-2025</t>
        </is>
      </c>
      <c r="B289" s="1" t="n">
        <v>45862.62653935186</v>
      </c>
      <c r="C289" s="1" t="n">
        <v>45924</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35935-2025</t>
        </is>
      </c>
      <c r="B290" s="1" t="n">
        <v>45862.6353125</v>
      </c>
      <c r="C290" s="1" t="n">
        <v>45924</v>
      </c>
      <c r="D290" t="inlineStr">
        <is>
          <t>DALARNAS LÄN</t>
        </is>
      </c>
      <c r="E290" t="inlineStr">
        <is>
          <t>ORSA</t>
        </is>
      </c>
      <c r="G290" t="n">
        <v>0.6</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45924</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35940-2025</t>
        </is>
      </c>
      <c r="B292" s="1" t="n">
        <v>45862.65081018519</v>
      </c>
      <c r="C292" s="1" t="n">
        <v>45924</v>
      </c>
      <c r="D292" t="inlineStr">
        <is>
          <t>DALARNAS LÄN</t>
        </is>
      </c>
      <c r="E292" t="inlineStr">
        <is>
          <t>ORSA</t>
        </is>
      </c>
      <c r="G292" t="n">
        <v>5.1</v>
      </c>
      <c r="H292" t="n">
        <v>0</v>
      </c>
      <c r="I292" t="n">
        <v>0</v>
      </c>
      <c r="J292" t="n">
        <v>0</v>
      </c>
      <c r="K292" t="n">
        <v>0</v>
      </c>
      <c r="L292" t="n">
        <v>0</v>
      </c>
      <c r="M292" t="n">
        <v>0</v>
      </c>
      <c r="N292" t="n">
        <v>0</v>
      </c>
      <c r="O292" t="n">
        <v>0</v>
      </c>
      <c r="P292" t="n">
        <v>0</v>
      </c>
      <c r="Q292" t="n">
        <v>0</v>
      </c>
      <c r="R292" s="2" t="inlineStr"/>
    </row>
    <row r="293" ht="15" customHeight="1">
      <c r="A293" t="inlineStr">
        <is>
          <t>A 35939-2025</t>
        </is>
      </c>
      <c r="B293" s="1" t="n">
        <v>45862.64581018518</v>
      </c>
      <c r="C293" s="1" t="n">
        <v>45924</v>
      </c>
      <c r="D293" t="inlineStr">
        <is>
          <t>DALARNAS LÄN</t>
        </is>
      </c>
      <c r="E293" t="inlineStr">
        <is>
          <t>ORSA</t>
        </is>
      </c>
      <c r="G293" t="n">
        <v>5.6</v>
      </c>
      <c r="H293" t="n">
        <v>0</v>
      </c>
      <c r="I293" t="n">
        <v>0</v>
      </c>
      <c r="J293" t="n">
        <v>0</v>
      </c>
      <c r="K293" t="n">
        <v>0</v>
      </c>
      <c r="L293" t="n">
        <v>0</v>
      </c>
      <c r="M293" t="n">
        <v>0</v>
      </c>
      <c r="N293" t="n">
        <v>0</v>
      </c>
      <c r="O293" t="n">
        <v>0</v>
      </c>
      <c r="P293" t="n">
        <v>0</v>
      </c>
      <c r="Q293" t="n">
        <v>0</v>
      </c>
      <c r="R293" s="2" t="inlineStr"/>
    </row>
    <row r="294" ht="15" customHeight="1">
      <c r="A294" t="inlineStr">
        <is>
          <t>A 50714-2023</t>
        </is>
      </c>
      <c r="B294" s="1" t="n">
        <v>45217.56513888889</v>
      </c>
      <c r="C294" s="1" t="n">
        <v>45924</v>
      </c>
      <c r="D294" t="inlineStr">
        <is>
          <t>DALARNAS LÄN</t>
        </is>
      </c>
      <c r="E294" t="inlineStr">
        <is>
          <t>ORSA</t>
        </is>
      </c>
      <c r="G294" t="n">
        <v>1.1</v>
      </c>
      <c r="H294" t="n">
        <v>0</v>
      </c>
      <c r="I294" t="n">
        <v>0</v>
      </c>
      <c r="J294" t="n">
        <v>0</v>
      </c>
      <c r="K294" t="n">
        <v>0</v>
      </c>
      <c r="L294" t="n">
        <v>0</v>
      </c>
      <c r="M294" t="n">
        <v>0</v>
      </c>
      <c r="N294" t="n">
        <v>0</v>
      </c>
      <c r="O294" t="n">
        <v>0</v>
      </c>
      <c r="P294" t="n">
        <v>0</v>
      </c>
      <c r="Q294" t="n">
        <v>0</v>
      </c>
      <c r="R294" s="2" t="inlineStr"/>
    </row>
    <row r="295" ht="15" customHeight="1">
      <c r="A295" t="inlineStr">
        <is>
          <t>A 33265-2021</t>
        </is>
      </c>
      <c r="B295" s="1" t="n">
        <v>44377</v>
      </c>
      <c r="C295" s="1" t="n">
        <v>45924</v>
      </c>
      <c r="D295" t="inlineStr">
        <is>
          <t>DALARNAS LÄN</t>
        </is>
      </c>
      <c r="E295" t="inlineStr">
        <is>
          <t>ORSA</t>
        </is>
      </c>
      <c r="G295" t="n">
        <v>1.9</v>
      </c>
      <c r="H295" t="n">
        <v>0</v>
      </c>
      <c r="I295" t="n">
        <v>0</v>
      </c>
      <c r="J295" t="n">
        <v>0</v>
      </c>
      <c r="K295" t="n">
        <v>0</v>
      </c>
      <c r="L295" t="n">
        <v>0</v>
      </c>
      <c r="M295" t="n">
        <v>0</v>
      </c>
      <c r="N295" t="n">
        <v>0</v>
      </c>
      <c r="O295" t="n">
        <v>0</v>
      </c>
      <c r="P295" t="n">
        <v>0</v>
      </c>
      <c r="Q295" t="n">
        <v>0</v>
      </c>
      <c r="R295" s="2" t="inlineStr"/>
    </row>
    <row r="296" ht="15" customHeight="1">
      <c r="A296" t="inlineStr">
        <is>
          <t>A 58842-2024</t>
        </is>
      </c>
      <c r="B296" s="1" t="n">
        <v>45636.3859837963</v>
      </c>
      <c r="C296" s="1" t="n">
        <v>45924</v>
      </c>
      <c r="D296" t="inlineStr">
        <is>
          <t>DALARNAS LÄN</t>
        </is>
      </c>
      <c r="E296" t="inlineStr">
        <is>
          <t>ORSA</t>
        </is>
      </c>
      <c r="G296" t="n">
        <v>2.8</v>
      </c>
      <c r="H296" t="n">
        <v>0</v>
      </c>
      <c r="I296" t="n">
        <v>0</v>
      </c>
      <c r="J296" t="n">
        <v>0</v>
      </c>
      <c r="K296" t="n">
        <v>0</v>
      </c>
      <c r="L296" t="n">
        <v>0</v>
      </c>
      <c r="M296" t="n">
        <v>0</v>
      </c>
      <c r="N296" t="n">
        <v>0</v>
      </c>
      <c r="O296" t="n">
        <v>0</v>
      </c>
      <c r="P296" t="n">
        <v>0</v>
      </c>
      <c r="Q296" t="n">
        <v>0</v>
      </c>
      <c r="R296" s="2" t="inlineStr"/>
    </row>
    <row r="297" ht="15" customHeight="1">
      <c r="A297" t="inlineStr">
        <is>
          <t>A 48447-2023</t>
        </is>
      </c>
      <c r="B297" s="1" t="n">
        <v>45206.39274305556</v>
      </c>
      <c r="C297" s="1" t="n">
        <v>45924</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17508-2025</t>
        </is>
      </c>
      <c r="B298" s="1" t="n">
        <v>45757.55929398148</v>
      </c>
      <c r="C298" s="1" t="n">
        <v>45924</v>
      </c>
      <c r="D298" t="inlineStr">
        <is>
          <t>DALARNAS LÄN</t>
        </is>
      </c>
      <c r="E298" t="inlineStr">
        <is>
          <t>ORSA</t>
        </is>
      </c>
      <c r="F298" t="inlineStr">
        <is>
          <t>Bergvik skog öst AB</t>
        </is>
      </c>
      <c r="G298" t="n">
        <v>9.4</v>
      </c>
      <c r="H298" t="n">
        <v>0</v>
      </c>
      <c r="I298" t="n">
        <v>0</v>
      </c>
      <c r="J298" t="n">
        <v>0</v>
      </c>
      <c r="K298" t="n">
        <v>0</v>
      </c>
      <c r="L298" t="n">
        <v>0</v>
      </c>
      <c r="M298" t="n">
        <v>0</v>
      </c>
      <c r="N298" t="n">
        <v>0</v>
      </c>
      <c r="O298" t="n">
        <v>0</v>
      </c>
      <c r="P298" t="n">
        <v>0</v>
      </c>
      <c r="Q298" t="n">
        <v>0</v>
      </c>
      <c r="R298" s="2" t="inlineStr"/>
    </row>
    <row r="299" ht="15" customHeight="1">
      <c r="A299" t="inlineStr">
        <is>
          <t>A 3720-2023</t>
        </is>
      </c>
      <c r="B299" s="1" t="n">
        <v>44951.36688657408</v>
      </c>
      <c r="C299" s="1" t="n">
        <v>45924</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62342-2023</t>
        </is>
      </c>
      <c r="B300" s="1" t="n">
        <v>45267.9268287037</v>
      </c>
      <c r="C300" s="1" t="n">
        <v>45924</v>
      </c>
      <c r="D300" t="inlineStr">
        <is>
          <t>DALARNAS LÄN</t>
        </is>
      </c>
      <c r="E300" t="inlineStr">
        <is>
          <t>ORSA</t>
        </is>
      </c>
      <c r="G300" t="n">
        <v>2.5</v>
      </c>
      <c r="H300" t="n">
        <v>0</v>
      </c>
      <c r="I300" t="n">
        <v>0</v>
      </c>
      <c r="J300" t="n">
        <v>0</v>
      </c>
      <c r="K300" t="n">
        <v>0</v>
      </c>
      <c r="L300" t="n">
        <v>0</v>
      </c>
      <c r="M300" t="n">
        <v>0</v>
      </c>
      <c r="N300" t="n">
        <v>0</v>
      </c>
      <c r="O300" t="n">
        <v>0</v>
      </c>
      <c r="P300" t="n">
        <v>0</v>
      </c>
      <c r="Q300" t="n">
        <v>0</v>
      </c>
      <c r="R300" s="2" t="inlineStr"/>
    </row>
    <row r="301" ht="15" customHeight="1">
      <c r="A301" t="inlineStr">
        <is>
          <t>A 20588-2025</t>
        </is>
      </c>
      <c r="B301" s="1" t="n">
        <v>45775</v>
      </c>
      <c r="C301" s="1" t="n">
        <v>45924</v>
      </c>
      <c r="D301" t="inlineStr">
        <is>
          <t>DALARNAS LÄN</t>
        </is>
      </c>
      <c r="E301" t="inlineStr">
        <is>
          <t>ORSA</t>
        </is>
      </c>
      <c r="G301" t="n">
        <v>1.7</v>
      </c>
      <c r="H301" t="n">
        <v>0</v>
      </c>
      <c r="I301" t="n">
        <v>0</v>
      </c>
      <c r="J301" t="n">
        <v>0</v>
      </c>
      <c r="K301" t="n">
        <v>0</v>
      </c>
      <c r="L301" t="n">
        <v>0</v>
      </c>
      <c r="M301" t="n">
        <v>0</v>
      </c>
      <c r="N301" t="n">
        <v>0</v>
      </c>
      <c r="O301" t="n">
        <v>0</v>
      </c>
      <c r="P301" t="n">
        <v>0</v>
      </c>
      <c r="Q301" t="n">
        <v>0</v>
      </c>
      <c r="R301" s="2" t="inlineStr"/>
    </row>
    <row r="302" ht="15" customHeight="1">
      <c r="A302" t="inlineStr">
        <is>
          <t>A 20589-2025</t>
        </is>
      </c>
      <c r="B302" s="1" t="n">
        <v>45775</v>
      </c>
      <c r="C302" s="1" t="n">
        <v>45924</v>
      </c>
      <c r="D302" t="inlineStr">
        <is>
          <t>DALARNAS LÄN</t>
        </is>
      </c>
      <c r="E302" t="inlineStr">
        <is>
          <t>ORSA</t>
        </is>
      </c>
      <c r="G302" t="n">
        <v>2</v>
      </c>
      <c r="H302" t="n">
        <v>0</v>
      </c>
      <c r="I302" t="n">
        <v>0</v>
      </c>
      <c r="J302" t="n">
        <v>0</v>
      </c>
      <c r="K302" t="n">
        <v>0</v>
      </c>
      <c r="L302" t="n">
        <v>0</v>
      </c>
      <c r="M302" t="n">
        <v>0</v>
      </c>
      <c r="N302" t="n">
        <v>0</v>
      </c>
      <c r="O302" t="n">
        <v>0</v>
      </c>
      <c r="P302" t="n">
        <v>0</v>
      </c>
      <c r="Q302" t="n">
        <v>0</v>
      </c>
      <c r="R302" s="2" t="inlineStr"/>
    </row>
    <row r="303" ht="15" customHeight="1">
      <c r="A303" t="inlineStr">
        <is>
          <t>A 67842-2020</t>
        </is>
      </c>
      <c r="B303" s="1" t="n">
        <v>44182</v>
      </c>
      <c r="C303" s="1" t="n">
        <v>45924</v>
      </c>
      <c r="D303" t="inlineStr">
        <is>
          <t>DALARNAS LÄN</t>
        </is>
      </c>
      <c r="E303" t="inlineStr">
        <is>
          <t>ORSA</t>
        </is>
      </c>
      <c r="G303" t="n">
        <v>10.6</v>
      </c>
      <c r="H303" t="n">
        <v>0</v>
      </c>
      <c r="I303" t="n">
        <v>0</v>
      </c>
      <c r="J303" t="n">
        <v>0</v>
      </c>
      <c r="K303" t="n">
        <v>0</v>
      </c>
      <c r="L303" t="n">
        <v>0</v>
      </c>
      <c r="M303" t="n">
        <v>0</v>
      </c>
      <c r="N303" t="n">
        <v>0</v>
      </c>
      <c r="O303" t="n">
        <v>0</v>
      </c>
      <c r="P303" t="n">
        <v>0</v>
      </c>
      <c r="Q303" t="n">
        <v>0</v>
      </c>
      <c r="R303" s="2" t="inlineStr"/>
    </row>
    <row r="304" ht="15" customHeight="1">
      <c r="A304" t="inlineStr">
        <is>
          <t>A 52044-2023</t>
        </is>
      </c>
      <c r="B304" s="1" t="n">
        <v>45223.6365625</v>
      </c>
      <c r="C304" s="1" t="n">
        <v>45924</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33384-2022</t>
        </is>
      </c>
      <c r="B305" s="1" t="n">
        <v>44788</v>
      </c>
      <c r="C305" s="1" t="n">
        <v>45924</v>
      </c>
      <c r="D305" t="inlineStr">
        <is>
          <t>DALARNAS LÄN</t>
        </is>
      </c>
      <c r="E305" t="inlineStr">
        <is>
          <t>ORSA</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37981-2024</t>
        </is>
      </c>
      <c r="B306" s="1" t="n">
        <v>45544</v>
      </c>
      <c r="C306" s="1" t="n">
        <v>45924</v>
      </c>
      <c r="D306" t="inlineStr">
        <is>
          <t>DALARNAS LÄN</t>
        </is>
      </c>
      <c r="E306" t="inlineStr">
        <is>
          <t>ORSA</t>
        </is>
      </c>
      <c r="F306" t="inlineStr">
        <is>
          <t>Allmännings- och besparingsskogar</t>
        </is>
      </c>
      <c r="G306" t="n">
        <v>1.2</v>
      </c>
      <c r="H306" t="n">
        <v>0</v>
      </c>
      <c r="I306" t="n">
        <v>0</v>
      </c>
      <c r="J306" t="n">
        <v>0</v>
      </c>
      <c r="K306" t="n">
        <v>0</v>
      </c>
      <c r="L306" t="n">
        <v>0</v>
      </c>
      <c r="M306" t="n">
        <v>0</v>
      </c>
      <c r="N306" t="n">
        <v>0</v>
      </c>
      <c r="O306" t="n">
        <v>0</v>
      </c>
      <c r="P306" t="n">
        <v>0</v>
      </c>
      <c r="Q306" t="n">
        <v>0</v>
      </c>
      <c r="R306" s="2" t="inlineStr"/>
    </row>
    <row r="307" ht="15" customHeight="1">
      <c r="A307" t="inlineStr">
        <is>
          <t>A 597-2024</t>
        </is>
      </c>
      <c r="B307" s="1" t="n">
        <v>45299.63410879629</v>
      </c>
      <c r="C307" s="1" t="n">
        <v>45924</v>
      </c>
      <c r="D307" t="inlineStr">
        <is>
          <t>DALARNAS LÄN</t>
        </is>
      </c>
      <c r="E307" t="inlineStr">
        <is>
          <t>ORSA</t>
        </is>
      </c>
      <c r="G307" t="n">
        <v>4.4</v>
      </c>
      <c r="H307" t="n">
        <v>0</v>
      </c>
      <c r="I307" t="n">
        <v>0</v>
      </c>
      <c r="J307" t="n">
        <v>0</v>
      </c>
      <c r="K307" t="n">
        <v>0</v>
      </c>
      <c r="L307" t="n">
        <v>0</v>
      </c>
      <c r="M307" t="n">
        <v>0</v>
      </c>
      <c r="N307" t="n">
        <v>0</v>
      </c>
      <c r="O307" t="n">
        <v>0</v>
      </c>
      <c r="P307" t="n">
        <v>0</v>
      </c>
      <c r="Q307" t="n">
        <v>0</v>
      </c>
      <c r="R307" s="2" t="inlineStr"/>
    </row>
    <row r="308" ht="15" customHeight="1">
      <c r="A308" t="inlineStr">
        <is>
          <t>A 44117-2025</t>
        </is>
      </c>
      <c r="B308" s="1" t="n">
        <v>45915.57677083334</v>
      </c>
      <c r="C308" s="1" t="n">
        <v>45924</v>
      </c>
      <c r="D308" t="inlineStr">
        <is>
          <t>DALARNAS LÄN</t>
        </is>
      </c>
      <c r="E308" t="inlineStr">
        <is>
          <t>ORSA</t>
        </is>
      </c>
      <c r="F308" t="inlineStr">
        <is>
          <t>Allmännings- och besparingsskogar</t>
        </is>
      </c>
      <c r="G308" t="n">
        <v>2.7</v>
      </c>
      <c r="H308" t="n">
        <v>0</v>
      </c>
      <c r="I308" t="n">
        <v>0</v>
      </c>
      <c r="J308" t="n">
        <v>0</v>
      </c>
      <c r="K308" t="n">
        <v>0</v>
      </c>
      <c r="L308" t="n">
        <v>0</v>
      </c>
      <c r="M308" t="n">
        <v>0</v>
      </c>
      <c r="N308" t="n">
        <v>0</v>
      </c>
      <c r="O308" t="n">
        <v>0</v>
      </c>
      <c r="P308" t="n">
        <v>0</v>
      </c>
      <c r="Q308" t="n">
        <v>0</v>
      </c>
      <c r="R308" s="2" t="inlineStr"/>
    </row>
    <row r="309" ht="15" customHeight="1">
      <c r="A309" t="inlineStr">
        <is>
          <t>A 44119-2025</t>
        </is>
      </c>
      <c r="B309" s="1" t="n">
        <v>45915.57738425926</v>
      </c>
      <c r="C309" s="1" t="n">
        <v>45924</v>
      </c>
      <c r="D309" t="inlineStr">
        <is>
          <t>DALARNAS LÄN</t>
        </is>
      </c>
      <c r="E309" t="inlineStr">
        <is>
          <t>ORSA</t>
        </is>
      </c>
      <c r="F309" t="inlineStr">
        <is>
          <t>Allmännings- och besparingsskogar</t>
        </is>
      </c>
      <c r="G309" t="n">
        <v>1.5</v>
      </c>
      <c r="H309" t="n">
        <v>0</v>
      </c>
      <c r="I309" t="n">
        <v>0</v>
      </c>
      <c r="J309" t="n">
        <v>0</v>
      </c>
      <c r="K309" t="n">
        <v>0</v>
      </c>
      <c r="L309" t="n">
        <v>0</v>
      </c>
      <c r="M309" t="n">
        <v>0</v>
      </c>
      <c r="N309" t="n">
        <v>0</v>
      </c>
      <c r="O309" t="n">
        <v>0</v>
      </c>
      <c r="P309" t="n">
        <v>0</v>
      </c>
      <c r="Q309" t="n">
        <v>0</v>
      </c>
      <c r="R309" s="2" t="inlineStr"/>
    </row>
    <row r="310" ht="15" customHeight="1">
      <c r="A310" t="inlineStr">
        <is>
          <t>A 36570-2025</t>
        </is>
      </c>
      <c r="B310" s="1" t="n">
        <v>45870.38728009259</v>
      </c>
      <c r="C310" s="1" t="n">
        <v>45924</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44121-2025</t>
        </is>
      </c>
      <c r="B311" s="1" t="n">
        <v>45915.57792824074</v>
      </c>
      <c r="C311" s="1" t="n">
        <v>45924</v>
      </c>
      <c r="D311" t="inlineStr">
        <is>
          <t>DALARNAS LÄN</t>
        </is>
      </c>
      <c r="E311" t="inlineStr">
        <is>
          <t>ORSA</t>
        </is>
      </c>
      <c r="F311" t="inlineStr">
        <is>
          <t>Allmännings- och besparingsskogar</t>
        </is>
      </c>
      <c r="G311" t="n">
        <v>2.5</v>
      </c>
      <c r="H311" t="n">
        <v>0</v>
      </c>
      <c r="I311" t="n">
        <v>0</v>
      </c>
      <c r="J311" t="n">
        <v>0</v>
      </c>
      <c r="K311" t="n">
        <v>0</v>
      </c>
      <c r="L311" t="n">
        <v>0</v>
      </c>
      <c r="M311" t="n">
        <v>0</v>
      </c>
      <c r="N311" t="n">
        <v>0</v>
      </c>
      <c r="O311" t="n">
        <v>0</v>
      </c>
      <c r="P311" t="n">
        <v>0</v>
      </c>
      <c r="Q311" t="n">
        <v>0</v>
      </c>
      <c r="R311" s="2" t="inlineStr"/>
    </row>
    <row r="312" ht="15" customHeight="1">
      <c r="A312" t="inlineStr">
        <is>
          <t>A 44129-2025</t>
        </is>
      </c>
      <c r="B312" s="1" t="n">
        <v>45915.58392361111</v>
      </c>
      <c r="C312" s="1" t="n">
        <v>45924</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44053-2025</t>
        </is>
      </c>
      <c r="B313" s="1" t="n">
        <v>45915.51239583334</v>
      </c>
      <c r="C313" s="1" t="n">
        <v>45924</v>
      </c>
      <c r="D313" t="inlineStr">
        <is>
          <t>DALARNAS LÄN</t>
        </is>
      </c>
      <c r="E313" t="inlineStr">
        <is>
          <t>ORSA</t>
        </is>
      </c>
      <c r="G313" t="n">
        <v>1.4</v>
      </c>
      <c r="H313" t="n">
        <v>0</v>
      </c>
      <c r="I313" t="n">
        <v>0</v>
      </c>
      <c r="J313" t="n">
        <v>0</v>
      </c>
      <c r="K313" t="n">
        <v>0</v>
      </c>
      <c r="L313" t="n">
        <v>0</v>
      </c>
      <c r="M313" t="n">
        <v>0</v>
      </c>
      <c r="N313" t="n">
        <v>0</v>
      </c>
      <c r="O313" t="n">
        <v>0</v>
      </c>
      <c r="P313" t="n">
        <v>0</v>
      </c>
      <c r="Q313" t="n">
        <v>0</v>
      </c>
      <c r="R313" s="2" t="inlineStr"/>
    </row>
    <row r="314" ht="15" customHeight="1">
      <c r="A314" t="inlineStr">
        <is>
          <t>A 43967-2025</t>
        </is>
      </c>
      <c r="B314" s="1" t="n">
        <v>45915.40188657407</v>
      </c>
      <c r="C314" s="1" t="n">
        <v>45924</v>
      </c>
      <c r="D314" t="inlineStr">
        <is>
          <t>DALARNAS LÄN</t>
        </is>
      </c>
      <c r="E314" t="inlineStr">
        <is>
          <t>ORSA</t>
        </is>
      </c>
      <c r="F314" t="inlineStr">
        <is>
          <t>Allmännings- och besparingsskogar</t>
        </is>
      </c>
      <c r="G314" t="n">
        <v>8.4</v>
      </c>
      <c r="H314" t="n">
        <v>0</v>
      </c>
      <c r="I314" t="n">
        <v>0</v>
      </c>
      <c r="J314" t="n">
        <v>0</v>
      </c>
      <c r="K314" t="n">
        <v>0</v>
      </c>
      <c r="L314" t="n">
        <v>0</v>
      </c>
      <c r="M314" t="n">
        <v>0</v>
      </c>
      <c r="N314" t="n">
        <v>0</v>
      </c>
      <c r="O314" t="n">
        <v>0</v>
      </c>
      <c r="P314" t="n">
        <v>0</v>
      </c>
      <c r="Q314" t="n">
        <v>0</v>
      </c>
      <c r="R314" s="2" t="inlineStr"/>
    </row>
    <row r="315" ht="15" customHeight="1">
      <c r="A315" t="inlineStr">
        <is>
          <t>A 43965-2025</t>
        </is>
      </c>
      <c r="B315" s="1" t="n">
        <v>45915.40027777778</v>
      </c>
      <c r="C315" s="1" t="n">
        <v>45924</v>
      </c>
      <c r="D315" t="inlineStr">
        <is>
          <t>DALARNAS LÄN</t>
        </is>
      </c>
      <c r="E315" t="inlineStr">
        <is>
          <t>ORSA</t>
        </is>
      </c>
      <c r="F315" t="inlineStr">
        <is>
          <t>Allmännings- och besparingsskogar</t>
        </is>
      </c>
      <c r="G315" t="n">
        <v>11.5</v>
      </c>
      <c r="H315" t="n">
        <v>0</v>
      </c>
      <c r="I315" t="n">
        <v>0</v>
      </c>
      <c r="J315" t="n">
        <v>0</v>
      </c>
      <c r="K315" t="n">
        <v>0</v>
      </c>
      <c r="L315" t="n">
        <v>0</v>
      </c>
      <c r="M315" t="n">
        <v>0</v>
      </c>
      <c r="N315" t="n">
        <v>0</v>
      </c>
      <c r="O315" t="n">
        <v>0</v>
      </c>
      <c r="P315" t="n">
        <v>0</v>
      </c>
      <c r="Q315" t="n">
        <v>0</v>
      </c>
      <c r="R315" s="2" t="inlineStr"/>
    </row>
    <row r="316" ht="15" customHeight="1">
      <c r="A316" t="inlineStr">
        <is>
          <t>A 51915-2022</t>
        </is>
      </c>
      <c r="B316" s="1" t="n">
        <v>44872.62795138889</v>
      </c>
      <c r="C316" s="1" t="n">
        <v>45924</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43778-2025</t>
        </is>
      </c>
      <c r="B317" s="1" t="n">
        <v>45912.5147337963</v>
      </c>
      <c r="C317" s="1" t="n">
        <v>45924</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10048-2023</t>
        </is>
      </c>
      <c r="B318" s="1" t="n">
        <v>44985.67237268519</v>
      </c>
      <c r="C318" s="1" t="n">
        <v>45924</v>
      </c>
      <c r="D318" t="inlineStr">
        <is>
          <t>DALARNAS LÄN</t>
        </is>
      </c>
      <c r="E318" t="inlineStr">
        <is>
          <t>ORSA</t>
        </is>
      </c>
      <c r="G318" t="n">
        <v>4.8</v>
      </c>
      <c r="H318" t="n">
        <v>0</v>
      </c>
      <c r="I318" t="n">
        <v>0</v>
      </c>
      <c r="J318" t="n">
        <v>0</v>
      </c>
      <c r="K318" t="n">
        <v>0</v>
      </c>
      <c r="L318" t="n">
        <v>0</v>
      </c>
      <c r="M318" t="n">
        <v>0</v>
      </c>
      <c r="N318" t="n">
        <v>0</v>
      </c>
      <c r="O318" t="n">
        <v>0</v>
      </c>
      <c r="P318" t="n">
        <v>0</v>
      </c>
      <c r="Q318" t="n">
        <v>0</v>
      </c>
      <c r="R318" s="2" t="inlineStr"/>
    </row>
    <row r="319" ht="15" customHeight="1">
      <c r="A319" t="inlineStr">
        <is>
          <t>A 36633-2025</t>
        </is>
      </c>
      <c r="B319" s="1" t="n">
        <v>45870</v>
      </c>
      <c r="C319" s="1" t="n">
        <v>45924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51001-2021</t>
        </is>
      </c>
      <c r="B320" s="1" t="n">
        <v>44460.86221064815</v>
      </c>
      <c r="C320" s="1" t="n">
        <v>45924</v>
      </c>
      <c r="D320" t="inlineStr">
        <is>
          <t>DALARNAS LÄN</t>
        </is>
      </c>
      <c r="E320" t="inlineStr">
        <is>
          <t>ORSA</t>
        </is>
      </c>
      <c r="G320" t="n">
        <v>2.6</v>
      </c>
      <c r="H320" t="n">
        <v>0</v>
      </c>
      <c r="I320" t="n">
        <v>0</v>
      </c>
      <c r="J320" t="n">
        <v>0</v>
      </c>
      <c r="K320" t="n">
        <v>0</v>
      </c>
      <c r="L320" t="n">
        <v>0</v>
      </c>
      <c r="M320" t="n">
        <v>0</v>
      </c>
      <c r="N320" t="n">
        <v>0</v>
      </c>
      <c r="O320" t="n">
        <v>0</v>
      </c>
      <c r="P320" t="n">
        <v>0</v>
      </c>
      <c r="Q320" t="n">
        <v>0</v>
      </c>
      <c r="R320" s="2" t="inlineStr"/>
    </row>
    <row r="321" ht="15" customHeight="1">
      <c r="A321" t="inlineStr">
        <is>
          <t>A 892-2024</t>
        </is>
      </c>
      <c r="B321" s="1" t="n">
        <v>45301</v>
      </c>
      <c r="C321" s="1" t="n">
        <v>45924</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986-2025</t>
        </is>
      </c>
      <c r="B322" s="1" t="n">
        <v>45666.42952546296</v>
      </c>
      <c r="C322" s="1" t="n">
        <v>45924</v>
      </c>
      <c r="D322" t="inlineStr">
        <is>
          <t>DALARNAS LÄN</t>
        </is>
      </c>
      <c r="E322" t="inlineStr">
        <is>
          <t>ORSA</t>
        </is>
      </c>
      <c r="G322" t="n">
        <v>5.7</v>
      </c>
      <c r="H322" t="n">
        <v>0</v>
      </c>
      <c r="I322" t="n">
        <v>0</v>
      </c>
      <c r="J322" t="n">
        <v>0</v>
      </c>
      <c r="K322" t="n">
        <v>0</v>
      </c>
      <c r="L322" t="n">
        <v>0</v>
      </c>
      <c r="M322" t="n">
        <v>0</v>
      </c>
      <c r="N322" t="n">
        <v>0</v>
      </c>
      <c r="O322" t="n">
        <v>0</v>
      </c>
      <c r="P322" t="n">
        <v>0</v>
      </c>
      <c r="Q322" t="n">
        <v>0</v>
      </c>
      <c r="R322" s="2" t="inlineStr"/>
    </row>
    <row r="323" ht="15" customHeight="1">
      <c r="A323" t="inlineStr">
        <is>
          <t>A 16585-2023</t>
        </is>
      </c>
      <c r="B323" s="1" t="n">
        <v>45030</v>
      </c>
      <c r="C323" s="1" t="n">
        <v>45924</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37931-2023</t>
        </is>
      </c>
      <c r="B324" s="1" t="n">
        <v>45160.51721064815</v>
      </c>
      <c r="C324" s="1" t="n">
        <v>45924</v>
      </c>
      <c r="D324" t="inlineStr">
        <is>
          <t>DALARNAS LÄN</t>
        </is>
      </c>
      <c r="E324" t="inlineStr">
        <is>
          <t>ORSA</t>
        </is>
      </c>
      <c r="G324" t="n">
        <v>2.6</v>
      </c>
      <c r="H324" t="n">
        <v>0</v>
      </c>
      <c r="I324" t="n">
        <v>0</v>
      </c>
      <c r="J324" t="n">
        <v>0</v>
      </c>
      <c r="K324" t="n">
        <v>0</v>
      </c>
      <c r="L324" t="n">
        <v>0</v>
      </c>
      <c r="M324" t="n">
        <v>0</v>
      </c>
      <c r="N324" t="n">
        <v>0</v>
      </c>
      <c r="O324" t="n">
        <v>0</v>
      </c>
      <c r="P324" t="n">
        <v>0</v>
      </c>
      <c r="Q324" t="n">
        <v>0</v>
      </c>
      <c r="R324" s="2" t="inlineStr"/>
    </row>
    <row r="325" ht="15" customHeight="1">
      <c r="A325" t="inlineStr">
        <is>
          <t>A 42513-2024</t>
        </is>
      </c>
      <c r="B325" s="1" t="n">
        <v>45565.53810185185</v>
      </c>
      <c r="C325" s="1" t="n">
        <v>45924</v>
      </c>
      <c r="D325" t="inlineStr">
        <is>
          <t>DALARNAS LÄN</t>
        </is>
      </c>
      <c r="E325" t="inlineStr">
        <is>
          <t>ORSA</t>
        </is>
      </c>
      <c r="G325" t="n">
        <v>1.6</v>
      </c>
      <c r="H325" t="n">
        <v>0</v>
      </c>
      <c r="I325" t="n">
        <v>0</v>
      </c>
      <c r="J325" t="n">
        <v>0</v>
      </c>
      <c r="K325" t="n">
        <v>0</v>
      </c>
      <c r="L325" t="n">
        <v>0</v>
      </c>
      <c r="M325" t="n">
        <v>0</v>
      </c>
      <c r="N325" t="n">
        <v>0</v>
      </c>
      <c r="O325" t="n">
        <v>0</v>
      </c>
      <c r="P325" t="n">
        <v>0</v>
      </c>
      <c r="Q325" t="n">
        <v>0</v>
      </c>
      <c r="R325" s="2" t="inlineStr"/>
    </row>
    <row r="326" ht="15" customHeight="1">
      <c r="A326" t="inlineStr">
        <is>
          <t>A 42517-2024</t>
        </is>
      </c>
      <c r="B326" s="1" t="n">
        <v>45565.54078703704</v>
      </c>
      <c r="C326" s="1" t="n">
        <v>45924</v>
      </c>
      <c r="D326" t="inlineStr">
        <is>
          <t>DALARNAS LÄN</t>
        </is>
      </c>
      <c r="E326" t="inlineStr">
        <is>
          <t>ORSA</t>
        </is>
      </c>
      <c r="G326" t="n">
        <v>3</v>
      </c>
      <c r="H326" t="n">
        <v>0</v>
      </c>
      <c r="I326" t="n">
        <v>0</v>
      </c>
      <c r="J326" t="n">
        <v>0</v>
      </c>
      <c r="K326" t="n">
        <v>0</v>
      </c>
      <c r="L326" t="n">
        <v>0</v>
      </c>
      <c r="M326" t="n">
        <v>0</v>
      </c>
      <c r="N326" t="n">
        <v>0</v>
      </c>
      <c r="O326" t="n">
        <v>0</v>
      </c>
      <c r="P326" t="n">
        <v>0</v>
      </c>
      <c r="Q326" t="n">
        <v>0</v>
      </c>
      <c r="R326" s="2" t="inlineStr"/>
    </row>
    <row r="327" ht="15" customHeight="1">
      <c r="A327" t="inlineStr">
        <is>
          <t>A 54519-2023</t>
        </is>
      </c>
      <c r="B327" s="1" t="n">
        <v>45233.58359953704</v>
      </c>
      <c r="C327" s="1" t="n">
        <v>45924</v>
      </c>
      <c r="D327" t="inlineStr">
        <is>
          <t>DALARNAS LÄN</t>
        </is>
      </c>
      <c r="E327" t="inlineStr">
        <is>
          <t>ORSA</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13185-2022</t>
        </is>
      </c>
      <c r="B328" s="1" t="n">
        <v>44644.48491898148</v>
      </c>
      <c r="C328" s="1" t="n">
        <v>45924</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3168-2024</t>
        </is>
      </c>
      <c r="B329" s="1" t="n">
        <v>45316.62863425926</v>
      </c>
      <c r="C329" s="1" t="n">
        <v>45924</v>
      </c>
      <c r="D329" t="inlineStr">
        <is>
          <t>DALARNAS LÄN</t>
        </is>
      </c>
      <c r="E329" t="inlineStr">
        <is>
          <t>ORSA</t>
        </is>
      </c>
      <c r="G329" t="n">
        <v>0.7</v>
      </c>
      <c r="H329" t="n">
        <v>0</v>
      </c>
      <c r="I329" t="n">
        <v>0</v>
      </c>
      <c r="J329" t="n">
        <v>0</v>
      </c>
      <c r="K329" t="n">
        <v>0</v>
      </c>
      <c r="L329" t="n">
        <v>0</v>
      </c>
      <c r="M329" t="n">
        <v>0</v>
      </c>
      <c r="N329" t="n">
        <v>0</v>
      </c>
      <c r="O329" t="n">
        <v>0</v>
      </c>
      <c r="P329" t="n">
        <v>0</v>
      </c>
      <c r="Q329" t="n">
        <v>0</v>
      </c>
      <c r="R329" s="2" t="inlineStr"/>
    </row>
    <row r="330" ht="15" customHeight="1">
      <c r="A330" t="inlineStr">
        <is>
          <t>A 12101-2025</t>
        </is>
      </c>
      <c r="B330" s="1" t="n">
        <v>45729.33743055556</v>
      </c>
      <c r="C330" s="1" t="n">
        <v>45924</v>
      </c>
      <c r="D330" t="inlineStr">
        <is>
          <t>DALARNAS LÄN</t>
        </is>
      </c>
      <c r="E330" t="inlineStr">
        <is>
          <t>ORSA</t>
        </is>
      </c>
      <c r="G330" t="n">
        <v>1</v>
      </c>
      <c r="H330" t="n">
        <v>0</v>
      </c>
      <c r="I330" t="n">
        <v>0</v>
      </c>
      <c r="J330" t="n">
        <v>0</v>
      </c>
      <c r="K330" t="n">
        <v>0</v>
      </c>
      <c r="L330" t="n">
        <v>0</v>
      </c>
      <c r="M330" t="n">
        <v>0</v>
      </c>
      <c r="N330" t="n">
        <v>0</v>
      </c>
      <c r="O330" t="n">
        <v>0</v>
      </c>
      <c r="P330" t="n">
        <v>0</v>
      </c>
      <c r="Q330" t="n">
        <v>0</v>
      </c>
      <c r="R330" s="2" t="inlineStr"/>
    </row>
    <row r="331" ht="15" customHeight="1">
      <c r="A331" t="inlineStr">
        <is>
          <t>A 33488-2024</t>
        </is>
      </c>
      <c r="B331" s="1" t="n">
        <v>45519.61466435185</v>
      </c>
      <c r="C331" s="1" t="n">
        <v>45924</v>
      </c>
      <c r="D331" t="inlineStr">
        <is>
          <t>DALARNAS LÄN</t>
        </is>
      </c>
      <c r="E331" t="inlineStr">
        <is>
          <t>ORSA</t>
        </is>
      </c>
      <c r="F331" t="inlineStr">
        <is>
          <t>Övriga statliga verk och myndigheter</t>
        </is>
      </c>
      <c r="G331" t="n">
        <v>0.5</v>
      </c>
      <c r="H331" t="n">
        <v>0</v>
      </c>
      <c r="I331" t="n">
        <v>0</v>
      </c>
      <c r="J331" t="n">
        <v>0</v>
      </c>
      <c r="K331" t="n">
        <v>0</v>
      </c>
      <c r="L331" t="n">
        <v>0</v>
      </c>
      <c r="M331" t="n">
        <v>0</v>
      </c>
      <c r="N331" t="n">
        <v>0</v>
      </c>
      <c r="O331" t="n">
        <v>0</v>
      </c>
      <c r="P331" t="n">
        <v>0</v>
      </c>
      <c r="Q331" t="n">
        <v>0</v>
      </c>
      <c r="R331" s="2" t="inlineStr"/>
    </row>
    <row r="332" ht="15" customHeight="1">
      <c r="A332" t="inlineStr">
        <is>
          <t>A 37181-2025</t>
        </is>
      </c>
      <c r="B332" s="1" t="n">
        <v>45875.62668981482</v>
      </c>
      <c r="C332" s="1" t="n">
        <v>45924</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44531-2025</t>
        </is>
      </c>
      <c r="B333" s="1" t="n">
        <v>45916.77120370371</v>
      </c>
      <c r="C333" s="1" t="n">
        <v>45924</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45031-2025</t>
        </is>
      </c>
      <c r="B334" s="1" t="n">
        <v>45918.70020833334</v>
      </c>
      <c r="C334" s="1" t="n">
        <v>45924</v>
      </c>
      <c r="D334" t="inlineStr">
        <is>
          <t>DALARNAS LÄN</t>
        </is>
      </c>
      <c r="E334" t="inlineStr">
        <is>
          <t>ORSA</t>
        </is>
      </c>
      <c r="G334" t="n">
        <v>5</v>
      </c>
      <c r="H334" t="n">
        <v>0</v>
      </c>
      <c r="I334" t="n">
        <v>0</v>
      </c>
      <c r="J334" t="n">
        <v>0</v>
      </c>
      <c r="K334" t="n">
        <v>0</v>
      </c>
      <c r="L334" t="n">
        <v>0</v>
      </c>
      <c r="M334" t="n">
        <v>0</v>
      </c>
      <c r="N334" t="n">
        <v>0</v>
      </c>
      <c r="O334" t="n">
        <v>0</v>
      </c>
      <c r="P334" t="n">
        <v>0</v>
      </c>
      <c r="Q334" t="n">
        <v>0</v>
      </c>
      <c r="R334" s="2" t="inlineStr"/>
    </row>
    <row r="335" ht="15" customHeight="1">
      <c r="A335" t="inlineStr">
        <is>
          <t>A 15766-2025</t>
        </is>
      </c>
      <c r="B335" s="1" t="n">
        <v>45748.58409722222</v>
      </c>
      <c r="C335" s="1" t="n">
        <v>45924</v>
      </c>
      <c r="D335" t="inlineStr">
        <is>
          <t>DALARNAS LÄN</t>
        </is>
      </c>
      <c r="E335" t="inlineStr">
        <is>
          <t>ORSA</t>
        </is>
      </c>
      <c r="F335" t="inlineStr">
        <is>
          <t>Bergvik skog öst AB</t>
        </is>
      </c>
      <c r="G335" t="n">
        <v>9</v>
      </c>
      <c r="H335" t="n">
        <v>0</v>
      </c>
      <c r="I335" t="n">
        <v>0</v>
      </c>
      <c r="J335" t="n">
        <v>0</v>
      </c>
      <c r="K335" t="n">
        <v>0</v>
      </c>
      <c r="L335" t="n">
        <v>0</v>
      </c>
      <c r="M335" t="n">
        <v>0</v>
      </c>
      <c r="N335" t="n">
        <v>0</v>
      </c>
      <c r="O335" t="n">
        <v>0</v>
      </c>
      <c r="P335" t="n">
        <v>0</v>
      </c>
      <c r="Q335" t="n">
        <v>0</v>
      </c>
      <c r="R335" s="2" t="inlineStr"/>
    </row>
    <row r="336" ht="15" customHeight="1">
      <c r="A336" t="inlineStr">
        <is>
          <t>A 37439-2025</t>
        </is>
      </c>
      <c r="B336" s="1" t="n">
        <v>45877.53644675926</v>
      </c>
      <c r="C336" s="1" t="n">
        <v>45924</v>
      </c>
      <c r="D336" t="inlineStr">
        <is>
          <t>DALARNAS LÄN</t>
        </is>
      </c>
      <c r="E336" t="inlineStr">
        <is>
          <t>ORSA</t>
        </is>
      </c>
      <c r="F336" t="inlineStr">
        <is>
          <t>Allmännings- och besparingsskogar</t>
        </is>
      </c>
      <c r="G336" t="n">
        <v>7.9</v>
      </c>
      <c r="H336" t="n">
        <v>0</v>
      </c>
      <c r="I336" t="n">
        <v>0</v>
      </c>
      <c r="J336" t="n">
        <v>0</v>
      </c>
      <c r="K336" t="n">
        <v>0</v>
      </c>
      <c r="L336" t="n">
        <v>0</v>
      </c>
      <c r="M336" t="n">
        <v>0</v>
      </c>
      <c r="N336" t="n">
        <v>0</v>
      </c>
      <c r="O336" t="n">
        <v>0</v>
      </c>
      <c r="P336" t="n">
        <v>0</v>
      </c>
      <c r="Q336" t="n">
        <v>0</v>
      </c>
      <c r="R336" s="2" t="inlineStr"/>
    </row>
    <row r="337" ht="15" customHeight="1">
      <c r="A337" t="inlineStr">
        <is>
          <t>A 34125-2023</t>
        </is>
      </c>
      <c r="B337" s="1" t="n">
        <v>45135</v>
      </c>
      <c r="C337" s="1" t="n">
        <v>45924</v>
      </c>
      <c r="D337" t="inlineStr">
        <is>
          <t>DALARNAS LÄN</t>
        </is>
      </c>
      <c r="E337" t="inlineStr">
        <is>
          <t>ORSA</t>
        </is>
      </c>
      <c r="G337" t="n">
        <v>2.7</v>
      </c>
      <c r="H337" t="n">
        <v>0</v>
      </c>
      <c r="I337" t="n">
        <v>0</v>
      </c>
      <c r="J337" t="n">
        <v>0</v>
      </c>
      <c r="K337" t="n">
        <v>0</v>
      </c>
      <c r="L337" t="n">
        <v>0</v>
      </c>
      <c r="M337" t="n">
        <v>0</v>
      </c>
      <c r="N337" t="n">
        <v>0</v>
      </c>
      <c r="O337" t="n">
        <v>0</v>
      </c>
      <c r="P337" t="n">
        <v>0</v>
      </c>
      <c r="Q337" t="n">
        <v>0</v>
      </c>
      <c r="R337" s="2" t="inlineStr"/>
    </row>
    <row r="338" ht="15" customHeight="1">
      <c r="A338" t="inlineStr">
        <is>
          <t>A 28974-2024</t>
        </is>
      </c>
      <c r="B338" s="1" t="n">
        <v>45481.45445601852</v>
      </c>
      <c r="C338" s="1" t="n">
        <v>45924</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37457-2025</t>
        </is>
      </c>
      <c r="B339" s="1" t="n">
        <v>45877.56829861111</v>
      </c>
      <c r="C339" s="1" t="n">
        <v>45924</v>
      </c>
      <c r="D339" t="inlineStr">
        <is>
          <t>DALARNAS LÄN</t>
        </is>
      </c>
      <c r="E339" t="inlineStr">
        <is>
          <t>ORSA</t>
        </is>
      </c>
      <c r="F339" t="inlineStr">
        <is>
          <t>Allmännings- och besparingsskogar</t>
        </is>
      </c>
      <c r="G339" t="n">
        <v>6.5</v>
      </c>
      <c r="H339" t="n">
        <v>0</v>
      </c>
      <c r="I339" t="n">
        <v>0</v>
      </c>
      <c r="J339" t="n">
        <v>0</v>
      </c>
      <c r="K339" t="n">
        <v>0</v>
      </c>
      <c r="L339" t="n">
        <v>0</v>
      </c>
      <c r="M339" t="n">
        <v>0</v>
      </c>
      <c r="N339" t="n">
        <v>0</v>
      </c>
      <c r="O339" t="n">
        <v>0</v>
      </c>
      <c r="P339" t="n">
        <v>0</v>
      </c>
      <c r="Q339" t="n">
        <v>0</v>
      </c>
      <c r="R339" s="2" t="inlineStr"/>
    </row>
    <row r="340" ht="15" customHeight="1">
      <c r="A340" t="inlineStr">
        <is>
          <t>A 51303-2023</t>
        </is>
      </c>
      <c r="B340" s="1" t="n">
        <v>45219.55793981482</v>
      </c>
      <c r="C340" s="1" t="n">
        <v>45924</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45155-2025</t>
        </is>
      </c>
      <c r="B341" s="1" t="n">
        <v>45919.47872685185</v>
      </c>
      <c r="C341" s="1" t="n">
        <v>45924</v>
      </c>
      <c r="D341" t="inlineStr">
        <is>
          <t>DALARNAS LÄN</t>
        </is>
      </c>
      <c r="E341" t="inlineStr">
        <is>
          <t>ORSA</t>
        </is>
      </c>
      <c r="G341" t="n">
        <v>1.5</v>
      </c>
      <c r="H341" t="n">
        <v>0</v>
      </c>
      <c r="I341" t="n">
        <v>0</v>
      </c>
      <c r="J341" t="n">
        <v>0</v>
      </c>
      <c r="K341" t="n">
        <v>0</v>
      </c>
      <c r="L341" t="n">
        <v>0</v>
      </c>
      <c r="M341" t="n">
        <v>0</v>
      </c>
      <c r="N341" t="n">
        <v>0</v>
      </c>
      <c r="O341" t="n">
        <v>0</v>
      </c>
      <c r="P341" t="n">
        <v>0</v>
      </c>
      <c r="Q341" t="n">
        <v>0</v>
      </c>
      <c r="R341" s="2" t="inlineStr"/>
    </row>
    <row r="342" ht="15" customHeight="1">
      <c r="A342" t="inlineStr">
        <is>
          <t>A 37770-2023</t>
        </is>
      </c>
      <c r="B342" s="1" t="n">
        <v>45159</v>
      </c>
      <c r="C342" s="1" t="n">
        <v>45924</v>
      </c>
      <c r="D342" t="inlineStr">
        <is>
          <t>DALARNAS LÄN</t>
        </is>
      </c>
      <c r="E342" t="inlineStr">
        <is>
          <t>ORSA</t>
        </is>
      </c>
      <c r="G342" t="n">
        <v>2.6</v>
      </c>
      <c r="H342" t="n">
        <v>0</v>
      </c>
      <c r="I342" t="n">
        <v>0</v>
      </c>
      <c r="J342" t="n">
        <v>0</v>
      </c>
      <c r="K342" t="n">
        <v>0</v>
      </c>
      <c r="L342" t="n">
        <v>0</v>
      </c>
      <c r="M342" t="n">
        <v>0</v>
      </c>
      <c r="N342" t="n">
        <v>0</v>
      </c>
      <c r="O342" t="n">
        <v>0</v>
      </c>
      <c r="P342" t="n">
        <v>0</v>
      </c>
      <c r="Q342" t="n">
        <v>0</v>
      </c>
      <c r="R342" s="2" t="inlineStr"/>
    </row>
    <row r="343" ht="15" customHeight="1">
      <c r="A343" t="inlineStr">
        <is>
          <t>A 37496-2025</t>
        </is>
      </c>
      <c r="B343" s="1" t="n">
        <v>45877.64424768519</v>
      </c>
      <c r="C343" s="1" t="n">
        <v>45924</v>
      </c>
      <c r="D343" t="inlineStr">
        <is>
          <t>DALARNAS LÄN</t>
        </is>
      </c>
      <c r="E343" t="inlineStr">
        <is>
          <t>ORSA</t>
        </is>
      </c>
      <c r="F343" t="inlineStr">
        <is>
          <t>Bergvik skog öst AB</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18312-2024</t>
        </is>
      </c>
      <c r="B344" s="1" t="n">
        <v>45422.48225694444</v>
      </c>
      <c r="C344" s="1" t="n">
        <v>45924</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47564-2023</t>
        </is>
      </c>
      <c r="B345" s="1" t="n">
        <v>45203.40004629629</v>
      </c>
      <c r="C345" s="1" t="n">
        <v>45924</v>
      </c>
      <c r="D345" t="inlineStr">
        <is>
          <t>DALARNAS LÄN</t>
        </is>
      </c>
      <c r="E345" t="inlineStr">
        <is>
          <t>ORSA</t>
        </is>
      </c>
      <c r="F345" t="inlineStr">
        <is>
          <t>Allmännings- och besparingsskogar</t>
        </is>
      </c>
      <c r="G345" t="n">
        <v>0.8</v>
      </c>
      <c r="H345" t="n">
        <v>0</v>
      </c>
      <c r="I345" t="n">
        <v>0</v>
      </c>
      <c r="J345" t="n">
        <v>0</v>
      </c>
      <c r="K345" t="n">
        <v>0</v>
      </c>
      <c r="L345" t="n">
        <v>0</v>
      </c>
      <c r="M345" t="n">
        <v>0</v>
      </c>
      <c r="N345" t="n">
        <v>0</v>
      </c>
      <c r="O345" t="n">
        <v>0</v>
      </c>
      <c r="P345" t="n">
        <v>0</v>
      </c>
      <c r="Q345" t="n">
        <v>0</v>
      </c>
      <c r="R345" s="2" t="inlineStr"/>
    </row>
    <row r="346" ht="15" customHeight="1">
      <c r="A346" t="inlineStr">
        <is>
          <t>A 37445-2025</t>
        </is>
      </c>
      <c r="B346" s="1" t="n">
        <v>45877.54615740741</v>
      </c>
      <c r="C346" s="1" t="n">
        <v>45924</v>
      </c>
      <c r="D346" t="inlineStr">
        <is>
          <t>DALARNAS LÄN</t>
        </is>
      </c>
      <c r="E346" t="inlineStr">
        <is>
          <t>ORSA</t>
        </is>
      </c>
      <c r="F346" t="inlineStr">
        <is>
          <t>Bergvik skog öst AB</t>
        </is>
      </c>
      <c r="G346" t="n">
        <v>13.4</v>
      </c>
      <c r="H346" t="n">
        <v>0</v>
      </c>
      <c r="I346" t="n">
        <v>0</v>
      </c>
      <c r="J346" t="n">
        <v>0</v>
      </c>
      <c r="K346" t="n">
        <v>0</v>
      </c>
      <c r="L346" t="n">
        <v>0</v>
      </c>
      <c r="M346" t="n">
        <v>0</v>
      </c>
      <c r="N346" t="n">
        <v>0</v>
      </c>
      <c r="O346" t="n">
        <v>0</v>
      </c>
      <c r="P346" t="n">
        <v>0</v>
      </c>
      <c r="Q346" t="n">
        <v>0</v>
      </c>
      <c r="R346" s="2" t="inlineStr"/>
    </row>
    <row r="347" ht="15" customHeight="1">
      <c r="A347" t="inlineStr">
        <is>
          <t>A 50061-2024</t>
        </is>
      </c>
      <c r="B347" s="1" t="n">
        <v>45600.34721064815</v>
      </c>
      <c r="C347" s="1" t="n">
        <v>45924</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51574-2023</t>
        </is>
      </c>
      <c r="B348" s="1" t="n">
        <v>45222.45090277777</v>
      </c>
      <c r="C348" s="1" t="n">
        <v>45924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37897-2025</t>
        </is>
      </c>
      <c r="B349" s="1" t="n">
        <v>45881.55274305555</v>
      </c>
      <c r="C349" s="1" t="n">
        <v>45924</v>
      </c>
      <c r="D349" t="inlineStr">
        <is>
          <t>DALARNAS LÄN</t>
        </is>
      </c>
      <c r="E349" t="inlineStr">
        <is>
          <t>ORSA</t>
        </is>
      </c>
      <c r="G349" t="n">
        <v>1.9</v>
      </c>
      <c r="H349" t="n">
        <v>0</v>
      </c>
      <c r="I349" t="n">
        <v>0</v>
      </c>
      <c r="J349" t="n">
        <v>0</v>
      </c>
      <c r="K349" t="n">
        <v>0</v>
      </c>
      <c r="L349" t="n">
        <v>0</v>
      </c>
      <c r="M349" t="n">
        <v>0</v>
      </c>
      <c r="N349" t="n">
        <v>0</v>
      </c>
      <c r="O349" t="n">
        <v>0</v>
      </c>
      <c r="P349" t="n">
        <v>0</v>
      </c>
      <c r="Q349" t="n">
        <v>0</v>
      </c>
      <c r="R349" s="2" t="inlineStr"/>
    </row>
    <row r="350" ht="15" customHeight="1">
      <c r="A350" t="inlineStr">
        <is>
          <t>A 37899-2025</t>
        </is>
      </c>
      <c r="B350" s="1" t="n">
        <v>45881.56083333334</v>
      </c>
      <c r="C350" s="1" t="n">
        <v>45924</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72310-2021</t>
        </is>
      </c>
      <c r="B351" s="1" t="n">
        <v>44545</v>
      </c>
      <c r="C351" s="1" t="n">
        <v>45924</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60803-2022</t>
        </is>
      </c>
      <c r="B352" s="1" t="n">
        <v>44914</v>
      </c>
      <c r="C352" s="1" t="n">
        <v>45924</v>
      </c>
      <c r="D352" t="inlineStr">
        <is>
          <t>DALARNAS LÄN</t>
        </is>
      </c>
      <c r="E352" t="inlineStr">
        <is>
          <t>ORSA</t>
        </is>
      </c>
      <c r="G352" t="n">
        <v>1.2</v>
      </c>
      <c r="H352" t="n">
        <v>0</v>
      </c>
      <c r="I352" t="n">
        <v>0</v>
      </c>
      <c r="J352" t="n">
        <v>0</v>
      </c>
      <c r="K352" t="n">
        <v>0</v>
      </c>
      <c r="L352" t="n">
        <v>0</v>
      </c>
      <c r="M352" t="n">
        <v>0</v>
      </c>
      <c r="N352" t="n">
        <v>0</v>
      </c>
      <c r="O352" t="n">
        <v>0</v>
      </c>
      <c r="P352" t="n">
        <v>0</v>
      </c>
      <c r="Q352" t="n">
        <v>0</v>
      </c>
      <c r="R352" s="2" t="inlineStr"/>
    </row>
    <row r="353" ht="15" customHeight="1">
      <c r="A353" t="inlineStr">
        <is>
          <t>A 61277-2023</t>
        </is>
      </c>
      <c r="B353" s="1" t="n">
        <v>45264.52465277778</v>
      </c>
      <c r="C353" s="1" t="n">
        <v>45924</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10644-2025</t>
        </is>
      </c>
      <c r="B354" s="1" t="n">
        <v>45721.66222222222</v>
      </c>
      <c r="C354" s="1" t="n">
        <v>45924</v>
      </c>
      <c r="D354" t="inlineStr">
        <is>
          <t>DALARNAS LÄN</t>
        </is>
      </c>
      <c r="E354" t="inlineStr">
        <is>
          <t>ORSA</t>
        </is>
      </c>
      <c r="F354" t="inlineStr">
        <is>
          <t>Bergvik skog öst AB</t>
        </is>
      </c>
      <c r="G354" t="n">
        <v>5.8</v>
      </c>
      <c r="H354" t="n">
        <v>0</v>
      </c>
      <c r="I354" t="n">
        <v>0</v>
      </c>
      <c r="J354" t="n">
        <v>0</v>
      </c>
      <c r="K354" t="n">
        <v>0</v>
      </c>
      <c r="L354" t="n">
        <v>0</v>
      </c>
      <c r="M354" t="n">
        <v>0</v>
      </c>
      <c r="N354" t="n">
        <v>0</v>
      </c>
      <c r="O354" t="n">
        <v>0</v>
      </c>
      <c r="P354" t="n">
        <v>0</v>
      </c>
      <c r="Q354" t="n">
        <v>0</v>
      </c>
      <c r="R354" s="2" t="inlineStr"/>
    </row>
    <row r="355" ht="15" customHeight="1">
      <c r="A355" t="inlineStr">
        <is>
          <t>A 33945-2022</t>
        </is>
      </c>
      <c r="B355" s="1" t="n">
        <v>44790.66212962963</v>
      </c>
      <c r="C355" s="1" t="n">
        <v>45924</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61053-2024</t>
        </is>
      </c>
      <c r="B356" s="1" t="n">
        <v>45645.48501157408</v>
      </c>
      <c r="C356" s="1" t="n">
        <v>45924</v>
      </c>
      <c r="D356" t="inlineStr">
        <is>
          <t>DALARNAS LÄN</t>
        </is>
      </c>
      <c r="E356" t="inlineStr">
        <is>
          <t>ORSA</t>
        </is>
      </c>
      <c r="G356" t="n">
        <v>2.6</v>
      </c>
      <c r="H356" t="n">
        <v>0</v>
      </c>
      <c r="I356" t="n">
        <v>0</v>
      </c>
      <c r="J356" t="n">
        <v>0</v>
      </c>
      <c r="K356" t="n">
        <v>0</v>
      </c>
      <c r="L356" t="n">
        <v>0</v>
      </c>
      <c r="M356" t="n">
        <v>0</v>
      </c>
      <c r="N356" t="n">
        <v>0</v>
      </c>
      <c r="O356" t="n">
        <v>0</v>
      </c>
      <c r="P356" t="n">
        <v>0</v>
      </c>
      <c r="Q356" t="n">
        <v>0</v>
      </c>
      <c r="R356" s="2" t="inlineStr"/>
    </row>
    <row r="357" ht="15" customHeight="1">
      <c r="A357" t="inlineStr">
        <is>
          <t>A 7628-2025</t>
        </is>
      </c>
      <c r="B357" s="1" t="n">
        <v>45705.73394675926</v>
      </c>
      <c r="C357" s="1" t="n">
        <v>45924</v>
      </c>
      <c r="D357" t="inlineStr">
        <is>
          <t>DALARNAS LÄN</t>
        </is>
      </c>
      <c r="E357" t="inlineStr">
        <is>
          <t>ORSA</t>
        </is>
      </c>
      <c r="G357" t="n">
        <v>1.8</v>
      </c>
      <c r="H357" t="n">
        <v>0</v>
      </c>
      <c r="I357" t="n">
        <v>0</v>
      </c>
      <c r="J357" t="n">
        <v>0</v>
      </c>
      <c r="K357" t="n">
        <v>0</v>
      </c>
      <c r="L357" t="n">
        <v>0</v>
      </c>
      <c r="M357" t="n">
        <v>0</v>
      </c>
      <c r="N357" t="n">
        <v>0</v>
      </c>
      <c r="O357" t="n">
        <v>0</v>
      </c>
      <c r="P357" t="n">
        <v>0</v>
      </c>
      <c r="Q357" t="n">
        <v>0</v>
      </c>
      <c r="R357" s="2" t="inlineStr"/>
    </row>
    <row r="358" ht="15" customHeight="1">
      <c r="A358" t="inlineStr">
        <is>
          <t>A 19505-2022</t>
        </is>
      </c>
      <c r="B358" s="1" t="n">
        <v>44693</v>
      </c>
      <c r="C358" s="1" t="n">
        <v>45924</v>
      </c>
      <c r="D358" t="inlineStr">
        <is>
          <t>DALARNAS LÄN</t>
        </is>
      </c>
      <c r="E358" t="inlineStr">
        <is>
          <t>ORSA</t>
        </is>
      </c>
      <c r="G358" t="n">
        <v>2.7</v>
      </c>
      <c r="H358" t="n">
        <v>0</v>
      </c>
      <c r="I358" t="n">
        <v>0</v>
      </c>
      <c r="J358" t="n">
        <v>0</v>
      </c>
      <c r="K358" t="n">
        <v>0</v>
      </c>
      <c r="L358" t="n">
        <v>0</v>
      </c>
      <c r="M358" t="n">
        <v>0</v>
      </c>
      <c r="N358" t="n">
        <v>0</v>
      </c>
      <c r="O358" t="n">
        <v>0</v>
      </c>
      <c r="P358" t="n">
        <v>0</v>
      </c>
      <c r="Q358" t="n">
        <v>0</v>
      </c>
      <c r="R358" s="2" t="inlineStr"/>
    </row>
    <row r="359" ht="15" customHeight="1">
      <c r="A359" t="inlineStr">
        <is>
          <t>A 61685-2024</t>
        </is>
      </c>
      <c r="B359" s="1" t="n">
        <v>45647.56972222222</v>
      </c>
      <c r="C359" s="1" t="n">
        <v>45924</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6939-2021</t>
        </is>
      </c>
      <c r="B360" s="1" t="n">
        <v>44237</v>
      </c>
      <c r="C360" s="1" t="n">
        <v>45924</v>
      </c>
      <c r="D360" t="inlineStr">
        <is>
          <t>DALARNAS LÄN</t>
        </is>
      </c>
      <c r="E360" t="inlineStr">
        <is>
          <t>ORSA</t>
        </is>
      </c>
      <c r="F360" t="inlineStr">
        <is>
          <t>Övriga statliga verk och myndigheter</t>
        </is>
      </c>
      <c r="G360" t="n">
        <v>1.5</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45924</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7534-2025</t>
        </is>
      </c>
      <c r="B362" s="1" t="n">
        <v>45705.56287037037</v>
      </c>
      <c r="C362" s="1" t="n">
        <v>45924</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45803-2025</t>
        </is>
      </c>
      <c r="B363" s="1" t="n">
        <v>45923.58125</v>
      </c>
      <c r="C363" s="1" t="n">
        <v>45924</v>
      </c>
      <c r="D363" t="inlineStr">
        <is>
          <t>DALARNAS LÄN</t>
        </is>
      </c>
      <c r="E363" t="inlineStr">
        <is>
          <t>ORSA</t>
        </is>
      </c>
      <c r="F363" t="inlineStr">
        <is>
          <t>Allmännings- och besparingsskogar</t>
        </is>
      </c>
      <c r="G363" t="n">
        <v>3.4</v>
      </c>
      <c r="H363" t="n">
        <v>0</v>
      </c>
      <c r="I363" t="n">
        <v>0</v>
      </c>
      <c r="J363" t="n">
        <v>0</v>
      </c>
      <c r="K363" t="n">
        <v>0</v>
      </c>
      <c r="L363" t="n">
        <v>0</v>
      </c>
      <c r="M363" t="n">
        <v>0</v>
      </c>
      <c r="N363" t="n">
        <v>0</v>
      </c>
      <c r="O363" t="n">
        <v>0</v>
      </c>
      <c r="P363" t="n">
        <v>0</v>
      </c>
      <c r="Q363" t="n">
        <v>0</v>
      </c>
      <c r="R363" s="2" t="inlineStr"/>
    </row>
    <row r="364" ht="15" customHeight="1">
      <c r="A364" t="inlineStr">
        <is>
          <t>A 27146-2021</t>
        </is>
      </c>
      <c r="B364" s="1" t="n">
        <v>44350</v>
      </c>
      <c r="C364" s="1" t="n">
        <v>45924</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58793-2023</t>
        </is>
      </c>
      <c r="B365" s="1" t="n">
        <v>45252.34607638889</v>
      </c>
      <c r="C365" s="1" t="n">
        <v>45924</v>
      </c>
      <c r="D365" t="inlineStr">
        <is>
          <t>DALARNAS LÄN</t>
        </is>
      </c>
      <c r="E365" t="inlineStr">
        <is>
          <t>ORSA</t>
        </is>
      </c>
      <c r="G365" t="n">
        <v>2.2</v>
      </c>
      <c r="H365" t="n">
        <v>0</v>
      </c>
      <c r="I365" t="n">
        <v>0</v>
      </c>
      <c r="J365" t="n">
        <v>0</v>
      </c>
      <c r="K365" t="n">
        <v>0</v>
      </c>
      <c r="L365" t="n">
        <v>0</v>
      </c>
      <c r="M365" t="n">
        <v>0</v>
      </c>
      <c r="N365" t="n">
        <v>0</v>
      </c>
      <c r="O365" t="n">
        <v>0</v>
      </c>
      <c r="P365" t="n">
        <v>0</v>
      </c>
      <c r="Q365" t="n">
        <v>0</v>
      </c>
      <c r="R365" s="2" t="inlineStr"/>
    </row>
    <row r="366" ht="15" customHeight="1">
      <c r="A366" t="inlineStr">
        <is>
          <t>A 36427-2023</t>
        </is>
      </c>
      <c r="B366" s="1" t="n">
        <v>45152.60333333333</v>
      </c>
      <c r="C366" s="1" t="n">
        <v>45924</v>
      </c>
      <c r="D366" t="inlineStr">
        <is>
          <t>DALARNAS LÄN</t>
        </is>
      </c>
      <c r="E366" t="inlineStr">
        <is>
          <t>ORSA</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29025-2023</t>
        </is>
      </c>
      <c r="B367" s="1" t="n">
        <v>45104.70399305555</v>
      </c>
      <c r="C367" s="1" t="n">
        <v>45924</v>
      </c>
      <c r="D367" t="inlineStr">
        <is>
          <t>DALARNAS LÄN</t>
        </is>
      </c>
      <c r="E367" t="inlineStr">
        <is>
          <t>ORSA</t>
        </is>
      </c>
      <c r="G367" t="n">
        <v>6.6</v>
      </c>
      <c r="H367" t="n">
        <v>0</v>
      </c>
      <c r="I367" t="n">
        <v>0</v>
      </c>
      <c r="J367" t="n">
        <v>0</v>
      </c>
      <c r="K367" t="n">
        <v>0</v>
      </c>
      <c r="L367" t="n">
        <v>0</v>
      </c>
      <c r="M367" t="n">
        <v>0</v>
      </c>
      <c r="N367" t="n">
        <v>0</v>
      </c>
      <c r="O367" t="n">
        <v>0</v>
      </c>
      <c r="P367" t="n">
        <v>0</v>
      </c>
      <c r="Q367" t="n">
        <v>0</v>
      </c>
      <c r="R367" s="2" t="inlineStr"/>
    </row>
    <row r="368" ht="15" customHeight="1">
      <c r="A368" t="inlineStr">
        <is>
          <t>A 37893-2025</t>
        </is>
      </c>
      <c r="B368" s="1" t="n">
        <v>45881.54469907407</v>
      </c>
      <c r="C368" s="1" t="n">
        <v>45924</v>
      </c>
      <c r="D368" t="inlineStr">
        <is>
          <t>DALARNAS LÄN</t>
        </is>
      </c>
      <c r="E368" t="inlineStr">
        <is>
          <t>ORSA</t>
        </is>
      </c>
      <c r="G368" t="n">
        <v>4.4</v>
      </c>
      <c r="H368" t="n">
        <v>0</v>
      </c>
      <c r="I368" t="n">
        <v>0</v>
      </c>
      <c r="J368" t="n">
        <v>0</v>
      </c>
      <c r="K368" t="n">
        <v>0</v>
      </c>
      <c r="L368" t="n">
        <v>0</v>
      </c>
      <c r="M368" t="n">
        <v>0</v>
      </c>
      <c r="N368" t="n">
        <v>0</v>
      </c>
      <c r="O368" t="n">
        <v>0</v>
      </c>
      <c r="P368" t="n">
        <v>0</v>
      </c>
      <c r="Q368" t="n">
        <v>0</v>
      </c>
      <c r="R368" s="2" t="inlineStr"/>
    </row>
    <row r="369" ht="15" customHeight="1">
      <c r="A369" t="inlineStr">
        <is>
          <t>A 37906-2025</t>
        </is>
      </c>
      <c r="B369" s="1" t="n">
        <v>45881.56803240741</v>
      </c>
      <c r="C369" s="1" t="n">
        <v>45924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22911-2023</t>
        </is>
      </c>
      <c r="B370" s="1" t="n">
        <v>45072</v>
      </c>
      <c r="C370" s="1" t="n">
        <v>45924</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6171-2025</t>
        </is>
      </c>
      <c r="B371" s="1" t="n">
        <v>45698.43287037037</v>
      </c>
      <c r="C371" s="1" t="n">
        <v>45924</v>
      </c>
      <c r="D371" t="inlineStr">
        <is>
          <t>DALARNAS LÄN</t>
        </is>
      </c>
      <c r="E371" t="inlineStr">
        <is>
          <t>ORSA</t>
        </is>
      </c>
      <c r="G371" t="n">
        <v>11.1</v>
      </c>
      <c r="H371" t="n">
        <v>0</v>
      </c>
      <c r="I371" t="n">
        <v>0</v>
      </c>
      <c r="J371" t="n">
        <v>0</v>
      </c>
      <c r="K371" t="n">
        <v>0</v>
      </c>
      <c r="L371" t="n">
        <v>0</v>
      </c>
      <c r="M371" t="n">
        <v>0</v>
      </c>
      <c r="N371" t="n">
        <v>0</v>
      </c>
      <c r="O371" t="n">
        <v>0</v>
      </c>
      <c r="P371" t="n">
        <v>0</v>
      </c>
      <c r="Q371" t="n">
        <v>0</v>
      </c>
      <c r="R371" s="2" t="inlineStr"/>
    </row>
    <row r="372" ht="15" customHeight="1">
      <c r="A372" t="inlineStr">
        <is>
          <t>A 13209-2022</t>
        </is>
      </c>
      <c r="B372" s="1" t="n">
        <v>44644.56325231482</v>
      </c>
      <c r="C372" s="1" t="n">
        <v>45924</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26301-2023</t>
        </is>
      </c>
      <c r="B373" s="1" t="n">
        <v>45091</v>
      </c>
      <c r="C373" s="1" t="n">
        <v>45924</v>
      </c>
      <c r="D373" t="inlineStr">
        <is>
          <t>DALARNAS LÄN</t>
        </is>
      </c>
      <c r="E373" t="inlineStr">
        <is>
          <t>ORSA</t>
        </is>
      </c>
      <c r="G373" t="n">
        <v>1.7</v>
      </c>
      <c r="H373" t="n">
        <v>0</v>
      </c>
      <c r="I373" t="n">
        <v>0</v>
      </c>
      <c r="J373" t="n">
        <v>0</v>
      </c>
      <c r="K373" t="n">
        <v>0</v>
      </c>
      <c r="L373" t="n">
        <v>0</v>
      </c>
      <c r="M373" t="n">
        <v>0</v>
      </c>
      <c r="N373" t="n">
        <v>0</v>
      </c>
      <c r="O373" t="n">
        <v>0</v>
      </c>
      <c r="P373" t="n">
        <v>0</v>
      </c>
      <c r="Q373" t="n">
        <v>0</v>
      </c>
      <c r="R373" s="2" t="inlineStr"/>
    </row>
    <row r="374" ht="15" customHeight="1">
      <c r="A374" t="inlineStr">
        <is>
          <t>A 13236-2022</t>
        </is>
      </c>
      <c r="B374" s="1" t="n">
        <v>44644.61106481482</v>
      </c>
      <c r="C374" s="1" t="n">
        <v>45924</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8429-2024</t>
        </is>
      </c>
      <c r="B375" s="1" t="n">
        <v>45353.38880787037</v>
      </c>
      <c r="C375" s="1" t="n">
        <v>45924</v>
      </c>
      <c r="D375" t="inlineStr">
        <is>
          <t>DALARNAS LÄN</t>
        </is>
      </c>
      <c r="E375" t="inlineStr">
        <is>
          <t>ORSA</t>
        </is>
      </c>
      <c r="G375" t="n">
        <v>0.3</v>
      </c>
      <c r="H375" t="n">
        <v>0</v>
      </c>
      <c r="I375" t="n">
        <v>0</v>
      </c>
      <c r="J375" t="n">
        <v>0</v>
      </c>
      <c r="K375" t="n">
        <v>0</v>
      </c>
      <c r="L375" t="n">
        <v>0</v>
      </c>
      <c r="M375" t="n">
        <v>0</v>
      </c>
      <c r="N375" t="n">
        <v>0</v>
      </c>
      <c r="O375" t="n">
        <v>0</v>
      </c>
      <c r="P375" t="n">
        <v>0</v>
      </c>
      <c r="Q375" t="n">
        <v>0</v>
      </c>
      <c r="R375" s="2" t="inlineStr"/>
    </row>
    <row r="376" ht="15" customHeight="1">
      <c r="A376" t="inlineStr">
        <is>
          <t>A 15769-2025</t>
        </is>
      </c>
      <c r="B376" s="1" t="n">
        <v>45748.58792824074</v>
      </c>
      <c r="C376" s="1" t="n">
        <v>45924</v>
      </c>
      <c r="D376" t="inlineStr">
        <is>
          <t>DALARNAS LÄN</t>
        </is>
      </c>
      <c r="E376" t="inlineStr">
        <is>
          <t>ORSA</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15914-2021</t>
        </is>
      </c>
      <c r="B377" s="1" t="n">
        <v>44287</v>
      </c>
      <c r="C377" s="1" t="n">
        <v>45924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21216-2023</t>
        </is>
      </c>
      <c r="B378" s="1" t="n">
        <v>45062</v>
      </c>
      <c r="C378" s="1" t="n">
        <v>45924</v>
      </c>
      <c r="D378" t="inlineStr">
        <is>
          <t>DALARNAS LÄN</t>
        </is>
      </c>
      <c r="E378" t="inlineStr">
        <is>
          <t>ORSA</t>
        </is>
      </c>
      <c r="F378" t="inlineStr">
        <is>
          <t>Bergvik skog öst AB</t>
        </is>
      </c>
      <c r="G378" t="n">
        <v>3.8</v>
      </c>
      <c r="H378" t="n">
        <v>0</v>
      </c>
      <c r="I378" t="n">
        <v>0</v>
      </c>
      <c r="J378" t="n">
        <v>0</v>
      </c>
      <c r="K378" t="n">
        <v>0</v>
      </c>
      <c r="L378" t="n">
        <v>0</v>
      </c>
      <c r="M378" t="n">
        <v>0</v>
      </c>
      <c r="N378" t="n">
        <v>0</v>
      </c>
      <c r="O378" t="n">
        <v>0</v>
      </c>
      <c r="P378" t="n">
        <v>0</v>
      </c>
      <c r="Q378" t="n">
        <v>0</v>
      </c>
      <c r="R378" s="2" t="inlineStr"/>
    </row>
    <row r="379" ht="15" customHeight="1">
      <c r="A379" t="inlineStr">
        <is>
          <t>A 47579-2023</t>
        </is>
      </c>
      <c r="B379" s="1" t="n">
        <v>45203.42181712963</v>
      </c>
      <c r="C379" s="1" t="n">
        <v>45924</v>
      </c>
      <c r="D379" t="inlineStr">
        <is>
          <t>DALARNAS LÄN</t>
        </is>
      </c>
      <c r="E379" t="inlineStr">
        <is>
          <t>ORSA</t>
        </is>
      </c>
      <c r="G379" t="n">
        <v>2.9</v>
      </c>
      <c r="H379" t="n">
        <v>0</v>
      </c>
      <c r="I379" t="n">
        <v>0</v>
      </c>
      <c r="J379" t="n">
        <v>0</v>
      </c>
      <c r="K379" t="n">
        <v>0</v>
      </c>
      <c r="L379" t="n">
        <v>0</v>
      </c>
      <c r="M379" t="n">
        <v>0</v>
      </c>
      <c r="N379" t="n">
        <v>0</v>
      </c>
      <c r="O379" t="n">
        <v>0</v>
      </c>
      <c r="P379" t="n">
        <v>0</v>
      </c>
      <c r="Q379" t="n">
        <v>0</v>
      </c>
      <c r="R379" s="2" t="inlineStr"/>
    </row>
    <row r="380" ht="15" customHeight="1">
      <c r="A380" t="inlineStr">
        <is>
          <t>A 30382-2023</t>
        </is>
      </c>
      <c r="B380" s="1" t="n">
        <v>45111</v>
      </c>
      <c r="C380" s="1" t="n">
        <v>45924</v>
      </c>
      <c r="D380" t="inlineStr">
        <is>
          <t>DALARNAS LÄN</t>
        </is>
      </c>
      <c r="E380" t="inlineStr">
        <is>
          <t>ORSA</t>
        </is>
      </c>
      <c r="F380" t="inlineStr">
        <is>
          <t>Bergvik skog öst AB</t>
        </is>
      </c>
      <c r="G380" t="n">
        <v>1.4</v>
      </c>
      <c r="H380" t="n">
        <v>0</v>
      </c>
      <c r="I380" t="n">
        <v>0</v>
      </c>
      <c r="J380" t="n">
        <v>0</v>
      </c>
      <c r="K380" t="n">
        <v>0</v>
      </c>
      <c r="L380" t="n">
        <v>0</v>
      </c>
      <c r="M380" t="n">
        <v>0</v>
      </c>
      <c r="N380" t="n">
        <v>0</v>
      </c>
      <c r="O380" t="n">
        <v>0</v>
      </c>
      <c r="P380" t="n">
        <v>0</v>
      </c>
      <c r="Q380" t="n">
        <v>0</v>
      </c>
      <c r="R380" s="2" t="inlineStr"/>
    </row>
    <row r="381" ht="15" customHeight="1">
      <c r="A381" t="inlineStr">
        <is>
          <t>A 15114-2025</t>
        </is>
      </c>
      <c r="B381" s="1" t="n">
        <v>45744.36232638889</v>
      </c>
      <c r="C381" s="1" t="n">
        <v>45924</v>
      </c>
      <c r="D381" t="inlineStr">
        <is>
          <t>DALARNAS LÄN</t>
        </is>
      </c>
      <c r="E381" t="inlineStr">
        <is>
          <t>ORSA</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37852-2024</t>
        </is>
      </c>
      <c r="B382" s="1" t="n">
        <v>45544.3786574074</v>
      </c>
      <c r="C382" s="1" t="n">
        <v>45924</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53717-2024</t>
        </is>
      </c>
      <c r="B383" s="1" t="n">
        <v>45615.43141203704</v>
      </c>
      <c r="C383" s="1" t="n">
        <v>45924</v>
      </c>
      <c r="D383" t="inlineStr">
        <is>
          <t>DALARNAS LÄN</t>
        </is>
      </c>
      <c r="E383" t="inlineStr">
        <is>
          <t>ORSA</t>
        </is>
      </c>
      <c r="G383" t="n">
        <v>1.5</v>
      </c>
      <c r="H383" t="n">
        <v>0</v>
      </c>
      <c r="I383" t="n">
        <v>0</v>
      </c>
      <c r="J383" t="n">
        <v>0</v>
      </c>
      <c r="K383" t="n">
        <v>0</v>
      </c>
      <c r="L383" t="n">
        <v>0</v>
      </c>
      <c r="M383" t="n">
        <v>0</v>
      </c>
      <c r="N383" t="n">
        <v>0</v>
      </c>
      <c r="O383" t="n">
        <v>0</v>
      </c>
      <c r="P383" t="n">
        <v>0</v>
      </c>
      <c r="Q383" t="n">
        <v>0</v>
      </c>
      <c r="R383" s="2" t="inlineStr"/>
    </row>
    <row r="384" ht="15" customHeight="1">
      <c r="A384" t="inlineStr">
        <is>
          <t>A 31688-2024</t>
        </is>
      </c>
      <c r="B384" s="1" t="n">
        <v>45507.46103009259</v>
      </c>
      <c r="C384" s="1" t="n">
        <v>45924</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56706-2021</t>
        </is>
      </c>
      <c r="B385" s="1" t="n">
        <v>44481.4037962963</v>
      </c>
      <c r="C385" s="1" t="n">
        <v>45924</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6097-2025</t>
        </is>
      </c>
      <c r="B386" s="1" t="n">
        <v>45697</v>
      </c>
      <c r="C386" s="1" t="n">
        <v>45924</v>
      </c>
      <c r="D386" t="inlineStr">
        <is>
          <t>DALARNAS LÄN</t>
        </is>
      </c>
      <c r="E386" t="inlineStr">
        <is>
          <t>ORSA</t>
        </is>
      </c>
      <c r="G386" t="n">
        <v>11.1</v>
      </c>
      <c r="H386" t="n">
        <v>0</v>
      </c>
      <c r="I386" t="n">
        <v>0</v>
      </c>
      <c r="J386" t="n">
        <v>0</v>
      </c>
      <c r="K386" t="n">
        <v>0</v>
      </c>
      <c r="L386" t="n">
        <v>0</v>
      </c>
      <c r="M386" t="n">
        <v>0</v>
      </c>
      <c r="N386" t="n">
        <v>0</v>
      </c>
      <c r="O386" t="n">
        <v>0</v>
      </c>
      <c r="P386" t="n">
        <v>0</v>
      </c>
      <c r="Q386" t="n">
        <v>0</v>
      </c>
      <c r="R386" s="2" t="inlineStr"/>
    </row>
    <row r="387" ht="15" customHeight="1">
      <c r="A387" t="inlineStr">
        <is>
          <t>A 50999-2021</t>
        </is>
      </c>
      <c r="B387" s="1" t="n">
        <v>44460.85565972222</v>
      </c>
      <c r="C387" s="1" t="n">
        <v>45924</v>
      </c>
      <c r="D387" t="inlineStr">
        <is>
          <t>DALARNAS LÄN</t>
        </is>
      </c>
      <c r="E387" t="inlineStr">
        <is>
          <t>ORSA</t>
        </is>
      </c>
      <c r="G387" t="n">
        <v>3</v>
      </c>
      <c r="H387" t="n">
        <v>0</v>
      </c>
      <c r="I387" t="n">
        <v>0</v>
      </c>
      <c r="J387" t="n">
        <v>0</v>
      </c>
      <c r="K387" t="n">
        <v>0</v>
      </c>
      <c r="L387" t="n">
        <v>0</v>
      </c>
      <c r="M387" t="n">
        <v>0</v>
      </c>
      <c r="N387" t="n">
        <v>0</v>
      </c>
      <c r="O387" t="n">
        <v>0</v>
      </c>
      <c r="P387" t="n">
        <v>0</v>
      </c>
      <c r="Q387" t="n">
        <v>0</v>
      </c>
      <c r="R387" s="2" t="inlineStr"/>
    </row>
    <row r="388" ht="15" customHeight="1">
      <c r="A388" t="inlineStr">
        <is>
          <t>A 27877-2021</t>
        </is>
      </c>
      <c r="B388" s="1" t="n">
        <v>44354.6446875</v>
      </c>
      <c r="C388" s="1" t="n">
        <v>45924</v>
      </c>
      <c r="D388" t="inlineStr">
        <is>
          <t>DALARNAS LÄN</t>
        </is>
      </c>
      <c r="E388" t="inlineStr">
        <is>
          <t>ORSA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28082-2023</t>
        </is>
      </c>
      <c r="B389" s="1" t="n">
        <v>45099</v>
      </c>
      <c r="C389" s="1" t="n">
        <v>45924</v>
      </c>
      <c r="D389" t="inlineStr">
        <is>
          <t>DALARNAS LÄN</t>
        </is>
      </c>
      <c r="E389" t="inlineStr">
        <is>
          <t>ORSA</t>
        </is>
      </c>
      <c r="G389" t="n">
        <v>0.4</v>
      </c>
      <c r="H389" t="n">
        <v>0</v>
      </c>
      <c r="I389" t="n">
        <v>0</v>
      </c>
      <c r="J389" t="n">
        <v>0</v>
      </c>
      <c r="K389" t="n">
        <v>0</v>
      </c>
      <c r="L389" t="n">
        <v>0</v>
      </c>
      <c r="M389" t="n">
        <v>0</v>
      </c>
      <c r="N389" t="n">
        <v>0</v>
      </c>
      <c r="O389" t="n">
        <v>0</v>
      </c>
      <c r="P389" t="n">
        <v>0</v>
      </c>
      <c r="Q389" t="n">
        <v>0</v>
      </c>
      <c r="R389" s="2" t="inlineStr"/>
    </row>
    <row r="390" ht="15" customHeight="1">
      <c r="A390" t="inlineStr">
        <is>
          <t>A 13580-2025</t>
        </is>
      </c>
      <c r="B390" s="1" t="n">
        <v>45736.58362268518</v>
      </c>
      <c r="C390" s="1" t="n">
        <v>45924</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4553-2025</t>
        </is>
      </c>
      <c r="B391" s="1" t="n">
        <v>45687.42143518518</v>
      </c>
      <c r="C391" s="1" t="n">
        <v>45924</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51567-2023</t>
        </is>
      </c>
      <c r="B392" s="1" t="n">
        <v>45222.44800925926</v>
      </c>
      <c r="C392" s="1" t="n">
        <v>45924</v>
      </c>
      <c r="D392" t="inlineStr">
        <is>
          <t>DALARNAS LÄN</t>
        </is>
      </c>
      <c r="E392" t="inlineStr">
        <is>
          <t>ORSA</t>
        </is>
      </c>
      <c r="G392" t="n">
        <v>0.7</v>
      </c>
      <c r="H392" t="n">
        <v>0</v>
      </c>
      <c r="I392" t="n">
        <v>0</v>
      </c>
      <c r="J392" t="n">
        <v>0</v>
      </c>
      <c r="K392" t="n">
        <v>0</v>
      </c>
      <c r="L392" t="n">
        <v>0</v>
      </c>
      <c r="M392" t="n">
        <v>0</v>
      </c>
      <c r="N392" t="n">
        <v>0</v>
      </c>
      <c r="O392" t="n">
        <v>0</v>
      </c>
      <c r="P392" t="n">
        <v>0</v>
      </c>
      <c r="Q392" t="n">
        <v>0</v>
      </c>
      <c r="R392" s="2" t="inlineStr"/>
    </row>
    <row r="393" ht="15" customHeight="1">
      <c r="A393" t="inlineStr">
        <is>
          <t>A 63917-2023</t>
        </is>
      </c>
      <c r="B393" s="1" t="n">
        <v>45278</v>
      </c>
      <c r="C393" s="1" t="n">
        <v>45924</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17518-2025</t>
        </is>
      </c>
      <c r="B394" s="1" t="n">
        <v>45757.57597222222</v>
      </c>
      <c r="C394" s="1" t="n">
        <v>45924</v>
      </c>
      <c r="D394" t="inlineStr">
        <is>
          <t>DALARNAS LÄN</t>
        </is>
      </c>
      <c r="E394" t="inlineStr">
        <is>
          <t>ORSA</t>
        </is>
      </c>
      <c r="F394" t="inlineStr">
        <is>
          <t>Bergvik skog öst AB</t>
        </is>
      </c>
      <c r="G394" t="n">
        <v>7.3</v>
      </c>
      <c r="H394" t="n">
        <v>0</v>
      </c>
      <c r="I394" t="n">
        <v>0</v>
      </c>
      <c r="J394" t="n">
        <v>0</v>
      </c>
      <c r="K394" t="n">
        <v>0</v>
      </c>
      <c r="L394" t="n">
        <v>0</v>
      </c>
      <c r="M394" t="n">
        <v>0</v>
      </c>
      <c r="N394" t="n">
        <v>0</v>
      </c>
      <c r="O394" t="n">
        <v>0</v>
      </c>
      <c r="P394" t="n">
        <v>0</v>
      </c>
      <c r="Q394" t="n">
        <v>0</v>
      </c>
      <c r="R394" s="2" t="inlineStr"/>
    </row>
    <row r="395" ht="15" customHeight="1">
      <c r="A395" t="inlineStr">
        <is>
          <t>A 16992-2025</t>
        </is>
      </c>
      <c r="B395" s="1" t="n">
        <v>45755.50215277778</v>
      </c>
      <c r="C395" s="1" t="n">
        <v>45924</v>
      </c>
      <c r="D395" t="inlineStr">
        <is>
          <t>DALARNAS LÄN</t>
        </is>
      </c>
      <c r="E395" t="inlineStr">
        <is>
          <t>ORSA</t>
        </is>
      </c>
      <c r="G395" t="n">
        <v>1.5</v>
      </c>
      <c r="H395" t="n">
        <v>0</v>
      </c>
      <c r="I395" t="n">
        <v>0</v>
      </c>
      <c r="J395" t="n">
        <v>0</v>
      </c>
      <c r="K395" t="n">
        <v>0</v>
      </c>
      <c r="L395" t="n">
        <v>0</v>
      </c>
      <c r="M395" t="n">
        <v>0</v>
      </c>
      <c r="N395" t="n">
        <v>0</v>
      </c>
      <c r="O395" t="n">
        <v>0</v>
      </c>
      <c r="P395" t="n">
        <v>0</v>
      </c>
      <c r="Q395" t="n">
        <v>0</v>
      </c>
      <c r="R395" s="2" t="inlineStr"/>
    </row>
    <row r="396" ht="15" customHeight="1">
      <c r="A396" t="inlineStr">
        <is>
          <t>A 29485-2022</t>
        </is>
      </c>
      <c r="B396" s="1" t="n">
        <v>44753</v>
      </c>
      <c r="C396" s="1" t="n">
        <v>45924</v>
      </c>
      <c r="D396" t="inlineStr">
        <is>
          <t>DALARNAS LÄN</t>
        </is>
      </c>
      <c r="E396" t="inlineStr">
        <is>
          <t>ORSA</t>
        </is>
      </c>
      <c r="G396" t="n">
        <v>1.2</v>
      </c>
      <c r="H396" t="n">
        <v>0</v>
      </c>
      <c r="I396" t="n">
        <v>0</v>
      </c>
      <c r="J396" t="n">
        <v>0</v>
      </c>
      <c r="K396" t="n">
        <v>0</v>
      </c>
      <c r="L396" t="n">
        <v>0</v>
      </c>
      <c r="M396" t="n">
        <v>0</v>
      </c>
      <c r="N396" t="n">
        <v>0</v>
      </c>
      <c r="O396" t="n">
        <v>0</v>
      </c>
      <c r="P396" t="n">
        <v>0</v>
      </c>
      <c r="Q396" t="n">
        <v>0</v>
      </c>
      <c r="R396" s="2" t="inlineStr"/>
    </row>
    <row r="397" ht="15" customHeight="1">
      <c r="A397" t="inlineStr">
        <is>
          <t>A 9466-2023</t>
        </is>
      </c>
      <c r="B397" s="1" t="n">
        <v>44981</v>
      </c>
      <c r="C397" s="1" t="n">
        <v>45924</v>
      </c>
      <c r="D397" t="inlineStr">
        <is>
          <t>DALARNAS LÄN</t>
        </is>
      </c>
      <c r="E397" t="inlineStr">
        <is>
          <t>ORSA</t>
        </is>
      </c>
      <c r="F397" t="inlineStr">
        <is>
          <t>Bergvik skog väst AB</t>
        </is>
      </c>
      <c r="G397" t="n">
        <v>3.8</v>
      </c>
      <c r="H397" t="n">
        <v>0</v>
      </c>
      <c r="I397" t="n">
        <v>0</v>
      </c>
      <c r="J397" t="n">
        <v>0</v>
      </c>
      <c r="K397" t="n">
        <v>0</v>
      </c>
      <c r="L397" t="n">
        <v>0</v>
      </c>
      <c r="M397" t="n">
        <v>0</v>
      </c>
      <c r="N397" t="n">
        <v>0</v>
      </c>
      <c r="O397" t="n">
        <v>0</v>
      </c>
      <c r="P397" t="n">
        <v>0</v>
      </c>
      <c r="Q397" t="n">
        <v>0</v>
      </c>
      <c r="R397" s="2" t="inlineStr"/>
    </row>
    <row r="398" ht="15" customHeight="1">
      <c r="A398" t="inlineStr">
        <is>
          <t>A 23461-2023</t>
        </is>
      </c>
      <c r="B398" s="1" t="n">
        <v>45076</v>
      </c>
      <c r="C398" s="1" t="n">
        <v>45924</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48985-2023</t>
        </is>
      </c>
      <c r="B399" s="1" t="n">
        <v>45209.64077546296</v>
      </c>
      <c r="C399" s="1" t="n">
        <v>45924</v>
      </c>
      <c r="D399" t="inlineStr">
        <is>
          <t>DALARNAS LÄN</t>
        </is>
      </c>
      <c r="E399" t="inlineStr">
        <is>
          <t>ORSA</t>
        </is>
      </c>
      <c r="F399" t="inlineStr">
        <is>
          <t>Allmännings- och besparingsskogar</t>
        </is>
      </c>
      <c r="G399" t="n">
        <v>2.1</v>
      </c>
      <c r="H399" t="n">
        <v>0</v>
      </c>
      <c r="I399" t="n">
        <v>0</v>
      </c>
      <c r="J399" t="n">
        <v>0</v>
      </c>
      <c r="K399" t="n">
        <v>0</v>
      </c>
      <c r="L399" t="n">
        <v>0</v>
      </c>
      <c r="M399" t="n">
        <v>0</v>
      </c>
      <c r="N399" t="n">
        <v>0</v>
      </c>
      <c r="O399" t="n">
        <v>0</v>
      </c>
      <c r="P399" t="n">
        <v>0</v>
      </c>
      <c r="Q399" t="n">
        <v>0</v>
      </c>
      <c r="R399" s="2" t="inlineStr"/>
    </row>
    <row r="400" ht="15" customHeight="1">
      <c r="A400" t="inlineStr">
        <is>
          <t>A 42346-2022</t>
        </is>
      </c>
      <c r="B400" s="1" t="n">
        <v>44831.35561342593</v>
      </c>
      <c r="C400" s="1" t="n">
        <v>45924</v>
      </c>
      <c r="D400" t="inlineStr">
        <is>
          <t>DALARNAS LÄN</t>
        </is>
      </c>
      <c r="E400" t="inlineStr">
        <is>
          <t>ORSA</t>
        </is>
      </c>
      <c r="G400" t="n">
        <v>2.4</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45103.33896990741</v>
      </c>
      <c r="C401" s="1" t="n">
        <v>45924</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30290-2024</t>
        </is>
      </c>
      <c r="B402" s="1" t="n">
        <v>45490.64681712963</v>
      </c>
      <c r="C402" s="1" t="n">
        <v>45924</v>
      </c>
      <c r="D402" t="inlineStr">
        <is>
          <t>DALARNAS LÄN</t>
        </is>
      </c>
      <c r="E402" t="inlineStr">
        <is>
          <t>ORSA</t>
        </is>
      </c>
      <c r="F402" t="inlineStr">
        <is>
          <t>Bergvik skog öst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37836-2024</t>
        </is>
      </c>
      <c r="B403" s="1" t="n">
        <v>45544.35747685185</v>
      </c>
      <c r="C403" s="1" t="n">
        <v>45924</v>
      </c>
      <c r="D403" t="inlineStr">
        <is>
          <t>DALARNAS LÄN</t>
        </is>
      </c>
      <c r="E403" t="inlineStr">
        <is>
          <t>ORSA</t>
        </is>
      </c>
      <c r="G403" t="n">
        <v>2.3</v>
      </c>
      <c r="H403" t="n">
        <v>0</v>
      </c>
      <c r="I403" t="n">
        <v>0</v>
      </c>
      <c r="J403" t="n">
        <v>0</v>
      </c>
      <c r="K403" t="n">
        <v>0</v>
      </c>
      <c r="L403" t="n">
        <v>0</v>
      </c>
      <c r="M403" t="n">
        <v>0</v>
      </c>
      <c r="N403" t="n">
        <v>0</v>
      </c>
      <c r="O403" t="n">
        <v>0</v>
      </c>
      <c r="P403" t="n">
        <v>0</v>
      </c>
      <c r="Q403" t="n">
        <v>0</v>
      </c>
      <c r="R403" s="2" t="inlineStr"/>
    </row>
    <row r="404" ht="15" customHeight="1">
      <c r="A404" t="inlineStr">
        <is>
          <t>A 34374-2024</t>
        </is>
      </c>
      <c r="B404" s="1" t="n">
        <v>45525.40091435185</v>
      </c>
      <c r="C404" s="1" t="n">
        <v>45924</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52033-2023</t>
        </is>
      </c>
      <c r="B405" s="1" t="n">
        <v>45223.62680555556</v>
      </c>
      <c r="C405" s="1" t="n">
        <v>45924</v>
      </c>
      <c r="D405" t="inlineStr">
        <is>
          <t>DALARNAS LÄN</t>
        </is>
      </c>
      <c r="E405" t="inlineStr">
        <is>
          <t>ORSA</t>
        </is>
      </c>
      <c r="G405" t="n">
        <v>11.5</v>
      </c>
      <c r="H405" t="n">
        <v>0</v>
      </c>
      <c r="I405" t="n">
        <v>0</v>
      </c>
      <c r="J405" t="n">
        <v>0</v>
      </c>
      <c r="K405" t="n">
        <v>0</v>
      </c>
      <c r="L405" t="n">
        <v>0</v>
      </c>
      <c r="M405" t="n">
        <v>0</v>
      </c>
      <c r="N405" t="n">
        <v>0</v>
      </c>
      <c r="O405" t="n">
        <v>0</v>
      </c>
      <c r="P405" t="n">
        <v>0</v>
      </c>
      <c r="Q405" t="n">
        <v>0</v>
      </c>
      <c r="R405" s="2" t="inlineStr"/>
    </row>
    <row r="406" ht="15" customHeight="1">
      <c r="A406" t="inlineStr">
        <is>
          <t>A 54546-2024</t>
        </is>
      </c>
      <c r="B406" s="1" t="n">
        <v>45617.61476851852</v>
      </c>
      <c r="C406" s="1" t="n">
        <v>45924</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56942-2024</t>
        </is>
      </c>
      <c r="B407" s="1" t="n">
        <v>45628.62292824074</v>
      </c>
      <c r="C407" s="1" t="n">
        <v>45924</v>
      </c>
      <c r="D407" t="inlineStr">
        <is>
          <t>DALARNAS LÄN</t>
        </is>
      </c>
      <c r="E407" t="inlineStr">
        <is>
          <t>ORSA</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55534-2023</t>
        </is>
      </c>
      <c r="B408" s="1" t="n">
        <v>45238</v>
      </c>
      <c r="C408" s="1" t="n">
        <v>45924</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10261-2022</t>
        </is>
      </c>
      <c r="B409" s="1" t="n">
        <v>44622.6445949074</v>
      </c>
      <c r="C409" s="1" t="n">
        <v>45924</v>
      </c>
      <c r="D409" t="inlineStr">
        <is>
          <t>DALARNAS LÄN</t>
        </is>
      </c>
      <c r="E409" t="inlineStr">
        <is>
          <t>ORSA</t>
        </is>
      </c>
      <c r="G409" t="n">
        <v>3.1</v>
      </c>
      <c r="H409" t="n">
        <v>0</v>
      </c>
      <c r="I409" t="n">
        <v>0</v>
      </c>
      <c r="J409" t="n">
        <v>0</v>
      </c>
      <c r="K409" t="n">
        <v>0</v>
      </c>
      <c r="L409" t="n">
        <v>0</v>
      </c>
      <c r="M409" t="n">
        <v>0</v>
      </c>
      <c r="N409" t="n">
        <v>0</v>
      </c>
      <c r="O409" t="n">
        <v>0</v>
      </c>
      <c r="P409" t="n">
        <v>0</v>
      </c>
      <c r="Q409" t="n">
        <v>0</v>
      </c>
      <c r="R409" s="2" t="inlineStr"/>
    </row>
    <row r="410" ht="15" customHeight="1">
      <c r="A410" t="inlineStr">
        <is>
          <t>A 17848-2025</t>
        </is>
      </c>
      <c r="B410" s="1" t="n">
        <v>45758.59981481481</v>
      </c>
      <c r="C410" s="1" t="n">
        <v>45924</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16777-2024</t>
        </is>
      </c>
      <c r="B411" s="1" t="n">
        <v>45411</v>
      </c>
      <c r="C411" s="1" t="n">
        <v>45924</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7626-2025</t>
        </is>
      </c>
      <c r="B412" s="1" t="n">
        <v>45705.72799768519</v>
      </c>
      <c r="C412" s="1" t="n">
        <v>45924</v>
      </c>
      <c r="D412" t="inlineStr">
        <is>
          <t>DALARNAS LÄN</t>
        </is>
      </c>
      <c r="E412" t="inlineStr">
        <is>
          <t>ORSA</t>
        </is>
      </c>
      <c r="G412" t="n">
        <v>15.5</v>
      </c>
      <c r="H412" t="n">
        <v>0</v>
      </c>
      <c r="I412" t="n">
        <v>0</v>
      </c>
      <c r="J412" t="n">
        <v>0</v>
      </c>
      <c r="K412" t="n">
        <v>0</v>
      </c>
      <c r="L412" t="n">
        <v>0</v>
      </c>
      <c r="M412" t="n">
        <v>0</v>
      </c>
      <c r="N412" t="n">
        <v>0</v>
      </c>
      <c r="O412" t="n">
        <v>0</v>
      </c>
      <c r="P412" t="n">
        <v>0</v>
      </c>
      <c r="Q412" t="n">
        <v>0</v>
      </c>
      <c r="R412" s="2" t="inlineStr"/>
    </row>
    <row r="413" ht="15" customHeight="1">
      <c r="A413" t="inlineStr">
        <is>
          <t>A 53102-2021</t>
        </is>
      </c>
      <c r="B413" s="1" t="n">
        <v>44467</v>
      </c>
      <c r="C413" s="1" t="n">
        <v>45924</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61684-2024</t>
        </is>
      </c>
      <c r="B414" s="1" t="n">
        <v>45647.56491898148</v>
      </c>
      <c r="C414" s="1" t="n">
        <v>45924</v>
      </c>
      <c r="D414" t="inlineStr">
        <is>
          <t>DALARNAS LÄN</t>
        </is>
      </c>
      <c r="E414" t="inlineStr">
        <is>
          <t>ORSA</t>
        </is>
      </c>
      <c r="G414" t="n">
        <v>5.8</v>
      </c>
      <c r="H414" t="n">
        <v>0</v>
      </c>
      <c r="I414" t="n">
        <v>0</v>
      </c>
      <c r="J414" t="n">
        <v>0</v>
      </c>
      <c r="K414" t="n">
        <v>0</v>
      </c>
      <c r="L414" t="n">
        <v>0</v>
      </c>
      <c r="M414" t="n">
        <v>0</v>
      </c>
      <c r="N414" t="n">
        <v>0</v>
      </c>
      <c r="O414" t="n">
        <v>0</v>
      </c>
      <c r="P414" t="n">
        <v>0</v>
      </c>
      <c r="Q414" t="n">
        <v>0</v>
      </c>
      <c r="R414" s="2" t="inlineStr"/>
    </row>
    <row r="415" ht="15" customHeight="1">
      <c r="A415" t="inlineStr">
        <is>
          <t>A 6047-2023</t>
        </is>
      </c>
      <c r="B415" s="1" t="n">
        <v>44964</v>
      </c>
      <c r="C415" s="1" t="n">
        <v>45924</v>
      </c>
      <c r="D415" t="inlineStr">
        <is>
          <t>DALARNAS LÄN</t>
        </is>
      </c>
      <c r="E415" t="inlineStr">
        <is>
          <t>ORSA</t>
        </is>
      </c>
      <c r="F415" t="inlineStr">
        <is>
          <t>Bergvik skog öst AB</t>
        </is>
      </c>
      <c r="G415" t="n">
        <v>0.2</v>
      </c>
      <c r="H415" t="n">
        <v>0</v>
      </c>
      <c r="I415" t="n">
        <v>0</v>
      </c>
      <c r="J415" t="n">
        <v>0</v>
      </c>
      <c r="K415" t="n">
        <v>0</v>
      </c>
      <c r="L415" t="n">
        <v>0</v>
      </c>
      <c r="M415" t="n">
        <v>0</v>
      </c>
      <c r="N415" t="n">
        <v>0</v>
      </c>
      <c r="O415" t="n">
        <v>0</v>
      </c>
      <c r="P415" t="n">
        <v>0</v>
      </c>
      <c r="Q415" t="n">
        <v>0</v>
      </c>
      <c r="R415" s="2" t="inlineStr"/>
    </row>
    <row r="416" ht="15" customHeight="1">
      <c r="A416" t="inlineStr">
        <is>
          <t>A 11784-2024</t>
        </is>
      </c>
      <c r="B416" s="1" t="n">
        <v>45374.67886574074</v>
      </c>
      <c r="C416" s="1" t="n">
        <v>45924</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55338-2022</t>
        </is>
      </c>
      <c r="B417" s="1" t="n">
        <v>44887.45185185185</v>
      </c>
      <c r="C417" s="1" t="n">
        <v>45924</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17521-2025</t>
        </is>
      </c>
      <c r="B418" s="1" t="n">
        <v>45757.57952546296</v>
      </c>
      <c r="C418" s="1" t="n">
        <v>45924</v>
      </c>
      <c r="D418" t="inlineStr">
        <is>
          <t>DALARNAS LÄN</t>
        </is>
      </c>
      <c r="E418" t="inlineStr">
        <is>
          <t>ORSA</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23350-2024</t>
        </is>
      </c>
      <c r="B419" s="1" t="n">
        <v>45453</v>
      </c>
      <c r="C419" s="1" t="n">
        <v>45924</v>
      </c>
      <c r="D419" t="inlineStr">
        <is>
          <t>DALARNAS LÄN</t>
        </is>
      </c>
      <c r="E419" t="inlineStr">
        <is>
          <t>ORSA</t>
        </is>
      </c>
      <c r="G419" t="n">
        <v>18.7</v>
      </c>
      <c r="H419" t="n">
        <v>0</v>
      </c>
      <c r="I419" t="n">
        <v>0</v>
      </c>
      <c r="J419" t="n">
        <v>0</v>
      </c>
      <c r="K419" t="n">
        <v>0</v>
      </c>
      <c r="L419" t="n">
        <v>0</v>
      </c>
      <c r="M419" t="n">
        <v>0</v>
      </c>
      <c r="N419" t="n">
        <v>0</v>
      </c>
      <c r="O419" t="n">
        <v>0</v>
      </c>
      <c r="P419" t="n">
        <v>0</v>
      </c>
      <c r="Q419" t="n">
        <v>0</v>
      </c>
      <c r="R419" s="2" t="inlineStr"/>
    </row>
    <row r="420" ht="15" customHeight="1">
      <c r="A420" t="inlineStr">
        <is>
          <t>A 3166-2024</t>
        </is>
      </c>
      <c r="B420" s="1" t="n">
        <v>45316.62592592592</v>
      </c>
      <c r="C420" s="1" t="n">
        <v>45924</v>
      </c>
      <c r="D420" t="inlineStr">
        <is>
          <t>DALARNAS LÄN</t>
        </is>
      </c>
      <c r="E420" t="inlineStr">
        <is>
          <t>ORSA</t>
        </is>
      </c>
      <c r="G420" t="n">
        <v>0.7</v>
      </c>
      <c r="H420" t="n">
        <v>0</v>
      </c>
      <c r="I420" t="n">
        <v>0</v>
      </c>
      <c r="J420" t="n">
        <v>0</v>
      </c>
      <c r="K420" t="n">
        <v>0</v>
      </c>
      <c r="L420" t="n">
        <v>0</v>
      </c>
      <c r="M420" t="n">
        <v>0</v>
      </c>
      <c r="N420" t="n">
        <v>0</v>
      </c>
      <c r="O420" t="n">
        <v>0</v>
      </c>
      <c r="P420" t="n">
        <v>0</v>
      </c>
      <c r="Q420" t="n">
        <v>0</v>
      </c>
      <c r="R420" s="2" t="inlineStr"/>
    </row>
    <row r="421" ht="15" customHeight="1">
      <c r="A421" t="inlineStr">
        <is>
          <t>A 56887-2024</t>
        </is>
      </c>
      <c r="B421" s="1" t="n">
        <v>45628.57388888889</v>
      </c>
      <c r="C421" s="1" t="n">
        <v>45924</v>
      </c>
      <c r="D421" t="inlineStr">
        <is>
          <t>DALARNAS LÄN</t>
        </is>
      </c>
      <c r="E421" t="inlineStr">
        <is>
          <t>ORSA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49814-2023</t>
        </is>
      </c>
      <c r="B422" s="1" t="n">
        <v>45212.67149305555</v>
      </c>
      <c r="C422" s="1" t="n">
        <v>45924</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25591-2022</t>
        </is>
      </c>
      <c r="B423" s="1" t="n">
        <v>44732.67958333333</v>
      </c>
      <c r="C423" s="1" t="n">
        <v>45924</v>
      </c>
      <c r="D423" t="inlineStr">
        <is>
          <t>DALARNAS LÄN</t>
        </is>
      </c>
      <c r="E423" t="inlineStr">
        <is>
          <t>ORSA</t>
        </is>
      </c>
      <c r="G423" t="n">
        <v>6</v>
      </c>
      <c r="H423" t="n">
        <v>0</v>
      </c>
      <c r="I423" t="n">
        <v>0</v>
      </c>
      <c r="J423" t="n">
        <v>0</v>
      </c>
      <c r="K423" t="n">
        <v>0</v>
      </c>
      <c r="L423" t="n">
        <v>0</v>
      </c>
      <c r="M423" t="n">
        <v>0</v>
      </c>
      <c r="N423" t="n">
        <v>0</v>
      </c>
      <c r="O423" t="n">
        <v>0</v>
      </c>
      <c r="P423" t="n">
        <v>0</v>
      </c>
      <c r="Q423" t="n">
        <v>0</v>
      </c>
      <c r="R423" s="2" t="inlineStr"/>
    </row>
    <row r="424" ht="15" customHeight="1">
      <c r="A424" t="inlineStr">
        <is>
          <t>A 67189-2020</t>
        </is>
      </c>
      <c r="B424" s="1" t="n">
        <v>44180</v>
      </c>
      <c r="C424" s="1" t="n">
        <v>45924</v>
      </c>
      <c r="D424" t="inlineStr">
        <is>
          <t>DALARNAS LÄN</t>
        </is>
      </c>
      <c r="E424" t="inlineStr">
        <is>
          <t>ORSA</t>
        </is>
      </c>
      <c r="F424" t="inlineStr">
        <is>
          <t>Allmännings- och besparingsskogar</t>
        </is>
      </c>
      <c r="G424" t="n">
        <v>5</v>
      </c>
      <c r="H424" t="n">
        <v>0</v>
      </c>
      <c r="I424" t="n">
        <v>0</v>
      </c>
      <c r="J424" t="n">
        <v>0</v>
      </c>
      <c r="K424" t="n">
        <v>0</v>
      </c>
      <c r="L424" t="n">
        <v>0</v>
      </c>
      <c r="M424" t="n">
        <v>0</v>
      </c>
      <c r="N424" t="n">
        <v>0</v>
      </c>
      <c r="O424" t="n">
        <v>0</v>
      </c>
      <c r="P424" t="n">
        <v>0</v>
      </c>
      <c r="Q424" t="n">
        <v>0</v>
      </c>
      <c r="R424" s="2" t="inlineStr"/>
    </row>
    <row r="425" ht="15" customHeight="1">
      <c r="A425" t="inlineStr">
        <is>
          <t>A 60189-2022</t>
        </is>
      </c>
      <c r="B425" s="1" t="n">
        <v>44910.36798611111</v>
      </c>
      <c r="C425" s="1" t="n">
        <v>45924</v>
      </c>
      <c r="D425" t="inlineStr">
        <is>
          <t>DALARNAS LÄN</t>
        </is>
      </c>
      <c r="E425" t="inlineStr">
        <is>
          <t>ORSA</t>
        </is>
      </c>
      <c r="F425" t="inlineStr">
        <is>
          <t>Bergvik skog öst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2563-2025</t>
        </is>
      </c>
      <c r="B426" s="1" t="n">
        <v>45674.65692129629</v>
      </c>
      <c r="C426" s="1" t="n">
        <v>45924</v>
      </c>
      <c r="D426" t="inlineStr">
        <is>
          <t>DALARNAS LÄN</t>
        </is>
      </c>
      <c r="E426" t="inlineStr">
        <is>
          <t>ORSA</t>
        </is>
      </c>
      <c r="G426" t="n">
        <v>0.7</v>
      </c>
      <c r="H426" t="n">
        <v>0</v>
      </c>
      <c r="I426" t="n">
        <v>0</v>
      </c>
      <c r="J426" t="n">
        <v>0</v>
      </c>
      <c r="K426" t="n">
        <v>0</v>
      </c>
      <c r="L426" t="n">
        <v>0</v>
      </c>
      <c r="M426" t="n">
        <v>0</v>
      </c>
      <c r="N426" t="n">
        <v>0</v>
      </c>
      <c r="O426" t="n">
        <v>0</v>
      </c>
      <c r="P426" t="n">
        <v>0</v>
      </c>
      <c r="Q426" t="n">
        <v>0</v>
      </c>
      <c r="R426" s="2" t="inlineStr"/>
    </row>
    <row r="427" ht="15" customHeight="1">
      <c r="A427" t="inlineStr">
        <is>
          <t>A 52925-2024</t>
        </is>
      </c>
      <c r="B427" s="1" t="n">
        <v>45610.73276620371</v>
      </c>
      <c r="C427" s="1" t="n">
        <v>45924</v>
      </c>
      <c r="D427" t="inlineStr">
        <is>
          <t>DALARNAS LÄN</t>
        </is>
      </c>
      <c r="E427" t="inlineStr">
        <is>
          <t>ORSA</t>
        </is>
      </c>
      <c r="F427" t="inlineStr">
        <is>
          <t>Allmännings- och besparingsskogar</t>
        </is>
      </c>
      <c r="G427" t="n">
        <v>2.5</v>
      </c>
      <c r="H427" t="n">
        <v>0</v>
      </c>
      <c r="I427" t="n">
        <v>0</v>
      </c>
      <c r="J427" t="n">
        <v>0</v>
      </c>
      <c r="K427" t="n">
        <v>0</v>
      </c>
      <c r="L427" t="n">
        <v>0</v>
      </c>
      <c r="M427" t="n">
        <v>0</v>
      </c>
      <c r="N427" t="n">
        <v>0</v>
      </c>
      <c r="O427" t="n">
        <v>0</v>
      </c>
      <c r="P427" t="n">
        <v>0</v>
      </c>
      <c r="Q427" t="n">
        <v>0</v>
      </c>
      <c r="R427" s="2" t="inlineStr"/>
    </row>
    <row r="428" ht="15" customHeight="1">
      <c r="A428" t="inlineStr">
        <is>
          <t>A 52931-2024</t>
        </is>
      </c>
      <c r="B428" s="1" t="n">
        <v>45610.74833333334</v>
      </c>
      <c r="C428" s="1" t="n">
        <v>45924</v>
      </c>
      <c r="D428" t="inlineStr">
        <is>
          <t>DALARNAS LÄN</t>
        </is>
      </c>
      <c r="E428" t="inlineStr">
        <is>
          <t>ORSA</t>
        </is>
      </c>
      <c r="F428" t="inlineStr">
        <is>
          <t>Allmännings- och besparingsskogar</t>
        </is>
      </c>
      <c r="G428" t="n">
        <v>27.5</v>
      </c>
      <c r="H428" t="n">
        <v>0</v>
      </c>
      <c r="I428" t="n">
        <v>0</v>
      </c>
      <c r="J428" t="n">
        <v>0</v>
      </c>
      <c r="K428" t="n">
        <v>0</v>
      </c>
      <c r="L428" t="n">
        <v>0</v>
      </c>
      <c r="M428" t="n">
        <v>0</v>
      </c>
      <c r="N428" t="n">
        <v>0</v>
      </c>
      <c r="O428" t="n">
        <v>0</v>
      </c>
      <c r="P428" t="n">
        <v>0</v>
      </c>
      <c r="Q428" t="n">
        <v>0</v>
      </c>
      <c r="R428" s="2" t="inlineStr"/>
    </row>
    <row r="429" ht="15" customHeight="1">
      <c r="A429" t="inlineStr">
        <is>
          <t>A 5435-2025</t>
        </is>
      </c>
      <c r="B429" s="1" t="n">
        <v>45692</v>
      </c>
      <c r="C429" s="1" t="n">
        <v>45924</v>
      </c>
      <c r="D429" t="inlineStr">
        <is>
          <t>DALARNAS LÄN</t>
        </is>
      </c>
      <c r="E429" t="inlineStr">
        <is>
          <t>ORSA</t>
        </is>
      </c>
      <c r="G429" t="n">
        <v>7.8</v>
      </c>
      <c r="H429" t="n">
        <v>0</v>
      </c>
      <c r="I429" t="n">
        <v>0</v>
      </c>
      <c r="J429" t="n">
        <v>0</v>
      </c>
      <c r="K429" t="n">
        <v>0</v>
      </c>
      <c r="L429" t="n">
        <v>0</v>
      </c>
      <c r="M429" t="n">
        <v>0</v>
      </c>
      <c r="N429" t="n">
        <v>0</v>
      </c>
      <c r="O429" t="n">
        <v>0</v>
      </c>
      <c r="P429" t="n">
        <v>0</v>
      </c>
      <c r="Q429" t="n">
        <v>0</v>
      </c>
      <c r="R429" s="2" t="inlineStr"/>
    </row>
    <row r="430" ht="15" customHeight="1">
      <c r="A430" t="inlineStr">
        <is>
          <t>A 50742-2023</t>
        </is>
      </c>
      <c r="B430" s="1" t="n">
        <v>45217.58891203703</v>
      </c>
      <c r="C430" s="1" t="n">
        <v>45924</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6476-2025</t>
        </is>
      </c>
      <c r="B431" s="1" t="n">
        <v>45699</v>
      </c>
      <c r="C431" s="1" t="n">
        <v>45924</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6479-2025</t>
        </is>
      </c>
      <c r="B432" s="1" t="n">
        <v>45699</v>
      </c>
      <c r="C432" s="1" t="n">
        <v>45924</v>
      </c>
      <c r="D432" t="inlineStr">
        <is>
          <t>DALARNAS LÄN</t>
        </is>
      </c>
      <c r="E432" t="inlineStr">
        <is>
          <t>ORSA</t>
        </is>
      </c>
      <c r="G432" t="n">
        <v>3.2</v>
      </c>
      <c r="H432" t="n">
        <v>0</v>
      </c>
      <c r="I432" t="n">
        <v>0</v>
      </c>
      <c r="J432" t="n">
        <v>0</v>
      </c>
      <c r="K432" t="n">
        <v>0</v>
      </c>
      <c r="L432" t="n">
        <v>0</v>
      </c>
      <c r="M432" t="n">
        <v>0</v>
      </c>
      <c r="N432" t="n">
        <v>0</v>
      </c>
      <c r="O432" t="n">
        <v>0</v>
      </c>
      <c r="P432" t="n">
        <v>0</v>
      </c>
      <c r="Q432" t="n">
        <v>0</v>
      </c>
      <c r="R432" s="2" t="inlineStr"/>
    </row>
    <row r="433" ht="15" customHeight="1">
      <c r="A433" t="inlineStr">
        <is>
          <t>A 56807-2024</t>
        </is>
      </c>
      <c r="B433" s="1" t="n">
        <v>45628.47519675926</v>
      </c>
      <c r="C433" s="1" t="n">
        <v>45924</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52643-2024</t>
        </is>
      </c>
      <c r="B434" s="1" t="n">
        <v>45610.34175925926</v>
      </c>
      <c r="C434" s="1" t="n">
        <v>45924</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47732-2021</t>
        </is>
      </c>
      <c r="B435" s="1" t="n">
        <v>44448.52815972222</v>
      </c>
      <c r="C435" s="1" t="n">
        <v>45924</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31170-2023</t>
        </is>
      </c>
      <c r="B436" s="1" t="n">
        <v>45113.84923611111</v>
      </c>
      <c r="C436" s="1" t="n">
        <v>45924</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31171-2023</t>
        </is>
      </c>
      <c r="B437" s="1" t="n">
        <v>45113.85704861111</v>
      </c>
      <c r="C437" s="1" t="n">
        <v>45924</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40101-2024</t>
        </is>
      </c>
      <c r="B438" s="1" t="n">
        <v>45554.42622685185</v>
      </c>
      <c r="C438" s="1" t="n">
        <v>45924</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17503-2025</t>
        </is>
      </c>
      <c r="B439" s="1" t="n">
        <v>45757.55321759259</v>
      </c>
      <c r="C439" s="1" t="n">
        <v>45924</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37830-2024</t>
        </is>
      </c>
      <c r="B440" s="1" t="n">
        <v>45544.34504629629</v>
      </c>
      <c r="C440" s="1" t="n">
        <v>45924</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21905-2022</t>
        </is>
      </c>
      <c r="B441" s="1" t="n">
        <v>44711</v>
      </c>
      <c r="C441" s="1" t="n">
        <v>45924</v>
      </c>
      <c r="D441" t="inlineStr">
        <is>
          <t>DALARNAS LÄN</t>
        </is>
      </c>
      <c r="E441" t="inlineStr">
        <is>
          <t>ORSA</t>
        </is>
      </c>
      <c r="F441" t="inlineStr">
        <is>
          <t>Allmännings- och besparingsskogar</t>
        </is>
      </c>
      <c r="G441" t="n">
        <v>3.1</v>
      </c>
      <c r="H441" t="n">
        <v>0</v>
      </c>
      <c r="I441" t="n">
        <v>0</v>
      </c>
      <c r="J441" t="n">
        <v>0</v>
      </c>
      <c r="K441" t="n">
        <v>0</v>
      </c>
      <c r="L441" t="n">
        <v>0</v>
      </c>
      <c r="M441" t="n">
        <v>0</v>
      </c>
      <c r="N441" t="n">
        <v>0</v>
      </c>
      <c r="O441" t="n">
        <v>0</v>
      </c>
      <c r="P441" t="n">
        <v>0</v>
      </c>
      <c r="Q441" t="n">
        <v>0</v>
      </c>
      <c r="R441" s="2" t="inlineStr"/>
    </row>
    <row r="442" ht="15" customHeight="1">
      <c r="A442" t="inlineStr">
        <is>
          <t>A 48516-2024</t>
        </is>
      </c>
      <c r="B442" s="1" t="n">
        <v>45593.31292824074</v>
      </c>
      <c r="C442" s="1" t="n">
        <v>45924</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48521-2024</t>
        </is>
      </c>
      <c r="B443" s="1" t="n">
        <v>45593.32871527778</v>
      </c>
      <c r="C443" s="1" t="n">
        <v>45924</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48525-2024</t>
        </is>
      </c>
      <c r="B444" s="1" t="n">
        <v>45593.33947916667</v>
      </c>
      <c r="C444" s="1" t="n">
        <v>45924</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41832-2024</t>
        </is>
      </c>
      <c r="B445" s="1" t="n">
        <v>45561.40730324074</v>
      </c>
      <c r="C445" s="1" t="n">
        <v>45924</v>
      </c>
      <c r="D445" t="inlineStr">
        <is>
          <t>DALARNAS LÄN</t>
        </is>
      </c>
      <c r="E445" t="inlineStr">
        <is>
          <t>ORSA</t>
        </is>
      </c>
      <c r="G445" t="n">
        <v>0.5</v>
      </c>
      <c r="H445" t="n">
        <v>0</v>
      </c>
      <c r="I445" t="n">
        <v>0</v>
      </c>
      <c r="J445" t="n">
        <v>0</v>
      </c>
      <c r="K445" t="n">
        <v>0</v>
      </c>
      <c r="L445" t="n">
        <v>0</v>
      </c>
      <c r="M445" t="n">
        <v>0</v>
      </c>
      <c r="N445" t="n">
        <v>0</v>
      </c>
      <c r="O445" t="n">
        <v>0</v>
      </c>
      <c r="P445" t="n">
        <v>0</v>
      </c>
      <c r="Q445" t="n">
        <v>0</v>
      </c>
      <c r="R445" s="2" t="inlineStr"/>
    </row>
    <row r="446" ht="15" customHeight="1">
      <c r="A446" t="inlineStr">
        <is>
          <t>A 53758-2024</t>
        </is>
      </c>
      <c r="B446" s="1" t="n">
        <v>45615.50483796297</v>
      </c>
      <c r="C446" s="1" t="n">
        <v>45924</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50734-2023</t>
        </is>
      </c>
      <c r="B447" s="1" t="n">
        <v>45217.58043981482</v>
      </c>
      <c r="C447" s="1" t="n">
        <v>45924</v>
      </c>
      <c r="D447" t="inlineStr">
        <is>
          <t>DALARNAS LÄN</t>
        </is>
      </c>
      <c r="E447" t="inlineStr">
        <is>
          <t>ORSA</t>
        </is>
      </c>
      <c r="G447" t="n">
        <v>0.9</v>
      </c>
      <c r="H447" t="n">
        <v>0</v>
      </c>
      <c r="I447" t="n">
        <v>0</v>
      </c>
      <c r="J447" t="n">
        <v>0</v>
      </c>
      <c r="K447" t="n">
        <v>0</v>
      </c>
      <c r="L447" t="n">
        <v>0</v>
      </c>
      <c r="M447" t="n">
        <v>0</v>
      </c>
      <c r="N447" t="n">
        <v>0</v>
      </c>
      <c r="O447" t="n">
        <v>0</v>
      </c>
      <c r="P447" t="n">
        <v>0</v>
      </c>
      <c r="Q447" t="n">
        <v>0</v>
      </c>
      <c r="R447" s="2" t="inlineStr"/>
    </row>
    <row r="448" ht="15" customHeight="1">
      <c r="A448" t="inlineStr">
        <is>
          <t>A 27163-2023</t>
        </is>
      </c>
      <c r="B448" s="1" t="n">
        <v>45096.4878125</v>
      </c>
      <c r="C448" s="1" t="n">
        <v>45924</v>
      </c>
      <c r="D448" t="inlineStr">
        <is>
          <t>DALARNAS LÄN</t>
        </is>
      </c>
      <c r="E448" t="inlineStr">
        <is>
          <t>ORSA</t>
        </is>
      </c>
      <c r="F448" t="inlineStr">
        <is>
          <t>Bergvik skog öst AB</t>
        </is>
      </c>
      <c r="G448" t="n">
        <v>0.5</v>
      </c>
      <c r="H448" t="n">
        <v>0</v>
      </c>
      <c r="I448" t="n">
        <v>0</v>
      </c>
      <c r="J448" t="n">
        <v>0</v>
      </c>
      <c r="K448" t="n">
        <v>0</v>
      </c>
      <c r="L448" t="n">
        <v>0</v>
      </c>
      <c r="M448" t="n">
        <v>0</v>
      </c>
      <c r="N448" t="n">
        <v>0</v>
      </c>
      <c r="O448" t="n">
        <v>0</v>
      </c>
      <c r="P448" t="n">
        <v>0</v>
      </c>
      <c r="Q448" t="n">
        <v>0</v>
      </c>
      <c r="R448" s="2" t="inlineStr"/>
    </row>
    <row r="449" ht="15" customHeight="1">
      <c r="A449" t="inlineStr">
        <is>
          <t>A 22022-2022</t>
        </is>
      </c>
      <c r="B449" s="1" t="n">
        <v>44711.60145833333</v>
      </c>
      <c r="C449" s="1" t="n">
        <v>45924</v>
      </c>
      <c r="D449" t="inlineStr">
        <is>
          <t>DALARNAS LÄN</t>
        </is>
      </c>
      <c r="E449" t="inlineStr">
        <is>
          <t>ORSA</t>
        </is>
      </c>
      <c r="F449" t="inlineStr">
        <is>
          <t>Bergvik skog öst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56810-2024</t>
        </is>
      </c>
      <c r="B450" s="1" t="n">
        <v>45628</v>
      </c>
      <c r="C450" s="1" t="n">
        <v>45924</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56811-2024</t>
        </is>
      </c>
      <c r="B451" s="1" t="n">
        <v>45628</v>
      </c>
      <c r="C451" s="1" t="n">
        <v>45924</v>
      </c>
      <c r="D451" t="inlineStr">
        <is>
          <t>DALARNAS LÄN</t>
        </is>
      </c>
      <c r="E451" t="inlineStr">
        <is>
          <t>ORSA</t>
        </is>
      </c>
      <c r="G451" t="n">
        <v>1.3</v>
      </c>
      <c r="H451" t="n">
        <v>0</v>
      </c>
      <c r="I451" t="n">
        <v>0</v>
      </c>
      <c r="J451" t="n">
        <v>0</v>
      </c>
      <c r="K451" t="n">
        <v>0</v>
      </c>
      <c r="L451" t="n">
        <v>0</v>
      </c>
      <c r="M451" t="n">
        <v>0</v>
      </c>
      <c r="N451" t="n">
        <v>0</v>
      </c>
      <c r="O451" t="n">
        <v>0</v>
      </c>
      <c r="P451" t="n">
        <v>0</v>
      </c>
      <c r="Q451" t="n">
        <v>0</v>
      </c>
      <c r="R451" s="2" t="inlineStr"/>
    </row>
    <row r="452" ht="15" customHeight="1">
      <c r="A452" t="inlineStr">
        <is>
          <t>A 56803-2024</t>
        </is>
      </c>
      <c r="B452" s="1" t="n">
        <v>45628.47212962963</v>
      </c>
      <c r="C452" s="1" t="n">
        <v>45924</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9836-2022</t>
        </is>
      </c>
      <c r="B453" s="1" t="n">
        <v>44620</v>
      </c>
      <c r="C453" s="1" t="n">
        <v>45924</v>
      </c>
      <c r="D453" t="inlineStr">
        <is>
          <t>DALARNAS LÄN</t>
        </is>
      </c>
      <c r="E453" t="inlineStr">
        <is>
          <t>ORSA</t>
        </is>
      </c>
      <c r="G453" t="n">
        <v>1</v>
      </c>
      <c r="H453" t="n">
        <v>0</v>
      </c>
      <c r="I453" t="n">
        <v>0</v>
      </c>
      <c r="J453" t="n">
        <v>0</v>
      </c>
      <c r="K453" t="n">
        <v>0</v>
      </c>
      <c r="L453" t="n">
        <v>0</v>
      </c>
      <c r="M453" t="n">
        <v>0</v>
      </c>
      <c r="N453" t="n">
        <v>0</v>
      </c>
      <c r="O453" t="n">
        <v>0</v>
      </c>
      <c r="P453" t="n">
        <v>0</v>
      </c>
      <c r="Q453" t="n">
        <v>0</v>
      </c>
      <c r="R453" s="2" t="inlineStr"/>
    </row>
    <row r="454" ht="15" customHeight="1">
      <c r="A454" t="inlineStr">
        <is>
          <t>A 890-2024</t>
        </is>
      </c>
      <c r="B454" s="1" t="n">
        <v>45301.40552083333</v>
      </c>
      <c r="C454" s="1" t="n">
        <v>45924</v>
      </c>
      <c r="D454" t="inlineStr">
        <is>
          <t>DALARNAS LÄN</t>
        </is>
      </c>
      <c r="E454" t="inlineStr">
        <is>
          <t>ORSA</t>
        </is>
      </c>
      <c r="G454" t="n">
        <v>2.5</v>
      </c>
      <c r="H454" t="n">
        <v>0</v>
      </c>
      <c r="I454" t="n">
        <v>0</v>
      </c>
      <c r="J454" t="n">
        <v>0</v>
      </c>
      <c r="K454" t="n">
        <v>0</v>
      </c>
      <c r="L454" t="n">
        <v>0</v>
      </c>
      <c r="M454" t="n">
        <v>0</v>
      </c>
      <c r="N454" t="n">
        <v>0</v>
      </c>
      <c r="O454" t="n">
        <v>0</v>
      </c>
      <c r="P454" t="n">
        <v>0</v>
      </c>
      <c r="Q454" t="n">
        <v>0</v>
      </c>
      <c r="R454" s="2" t="inlineStr"/>
    </row>
    <row r="455" ht="15" customHeight="1">
      <c r="A455" t="inlineStr">
        <is>
          <t>A 20808-2025</t>
        </is>
      </c>
      <c r="B455" s="1" t="n">
        <v>45776</v>
      </c>
      <c r="C455" s="1" t="n">
        <v>45924</v>
      </c>
      <c r="D455" t="inlineStr">
        <is>
          <t>DALARNAS LÄN</t>
        </is>
      </c>
      <c r="E455" t="inlineStr">
        <is>
          <t>ORSA</t>
        </is>
      </c>
      <c r="F455" t="inlineStr">
        <is>
          <t>Bergvik skog väst AB</t>
        </is>
      </c>
      <c r="G455" t="n">
        <v>14.3</v>
      </c>
      <c r="H455" t="n">
        <v>0</v>
      </c>
      <c r="I455" t="n">
        <v>0</v>
      </c>
      <c r="J455" t="n">
        <v>0</v>
      </c>
      <c r="K455" t="n">
        <v>0</v>
      </c>
      <c r="L455" t="n">
        <v>0</v>
      </c>
      <c r="M455" t="n">
        <v>0</v>
      </c>
      <c r="N455" t="n">
        <v>0</v>
      </c>
      <c r="O455" t="n">
        <v>0</v>
      </c>
      <c r="P455" t="n">
        <v>0</v>
      </c>
      <c r="Q455" t="n">
        <v>0</v>
      </c>
      <c r="R455" s="2" t="inlineStr"/>
    </row>
    <row r="456" ht="15" customHeight="1">
      <c r="A456" t="inlineStr">
        <is>
          <t>A 21747-2025</t>
        </is>
      </c>
      <c r="B456" s="1" t="n">
        <v>45783.60923611111</v>
      </c>
      <c r="C456" s="1" t="n">
        <v>45924</v>
      </c>
      <c r="D456" t="inlineStr">
        <is>
          <t>DALARNAS LÄN</t>
        </is>
      </c>
      <c r="E456" t="inlineStr">
        <is>
          <t>ORSA</t>
        </is>
      </c>
      <c r="G456" t="n">
        <v>1.2</v>
      </c>
      <c r="H456" t="n">
        <v>0</v>
      </c>
      <c r="I456" t="n">
        <v>0</v>
      </c>
      <c r="J456" t="n">
        <v>0</v>
      </c>
      <c r="K456" t="n">
        <v>0</v>
      </c>
      <c r="L456" t="n">
        <v>0</v>
      </c>
      <c r="M456" t="n">
        <v>0</v>
      </c>
      <c r="N456" t="n">
        <v>0</v>
      </c>
      <c r="O456" t="n">
        <v>0</v>
      </c>
      <c r="P456" t="n">
        <v>0</v>
      </c>
      <c r="Q456" t="n">
        <v>0</v>
      </c>
      <c r="R456" s="2" t="inlineStr"/>
    </row>
    <row r="457" ht="15" customHeight="1">
      <c r="A457" t="inlineStr">
        <is>
          <t>A 21376-2025</t>
        </is>
      </c>
      <c r="B457" s="1" t="n">
        <v>45782.45069444444</v>
      </c>
      <c r="C457" s="1" t="n">
        <v>45924</v>
      </c>
      <c r="D457" t="inlineStr">
        <is>
          <t>DALARNAS LÄN</t>
        </is>
      </c>
      <c r="E457" t="inlineStr">
        <is>
          <t>ORSA</t>
        </is>
      </c>
      <c r="G457" t="n">
        <v>4.6</v>
      </c>
      <c r="H457" t="n">
        <v>0</v>
      </c>
      <c r="I457" t="n">
        <v>0</v>
      </c>
      <c r="J457" t="n">
        <v>0</v>
      </c>
      <c r="K457" t="n">
        <v>0</v>
      </c>
      <c r="L457" t="n">
        <v>0</v>
      </c>
      <c r="M457" t="n">
        <v>0</v>
      </c>
      <c r="N457" t="n">
        <v>0</v>
      </c>
      <c r="O457" t="n">
        <v>0</v>
      </c>
      <c r="P457" t="n">
        <v>0</v>
      </c>
      <c r="Q457" t="n">
        <v>0</v>
      </c>
      <c r="R457" s="2" t="inlineStr"/>
    </row>
    <row r="458" ht="15" customHeight="1">
      <c r="A458" t="inlineStr">
        <is>
          <t>A 21335-2025</t>
        </is>
      </c>
      <c r="B458" s="1" t="n">
        <v>45782.37519675926</v>
      </c>
      <c r="C458" s="1" t="n">
        <v>45924</v>
      </c>
      <c r="D458" t="inlineStr">
        <is>
          <t>DALARNAS LÄN</t>
        </is>
      </c>
      <c r="E458" t="inlineStr">
        <is>
          <t>ORSA</t>
        </is>
      </c>
      <c r="F458" t="inlineStr">
        <is>
          <t>Bergvik skog väst AB</t>
        </is>
      </c>
      <c r="G458" t="n">
        <v>14.3</v>
      </c>
      <c r="H458" t="n">
        <v>0</v>
      </c>
      <c r="I458" t="n">
        <v>0</v>
      </c>
      <c r="J458" t="n">
        <v>0</v>
      </c>
      <c r="K458" t="n">
        <v>0</v>
      </c>
      <c r="L458" t="n">
        <v>0</v>
      </c>
      <c r="M458" t="n">
        <v>0</v>
      </c>
      <c r="N458" t="n">
        <v>0</v>
      </c>
      <c r="O458" t="n">
        <v>0</v>
      </c>
      <c r="P458" t="n">
        <v>0</v>
      </c>
      <c r="Q458" t="n">
        <v>0</v>
      </c>
      <c r="R458" s="2" t="inlineStr"/>
    </row>
    <row r="459" ht="15" customHeight="1">
      <c r="A459" t="inlineStr">
        <is>
          <t>A 10004-2023</t>
        </is>
      </c>
      <c r="B459" s="1" t="n">
        <v>44985.60604166667</v>
      </c>
      <c r="C459" s="1" t="n">
        <v>45924</v>
      </c>
      <c r="D459" t="inlineStr">
        <is>
          <t>DALARNAS LÄN</t>
        </is>
      </c>
      <c r="E459" t="inlineStr">
        <is>
          <t>ORSA</t>
        </is>
      </c>
      <c r="G459" t="n">
        <v>2.1</v>
      </c>
      <c r="H459" t="n">
        <v>0</v>
      </c>
      <c r="I459" t="n">
        <v>0</v>
      </c>
      <c r="J459" t="n">
        <v>0</v>
      </c>
      <c r="K459" t="n">
        <v>0</v>
      </c>
      <c r="L459" t="n">
        <v>0</v>
      </c>
      <c r="M459" t="n">
        <v>0</v>
      </c>
      <c r="N459" t="n">
        <v>0</v>
      </c>
      <c r="O459" t="n">
        <v>0</v>
      </c>
      <c r="P459" t="n">
        <v>0</v>
      </c>
      <c r="Q459" t="n">
        <v>0</v>
      </c>
      <c r="R459" s="2" t="inlineStr"/>
    </row>
    <row r="460" ht="15" customHeight="1">
      <c r="A460" t="inlineStr">
        <is>
          <t>A 879-2024</t>
        </is>
      </c>
      <c r="B460" s="1" t="n">
        <v>45301.36821759259</v>
      </c>
      <c r="C460" s="1" t="n">
        <v>45924</v>
      </c>
      <c r="D460" t="inlineStr">
        <is>
          <t>DALARNAS LÄN</t>
        </is>
      </c>
      <c r="E460" t="inlineStr">
        <is>
          <t>ORSA</t>
        </is>
      </c>
      <c r="G460" t="n">
        <v>2.1</v>
      </c>
      <c r="H460" t="n">
        <v>0</v>
      </c>
      <c r="I460" t="n">
        <v>0</v>
      </c>
      <c r="J460" t="n">
        <v>0</v>
      </c>
      <c r="K460" t="n">
        <v>0</v>
      </c>
      <c r="L460" t="n">
        <v>0</v>
      </c>
      <c r="M460" t="n">
        <v>0</v>
      </c>
      <c r="N460" t="n">
        <v>0</v>
      </c>
      <c r="O460" t="n">
        <v>0</v>
      </c>
      <c r="P460" t="n">
        <v>0</v>
      </c>
      <c r="Q460" t="n">
        <v>0</v>
      </c>
      <c r="R460" s="2" t="inlineStr"/>
    </row>
    <row r="461" ht="15" customHeight="1">
      <c r="A461" t="inlineStr">
        <is>
          <t>A 41835-2024</t>
        </is>
      </c>
      <c r="B461" s="1" t="n">
        <v>45561.40888888889</v>
      </c>
      <c r="C461" s="1" t="n">
        <v>45924</v>
      </c>
      <c r="D461" t="inlineStr">
        <is>
          <t>DALARNAS LÄN</t>
        </is>
      </c>
      <c r="E461" t="inlineStr">
        <is>
          <t>ORSA</t>
        </is>
      </c>
      <c r="G461" t="n">
        <v>0.7</v>
      </c>
      <c r="H461" t="n">
        <v>0</v>
      </c>
      <c r="I461" t="n">
        <v>0</v>
      </c>
      <c r="J461" t="n">
        <v>0</v>
      </c>
      <c r="K461" t="n">
        <v>0</v>
      </c>
      <c r="L461" t="n">
        <v>0</v>
      </c>
      <c r="M461" t="n">
        <v>0</v>
      </c>
      <c r="N461" t="n">
        <v>0</v>
      </c>
      <c r="O461" t="n">
        <v>0</v>
      </c>
      <c r="P461" t="n">
        <v>0</v>
      </c>
      <c r="Q461" t="n">
        <v>0</v>
      </c>
      <c r="R461" s="2" t="inlineStr"/>
    </row>
    <row r="462" ht="15" customHeight="1">
      <c r="A462" t="inlineStr">
        <is>
          <t>A 4566-2025</t>
        </is>
      </c>
      <c r="B462" s="1" t="n">
        <v>45687.46100694445</v>
      </c>
      <c r="C462" s="1" t="n">
        <v>45924</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29984-2025</t>
        </is>
      </c>
      <c r="B463" s="1" t="n">
        <v>45826.49581018519</v>
      </c>
      <c r="C463" s="1" t="n">
        <v>45924</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21949-2025</t>
        </is>
      </c>
      <c r="B464" s="1" t="n">
        <v>45784.59369212963</v>
      </c>
      <c r="C464" s="1" t="n">
        <v>45924</v>
      </c>
      <c r="D464" t="inlineStr">
        <is>
          <t>DALARNAS LÄN</t>
        </is>
      </c>
      <c r="E464" t="inlineStr">
        <is>
          <t>ORSA</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21165-2024</t>
        </is>
      </c>
      <c r="B465" s="1" t="n">
        <v>45440.45225694445</v>
      </c>
      <c r="C465" s="1" t="n">
        <v>45924</v>
      </c>
      <c r="D465" t="inlineStr">
        <is>
          <t>DALARNAS LÄN</t>
        </is>
      </c>
      <c r="E465" t="inlineStr">
        <is>
          <t>ORSA</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22332-2025</t>
        </is>
      </c>
      <c r="B466" s="1" t="n">
        <v>45786.43436342593</v>
      </c>
      <c r="C466" s="1" t="n">
        <v>45924</v>
      </c>
      <c r="D466" t="inlineStr">
        <is>
          <t>DALARNAS LÄN</t>
        </is>
      </c>
      <c r="E466" t="inlineStr">
        <is>
          <t>ORSA</t>
        </is>
      </c>
      <c r="G466" t="n">
        <v>5.5</v>
      </c>
      <c r="H466" t="n">
        <v>0</v>
      </c>
      <c r="I466" t="n">
        <v>0</v>
      </c>
      <c r="J466" t="n">
        <v>0</v>
      </c>
      <c r="K466" t="n">
        <v>0</v>
      </c>
      <c r="L466" t="n">
        <v>0</v>
      </c>
      <c r="M466" t="n">
        <v>0</v>
      </c>
      <c r="N466" t="n">
        <v>0</v>
      </c>
      <c r="O466" t="n">
        <v>0</v>
      </c>
      <c r="P466" t="n">
        <v>0</v>
      </c>
      <c r="Q466" t="n">
        <v>0</v>
      </c>
      <c r="R466" s="2" t="inlineStr"/>
    </row>
    <row r="467" ht="15" customHeight="1">
      <c r="A467" t="inlineStr">
        <is>
          <t>A 44904-2024</t>
        </is>
      </c>
      <c r="B467" s="1" t="n">
        <v>45575.38193287037</v>
      </c>
      <c r="C467" s="1" t="n">
        <v>45924</v>
      </c>
      <c r="D467" t="inlineStr">
        <is>
          <t>DALARNAS LÄN</t>
        </is>
      </c>
      <c r="E467" t="inlineStr">
        <is>
          <t>ORSA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22487-2025</t>
        </is>
      </c>
      <c r="B468" s="1" t="n">
        <v>45786.64663194444</v>
      </c>
      <c r="C468" s="1" t="n">
        <v>45924</v>
      </c>
      <c r="D468" t="inlineStr">
        <is>
          <t>DALARNAS LÄN</t>
        </is>
      </c>
      <c r="E468" t="inlineStr">
        <is>
          <t>ORSA</t>
        </is>
      </c>
      <c r="F468" t="inlineStr">
        <is>
          <t>Bergvik skog öst AB</t>
        </is>
      </c>
      <c r="G468" t="n">
        <v>17.8</v>
      </c>
      <c r="H468" t="n">
        <v>0</v>
      </c>
      <c r="I468" t="n">
        <v>0</v>
      </c>
      <c r="J468" t="n">
        <v>0</v>
      </c>
      <c r="K468" t="n">
        <v>0</v>
      </c>
      <c r="L468" t="n">
        <v>0</v>
      </c>
      <c r="M468" t="n">
        <v>0</v>
      </c>
      <c r="N468" t="n">
        <v>0</v>
      </c>
      <c r="O468" t="n">
        <v>0</v>
      </c>
      <c r="P468" t="n">
        <v>0</v>
      </c>
      <c r="Q468" t="n">
        <v>0</v>
      </c>
      <c r="R468" s="2" t="inlineStr"/>
    </row>
    <row r="469" ht="15" customHeight="1">
      <c r="A469" t="inlineStr">
        <is>
          <t>A 22491-2025</t>
        </is>
      </c>
      <c r="B469" s="1" t="n">
        <v>45786.65040509259</v>
      </c>
      <c r="C469" s="1" t="n">
        <v>45924</v>
      </c>
      <c r="D469" t="inlineStr">
        <is>
          <t>DALARNAS LÄN</t>
        </is>
      </c>
      <c r="E469" t="inlineStr">
        <is>
          <t>ORSA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55843-2023</t>
        </is>
      </c>
      <c r="B470" s="1" t="n">
        <v>45239</v>
      </c>
      <c r="C470" s="1" t="n">
        <v>45924</v>
      </c>
      <c r="D470" t="inlineStr">
        <is>
          <t>DALARNAS LÄN</t>
        </is>
      </c>
      <c r="E470" t="inlineStr">
        <is>
          <t>ORSA</t>
        </is>
      </c>
      <c r="G470" t="n">
        <v>2.4</v>
      </c>
      <c r="H470" t="n">
        <v>0</v>
      </c>
      <c r="I470" t="n">
        <v>0</v>
      </c>
      <c r="J470" t="n">
        <v>0</v>
      </c>
      <c r="K470" t="n">
        <v>0</v>
      </c>
      <c r="L470" t="n">
        <v>0</v>
      </c>
      <c r="M470" t="n">
        <v>0</v>
      </c>
      <c r="N470" t="n">
        <v>0</v>
      </c>
      <c r="O470" t="n">
        <v>0</v>
      </c>
      <c r="P470" t="n">
        <v>0</v>
      </c>
      <c r="Q470" t="n">
        <v>0</v>
      </c>
      <c r="R470" s="2" t="inlineStr"/>
    </row>
    <row r="471" ht="15" customHeight="1">
      <c r="A471" t="inlineStr">
        <is>
          <t>A 22482-2025</t>
        </is>
      </c>
      <c r="B471" s="1" t="n">
        <v>45786.63901620371</v>
      </c>
      <c r="C471" s="1" t="n">
        <v>45924</v>
      </c>
      <c r="D471" t="inlineStr">
        <is>
          <t>DALARNAS LÄN</t>
        </is>
      </c>
      <c r="E471" t="inlineStr">
        <is>
          <t>ORSA</t>
        </is>
      </c>
      <c r="F471" t="inlineStr">
        <is>
          <t>Bergvik skog öst AB</t>
        </is>
      </c>
      <c r="G471" t="n">
        <v>6.7</v>
      </c>
      <c r="H471" t="n">
        <v>0</v>
      </c>
      <c r="I471" t="n">
        <v>0</v>
      </c>
      <c r="J471" t="n">
        <v>0</v>
      </c>
      <c r="K471" t="n">
        <v>0</v>
      </c>
      <c r="L471" t="n">
        <v>0</v>
      </c>
      <c r="M471" t="n">
        <v>0</v>
      </c>
      <c r="N471" t="n">
        <v>0</v>
      </c>
      <c r="O471" t="n">
        <v>0</v>
      </c>
      <c r="P471" t="n">
        <v>0</v>
      </c>
      <c r="Q471" t="n">
        <v>0</v>
      </c>
      <c r="R471" s="2" t="inlineStr"/>
    </row>
    <row r="472" ht="15" customHeight="1">
      <c r="A472" t="inlineStr">
        <is>
          <t>A 23056-2025</t>
        </is>
      </c>
      <c r="B472" s="1" t="n">
        <v>45790.73627314815</v>
      </c>
      <c r="C472" s="1" t="n">
        <v>45924</v>
      </c>
      <c r="D472" t="inlineStr">
        <is>
          <t>DALARNAS LÄN</t>
        </is>
      </c>
      <c r="E472" t="inlineStr">
        <is>
          <t>ORSA</t>
        </is>
      </c>
      <c r="G472" t="n">
        <v>0.5</v>
      </c>
      <c r="H472" t="n">
        <v>0</v>
      </c>
      <c r="I472" t="n">
        <v>0</v>
      </c>
      <c r="J472" t="n">
        <v>0</v>
      </c>
      <c r="K472" t="n">
        <v>0</v>
      </c>
      <c r="L472" t="n">
        <v>0</v>
      </c>
      <c r="M472" t="n">
        <v>0</v>
      </c>
      <c r="N472" t="n">
        <v>0</v>
      </c>
      <c r="O472" t="n">
        <v>0</v>
      </c>
      <c r="P472" t="n">
        <v>0</v>
      </c>
      <c r="Q472" t="n">
        <v>0</v>
      </c>
      <c r="R472" s="2" t="inlineStr"/>
    </row>
    <row r="473" ht="15" customHeight="1">
      <c r="A473" t="inlineStr">
        <is>
          <t>A 23015-2025</t>
        </is>
      </c>
      <c r="B473" s="1" t="n">
        <v>45790.6377662037</v>
      </c>
      <c r="C473" s="1" t="n">
        <v>45924</v>
      </c>
      <c r="D473" t="inlineStr">
        <is>
          <t>DALARNAS LÄN</t>
        </is>
      </c>
      <c r="E473" t="inlineStr">
        <is>
          <t>ORSA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58549-2023</t>
        </is>
      </c>
      <c r="B474" s="1" t="n">
        <v>45251.42627314815</v>
      </c>
      <c r="C474" s="1" t="n">
        <v>45924</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23053-2025</t>
        </is>
      </c>
      <c r="B475" s="1" t="n">
        <v>45790.73072916667</v>
      </c>
      <c r="C475" s="1" t="n">
        <v>45924</v>
      </c>
      <c r="D475" t="inlineStr">
        <is>
          <t>DALARNAS LÄN</t>
        </is>
      </c>
      <c r="E475" t="inlineStr">
        <is>
          <t>ORSA</t>
        </is>
      </c>
      <c r="G475" t="n">
        <v>3.3</v>
      </c>
      <c r="H475" t="n">
        <v>0</v>
      </c>
      <c r="I475" t="n">
        <v>0</v>
      </c>
      <c r="J475" t="n">
        <v>0</v>
      </c>
      <c r="K475" t="n">
        <v>0</v>
      </c>
      <c r="L475" t="n">
        <v>0</v>
      </c>
      <c r="M475" t="n">
        <v>0</v>
      </c>
      <c r="N475" t="n">
        <v>0</v>
      </c>
      <c r="O475" t="n">
        <v>0</v>
      </c>
      <c r="P475" t="n">
        <v>0</v>
      </c>
      <c r="Q475" t="n">
        <v>0</v>
      </c>
      <c r="R475" s="2" t="inlineStr"/>
    </row>
    <row r="476" ht="15" customHeight="1">
      <c r="A476" t="inlineStr">
        <is>
          <t>A 62289-2023</t>
        </is>
      </c>
      <c r="B476" s="1" t="n">
        <v>45266</v>
      </c>
      <c r="C476" s="1" t="n">
        <v>45924</v>
      </c>
      <c r="D476" t="inlineStr">
        <is>
          <t>DALARNAS LÄN</t>
        </is>
      </c>
      <c r="E476" t="inlineStr">
        <is>
          <t>ORSA</t>
        </is>
      </c>
      <c r="G476" t="n">
        <v>1.9</v>
      </c>
      <c r="H476" t="n">
        <v>0</v>
      </c>
      <c r="I476" t="n">
        <v>0</v>
      </c>
      <c r="J476" t="n">
        <v>0</v>
      </c>
      <c r="K476" t="n">
        <v>0</v>
      </c>
      <c r="L476" t="n">
        <v>0</v>
      </c>
      <c r="M476" t="n">
        <v>0</v>
      </c>
      <c r="N476" t="n">
        <v>0</v>
      </c>
      <c r="O476" t="n">
        <v>0</v>
      </c>
      <c r="P476" t="n">
        <v>0</v>
      </c>
      <c r="Q476" t="n">
        <v>0</v>
      </c>
      <c r="R476" s="2" t="inlineStr"/>
    </row>
    <row r="477" ht="15" customHeight="1">
      <c r="A477" t="inlineStr">
        <is>
          <t>A 23055-2025</t>
        </is>
      </c>
      <c r="B477" s="1" t="n">
        <v>45790.73469907408</v>
      </c>
      <c r="C477" s="1" t="n">
        <v>45924</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23057-2025</t>
        </is>
      </c>
      <c r="B478" s="1" t="n">
        <v>45790.73820601852</v>
      </c>
      <c r="C478" s="1" t="n">
        <v>45924</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5302-2024</t>
        </is>
      </c>
      <c r="B479" s="1" t="n">
        <v>45331.38175925926</v>
      </c>
      <c r="C479" s="1" t="n">
        <v>45924</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23740-2025</t>
        </is>
      </c>
      <c r="B480" s="1" t="n">
        <v>45793.43210648148</v>
      </c>
      <c r="C480" s="1" t="n">
        <v>45924</v>
      </c>
      <c r="D480" t="inlineStr">
        <is>
          <t>DALARNAS LÄN</t>
        </is>
      </c>
      <c r="E480" t="inlineStr">
        <is>
          <t>ORSA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23875-2025</t>
        </is>
      </c>
      <c r="B481" s="1" t="n">
        <v>45793.68313657407</v>
      </c>
      <c r="C481" s="1" t="n">
        <v>45924</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5434-2025</t>
        </is>
      </c>
      <c r="B482" s="1" t="n">
        <v>45692</v>
      </c>
      <c r="C482" s="1" t="n">
        <v>45924</v>
      </c>
      <c r="D482" t="inlineStr">
        <is>
          <t>DALARNAS LÄN</t>
        </is>
      </c>
      <c r="E482" t="inlineStr">
        <is>
          <t>ORSA</t>
        </is>
      </c>
      <c r="G482" t="n">
        <v>6.9</v>
      </c>
      <c r="H482" t="n">
        <v>0</v>
      </c>
      <c r="I482" t="n">
        <v>0</v>
      </c>
      <c r="J482" t="n">
        <v>0</v>
      </c>
      <c r="K482" t="n">
        <v>0</v>
      </c>
      <c r="L482" t="n">
        <v>0</v>
      </c>
      <c r="M482" t="n">
        <v>0</v>
      </c>
      <c r="N482" t="n">
        <v>0</v>
      </c>
      <c r="O482" t="n">
        <v>0</v>
      </c>
      <c r="P482" t="n">
        <v>0</v>
      </c>
      <c r="Q482" t="n">
        <v>0</v>
      </c>
      <c r="R482" s="2" t="inlineStr"/>
    </row>
    <row r="483">
      <c r="A483" t="inlineStr">
        <is>
          <t>A 70332-2021</t>
        </is>
      </c>
      <c r="B483" s="1" t="n">
        <v>44536</v>
      </c>
      <c r="C483" s="1" t="n">
        <v>45924</v>
      </c>
      <c r="D483" t="inlineStr">
        <is>
          <t>DALARNAS LÄN</t>
        </is>
      </c>
      <c r="E483" t="inlineStr">
        <is>
          <t>ORSA</t>
        </is>
      </c>
      <c r="G483" t="n">
        <v>7.2</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2025-09-24T10:16:26Z</dcterms:created>
  <dcterms:modified xmlns:dcterms="http://purl.org/dc/terms/" xmlns:xsi="http://www.w3.org/2001/XMLSchema-instance" xsi:type="dcterms:W3CDTF">2025-09-24T10:16:26Z</dcterms:modified>
</cp:coreProperties>
</file>