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45626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45626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45626</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45626</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45626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45626</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45626</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45626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45626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45626</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45626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45626</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45626</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45626</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45626</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45626</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45626</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45626</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45626</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45626</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45626</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45626</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45626</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45626</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45626</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45626</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45626</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45626</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45626</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45626</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45626</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45626</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45626</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45626</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45626</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45626</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45626</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45626</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45626</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45626</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45626</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45626</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45626</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45626</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45626</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45626</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45626</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45626</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45626</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38211-2020</t>
        </is>
      </c>
      <c r="B51" s="1" t="n">
        <v>44060</v>
      </c>
      <c r="C51" s="1" t="n">
        <v>45626</v>
      </c>
      <c r="D51" t="inlineStr">
        <is>
          <t>DALARNAS LÄN</t>
        </is>
      </c>
      <c r="E51" t="inlineStr">
        <is>
          <t>ORSA</t>
        </is>
      </c>
      <c r="G51" t="n">
        <v>1.2</v>
      </c>
      <c r="H51" t="n">
        <v>1</v>
      </c>
      <c r="I51" t="n">
        <v>0</v>
      </c>
      <c r="J51" t="n">
        <v>1</v>
      </c>
      <c r="K51" t="n">
        <v>0</v>
      </c>
      <c r="L51" t="n">
        <v>0</v>
      </c>
      <c r="M51" t="n">
        <v>0</v>
      </c>
      <c r="N51" t="n">
        <v>0</v>
      </c>
      <c r="O51" t="n">
        <v>1</v>
      </c>
      <c r="P51" t="n">
        <v>0</v>
      </c>
      <c r="Q51" t="n">
        <v>1</v>
      </c>
      <c r="R51" s="2" t="inlineStr">
        <is>
          <t>Utter</t>
        </is>
      </c>
      <c r="S51">
        <f>HYPERLINK("https://klasma.github.io/Logging_2034/artfynd/A 38211-2020 artfynd.xlsx", "A 38211-2020")</f>
        <v/>
      </c>
      <c r="T51">
        <f>HYPERLINK("https://klasma.github.io/Logging_2034/kartor/A 38211-2020 karta.png", "A 38211-2020")</f>
        <v/>
      </c>
      <c r="V51">
        <f>HYPERLINK("https://klasma.github.io/Logging_2034/klagomål/A 38211-2020 FSC-klagomål.docx", "A 38211-2020")</f>
        <v/>
      </c>
      <c r="W51">
        <f>HYPERLINK("https://klasma.github.io/Logging_2034/klagomålsmail/A 38211-2020 FSC-klagomål mail.docx", "A 38211-2020")</f>
        <v/>
      </c>
      <c r="X51">
        <f>HYPERLINK("https://klasma.github.io/Logging_2034/tillsyn/A 38211-2020 tillsynsbegäran.docx", "A 38211-2020")</f>
        <v/>
      </c>
      <c r="Y51">
        <f>HYPERLINK("https://klasma.github.io/Logging_2034/tillsynsmail/A 38211-2020 tillsynsbegäran mail.docx", "A 38211-2020")</f>
        <v/>
      </c>
    </row>
    <row r="52" ht="15" customHeight="1">
      <c r="A52" t="inlineStr">
        <is>
          <t>A 4144-2022</t>
        </is>
      </c>
      <c r="B52" s="1" t="n">
        <v>44588</v>
      </c>
      <c r="C52" s="1" t="n">
        <v>45626</v>
      </c>
      <c r="D52" t="inlineStr">
        <is>
          <t>DALARNAS LÄN</t>
        </is>
      </c>
      <c r="E52" t="inlineStr">
        <is>
          <t>ORSA</t>
        </is>
      </c>
      <c r="G52" t="n">
        <v>1</v>
      </c>
      <c r="H52" t="n">
        <v>0</v>
      </c>
      <c r="I52" t="n">
        <v>1</v>
      </c>
      <c r="J52" t="n">
        <v>0</v>
      </c>
      <c r="K52" t="n">
        <v>0</v>
      </c>
      <c r="L52" t="n">
        <v>0</v>
      </c>
      <c r="M52" t="n">
        <v>0</v>
      </c>
      <c r="N52" t="n">
        <v>0</v>
      </c>
      <c r="O52" t="n">
        <v>0</v>
      </c>
      <c r="P52" t="n">
        <v>0</v>
      </c>
      <c r="Q52" t="n">
        <v>1</v>
      </c>
      <c r="R52" s="2" t="inlineStr">
        <is>
          <t>Svart trolldruva</t>
        </is>
      </c>
      <c r="S52">
        <f>HYPERLINK("https://klasma.github.io/Logging_2034/artfynd/A 4144-2022 artfynd.xlsx", "A 4144-2022")</f>
        <v/>
      </c>
      <c r="T52">
        <f>HYPERLINK("https://klasma.github.io/Logging_2034/kartor/A 4144-2022 karta.png", "A 4144-2022")</f>
        <v/>
      </c>
      <c r="V52">
        <f>HYPERLINK("https://klasma.github.io/Logging_2034/klagomål/A 4144-2022 FSC-klagomål.docx", "A 4144-2022")</f>
        <v/>
      </c>
      <c r="W52">
        <f>HYPERLINK("https://klasma.github.io/Logging_2034/klagomålsmail/A 4144-2022 FSC-klagomål mail.docx", "A 4144-2022")</f>
        <v/>
      </c>
      <c r="X52">
        <f>HYPERLINK("https://klasma.github.io/Logging_2034/tillsyn/A 4144-2022 tillsynsbegäran.docx", "A 4144-2022")</f>
        <v/>
      </c>
      <c r="Y52">
        <f>HYPERLINK("https://klasma.github.io/Logging_2034/tillsynsmail/A 4144-2022 tillsynsbegäran mail.docx", "A 4144-2022")</f>
        <v/>
      </c>
    </row>
    <row r="53" ht="15" customHeight="1">
      <c r="A53" t="inlineStr">
        <is>
          <t>A 48766-2022</t>
        </is>
      </c>
      <c r="B53" s="1" t="n">
        <v>44859</v>
      </c>
      <c r="C53" s="1" t="n">
        <v>45626</v>
      </c>
      <c r="D53" t="inlineStr">
        <is>
          <t>DALARNAS LÄN</t>
        </is>
      </c>
      <c r="E53" t="inlineStr">
        <is>
          <t>ORSA</t>
        </is>
      </c>
      <c r="F53" t="inlineStr">
        <is>
          <t>Allmännings- och besparingsskogar</t>
        </is>
      </c>
      <c r="G53" t="n">
        <v>3.1</v>
      </c>
      <c r="H53" t="n">
        <v>0</v>
      </c>
      <c r="I53" t="n">
        <v>0</v>
      </c>
      <c r="J53" t="n">
        <v>1</v>
      </c>
      <c r="K53" t="n">
        <v>0</v>
      </c>
      <c r="L53" t="n">
        <v>0</v>
      </c>
      <c r="M53" t="n">
        <v>0</v>
      </c>
      <c r="N53" t="n">
        <v>0</v>
      </c>
      <c r="O53" t="n">
        <v>1</v>
      </c>
      <c r="P53" t="n">
        <v>0</v>
      </c>
      <c r="Q53" t="n">
        <v>1</v>
      </c>
      <c r="R53" s="2" t="inlineStr">
        <is>
          <t>Garnlav</t>
        </is>
      </c>
      <c r="S53">
        <f>HYPERLINK("https://klasma.github.io/Logging_2034/artfynd/A 48766-2022 artfynd.xlsx", "A 48766-2022")</f>
        <v/>
      </c>
      <c r="T53">
        <f>HYPERLINK("https://klasma.github.io/Logging_2034/kartor/A 48766-2022 karta.png", "A 48766-2022")</f>
        <v/>
      </c>
      <c r="V53">
        <f>HYPERLINK("https://klasma.github.io/Logging_2034/klagomål/A 48766-2022 FSC-klagomål.docx", "A 48766-2022")</f>
        <v/>
      </c>
      <c r="W53">
        <f>HYPERLINK("https://klasma.github.io/Logging_2034/klagomålsmail/A 48766-2022 FSC-klagomål mail.docx", "A 48766-2022")</f>
        <v/>
      </c>
      <c r="X53">
        <f>HYPERLINK("https://klasma.github.io/Logging_2034/tillsyn/A 48766-2022 tillsynsbegäran.docx", "A 48766-2022")</f>
        <v/>
      </c>
      <c r="Y53">
        <f>HYPERLINK("https://klasma.github.io/Logging_2034/tillsynsmail/A 48766-2022 tillsynsbegäran mail.docx", "A 48766-2022")</f>
        <v/>
      </c>
    </row>
    <row r="54" ht="15" customHeight="1">
      <c r="A54" t="inlineStr">
        <is>
          <t>A 29044-2023</t>
        </is>
      </c>
      <c r="B54" s="1" t="n">
        <v>45104</v>
      </c>
      <c r="C54" s="1" t="n">
        <v>45626</v>
      </c>
      <c r="D54" t="inlineStr">
        <is>
          <t>DALARNAS LÄN</t>
        </is>
      </c>
      <c r="E54" t="inlineStr">
        <is>
          <t>ORSA</t>
        </is>
      </c>
      <c r="G54" t="n">
        <v>1.8</v>
      </c>
      <c r="H54" t="n">
        <v>0</v>
      </c>
      <c r="I54" t="n">
        <v>1</v>
      </c>
      <c r="J54" t="n">
        <v>0</v>
      </c>
      <c r="K54" t="n">
        <v>0</v>
      </c>
      <c r="L54" t="n">
        <v>0</v>
      </c>
      <c r="M54" t="n">
        <v>0</v>
      </c>
      <c r="N54" t="n">
        <v>0</v>
      </c>
      <c r="O54" t="n">
        <v>0</v>
      </c>
      <c r="P54" t="n">
        <v>0</v>
      </c>
      <c r="Q54" t="n">
        <v>1</v>
      </c>
      <c r="R54" s="2" t="inlineStr">
        <is>
          <t>Korallblylav</t>
        </is>
      </c>
      <c r="S54">
        <f>HYPERLINK("https://klasma.github.io/Logging_2034/artfynd/A 29044-2023 artfynd.xlsx", "A 29044-2023")</f>
        <v/>
      </c>
      <c r="T54">
        <f>HYPERLINK("https://klasma.github.io/Logging_2034/kartor/A 29044-2023 karta.png", "A 29044-2023")</f>
        <v/>
      </c>
      <c r="V54">
        <f>HYPERLINK("https://klasma.github.io/Logging_2034/klagomål/A 29044-2023 FSC-klagomål.docx", "A 29044-2023")</f>
        <v/>
      </c>
      <c r="W54">
        <f>HYPERLINK("https://klasma.github.io/Logging_2034/klagomålsmail/A 29044-2023 FSC-klagomål mail.docx", "A 29044-2023")</f>
        <v/>
      </c>
      <c r="X54">
        <f>HYPERLINK("https://klasma.github.io/Logging_2034/tillsyn/A 29044-2023 tillsynsbegäran.docx", "A 29044-2023")</f>
        <v/>
      </c>
      <c r="Y54">
        <f>HYPERLINK("https://klasma.github.io/Logging_2034/tillsynsmail/A 29044-2023 tillsynsbegäran mail.docx", "A 29044-2023")</f>
        <v/>
      </c>
    </row>
    <row r="55" ht="15" customHeight="1">
      <c r="A55" t="inlineStr">
        <is>
          <t>A 35112-2023</t>
        </is>
      </c>
      <c r="B55" s="1" t="n">
        <v>45145</v>
      </c>
      <c r="C55" s="1" t="n">
        <v>45626</v>
      </c>
      <c r="D55" t="inlineStr">
        <is>
          <t>DALARNAS LÄN</t>
        </is>
      </c>
      <c r="E55" t="inlineStr">
        <is>
          <t>ORSA</t>
        </is>
      </c>
      <c r="F55" t="inlineStr">
        <is>
          <t>Allmännings- och besparingsskogar</t>
        </is>
      </c>
      <c r="G55" t="n">
        <v>6.9</v>
      </c>
      <c r="H55" t="n">
        <v>0</v>
      </c>
      <c r="I55" t="n">
        <v>0</v>
      </c>
      <c r="J55" t="n">
        <v>1</v>
      </c>
      <c r="K55" t="n">
        <v>0</v>
      </c>
      <c r="L55" t="n">
        <v>0</v>
      </c>
      <c r="M55" t="n">
        <v>0</v>
      </c>
      <c r="N55" t="n">
        <v>0</v>
      </c>
      <c r="O55" t="n">
        <v>1</v>
      </c>
      <c r="P55" t="n">
        <v>0</v>
      </c>
      <c r="Q55" t="n">
        <v>1</v>
      </c>
      <c r="R55" s="2" t="inlineStr">
        <is>
          <t>Skrovellav</t>
        </is>
      </c>
      <c r="S55">
        <f>HYPERLINK("https://klasma.github.io/Logging_2034/artfynd/A 35112-2023 artfynd.xlsx", "A 35112-2023")</f>
        <v/>
      </c>
      <c r="T55">
        <f>HYPERLINK("https://klasma.github.io/Logging_2034/kartor/A 35112-2023 karta.png", "A 35112-2023")</f>
        <v/>
      </c>
      <c r="V55">
        <f>HYPERLINK("https://klasma.github.io/Logging_2034/klagomål/A 35112-2023 FSC-klagomål.docx", "A 35112-2023")</f>
        <v/>
      </c>
      <c r="W55">
        <f>HYPERLINK("https://klasma.github.io/Logging_2034/klagomålsmail/A 35112-2023 FSC-klagomål mail.docx", "A 35112-2023")</f>
        <v/>
      </c>
      <c r="X55">
        <f>HYPERLINK("https://klasma.github.io/Logging_2034/tillsyn/A 35112-2023 tillsynsbegäran.docx", "A 35112-2023")</f>
        <v/>
      </c>
      <c r="Y55">
        <f>HYPERLINK("https://klasma.github.io/Logging_2034/tillsynsmail/A 35112-2023 tillsynsbegäran mail.docx", "A 35112-2023")</f>
        <v/>
      </c>
    </row>
    <row r="56" ht="15" customHeight="1">
      <c r="A56" t="inlineStr">
        <is>
          <t>A 37887-2023</t>
        </is>
      </c>
      <c r="B56" s="1" t="n">
        <v>45160</v>
      </c>
      <c r="C56" s="1" t="n">
        <v>45626</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40288-2023</t>
        </is>
      </c>
      <c r="B57" s="1" t="n">
        <v>45169</v>
      </c>
      <c r="C57" s="1" t="n">
        <v>45626</v>
      </c>
      <c r="D57" t="inlineStr">
        <is>
          <t>DALARNAS LÄN</t>
        </is>
      </c>
      <c r="E57" t="inlineStr">
        <is>
          <t>ORSA</t>
        </is>
      </c>
      <c r="F57" t="inlineStr">
        <is>
          <t>Allmännings- och besparingsskogar</t>
        </is>
      </c>
      <c r="G57" t="n">
        <v>4.2</v>
      </c>
      <c r="H57" t="n">
        <v>0</v>
      </c>
      <c r="I57" t="n">
        <v>0</v>
      </c>
      <c r="J57" t="n">
        <v>1</v>
      </c>
      <c r="K57" t="n">
        <v>0</v>
      </c>
      <c r="L57" t="n">
        <v>0</v>
      </c>
      <c r="M57" t="n">
        <v>0</v>
      </c>
      <c r="N57" t="n">
        <v>0</v>
      </c>
      <c r="O57" t="n">
        <v>1</v>
      </c>
      <c r="P57" t="n">
        <v>0</v>
      </c>
      <c r="Q57" t="n">
        <v>1</v>
      </c>
      <c r="R57" s="2" t="inlineStr">
        <is>
          <t>Vedflamlav</t>
        </is>
      </c>
      <c r="S57">
        <f>HYPERLINK("https://klasma.github.io/Logging_2034/artfynd/A 40288-2023 artfynd.xlsx", "A 40288-2023")</f>
        <v/>
      </c>
      <c r="T57">
        <f>HYPERLINK("https://klasma.github.io/Logging_2034/kartor/A 40288-2023 karta.png", "A 40288-2023")</f>
        <v/>
      </c>
      <c r="V57">
        <f>HYPERLINK("https://klasma.github.io/Logging_2034/klagomål/A 40288-2023 FSC-klagomål.docx", "A 40288-2023")</f>
        <v/>
      </c>
      <c r="W57">
        <f>HYPERLINK("https://klasma.github.io/Logging_2034/klagomålsmail/A 40288-2023 FSC-klagomål mail.docx", "A 40288-2023")</f>
        <v/>
      </c>
      <c r="X57">
        <f>HYPERLINK("https://klasma.github.io/Logging_2034/tillsyn/A 40288-2023 tillsynsbegäran.docx", "A 40288-2023")</f>
        <v/>
      </c>
      <c r="Y57">
        <f>HYPERLINK("https://klasma.github.io/Logging_2034/tillsynsmail/A 40288-2023 tillsynsbegäran mail.docx", "A 40288-2023")</f>
        <v/>
      </c>
    </row>
    <row r="58" ht="15" customHeight="1">
      <c r="A58" t="inlineStr">
        <is>
          <t>A 46179-2023</t>
        </is>
      </c>
      <c r="B58" s="1" t="n">
        <v>45196</v>
      </c>
      <c r="C58" s="1" t="n">
        <v>45626</v>
      </c>
      <c r="D58" t="inlineStr">
        <is>
          <t>DALARNAS LÄN</t>
        </is>
      </c>
      <c r="E58" t="inlineStr">
        <is>
          <t>ORSA</t>
        </is>
      </c>
      <c r="G58" t="n">
        <v>4.1</v>
      </c>
      <c r="H58" t="n">
        <v>0</v>
      </c>
      <c r="I58" t="n">
        <v>1</v>
      </c>
      <c r="J58" t="n">
        <v>0</v>
      </c>
      <c r="K58" t="n">
        <v>0</v>
      </c>
      <c r="L58" t="n">
        <v>0</v>
      </c>
      <c r="M58" t="n">
        <v>0</v>
      </c>
      <c r="N58" t="n">
        <v>0</v>
      </c>
      <c r="O58" t="n">
        <v>0</v>
      </c>
      <c r="P58" t="n">
        <v>0</v>
      </c>
      <c r="Q58" t="n">
        <v>1</v>
      </c>
      <c r="R58" s="2" t="inlineStr">
        <is>
          <t>Dropptaggsvamp</t>
        </is>
      </c>
      <c r="S58">
        <f>HYPERLINK("https://klasma.github.io/Logging_2034/artfynd/A 46179-2023 artfynd.xlsx", "A 46179-2023")</f>
        <v/>
      </c>
      <c r="T58">
        <f>HYPERLINK("https://klasma.github.io/Logging_2034/kartor/A 46179-2023 karta.png", "A 46179-2023")</f>
        <v/>
      </c>
      <c r="V58">
        <f>HYPERLINK("https://klasma.github.io/Logging_2034/klagomål/A 46179-2023 FSC-klagomål.docx", "A 46179-2023")</f>
        <v/>
      </c>
      <c r="W58">
        <f>HYPERLINK("https://klasma.github.io/Logging_2034/klagomålsmail/A 46179-2023 FSC-klagomål mail.docx", "A 46179-2023")</f>
        <v/>
      </c>
      <c r="X58">
        <f>HYPERLINK("https://klasma.github.io/Logging_2034/tillsyn/A 46179-2023 tillsynsbegäran.docx", "A 46179-2023")</f>
        <v/>
      </c>
      <c r="Y58">
        <f>HYPERLINK("https://klasma.github.io/Logging_2034/tillsynsmail/A 46179-2023 tillsynsbegäran mail.docx", "A 46179-2023")</f>
        <v/>
      </c>
    </row>
    <row r="59" ht="15" customHeight="1">
      <c r="A59" t="inlineStr">
        <is>
          <t>A 48452-2023</t>
        </is>
      </c>
      <c r="B59" s="1" t="n">
        <v>45206</v>
      </c>
      <c r="C59" s="1" t="n">
        <v>45626</v>
      </c>
      <c r="D59" t="inlineStr">
        <is>
          <t>DALARNAS LÄN</t>
        </is>
      </c>
      <c r="E59" t="inlineStr">
        <is>
          <t>ORSA</t>
        </is>
      </c>
      <c r="G59" t="n">
        <v>1.5</v>
      </c>
      <c r="H59" t="n">
        <v>0</v>
      </c>
      <c r="I59" t="n">
        <v>0</v>
      </c>
      <c r="J59" t="n">
        <v>1</v>
      </c>
      <c r="K59" t="n">
        <v>0</v>
      </c>
      <c r="L59" t="n">
        <v>0</v>
      </c>
      <c r="M59" t="n">
        <v>0</v>
      </c>
      <c r="N59" t="n">
        <v>0</v>
      </c>
      <c r="O59" t="n">
        <v>1</v>
      </c>
      <c r="P59" t="n">
        <v>0</v>
      </c>
      <c r="Q59" t="n">
        <v>1</v>
      </c>
      <c r="R59" s="2" t="inlineStr">
        <is>
          <t>Motaggsvamp</t>
        </is>
      </c>
      <c r="S59">
        <f>HYPERLINK("https://klasma.github.io/Logging_2034/artfynd/A 48452-2023 artfynd.xlsx", "A 48452-2023")</f>
        <v/>
      </c>
      <c r="T59">
        <f>HYPERLINK("https://klasma.github.io/Logging_2034/kartor/A 48452-2023 karta.png", "A 48452-2023")</f>
        <v/>
      </c>
      <c r="V59">
        <f>HYPERLINK("https://klasma.github.io/Logging_2034/klagomål/A 48452-2023 FSC-klagomål.docx", "A 48452-2023")</f>
        <v/>
      </c>
      <c r="W59">
        <f>HYPERLINK("https://klasma.github.io/Logging_2034/klagomålsmail/A 48452-2023 FSC-klagomål mail.docx", "A 48452-2023")</f>
        <v/>
      </c>
      <c r="X59">
        <f>HYPERLINK("https://klasma.github.io/Logging_2034/tillsyn/A 48452-2023 tillsynsbegäran.docx", "A 48452-2023")</f>
        <v/>
      </c>
      <c r="Y59">
        <f>HYPERLINK("https://klasma.github.io/Logging_2034/tillsynsmail/A 48452-2023 tillsynsbegäran mail.docx", "A 48452-2023")</f>
        <v/>
      </c>
    </row>
    <row r="60" ht="15" customHeight="1">
      <c r="A60" t="inlineStr">
        <is>
          <t>A 49515-2023</t>
        </is>
      </c>
      <c r="B60" s="1" t="n">
        <v>45211</v>
      </c>
      <c r="C60" s="1" t="n">
        <v>45626</v>
      </c>
      <c r="D60" t="inlineStr">
        <is>
          <t>DALARNAS LÄN</t>
        </is>
      </c>
      <c r="E60" t="inlineStr">
        <is>
          <t>ORSA</t>
        </is>
      </c>
      <c r="F60" t="inlineStr">
        <is>
          <t>Allmännings- och besparingsskogar</t>
        </is>
      </c>
      <c r="G60" t="n">
        <v>17.5</v>
      </c>
      <c r="H60" t="n">
        <v>0</v>
      </c>
      <c r="I60" t="n">
        <v>1</v>
      </c>
      <c r="J60" t="n">
        <v>0</v>
      </c>
      <c r="K60" t="n">
        <v>0</v>
      </c>
      <c r="L60" t="n">
        <v>0</v>
      </c>
      <c r="M60" t="n">
        <v>0</v>
      </c>
      <c r="N60" t="n">
        <v>0</v>
      </c>
      <c r="O60" t="n">
        <v>0</v>
      </c>
      <c r="P60" t="n">
        <v>0</v>
      </c>
      <c r="Q60" t="n">
        <v>1</v>
      </c>
      <c r="R60" s="2" t="inlineStr">
        <is>
          <t>Skarp dropptaggsvamp</t>
        </is>
      </c>
      <c r="S60">
        <f>HYPERLINK("https://klasma.github.io/Logging_2034/artfynd/A 49515-2023 artfynd.xlsx", "A 49515-2023")</f>
        <v/>
      </c>
      <c r="T60">
        <f>HYPERLINK("https://klasma.github.io/Logging_2034/kartor/A 49515-2023 karta.png", "A 49515-2023")</f>
        <v/>
      </c>
      <c r="V60">
        <f>HYPERLINK("https://klasma.github.io/Logging_2034/klagomål/A 49515-2023 FSC-klagomål.docx", "A 49515-2023")</f>
        <v/>
      </c>
      <c r="W60">
        <f>HYPERLINK("https://klasma.github.io/Logging_2034/klagomålsmail/A 49515-2023 FSC-klagomål mail.docx", "A 49515-2023")</f>
        <v/>
      </c>
      <c r="X60">
        <f>HYPERLINK("https://klasma.github.io/Logging_2034/tillsyn/A 49515-2023 tillsynsbegäran.docx", "A 49515-2023")</f>
        <v/>
      </c>
      <c r="Y60">
        <f>HYPERLINK("https://klasma.github.io/Logging_2034/tillsynsmail/A 49515-2023 tillsynsbegäran mail.docx", "A 49515-2023")</f>
        <v/>
      </c>
    </row>
    <row r="61" ht="15" customHeight="1">
      <c r="A61" t="inlineStr">
        <is>
          <t>A 30493-2024</t>
        </is>
      </c>
      <c r="B61" s="1" t="n">
        <v>45492</v>
      </c>
      <c r="C61" s="1" t="n">
        <v>45626</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26119-2019</t>
        </is>
      </c>
      <c r="B62" s="1" t="n">
        <v>43609</v>
      </c>
      <c r="C62" s="1" t="n">
        <v>45626</v>
      </c>
      <c r="D62" t="inlineStr">
        <is>
          <t>DALARNAS LÄN</t>
        </is>
      </c>
      <c r="E62" t="inlineStr">
        <is>
          <t>ORSA</t>
        </is>
      </c>
      <c r="F62" t="inlineStr">
        <is>
          <t>Allmännings- och besparingsskogar</t>
        </is>
      </c>
      <c r="G62" t="n">
        <v>4.7</v>
      </c>
      <c r="H62" t="n">
        <v>0</v>
      </c>
      <c r="I62" t="n">
        <v>0</v>
      </c>
      <c r="J62" t="n">
        <v>0</v>
      </c>
      <c r="K62" t="n">
        <v>0</v>
      </c>
      <c r="L62" t="n">
        <v>0</v>
      </c>
      <c r="M62" t="n">
        <v>0</v>
      </c>
      <c r="N62" t="n">
        <v>0</v>
      </c>
      <c r="O62" t="n">
        <v>0</v>
      </c>
      <c r="P62" t="n">
        <v>0</v>
      </c>
      <c r="Q62" t="n">
        <v>0</v>
      </c>
      <c r="R62" s="2" t="inlineStr"/>
    </row>
    <row r="63" ht="15" customHeight="1">
      <c r="A63" t="inlineStr">
        <is>
          <t>A 28464-2019</t>
        </is>
      </c>
      <c r="B63" s="1" t="n">
        <v>43626</v>
      </c>
      <c r="C63" s="1" t="n">
        <v>45626</v>
      </c>
      <c r="D63" t="inlineStr">
        <is>
          <t>DALARNAS LÄN</t>
        </is>
      </c>
      <c r="E63" t="inlineStr">
        <is>
          <t>ORSA</t>
        </is>
      </c>
      <c r="F63" t="inlineStr">
        <is>
          <t>Bergvik skog öst AB</t>
        </is>
      </c>
      <c r="G63" t="n">
        <v>0.8</v>
      </c>
      <c r="H63" t="n">
        <v>0</v>
      </c>
      <c r="I63" t="n">
        <v>0</v>
      </c>
      <c r="J63" t="n">
        <v>0</v>
      </c>
      <c r="K63" t="n">
        <v>0</v>
      </c>
      <c r="L63" t="n">
        <v>0</v>
      </c>
      <c r="M63" t="n">
        <v>0</v>
      </c>
      <c r="N63" t="n">
        <v>0</v>
      </c>
      <c r="O63" t="n">
        <v>0</v>
      </c>
      <c r="P63" t="n">
        <v>0</v>
      </c>
      <c r="Q63" t="n">
        <v>0</v>
      </c>
      <c r="R63" s="2" t="inlineStr"/>
    </row>
    <row r="64" ht="15" customHeight="1">
      <c r="A64" t="inlineStr">
        <is>
          <t>A 31099-2019</t>
        </is>
      </c>
      <c r="B64" s="1" t="n">
        <v>43640</v>
      </c>
      <c r="C64" s="1" t="n">
        <v>45626</v>
      </c>
      <c r="D64" t="inlineStr">
        <is>
          <t>DALARNAS LÄN</t>
        </is>
      </c>
      <c r="E64" t="inlineStr">
        <is>
          <t>ORSA</t>
        </is>
      </c>
      <c r="F64" t="inlineStr">
        <is>
          <t>Allmännings- och besparingsskogar</t>
        </is>
      </c>
      <c r="G64" t="n">
        <v>5</v>
      </c>
      <c r="H64" t="n">
        <v>0</v>
      </c>
      <c r="I64" t="n">
        <v>0</v>
      </c>
      <c r="J64" t="n">
        <v>0</v>
      </c>
      <c r="K64" t="n">
        <v>0</v>
      </c>
      <c r="L64" t="n">
        <v>0</v>
      </c>
      <c r="M64" t="n">
        <v>0</v>
      </c>
      <c r="N64" t="n">
        <v>0</v>
      </c>
      <c r="O64" t="n">
        <v>0</v>
      </c>
      <c r="P64" t="n">
        <v>0</v>
      </c>
      <c r="Q64" t="n">
        <v>0</v>
      </c>
      <c r="R64" s="2" t="inlineStr"/>
    </row>
    <row r="65" ht="15" customHeight="1">
      <c r="A65" t="inlineStr">
        <is>
          <t>A 31956-2019</t>
        </is>
      </c>
      <c r="B65" s="1" t="n">
        <v>43643</v>
      </c>
      <c r="C65" s="1" t="n">
        <v>45626</v>
      </c>
      <c r="D65" t="inlineStr">
        <is>
          <t>DALARNAS LÄN</t>
        </is>
      </c>
      <c r="E65" t="inlineStr">
        <is>
          <t>ORSA</t>
        </is>
      </c>
      <c r="F65" t="inlineStr">
        <is>
          <t>Bergvik skog öst AB</t>
        </is>
      </c>
      <c r="G65" t="n">
        <v>1.3</v>
      </c>
      <c r="H65" t="n">
        <v>0</v>
      </c>
      <c r="I65" t="n">
        <v>0</v>
      </c>
      <c r="J65" t="n">
        <v>0</v>
      </c>
      <c r="K65" t="n">
        <v>0</v>
      </c>
      <c r="L65" t="n">
        <v>0</v>
      </c>
      <c r="M65" t="n">
        <v>0</v>
      </c>
      <c r="N65" t="n">
        <v>0</v>
      </c>
      <c r="O65" t="n">
        <v>0</v>
      </c>
      <c r="P65" t="n">
        <v>0</v>
      </c>
      <c r="Q65" t="n">
        <v>0</v>
      </c>
      <c r="R65" s="2" t="inlineStr"/>
    </row>
    <row r="66" ht="15" customHeight="1">
      <c r="A66" t="inlineStr">
        <is>
          <t>A 32094-2019</t>
        </is>
      </c>
      <c r="B66" s="1" t="n">
        <v>43643</v>
      </c>
      <c r="C66" s="1" t="n">
        <v>45626</v>
      </c>
      <c r="D66" t="inlineStr">
        <is>
          <t>DALARNAS LÄN</t>
        </is>
      </c>
      <c r="E66" t="inlineStr">
        <is>
          <t>ORSA</t>
        </is>
      </c>
      <c r="F66" t="inlineStr">
        <is>
          <t>Bergvik skog väst AB</t>
        </is>
      </c>
      <c r="G66" t="n">
        <v>19.2</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45626</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45626</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45626</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45626</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45626</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45626</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45626</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45626</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45626</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45626</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45626</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45626</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45626</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45626</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45626</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45626</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45626</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45626</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45626</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45626</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45626</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45626</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45626</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45626</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45626</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45626</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45626</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45626</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45626</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45626</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45626</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45626</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45626</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45626</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45626</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45626</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45626</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45626</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45626</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45626</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45626</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45626</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45626</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45626</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45626</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45626</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45626</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45626</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45626</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45626</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45626</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45626</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45626</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45626</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45626</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45626</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45626</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45626</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45626</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45626</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45626</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45626</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45626</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45626</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45626</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45626</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45626</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45626</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45626</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45626</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45626</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45626</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45626</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45626</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45626</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45626</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45626</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45626</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45626</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45626</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45626</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45626</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45626</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45626</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45626</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45626</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45626</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45626</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45626</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45626</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45626</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45626</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45626</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45626</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45626</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45626</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45626</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45626</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45626</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45626</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45626</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45626</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45626</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45626</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45626</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45626</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45626</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45626</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45626</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45626</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45626</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45626</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45626</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45626</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45626</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45626</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45626</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45626</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45626</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45626</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45626</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45626</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45626</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45626</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45626</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45626</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45626</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45626</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45626</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45626</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45626</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45626</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45626</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45626</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45626</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45626</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45626</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45626</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45626</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45626</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45626</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45626</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45626</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45626</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45626</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45626</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45626</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45626</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45626</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45626</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45626</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45626</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45626</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45626</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45626</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45626</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45626</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45626</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45626</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45626</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45626</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45626</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45626</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45626</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45626</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45626</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45626</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45626</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45626</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45626</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45626</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45626</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45626</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45626</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45626</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45626</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45626</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45626</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45626</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45626</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45626</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45626</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45626</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45626</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45626</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45626</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45626</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45626</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45626</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45626</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45626</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45626</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45626</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45626</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45626</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45626</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45626</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45626</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45626</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45626</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45626</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45626</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45626</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45626</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45626</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45626</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45626</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45626</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45626</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45626</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45626</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45626</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45626</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45626</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45626</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45626</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45626</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45626</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45626</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45626</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45626</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45626</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45626</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45626</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45626</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45626</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45626</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45626</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45626</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45626</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45626</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45626</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45626</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45626</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45626</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45626</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45626</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45626</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45626</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45626</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45626</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45626</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45626</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45626</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45626</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45626</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45626</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45626</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45626</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45626</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45626</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45626</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45626</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45626</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45626</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45626</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45626</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45626</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45626</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45626</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45626</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45626</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45626</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45626</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45626</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45626</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45626</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45626</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45626</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45626</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45626</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45626</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45626</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45626</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45626</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45626</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45626</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45626</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45626</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45626</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45626</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45626</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45626</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45626</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45626</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45626</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45626</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45626</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45626</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45626</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45626</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45626</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45626</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45626</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45626</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45626</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45626</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45626</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45626</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45626</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45626</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45626</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45626</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45626</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45626</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45626</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45626</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45626</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45626</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45626</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45626</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45626</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45626</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45626</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45626</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45626</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45626</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45626</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45626</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45626</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45626</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45626</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45626</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45626</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45626</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45626</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45626</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45626</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45626</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45626</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45626</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45626</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45626</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45626</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45626</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45626</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45626</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45626</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45626</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45626</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45626</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45626</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45626</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45626</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45626</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45626</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45626</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45626</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45626</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45626</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45626</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45626</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45626</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45626</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45626</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45626</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45626</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45626</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45626</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45626</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45626</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45626</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45626</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45626</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45626</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45626</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45626</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45626</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45626</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45626</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45626</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45626</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45626</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45626</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45626</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45626</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45626</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45626</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45626</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45626</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45626</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45626</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45626</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45626</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45626</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45626</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45626</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45626</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45626</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45626</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45626</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45626</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45626</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45626</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45626</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45626</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45626</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45626</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45626</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45626</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45626</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45626</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45626</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45626</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45626</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45626</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45626</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45626</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45626</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45626</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45626</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45626</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45626</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45626</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45626</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45626</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45626</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45626</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45626</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45626</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45626</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45626</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45626</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45626</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45626</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45626</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45626</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45626</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45626</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45626</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45626</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45626</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45626</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45626</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45626</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45626</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45626</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45626</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45626</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45626</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45626</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45626</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45626</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45626</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45626</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45626</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45626</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45626</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45626</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45626</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45626</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45626</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45626</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45626</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45626</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45626</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45626</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45626</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45626</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45626</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45626</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45626</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45626</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45626</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45626</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45626</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45626</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45626</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45626</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45626</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45626</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45626</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45626</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45626</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45626</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45626</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45626</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45626</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45626</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45626</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45626</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45626</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45626</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45626</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45626</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45626</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45626</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45626</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45626</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45626</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45626</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45626</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45626</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45626</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45626</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45626</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45626</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45626</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45626</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45626</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45626</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45626</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45626</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45626</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45626</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45626</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45626</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45626</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45626</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45626</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45626</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45626</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45626</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45626</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45626</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45626</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45626</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45626</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45626</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45626</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45626</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45626</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45626</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45626</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45626</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45626</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45626</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45626</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45626</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45626</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45626</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45626</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45626</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45626</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45626</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45626</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45626</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45626</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45626</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45626</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45626</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45626</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45626</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45626</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45626</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45626</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45626</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45626</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45626</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45626</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45626</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45626</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45626</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45626</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45626</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45626</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45626</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45626</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45626</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45626</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45626</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45626</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45626</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45626</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45626</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45626</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45626</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45626</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45626</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45626</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45626</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45626</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45626</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45626</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45626</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45626</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45626</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45626</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45626</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45626</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45626</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45626</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45626</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45626</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45626</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45626</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45626</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45626</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45626</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45626</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45626</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45626</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45626</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45626</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45626</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45626</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45626</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45626</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45626</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45626</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45626</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45626</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45626</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45626</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45626</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45626</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45626</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45626</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45626</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45626</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45626</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45626</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45626</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45626</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45626</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45626</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45626</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45626</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45626</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45626</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45626</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45626</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45626</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45626</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45626</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45626</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51764-2024</t>
        </is>
      </c>
      <c r="B693" s="1" t="n">
        <v>45607</v>
      </c>
      <c r="C693" s="1" t="n">
        <v>45626</v>
      </c>
      <c r="D693" t="inlineStr">
        <is>
          <t>DALARNAS LÄN</t>
        </is>
      </c>
      <c r="E693" t="inlineStr">
        <is>
          <t>ORSA</t>
        </is>
      </c>
      <c r="F693" t="inlineStr">
        <is>
          <t>Bergvik skog öst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45626</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45626</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52643-2024</t>
        </is>
      </c>
      <c r="B696" s="1" t="n">
        <v>45610</v>
      </c>
      <c r="C696" s="1" t="n">
        <v>45626</v>
      </c>
      <c r="D696" t="inlineStr">
        <is>
          <t>DALARNAS LÄN</t>
        </is>
      </c>
      <c r="E696" t="inlineStr">
        <is>
          <t>ORSA</t>
        </is>
      </c>
      <c r="G696" t="n">
        <v>1.5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45626</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45626</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52926-2024</t>
        </is>
      </c>
      <c r="B699" s="1" t="n">
        <v>45610</v>
      </c>
      <c r="C699" s="1" t="n">
        <v>45626</v>
      </c>
      <c r="D699" t="inlineStr">
        <is>
          <t>DALARNAS LÄN</t>
        </is>
      </c>
      <c r="E699" t="inlineStr">
        <is>
          <t>ORSA</t>
        </is>
      </c>
      <c r="F699" t="inlineStr">
        <is>
          <t>Allmännings- och besparingsskogar</t>
        </is>
      </c>
      <c r="G699" t="n">
        <v>0.8</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45626</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45626</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45626</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45626</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45626</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45626</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45626</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53703-2024</t>
        </is>
      </c>
      <c r="B707" s="1" t="n">
        <v>45615</v>
      </c>
      <c r="C707" s="1" t="n">
        <v>45626</v>
      </c>
      <c r="D707" t="inlineStr">
        <is>
          <t>DALARNAS LÄN</t>
        </is>
      </c>
      <c r="E707" t="inlineStr">
        <is>
          <t>ORSA</t>
        </is>
      </c>
      <c r="G707" t="n">
        <v>1.4</v>
      </c>
      <c r="H707" t="n">
        <v>0</v>
      </c>
      <c r="I707" t="n">
        <v>0</v>
      </c>
      <c r="J707" t="n">
        <v>0</v>
      </c>
      <c r="K707" t="n">
        <v>0</v>
      </c>
      <c r="L707" t="n">
        <v>0</v>
      </c>
      <c r="M707" t="n">
        <v>0</v>
      </c>
      <c r="N707" t="n">
        <v>0</v>
      </c>
      <c r="O707" t="n">
        <v>0</v>
      </c>
      <c r="P707" t="n">
        <v>0</v>
      </c>
      <c r="Q707" t="n">
        <v>0</v>
      </c>
      <c r="R707" s="2" t="inlineStr"/>
    </row>
    <row r="708" ht="15" customHeight="1">
      <c r="A708" t="inlineStr">
        <is>
          <t>A 53717-2024</t>
        </is>
      </c>
      <c r="B708" s="1" t="n">
        <v>45615</v>
      </c>
      <c r="C708" s="1" t="n">
        <v>45626</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53758-2024</t>
        </is>
      </c>
      <c r="B709" s="1" t="n">
        <v>45615</v>
      </c>
      <c r="C709" s="1" t="n">
        <v>45626</v>
      </c>
      <c r="D709" t="inlineStr">
        <is>
          <t>DALARNAS LÄN</t>
        </is>
      </c>
      <c r="E709" t="inlineStr">
        <is>
          <t>ORSA</t>
        </is>
      </c>
      <c r="G709" t="n">
        <v>0.5</v>
      </c>
      <c r="H709" t="n">
        <v>0</v>
      </c>
      <c r="I709" t="n">
        <v>0</v>
      </c>
      <c r="J709" t="n">
        <v>0</v>
      </c>
      <c r="K709" t="n">
        <v>0</v>
      </c>
      <c r="L709" t="n">
        <v>0</v>
      </c>
      <c r="M709" t="n">
        <v>0</v>
      </c>
      <c r="N709" t="n">
        <v>0</v>
      </c>
      <c r="O709" t="n">
        <v>0</v>
      </c>
      <c r="P709" t="n">
        <v>0</v>
      </c>
      <c r="Q709" t="n">
        <v>0</v>
      </c>
      <c r="R709" s="2" t="inlineStr"/>
    </row>
    <row r="710" ht="15" customHeight="1">
      <c r="A710" t="inlineStr">
        <is>
          <t>A 53712-2024</t>
        </is>
      </c>
      <c r="B710" s="1" t="n">
        <v>45615</v>
      </c>
      <c r="C710" s="1" t="n">
        <v>45626</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45626</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45626</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45626</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45626</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45626</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45626</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c r="A717" t="inlineStr">
        <is>
          <t>A 55793-2024</t>
        </is>
      </c>
      <c r="B717" s="1" t="n">
        <v>45623</v>
      </c>
      <c r="C717" s="1" t="n">
        <v>45626</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2024-11-30T18:45:01Z</dcterms:created>
  <dcterms:modified xmlns:dcterms="http://purl.org/dc/terms/" xmlns:xsi="http://www.w3.org/2001/XMLSchema-instance" xsi:type="dcterms:W3CDTF">2024-11-30T18:45:01Z</dcterms:modified>
</cp:coreProperties>
</file>