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46181</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46181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46181</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46181</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46181</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46181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46181</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47905-2023</t>
        </is>
      </c>
      <c r="B12" s="1" t="n">
        <v>45204</v>
      </c>
      <c r="C12" s="1" t="n">
        <v>46181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52487-2024</t>
        </is>
      </c>
      <c r="B13" s="1" t="n">
        <v>45609</v>
      </c>
      <c r="C13" s="1" t="n">
        <v>46181</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30284-2024</t>
        </is>
      </c>
      <c r="B14" s="1" t="n">
        <v>45490.63929398148</v>
      </c>
      <c r="C14" s="1" t="n">
        <v>46181</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32983-2023</t>
        </is>
      </c>
      <c r="B15" s="1" t="n">
        <v>45125</v>
      </c>
      <c r="C15" s="1" t="n">
        <v>46181</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46181</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46181</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46181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46181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46181</v>
      </c>
      <c r="D20" t="inlineStr">
        <is>
          <t>DALARNAS LÄN</t>
        </is>
      </c>
      <c r="E20" t="inlineStr">
        <is>
          <t>ORSA</t>
        </is>
      </c>
      <c r="G20" t="n">
        <v>16</v>
      </c>
      <c r="H20" t="n">
        <v>5</v>
      </c>
      <c r="I20" t="n">
        <v>2</v>
      </c>
      <c r="J20" t="n">
        <v>9</v>
      </c>
      <c r="K20" t="n">
        <v>0</v>
      </c>
      <c r="L20" t="n">
        <v>0</v>
      </c>
      <c r="M20" t="n">
        <v>0</v>
      </c>
      <c r="N20" t="n">
        <v>0</v>
      </c>
      <c r="O20" t="n">
        <v>9</v>
      </c>
      <c r="P20" t="n">
        <v>0</v>
      </c>
      <c r="Q20" t="n">
        <v>13</v>
      </c>
      <c r="R20" s="2" t="inlineStr">
        <is>
          <t>Garnlav
Kolflarnlav
Mörk kolflarnlav
Spillkråka
Tallticka
Talltita
Tretåig hackspett
Vedskivlav
Violettgrå tagellav
Mindre märgborre
Nästlav
Järnsparv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62816-2025</t>
        </is>
      </c>
      <c r="B21" s="1" t="n">
        <v>46008.65450231481</v>
      </c>
      <c r="C21" s="1" t="n">
        <v>46181</v>
      </c>
      <c r="D21" t="inlineStr">
        <is>
          <t>DALARNAS LÄN</t>
        </is>
      </c>
      <c r="E21" t="inlineStr">
        <is>
          <t>ORSA</t>
        </is>
      </c>
      <c r="G21" t="n">
        <v>11</v>
      </c>
      <c r="H21" t="n">
        <v>2</v>
      </c>
      <c r="I21" t="n">
        <v>3</v>
      </c>
      <c r="J21" t="n">
        <v>9</v>
      </c>
      <c r="K21" t="n">
        <v>0</v>
      </c>
      <c r="L21" t="n">
        <v>0</v>
      </c>
      <c r="M21" t="n">
        <v>0</v>
      </c>
      <c r="N21" t="n">
        <v>0</v>
      </c>
      <c r="O21" t="n">
        <v>9</v>
      </c>
      <c r="P21" t="n">
        <v>0</v>
      </c>
      <c r="Q21" t="n">
        <v>12</v>
      </c>
      <c r="R21" s="2" t="inlineStr">
        <is>
          <t>Blanksvart spiklav
Garnlav
Granticka
Kolflarnlav
Kötticka
Liten svartspik
Spillkråka
Tretåig hackspett
Vitgrynig nållav
Luddlav
Thomsons trägnagare
Vedticka</t>
        </is>
      </c>
      <c r="S21">
        <f>HYPERLINK("https://klasma.github.io/Logging_2034/artfynd/A 62816-2025 artfynd.xlsx", "A 62816-2025")</f>
        <v/>
      </c>
      <c r="T21">
        <f>HYPERLINK("https://klasma.github.io/Logging_2034/kartor/A 62816-2025 karta.png", "A 62816-2025")</f>
        <v/>
      </c>
      <c r="V21">
        <f>HYPERLINK("https://klasma.github.io/Logging_2034/klagomål/A 62816-2025 FSC-klagomål.docx", "A 62816-2025")</f>
        <v/>
      </c>
      <c r="W21">
        <f>HYPERLINK("https://klasma.github.io/Logging_2034/klagomålsmail/A 62816-2025 FSC-klagomål mail.docx", "A 62816-2025")</f>
        <v/>
      </c>
      <c r="X21">
        <f>HYPERLINK("https://klasma.github.io/Logging_2034/tillsyn/A 62816-2025 tillsynsbegäran.docx", "A 62816-2025")</f>
        <v/>
      </c>
      <c r="Y21">
        <f>HYPERLINK("https://klasma.github.io/Logging_2034/tillsynsmail/A 62816-2025 tillsynsbegäran mail.docx", "A 62816-2025")</f>
        <v/>
      </c>
      <c r="Z21">
        <f>HYPERLINK("https://klasma.github.io/Logging_2034/fåglar/A 62816-2025 prioriterade fågelarter.docx", "A 62816-2025")</f>
        <v/>
      </c>
    </row>
    <row r="22" ht="15" customHeight="1">
      <c r="A22" t="inlineStr">
        <is>
          <t>A 33533-2025</t>
        </is>
      </c>
      <c r="B22" s="1" t="n">
        <v>45841.55677083333</v>
      </c>
      <c r="C22" s="1" t="n">
        <v>46181</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6034-2026</t>
        </is>
      </c>
      <c r="B23" s="1" t="n">
        <v>46052.61299768519</v>
      </c>
      <c r="C23" s="1" t="n">
        <v>46181</v>
      </c>
      <c r="D23" t="inlineStr">
        <is>
          <t>DALARNAS LÄN</t>
        </is>
      </c>
      <c r="E23" t="inlineStr">
        <is>
          <t>ORSA</t>
        </is>
      </c>
      <c r="G23" t="n">
        <v>3.5</v>
      </c>
      <c r="H23" t="n">
        <v>4</v>
      </c>
      <c r="I23" t="n">
        <v>3</v>
      </c>
      <c r="J23" t="n">
        <v>4</v>
      </c>
      <c r="K23" t="n">
        <v>2</v>
      </c>
      <c r="L23" t="n">
        <v>0</v>
      </c>
      <c r="M23" t="n">
        <v>0</v>
      </c>
      <c r="N23" t="n">
        <v>0</v>
      </c>
      <c r="O23" t="n">
        <v>6</v>
      </c>
      <c r="P23" t="n">
        <v>2</v>
      </c>
      <c r="Q23" t="n">
        <v>10</v>
      </c>
      <c r="R23" s="2" t="inlineStr">
        <is>
          <t>Knärot
Kopparspindling
Spillkråka
Tallticka
Tretåig hackspett
Vedtrappmossa
Mindre märgborre
Svavelriska
Tibast
Blåsippa</t>
        </is>
      </c>
      <c r="S23">
        <f>HYPERLINK("https://klasma.github.io/Logging_2034/artfynd/A 6034-2026 artfynd.xlsx", "A 6034-2026")</f>
        <v/>
      </c>
      <c r="T23">
        <f>HYPERLINK("https://klasma.github.io/Logging_2034/kartor/A 6034-2026 karta.png", "A 6034-2026")</f>
        <v/>
      </c>
      <c r="U23">
        <f>HYPERLINK("https://klasma.github.io/Logging_2034/knärot/A 6034-2026 karta knärot.png", "A 6034-2026")</f>
        <v/>
      </c>
      <c r="V23">
        <f>HYPERLINK("https://klasma.github.io/Logging_2034/klagomål/A 6034-2026 FSC-klagomål.docx", "A 6034-2026")</f>
        <v/>
      </c>
      <c r="W23">
        <f>HYPERLINK("https://klasma.github.io/Logging_2034/klagomålsmail/A 6034-2026 FSC-klagomål mail.docx", "A 6034-2026")</f>
        <v/>
      </c>
      <c r="X23">
        <f>HYPERLINK("https://klasma.github.io/Logging_2034/tillsyn/A 6034-2026 tillsynsbegäran.docx", "A 6034-2026")</f>
        <v/>
      </c>
      <c r="Y23">
        <f>HYPERLINK("https://klasma.github.io/Logging_2034/tillsynsmail/A 6034-2026 tillsynsbegäran mail.docx", "A 6034-2026")</f>
        <v/>
      </c>
      <c r="Z23">
        <f>HYPERLINK("https://klasma.github.io/Logging_2034/fåglar/A 6034-2026 prioriterade fågelarter.docx", "A 6034-2026")</f>
        <v/>
      </c>
    </row>
    <row r="24" ht="15" customHeight="1">
      <c r="A24" t="inlineStr">
        <is>
          <t>A 39682-2025</t>
        </is>
      </c>
      <c r="B24" s="1" t="n">
        <v>45890.66075231481</v>
      </c>
      <c r="C24" s="1" t="n">
        <v>46181</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62829-2025</t>
        </is>
      </c>
      <c r="B25" s="1" t="n">
        <v>46008</v>
      </c>
      <c r="C25" s="1" t="n">
        <v>46181</v>
      </c>
      <c r="D25" t="inlineStr">
        <is>
          <t>DALARNAS LÄN</t>
        </is>
      </c>
      <c r="E25" t="inlineStr">
        <is>
          <t>ORSA</t>
        </is>
      </c>
      <c r="G25" t="n">
        <v>10.4</v>
      </c>
      <c r="H25" t="n">
        <v>3</v>
      </c>
      <c r="I25" t="n">
        <v>1</v>
      </c>
      <c r="J25" t="n">
        <v>6</v>
      </c>
      <c r="K25" t="n">
        <v>0</v>
      </c>
      <c r="L25" t="n">
        <v>0</v>
      </c>
      <c r="M25" t="n">
        <v>0</v>
      </c>
      <c r="N25" t="n">
        <v>0</v>
      </c>
      <c r="O25" t="n">
        <v>6</v>
      </c>
      <c r="P25" t="n">
        <v>0</v>
      </c>
      <c r="Q25" t="n">
        <v>8</v>
      </c>
      <c r="R25" s="2" t="inlineStr">
        <is>
          <t>Blanksvart spiklav
Garnlav
Mörk kolflarnlav
Spillkråka
Tallticka
Tretåig hackspett
Mindre märgborre
Tjäder</t>
        </is>
      </c>
      <c r="S25">
        <f>HYPERLINK("https://klasma.github.io/Logging_2034/artfynd/A 62829-2025 artfynd.xlsx", "A 62829-2025")</f>
        <v/>
      </c>
      <c r="T25">
        <f>HYPERLINK("https://klasma.github.io/Logging_2034/kartor/A 62829-2025 karta.png", "A 62829-2025")</f>
        <v/>
      </c>
      <c r="V25">
        <f>HYPERLINK("https://klasma.github.io/Logging_2034/klagomål/A 62829-2025 FSC-klagomål.docx", "A 62829-2025")</f>
        <v/>
      </c>
      <c r="W25">
        <f>HYPERLINK("https://klasma.github.io/Logging_2034/klagomålsmail/A 62829-2025 FSC-klagomål mail.docx", "A 62829-2025")</f>
        <v/>
      </c>
      <c r="X25">
        <f>HYPERLINK("https://klasma.github.io/Logging_2034/tillsyn/A 62829-2025 tillsynsbegäran.docx", "A 62829-2025")</f>
        <v/>
      </c>
      <c r="Y25">
        <f>HYPERLINK("https://klasma.github.io/Logging_2034/tillsynsmail/A 62829-2025 tillsynsbegäran mail.docx", "A 62829-2025")</f>
        <v/>
      </c>
      <c r="Z25">
        <f>HYPERLINK("https://klasma.github.io/Logging_2034/fåglar/A 62829-2025 prioriterade fågelarter.docx", "A 62829-2025")</f>
        <v/>
      </c>
    </row>
    <row r="26" ht="15" customHeight="1">
      <c r="A26" t="inlineStr">
        <is>
          <t>A 51305-2023</t>
        </is>
      </c>
      <c r="B26" s="1" t="n">
        <v>45219</v>
      </c>
      <c r="C26" s="1" t="n">
        <v>46181</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707-2024</t>
        </is>
      </c>
      <c r="B27" s="1" t="n">
        <v>45300</v>
      </c>
      <c r="C27" s="1" t="n">
        <v>46181</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62761-2025</t>
        </is>
      </c>
      <c r="B28" s="1" t="n">
        <v>46008.59363425926</v>
      </c>
      <c r="C28" s="1" t="n">
        <v>46181</v>
      </c>
      <c r="D28" t="inlineStr">
        <is>
          <t>DALARNAS LÄN</t>
        </is>
      </c>
      <c r="E28" t="inlineStr">
        <is>
          <t>ORSA</t>
        </is>
      </c>
      <c r="G28" t="n">
        <v>1.1</v>
      </c>
      <c r="H28" t="n">
        <v>1</v>
      </c>
      <c r="I28" t="n">
        <v>4</v>
      </c>
      <c r="J28" t="n">
        <v>2</v>
      </c>
      <c r="K28" t="n">
        <v>1</v>
      </c>
      <c r="L28" t="n">
        <v>0</v>
      </c>
      <c r="M28" t="n">
        <v>0</v>
      </c>
      <c r="N28" t="n">
        <v>0</v>
      </c>
      <c r="O28" t="n">
        <v>3</v>
      </c>
      <c r="P28" t="n">
        <v>1</v>
      </c>
      <c r="Q28" t="n">
        <v>7</v>
      </c>
      <c r="R28" s="2" t="inlineStr">
        <is>
          <t>Ringlav
Garnlav
Tretåig hackspett
Bronshjon
Mindre märgborre
Rödgul trumpetsvamp
Svavelriska</t>
        </is>
      </c>
      <c r="S28">
        <f>HYPERLINK("https://klasma.github.io/Logging_2034/artfynd/A 62761-2025 artfynd.xlsx", "A 62761-2025")</f>
        <v/>
      </c>
      <c r="T28">
        <f>HYPERLINK("https://klasma.github.io/Logging_2034/kartor/A 62761-2025 karta.png", "A 62761-2025")</f>
        <v/>
      </c>
      <c r="V28">
        <f>HYPERLINK("https://klasma.github.io/Logging_2034/klagomål/A 62761-2025 FSC-klagomål.docx", "A 62761-2025")</f>
        <v/>
      </c>
      <c r="W28">
        <f>HYPERLINK("https://klasma.github.io/Logging_2034/klagomålsmail/A 62761-2025 FSC-klagomål mail.docx", "A 62761-2025")</f>
        <v/>
      </c>
      <c r="X28">
        <f>HYPERLINK("https://klasma.github.io/Logging_2034/tillsyn/A 62761-2025 tillsynsbegäran.docx", "A 62761-2025")</f>
        <v/>
      </c>
      <c r="Y28">
        <f>HYPERLINK("https://klasma.github.io/Logging_2034/tillsynsmail/A 62761-2025 tillsynsbegäran mail.docx", "A 62761-2025")</f>
        <v/>
      </c>
      <c r="Z28">
        <f>HYPERLINK("https://klasma.github.io/Logging_2034/fåglar/A 62761-2025 prioriterade fågelarter.docx", "A 62761-2025")</f>
        <v/>
      </c>
    </row>
    <row r="29" ht="15" customHeight="1">
      <c r="A29" t="inlineStr">
        <is>
          <t>A 21799-2026</t>
        </is>
      </c>
      <c r="B29" s="1" t="n">
        <v>46150.43199074074</v>
      </c>
      <c r="C29" s="1" t="n">
        <v>46181</v>
      </c>
      <c r="D29" t="inlineStr">
        <is>
          <t>DALARNAS LÄN</t>
        </is>
      </c>
      <c r="E29" t="inlineStr">
        <is>
          <t>ORSA</t>
        </is>
      </c>
      <c r="G29" t="n">
        <v>3.3</v>
      </c>
      <c r="H29" t="n">
        <v>2</v>
      </c>
      <c r="I29" t="n">
        <v>3</v>
      </c>
      <c r="J29" t="n">
        <v>3</v>
      </c>
      <c r="K29" t="n">
        <v>0</v>
      </c>
      <c r="L29" t="n">
        <v>0</v>
      </c>
      <c r="M29" t="n">
        <v>0</v>
      </c>
      <c r="N29" t="n">
        <v>0</v>
      </c>
      <c r="O29" t="n">
        <v>3</v>
      </c>
      <c r="P29" t="n">
        <v>0</v>
      </c>
      <c r="Q29" t="n">
        <v>7</v>
      </c>
      <c r="R29" s="2" t="inlineStr">
        <is>
          <t>Garnlav
Granticka
Tretåig hackspett
Bronshjon
Vanlig flatbagge
Vedticka
Tjäder</t>
        </is>
      </c>
      <c r="S29">
        <f>HYPERLINK("https://klasma.github.io/Logging_2034/artfynd/A 21799-2026 artfynd.xlsx", "A 21799-2026")</f>
        <v/>
      </c>
      <c r="T29">
        <f>HYPERLINK("https://klasma.github.io/Logging_2034/kartor/A 21799-2026 karta.png", "A 21799-2026")</f>
        <v/>
      </c>
      <c r="V29">
        <f>HYPERLINK("https://klasma.github.io/Logging_2034/klagomål/A 21799-2026 FSC-klagomål.docx", "A 21799-2026")</f>
        <v/>
      </c>
      <c r="W29">
        <f>HYPERLINK("https://klasma.github.io/Logging_2034/klagomålsmail/A 21799-2026 FSC-klagomål mail.docx", "A 21799-2026")</f>
        <v/>
      </c>
      <c r="X29">
        <f>HYPERLINK("https://klasma.github.io/Logging_2034/tillsyn/A 21799-2026 tillsynsbegäran.docx", "A 21799-2026")</f>
        <v/>
      </c>
      <c r="Y29">
        <f>HYPERLINK("https://klasma.github.io/Logging_2034/tillsynsmail/A 21799-2026 tillsynsbegäran mail.docx", "A 21799-2026")</f>
        <v/>
      </c>
      <c r="Z29">
        <f>HYPERLINK("https://klasma.github.io/Logging_2034/fåglar/A 21799-2026 prioriterade fågelarter.docx", "A 21799-2026")</f>
        <v/>
      </c>
    </row>
    <row r="30" ht="15" customHeight="1">
      <c r="A30" t="inlineStr">
        <is>
          <t>A 22647-2022</t>
        </is>
      </c>
      <c r="B30" s="1" t="n">
        <v>44714</v>
      </c>
      <c r="C30" s="1" t="n">
        <v>46181</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46181</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883-2026</t>
        </is>
      </c>
      <c r="B32" s="1" t="n">
        <v>46030.44587962963</v>
      </c>
      <c r="C32" s="1" t="n">
        <v>46181</v>
      </c>
      <c r="D32" t="inlineStr">
        <is>
          <t>DALARNAS LÄN</t>
        </is>
      </c>
      <c r="E32" t="inlineStr">
        <is>
          <t>ORSA</t>
        </is>
      </c>
      <c r="G32" t="n">
        <v>2.8</v>
      </c>
      <c r="H32" t="n">
        <v>0</v>
      </c>
      <c r="I32" t="n">
        <v>0</v>
      </c>
      <c r="J32" t="n">
        <v>5</v>
      </c>
      <c r="K32" t="n">
        <v>1</v>
      </c>
      <c r="L32" t="n">
        <v>0</v>
      </c>
      <c r="M32" t="n">
        <v>0</v>
      </c>
      <c r="N32" t="n">
        <v>0</v>
      </c>
      <c r="O32" t="n">
        <v>6</v>
      </c>
      <c r="P32" t="n">
        <v>1</v>
      </c>
      <c r="Q32" t="n">
        <v>6</v>
      </c>
      <c r="R32" s="2" t="inlineStr">
        <is>
          <t>Rynkskinn
Garnlav
Granticka
Rosenticka
Ullticka
Vedtrappmossa</t>
        </is>
      </c>
      <c r="S32">
        <f>HYPERLINK("https://klasma.github.io/Logging_2034/artfynd/A 883-2026 artfynd.xlsx", "A 883-2026")</f>
        <v/>
      </c>
      <c r="T32">
        <f>HYPERLINK("https://klasma.github.io/Logging_2034/kartor/A 883-2026 karta.png", "A 883-2026")</f>
        <v/>
      </c>
      <c r="V32">
        <f>HYPERLINK("https://klasma.github.io/Logging_2034/klagomål/A 883-2026 FSC-klagomål.docx", "A 883-2026")</f>
        <v/>
      </c>
      <c r="W32">
        <f>HYPERLINK("https://klasma.github.io/Logging_2034/klagomålsmail/A 883-2026 FSC-klagomål mail.docx", "A 883-2026")</f>
        <v/>
      </c>
      <c r="X32">
        <f>HYPERLINK("https://klasma.github.io/Logging_2034/tillsyn/A 883-2026 tillsynsbegäran.docx", "A 883-2026")</f>
        <v/>
      </c>
      <c r="Y32">
        <f>HYPERLINK("https://klasma.github.io/Logging_2034/tillsynsmail/A 883-2026 tillsynsbegäran mail.docx", "A 883-2026")</f>
        <v/>
      </c>
    </row>
    <row r="33" ht="15" customHeight="1">
      <c r="A33" t="inlineStr">
        <is>
          <t>A 7619-2025</t>
        </is>
      </c>
      <c r="B33" s="1" t="n">
        <v>45705</v>
      </c>
      <c r="C33" s="1" t="n">
        <v>46181</v>
      </c>
      <c r="D33" t="inlineStr">
        <is>
          <t>DALARNAS LÄN</t>
        </is>
      </c>
      <c r="E33" t="inlineStr">
        <is>
          <t>ORSA</t>
        </is>
      </c>
      <c r="G33" t="n">
        <v>5.4</v>
      </c>
      <c r="H33" t="n">
        <v>3</v>
      </c>
      <c r="I33" t="n">
        <v>0</v>
      </c>
      <c r="J33" t="n">
        <v>5</v>
      </c>
      <c r="K33" t="n">
        <v>1</v>
      </c>
      <c r="L33" t="n">
        <v>0</v>
      </c>
      <c r="M33" t="n">
        <v>0</v>
      </c>
      <c r="N33" t="n">
        <v>0</v>
      </c>
      <c r="O33" t="n">
        <v>6</v>
      </c>
      <c r="P33" t="n">
        <v>1</v>
      </c>
      <c r="Q33" t="n">
        <v>6</v>
      </c>
      <c r="R33" s="2" t="inlineStr">
        <is>
          <t>Knärot
Garnlav
Granticka
Skogshare
Spillkråka
Tretåig hackspett</t>
        </is>
      </c>
      <c r="S33">
        <f>HYPERLINK("https://klasma.github.io/Logging_2034/artfynd/A 7619-2025 artfynd.xlsx", "A 7619-2025")</f>
        <v/>
      </c>
      <c r="T33">
        <f>HYPERLINK("https://klasma.github.io/Logging_2034/kartor/A 7619-2025 karta.png", "A 7619-2025")</f>
        <v/>
      </c>
      <c r="U33">
        <f>HYPERLINK("https://klasma.github.io/Logging_2034/knärot/A 7619-2025 karta knärot.png",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62748-2025</t>
        </is>
      </c>
      <c r="B34" s="1" t="n">
        <v>46008.57913194445</v>
      </c>
      <c r="C34" s="1" t="n">
        <v>46181</v>
      </c>
      <c r="D34" t="inlineStr">
        <is>
          <t>DALARNAS LÄN</t>
        </is>
      </c>
      <c r="E34" t="inlineStr">
        <is>
          <t>ORSA</t>
        </is>
      </c>
      <c r="G34" t="n">
        <v>10.8</v>
      </c>
      <c r="H34" t="n">
        <v>1</v>
      </c>
      <c r="I34" t="n">
        <v>2</v>
      </c>
      <c r="J34" t="n">
        <v>4</v>
      </c>
      <c r="K34" t="n">
        <v>0</v>
      </c>
      <c r="L34" t="n">
        <v>0</v>
      </c>
      <c r="M34" t="n">
        <v>0</v>
      </c>
      <c r="N34" t="n">
        <v>0</v>
      </c>
      <c r="O34" t="n">
        <v>4</v>
      </c>
      <c r="P34" t="n">
        <v>0</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22778-2026</t>
        </is>
      </c>
      <c r="B35" s="1" t="n">
        <v>46157.57898148148</v>
      </c>
      <c r="C35" s="1" t="n">
        <v>46181</v>
      </c>
      <c r="D35" t="inlineStr">
        <is>
          <t>DALARNAS LÄN</t>
        </is>
      </c>
      <c r="E35" t="inlineStr">
        <is>
          <t>ORSA</t>
        </is>
      </c>
      <c r="G35" t="n">
        <v>2.3</v>
      </c>
      <c r="H35" t="n">
        <v>4</v>
      </c>
      <c r="I35" t="n">
        <v>1</v>
      </c>
      <c r="J35" t="n">
        <v>3</v>
      </c>
      <c r="K35" t="n">
        <v>0</v>
      </c>
      <c r="L35" t="n">
        <v>0</v>
      </c>
      <c r="M35" t="n">
        <v>0</v>
      </c>
      <c r="N35" t="n">
        <v>0</v>
      </c>
      <c r="O35" t="n">
        <v>3</v>
      </c>
      <c r="P35" t="n">
        <v>0</v>
      </c>
      <c r="Q35" t="n">
        <v>6</v>
      </c>
      <c r="R35" s="2" t="inlineStr">
        <is>
          <t>Blå taggsvamp
Spillkråka
Svartvit flugsnappare
Mindre märgborre
Grönsiska
Trädlärka</t>
        </is>
      </c>
      <c r="S35">
        <f>HYPERLINK("https://klasma.github.io/Logging_2034/artfynd/A 22778-2026 artfynd.xlsx", "A 22778-2026")</f>
        <v/>
      </c>
      <c r="T35">
        <f>HYPERLINK("https://klasma.github.io/Logging_2034/kartor/A 22778-2026 karta.png", "A 22778-2026")</f>
        <v/>
      </c>
      <c r="V35">
        <f>HYPERLINK("https://klasma.github.io/Logging_2034/klagomål/A 22778-2026 FSC-klagomål.docx", "A 22778-2026")</f>
        <v/>
      </c>
      <c r="W35">
        <f>HYPERLINK("https://klasma.github.io/Logging_2034/klagomålsmail/A 22778-2026 FSC-klagomål mail.docx", "A 22778-2026")</f>
        <v/>
      </c>
      <c r="X35">
        <f>HYPERLINK("https://klasma.github.io/Logging_2034/tillsyn/A 22778-2026 tillsynsbegäran.docx", "A 22778-2026")</f>
        <v/>
      </c>
      <c r="Y35">
        <f>HYPERLINK("https://klasma.github.io/Logging_2034/tillsynsmail/A 22778-2026 tillsynsbegäran mail.docx", "A 22778-2026")</f>
        <v/>
      </c>
      <c r="Z35">
        <f>HYPERLINK("https://klasma.github.io/Logging_2034/fåglar/A 22778-2026 prioriterade fågelarter.docx", "A 22778-2026")</f>
        <v/>
      </c>
    </row>
    <row r="36" ht="15" customHeight="1">
      <c r="A36" t="inlineStr">
        <is>
          <t>A 8107-2024</t>
        </is>
      </c>
      <c r="B36" s="1" t="n">
        <v>45351</v>
      </c>
      <c r="C36" s="1" t="n">
        <v>46181</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49516-2025</t>
        </is>
      </c>
      <c r="B37" s="1" t="n">
        <v>45939.38631944444</v>
      </c>
      <c r="C37" s="1" t="n">
        <v>46181</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7618-2025</t>
        </is>
      </c>
      <c r="B38" s="1" t="n">
        <v>45705</v>
      </c>
      <c r="C38" s="1" t="n">
        <v>46181</v>
      </c>
      <c r="D38" t="inlineStr">
        <is>
          <t>DALARNAS LÄN</t>
        </is>
      </c>
      <c r="E38" t="inlineStr">
        <is>
          <t>ORSA</t>
        </is>
      </c>
      <c r="G38" t="n">
        <v>0.9</v>
      </c>
      <c r="H38" t="n">
        <v>2</v>
      </c>
      <c r="I38" t="n">
        <v>0</v>
      </c>
      <c r="J38" t="n">
        <v>4</v>
      </c>
      <c r="K38" t="n">
        <v>1</v>
      </c>
      <c r="L38" t="n">
        <v>0</v>
      </c>
      <c r="M38" t="n">
        <v>0</v>
      </c>
      <c r="N38" t="n">
        <v>0</v>
      </c>
      <c r="O38" t="n">
        <v>5</v>
      </c>
      <c r="P38" t="n">
        <v>1</v>
      </c>
      <c r="Q38" t="n">
        <v>5</v>
      </c>
      <c r="R38" s="2" t="inlineStr">
        <is>
          <t>Knärot
Garnlav
Kolflarnlav
Talltita
Violettgrå tagellav</t>
        </is>
      </c>
      <c r="S38">
        <f>HYPERLINK("https://klasma.github.io/Logging_2034/artfynd/A 7618-2025 artfynd.xlsx", "A 7618-2025")</f>
        <v/>
      </c>
      <c r="T38">
        <f>HYPERLINK("https://klasma.github.io/Logging_2034/kartor/A 7618-2025 karta.png", "A 7618-2025")</f>
        <v/>
      </c>
      <c r="U38">
        <f>HYPERLINK("https://klasma.github.io/Logging_2034/knärot/A 7618-2025 karta knärot.png", "A 7618-2025")</f>
        <v/>
      </c>
      <c r="V38">
        <f>HYPERLINK("https://klasma.github.io/Logging_2034/klagomål/A 7618-2025 FSC-klagomål.docx", "A 7618-2025")</f>
        <v/>
      </c>
      <c r="W38">
        <f>HYPERLINK("https://klasma.github.io/Logging_2034/klagomålsmail/A 7618-2025 FSC-klagomål mail.docx", "A 7618-2025")</f>
        <v/>
      </c>
      <c r="X38">
        <f>HYPERLINK("https://klasma.github.io/Logging_2034/tillsyn/A 7618-2025 tillsynsbegäran.docx", "A 7618-2025")</f>
        <v/>
      </c>
      <c r="Y38">
        <f>HYPERLINK("https://klasma.github.io/Logging_2034/tillsynsmail/A 7618-2025 tillsynsbegäran mail.docx", "A 7618-2025")</f>
        <v/>
      </c>
      <c r="Z38">
        <f>HYPERLINK("https://klasma.github.io/Logging_2034/fåglar/A 7618-2025 prioriterade fågelarter.docx", "A 7618-2025")</f>
        <v/>
      </c>
    </row>
    <row r="39" ht="15" customHeight="1">
      <c r="A39" t="inlineStr">
        <is>
          <t>A 21919-2026</t>
        </is>
      </c>
      <c r="B39" s="1" t="n">
        <v>46150.64587962963</v>
      </c>
      <c r="C39" s="1" t="n">
        <v>46181</v>
      </c>
      <c r="D39" t="inlineStr">
        <is>
          <t>DALARNAS LÄN</t>
        </is>
      </c>
      <c r="E39" t="inlineStr">
        <is>
          <t>ORSA</t>
        </is>
      </c>
      <c r="F39" t="inlineStr">
        <is>
          <t>Bergvik skog öst AB</t>
        </is>
      </c>
      <c r="G39" t="n">
        <v>12.4</v>
      </c>
      <c r="H39" t="n">
        <v>0</v>
      </c>
      <c r="I39" t="n">
        <v>1</v>
      </c>
      <c r="J39" t="n">
        <v>4</v>
      </c>
      <c r="K39" t="n">
        <v>0</v>
      </c>
      <c r="L39" t="n">
        <v>0</v>
      </c>
      <c r="M39" t="n">
        <v>0</v>
      </c>
      <c r="N39" t="n">
        <v>0</v>
      </c>
      <c r="O39" t="n">
        <v>4</v>
      </c>
      <c r="P39" t="n">
        <v>0</v>
      </c>
      <c r="Q39" t="n">
        <v>5</v>
      </c>
      <c r="R39" s="2" t="inlineStr">
        <is>
          <t>Blågrå svartspik
Garnlav
Kolflarnlav
Mörk kolflarnlav
Bronshjon</t>
        </is>
      </c>
      <c r="S39">
        <f>HYPERLINK("https://klasma.github.io/Logging_2034/artfynd/A 21919-2026 artfynd.xlsx", "A 21919-2026")</f>
        <v/>
      </c>
      <c r="T39">
        <f>HYPERLINK("https://klasma.github.io/Logging_2034/kartor/A 21919-2026 karta.png", "A 21919-2026")</f>
        <v/>
      </c>
      <c r="V39">
        <f>HYPERLINK("https://klasma.github.io/Logging_2034/klagomål/A 21919-2026 FSC-klagomål.docx", "A 21919-2026")</f>
        <v/>
      </c>
      <c r="W39">
        <f>HYPERLINK("https://klasma.github.io/Logging_2034/klagomålsmail/A 21919-2026 FSC-klagomål mail.docx", "A 21919-2026")</f>
        <v/>
      </c>
      <c r="X39">
        <f>HYPERLINK("https://klasma.github.io/Logging_2034/tillsyn/A 21919-2026 tillsynsbegäran.docx", "A 21919-2026")</f>
        <v/>
      </c>
      <c r="Y39">
        <f>HYPERLINK("https://klasma.github.io/Logging_2034/tillsynsmail/A 21919-2026 tillsynsbegäran mail.docx", "A 21919-2026")</f>
        <v/>
      </c>
    </row>
    <row r="40" ht="15" customHeight="1">
      <c r="A40" t="inlineStr">
        <is>
          <t>A 33841-2023</t>
        </is>
      </c>
      <c r="B40" s="1" t="n">
        <v>45133.66758101852</v>
      </c>
      <c r="C40" s="1" t="n">
        <v>46181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21476-2026</t>
        </is>
      </c>
      <c r="B41" s="1" t="n">
        <v>46148</v>
      </c>
      <c r="C41" s="1" t="n">
        <v>46181</v>
      </c>
      <c r="D41" t="inlineStr">
        <is>
          <t>DALARNAS LÄN</t>
        </is>
      </c>
      <c r="E41" t="inlineStr">
        <is>
          <t>ORSA</t>
        </is>
      </c>
      <c r="G41" t="n">
        <v>12.4</v>
      </c>
      <c r="H41" t="n">
        <v>4</v>
      </c>
      <c r="I41" t="n">
        <v>1</v>
      </c>
      <c r="J41" t="n">
        <v>2</v>
      </c>
      <c r="K41" t="n">
        <v>0</v>
      </c>
      <c r="L41" t="n">
        <v>0</v>
      </c>
      <c r="M41" t="n">
        <v>0</v>
      </c>
      <c r="N41" t="n">
        <v>0</v>
      </c>
      <c r="O41" t="n">
        <v>2</v>
      </c>
      <c r="P41" t="n">
        <v>0</v>
      </c>
      <c r="Q41" t="n">
        <v>5</v>
      </c>
      <c r="R41" s="2" t="inlineStr">
        <is>
          <t>Spillkråka
Talltita
Mörk husmossa
Mattlummer
Revlummer</t>
        </is>
      </c>
      <c r="S41">
        <f>HYPERLINK("https://klasma.github.io/Logging_2034/artfynd/A 21476-2026 artfynd.xlsx", "A 21476-2026")</f>
        <v/>
      </c>
      <c r="T41">
        <f>HYPERLINK("https://klasma.github.io/Logging_2034/kartor/A 21476-2026 karta.png", "A 21476-2026")</f>
        <v/>
      </c>
      <c r="V41">
        <f>HYPERLINK("https://klasma.github.io/Logging_2034/klagomål/A 21476-2026 FSC-klagomål.docx", "A 21476-2026")</f>
        <v/>
      </c>
      <c r="W41">
        <f>HYPERLINK("https://klasma.github.io/Logging_2034/klagomålsmail/A 21476-2026 FSC-klagomål mail.docx", "A 21476-2026")</f>
        <v/>
      </c>
      <c r="X41">
        <f>HYPERLINK("https://klasma.github.io/Logging_2034/tillsyn/A 21476-2026 tillsynsbegäran.docx", "A 21476-2026")</f>
        <v/>
      </c>
      <c r="Y41">
        <f>HYPERLINK("https://klasma.github.io/Logging_2034/tillsynsmail/A 21476-2026 tillsynsbegäran mail.docx", "A 21476-2026")</f>
        <v/>
      </c>
      <c r="Z41">
        <f>HYPERLINK("https://klasma.github.io/Logging_2034/fåglar/A 21476-2026 prioriterade fågelarter.docx", "A 21476-2026")</f>
        <v/>
      </c>
    </row>
    <row r="42" ht="15" customHeight="1">
      <c r="A42" t="inlineStr">
        <is>
          <t>A 50728-2022</t>
        </is>
      </c>
      <c r="B42" s="1" t="n">
        <v>44867</v>
      </c>
      <c r="C42" s="1" t="n">
        <v>46181</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22172-2025</t>
        </is>
      </c>
      <c r="B43" s="1" t="n">
        <v>45785</v>
      </c>
      <c r="C43" s="1" t="n">
        <v>46181</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48499-2024</t>
        </is>
      </c>
      <c r="B44" s="1" t="n">
        <v>45592</v>
      </c>
      <c r="C44" s="1" t="n">
        <v>46181</v>
      </c>
      <c r="D44" t="inlineStr">
        <is>
          <t>DALARNAS LÄN</t>
        </is>
      </c>
      <c r="E44" t="inlineStr">
        <is>
          <t>ORSA</t>
        </is>
      </c>
      <c r="G44" t="n">
        <v>11.1</v>
      </c>
      <c r="H44" t="n">
        <v>2</v>
      </c>
      <c r="I44" t="n">
        <v>0</v>
      </c>
      <c r="J44" t="n">
        <v>4</v>
      </c>
      <c r="K44" t="n">
        <v>0</v>
      </c>
      <c r="L44" t="n">
        <v>0</v>
      </c>
      <c r="M44" t="n">
        <v>0</v>
      </c>
      <c r="N44" t="n">
        <v>0</v>
      </c>
      <c r="O44" t="n">
        <v>4</v>
      </c>
      <c r="P44" t="n">
        <v>0</v>
      </c>
      <c r="Q44" t="n">
        <v>4</v>
      </c>
      <c r="R44" s="2" t="inlineStr">
        <is>
          <t>Garnlav
Skogshare
Spillkråka
Tretåig hackspett</t>
        </is>
      </c>
      <c r="S44">
        <f>HYPERLINK("https://klasma.github.io/Logging_2034/artfynd/A 48499-2024 artfynd.xlsx", "A 48499-2024")</f>
        <v/>
      </c>
      <c r="T44">
        <f>HYPERLINK("https://klasma.github.io/Logging_2034/kartor/A 48499-2024 karta.png", "A 48499-2024")</f>
        <v/>
      </c>
      <c r="V44">
        <f>HYPERLINK("https://klasma.github.io/Logging_2034/klagomål/A 48499-2024 FSC-klagomål.docx", "A 48499-2024")</f>
        <v/>
      </c>
      <c r="W44">
        <f>HYPERLINK("https://klasma.github.io/Logging_2034/klagomålsmail/A 48499-2024 FSC-klagomål mail.docx", "A 48499-2024")</f>
        <v/>
      </c>
      <c r="X44">
        <f>HYPERLINK("https://klasma.github.io/Logging_2034/tillsyn/A 48499-2024 tillsynsbegäran.docx", "A 48499-2024")</f>
        <v/>
      </c>
      <c r="Y44">
        <f>HYPERLINK("https://klasma.github.io/Logging_2034/tillsynsmail/A 48499-2024 tillsynsbegäran mail.docx", "A 48499-2024")</f>
        <v/>
      </c>
      <c r="Z44">
        <f>HYPERLINK("https://klasma.github.io/Logging_2034/fåglar/A 48499-2024 prioriterade fågelarter.docx", "A 48499-2024")</f>
        <v/>
      </c>
    </row>
    <row r="45" ht="15" customHeight="1">
      <c r="A45" t="inlineStr">
        <is>
          <t>A 62837-2025</t>
        </is>
      </c>
      <c r="B45" s="1" t="n">
        <v>46008.68391203704</v>
      </c>
      <c r="C45" s="1" t="n">
        <v>46181</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35570-2024</t>
        </is>
      </c>
      <c r="B46" s="1" t="n">
        <v>45531</v>
      </c>
      <c r="C46" s="1" t="n">
        <v>46181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33366-2023</t>
        </is>
      </c>
      <c r="B47" s="1" t="n">
        <v>45128</v>
      </c>
      <c r="C47" s="1" t="n">
        <v>46181</v>
      </c>
      <c r="D47" t="inlineStr">
        <is>
          <t>DALARNAS LÄN</t>
        </is>
      </c>
      <c r="E47" t="inlineStr">
        <is>
          <t>ORSA</t>
        </is>
      </c>
      <c r="F47" t="inlineStr">
        <is>
          <t>Bergvik skog väst AB</t>
        </is>
      </c>
      <c r="G47" t="n">
        <v>3.5</v>
      </c>
      <c r="H47" t="n">
        <v>1</v>
      </c>
      <c r="I47" t="n">
        <v>0</v>
      </c>
      <c r="J47" t="n">
        <v>4</v>
      </c>
      <c r="K47" t="n">
        <v>0</v>
      </c>
      <c r="L47" t="n">
        <v>0</v>
      </c>
      <c r="M47" t="n">
        <v>0</v>
      </c>
      <c r="N47" t="n">
        <v>0</v>
      </c>
      <c r="O47" t="n">
        <v>4</v>
      </c>
      <c r="P47" t="n">
        <v>0</v>
      </c>
      <c r="Q47" t="n">
        <v>4</v>
      </c>
      <c r="R47" s="2" t="inlineStr">
        <is>
          <t>Garnlav
Granticka
Tretåig hackspett
Violettgrå tagellav</t>
        </is>
      </c>
      <c r="S47">
        <f>HYPERLINK("https://klasma.github.io/Logging_2034/artfynd/A 33366-2023 artfynd.xlsx", "A 33366-2023")</f>
        <v/>
      </c>
      <c r="T47">
        <f>HYPERLINK("https://klasma.github.io/Logging_2034/kartor/A 33366-2023 karta.png", "A 33366-2023")</f>
        <v/>
      </c>
      <c r="V47">
        <f>HYPERLINK("https://klasma.github.io/Logging_2034/klagomål/A 33366-2023 FSC-klagomål.docx", "A 33366-2023")</f>
        <v/>
      </c>
      <c r="W47">
        <f>HYPERLINK("https://klasma.github.io/Logging_2034/klagomålsmail/A 33366-2023 FSC-klagomål mail.docx", "A 33366-2023")</f>
        <v/>
      </c>
      <c r="X47">
        <f>HYPERLINK("https://klasma.github.io/Logging_2034/tillsyn/A 33366-2023 tillsynsbegäran.docx", "A 33366-2023")</f>
        <v/>
      </c>
      <c r="Y47">
        <f>HYPERLINK("https://klasma.github.io/Logging_2034/tillsynsmail/A 33366-2023 tillsynsbegäran mail.docx", "A 33366-2023")</f>
        <v/>
      </c>
      <c r="Z47">
        <f>HYPERLINK("https://klasma.github.io/Logging_2034/fåglar/A 33366-2023 prioriterade fågelarter.docx", "A 33366-2023")</f>
        <v/>
      </c>
    </row>
    <row r="48" ht="15" customHeight="1">
      <c r="A48" t="inlineStr">
        <is>
          <t>A 29844-2025</t>
        </is>
      </c>
      <c r="B48" s="1" t="n">
        <v>45826</v>
      </c>
      <c r="C48" s="1" t="n">
        <v>46181</v>
      </c>
      <c r="D48" t="inlineStr">
        <is>
          <t>DALARNAS LÄN</t>
        </is>
      </c>
      <c r="E48" t="inlineStr">
        <is>
          <t>ORSA</t>
        </is>
      </c>
      <c r="F48" t="inlineStr">
        <is>
          <t>Allmännings- och besparingsskogar</t>
        </is>
      </c>
      <c r="G48" t="n">
        <v>53.9</v>
      </c>
      <c r="H48" t="n">
        <v>1</v>
      </c>
      <c r="I48" t="n">
        <v>1</v>
      </c>
      <c r="J48" t="n">
        <v>2</v>
      </c>
      <c r="K48" t="n">
        <v>0</v>
      </c>
      <c r="L48" t="n">
        <v>0</v>
      </c>
      <c r="M48" t="n">
        <v>0</v>
      </c>
      <c r="N48" t="n">
        <v>0</v>
      </c>
      <c r="O48" t="n">
        <v>2</v>
      </c>
      <c r="P48" t="n">
        <v>0</v>
      </c>
      <c r="Q48" t="n">
        <v>3</v>
      </c>
      <c r="R48" s="2" t="inlineStr">
        <is>
          <t>Garnlav
Spillkråka
Bronshjon</t>
        </is>
      </c>
      <c r="S48">
        <f>HYPERLINK("https://klasma.github.io/Logging_2034/artfynd/A 29844-2025 artfynd.xlsx", "A 29844-2025")</f>
        <v/>
      </c>
      <c r="T48">
        <f>HYPERLINK("https://klasma.github.io/Logging_2034/kartor/A 29844-2025 karta.png", "A 29844-2025")</f>
        <v/>
      </c>
      <c r="V48">
        <f>HYPERLINK("https://klasma.github.io/Logging_2034/klagomål/A 29844-2025 FSC-klagomål.docx", "A 29844-2025")</f>
        <v/>
      </c>
      <c r="W48">
        <f>HYPERLINK("https://klasma.github.io/Logging_2034/klagomålsmail/A 29844-2025 FSC-klagomål mail.docx", "A 29844-2025")</f>
        <v/>
      </c>
      <c r="X48">
        <f>HYPERLINK("https://klasma.github.io/Logging_2034/tillsyn/A 29844-2025 tillsynsbegäran.docx", "A 29844-2025")</f>
        <v/>
      </c>
      <c r="Y48">
        <f>HYPERLINK("https://klasma.github.io/Logging_2034/tillsynsmail/A 29844-2025 tillsynsbegäran mail.docx", "A 29844-2025")</f>
        <v/>
      </c>
      <c r="Z48">
        <f>HYPERLINK("https://klasma.github.io/Logging_2034/fåglar/A 29844-2025 prioriterade fågelarter.docx", "A 29844-2025")</f>
        <v/>
      </c>
    </row>
    <row r="49" ht="15" customHeight="1">
      <c r="A49" t="inlineStr">
        <is>
          <t>A 31336-2025</t>
        </is>
      </c>
      <c r="B49" s="1" t="n">
        <v>45833</v>
      </c>
      <c r="C49" s="1" t="n">
        <v>46181</v>
      </c>
      <c r="D49" t="inlineStr">
        <is>
          <t>DALARNAS LÄN</t>
        </is>
      </c>
      <c r="E49" t="inlineStr">
        <is>
          <t>ORSA</t>
        </is>
      </c>
      <c r="G49" t="n">
        <v>12.8</v>
      </c>
      <c r="H49" t="n">
        <v>1</v>
      </c>
      <c r="I49" t="n">
        <v>0</v>
      </c>
      <c r="J49" t="n">
        <v>3</v>
      </c>
      <c r="K49" t="n">
        <v>0</v>
      </c>
      <c r="L49" t="n">
        <v>0</v>
      </c>
      <c r="M49" t="n">
        <v>0</v>
      </c>
      <c r="N49" t="n">
        <v>0</v>
      </c>
      <c r="O49" t="n">
        <v>3</v>
      </c>
      <c r="P49" t="n">
        <v>0</v>
      </c>
      <c r="Q49" t="n">
        <v>3</v>
      </c>
      <c r="R49" s="2" t="inlineStr">
        <is>
          <t>Garnlav
Granticka
Spillkråka</t>
        </is>
      </c>
      <c r="S49">
        <f>HYPERLINK("https://klasma.github.io/Logging_2034/artfynd/A 31336-2025 artfynd.xlsx", "A 31336-2025")</f>
        <v/>
      </c>
      <c r="T49">
        <f>HYPERLINK("https://klasma.github.io/Logging_2034/kartor/A 31336-2025 karta.png", "A 31336-2025")</f>
        <v/>
      </c>
      <c r="V49">
        <f>HYPERLINK("https://klasma.github.io/Logging_2034/klagomål/A 31336-2025 FSC-klagomål.docx", "A 31336-2025")</f>
        <v/>
      </c>
      <c r="W49">
        <f>HYPERLINK("https://klasma.github.io/Logging_2034/klagomålsmail/A 31336-2025 FSC-klagomål mail.docx", "A 31336-2025")</f>
        <v/>
      </c>
      <c r="X49">
        <f>HYPERLINK("https://klasma.github.io/Logging_2034/tillsyn/A 31336-2025 tillsynsbegäran.docx", "A 31336-2025")</f>
        <v/>
      </c>
      <c r="Y49">
        <f>HYPERLINK("https://klasma.github.io/Logging_2034/tillsynsmail/A 31336-2025 tillsynsbegäran mail.docx", "A 31336-2025")</f>
        <v/>
      </c>
      <c r="Z49">
        <f>HYPERLINK("https://klasma.github.io/Logging_2034/fåglar/A 31336-2025 prioriterade fågelarter.docx", "A 31336-2025")</f>
        <v/>
      </c>
    </row>
    <row r="50" ht="15" customHeight="1">
      <c r="A50" t="inlineStr">
        <is>
          <t>A 48985-2025</t>
        </is>
      </c>
      <c r="B50" s="1" t="n">
        <v>45937.57505787037</v>
      </c>
      <c r="C50" s="1" t="n">
        <v>46181</v>
      </c>
      <c r="D50" t="inlineStr">
        <is>
          <t>DALARNAS LÄN</t>
        </is>
      </c>
      <c r="E50" t="inlineStr">
        <is>
          <t>ORSA</t>
        </is>
      </c>
      <c r="F50" t="inlineStr">
        <is>
          <t>Bergvik skog öst AB</t>
        </is>
      </c>
      <c r="G50" t="n">
        <v>7.1</v>
      </c>
      <c r="H50" t="n">
        <v>1</v>
      </c>
      <c r="I50" t="n">
        <v>1</v>
      </c>
      <c r="J50" t="n">
        <v>2</v>
      </c>
      <c r="K50" t="n">
        <v>0</v>
      </c>
      <c r="L50" t="n">
        <v>0</v>
      </c>
      <c r="M50" t="n">
        <v>0</v>
      </c>
      <c r="N50" t="n">
        <v>0</v>
      </c>
      <c r="O50" t="n">
        <v>2</v>
      </c>
      <c r="P50" t="n">
        <v>0</v>
      </c>
      <c r="Q50" t="n">
        <v>3</v>
      </c>
      <c r="R50" s="2" t="inlineStr">
        <is>
          <t>Skrovellav
Talltita
Norrlandslav</t>
        </is>
      </c>
      <c r="S50">
        <f>HYPERLINK("https://klasma.github.io/Logging_2034/artfynd/A 48985-2025 artfynd.xlsx", "A 48985-2025")</f>
        <v/>
      </c>
      <c r="T50">
        <f>HYPERLINK("https://klasma.github.io/Logging_2034/kartor/A 48985-2025 karta.png", "A 48985-2025")</f>
        <v/>
      </c>
      <c r="V50">
        <f>HYPERLINK("https://klasma.github.io/Logging_2034/klagomål/A 48985-2025 FSC-klagomål.docx", "A 48985-2025")</f>
        <v/>
      </c>
      <c r="W50">
        <f>HYPERLINK("https://klasma.github.io/Logging_2034/klagomålsmail/A 48985-2025 FSC-klagomål mail.docx", "A 48985-2025")</f>
        <v/>
      </c>
      <c r="X50">
        <f>HYPERLINK("https://klasma.github.io/Logging_2034/tillsyn/A 48985-2025 tillsynsbegäran.docx", "A 48985-2025")</f>
        <v/>
      </c>
      <c r="Y50">
        <f>HYPERLINK("https://klasma.github.io/Logging_2034/tillsynsmail/A 48985-2025 tillsynsbegäran mail.docx", "A 48985-2025")</f>
        <v/>
      </c>
      <c r="Z50">
        <f>HYPERLINK("https://klasma.github.io/Logging_2034/fåglar/A 48985-2025 prioriterade fågelarter.docx", "A 48985-2025")</f>
        <v/>
      </c>
    </row>
    <row r="51" ht="15" customHeight="1">
      <c r="A51" t="inlineStr">
        <is>
          <t>A 61163-2025</t>
        </is>
      </c>
      <c r="B51" s="1" t="n">
        <v>46000.55846064815</v>
      </c>
      <c r="C51" s="1" t="n">
        <v>46181</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51070-2025</t>
        </is>
      </c>
      <c r="B52" s="1" t="n">
        <v>45947.45513888889</v>
      </c>
      <c r="C52" s="1" t="n">
        <v>46181</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64154-2025</t>
        </is>
      </c>
      <c r="B53" s="1" t="n">
        <v>46022</v>
      </c>
      <c r="C53" s="1" t="n">
        <v>46181</v>
      </c>
      <c r="D53" t="inlineStr">
        <is>
          <t>DALARNAS LÄN</t>
        </is>
      </c>
      <c r="E53" t="inlineStr">
        <is>
          <t>ORSA</t>
        </is>
      </c>
      <c r="G53" t="n">
        <v>29.9</v>
      </c>
      <c r="H53" t="n">
        <v>1</v>
      </c>
      <c r="I53" t="n">
        <v>1</v>
      </c>
      <c r="J53" t="n">
        <v>2</v>
      </c>
      <c r="K53" t="n">
        <v>0</v>
      </c>
      <c r="L53" t="n">
        <v>0</v>
      </c>
      <c r="M53" t="n">
        <v>0</v>
      </c>
      <c r="N53" t="n">
        <v>0</v>
      </c>
      <c r="O53" t="n">
        <v>2</v>
      </c>
      <c r="P53" t="n">
        <v>0</v>
      </c>
      <c r="Q53" t="n">
        <v>3</v>
      </c>
      <c r="R53" s="2" t="inlineStr">
        <is>
          <t>Garnlav
Tretåig hackspett
Mindre märgborre</t>
        </is>
      </c>
      <c r="S53">
        <f>HYPERLINK("https://klasma.github.io/Logging_2034/artfynd/A 64154-2025 artfynd.xlsx", "A 64154-2025")</f>
        <v/>
      </c>
      <c r="T53">
        <f>HYPERLINK("https://klasma.github.io/Logging_2034/kartor/A 64154-2025 karta.png", "A 64154-2025")</f>
        <v/>
      </c>
      <c r="V53">
        <f>HYPERLINK("https://klasma.github.io/Logging_2034/klagomål/A 64154-2025 FSC-klagomål.docx", "A 64154-2025")</f>
        <v/>
      </c>
      <c r="W53">
        <f>HYPERLINK("https://klasma.github.io/Logging_2034/klagomålsmail/A 64154-2025 FSC-klagomål mail.docx", "A 64154-2025")</f>
        <v/>
      </c>
      <c r="X53">
        <f>HYPERLINK("https://klasma.github.io/Logging_2034/tillsyn/A 64154-2025 tillsynsbegäran.docx", "A 64154-2025")</f>
        <v/>
      </c>
      <c r="Y53">
        <f>HYPERLINK("https://klasma.github.io/Logging_2034/tillsynsmail/A 64154-2025 tillsynsbegäran mail.docx", "A 64154-2025")</f>
        <v/>
      </c>
      <c r="Z53">
        <f>HYPERLINK("https://klasma.github.io/Logging_2034/fåglar/A 64154-2025 prioriterade fågelarter.docx", "A 64154-2025")</f>
        <v/>
      </c>
    </row>
    <row r="54" ht="15" customHeight="1">
      <c r="A54" t="inlineStr">
        <is>
          <t>A 31161-2025</t>
        </is>
      </c>
      <c r="B54" s="1" t="n">
        <v>45832</v>
      </c>
      <c r="C54" s="1" t="n">
        <v>46181</v>
      </c>
      <c r="D54" t="inlineStr">
        <is>
          <t>DALARNAS LÄN</t>
        </is>
      </c>
      <c r="E54" t="inlineStr">
        <is>
          <t>ORSA</t>
        </is>
      </c>
      <c r="G54" t="n">
        <v>1.7</v>
      </c>
      <c r="H54" t="n">
        <v>1</v>
      </c>
      <c r="I54" t="n">
        <v>1</v>
      </c>
      <c r="J54" t="n">
        <v>2</v>
      </c>
      <c r="K54" t="n">
        <v>0</v>
      </c>
      <c r="L54" t="n">
        <v>0</v>
      </c>
      <c r="M54" t="n">
        <v>0</v>
      </c>
      <c r="N54" t="n">
        <v>0</v>
      </c>
      <c r="O54" t="n">
        <v>2</v>
      </c>
      <c r="P54" t="n">
        <v>0</v>
      </c>
      <c r="Q54" t="n">
        <v>3</v>
      </c>
      <c r="R54" s="2" t="inlineStr">
        <is>
          <t>Garnlav
Tretåig hackspett
Bronshjon</t>
        </is>
      </c>
      <c r="S54">
        <f>HYPERLINK("https://klasma.github.io/Logging_2034/artfynd/A 31161-2025 artfynd.xlsx", "A 31161-2025")</f>
        <v/>
      </c>
      <c r="T54">
        <f>HYPERLINK("https://klasma.github.io/Logging_2034/kartor/A 31161-2025 karta.png", "A 31161-2025")</f>
        <v/>
      </c>
      <c r="V54">
        <f>HYPERLINK("https://klasma.github.io/Logging_2034/klagomål/A 31161-2025 FSC-klagomål.docx", "A 31161-2025")</f>
        <v/>
      </c>
      <c r="W54">
        <f>HYPERLINK("https://klasma.github.io/Logging_2034/klagomålsmail/A 31161-2025 FSC-klagomål mail.docx", "A 31161-2025")</f>
        <v/>
      </c>
      <c r="X54">
        <f>HYPERLINK("https://klasma.github.io/Logging_2034/tillsyn/A 31161-2025 tillsynsbegäran.docx", "A 31161-2025")</f>
        <v/>
      </c>
      <c r="Y54">
        <f>HYPERLINK("https://klasma.github.io/Logging_2034/tillsynsmail/A 31161-2025 tillsynsbegäran mail.docx", "A 31161-2025")</f>
        <v/>
      </c>
      <c r="Z54">
        <f>HYPERLINK("https://klasma.github.io/Logging_2034/fåglar/A 31161-2025 prioriterade fågelarter.docx", "A 31161-2025")</f>
        <v/>
      </c>
    </row>
    <row r="55" ht="15" customHeight="1">
      <c r="A55" t="inlineStr">
        <is>
          <t>A 51289-2023</t>
        </is>
      </c>
      <c r="B55" s="1" t="n">
        <v>45219.54077546296</v>
      </c>
      <c r="C55" s="1" t="n">
        <v>46181</v>
      </c>
      <c r="D55" t="inlineStr">
        <is>
          <t>DALARNAS LÄN</t>
        </is>
      </c>
      <c r="E55" t="inlineStr">
        <is>
          <t>ORSA</t>
        </is>
      </c>
      <c r="G55" t="n">
        <v>1.5</v>
      </c>
      <c r="H55" t="n">
        <v>1</v>
      </c>
      <c r="I55" t="n">
        <v>1</v>
      </c>
      <c r="J55" t="n">
        <v>2</v>
      </c>
      <c r="K55" t="n">
        <v>0</v>
      </c>
      <c r="L55" t="n">
        <v>0</v>
      </c>
      <c r="M55" t="n">
        <v>0</v>
      </c>
      <c r="N55" t="n">
        <v>0</v>
      </c>
      <c r="O55" t="n">
        <v>2</v>
      </c>
      <c r="P55" t="n">
        <v>0</v>
      </c>
      <c r="Q55" t="n">
        <v>3</v>
      </c>
      <c r="R55" s="2" t="inlineStr">
        <is>
          <t>Garnlav
Spillkråka
Mindre märgborre</t>
        </is>
      </c>
      <c r="S55">
        <f>HYPERLINK("https://klasma.github.io/Logging_2034/artfynd/A 51289-2023 artfynd.xlsx", "A 51289-2023")</f>
        <v/>
      </c>
      <c r="T55">
        <f>HYPERLINK("https://klasma.github.io/Logging_2034/kartor/A 51289-2023 karta.png", "A 51289-2023")</f>
        <v/>
      </c>
      <c r="V55">
        <f>HYPERLINK("https://klasma.github.io/Logging_2034/klagomål/A 51289-2023 FSC-klagomål.docx", "A 51289-2023")</f>
        <v/>
      </c>
      <c r="W55">
        <f>HYPERLINK("https://klasma.github.io/Logging_2034/klagomålsmail/A 51289-2023 FSC-klagomål mail.docx", "A 51289-2023")</f>
        <v/>
      </c>
      <c r="X55">
        <f>HYPERLINK("https://klasma.github.io/Logging_2034/tillsyn/A 51289-2023 tillsynsbegäran.docx", "A 51289-2023")</f>
        <v/>
      </c>
      <c r="Y55">
        <f>HYPERLINK("https://klasma.github.io/Logging_2034/tillsynsmail/A 51289-2023 tillsynsbegäran mail.docx", "A 51289-2023")</f>
        <v/>
      </c>
      <c r="Z55">
        <f>HYPERLINK("https://klasma.github.io/Logging_2034/fåglar/A 51289-2023 prioriterade fågelarter.docx", "A 51289-2023")</f>
        <v/>
      </c>
    </row>
    <row r="56" ht="15" customHeight="1">
      <c r="A56" t="inlineStr">
        <is>
          <t>A 21747-2025</t>
        </is>
      </c>
      <c r="B56" s="1" t="n">
        <v>45783.60923611111</v>
      </c>
      <c r="C56" s="1" t="n">
        <v>46181</v>
      </c>
      <c r="D56" t="inlineStr">
        <is>
          <t>DALARNAS LÄN</t>
        </is>
      </c>
      <c r="E56" t="inlineStr">
        <is>
          <t>ORSA</t>
        </is>
      </c>
      <c r="G56" t="n">
        <v>1.2</v>
      </c>
      <c r="H56" t="n">
        <v>0</v>
      </c>
      <c r="I56" t="n">
        <v>1</v>
      </c>
      <c r="J56" t="n">
        <v>2</v>
      </c>
      <c r="K56" t="n">
        <v>0</v>
      </c>
      <c r="L56" t="n">
        <v>0</v>
      </c>
      <c r="M56" t="n">
        <v>0</v>
      </c>
      <c r="N56" t="n">
        <v>0</v>
      </c>
      <c r="O56" t="n">
        <v>2</v>
      </c>
      <c r="P56" t="n">
        <v>0</v>
      </c>
      <c r="Q56" t="n">
        <v>3</v>
      </c>
      <c r="R56" s="2" t="inlineStr">
        <is>
          <t>Garnlav
Violettgrå tagellav
Mindre märgborre</t>
        </is>
      </c>
      <c r="S56">
        <f>HYPERLINK("https://klasma.github.io/Logging_2034/artfynd/A 21747-2025 artfynd.xlsx", "A 21747-2025")</f>
        <v/>
      </c>
      <c r="T56">
        <f>HYPERLINK("https://klasma.github.io/Logging_2034/kartor/A 21747-2025 karta.png", "A 21747-2025")</f>
        <v/>
      </c>
      <c r="V56">
        <f>HYPERLINK("https://klasma.github.io/Logging_2034/klagomål/A 21747-2025 FSC-klagomål.docx", "A 21747-2025")</f>
        <v/>
      </c>
      <c r="W56">
        <f>HYPERLINK("https://klasma.github.io/Logging_2034/klagomålsmail/A 21747-2025 FSC-klagomål mail.docx", "A 21747-2025")</f>
        <v/>
      </c>
      <c r="X56">
        <f>HYPERLINK("https://klasma.github.io/Logging_2034/tillsyn/A 21747-2025 tillsynsbegäran.docx", "A 21747-2025")</f>
        <v/>
      </c>
      <c r="Y56">
        <f>HYPERLINK("https://klasma.github.io/Logging_2034/tillsynsmail/A 21747-2025 tillsynsbegäran mail.docx", "A 21747-2025")</f>
        <v/>
      </c>
    </row>
    <row r="57" ht="15" customHeight="1">
      <c r="A57" t="inlineStr">
        <is>
          <t>A 63810-2021</t>
        </is>
      </c>
      <c r="B57" s="1" t="n">
        <v>44509</v>
      </c>
      <c r="C57" s="1" t="n">
        <v>46181</v>
      </c>
      <c r="D57" t="inlineStr">
        <is>
          <t>DALARNAS LÄN</t>
        </is>
      </c>
      <c r="E57" t="inlineStr">
        <is>
          <t>ORSA</t>
        </is>
      </c>
      <c r="G57" t="n">
        <v>18.4</v>
      </c>
      <c r="H57" t="n">
        <v>0</v>
      </c>
      <c r="I57" t="n">
        <v>0</v>
      </c>
      <c r="J57" t="n">
        <v>2</v>
      </c>
      <c r="K57" t="n">
        <v>0</v>
      </c>
      <c r="L57" t="n">
        <v>0</v>
      </c>
      <c r="M57" t="n">
        <v>0</v>
      </c>
      <c r="N57" t="n">
        <v>0</v>
      </c>
      <c r="O57" t="n">
        <v>2</v>
      </c>
      <c r="P57" t="n">
        <v>0</v>
      </c>
      <c r="Q57" t="n">
        <v>2</v>
      </c>
      <c r="R57" s="2" t="inlineStr">
        <is>
          <t>Garnlav
Violettgrå tagellav</t>
        </is>
      </c>
      <c r="S57">
        <f>HYPERLINK("https://klasma.github.io/Logging_2034/artfynd/A 63810-2021 artfynd.xlsx", "A 63810-2021")</f>
        <v/>
      </c>
      <c r="T57">
        <f>HYPERLINK("https://klasma.github.io/Logging_2034/kartor/A 63810-2021 karta.png", "A 63810-2021")</f>
        <v/>
      </c>
      <c r="V57">
        <f>HYPERLINK("https://klasma.github.io/Logging_2034/klagomål/A 63810-2021 FSC-klagomål.docx", "A 63810-2021")</f>
        <v/>
      </c>
      <c r="W57">
        <f>HYPERLINK("https://klasma.github.io/Logging_2034/klagomålsmail/A 63810-2021 FSC-klagomål mail.docx", "A 63810-2021")</f>
        <v/>
      </c>
      <c r="X57">
        <f>HYPERLINK("https://klasma.github.io/Logging_2034/tillsyn/A 63810-2021 tillsynsbegäran.docx", "A 63810-2021")</f>
        <v/>
      </c>
      <c r="Y57">
        <f>HYPERLINK("https://klasma.github.io/Logging_2034/tillsynsmail/A 63810-2021 tillsynsbegäran mail.docx", "A 63810-2021")</f>
        <v/>
      </c>
    </row>
    <row r="58" ht="15" customHeight="1">
      <c r="A58" t="inlineStr">
        <is>
          <t>A 31164-2025</t>
        </is>
      </c>
      <c r="B58" s="1" t="n">
        <v>45832</v>
      </c>
      <c r="C58" s="1" t="n">
        <v>46181</v>
      </c>
      <c r="D58" t="inlineStr">
        <is>
          <t>DALARNAS LÄN</t>
        </is>
      </c>
      <c r="E58" t="inlineStr">
        <is>
          <t>ORSA</t>
        </is>
      </c>
      <c r="G58" t="n">
        <v>0.9</v>
      </c>
      <c r="H58" t="n">
        <v>1</v>
      </c>
      <c r="I58" t="n">
        <v>0</v>
      </c>
      <c r="J58" t="n">
        <v>2</v>
      </c>
      <c r="K58" t="n">
        <v>0</v>
      </c>
      <c r="L58" t="n">
        <v>0</v>
      </c>
      <c r="M58" t="n">
        <v>0</v>
      </c>
      <c r="N58" t="n">
        <v>0</v>
      </c>
      <c r="O58" t="n">
        <v>2</v>
      </c>
      <c r="P58" t="n">
        <v>0</v>
      </c>
      <c r="Q58" t="n">
        <v>2</v>
      </c>
      <c r="R58" s="2" t="inlineStr">
        <is>
          <t>Garnlav
Tretåig hackspett</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48343-2022</t>
        </is>
      </c>
      <c r="B59" s="1" t="n">
        <v>44858</v>
      </c>
      <c r="C59" s="1" t="n">
        <v>46181</v>
      </c>
      <c r="D59" t="inlineStr">
        <is>
          <t>DALARNAS LÄN</t>
        </is>
      </c>
      <c r="E59" t="inlineStr">
        <is>
          <t>ORSA</t>
        </is>
      </c>
      <c r="G59" t="n">
        <v>1.6</v>
      </c>
      <c r="H59" t="n">
        <v>2</v>
      </c>
      <c r="I59" t="n">
        <v>0</v>
      </c>
      <c r="J59" t="n">
        <v>1</v>
      </c>
      <c r="K59" t="n">
        <v>0</v>
      </c>
      <c r="L59" t="n">
        <v>0</v>
      </c>
      <c r="M59" t="n">
        <v>0</v>
      </c>
      <c r="N59" t="n">
        <v>0</v>
      </c>
      <c r="O59" t="n">
        <v>1</v>
      </c>
      <c r="P59" t="n">
        <v>0</v>
      </c>
      <c r="Q59" t="n">
        <v>2</v>
      </c>
      <c r="R59" s="2" t="inlineStr">
        <is>
          <t>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18692-2026</t>
        </is>
      </c>
      <c r="B60" s="1" t="n">
        <v>46128.4040625</v>
      </c>
      <c r="C60" s="1" t="n">
        <v>46181</v>
      </c>
      <c r="D60" t="inlineStr">
        <is>
          <t>DALARNAS LÄN</t>
        </is>
      </c>
      <c r="E60" t="inlineStr">
        <is>
          <t>ORSA</t>
        </is>
      </c>
      <c r="G60" t="n">
        <v>3.3</v>
      </c>
      <c r="H60" t="n">
        <v>1</v>
      </c>
      <c r="I60" t="n">
        <v>1</v>
      </c>
      <c r="J60" t="n">
        <v>0</v>
      </c>
      <c r="K60" t="n">
        <v>0</v>
      </c>
      <c r="L60" t="n">
        <v>0</v>
      </c>
      <c r="M60" t="n">
        <v>0</v>
      </c>
      <c r="N60" t="n">
        <v>0</v>
      </c>
      <c r="O60" t="n">
        <v>0</v>
      </c>
      <c r="P60" t="n">
        <v>0</v>
      </c>
      <c r="Q60" t="n">
        <v>2</v>
      </c>
      <c r="R60" s="2" t="inlineStr">
        <is>
          <t>Mindre märgborre
Tjäder</t>
        </is>
      </c>
      <c r="S60">
        <f>HYPERLINK("https://klasma.github.io/Logging_2034/artfynd/A 18692-2026 artfynd.xlsx", "A 18692-2026")</f>
        <v/>
      </c>
      <c r="T60">
        <f>HYPERLINK("https://klasma.github.io/Logging_2034/kartor/A 18692-2026 karta.png", "A 18692-2026")</f>
        <v/>
      </c>
      <c r="V60">
        <f>HYPERLINK("https://klasma.github.io/Logging_2034/klagomål/A 18692-2026 FSC-klagomål.docx", "A 18692-2026")</f>
        <v/>
      </c>
      <c r="W60">
        <f>HYPERLINK("https://klasma.github.io/Logging_2034/klagomålsmail/A 18692-2026 FSC-klagomål mail.docx", "A 18692-2026")</f>
        <v/>
      </c>
      <c r="X60">
        <f>HYPERLINK("https://klasma.github.io/Logging_2034/tillsyn/A 18692-2026 tillsynsbegäran.docx", "A 18692-2026")</f>
        <v/>
      </c>
      <c r="Y60">
        <f>HYPERLINK("https://klasma.github.io/Logging_2034/tillsynsmail/A 18692-2026 tillsynsbegäran mail.docx", "A 18692-2026")</f>
        <v/>
      </c>
      <c r="Z60">
        <f>HYPERLINK("https://klasma.github.io/Logging_2034/fåglar/A 18692-2026 prioriterade fågelarter.docx", "A 18692-2026")</f>
        <v/>
      </c>
    </row>
    <row r="61" ht="15" customHeight="1">
      <c r="A61" t="inlineStr">
        <is>
          <t>A 41799-2025</t>
        </is>
      </c>
      <c r="B61" s="1" t="n">
        <v>45902.6065162037</v>
      </c>
      <c r="C61" s="1" t="n">
        <v>46181</v>
      </c>
      <c r="D61" t="inlineStr">
        <is>
          <t>DALARNAS LÄN</t>
        </is>
      </c>
      <c r="E61" t="inlineStr">
        <is>
          <t>ORSA</t>
        </is>
      </c>
      <c r="G61" t="n">
        <v>4</v>
      </c>
      <c r="H61" t="n">
        <v>0</v>
      </c>
      <c r="I61" t="n">
        <v>0</v>
      </c>
      <c r="J61" t="n">
        <v>1</v>
      </c>
      <c r="K61" t="n">
        <v>0</v>
      </c>
      <c r="L61" t="n">
        <v>0</v>
      </c>
      <c r="M61" t="n">
        <v>0</v>
      </c>
      <c r="N61" t="n">
        <v>0</v>
      </c>
      <c r="O61" t="n">
        <v>1</v>
      </c>
      <c r="P61" t="n">
        <v>0</v>
      </c>
      <c r="Q61" t="n">
        <v>1</v>
      </c>
      <c r="R61" s="2" t="inlineStr">
        <is>
          <t>Blå taggsvamp</t>
        </is>
      </c>
      <c r="S61">
        <f>HYPERLINK("https://klasma.github.io/Logging_2034/artfynd/A 41799-2025 artfynd.xlsx", "A 41799-2025")</f>
        <v/>
      </c>
      <c r="T61">
        <f>HYPERLINK("https://klasma.github.io/Logging_2034/kartor/A 41799-2025 karta.png", "A 41799-2025")</f>
        <v/>
      </c>
      <c r="V61">
        <f>HYPERLINK("https://klasma.github.io/Logging_2034/klagomål/A 41799-2025 FSC-klagomål.docx", "A 41799-2025")</f>
        <v/>
      </c>
      <c r="W61">
        <f>HYPERLINK("https://klasma.github.io/Logging_2034/klagomålsmail/A 41799-2025 FSC-klagomål mail.docx", "A 41799-2025")</f>
        <v/>
      </c>
      <c r="X61">
        <f>HYPERLINK("https://klasma.github.io/Logging_2034/tillsyn/A 41799-2025 tillsynsbegäran.docx", "A 41799-2025")</f>
        <v/>
      </c>
      <c r="Y61">
        <f>HYPERLINK("https://klasma.github.io/Logging_2034/tillsynsmail/A 41799-2025 tillsynsbegäran mail.docx", "A 41799-2025")</f>
        <v/>
      </c>
    </row>
    <row r="62" ht="15" customHeight="1">
      <c r="A62" t="inlineStr">
        <is>
          <t>A 41553-2025</t>
        </is>
      </c>
      <c r="B62" s="1" t="n">
        <v>45901.59108796297</v>
      </c>
      <c r="C62" s="1" t="n">
        <v>46181</v>
      </c>
      <c r="D62" t="inlineStr">
        <is>
          <t>DALARNAS LÄN</t>
        </is>
      </c>
      <c r="E62" t="inlineStr">
        <is>
          <t>ORSA</t>
        </is>
      </c>
      <c r="F62" t="inlineStr">
        <is>
          <t>Bergvik skog väst AB</t>
        </is>
      </c>
      <c r="G62" t="n">
        <v>2.2</v>
      </c>
      <c r="H62" t="n">
        <v>0</v>
      </c>
      <c r="I62" t="n">
        <v>0</v>
      </c>
      <c r="J62" t="n">
        <v>0</v>
      </c>
      <c r="K62" t="n">
        <v>1</v>
      </c>
      <c r="L62" t="n">
        <v>0</v>
      </c>
      <c r="M62" t="n">
        <v>0</v>
      </c>
      <c r="N62" t="n">
        <v>0</v>
      </c>
      <c r="O62" t="n">
        <v>1</v>
      </c>
      <c r="P62" t="n">
        <v>1</v>
      </c>
      <c r="Q62" t="n">
        <v>1</v>
      </c>
      <c r="R62" s="2" t="inlineStr">
        <is>
          <t>Honungsticka</t>
        </is>
      </c>
      <c r="S62">
        <f>HYPERLINK("https://klasma.github.io/Logging_2034/artfynd/A 41553-2025 artfynd.xlsx", "A 41553-2025")</f>
        <v/>
      </c>
      <c r="T62">
        <f>HYPERLINK("https://klasma.github.io/Logging_2034/kartor/A 41553-2025 karta.png", "A 41553-2025")</f>
        <v/>
      </c>
      <c r="V62">
        <f>HYPERLINK("https://klasma.github.io/Logging_2034/klagomål/A 41553-2025 FSC-klagomål.docx", "A 41553-2025")</f>
        <v/>
      </c>
      <c r="W62">
        <f>HYPERLINK("https://klasma.github.io/Logging_2034/klagomålsmail/A 41553-2025 FSC-klagomål mail.docx", "A 41553-2025")</f>
        <v/>
      </c>
      <c r="X62">
        <f>HYPERLINK("https://klasma.github.io/Logging_2034/tillsyn/A 41553-2025 tillsynsbegäran.docx", "A 41553-2025")</f>
        <v/>
      </c>
      <c r="Y62">
        <f>HYPERLINK("https://klasma.github.io/Logging_2034/tillsynsmail/A 41553-2025 tillsynsbegäran mail.docx", "A 41553-2025")</f>
        <v/>
      </c>
    </row>
    <row r="63" ht="15" customHeight="1">
      <c r="A63" t="inlineStr">
        <is>
          <t>A 42327-2025</t>
        </is>
      </c>
      <c r="B63" s="1" t="n">
        <v>45904.68600694444</v>
      </c>
      <c r="C63" s="1" t="n">
        <v>46181</v>
      </c>
      <c r="D63" t="inlineStr">
        <is>
          <t>DALARNAS LÄN</t>
        </is>
      </c>
      <c r="E63" t="inlineStr">
        <is>
          <t>ORSA</t>
        </is>
      </c>
      <c r="G63" t="n">
        <v>1.6</v>
      </c>
      <c r="H63" t="n">
        <v>1</v>
      </c>
      <c r="I63" t="n">
        <v>0</v>
      </c>
      <c r="J63" t="n">
        <v>1</v>
      </c>
      <c r="K63" t="n">
        <v>0</v>
      </c>
      <c r="L63" t="n">
        <v>0</v>
      </c>
      <c r="M63" t="n">
        <v>0</v>
      </c>
      <c r="N63" t="n">
        <v>0</v>
      </c>
      <c r="O63" t="n">
        <v>1</v>
      </c>
      <c r="P63" t="n">
        <v>0</v>
      </c>
      <c r="Q63" t="n">
        <v>1</v>
      </c>
      <c r="R63" s="2" t="inlineStr">
        <is>
          <t>Grönsångare</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3143-2026</t>
        </is>
      </c>
      <c r="B64" s="1" t="n">
        <v>46041.40795138889</v>
      </c>
      <c r="C64" s="1" t="n">
        <v>46181</v>
      </c>
      <c r="D64" t="inlineStr">
        <is>
          <t>DALARNAS LÄN</t>
        </is>
      </c>
      <c r="E64" t="inlineStr">
        <is>
          <t>ORSA</t>
        </is>
      </c>
      <c r="G64" t="n">
        <v>1.5</v>
      </c>
      <c r="H64" t="n">
        <v>1</v>
      </c>
      <c r="I64" t="n">
        <v>1</v>
      </c>
      <c r="J64" t="n">
        <v>0</v>
      </c>
      <c r="K64" t="n">
        <v>0</v>
      </c>
      <c r="L64" t="n">
        <v>0</v>
      </c>
      <c r="M64" t="n">
        <v>0</v>
      </c>
      <c r="N64" t="n">
        <v>0</v>
      </c>
      <c r="O64" t="n">
        <v>0</v>
      </c>
      <c r="P64" t="n">
        <v>0</v>
      </c>
      <c r="Q64" t="n">
        <v>1</v>
      </c>
      <c r="R64" s="2" t="inlineStr">
        <is>
          <t>Guckusko</t>
        </is>
      </c>
      <c r="S64">
        <f>HYPERLINK("https://klasma.github.io/Logging_2034/artfynd/A 3143-2026 artfynd.xlsx", "A 3143-2026")</f>
        <v/>
      </c>
      <c r="T64">
        <f>HYPERLINK("https://klasma.github.io/Logging_2034/kartor/A 3143-2026 karta.png", "A 3143-2026")</f>
        <v/>
      </c>
      <c r="V64">
        <f>HYPERLINK("https://klasma.github.io/Logging_2034/klagomål/A 3143-2026 FSC-klagomål.docx", "A 3143-2026")</f>
        <v/>
      </c>
      <c r="W64">
        <f>HYPERLINK("https://klasma.github.io/Logging_2034/klagomålsmail/A 3143-2026 FSC-klagomål mail.docx", "A 3143-2026")</f>
        <v/>
      </c>
      <c r="X64">
        <f>HYPERLINK("https://klasma.github.io/Logging_2034/tillsyn/A 3143-2026 tillsynsbegäran.docx", "A 3143-2026")</f>
        <v/>
      </c>
      <c r="Y64">
        <f>HYPERLINK("https://klasma.github.io/Logging_2034/tillsynsmail/A 3143-2026 tillsynsbegäran mail.docx", "A 3143-2026")</f>
        <v/>
      </c>
    </row>
    <row r="65" ht="15" customHeight="1">
      <c r="A65" t="inlineStr">
        <is>
          <t>A 45029-2025</t>
        </is>
      </c>
      <c r="B65" s="1" t="n">
        <v>45918.69835648148</v>
      </c>
      <c r="C65" s="1" t="n">
        <v>46181</v>
      </c>
      <c r="D65" t="inlineStr">
        <is>
          <t>DALARNAS LÄN</t>
        </is>
      </c>
      <c r="E65" t="inlineStr">
        <is>
          <t>ORSA</t>
        </is>
      </c>
      <c r="G65" t="n">
        <v>1.4</v>
      </c>
      <c r="H65" t="n">
        <v>1</v>
      </c>
      <c r="I65" t="n">
        <v>0</v>
      </c>
      <c r="J65" t="n">
        <v>1</v>
      </c>
      <c r="K65" t="n">
        <v>0</v>
      </c>
      <c r="L65" t="n">
        <v>0</v>
      </c>
      <c r="M65" t="n">
        <v>0</v>
      </c>
      <c r="N65" t="n">
        <v>0</v>
      </c>
      <c r="O65" t="n">
        <v>1</v>
      </c>
      <c r="P65" t="n">
        <v>0</v>
      </c>
      <c r="Q65" t="n">
        <v>1</v>
      </c>
      <c r="R65" s="2" t="inlineStr">
        <is>
          <t>Spillkråka</t>
        </is>
      </c>
      <c r="S65">
        <f>HYPERLINK("https://klasma.github.io/Logging_2034/artfynd/A 45029-2025 artfynd.xlsx", "A 45029-2025")</f>
        <v/>
      </c>
      <c r="T65">
        <f>HYPERLINK("https://klasma.github.io/Logging_2034/kartor/A 45029-2025 karta.png", "A 45029-2025")</f>
        <v/>
      </c>
      <c r="V65">
        <f>HYPERLINK("https://klasma.github.io/Logging_2034/klagomål/A 45029-2025 FSC-klagomål.docx", "A 45029-2025")</f>
        <v/>
      </c>
      <c r="W65">
        <f>HYPERLINK("https://klasma.github.io/Logging_2034/klagomålsmail/A 45029-2025 FSC-klagomål mail.docx", "A 45029-2025")</f>
        <v/>
      </c>
      <c r="X65">
        <f>HYPERLINK("https://klasma.github.io/Logging_2034/tillsyn/A 45029-2025 tillsynsbegäran.docx", "A 45029-2025")</f>
        <v/>
      </c>
      <c r="Y65">
        <f>HYPERLINK("https://klasma.github.io/Logging_2034/tillsynsmail/A 45029-2025 tillsynsbegäran mail.docx", "A 45029-2025")</f>
        <v/>
      </c>
      <c r="Z65">
        <f>HYPERLINK("https://klasma.github.io/Logging_2034/fåglar/A 45029-2025 prioriterade fågelarter.docx", "A 45029-2025")</f>
        <v/>
      </c>
    </row>
    <row r="66" ht="15" customHeight="1">
      <c r="A66" t="inlineStr">
        <is>
          <t>A 5988-2026</t>
        </is>
      </c>
      <c r="B66" s="1" t="n">
        <v>46052.56299768519</v>
      </c>
      <c r="C66" s="1" t="n">
        <v>46181</v>
      </c>
      <c r="D66" t="inlineStr">
        <is>
          <t>DALARNAS LÄN</t>
        </is>
      </c>
      <c r="E66" t="inlineStr">
        <is>
          <t>ORSA</t>
        </is>
      </c>
      <c r="G66" t="n">
        <v>2.5</v>
      </c>
      <c r="H66" t="n">
        <v>0</v>
      </c>
      <c r="I66" t="n">
        <v>0</v>
      </c>
      <c r="J66" t="n">
        <v>1</v>
      </c>
      <c r="K66" t="n">
        <v>0</v>
      </c>
      <c r="L66" t="n">
        <v>0</v>
      </c>
      <c r="M66" t="n">
        <v>0</v>
      </c>
      <c r="N66" t="n">
        <v>0</v>
      </c>
      <c r="O66" t="n">
        <v>1</v>
      </c>
      <c r="P66" t="n">
        <v>0</v>
      </c>
      <c r="Q66" t="n">
        <v>1</v>
      </c>
      <c r="R66" s="2" t="inlineStr">
        <is>
          <t>Dofttaggsvamp</t>
        </is>
      </c>
      <c r="S66">
        <f>HYPERLINK("https://klasma.github.io/Logging_2034/artfynd/A 5988-2026 artfynd.xlsx", "A 5988-2026")</f>
        <v/>
      </c>
      <c r="T66">
        <f>HYPERLINK("https://klasma.github.io/Logging_2034/kartor/A 5988-2026 karta.png", "A 5988-2026")</f>
        <v/>
      </c>
      <c r="V66">
        <f>HYPERLINK("https://klasma.github.io/Logging_2034/klagomål/A 5988-2026 FSC-klagomål.docx", "A 5988-2026")</f>
        <v/>
      </c>
      <c r="W66">
        <f>HYPERLINK("https://klasma.github.io/Logging_2034/klagomålsmail/A 5988-2026 FSC-klagomål mail.docx", "A 5988-2026")</f>
        <v/>
      </c>
      <c r="X66">
        <f>HYPERLINK("https://klasma.github.io/Logging_2034/tillsyn/A 5988-2026 tillsynsbegäran.docx", "A 5988-2026")</f>
        <v/>
      </c>
      <c r="Y66">
        <f>HYPERLINK("https://klasma.github.io/Logging_2034/tillsynsmail/A 5988-2026 tillsynsbegäran mail.docx", "A 5988-2026")</f>
        <v/>
      </c>
    </row>
    <row r="67" ht="15" customHeight="1">
      <c r="A67" t="inlineStr">
        <is>
          <t>A 48973-2025</t>
        </is>
      </c>
      <c r="B67" s="1" t="n">
        <v>45937.5655787037</v>
      </c>
      <c r="C67" s="1" t="n">
        <v>46181</v>
      </c>
      <c r="D67" t="inlineStr">
        <is>
          <t>DALARNAS LÄN</t>
        </is>
      </c>
      <c r="E67" t="inlineStr">
        <is>
          <t>ORSA</t>
        </is>
      </c>
      <c r="F67" t="inlineStr">
        <is>
          <t>Bergvik skog öst AB</t>
        </is>
      </c>
      <c r="G67" t="n">
        <v>5</v>
      </c>
      <c r="H67" t="n">
        <v>1</v>
      </c>
      <c r="I67" t="n">
        <v>0</v>
      </c>
      <c r="J67" t="n">
        <v>1</v>
      </c>
      <c r="K67" t="n">
        <v>0</v>
      </c>
      <c r="L67" t="n">
        <v>0</v>
      </c>
      <c r="M67" t="n">
        <v>0</v>
      </c>
      <c r="N67" t="n">
        <v>0</v>
      </c>
      <c r="O67" t="n">
        <v>1</v>
      </c>
      <c r="P67" t="n">
        <v>0</v>
      </c>
      <c r="Q67" t="n">
        <v>1</v>
      </c>
      <c r="R67" s="2" t="inlineStr">
        <is>
          <t>Tretåig hackspett</t>
        </is>
      </c>
      <c r="S67">
        <f>HYPERLINK("https://klasma.github.io/Logging_2034/artfynd/A 48973-2025 artfynd.xlsx", "A 48973-2025")</f>
        <v/>
      </c>
      <c r="T67">
        <f>HYPERLINK("https://klasma.github.io/Logging_2034/kartor/A 48973-2025 karta.png", "A 48973-2025")</f>
        <v/>
      </c>
      <c r="V67">
        <f>HYPERLINK("https://klasma.github.io/Logging_2034/klagomål/A 48973-2025 FSC-klagomål.docx", "A 48973-2025")</f>
        <v/>
      </c>
      <c r="W67">
        <f>HYPERLINK("https://klasma.github.io/Logging_2034/klagomålsmail/A 48973-2025 FSC-klagomål mail.docx", "A 48973-2025")</f>
        <v/>
      </c>
      <c r="X67">
        <f>HYPERLINK("https://klasma.github.io/Logging_2034/tillsyn/A 48973-2025 tillsynsbegäran.docx", "A 48973-2025")</f>
        <v/>
      </c>
      <c r="Y67">
        <f>HYPERLINK("https://klasma.github.io/Logging_2034/tillsynsmail/A 48973-2025 tillsynsbegäran mail.docx", "A 48973-2025")</f>
        <v/>
      </c>
      <c r="Z67">
        <f>HYPERLINK("https://klasma.github.io/Logging_2034/fåglar/A 48973-2025 prioriterade fågelarter.docx", "A 48973-2025")</f>
        <v/>
      </c>
    </row>
    <row r="68" ht="15" customHeight="1">
      <c r="A68" t="inlineStr">
        <is>
          <t>A 53707-2025</t>
        </is>
      </c>
      <c r="B68" s="1" t="n">
        <v>45960.60822916667</v>
      </c>
      <c r="C68" s="1" t="n">
        <v>46181</v>
      </c>
      <c r="D68" t="inlineStr">
        <is>
          <t>DALARNAS LÄN</t>
        </is>
      </c>
      <c r="E68" t="inlineStr">
        <is>
          <t>ORSA</t>
        </is>
      </c>
      <c r="G68" t="n">
        <v>2.1</v>
      </c>
      <c r="H68" t="n">
        <v>0</v>
      </c>
      <c r="I68" t="n">
        <v>1</v>
      </c>
      <c r="J68" t="n">
        <v>0</v>
      </c>
      <c r="K68" t="n">
        <v>0</v>
      </c>
      <c r="L68" t="n">
        <v>0</v>
      </c>
      <c r="M68" t="n">
        <v>0</v>
      </c>
      <c r="N68" t="n">
        <v>0</v>
      </c>
      <c r="O68" t="n">
        <v>0</v>
      </c>
      <c r="P68" t="n">
        <v>0</v>
      </c>
      <c r="Q68" t="n">
        <v>1</v>
      </c>
      <c r="R68" s="2" t="inlineStr">
        <is>
          <t>Björksplintborre</t>
        </is>
      </c>
      <c r="S68">
        <f>HYPERLINK("https://klasma.github.io/Logging_2034/artfynd/A 53707-2025 artfynd.xlsx", "A 53707-2025")</f>
        <v/>
      </c>
      <c r="T68">
        <f>HYPERLINK("https://klasma.github.io/Logging_2034/kartor/A 53707-2025 karta.png", "A 53707-2025")</f>
        <v/>
      </c>
      <c r="V68">
        <f>HYPERLINK("https://klasma.github.io/Logging_2034/klagomål/A 53707-2025 FSC-klagomål.docx", "A 53707-2025")</f>
        <v/>
      </c>
      <c r="W68">
        <f>HYPERLINK("https://klasma.github.io/Logging_2034/klagomålsmail/A 53707-2025 FSC-klagomål mail.docx", "A 53707-2025")</f>
        <v/>
      </c>
      <c r="X68">
        <f>HYPERLINK("https://klasma.github.io/Logging_2034/tillsyn/A 53707-2025 tillsynsbegäran.docx", "A 53707-2025")</f>
        <v/>
      </c>
      <c r="Y68">
        <f>HYPERLINK("https://klasma.github.io/Logging_2034/tillsynsmail/A 53707-2025 tillsynsbegäran mail.docx", "A 53707-2025")</f>
        <v/>
      </c>
    </row>
    <row r="69" ht="15" customHeight="1">
      <c r="A69" t="inlineStr">
        <is>
          <t>A 54687-2025</t>
        </is>
      </c>
      <c r="B69" s="1" t="n">
        <v>45966.45024305556</v>
      </c>
      <c r="C69" s="1" t="n">
        <v>46181</v>
      </c>
      <c r="D69" t="inlineStr">
        <is>
          <t>DALARNAS LÄN</t>
        </is>
      </c>
      <c r="E69" t="inlineStr">
        <is>
          <t>ORSA</t>
        </is>
      </c>
      <c r="F69" t="inlineStr">
        <is>
          <t>Allmännings- och besparingsskogar</t>
        </is>
      </c>
      <c r="G69" t="n">
        <v>2</v>
      </c>
      <c r="H69" t="n">
        <v>0</v>
      </c>
      <c r="I69" t="n">
        <v>0</v>
      </c>
      <c r="J69" t="n">
        <v>1</v>
      </c>
      <c r="K69" t="n">
        <v>0</v>
      </c>
      <c r="L69" t="n">
        <v>0</v>
      </c>
      <c r="M69" t="n">
        <v>0</v>
      </c>
      <c r="N69" t="n">
        <v>0</v>
      </c>
      <c r="O69" t="n">
        <v>1</v>
      </c>
      <c r="P69" t="n">
        <v>0</v>
      </c>
      <c r="Q69" t="n">
        <v>1</v>
      </c>
      <c r="R69" s="2" t="inlineStr">
        <is>
          <t>Garnlav</t>
        </is>
      </c>
      <c r="S69">
        <f>HYPERLINK("https://klasma.github.io/Logging_2034/artfynd/A 54687-2025 artfynd.xlsx", "A 54687-2025")</f>
        <v/>
      </c>
      <c r="T69">
        <f>HYPERLINK("https://klasma.github.io/Logging_2034/kartor/A 54687-2025 karta.png", "A 54687-2025")</f>
        <v/>
      </c>
      <c r="V69">
        <f>HYPERLINK("https://klasma.github.io/Logging_2034/klagomål/A 54687-2025 FSC-klagomål.docx", "A 54687-2025")</f>
        <v/>
      </c>
      <c r="W69">
        <f>HYPERLINK("https://klasma.github.io/Logging_2034/klagomålsmail/A 54687-2025 FSC-klagomål mail.docx", "A 54687-2025")</f>
        <v/>
      </c>
      <c r="X69">
        <f>HYPERLINK("https://klasma.github.io/Logging_2034/tillsyn/A 54687-2025 tillsynsbegäran.docx", "A 54687-2025")</f>
        <v/>
      </c>
      <c r="Y69">
        <f>HYPERLINK("https://klasma.github.io/Logging_2034/tillsynsmail/A 54687-2025 tillsynsbegäran mail.docx", "A 54687-2025")</f>
        <v/>
      </c>
    </row>
    <row r="70" ht="15" customHeight="1">
      <c r="A70" t="inlineStr">
        <is>
          <t>A 54773-2025</t>
        </is>
      </c>
      <c r="B70" s="1" t="n">
        <v>45966.61081018519</v>
      </c>
      <c r="C70" s="1" t="n">
        <v>46181</v>
      </c>
      <c r="D70" t="inlineStr">
        <is>
          <t>DALARNAS LÄN</t>
        </is>
      </c>
      <c r="E70" t="inlineStr">
        <is>
          <t>ORSA</t>
        </is>
      </c>
      <c r="G70" t="n">
        <v>3.6</v>
      </c>
      <c r="H70" t="n">
        <v>1</v>
      </c>
      <c r="I70" t="n">
        <v>0</v>
      </c>
      <c r="J70" t="n">
        <v>0</v>
      </c>
      <c r="K70" t="n">
        <v>0</v>
      </c>
      <c r="L70" t="n">
        <v>0</v>
      </c>
      <c r="M70" t="n">
        <v>0</v>
      </c>
      <c r="N70" t="n">
        <v>0</v>
      </c>
      <c r="O70" t="n">
        <v>0</v>
      </c>
      <c r="P70" t="n">
        <v>0</v>
      </c>
      <c r="Q70" t="n">
        <v>1</v>
      </c>
      <c r="R70" s="2" t="inlineStr">
        <is>
          <t>Tjäder</t>
        </is>
      </c>
      <c r="S70">
        <f>HYPERLINK("https://klasma.github.io/Logging_2034/artfynd/A 54773-2025 artfynd.xlsx", "A 54773-2025")</f>
        <v/>
      </c>
      <c r="T70">
        <f>HYPERLINK("https://klasma.github.io/Logging_2034/kartor/A 54773-2025 karta.png", "A 54773-2025")</f>
        <v/>
      </c>
      <c r="V70">
        <f>HYPERLINK("https://klasma.github.io/Logging_2034/klagomål/A 54773-2025 FSC-klagomål.docx", "A 54773-2025")</f>
        <v/>
      </c>
      <c r="W70">
        <f>HYPERLINK("https://klasma.github.io/Logging_2034/klagomålsmail/A 54773-2025 FSC-klagomål mail.docx", "A 54773-2025")</f>
        <v/>
      </c>
      <c r="X70">
        <f>HYPERLINK("https://klasma.github.io/Logging_2034/tillsyn/A 54773-2025 tillsynsbegäran.docx", "A 54773-2025")</f>
        <v/>
      </c>
      <c r="Y70">
        <f>HYPERLINK("https://klasma.github.io/Logging_2034/tillsynsmail/A 54773-2025 tillsynsbegäran mail.docx", "A 54773-2025")</f>
        <v/>
      </c>
      <c r="Z70">
        <f>HYPERLINK("https://klasma.github.io/Logging_2034/fåglar/A 54773-2025 prioriterade fågelarter.docx", "A 54773-2025")</f>
        <v/>
      </c>
    </row>
    <row r="71" ht="15" customHeight="1">
      <c r="A71" t="inlineStr">
        <is>
          <t>A 11812-2026</t>
        </is>
      </c>
      <c r="B71" s="1" t="n">
        <v>46085.37966435185</v>
      </c>
      <c r="C71" s="1" t="n">
        <v>46181</v>
      </c>
      <c r="D71" t="inlineStr">
        <is>
          <t>DALARNAS LÄN</t>
        </is>
      </c>
      <c r="E71" t="inlineStr">
        <is>
          <t>ORSA</t>
        </is>
      </c>
      <c r="F71" t="inlineStr">
        <is>
          <t>Kyrkan</t>
        </is>
      </c>
      <c r="G71" t="n">
        <v>2</v>
      </c>
      <c r="H71" t="n">
        <v>1</v>
      </c>
      <c r="I71" t="n">
        <v>0</v>
      </c>
      <c r="J71" t="n">
        <v>0</v>
      </c>
      <c r="K71" t="n">
        <v>0</v>
      </c>
      <c r="L71" t="n">
        <v>0</v>
      </c>
      <c r="M71" t="n">
        <v>0</v>
      </c>
      <c r="N71" t="n">
        <v>0</v>
      </c>
      <c r="O71" t="n">
        <v>0</v>
      </c>
      <c r="P71" t="n">
        <v>0</v>
      </c>
      <c r="Q71" t="n">
        <v>1</v>
      </c>
      <c r="R71" s="2" t="inlineStr">
        <is>
          <t>Tjäder</t>
        </is>
      </c>
      <c r="S71">
        <f>HYPERLINK("https://klasma.github.io/Logging_2034/artfynd/A 11812-2026 artfynd.xlsx", "A 11812-2026")</f>
        <v/>
      </c>
      <c r="T71">
        <f>HYPERLINK("https://klasma.github.io/Logging_2034/kartor/A 11812-2026 karta.png", "A 11812-2026")</f>
        <v/>
      </c>
      <c r="V71">
        <f>HYPERLINK("https://klasma.github.io/Logging_2034/klagomål/A 11812-2026 FSC-klagomål.docx", "A 11812-2026")</f>
        <v/>
      </c>
      <c r="W71">
        <f>HYPERLINK("https://klasma.github.io/Logging_2034/klagomålsmail/A 11812-2026 FSC-klagomål mail.docx", "A 11812-2026")</f>
        <v/>
      </c>
      <c r="X71">
        <f>HYPERLINK("https://klasma.github.io/Logging_2034/tillsyn/A 11812-2026 tillsynsbegäran.docx", "A 11812-2026")</f>
        <v/>
      </c>
      <c r="Y71">
        <f>HYPERLINK("https://klasma.github.io/Logging_2034/tillsynsmail/A 11812-2026 tillsynsbegäran mail.docx", "A 11812-2026")</f>
        <v/>
      </c>
      <c r="Z71">
        <f>HYPERLINK("https://klasma.github.io/Logging_2034/fåglar/A 11812-2026 prioriterade fågelarter.docx", "A 11812-2026")</f>
        <v/>
      </c>
    </row>
    <row r="72" ht="15" customHeight="1">
      <c r="A72" t="inlineStr">
        <is>
          <t>A 62009-2025</t>
        </is>
      </c>
      <c r="B72" s="1" t="n">
        <v>46003.67215277778</v>
      </c>
      <c r="C72" s="1" t="n">
        <v>46181</v>
      </c>
      <c r="D72" t="inlineStr">
        <is>
          <t>DALARNAS LÄN</t>
        </is>
      </c>
      <c r="E72" t="inlineStr">
        <is>
          <t>ORSA</t>
        </is>
      </c>
      <c r="G72" t="n">
        <v>7.6</v>
      </c>
      <c r="H72" t="n">
        <v>0</v>
      </c>
      <c r="I72" t="n">
        <v>0</v>
      </c>
      <c r="J72" t="n">
        <v>1</v>
      </c>
      <c r="K72" t="n">
        <v>0</v>
      </c>
      <c r="L72" t="n">
        <v>0</v>
      </c>
      <c r="M72" t="n">
        <v>0</v>
      </c>
      <c r="N72" t="n">
        <v>0</v>
      </c>
      <c r="O72" t="n">
        <v>1</v>
      </c>
      <c r="P72" t="n">
        <v>0</v>
      </c>
      <c r="Q72" t="n">
        <v>1</v>
      </c>
      <c r="R72" s="2" t="inlineStr">
        <is>
          <t>Garnlav</t>
        </is>
      </c>
      <c r="S72">
        <f>HYPERLINK("https://klasma.github.io/Logging_2034/artfynd/A 62009-2025 artfynd.xlsx", "A 62009-2025")</f>
        <v/>
      </c>
      <c r="T72">
        <f>HYPERLINK("https://klasma.github.io/Logging_2034/kartor/A 62009-2025 karta.png", "A 62009-2025")</f>
        <v/>
      </c>
      <c r="V72">
        <f>HYPERLINK("https://klasma.github.io/Logging_2034/klagomål/A 62009-2025 FSC-klagomål.docx", "A 62009-2025")</f>
        <v/>
      </c>
      <c r="W72">
        <f>HYPERLINK("https://klasma.github.io/Logging_2034/klagomålsmail/A 62009-2025 FSC-klagomål mail.docx", "A 62009-2025")</f>
        <v/>
      </c>
      <c r="X72">
        <f>HYPERLINK("https://klasma.github.io/Logging_2034/tillsyn/A 62009-2025 tillsynsbegäran.docx", "A 62009-2025")</f>
        <v/>
      </c>
      <c r="Y72">
        <f>HYPERLINK("https://klasma.github.io/Logging_2034/tillsynsmail/A 62009-2025 tillsynsbegäran mail.docx", "A 62009-2025")</f>
        <v/>
      </c>
    </row>
    <row r="73" ht="15" customHeight="1">
      <c r="A73" t="inlineStr">
        <is>
          <t>A 21630-2026</t>
        </is>
      </c>
      <c r="B73" s="1" t="n">
        <v>46149.42052083334</v>
      </c>
      <c r="C73" s="1" t="n">
        <v>46181</v>
      </c>
      <c r="D73" t="inlineStr">
        <is>
          <t>DALARNAS LÄN</t>
        </is>
      </c>
      <c r="E73" t="inlineStr">
        <is>
          <t>ORSA</t>
        </is>
      </c>
      <c r="F73" t="inlineStr">
        <is>
          <t>Allmännings- och besparingsskogar</t>
        </is>
      </c>
      <c r="G73" t="n">
        <v>9.800000000000001</v>
      </c>
      <c r="H73" t="n">
        <v>0</v>
      </c>
      <c r="I73" t="n">
        <v>0</v>
      </c>
      <c r="J73" t="n">
        <v>1</v>
      </c>
      <c r="K73" t="n">
        <v>0</v>
      </c>
      <c r="L73" t="n">
        <v>0</v>
      </c>
      <c r="M73" t="n">
        <v>0</v>
      </c>
      <c r="N73" t="n">
        <v>0</v>
      </c>
      <c r="O73" t="n">
        <v>1</v>
      </c>
      <c r="P73" t="n">
        <v>0</v>
      </c>
      <c r="Q73" t="n">
        <v>1</v>
      </c>
      <c r="R73" s="2" t="inlineStr">
        <is>
          <t>Mörk kolflarnlav</t>
        </is>
      </c>
      <c r="S73">
        <f>HYPERLINK("https://klasma.github.io/Logging_2034/artfynd/A 21630-2026 artfynd.xlsx", "A 21630-2026")</f>
        <v/>
      </c>
      <c r="T73">
        <f>HYPERLINK("https://klasma.github.io/Logging_2034/kartor/A 21630-2026 karta.png", "A 21630-2026")</f>
        <v/>
      </c>
      <c r="V73">
        <f>HYPERLINK("https://klasma.github.io/Logging_2034/klagomål/A 21630-2026 FSC-klagomål.docx", "A 21630-2026")</f>
        <v/>
      </c>
      <c r="W73">
        <f>HYPERLINK("https://klasma.github.io/Logging_2034/klagomålsmail/A 21630-2026 FSC-klagomål mail.docx", "A 21630-2026")</f>
        <v/>
      </c>
      <c r="X73">
        <f>HYPERLINK("https://klasma.github.io/Logging_2034/tillsyn/A 21630-2026 tillsynsbegäran.docx", "A 21630-2026")</f>
        <v/>
      </c>
      <c r="Y73">
        <f>HYPERLINK("https://klasma.github.io/Logging_2034/tillsynsmail/A 21630-2026 tillsynsbegäran mail.docx", "A 21630-2026")</f>
        <v/>
      </c>
    </row>
    <row r="74" ht="15" customHeight="1">
      <c r="A74" t="inlineStr">
        <is>
          <t>A 16285-2026</t>
        </is>
      </c>
      <c r="B74" s="1" t="n">
        <v>46111.49975694445</v>
      </c>
      <c r="C74" s="1" t="n">
        <v>46181</v>
      </c>
      <c r="D74" t="inlineStr">
        <is>
          <t>DALARNAS LÄN</t>
        </is>
      </c>
      <c r="E74" t="inlineStr">
        <is>
          <t>ORSA</t>
        </is>
      </c>
      <c r="F74" t="inlineStr">
        <is>
          <t>Bergvik skog öst AB</t>
        </is>
      </c>
      <c r="G74" t="n">
        <v>6.2</v>
      </c>
      <c r="H74" t="n">
        <v>1</v>
      </c>
      <c r="I74" t="n">
        <v>0</v>
      </c>
      <c r="J74" t="n">
        <v>0</v>
      </c>
      <c r="K74" t="n">
        <v>0</v>
      </c>
      <c r="L74" t="n">
        <v>1</v>
      </c>
      <c r="M74" t="n">
        <v>0</v>
      </c>
      <c r="N74" t="n">
        <v>0</v>
      </c>
      <c r="O74" t="n">
        <v>1</v>
      </c>
      <c r="P74" t="n">
        <v>1</v>
      </c>
      <c r="Q74" t="n">
        <v>1</v>
      </c>
      <c r="R74" s="2" t="inlineStr">
        <is>
          <t>Mosippa</t>
        </is>
      </c>
      <c r="S74">
        <f>HYPERLINK("https://klasma.github.io/Logging_2034/artfynd/A 16285-2026 artfynd.xlsx", "A 16285-2026")</f>
        <v/>
      </c>
      <c r="T74">
        <f>HYPERLINK("https://klasma.github.io/Logging_2034/kartor/A 16285-2026 karta.png", "A 16285-2026")</f>
        <v/>
      </c>
      <c r="V74">
        <f>HYPERLINK("https://klasma.github.io/Logging_2034/klagomål/A 16285-2026 FSC-klagomål.docx", "A 16285-2026")</f>
        <v/>
      </c>
      <c r="W74">
        <f>HYPERLINK("https://klasma.github.io/Logging_2034/klagomålsmail/A 16285-2026 FSC-klagomål mail.docx", "A 16285-2026")</f>
        <v/>
      </c>
      <c r="X74">
        <f>HYPERLINK("https://klasma.github.io/Logging_2034/tillsyn/A 16285-2026 tillsynsbegäran.docx", "A 16285-2026")</f>
        <v/>
      </c>
      <c r="Y74">
        <f>HYPERLINK("https://klasma.github.io/Logging_2034/tillsynsmail/A 16285-2026 tillsynsbegäran mail.docx", "A 16285-2026")</f>
        <v/>
      </c>
    </row>
    <row r="75" ht="15" customHeight="1">
      <c r="A75" t="inlineStr">
        <is>
          <t>A 37887-2023</t>
        </is>
      </c>
      <c r="B75" s="1" t="n">
        <v>45160</v>
      </c>
      <c r="C75" s="1" t="n">
        <v>46181</v>
      </c>
      <c r="D75" t="inlineStr">
        <is>
          <t>DALARNAS LÄN</t>
        </is>
      </c>
      <c r="E75" t="inlineStr">
        <is>
          <t>ORSA</t>
        </is>
      </c>
      <c r="F75" t="inlineStr">
        <is>
          <t>Allmännings- och besparingsskogar</t>
        </is>
      </c>
      <c r="G75" t="n">
        <v>20.5</v>
      </c>
      <c r="H75" t="n">
        <v>1</v>
      </c>
      <c r="I75" t="n">
        <v>0</v>
      </c>
      <c r="J75" t="n">
        <v>1</v>
      </c>
      <c r="K75" t="n">
        <v>0</v>
      </c>
      <c r="L75" t="n">
        <v>0</v>
      </c>
      <c r="M75" t="n">
        <v>0</v>
      </c>
      <c r="N75" t="n">
        <v>0</v>
      </c>
      <c r="O75" t="n">
        <v>1</v>
      </c>
      <c r="P75" t="n">
        <v>0</v>
      </c>
      <c r="Q75" t="n">
        <v>1</v>
      </c>
      <c r="R75" s="2" t="inlineStr">
        <is>
          <t>Varglav</t>
        </is>
      </c>
      <c r="S75">
        <f>HYPERLINK("https://klasma.github.io/Logging_2034/artfynd/A 37887-2023 artfynd.xlsx", "A 37887-2023")</f>
        <v/>
      </c>
      <c r="T75">
        <f>HYPERLINK("https://klasma.github.io/Logging_2034/kartor/A 37887-2023 karta.png", "A 37887-2023")</f>
        <v/>
      </c>
      <c r="V75">
        <f>HYPERLINK("https://klasma.github.io/Logging_2034/klagomål/A 37887-2023 FSC-klagomål.docx", "A 37887-2023")</f>
        <v/>
      </c>
      <c r="W75">
        <f>HYPERLINK("https://klasma.github.io/Logging_2034/klagomålsmail/A 37887-2023 FSC-klagomål mail.docx", "A 37887-2023")</f>
        <v/>
      </c>
      <c r="X75">
        <f>HYPERLINK("https://klasma.github.io/Logging_2034/tillsyn/A 37887-2023 tillsynsbegäran.docx", "A 37887-2023")</f>
        <v/>
      </c>
      <c r="Y75">
        <f>HYPERLINK("https://klasma.github.io/Logging_2034/tillsynsmail/A 37887-2023 tillsynsbegäran mail.docx", "A 37887-2023")</f>
        <v/>
      </c>
    </row>
    <row r="76" ht="15" customHeight="1">
      <c r="A76" t="inlineStr">
        <is>
          <t>A 51303-2023</t>
        </is>
      </c>
      <c r="B76" s="1" t="n">
        <v>45219.55793981482</v>
      </c>
      <c r="C76" s="1" t="n">
        <v>46181</v>
      </c>
      <c r="D76" t="inlineStr">
        <is>
          <t>DALARNAS LÄN</t>
        </is>
      </c>
      <c r="E76" t="inlineStr">
        <is>
          <t>ORSA</t>
        </is>
      </c>
      <c r="G76" t="n">
        <v>1.8</v>
      </c>
      <c r="H76" t="n">
        <v>0</v>
      </c>
      <c r="I76" t="n">
        <v>1</v>
      </c>
      <c r="J76" t="n">
        <v>0</v>
      </c>
      <c r="K76" t="n">
        <v>0</v>
      </c>
      <c r="L76" t="n">
        <v>0</v>
      </c>
      <c r="M76" t="n">
        <v>0</v>
      </c>
      <c r="N76" t="n">
        <v>0</v>
      </c>
      <c r="O76" t="n">
        <v>0</v>
      </c>
      <c r="P76" t="n">
        <v>0</v>
      </c>
      <c r="Q76" t="n">
        <v>1</v>
      </c>
      <c r="R76" s="2" t="inlineStr">
        <is>
          <t>Mindre märgborre</t>
        </is>
      </c>
      <c r="S76">
        <f>HYPERLINK("https://klasma.github.io/Logging_2034/artfynd/A 51303-2023 artfynd.xlsx", "A 51303-2023")</f>
        <v/>
      </c>
      <c r="T76">
        <f>HYPERLINK("https://klasma.github.io/Logging_2034/kartor/A 51303-2023 karta.png", "A 51303-2023")</f>
        <v/>
      </c>
      <c r="V76">
        <f>HYPERLINK("https://klasma.github.io/Logging_2034/klagomål/A 51303-2023 FSC-klagomål.docx", "A 51303-2023")</f>
        <v/>
      </c>
      <c r="W76">
        <f>HYPERLINK("https://klasma.github.io/Logging_2034/klagomålsmail/A 51303-2023 FSC-klagomål mail.docx", "A 51303-2023")</f>
        <v/>
      </c>
      <c r="X76">
        <f>HYPERLINK("https://klasma.github.io/Logging_2034/tillsyn/A 51303-2023 tillsynsbegäran.docx", "A 51303-2023")</f>
        <v/>
      </c>
      <c r="Y76">
        <f>HYPERLINK("https://klasma.github.io/Logging_2034/tillsynsmail/A 51303-2023 tillsynsbegäran mail.docx", "A 51303-2023")</f>
        <v/>
      </c>
    </row>
    <row r="77" ht="15" customHeight="1">
      <c r="A77" t="inlineStr">
        <is>
          <t>A 30493-2024</t>
        </is>
      </c>
      <c r="B77" s="1" t="n">
        <v>45492.34811342593</v>
      </c>
      <c r="C77" s="1" t="n">
        <v>46181</v>
      </c>
      <c r="D77" t="inlineStr">
        <is>
          <t>DALARNAS LÄN</t>
        </is>
      </c>
      <c r="E77" t="inlineStr">
        <is>
          <t>ORSA</t>
        </is>
      </c>
      <c r="F77" t="inlineStr">
        <is>
          <t>Övriga statliga verk och myndigheter</t>
        </is>
      </c>
      <c r="G77" t="n">
        <v>2.2</v>
      </c>
      <c r="H77" t="n">
        <v>0</v>
      </c>
      <c r="I77" t="n">
        <v>0</v>
      </c>
      <c r="J77" t="n">
        <v>1</v>
      </c>
      <c r="K77" t="n">
        <v>0</v>
      </c>
      <c r="L77" t="n">
        <v>0</v>
      </c>
      <c r="M77" t="n">
        <v>0</v>
      </c>
      <c r="N77" t="n">
        <v>0</v>
      </c>
      <c r="O77" t="n">
        <v>1</v>
      </c>
      <c r="P77" t="n">
        <v>0</v>
      </c>
      <c r="Q77" t="n">
        <v>1</v>
      </c>
      <c r="R77" s="2" t="inlineStr">
        <is>
          <t>Garnlav</t>
        </is>
      </c>
      <c r="S77">
        <f>HYPERLINK("https://klasma.github.io/Logging_2034/artfynd/A 30493-2024 artfynd.xlsx", "A 30493-2024")</f>
        <v/>
      </c>
      <c r="T77">
        <f>HYPERLINK("https://klasma.github.io/Logging_2034/kartor/A 30493-2024 karta.png", "A 30493-2024")</f>
        <v/>
      </c>
      <c r="V77">
        <f>HYPERLINK("https://klasma.github.io/Logging_2034/klagomål/A 30493-2024 FSC-klagomål.docx", "A 30493-2024")</f>
        <v/>
      </c>
      <c r="W77">
        <f>HYPERLINK("https://klasma.github.io/Logging_2034/klagomålsmail/A 30493-2024 FSC-klagomål mail.docx", "A 30493-2024")</f>
        <v/>
      </c>
      <c r="X77">
        <f>HYPERLINK("https://klasma.github.io/Logging_2034/tillsyn/A 30493-2024 tillsynsbegäran.docx", "A 30493-2024")</f>
        <v/>
      </c>
      <c r="Y77">
        <f>HYPERLINK("https://klasma.github.io/Logging_2034/tillsynsmail/A 30493-2024 tillsynsbegäran mail.docx", "A 30493-2024")</f>
        <v/>
      </c>
    </row>
    <row r="78" ht="15" customHeight="1">
      <c r="A78" t="inlineStr">
        <is>
          <t>A 9466-2023</t>
        </is>
      </c>
      <c r="B78" s="1" t="n">
        <v>44981</v>
      </c>
      <c r="C78" s="1" t="n">
        <v>46181</v>
      </c>
      <c r="D78" t="inlineStr">
        <is>
          <t>DALARNAS LÄN</t>
        </is>
      </c>
      <c r="E78" t="inlineStr">
        <is>
          <t>ORSA</t>
        </is>
      </c>
      <c r="F78" t="inlineStr">
        <is>
          <t>Bergvik skog väst AB</t>
        </is>
      </c>
      <c r="G78" t="n">
        <v>3.8</v>
      </c>
      <c r="H78" t="n">
        <v>1</v>
      </c>
      <c r="I78" t="n">
        <v>0</v>
      </c>
      <c r="J78" t="n">
        <v>0</v>
      </c>
      <c r="K78" t="n">
        <v>0</v>
      </c>
      <c r="L78" t="n">
        <v>0</v>
      </c>
      <c r="M78" t="n">
        <v>0</v>
      </c>
      <c r="N78" t="n">
        <v>0</v>
      </c>
      <c r="O78" t="n">
        <v>0</v>
      </c>
      <c r="P78" t="n">
        <v>0</v>
      </c>
      <c r="Q78" t="n">
        <v>1</v>
      </c>
      <c r="R78" s="2" t="inlineStr">
        <is>
          <t>Tjäder</t>
        </is>
      </c>
      <c r="S78">
        <f>HYPERLINK("https://klasma.github.io/Logging_2034/artfynd/A 9466-2023 artfynd.xlsx", "A 9466-2023")</f>
        <v/>
      </c>
      <c r="T78">
        <f>HYPERLINK("https://klasma.github.io/Logging_2034/kartor/A 9466-2023 karta.png", "A 9466-2023")</f>
        <v/>
      </c>
      <c r="V78">
        <f>HYPERLINK("https://klasma.github.io/Logging_2034/klagomål/A 9466-2023 FSC-klagomål.docx", "A 9466-2023")</f>
        <v/>
      </c>
      <c r="W78">
        <f>HYPERLINK("https://klasma.github.io/Logging_2034/klagomålsmail/A 9466-2023 FSC-klagomål mail.docx", "A 9466-2023")</f>
        <v/>
      </c>
      <c r="X78">
        <f>HYPERLINK("https://klasma.github.io/Logging_2034/tillsyn/A 9466-2023 tillsynsbegäran.docx", "A 9466-2023")</f>
        <v/>
      </c>
      <c r="Y78">
        <f>HYPERLINK("https://klasma.github.io/Logging_2034/tillsynsmail/A 9466-2023 tillsynsbegäran mail.docx", "A 9466-2023")</f>
        <v/>
      </c>
      <c r="Z78">
        <f>HYPERLINK("https://klasma.github.io/Logging_2034/fåglar/A 9466-2023 prioriterade fågelarter.docx", "A 9466-2023")</f>
        <v/>
      </c>
    </row>
    <row r="79" ht="15" customHeight="1">
      <c r="A79" t="inlineStr">
        <is>
          <t>A 34713-2021</t>
        </is>
      </c>
      <c r="B79" s="1" t="n">
        <v>44382</v>
      </c>
      <c r="C79" s="1" t="n">
        <v>46181</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44784.65543981481</v>
      </c>
      <c r="C80" s="1" t="n">
        <v>46181</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46181</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44453.46967592592</v>
      </c>
      <c r="C82" s="1" t="n">
        <v>46181</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28259-2021</t>
        </is>
      </c>
      <c r="B83" s="1" t="n">
        <v>44355</v>
      </c>
      <c r="C83" s="1" t="n">
        <v>46181</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46181</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29874-2021</t>
        </is>
      </c>
      <c r="B85" s="1" t="n">
        <v>44362.68665509259</v>
      </c>
      <c r="C85" s="1" t="n">
        <v>46181</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10262-2022</t>
        </is>
      </c>
      <c r="B86" s="1" t="n">
        <v>44622.6487037037</v>
      </c>
      <c r="C86" s="1" t="n">
        <v>46181</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44742.62271990741</v>
      </c>
      <c r="C87" s="1" t="n">
        <v>46181</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44460.52704861111</v>
      </c>
      <c r="C88" s="1" t="n">
        <v>46181</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44629.3184837963</v>
      </c>
      <c r="C89" s="1" t="n">
        <v>46181</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46181</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44473.93685185185</v>
      </c>
      <c r="C91" s="1" t="n">
        <v>46181</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46181</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46181</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46181</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46181</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71744-2021</t>
        </is>
      </c>
      <c r="B96" s="1" t="n">
        <v>44543</v>
      </c>
      <c r="C96" s="1" t="n">
        <v>46181</v>
      </c>
      <c r="D96" t="inlineStr">
        <is>
          <t>DALARNAS LÄN</t>
        </is>
      </c>
      <c r="E96" t="inlineStr">
        <is>
          <t>ORSA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46181</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46181</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46181</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44033-2022</t>
        </is>
      </c>
      <c r="B100" s="1" t="n">
        <v>44838</v>
      </c>
      <c r="C100" s="1" t="n">
        <v>46181</v>
      </c>
      <c r="D100" t="inlineStr">
        <is>
          <t>DALARNAS LÄN</t>
        </is>
      </c>
      <c r="E100" t="inlineStr">
        <is>
          <t>ORSA</t>
        </is>
      </c>
      <c r="G100" t="n">
        <v>5.3</v>
      </c>
      <c r="H100" t="n">
        <v>0</v>
      </c>
      <c r="I100" t="n">
        <v>0</v>
      </c>
      <c r="J100" t="n">
        <v>0</v>
      </c>
      <c r="K100" t="n">
        <v>0</v>
      </c>
      <c r="L100" t="n">
        <v>0</v>
      </c>
      <c r="M100" t="n">
        <v>0</v>
      </c>
      <c r="N100" t="n">
        <v>0</v>
      </c>
      <c r="O100" t="n">
        <v>0</v>
      </c>
      <c r="P100" t="n">
        <v>0</v>
      </c>
      <c r="Q100" t="n">
        <v>0</v>
      </c>
      <c r="R100" s="2" t="inlineStr"/>
    </row>
    <row r="101" ht="15" customHeight="1">
      <c r="A101" t="inlineStr">
        <is>
          <t>A 9807-2022</t>
        </is>
      </c>
      <c r="B101" s="1" t="n">
        <v>44620.40868055556</v>
      </c>
      <c r="C101" s="1" t="n">
        <v>46181</v>
      </c>
      <c r="D101" t="inlineStr">
        <is>
          <t>DALARNAS LÄN</t>
        </is>
      </c>
      <c r="E101" t="inlineStr">
        <is>
          <t>ORSA</t>
        </is>
      </c>
      <c r="G101" t="n">
        <v>0.5</v>
      </c>
      <c r="H101" t="n">
        <v>0</v>
      </c>
      <c r="I101" t="n">
        <v>0</v>
      </c>
      <c r="J101" t="n">
        <v>0</v>
      </c>
      <c r="K101" t="n">
        <v>0</v>
      </c>
      <c r="L101" t="n">
        <v>0</v>
      </c>
      <c r="M101" t="n">
        <v>0</v>
      </c>
      <c r="N101" t="n">
        <v>0</v>
      </c>
      <c r="O101" t="n">
        <v>0</v>
      </c>
      <c r="P101" t="n">
        <v>0</v>
      </c>
      <c r="Q101" t="n">
        <v>0</v>
      </c>
      <c r="R101" s="2" t="inlineStr"/>
    </row>
    <row r="102" ht="15" customHeight="1">
      <c r="A102" t="inlineStr">
        <is>
          <t>A 9561-2022</t>
        </is>
      </c>
      <c r="B102" s="1" t="n">
        <v>44617</v>
      </c>
      <c r="C102" s="1" t="n">
        <v>46181</v>
      </c>
      <c r="D102" t="inlineStr">
        <is>
          <t>DALARNAS LÄN</t>
        </is>
      </c>
      <c r="E102" t="inlineStr">
        <is>
          <t>ORSA</t>
        </is>
      </c>
      <c r="F102" t="inlineStr">
        <is>
          <t>Kyrkan</t>
        </is>
      </c>
      <c r="G102" t="n">
        <v>0.6</v>
      </c>
      <c r="H102" t="n">
        <v>0</v>
      </c>
      <c r="I102" t="n">
        <v>0</v>
      </c>
      <c r="J102" t="n">
        <v>0</v>
      </c>
      <c r="K102" t="n">
        <v>0</v>
      </c>
      <c r="L102" t="n">
        <v>0</v>
      </c>
      <c r="M102" t="n">
        <v>0</v>
      </c>
      <c r="N102" t="n">
        <v>0</v>
      </c>
      <c r="O102" t="n">
        <v>0</v>
      </c>
      <c r="P102" t="n">
        <v>0</v>
      </c>
      <c r="Q102" t="n">
        <v>0</v>
      </c>
      <c r="R102" s="2" t="inlineStr"/>
    </row>
    <row r="103" ht="15" customHeight="1">
      <c r="A103" t="inlineStr">
        <is>
          <t>A 52574-2021</t>
        </is>
      </c>
      <c r="B103" s="1" t="n">
        <v>44466.55795138889</v>
      </c>
      <c r="C103" s="1" t="n">
        <v>46181</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46181</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46181</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46181</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23344-2022</t>
        </is>
      </c>
      <c r="B107" s="1" t="n">
        <v>44720.54599537037</v>
      </c>
      <c r="C107" s="1" t="n">
        <v>46181</v>
      </c>
      <c r="D107" t="inlineStr">
        <is>
          <t>DALARNAS LÄN</t>
        </is>
      </c>
      <c r="E107" t="inlineStr">
        <is>
          <t>ORSA</t>
        </is>
      </c>
      <c r="G107" t="n">
        <v>0.2</v>
      </c>
      <c r="H107" t="n">
        <v>0</v>
      </c>
      <c r="I107" t="n">
        <v>0</v>
      </c>
      <c r="J107" t="n">
        <v>0</v>
      </c>
      <c r="K107" t="n">
        <v>0</v>
      </c>
      <c r="L107" t="n">
        <v>0</v>
      </c>
      <c r="M107" t="n">
        <v>0</v>
      </c>
      <c r="N107" t="n">
        <v>0</v>
      </c>
      <c r="O107" t="n">
        <v>0</v>
      </c>
      <c r="P107" t="n">
        <v>0</v>
      </c>
      <c r="Q107" t="n">
        <v>0</v>
      </c>
      <c r="R107" s="2" t="inlineStr"/>
    </row>
    <row r="108" ht="15" customHeight="1">
      <c r="A108" t="inlineStr">
        <is>
          <t>A 51864-2022</t>
        </is>
      </c>
      <c r="B108" s="1" t="n">
        <v>44872</v>
      </c>
      <c r="C108" s="1" t="n">
        <v>46181</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14535-2022</t>
        </is>
      </c>
      <c r="B109" s="1" t="n">
        <v>44655.44512731482</v>
      </c>
      <c r="C109" s="1" t="n">
        <v>46181</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44035-2022</t>
        </is>
      </c>
      <c r="B110" s="1" t="n">
        <v>44838.94439814815</v>
      </c>
      <c r="C110" s="1" t="n">
        <v>46181</v>
      </c>
      <c r="D110" t="inlineStr">
        <is>
          <t>DALARNAS LÄN</t>
        </is>
      </c>
      <c r="E110" t="inlineStr">
        <is>
          <t>ORSA</t>
        </is>
      </c>
      <c r="G110" t="n">
        <v>5.8</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46181</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169-2022</t>
        </is>
      </c>
      <c r="B112" s="1" t="n">
        <v>44564</v>
      </c>
      <c r="C112" s="1" t="n">
        <v>46181</v>
      </c>
      <c r="D112" t="inlineStr">
        <is>
          <t>DALARNAS LÄN</t>
        </is>
      </c>
      <c r="E112" t="inlineStr">
        <is>
          <t>ORSA</t>
        </is>
      </c>
      <c r="F112" t="inlineStr">
        <is>
          <t>Kommuner</t>
        </is>
      </c>
      <c r="G112" t="n">
        <v>0.7</v>
      </c>
      <c r="H112" t="n">
        <v>0</v>
      </c>
      <c r="I112" t="n">
        <v>0</v>
      </c>
      <c r="J112" t="n">
        <v>0</v>
      </c>
      <c r="K112" t="n">
        <v>0</v>
      </c>
      <c r="L112" t="n">
        <v>0</v>
      </c>
      <c r="M112" t="n">
        <v>0</v>
      </c>
      <c r="N112" t="n">
        <v>0</v>
      </c>
      <c r="O112" t="n">
        <v>0</v>
      </c>
      <c r="P112" t="n">
        <v>0</v>
      </c>
      <c r="Q112" t="n">
        <v>0</v>
      </c>
      <c r="R112" s="2" t="inlineStr"/>
    </row>
    <row r="113" ht="15" customHeight="1">
      <c r="A113" t="inlineStr">
        <is>
          <t>A 51277-2021</t>
        </is>
      </c>
      <c r="B113" s="1" t="n">
        <v>44461</v>
      </c>
      <c r="C113" s="1" t="n">
        <v>46181</v>
      </c>
      <c r="D113" t="inlineStr">
        <is>
          <t>DALARNAS LÄN</t>
        </is>
      </c>
      <c r="E113" t="inlineStr">
        <is>
          <t>ORSA</t>
        </is>
      </c>
      <c r="F113" t="inlineStr">
        <is>
          <t>Allmännings- och besparingsskogar</t>
        </is>
      </c>
      <c r="G113" t="n">
        <v>0.2</v>
      </c>
      <c r="H113" t="n">
        <v>0</v>
      </c>
      <c r="I113" t="n">
        <v>0</v>
      </c>
      <c r="J113" t="n">
        <v>0</v>
      </c>
      <c r="K113" t="n">
        <v>0</v>
      </c>
      <c r="L113" t="n">
        <v>0</v>
      </c>
      <c r="M113" t="n">
        <v>0</v>
      </c>
      <c r="N113" t="n">
        <v>0</v>
      </c>
      <c r="O113" t="n">
        <v>0</v>
      </c>
      <c r="P113" t="n">
        <v>0</v>
      </c>
      <c r="Q113" t="n">
        <v>0</v>
      </c>
      <c r="R113" s="2" t="inlineStr"/>
    </row>
    <row r="114" ht="15" customHeight="1">
      <c r="A114" t="inlineStr">
        <is>
          <t>A 51278-2021</t>
        </is>
      </c>
      <c r="B114" s="1" t="n">
        <v>44461</v>
      </c>
      <c r="C114" s="1" t="n">
        <v>46181</v>
      </c>
      <c r="D114" t="inlineStr">
        <is>
          <t>DALARNAS LÄN</t>
        </is>
      </c>
      <c r="E114" t="inlineStr">
        <is>
          <t>ORSA</t>
        </is>
      </c>
      <c r="F114" t="inlineStr">
        <is>
          <t>Allmännings- och besparingsskogar</t>
        </is>
      </c>
      <c r="G114" t="n">
        <v>0.2</v>
      </c>
      <c r="H114" t="n">
        <v>0</v>
      </c>
      <c r="I114" t="n">
        <v>0</v>
      </c>
      <c r="J114" t="n">
        <v>0</v>
      </c>
      <c r="K114" t="n">
        <v>0</v>
      </c>
      <c r="L114" t="n">
        <v>0</v>
      </c>
      <c r="M114" t="n">
        <v>0</v>
      </c>
      <c r="N114" t="n">
        <v>0</v>
      </c>
      <c r="O114" t="n">
        <v>0</v>
      </c>
      <c r="P114" t="n">
        <v>0</v>
      </c>
      <c r="Q114" t="n">
        <v>0</v>
      </c>
      <c r="R114" s="2" t="inlineStr"/>
    </row>
    <row r="115" ht="15" customHeight="1">
      <c r="A115" t="inlineStr">
        <is>
          <t>A 31647-2021</t>
        </is>
      </c>
      <c r="B115" s="1" t="n">
        <v>44369.63069444444</v>
      </c>
      <c r="C115" s="1" t="n">
        <v>46181</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68230-2021</t>
        </is>
      </c>
      <c r="B116" s="1" t="n">
        <v>44526</v>
      </c>
      <c r="C116" s="1" t="n">
        <v>46181</v>
      </c>
      <c r="D116" t="inlineStr">
        <is>
          <t>DALARNAS LÄN</t>
        </is>
      </c>
      <c r="E116" t="inlineStr">
        <is>
          <t>ORSA</t>
        </is>
      </c>
      <c r="F116" t="inlineStr">
        <is>
          <t>Kyrkan</t>
        </is>
      </c>
      <c r="G116" t="n">
        <v>2.2</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46181</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46181</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46181</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46181</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56807-2024</t>
        </is>
      </c>
      <c r="B121" s="1" t="n">
        <v>45628.47519675926</v>
      </c>
      <c r="C121" s="1" t="n">
        <v>46181</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38611-2022</t>
        </is>
      </c>
      <c r="B122" s="1" t="n">
        <v>44813.60177083333</v>
      </c>
      <c r="C122" s="1" t="n">
        <v>46181</v>
      </c>
      <c r="D122" t="inlineStr">
        <is>
          <t>DALARNAS LÄN</t>
        </is>
      </c>
      <c r="E122" t="inlineStr">
        <is>
          <t>ORSA</t>
        </is>
      </c>
      <c r="G122" t="n">
        <v>3.6</v>
      </c>
      <c r="H122" t="n">
        <v>0</v>
      </c>
      <c r="I122" t="n">
        <v>0</v>
      </c>
      <c r="J122" t="n">
        <v>0</v>
      </c>
      <c r="K122" t="n">
        <v>0</v>
      </c>
      <c r="L122" t="n">
        <v>0</v>
      </c>
      <c r="M122" t="n">
        <v>0</v>
      </c>
      <c r="N122" t="n">
        <v>0</v>
      </c>
      <c r="O122" t="n">
        <v>0</v>
      </c>
      <c r="P122" t="n">
        <v>0</v>
      </c>
      <c r="Q122" t="n">
        <v>0</v>
      </c>
      <c r="R122" s="2" t="inlineStr"/>
    </row>
    <row r="123" ht="15" customHeight="1">
      <c r="A123" t="inlineStr">
        <is>
          <t>A 2948-2025</t>
        </is>
      </c>
      <c r="B123" s="1" t="n">
        <v>45678.42868055555</v>
      </c>
      <c r="C123" s="1" t="n">
        <v>46181</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6171-2025</t>
        </is>
      </c>
      <c r="B124" s="1" t="n">
        <v>45698.43287037037</v>
      </c>
      <c r="C124" s="1" t="n">
        <v>46181</v>
      </c>
      <c r="D124" t="inlineStr">
        <is>
          <t>DALARNAS LÄN</t>
        </is>
      </c>
      <c r="E124" t="inlineStr">
        <is>
          <t>ORSA</t>
        </is>
      </c>
      <c r="G124" t="n">
        <v>11.1</v>
      </c>
      <c r="H124" t="n">
        <v>0</v>
      </c>
      <c r="I124" t="n">
        <v>0</v>
      </c>
      <c r="J124" t="n">
        <v>0</v>
      </c>
      <c r="K124" t="n">
        <v>0</v>
      </c>
      <c r="L124" t="n">
        <v>0</v>
      </c>
      <c r="M124" t="n">
        <v>0</v>
      </c>
      <c r="N124" t="n">
        <v>0</v>
      </c>
      <c r="O124" t="n">
        <v>0</v>
      </c>
      <c r="P124" t="n">
        <v>0</v>
      </c>
      <c r="Q124" t="n">
        <v>0</v>
      </c>
      <c r="R124" s="2" t="inlineStr"/>
    </row>
    <row r="125" ht="15" customHeight="1">
      <c r="A125" t="inlineStr">
        <is>
          <t>A 52776-2022</t>
        </is>
      </c>
      <c r="B125" s="1" t="n">
        <v>44875.36341435185</v>
      </c>
      <c r="C125" s="1" t="n">
        <v>46181</v>
      </c>
      <c r="D125" t="inlineStr">
        <is>
          <t>DALARNAS LÄN</t>
        </is>
      </c>
      <c r="E125" t="inlineStr">
        <is>
          <t>ORSA</t>
        </is>
      </c>
      <c r="F125" t="inlineStr">
        <is>
          <t>Allmännings- och besparingsskogar</t>
        </is>
      </c>
      <c r="G125" t="n">
        <v>4.4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46181</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46181</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48985-2023</t>
        </is>
      </c>
      <c r="B128" s="1" t="n">
        <v>45209.64077546296</v>
      </c>
      <c r="C128" s="1" t="n">
        <v>46181</v>
      </c>
      <c r="D128" t="inlineStr">
        <is>
          <t>DALARNAS LÄN</t>
        </is>
      </c>
      <c r="E128" t="inlineStr">
        <is>
          <t>ORSA</t>
        </is>
      </c>
      <c r="F128" t="inlineStr">
        <is>
          <t>Allmännings- och besparingsskogar</t>
        </is>
      </c>
      <c r="G128" t="n">
        <v>2.1</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46181</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46181</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46181</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55338-2022</t>
        </is>
      </c>
      <c r="B132" s="1" t="n">
        <v>44887.45185185185</v>
      </c>
      <c r="C132" s="1" t="n">
        <v>46181</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39-2026</t>
        </is>
      </c>
      <c r="B133" s="1" t="n">
        <v>46024</v>
      </c>
      <c r="C133" s="1" t="n">
        <v>46181</v>
      </c>
      <c r="D133" t="inlineStr">
        <is>
          <t>DALARNAS LÄN</t>
        </is>
      </c>
      <c r="E133" t="inlineStr">
        <is>
          <t>ORSA</t>
        </is>
      </c>
      <c r="G133" t="n">
        <v>2.8</v>
      </c>
      <c r="H133" t="n">
        <v>0</v>
      </c>
      <c r="I133" t="n">
        <v>0</v>
      </c>
      <c r="J133" t="n">
        <v>0</v>
      </c>
      <c r="K133" t="n">
        <v>0</v>
      </c>
      <c r="L133" t="n">
        <v>0</v>
      </c>
      <c r="M133" t="n">
        <v>0</v>
      </c>
      <c r="N133" t="n">
        <v>0</v>
      </c>
      <c r="O133" t="n">
        <v>0</v>
      </c>
      <c r="P133" t="n">
        <v>0</v>
      </c>
      <c r="Q133" t="n">
        <v>0</v>
      </c>
      <c r="R133" s="2" t="inlineStr"/>
    </row>
    <row r="134" ht="15" customHeight="1">
      <c r="A134" t="inlineStr">
        <is>
          <t>A 36682-2024</t>
        </is>
      </c>
      <c r="B134" s="1" t="n">
        <v>45537.65519675926</v>
      </c>
      <c r="C134" s="1" t="n">
        <v>46181</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38688-2025</t>
        </is>
      </c>
      <c r="B135" s="1" t="n">
        <v>45884.66097222222</v>
      </c>
      <c r="C135" s="1" t="n">
        <v>46181</v>
      </c>
      <c r="D135" t="inlineStr">
        <is>
          <t>DALARNAS LÄN</t>
        </is>
      </c>
      <c r="E135" t="inlineStr">
        <is>
          <t>ORSA</t>
        </is>
      </c>
      <c r="F135" t="inlineStr">
        <is>
          <t>Allmännings- och besparingsskogar</t>
        </is>
      </c>
      <c r="G135" t="n">
        <v>10.2</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46181</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384-2026</t>
        </is>
      </c>
      <c r="B137" s="1" t="n">
        <v>46027.80430555555</v>
      </c>
      <c r="C137" s="1" t="n">
        <v>46181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1785-2024</t>
        </is>
      </c>
      <c r="B138" s="1" t="n">
        <v>45307</v>
      </c>
      <c r="C138" s="1" t="n">
        <v>46181</v>
      </c>
      <c r="D138" t="inlineStr">
        <is>
          <t>DALARNAS LÄN</t>
        </is>
      </c>
      <c r="E138" t="inlineStr">
        <is>
          <t>ORSA</t>
        </is>
      </c>
      <c r="G138" t="n">
        <v>42.8</v>
      </c>
      <c r="H138" t="n">
        <v>0</v>
      </c>
      <c r="I138" t="n">
        <v>0</v>
      </c>
      <c r="J138" t="n">
        <v>0</v>
      </c>
      <c r="K138" t="n">
        <v>0</v>
      </c>
      <c r="L138" t="n">
        <v>0</v>
      </c>
      <c r="M138" t="n">
        <v>0</v>
      </c>
      <c r="N138" t="n">
        <v>0</v>
      </c>
      <c r="O138" t="n">
        <v>0</v>
      </c>
      <c r="P138" t="n">
        <v>0</v>
      </c>
      <c r="Q138" t="n">
        <v>0</v>
      </c>
      <c r="R138" s="2" t="inlineStr"/>
    </row>
    <row r="139" ht="15" customHeight="1">
      <c r="A139" t="inlineStr">
        <is>
          <t>A 976-2026</t>
        </is>
      </c>
      <c r="B139" s="1" t="n">
        <v>46030.57034722222</v>
      </c>
      <c r="C139" s="1" t="n">
        <v>46181</v>
      </c>
      <c r="D139" t="inlineStr">
        <is>
          <t>DALARNAS LÄN</t>
        </is>
      </c>
      <c r="E139" t="inlineStr">
        <is>
          <t>ORSA</t>
        </is>
      </c>
      <c r="G139" t="n">
        <v>2</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45615.3990162037</v>
      </c>
      <c r="C140" s="1" t="n">
        <v>46181</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30291-2024</t>
        </is>
      </c>
      <c r="B141" s="1" t="n">
        <v>45490.64978009259</v>
      </c>
      <c r="C141" s="1" t="n">
        <v>46181</v>
      </c>
      <c r="D141" t="inlineStr">
        <is>
          <t>DALARNAS LÄN</t>
        </is>
      </c>
      <c r="E141" t="inlineStr">
        <is>
          <t>ORSA</t>
        </is>
      </c>
      <c r="F141" t="inlineStr">
        <is>
          <t>Bergvik skog öst AB</t>
        </is>
      </c>
      <c r="G141" t="n">
        <v>7.5</v>
      </c>
      <c r="H141" t="n">
        <v>0</v>
      </c>
      <c r="I141" t="n">
        <v>0</v>
      </c>
      <c r="J141" t="n">
        <v>0</v>
      </c>
      <c r="K141" t="n">
        <v>0</v>
      </c>
      <c r="L141" t="n">
        <v>0</v>
      </c>
      <c r="M141" t="n">
        <v>0</v>
      </c>
      <c r="N141" t="n">
        <v>0</v>
      </c>
      <c r="O141" t="n">
        <v>0</v>
      </c>
      <c r="P141" t="n">
        <v>0</v>
      </c>
      <c r="Q141" t="n">
        <v>0</v>
      </c>
      <c r="R141" s="2" t="inlineStr"/>
    </row>
    <row r="142" ht="15" customHeight="1">
      <c r="A142" t="inlineStr">
        <is>
          <t>A 5434-2025</t>
        </is>
      </c>
      <c r="B142" s="1" t="n">
        <v>45692</v>
      </c>
      <c r="C142" s="1" t="n">
        <v>46181</v>
      </c>
      <c r="D142" t="inlineStr">
        <is>
          <t>DALARNAS LÄN</t>
        </is>
      </c>
      <c r="E142" t="inlineStr">
        <is>
          <t>ORSA</t>
        </is>
      </c>
      <c r="G142" t="n">
        <v>6.9</v>
      </c>
      <c r="H142" t="n">
        <v>0</v>
      </c>
      <c r="I142" t="n">
        <v>0</v>
      </c>
      <c r="J142" t="n">
        <v>0</v>
      </c>
      <c r="K142" t="n">
        <v>0</v>
      </c>
      <c r="L142" t="n">
        <v>0</v>
      </c>
      <c r="M142" t="n">
        <v>0</v>
      </c>
      <c r="N142" t="n">
        <v>0</v>
      </c>
      <c r="O142" t="n">
        <v>0</v>
      </c>
      <c r="P142" t="n">
        <v>0</v>
      </c>
      <c r="Q142" t="n">
        <v>0</v>
      </c>
      <c r="R142" s="2" t="inlineStr"/>
    </row>
    <row r="143" ht="15" customHeight="1">
      <c r="A143" t="inlineStr">
        <is>
          <t>A 37836-2024</t>
        </is>
      </c>
      <c r="B143" s="1" t="n">
        <v>45544.35747685185</v>
      </c>
      <c r="C143" s="1" t="n">
        <v>46181</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38588-2025</t>
        </is>
      </c>
      <c r="B144" s="1" t="n">
        <v>45884.47355324074</v>
      </c>
      <c r="C144" s="1" t="n">
        <v>46181</v>
      </c>
      <c r="D144" t="inlineStr">
        <is>
          <t>DALARNAS LÄN</t>
        </is>
      </c>
      <c r="E144" t="inlineStr">
        <is>
          <t>ORSA</t>
        </is>
      </c>
      <c r="F144" t="inlineStr">
        <is>
          <t>Bergvik skog öst AB</t>
        </is>
      </c>
      <c r="G144" t="n">
        <v>9.5</v>
      </c>
      <c r="H144" t="n">
        <v>0</v>
      </c>
      <c r="I144" t="n">
        <v>0</v>
      </c>
      <c r="J144" t="n">
        <v>0</v>
      </c>
      <c r="K144" t="n">
        <v>0</v>
      </c>
      <c r="L144" t="n">
        <v>0</v>
      </c>
      <c r="M144" t="n">
        <v>0</v>
      </c>
      <c r="N144" t="n">
        <v>0</v>
      </c>
      <c r="O144" t="n">
        <v>0</v>
      </c>
      <c r="P144" t="n">
        <v>0</v>
      </c>
      <c r="Q144" t="n">
        <v>0</v>
      </c>
      <c r="R144" s="2" t="inlineStr"/>
    </row>
    <row r="145" ht="15" customHeight="1">
      <c r="A145" t="inlineStr">
        <is>
          <t>A 28974-2024</t>
        </is>
      </c>
      <c r="B145" s="1" t="n">
        <v>45481.45445601852</v>
      </c>
      <c r="C145" s="1" t="n">
        <v>46181</v>
      </c>
      <c r="D145" t="inlineStr">
        <is>
          <t>DALARNAS LÄN</t>
        </is>
      </c>
      <c r="E145" t="inlineStr">
        <is>
          <t>ORSA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1650-2026</t>
        </is>
      </c>
      <c r="B146" s="1" t="n">
        <v>46034.52905092593</v>
      </c>
      <c r="C146" s="1" t="n">
        <v>46181</v>
      </c>
      <c r="D146" t="inlineStr">
        <is>
          <t>DALARNAS LÄN</t>
        </is>
      </c>
      <c r="E146" t="inlineStr">
        <is>
          <t>ORSA</t>
        </is>
      </c>
      <c r="G146" t="n">
        <v>6.8</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46181</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24235-2025</t>
        </is>
      </c>
      <c r="B148" s="1" t="n">
        <v>45797.38252314815</v>
      </c>
      <c r="C148" s="1" t="n">
        <v>46181</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24248-2025</t>
        </is>
      </c>
      <c r="B149" s="1" t="n">
        <v>45797.40101851852</v>
      </c>
      <c r="C149" s="1" t="n">
        <v>46181</v>
      </c>
      <c r="D149" t="inlineStr">
        <is>
          <t>DALARNAS LÄN</t>
        </is>
      </c>
      <c r="E149" t="inlineStr">
        <is>
          <t>ORSA</t>
        </is>
      </c>
      <c r="F149" t="inlineStr">
        <is>
          <t>Bergvik skog öst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1580-2026</t>
        </is>
      </c>
      <c r="B150" s="1" t="n">
        <v>46034.42577546297</v>
      </c>
      <c r="C150" s="1" t="n">
        <v>46181</v>
      </c>
      <c r="D150" t="inlineStr">
        <is>
          <t>DALARNAS LÄN</t>
        </is>
      </c>
      <c r="E150" t="inlineStr">
        <is>
          <t>ORSA</t>
        </is>
      </c>
      <c r="G150" t="n">
        <v>3.8</v>
      </c>
      <c r="H150" t="n">
        <v>0</v>
      </c>
      <c r="I150" t="n">
        <v>0</v>
      </c>
      <c r="J150" t="n">
        <v>0</v>
      </c>
      <c r="K150" t="n">
        <v>0</v>
      </c>
      <c r="L150" t="n">
        <v>0</v>
      </c>
      <c r="M150" t="n">
        <v>0</v>
      </c>
      <c r="N150" t="n">
        <v>0</v>
      </c>
      <c r="O150" t="n">
        <v>0</v>
      </c>
      <c r="P150" t="n">
        <v>0</v>
      </c>
      <c r="Q150" t="n">
        <v>0</v>
      </c>
      <c r="R150" s="2" t="inlineStr"/>
    </row>
    <row r="151" ht="15" customHeight="1">
      <c r="A151" t="inlineStr">
        <is>
          <t>A 2090-2026</t>
        </is>
      </c>
      <c r="B151" s="1" t="n">
        <v>46036</v>
      </c>
      <c r="C151" s="1" t="n">
        <v>46181</v>
      </c>
      <c r="D151" t="inlineStr">
        <is>
          <t>DALARNAS LÄN</t>
        </is>
      </c>
      <c r="E151" t="inlineStr">
        <is>
          <t>ORSA</t>
        </is>
      </c>
      <c r="G151" t="n">
        <v>5.7</v>
      </c>
      <c r="H151" t="n">
        <v>0</v>
      </c>
      <c r="I151" t="n">
        <v>0</v>
      </c>
      <c r="J151" t="n">
        <v>0</v>
      </c>
      <c r="K151" t="n">
        <v>0</v>
      </c>
      <c r="L151" t="n">
        <v>0</v>
      </c>
      <c r="M151" t="n">
        <v>0</v>
      </c>
      <c r="N151" t="n">
        <v>0</v>
      </c>
      <c r="O151" t="n">
        <v>0</v>
      </c>
      <c r="P151" t="n">
        <v>0</v>
      </c>
      <c r="Q151" t="n">
        <v>0</v>
      </c>
      <c r="R151" s="2" t="inlineStr"/>
    </row>
    <row r="152" ht="15" customHeight="1">
      <c r="A152" t="inlineStr">
        <is>
          <t>A 41291-2021</t>
        </is>
      </c>
      <c r="B152" s="1" t="n">
        <v>44424</v>
      </c>
      <c r="C152" s="1" t="n">
        <v>46181</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50999-2021</t>
        </is>
      </c>
      <c r="B153" s="1" t="n">
        <v>44460.85565972222</v>
      </c>
      <c r="C153" s="1" t="n">
        <v>46181</v>
      </c>
      <c r="D153" t="inlineStr">
        <is>
          <t>DALARNAS LÄN</t>
        </is>
      </c>
      <c r="E153" t="inlineStr">
        <is>
          <t>ORSA</t>
        </is>
      </c>
      <c r="G153" t="n">
        <v>3</v>
      </c>
      <c r="H153" t="n">
        <v>0</v>
      </c>
      <c r="I153" t="n">
        <v>0</v>
      </c>
      <c r="J153" t="n">
        <v>0</v>
      </c>
      <c r="K153" t="n">
        <v>0</v>
      </c>
      <c r="L153" t="n">
        <v>0</v>
      </c>
      <c r="M153" t="n">
        <v>0</v>
      </c>
      <c r="N153" t="n">
        <v>0</v>
      </c>
      <c r="O153" t="n">
        <v>0</v>
      </c>
      <c r="P153" t="n">
        <v>0</v>
      </c>
      <c r="Q153" t="n">
        <v>0</v>
      </c>
      <c r="R153" s="2" t="inlineStr"/>
    </row>
    <row r="154" ht="15" customHeight="1">
      <c r="A154" t="inlineStr">
        <is>
          <t>A 38844-2025</t>
        </is>
      </c>
      <c r="B154" s="1" t="n">
        <v>45887.54075231482</v>
      </c>
      <c r="C154" s="1" t="n">
        <v>46181</v>
      </c>
      <c r="D154" t="inlineStr">
        <is>
          <t>DALARNAS LÄN</t>
        </is>
      </c>
      <c r="E154" t="inlineStr">
        <is>
          <t>ORSA</t>
        </is>
      </c>
      <c r="G154" t="n">
        <v>1.6</v>
      </c>
      <c r="H154" t="n">
        <v>0</v>
      </c>
      <c r="I154" t="n">
        <v>0</v>
      </c>
      <c r="J154" t="n">
        <v>0</v>
      </c>
      <c r="K154" t="n">
        <v>0</v>
      </c>
      <c r="L154" t="n">
        <v>0</v>
      </c>
      <c r="M154" t="n">
        <v>0</v>
      </c>
      <c r="N154" t="n">
        <v>0</v>
      </c>
      <c r="O154" t="n">
        <v>0</v>
      </c>
      <c r="P154" t="n">
        <v>0</v>
      </c>
      <c r="Q154" t="n">
        <v>0</v>
      </c>
      <c r="R154" s="2" t="inlineStr"/>
    </row>
    <row r="155" ht="15" customHeight="1">
      <c r="A155" t="inlineStr">
        <is>
          <t>A 38840-2025</t>
        </is>
      </c>
      <c r="B155" s="1" t="n">
        <v>45887.5375</v>
      </c>
      <c r="C155" s="1" t="n">
        <v>46181</v>
      </c>
      <c r="D155" t="inlineStr">
        <is>
          <t>DALARNAS LÄN</t>
        </is>
      </c>
      <c r="E155" t="inlineStr">
        <is>
          <t>ORSA</t>
        </is>
      </c>
      <c r="G155" t="n">
        <v>1.5</v>
      </c>
      <c r="H155" t="n">
        <v>0</v>
      </c>
      <c r="I155" t="n">
        <v>0</v>
      </c>
      <c r="J155" t="n">
        <v>0</v>
      </c>
      <c r="K155" t="n">
        <v>0</v>
      </c>
      <c r="L155" t="n">
        <v>0</v>
      </c>
      <c r="M155" t="n">
        <v>0</v>
      </c>
      <c r="N155" t="n">
        <v>0</v>
      </c>
      <c r="O155" t="n">
        <v>0</v>
      </c>
      <c r="P155" t="n">
        <v>0</v>
      </c>
      <c r="Q155" t="n">
        <v>0</v>
      </c>
      <c r="R155" s="2" t="inlineStr"/>
    </row>
    <row r="156" ht="15" customHeight="1">
      <c r="A156" t="inlineStr">
        <is>
          <t>A 1967-2026</t>
        </is>
      </c>
      <c r="B156" s="1" t="n">
        <v>46035.63864583334</v>
      </c>
      <c r="C156" s="1" t="n">
        <v>46181</v>
      </c>
      <c r="D156" t="inlineStr">
        <is>
          <t>DALARNAS LÄN</t>
        </is>
      </c>
      <c r="E156" t="inlineStr">
        <is>
          <t>ORSA</t>
        </is>
      </c>
      <c r="G156" t="n">
        <v>6.3</v>
      </c>
      <c r="H156" t="n">
        <v>0</v>
      </c>
      <c r="I156" t="n">
        <v>0</v>
      </c>
      <c r="J156" t="n">
        <v>0</v>
      </c>
      <c r="K156" t="n">
        <v>0</v>
      </c>
      <c r="L156" t="n">
        <v>0</v>
      </c>
      <c r="M156" t="n">
        <v>0</v>
      </c>
      <c r="N156" t="n">
        <v>0</v>
      </c>
      <c r="O156" t="n">
        <v>0</v>
      </c>
      <c r="P156" t="n">
        <v>0</v>
      </c>
      <c r="Q156" t="n">
        <v>0</v>
      </c>
      <c r="R156" s="2" t="inlineStr"/>
    </row>
    <row r="157" ht="15" customHeight="1">
      <c r="A157" t="inlineStr">
        <is>
          <t>A 24969-2025</t>
        </is>
      </c>
      <c r="B157" s="1" t="n">
        <v>45799</v>
      </c>
      <c r="C157" s="1" t="n">
        <v>46181</v>
      </c>
      <c r="D157" t="inlineStr">
        <is>
          <t>DALARNAS LÄN</t>
        </is>
      </c>
      <c r="E157" t="inlineStr">
        <is>
          <t>ORSA</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25211-2025</t>
        </is>
      </c>
      <c r="B158" s="1" t="n">
        <v>45800.46965277778</v>
      </c>
      <c r="C158" s="1" t="n">
        <v>46181</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41295-2021</t>
        </is>
      </c>
      <c r="B159" s="1" t="n">
        <v>44424</v>
      </c>
      <c r="C159" s="1" t="n">
        <v>46181</v>
      </c>
      <c r="D159" t="inlineStr">
        <is>
          <t>DALARNAS LÄN</t>
        </is>
      </c>
      <c r="E159" t="inlineStr">
        <is>
          <t>ORSA</t>
        </is>
      </c>
      <c r="G159" t="n">
        <v>3.1</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46181</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40070-2025</t>
        </is>
      </c>
      <c r="B161" s="1" t="n">
        <v>45894.44197916667</v>
      </c>
      <c r="C161" s="1" t="n">
        <v>46181</v>
      </c>
      <c r="D161" t="inlineStr">
        <is>
          <t>DALARNAS LÄN</t>
        </is>
      </c>
      <c r="E161" t="inlineStr">
        <is>
          <t>ORSA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34169-2023</t>
        </is>
      </c>
      <c r="B162" s="1" t="n">
        <v>45138.3071412037</v>
      </c>
      <c r="C162" s="1" t="n">
        <v>46181</v>
      </c>
      <c r="D162" t="inlineStr">
        <is>
          <t>DALARNAS LÄN</t>
        </is>
      </c>
      <c r="E162" t="inlineStr">
        <is>
          <t>ORSA</t>
        </is>
      </c>
      <c r="F162" t="inlineStr">
        <is>
          <t>Allmännings- och besparingsskogar</t>
        </is>
      </c>
      <c r="G162" t="n">
        <v>0.7</v>
      </c>
      <c r="H162" t="n">
        <v>0</v>
      </c>
      <c r="I162" t="n">
        <v>0</v>
      </c>
      <c r="J162" t="n">
        <v>0</v>
      </c>
      <c r="K162" t="n">
        <v>0</v>
      </c>
      <c r="L162" t="n">
        <v>0</v>
      </c>
      <c r="M162" t="n">
        <v>0</v>
      </c>
      <c r="N162" t="n">
        <v>0</v>
      </c>
      <c r="O162" t="n">
        <v>0</v>
      </c>
      <c r="P162" t="n">
        <v>0</v>
      </c>
      <c r="Q162" t="n">
        <v>0</v>
      </c>
      <c r="R162" s="2" t="inlineStr"/>
    </row>
    <row r="163" ht="15" customHeight="1">
      <c r="A163" t="inlineStr">
        <is>
          <t>A 40091-2025</t>
        </is>
      </c>
      <c r="B163" s="1" t="n">
        <v>45894.47822916666</v>
      </c>
      <c r="C163" s="1" t="n">
        <v>46181</v>
      </c>
      <c r="D163" t="inlineStr">
        <is>
          <t>DALARNAS LÄN</t>
        </is>
      </c>
      <c r="E163" t="inlineStr">
        <is>
          <t>ORSA</t>
        </is>
      </c>
      <c r="F163" t="inlineStr">
        <is>
          <t>Allmännings- och besparingsskogar</t>
        </is>
      </c>
      <c r="G163" t="n">
        <v>20.4</v>
      </c>
      <c r="H163" t="n">
        <v>0</v>
      </c>
      <c r="I163" t="n">
        <v>0</v>
      </c>
      <c r="J163" t="n">
        <v>0</v>
      </c>
      <c r="K163" t="n">
        <v>0</v>
      </c>
      <c r="L163" t="n">
        <v>0</v>
      </c>
      <c r="M163" t="n">
        <v>0</v>
      </c>
      <c r="N163" t="n">
        <v>0</v>
      </c>
      <c r="O163" t="n">
        <v>0</v>
      </c>
      <c r="P163" t="n">
        <v>0</v>
      </c>
      <c r="Q163" t="n">
        <v>0</v>
      </c>
      <c r="R163" s="2" t="inlineStr"/>
    </row>
    <row r="164" ht="15" customHeight="1">
      <c r="A164" t="inlineStr">
        <is>
          <t>A 61685-2024</t>
        </is>
      </c>
      <c r="B164" s="1" t="n">
        <v>45647.56972222222</v>
      </c>
      <c r="C164" s="1" t="n">
        <v>46181</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40127-2025</t>
        </is>
      </c>
      <c r="B165" s="1" t="n">
        <v>45894.53300925926</v>
      </c>
      <c r="C165" s="1" t="n">
        <v>46181</v>
      </c>
      <c r="D165" t="inlineStr">
        <is>
          <t>DALARNAS LÄN</t>
        </is>
      </c>
      <c r="E165" t="inlineStr">
        <is>
          <t>ORSA</t>
        </is>
      </c>
      <c r="F165" t="inlineStr">
        <is>
          <t>Allmännings- och besparingsskogar</t>
        </is>
      </c>
      <c r="G165" t="n">
        <v>17.4</v>
      </c>
      <c r="H165" t="n">
        <v>0</v>
      </c>
      <c r="I165" t="n">
        <v>0</v>
      </c>
      <c r="J165" t="n">
        <v>0</v>
      </c>
      <c r="K165" t="n">
        <v>0</v>
      </c>
      <c r="L165" t="n">
        <v>0</v>
      </c>
      <c r="M165" t="n">
        <v>0</v>
      </c>
      <c r="N165" t="n">
        <v>0</v>
      </c>
      <c r="O165" t="n">
        <v>0</v>
      </c>
      <c r="P165" t="n">
        <v>0</v>
      </c>
      <c r="Q165" t="n">
        <v>0</v>
      </c>
      <c r="R165" s="2" t="inlineStr"/>
    </row>
    <row r="166" ht="15" customHeight="1">
      <c r="A166" t="inlineStr">
        <is>
          <t>A 37981-2024</t>
        </is>
      </c>
      <c r="B166" s="1" t="n">
        <v>45544</v>
      </c>
      <c r="C166" s="1" t="n">
        <v>46181</v>
      </c>
      <c r="D166" t="inlineStr">
        <is>
          <t>DALARNAS LÄN</t>
        </is>
      </c>
      <c r="E166" t="inlineStr">
        <is>
          <t>ORSA</t>
        </is>
      </c>
      <c r="F166" t="inlineStr">
        <is>
          <t>Allmännings- och besparingsskogar</t>
        </is>
      </c>
      <c r="G166" t="n">
        <v>1.2</v>
      </c>
      <c r="H166" t="n">
        <v>0</v>
      </c>
      <c r="I166" t="n">
        <v>0</v>
      </c>
      <c r="J166" t="n">
        <v>0</v>
      </c>
      <c r="K166" t="n">
        <v>0</v>
      </c>
      <c r="L166" t="n">
        <v>0</v>
      </c>
      <c r="M166" t="n">
        <v>0</v>
      </c>
      <c r="N166" t="n">
        <v>0</v>
      </c>
      <c r="O166" t="n">
        <v>0</v>
      </c>
      <c r="P166" t="n">
        <v>0</v>
      </c>
      <c r="Q166" t="n">
        <v>0</v>
      </c>
      <c r="R166" s="2" t="inlineStr"/>
    </row>
    <row r="167" ht="15" customHeight="1">
      <c r="A167" t="inlineStr">
        <is>
          <t>A 18817-2023</t>
        </is>
      </c>
      <c r="B167" s="1" t="n">
        <v>45043</v>
      </c>
      <c r="C167" s="1" t="n">
        <v>46181</v>
      </c>
      <c r="D167" t="inlineStr">
        <is>
          <t>DALARNAS LÄN</t>
        </is>
      </c>
      <c r="E167" t="inlineStr">
        <is>
          <t>ORSA</t>
        </is>
      </c>
      <c r="G167" t="n">
        <v>4.4</v>
      </c>
      <c r="H167" t="n">
        <v>0</v>
      </c>
      <c r="I167" t="n">
        <v>0</v>
      </c>
      <c r="J167" t="n">
        <v>0</v>
      </c>
      <c r="K167" t="n">
        <v>0</v>
      </c>
      <c r="L167" t="n">
        <v>0</v>
      </c>
      <c r="M167" t="n">
        <v>0</v>
      </c>
      <c r="N167" t="n">
        <v>0</v>
      </c>
      <c r="O167" t="n">
        <v>0</v>
      </c>
      <c r="P167" t="n">
        <v>0</v>
      </c>
      <c r="Q167" t="n">
        <v>0</v>
      </c>
      <c r="R167" s="2" t="inlineStr"/>
    </row>
    <row r="168" ht="15" customHeight="1">
      <c r="A168" t="inlineStr">
        <is>
          <t>A 40577-2025</t>
        </is>
      </c>
      <c r="B168" s="1" t="n">
        <v>45896.51028935185</v>
      </c>
      <c r="C168" s="1" t="n">
        <v>46181</v>
      </c>
      <c r="D168" t="inlineStr">
        <is>
          <t>DALARNAS LÄN</t>
        </is>
      </c>
      <c r="E168" t="inlineStr">
        <is>
          <t>ORSA</t>
        </is>
      </c>
      <c r="F168" t="inlineStr">
        <is>
          <t>Allmännings- och besparingsskogar</t>
        </is>
      </c>
      <c r="G168" t="n">
        <v>13.8</v>
      </c>
      <c r="H168" t="n">
        <v>0</v>
      </c>
      <c r="I168" t="n">
        <v>0</v>
      </c>
      <c r="J168" t="n">
        <v>0</v>
      </c>
      <c r="K168" t="n">
        <v>0</v>
      </c>
      <c r="L168" t="n">
        <v>0</v>
      </c>
      <c r="M168" t="n">
        <v>0</v>
      </c>
      <c r="N168" t="n">
        <v>0</v>
      </c>
      <c r="O168" t="n">
        <v>0</v>
      </c>
      <c r="P168" t="n">
        <v>0</v>
      </c>
      <c r="Q168" t="n">
        <v>0</v>
      </c>
      <c r="R168" s="2" t="inlineStr"/>
    </row>
    <row r="169" ht="15" customHeight="1">
      <c r="A169" t="inlineStr">
        <is>
          <t>A 33488-2024</t>
        </is>
      </c>
      <c r="B169" s="1" t="n">
        <v>45519.61466435185</v>
      </c>
      <c r="C169" s="1" t="n">
        <v>46181</v>
      </c>
      <c r="D169" t="inlineStr">
        <is>
          <t>DALARNAS LÄN</t>
        </is>
      </c>
      <c r="E169" t="inlineStr">
        <is>
          <t>ORSA</t>
        </is>
      </c>
      <c r="F169" t="inlineStr">
        <is>
          <t>Övriga statliga verk och myndigheter</t>
        </is>
      </c>
      <c r="G169" t="n">
        <v>0.5</v>
      </c>
      <c r="H169" t="n">
        <v>0</v>
      </c>
      <c r="I169" t="n">
        <v>0</v>
      </c>
      <c r="J169" t="n">
        <v>0</v>
      </c>
      <c r="K169" t="n">
        <v>0</v>
      </c>
      <c r="L169" t="n">
        <v>0</v>
      </c>
      <c r="M169" t="n">
        <v>0</v>
      </c>
      <c r="N169" t="n">
        <v>0</v>
      </c>
      <c r="O169" t="n">
        <v>0</v>
      </c>
      <c r="P169" t="n">
        <v>0</v>
      </c>
      <c r="Q169" t="n">
        <v>0</v>
      </c>
      <c r="R169" s="2" t="inlineStr"/>
    </row>
    <row r="170" ht="15" customHeight="1">
      <c r="A170" t="inlineStr">
        <is>
          <t>A 890-2024</t>
        </is>
      </c>
      <c r="B170" s="1" t="n">
        <v>45301.40552083333</v>
      </c>
      <c r="C170" s="1" t="n">
        <v>46181</v>
      </c>
      <c r="D170" t="inlineStr">
        <is>
          <t>DALARNAS LÄN</t>
        </is>
      </c>
      <c r="E170" t="inlineStr">
        <is>
          <t>ORSA</t>
        </is>
      </c>
      <c r="G170" t="n">
        <v>2.5</v>
      </c>
      <c r="H170" t="n">
        <v>0</v>
      </c>
      <c r="I170" t="n">
        <v>0</v>
      </c>
      <c r="J170" t="n">
        <v>0</v>
      </c>
      <c r="K170" t="n">
        <v>0</v>
      </c>
      <c r="L170" t="n">
        <v>0</v>
      </c>
      <c r="M170" t="n">
        <v>0</v>
      </c>
      <c r="N170" t="n">
        <v>0</v>
      </c>
      <c r="O170" t="n">
        <v>0</v>
      </c>
      <c r="P170" t="n">
        <v>0</v>
      </c>
      <c r="Q170" t="n">
        <v>0</v>
      </c>
      <c r="R170" s="2" t="inlineStr"/>
    </row>
    <row r="171" ht="15" customHeight="1">
      <c r="A171" t="inlineStr">
        <is>
          <t>A 2551-2026</t>
        </is>
      </c>
      <c r="B171" s="1" t="n">
        <v>46037.47077546296</v>
      </c>
      <c r="C171" s="1" t="n">
        <v>46181</v>
      </c>
      <c r="D171" t="inlineStr">
        <is>
          <t>DALARNAS LÄN</t>
        </is>
      </c>
      <c r="E171" t="inlineStr">
        <is>
          <t>ORSA</t>
        </is>
      </c>
      <c r="G171" t="n">
        <v>2.6</v>
      </c>
      <c r="H171" t="n">
        <v>0</v>
      </c>
      <c r="I171" t="n">
        <v>0</v>
      </c>
      <c r="J171" t="n">
        <v>0</v>
      </c>
      <c r="K171" t="n">
        <v>0</v>
      </c>
      <c r="L171" t="n">
        <v>0</v>
      </c>
      <c r="M171" t="n">
        <v>0</v>
      </c>
      <c r="N171" t="n">
        <v>0</v>
      </c>
      <c r="O171" t="n">
        <v>0</v>
      </c>
      <c r="P171" t="n">
        <v>0</v>
      </c>
      <c r="Q171" t="n">
        <v>0</v>
      </c>
      <c r="R171" s="2" t="inlineStr"/>
    </row>
    <row r="172" ht="15" customHeight="1">
      <c r="A172" t="inlineStr">
        <is>
          <t>A 22491-2025</t>
        </is>
      </c>
      <c r="B172" s="1" t="n">
        <v>45786.65040509259</v>
      </c>
      <c r="C172" s="1" t="n">
        <v>46181</v>
      </c>
      <c r="D172" t="inlineStr">
        <is>
          <t>DALARNAS LÄN</t>
        </is>
      </c>
      <c r="E172" t="inlineStr">
        <is>
          <t>ORSA</t>
        </is>
      </c>
      <c r="F172" t="inlineStr">
        <is>
          <t>Bergvik skog öst AB</t>
        </is>
      </c>
      <c r="G172" t="n">
        <v>5.7</v>
      </c>
      <c r="H172" t="n">
        <v>0</v>
      </c>
      <c r="I172" t="n">
        <v>0</v>
      </c>
      <c r="J172" t="n">
        <v>0</v>
      </c>
      <c r="K172" t="n">
        <v>0</v>
      </c>
      <c r="L172" t="n">
        <v>0</v>
      </c>
      <c r="M172" t="n">
        <v>0</v>
      </c>
      <c r="N172" t="n">
        <v>0</v>
      </c>
      <c r="O172" t="n">
        <v>0</v>
      </c>
      <c r="P172" t="n">
        <v>0</v>
      </c>
      <c r="Q172" t="n">
        <v>0</v>
      </c>
      <c r="R172" s="2" t="inlineStr"/>
    </row>
    <row r="173" ht="15" customHeight="1">
      <c r="A173" t="inlineStr">
        <is>
          <t>A 21364-2025</t>
        </is>
      </c>
      <c r="B173" s="1" t="n">
        <v>45782</v>
      </c>
      <c r="C173" s="1" t="n">
        <v>46181</v>
      </c>
      <c r="D173" t="inlineStr">
        <is>
          <t>DALARNAS LÄN</t>
        </is>
      </c>
      <c r="E173" t="inlineStr">
        <is>
          <t>ORSA</t>
        </is>
      </c>
      <c r="F173" t="inlineStr">
        <is>
          <t>Allmännings- och besparingsskogar</t>
        </is>
      </c>
      <c r="G173" t="n">
        <v>52.6</v>
      </c>
      <c r="H173" t="n">
        <v>0</v>
      </c>
      <c r="I173" t="n">
        <v>0</v>
      </c>
      <c r="J173" t="n">
        <v>0</v>
      </c>
      <c r="K173" t="n">
        <v>0</v>
      </c>
      <c r="L173" t="n">
        <v>0</v>
      </c>
      <c r="M173" t="n">
        <v>0</v>
      </c>
      <c r="N173" t="n">
        <v>0</v>
      </c>
      <c r="O173" t="n">
        <v>0</v>
      </c>
      <c r="P173" t="n">
        <v>0</v>
      </c>
      <c r="Q173" t="n">
        <v>0</v>
      </c>
      <c r="R173" s="2" t="inlineStr"/>
    </row>
    <row r="174" ht="15" customHeight="1">
      <c r="A174" t="inlineStr">
        <is>
          <t>A 41666-2025</t>
        </is>
      </c>
      <c r="B174" s="1" t="n">
        <v>45902.35822916667</v>
      </c>
      <c r="C174" s="1" t="n">
        <v>46181</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20302-2023</t>
        </is>
      </c>
      <c r="B175" s="1" t="n">
        <v>45056</v>
      </c>
      <c r="C175" s="1" t="n">
        <v>46181</v>
      </c>
      <c r="D175" t="inlineStr">
        <is>
          <t>DALARNAS LÄN</t>
        </is>
      </c>
      <c r="E175" t="inlineStr">
        <is>
          <t>ORSA</t>
        </is>
      </c>
      <c r="G175" t="n">
        <v>2.1</v>
      </c>
      <c r="H175" t="n">
        <v>0</v>
      </c>
      <c r="I175" t="n">
        <v>0</v>
      </c>
      <c r="J175" t="n">
        <v>0</v>
      </c>
      <c r="K175" t="n">
        <v>0</v>
      </c>
      <c r="L175" t="n">
        <v>0</v>
      </c>
      <c r="M175" t="n">
        <v>0</v>
      </c>
      <c r="N175" t="n">
        <v>0</v>
      </c>
      <c r="O175" t="n">
        <v>0</v>
      </c>
      <c r="P175" t="n">
        <v>0</v>
      </c>
      <c r="Q175" t="n">
        <v>0</v>
      </c>
      <c r="R175" s="2" t="inlineStr"/>
    </row>
    <row r="176" ht="15" customHeight="1">
      <c r="A176" t="inlineStr">
        <is>
          <t>A 3000-2026</t>
        </is>
      </c>
      <c r="B176" s="1" t="n">
        <v>46038</v>
      </c>
      <c r="C176" s="1" t="n">
        <v>46181</v>
      </c>
      <c r="D176" t="inlineStr">
        <is>
          <t>DALARNAS LÄN</t>
        </is>
      </c>
      <c r="E176" t="inlineStr">
        <is>
          <t>ORSA</t>
        </is>
      </c>
      <c r="G176" t="n">
        <v>1.9</v>
      </c>
      <c r="H176" t="n">
        <v>0</v>
      </c>
      <c r="I176" t="n">
        <v>0</v>
      </c>
      <c r="J176" t="n">
        <v>0</v>
      </c>
      <c r="K176" t="n">
        <v>0</v>
      </c>
      <c r="L176" t="n">
        <v>0</v>
      </c>
      <c r="M176" t="n">
        <v>0</v>
      </c>
      <c r="N176" t="n">
        <v>0</v>
      </c>
      <c r="O176" t="n">
        <v>0</v>
      </c>
      <c r="P176" t="n">
        <v>0</v>
      </c>
      <c r="Q176" t="n">
        <v>0</v>
      </c>
      <c r="R176" s="2" t="inlineStr"/>
    </row>
    <row r="177" ht="15" customHeight="1">
      <c r="A177" t="inlineStr">
        <is>
          <t>A 26741-2025</t>
        </is>
      </c>
      <c r="B177" s="1" t="n">
        <v>45810.52444444445</v>
      </c>
      <c r="C177" s="1" t="n">
        <v>46181</v>
      </c>
      <c r="D177" t="inlineStr">
        <is>
          <t>DALARNAS LÄN</t>
        </is>
      </c>
      <c r="E177" t="inlineStr">
        <is>
          <t>ORSA</t>
        </is>
      </c>
      <c r="G177" t="n">
        <v>0.7</v>
      </c>
      <c r="H177" t="n">
        <v>0</v>
      </c>
      <c r="I177" t="n">
        <v>0</v>
      </c>
      <c r="J177" t="n">
        <v>0</v>
      </c>
      <c r="K177" t="n">
        <v>0</v>
      </c>
      <c r="L177" t="n">
        <v>0</v>
      </c>
      <c r="M177" t="n">
        <v>0</v>
      </c>
      <c r="N177" t="n">
        <v>0</v>
      </c>
      <c r="O177" t="n">
        <v>0</v>
      </c>
      <c r="P177" t="n">
        <v>0</v>
      </c>
      <c r="Q177" t="n">
        <v>0</v>
      </c>
      <c r="R177" s="2" t="inlineStr"/>
    </row>
    <row r="178" ht="15" customHeight="1">
      <c r="A178" t="inlineStr">
        <is>
          <t>A 41919-2025</t>
        </is>
      </c>
      <c r="B178" s="1" t="n">
        <v>45903.42372685186</v>
      </c>
      <c r="C178" s="1" t="n">
        <v>46181</v>
      </c>
      <c r="D178" t="inlineStr">
        <is>
          <t>DALARNAS LÄN</t>
        </is>
      </c>
      <c r="E178" t="inlineStr">
        <is>
          <t>ORSA</t>
        </is>
      </c>
      <c r="G178" t="n">
        <v>0.5</v>
      </c>
      <c r="H178" t="n">
        <v>0</v>
      </c>
      <c r="I178" t="n">
        <v>0</v>
      </c>
      <c r="J178" t="n">
        <v>0</v>
      </c>
      <c r="K178" t="n">
        <v>0</v>
      </c>
      <c r="L178" t="n">
        <v>0</v>
      </c>
      <c r="M178" t="n">
        <v>0</v>
      </c>
      <c r="N178" t="n">
        <v>0</v>
      </c>
      <c r="O178" t="n">
        <v>0</v>
      </c>
      <c r="P178" t="n">
        <v>0</v>
      </c>
      <c r="Q178" t="n">
        <v>0</v>
      </c>
      <c r="R178" s="2" t="inlineStr"/>
    </row>
    <row r="179" ht="15" customHeight="1">
      <c r="A179" t="inlineStr">
        <is>
          <t>A 41927-2025</t>
        </is>
      </c>
      <c r="B179" s="1" t="n">
        <v>45903.4290625</v>
      </c>
      <c r="C179" s="1" t="n">
        <v>46181</v>
      </c>
      <c r="D179" t="inlineStr">
        <is>
          <t>DALARNAS LÄN</t>
        </is>
      </c>
      <c r="E179" t="inlineStr">
        <is>
          <t>ORSA</t>
        </is>
      </c>
      <c r="G179" t="n">
        <v>2.4</v>
      </c>
      <c r="H179" t="n">
        <v>0</v>
      </c>
      <c r="I179" t="n">
        <v>0</v>
      </c>
      <c r="J179" t="n">
        <v>0</v>
      </c>
      <c r="K179" t="n">
        <v>0</v>
      </c>
      <c r="L179" t="n">
        <v>0</v>
      </c>
      <c r="M179" t="n">
        <v>0</v>
      </c>
      <c r="N179" t="n">
        <v>0</v>
      </c>
      <c r="O179" t="n">
        <v>0</v>
      </c>
      <c r="P179" t="n">
        <v>0</v>
      </c>
      <c r="Q179" t="n">
        <v>0</v>
      </c>
      <c r="R179" s="2" t="inlineStr"/>
    </row>
    <row r="180" ht="15" customHeight="1">
      <c r="A180" t="inlineStr">
        <is>
          <t>A 5435-2025</t>
        </is>
      </c>
      <c r="B180" s="1" t="n">
        <v>45692</v>
      </c>
      <c r="C180" s="1" t="n">
        <v>46181</v>
      </c>
      <c r="D180" t="inlineStr">
        <is>
          <t>DALARNAS LÄN</t>
        </is>
      </c>
      <c r="E180" t="inlineStr">
        <is>
          <t>ORSA</t>
        </is>
      </c>
      <c r="G180" t="n">
        <v>7.8</v>
      </c>
      <c r="H180" t="n">
        <v>0</v>
      </c>
      <c r="I180" t="n">
        <v>0</v>
      </c>
      <c r="J180" t="n">
        <v>0</v>
      </c>
      <c r="K180" t="n">
        <v>0</v>
      </c>
      <c r="L180" t="n">
        <v>0</v>
      </c>
      <c r="M180" t="n">
        <v>0</v>
      </c>
      <c r="N180" t="n">
        <v>0</v>
      </c>
      <c r="O180" t="n">
        <v>0</v>
      </c>
      <c r="P180" t="n">
        <v>0</v>
      </c>
      <c r="Q180" t="n">
        <v>0</v>
      </c>
      <c r="R180" s="2" t="inlineStr"/>
    </row>
    <row r="181" ht="15" customHeight="1">
      <c r="A181" t="inlineStr">
        <is>
          <t>A 4553-2025</t>
        </is>
      </c>
      <c r="B181" s="1" t="n">
        <v>45687.42143518518</v>
      </c>
      <c r="C181" s="1" t="n">
        <v>46181</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41991-2025</t>
        </is>
      </c>
      <c r="B182" s="1" t="n">
        <v>45903.54532407408</v>
      </c>
      <c r="C182" s="1" t="n">
        <v>46181</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42226-2025</t>
        </is>
      </c>
      <c r="B183" s="1" t="n">
        <v>45904.53831018518</v>
      </c>
      <c r="C183" s="1" t="n">
        <v>46181</v>
      </c>
      <c r="D183" t="inlineStr">
        <is>
          <t>DALARNAS LÄN</t>
        </is>
      </c>
      <c r="E183" t="inlineStr">
        <is>
          <t>ORSA</t>
        </is>
      </c>
      <c r="F183" t="inlineStr">
        <is>
          <t>Allmännings- och besparingsskogar</t>
        </is>
      </c>
      <c r="G183" t="n">
        <v>18</v>
      </c>
      <c r="H183" t="n">
        <v>0</v>
      </c>
      <c r="I183" t="n">
        <v>0</v>
      </c>
      <c r="J183" t="n">
        <v>0</v>
      </c>
      <c r="K183" t="n">
        <v>0</v>
      </c>
      <c r="L183" t="n">
        <v>0</v>
      </c>
      <c r="M183" t="n">
        <v>0</v>
      </c>
      <c r="N183" t="n">
        <v>0</v>
      </c>
      <c r="O183" t="n">
        <v>0</v>
      </c>
      <c r="P183" t="n">
        <v>0</v>
      </c>
      <c r="Q183" t="n">
        <v>0</v>
      </c>
      <c r="R183" s="2" t="inlineStr"/>
    </row>
    <row r="184" ht="15" customHeight="1">
      <c r="A184" t="inlineStr">
        <is>
          <t>A 6490-2025</t>
        </is>
      </c>
      <c r="B184" s="1" t="n">
        <v>45699</v>
      </c>
      <c r="C184" s="1" t="n">
        <v>46181</v>
      </c>
      <c r="D184" t="inlineStr">
        <is>
          <t>DALARNAS LÄN</t>
        </is>
      </c>
      <c r="E184" t="inlineStr">
        <is>
          <t>ORSA</t>
        </is>
      </c>
      <c r="G184" t="n">
        <v>7.5</v>
      </c>
      <c r="H184" t="n">
        <v>0</v>
      </c>
      <c r="I184" t="n">
        <v>0</v>
      </c>
      <c r="J184" t="n">
        <v>0</v>
      </c>
      <c r="K184" t="n">
        <v>0</v>
      </c>
      <c r="L184" t="n">
        <v>0</v>
      </c>
      <c r="M184" t="n">
        <v>0</v>
      </c>
      <c r="N184" t="n">
        <v>0</v>
      </c>
      <c r="O184" t="n">
        <v>0</v>
      </c>
      <c r="P184" t="n">
        <v>0</v>
      </c>
      <c r="Q184" t="n">
        <v>0</v>
      </c>
      <c r="R184" s="2" t="inlineStr"/>
    </row>
    <row r="185" ht="15" customHeight="1">
      <c r="A185" t="inlineStr">
        <is>
          <t>A 41971-2025</t>
        </is>
      </c>
      <c r="B185" s="1" t="n">
        <v>45903.48930555556</v>
      </c>
      <c r="C185" s="1" t="n">
        <v>46181</v>
      </c>
      <c r="D185" t="inlineStr">
        <is>
          <t>DALARNAS LÄN</t>
        </is>
      </c>
      <c r="E185" t="inlineStr">
        <is>
          <t>ORSA</t>
        </is>
      </c>
      <c r="G185" t="n">
        <v>15.8</v>
      </c>
      <c r="H185" t="n">
        <v>0</v>
      </c>
      <c r="I185" t="n">
        <v>0</v>
      </c>
      <c r="J185" t="n">
        <v>0</v>
      </c>
      <c r="K185" t="n">
        <v>0</v>
      </c>
      <c r="L185" t="n">
        <v>0</v>
      </c>
      <c r="M185" t="n">
        <v>0</v>
      </c>
      <c r="N185" t="n">
        <v>0</v>
      </c>
      <c r="O185" t="n">
        <v>0</v>
      </c>
      <c r="P185" t="n">
        <v>0</v>
      </c>
      <c r="Q185" t="n">
        <v>0</v>
      </c>
      <c r="R185" s="2" t="inlineStr"/>
    </row>
    <row r="186" ht="15" customHeight="1">
      <c r="A186" t="inlineStr">
        <is>
          <t>A 60337-2025</t>
        </is>
      </c>
      <c r="B186" s="1" t="n">
        <v>45994</v>
      </c>
      <c r="C186" s="1" t="n">
        <v>46181</v>
      </c>
      <c r="D186" t="inlineStr">
        <is>
          <t>DALARNAS LÄN</t>
        </is>
      </c>
      <c r="E186" t="inlineStr">
        <is>
          <t>ORSA</t>
        </is>
      </c>
      <c r="G186" t="n">
        <v>6.8</v>
      </c>
      <c r="H186" t="n">
        <v>0</v>
      </c>
      <c r="I186" t="n">
        <v>0</v>
      </c>
      <c r="J186" t="n">
        <v>0</v>
      </c>
      <c r="K186" t="n">
        <v>0</v>
      </c>
      <c r="L186" t="n">
        <v>0</v>
      </c>
      <c r="M186" t="n">
        <v>0</v>
      </c>
      <c r="N186" t="n">
        <v>0</v>
      </c>
      <c r="O186" t="n">
        <v>0</v>
      </c>
      <c r="P186" t="n">
        <v>0</v>
      </c>
      <c r="Q186" t="n">
        <v>0</v>
      </c>
      <c r="R186" s="2" t="inlineStr"/>
    </row>
    <row r="187" ht="15" customHeight="1">
      <c r="A187" t="inlineStr">
        <is>
          <t>A 89-2026</t>
        </is>
      </c>
      <c r="B187" s="1" t="n">
        <v>46016</v>
      </c>
      <c r="C187" s="1" t="n">
        <v>46181</v>
      </c>
      <c r="D187" t="inlineStr">
        <is>
          <t>DALARNAS LÄN</t>
        </is>
      </c>
      <c r="E187" t="inlineStr">
        <is>
          <t>ORSA</t>
        </is>
      </c>
      <c r="G187" t="n">
        <v>1.3</v>
      </c>
      <c r="H187" t="n">
        <v>0</v>
      </c>
      <c r="I187" t="n">
        <v>0</v>
      </c>
      <c r="J187" t="n">
        <v>0</v>
      </c>
      <c r="K187" t="n">
        <v>0</v>
      </c>
      <c r="L187" t="n">
        <v>0</v>
      </c>
      <c r="M187" t="n">
        <v>0</v>
      </c>
      <c r="N187" t="n">
        <v>0</v>
      </c>
      <c r="O187" t="n">
        <v>0</v>
      </c>
      <c r="P187" t="n">
        <v>0</v>
      </c>
      <c r="Q187" t="n">
        <v>0</v>
      </c>
      <c r="R187" s="2" t="inlineStr"/>
    </row>
    <row r="188" ht="15" customHeight="1">
      <c r="A188" t="inlineStr">
        <is>
          <t>A 27313-2025</t>
        </is>
      </c>
      <c r="B188" s="1" t="n">
        <v>45812.58365740741</v>
      </c>
      <c r="C188" s="1" t="n">
        <v>46181</v>
      </c>
      <c r="D188" t="inlineStr">
        <is>
          <t>DALARNAS LÄN</t>
        </is>
      </c>
      <c r="E188" t="inlineStr">
        <is>
          <t>ORSA</t>
        </is>
      </c>
      <c r="F188" t="inlineStr">
        <is>
          <t>Allmännings- och besparingsskogar</t>
        </is>
      </c>
      <c r="G188" t="n">
        <v>1.4</v>
      </c>
      <c r="H188" t="n">
        <v>0</v>
      </c>
      <c r="I188" t="n">
        <v>0</v>
      </c>
      <c r="J188" t="n">
        <v>0</v>
      </c>
      <c r="K188" t="n">
        <v>0</v>
      </c>
      <c r="L188" t="n">
        <v>0</v>
      </c>
      <c r="M188" t="n">
        <v>0</v>
      </c>
      <c r="N188" t="n">
        <v>0</v>
      </c>
      <c r="O188" t="n">
        <v>0</v>
      </c>
      <c r="P188" t="n">
        <v>0</v>
      </c>
      <c r="Q188" t="n">
        <v>0</v>
      </c>
      <c r="R188" s="2" t="inlineStr"/>
    </row>
    <row r="189" ht="15" customHeight="1">
      <c r="A189" t="inlineStr">
        <is>
          <t>A 27190-2025</t>
        </is>
      </c>
      <c r="B189" s="1" t="n">
        <v>45812.37025462963</v>
      </c>
      <c r="C189" s="1" t="n">
        <v>46181</v>
      </c>
      <c r="D189" t="inlineStr">
        <is>
          <t>DALARNAS LÄN</t>
        </is>
      </c>
      <c r="E189" t="inlineStr">
        <is>
          <t>ORSA</t>
        </is>
      </c>
      <c r="F189" t="inlineStr">
        <is>
          <t>Bergvik skog öst AB</t>
        </is>
      </c>
      <c r="G189" t="n">
        <v>4.9</v>
      </c>
      <c r="H189" t="n">
        <v>0</v>
      </c>
      <c r="I189" t="n">
        <v>0</v>
      </c>
      <c r="J189" t="n">
        <v>0</v>
      </c>
      <c r="K189" t="n">
        <v>0</v>
      </c>
      <c r="L189" t="n">
        <v>0</v>
      </c>
      <c r="M189" t="n">
        <v>0</v>
      </c>
      <c r="N189" t="n">
        <v>0</v>
      </c>
      <c r="O189" t="n">
        <v>0</v>
      </c>
      <c r="P189" t="n">
        <v>0</v>
      </c>
      <c r="Q189" t="n">
        <v>0</v>
      </c>
      <c r="R189" s="2" t="inlineStr"/>
    </row>
    <row r="190" ht="15" customHeight="1">
      <c r="A190" t="inlineStr">
        <is>
          <t>A 3364-2026</t>
        </is>
      </c>
      <c r="B190" s="1" t="n">
        <v>46042</v>
      </c>
      <c r="C190" s="1" t="n">
        <v>46181</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46181</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3226-2026</t>
        </is>
      </c>
      <c r="B192" s="1" t="n">
        <v>46041.54016203704</v>
      </c>
      <c r="C192" s="1" t="n">
        <v>46181</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3231-2026</t>
        </is>
      </c>
      <c r="B193" s="1" t="n">
        <v>46041</v>
      </c>
      <c r="C193" s="1" t="n">
        <v>46181</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51001-2021</t>
        </is>
      </c>
      <c r="B194" s="1" t="n">
        <v>44460.86221064815</v>
      </c>
      <c r="C194" s="1" t="n">
        <v>46181</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3988-2026</t>
        </is>
      </c>
      <c r="B195" s="1" t="n">
        <v>46044.37626157407</v>
      </c>
      <c r="C195" s="1" t="n">
        <v>46181</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3683-2026</t>
        </is>
      </c>
      <c r="B196" s="1" t="n">
        <v>46043.43420138889</v>
      </c>
      <c r="C196" s="1" t="n">
        <v>46181</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3727-2026</t>
        </is>
      </c>
      <c r="B197" s="1" t="n">
        <v>46043</v>
      </c>
      <c r="C197" s="1" t="n">
        <v>46181</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61698-2022</t>
        </is>
      </c>
      <c r="B198" s="1" t="n">
        <v>44917.40038194445</v>
      </c>
      <c r="C198" s="1" t="n">
        <v>46181</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4011-2026</t>
        </is>
      </c>
      <c r="B199" s="1" t="n">
        <v>46044.41059027778</v>
      </c>
      <c r="C199" s="1" t="n">
        <v>46181</v>
      </c>
      <c r="D199" t="inlineStr">
        <is>
          <t>DALARNAS LÄN</t>
        </is>
      </c>
      <c r="E199" t="inlineStr">
        <is>
          <t>ORSA</t>
        </is>
      </c>
      <c r="G199" t="n">
        <v>3.6</v>
      </c>
      <c r="H199" t="n">
        <v>0</v>
      </c>
      <c r="I199" t="n">
        <v>0</v>
      </c>
      <c r="J199" t="n">
        <v>0</v>
      </c>
      <c r="K199" t="n">
        <v>0</v>
      </c>
      <c r="L199" t="n">
        <v>0</v>
      </c>
      <c r="M199" t="n">
        <v>0</v>
      </c>
      <c r="N199" t="n">
        <v>0</v>
      </c>
      <c r="O199" t="n">
        <v>0</v>
      </c>
      <c r="P199" t="n">
        <v>0</v>
      </c>
      <c r="Q199" t="n">
        <v>0</v>
      </c>
      <c r="R199" s="2" t="inlineStr"/>
    </row>
    <row r="200" ht="15" customHeight="1">
      <c r="A200" t="inlineStr">
        <is>
          <t>A 4456-2026</t>
        </is>
      </c>
      <c r="B200" s="1" t="n">
        <v>46044</v>
      </c>
      <c r="C200" s="1" t="n">
        <v>46181</v>
      </c>
      <c r="D200" t="inlineStr">
        <is>
          <t>DALARNAS LÄN</t>
        </is>
      </c>
      <c r="E200" t="inlineStr">
        <is>
          <t>ORSA</t>
        </is>
      </c>
      <c r="G200" t="n">
        <v>5.9</v>
      </c>
      <c r="H200" t="n">
        <v>0</v>
      </c>
      <c r="I200" t="n">
        <v>0</v>
      </c>
      <c r="J200" t="n">
        <v>0</v>
      </c>
      <c r="K200" t="n">
        <v>0</v>
      </c>
      <c r="L200" t="n">
        <v>0</v>
      </c>
      <c r="M200" t="n">
        <v>0</v>
      </c>
      <c r="N200" t="n">
        <v>0</v>
      </c>
      <c r="O200" t="n">
        <v>0</v>
      </c>
      <c r="P200" t="n">
        <v>0</v>
      </c>
      <c r="Q200" t="n">
        <v>0</v>
      </c>
      <c r="R200" s="2" t="inlineStr"/>
    </row>
    <row r="201" ht="15" customHeight="1">
      <c r="A201" t="inlineStr">
        <is>
          <t>A 28207-2025</t>
        </is>
      </c>
      <c r="B201" s="1" t="n">
        <v>45818.44871527778</v>
      </c>
      <c r="C201" s="1" t="n">
        <v>46181</v>
      </c>
      <c r="D201" t="inlineStr">
        <is>
          <t>DALARNAS LÄN</t>
        </is>
      </c>
      <c r="E201" t="inlineStr">
        <is>
          <t>ORSA</t>
        </is>
      </c>
      <c r="F201" t="inlineStr">
        <is>
          <t>Bergvik skog öst AB</t>
        </is>
      </c>
      <c r="G201" t="n">
        <v>2.9</v>
      </c>
      <c r="H201" t="n">
        <v>0</v>
      </c>
      <c r="I201" t="n">
        <v>0</v>
      </c>
      <c r="J201" t="n">
        <v>0</v>
      </c>
      <c r="K201" t="n">
        <v>0</v>
      </c>
      <c r="L201" t="n">
        <v>0</v>
      </c>
      <c r="M201" t="n">
        <v>0</v>
      </c>
      <c r="N201" t="n">
        <v>0</v>
      </c>
      <c r="O201" t="n">
        <v>0</v>
      </c>
      <c r="P201" t="n">
        <v>0</v>
      </c>
      <c r="Q201" t="n">
        <v>0</v>
      </c>
      <c r="R201" s="2" t="inlineStr"/>
    </row>
    <row r="202" ht="15" customHeight="1">
      <c r="A202" t="inlineStr">
        <is>
          <t>A 27240-2025</t>
        </is>
      </c>
      <c r="B202" s="1" t="n">
        <v>45812.45170138889</v>
      </c>
      <c r="C202" s="1" t="n">
        <v>46181</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56975-2023</t>
        </is>
      </c>
      <c r="B203" s="1" t="n">
        <v>45244</v>
      </c>
      <c r="C203" s="1" t="n">
        <v>46181</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27866-2025</t>
        </is>
      </c>
      <c r="B204" s="1" t="n">
        <v>45817.4262962963</v>
      </c>
      <c r="C204" s="1" t="n">
        <v>46181</v>
      </c>
      <c r="D204" t="inlineStr">
        <is>
          <t>DALARNAS LÄN</t>
        </is>
      </c>
      <c r="E204" t="inlineStr">
        <is>
          <t>ORSA</t>
        </is>
      </c>
      <c r="F204" t="inlineStr">
        <is>
          <t>Allmännings- och besparingsskogar</t>
        </is>
      </c>
      <c r="G204" t="n">
        <v>6</v>
      </c>
      <c r="H204" t="n">
        <v>0</v>
      </c>
      <c r="I204" t="n">
        <v>0</v>
      </c>
      <c r="J204" t="n">
        <v>0</v>
      </c>
      <c r="K204" t="n">
        <v>0</v>
      </c>
      <c r="L204" t="n">
        <v>0</v>
      </c>
      <c r="M204" t="n">
        <v>0</v>
      </c>
      <c r="N204" t="n">
        <v>0</v>
      </c>
      <c r="O204" t="n">
        <v>0</v>
      </c>
      <c r="P204" t="n">
        <v>0</v>
      </c>
      <c r="Q204" t="n">
        <v>0</v>
      </c>
      <c r="R204" s="2" t="inlineStr"/>
    </row>
    <row r="205" ht="15" customHeight="1">
      <c r="A205" t="inlineStr">
        <is>
          <t>A 4040-2026</t>
        </is>
      </c>
      <c r="B205" s="1" t="n">
        <v>46044</v>
      </c>
      <c r="C205" s="1" t="n">
        <v>46181</v>
      </c>
      <c r="D205" t="inlineStr">
        <is>
          <t>DALARNAS LÄN</t>
        </is>
      </c>
      <c r="E205" t="inlineStr">
        <is>
          <t>ORSA</t>
        </is>
      </c>
      <c r="G205" t="n">
        <v>4.3</v>
      </c>
      <c r="H205" t="n">
        <v>0</v>
      </c>
      <c r="I205" t="n">
        <v>0</v>
      </c>
      <c r="J205" t="n">
        <v>0</v>
      </c>
      <c r="K205" t="n">
        <v>0</v>
      </c>
      <c r="L205" t="n">
        <v>0</v>
      </c>
      <c r="M205" t="n">
        <v>0</v>
      </c>
      <c r="N205" t="n">
        <v>0</v>
      </c>
      <c r="O205" t="n">
        <v>0</v>
      </c>
      <c r="P205" t="n">
        <v>0</v>
      </c>
      <c r="Q205" t="n">
        <v>0</v>
      </c>
      <c r="R205" s="2" t="inlineStr"/>
    </row>
    <row r="206" ht="15" customHeight="1">
      <c r="A206" t="inlineStr">
        <is>
          <t>A 27987-2025</t>
        </is>
      </c>
      <c r="B206" s="1" t="n">
        <v>45817.58361111111</v>
      </c>
      <c r="C206" s="1" t="n">
        <v>46181</v>
      </c>
      <c r="D206" t="inlineStr">
        <is>
          <t>DALARNAS LÄN</t>
        </is>
      </c>
      <c r="E206" t="inlineStr">
        <is>
          <t>ORSA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27885-2025</t>
        </is>
      </c>
      <c r="B207" s="1" t="n">
        <v>45817.45034722222</v>
      </c>
      <c r="C207" s="1" t="n">
        <v>46181</v>
      </c>
      <c r="D207" t="inlineStr">
        <is>
          <t>DALARNAS LÄN</t>
        </is>
      </c>
      <c r="E207" t="inlineStr">
        <is>
          <t>ORSA</t>
        </is>
      </c>
      <c r="F207" t="inlineStr">
        <is>
          <t>Allmännings- och besparingsskogar</t>
        </is>
      </c>
      <c r="G207" t="n">
        <v>3.4</v>
      </c>
      <c r="H207" t="n">
        <v>0</v>
      </c>
      <c r="I207" t="n">
        <v>0</v>
      </c>
      <c r="J207" t="n">
        <v>0</v>
      </c>
      <c r="K207" t="n">
        <v>0</v>
      </c>
      <c r="L207" t="n">
        <v>0</v>
      </c>
      <c r="M207" t="n">
        <v>0</v>
      </c>
      <c r="N207" t="n">
        <v>0</v>
      </c>
      <c r="O207" t="n">
        <v>0</v>
      </c>
      <c r="P207" t="n">
        <v>0</v>
      </c>
      <c r="Q207" t="n">
        <v>0</v>
      </c>
      <c r="R207" s="2" t="inlineStr"/>
    </row>
    <row r="208" ht="15" customHeight="1">
      <c r="A208" t="inlineStr">
        <is>
          <t>A 28317-2025</t>
        </is>
      </c>
      <c r="B208" s="1" t="n">
        <v>45818.6300462963</v>
      </c>
      <c r="C208" s="1" t="n">
        <v>46181</v>
      </c>
      <c r="D208" t="inlineStr">
        <is>
          <t>DALARNAS LÄN</t>
        </is>
      </c>
      <c r="E208" t="inlineStr">
        <is>
          <t>ORSA</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28609-2025</t>
        </is>
      </c>
      <c r="B209" s="1" t="n">
        <v>45819.60303240741</v>
      </c>
      <c r="C209" s="1" t="n">
        <v>46181</v>
      </c>
      <c r="D209" t="inlineStr">
        <is>
          <t>DALARNAS LÄN</t>
        </is>
      </c>
      <c r="E209" t="inlineStr">
        <is>
          <t>ORSA</t>
        </is>
      </c>
      <c r="F209" t="inlineStr">
        <is>
          <t>Bergvik skog öst AB</t>
        </is>
      </c>
      <c r="G209" t="n">
        <v>9.1</v>
      </c>
      <c r="H209" t="n">
        <v>0</v>
      </c>
      <c r="I209" t="n">
        <v>0</v>
      </c>
      <c r="J209" t="n">
        <v>0</v>
      </c>
      <c r="K209" t="n">
        <v>0</v>
      </c>
      <c r="L209" t="n">
        <v>0</v>
      </c>
      <c r="M209" t="n">
        <v>0</v>
      </c>
      <c r="N209" t="n">
        <v>0</v>
      </c>
      <c r="O209" t="n">
        <v>0</v>
      </c>
      <c r="P209" t="n">
        <v>0</v>
      </c>
      <c r="Q209" t="n">
        <v>0</v>
      </c>
      <c r="R209" s="2" t="inlineStr"/>
    </row>
    <row r="210" ht="15" customHeight="1">
      <c r="A210" t="inlineStr">
        <is>
          <t>A 3720-2023</t>
        </is>
      </c>
      <c r="B210" s="1" t="n">
        <v>44951.36688657408</v>
      </c>
      <c r="C210" s="1" t="n">
        <v>46181</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28635-2025</t>
        </is>
      </c>
      <c r="B211" s="1" t="n">
        <v>45819.63112268518</v>
      </c>
      <c r="C211" s="1" t="n">
        <v>46181</v>
      </c>
      <c r="D211" t="inlineStr">
        <is>
          <t>DALARNAS LÄN</t>
        </is>
      </c>
      <c r="E211" t="inlineStr">
        <is>
          <t>ORSA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29984-2025</t>
        </is>
      </c>
      <c r="B212" s="1" t="n">
        <v>45826</v>
      </c>
      <c r="C212" s="1" t="n">
        <v>46181</v>
      </c>
      <c r="D212" t="inlineStr">
        <is>
          <t>DALARNAS LÄN</t>
        </is>
      </c>
      <c r="E212" t="inlineStr">
        <is>
          <t>ORSA</t>
        </is>
      </c>
      <c r="G212" t="n">
        <v>0.7</v>
      </c>
      <c r="H212" t="n">
        <v>0</v>
      </c>
      <c r="I212" t="n">
        <v>0</v>
      </c>
      <c r="J212" t="n">
        <v>0</v>
      </c>
      <c r="K212" t="n">
        <v>0</v>
      </c>
      <c r="L212" t="n">
        <v>0</v>
      </c>
      <c r="M212" t="n">
        <v>0</v>
      </c>
      <c r="N212" t="n">
        <v>0</v>
      </c>
      <c r="O212" t="n">
        <v>0</v>
      </c>
      <c r="P212" t="n">
        <v>0</v>
      </c>
      <c r="Q212" t="n">
        <v>0</v>
      </c>
      <c r="R212" s="2" t="inlineStr"/>
    </row>
    <row r="213" ht="15" customHeight="1">
      <c r="A213" t="inlineStr">
        <is>
          <t>A 43778-2025</t>
        </is>
      </c>
      <c r="B213" s="1" t="n">
        <v>45912.5147337963</v>
      </c>
      <c r="C213" s="1" t="n">
        <v>46181</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29933-2025</t>
        </is>
      </c>
      <c r="B214" s="1" t="n">
        <v>45826.44121527778</v>
      </c>
      <c r="C214" s="1" t="n">
        <v>46181</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4690-2026</t>
        </is>
      </c>
      <c r="B215" s="1" t="n">
        <v>46048</v>
      </c>
      <c r="C215" s="1" t="n">
        <v>46181</v>
      </c>
      <c r="D215" t="inlineStr">
        <is>
          <t>DALARNAS LÄN</t>
        </is>
      </c>
      <c r="E215" t="inlineStr">
        <is>
          <t>ORSA</t>
        </is>
      </c>
      <c r="G215" t="n">
        <v>14.2</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46181</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46181</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43967-2025</t>
        </is>
      </c>
      <c r="B218" s="1" t="n">
        <v>45915.40188657407</v>
      </c>
      <c r="C218" s="1" t="n">
        <v>46181</v>
      </c>
      <c r="D218" t="inlineStr">
        <is>
          <t>DALARNAS LÄN</t>
        </is>
      </c>
      <c r="E218" t="inlineStr">
        <is>
          <t>ORSA</t>
        </is>
      </c>
      <c r="F218" t="inlineStr">
        <is>
          <t>Allmännings- och besparingsskogar</t>
        </is>
      </c>
      <c r="G218" t="n">
        <v>8.4</v>
      </c>
      <c r="H218" t="n">
        <v>0</v>
      </c>
      <c r="I218" t="n">
        <v>0</v>
      </c>
      <c r="J218" t="n">
        <v>0</v>
      </c>
      <c r="K218" t="n">
        <v>0</v>
      </c>
      <c r="L218" t="n">
        <v>0</v>
      </c>
      <c r="M218" t="n">
        <v>0</v>
      </c>
      <c r="N218" t="n">
        <v>0</v>
      </c>
      <c r="O218" t="n">
        <v>0</v>
      </c>
      <c r="P218" t="n">
        <v>0</v>
      </c>
      <c r="Q218" t="n">
        <v>0</v>
      </c>
      <c r="R218" s="2" t="inlineStr"/>
    </row>
    <row r="219" ht="15" customHeight="1">
      <c r="A219" t="inlineStr">
        <is>
          <t>A 44117-2025</t>
        </is>
      </c>
      <c r="B219" s="1" t="n">
        <v>45915.57677083334</v>
      </c>
      <c r="C219" s="1" t="n">
        <v>46181</v>
      </c>
      <c r="D219" t="inlineStr">
        <is>
          <t>DALARNAS LÄN</t>
        </is>
      </c>
      <c r="E219" t="inlineStr">
        <is>
          <t>ORSA</t>
        </is>
      </c>
      <c r="F219" t="inlineStr">
        <is>
          <t>Allmännings- och besparingsskogar</t>
        </is>
      </c>
      <c r="G219" t="n">
        <v>2.7</v>
      </c>
      <c r="H219" t="n">
        <v>0</v>
      </c>
      <c r="I219" t="n">
        <v>0</v>
      </c>
      <c r="J219" t="n">
        <v>0</v>
      </c>
      <c r="K219" t="n">
        <v>0</v>
      </c>
      <c r="L219" t="n">
        <v>0</v>
      </c>
      <c r="M219" t="n">
        <v>0</v>
      </c>
      <c r="N219" t="n">
        <v>0</v>
      </c>
      <c r="O219" t="n">
        <v>0</v>
      </c>
      <c r="P219" t="n">
        <v>0</v>
      </c>
      <c r="Q219" t="n">
        <v>0</v>
      </c>
      <c r="R219" s="2" t="inlineStr"/>
    </row>
    <row r="220" ht="15" customHeight="1">
      <c r="A220" t="inlineStr">
        <is>
          <t>A 43965-2025</t>
        </is>
      </c>
      <c r="B220" s="1" t="n">
        <v>45915.40027777778</v>
      </c>
      <c r="C220" s="1" t="n">
        <v>46181</v>
      </c>
      <c r="D220" t="inlineStr">
        <is>
          <t>DALARNAS LÄN</t>
        </is>
      </c>
      <c r="E220" t="inlineStr">
        <is>
          <t>ORSA</t>
        </is>
      </c>
      <c r="F220" t="inlineStr">
        <is>
          <t>Allmännings- och besparingsskogar</t>
        </is>
      </c>
      <c r="G220" t="n">
        <v>11.5</v>
      </c>
      <c r="H220" t="n">
        <v>0</v>
      </c>
      <c r="I220" t="n">
        <v>0</v>
      </c>
      <c r="J220" t="n">
        <v>0</v>
      </c>
      <c r="K220" t="n">
        <v>0</v>
      </c>
      <c r="L220" t="n">
        <v>0</v>
      </c>
      <c r="M220" t="n">
        <v>0</v>
      </c>
      <c r="N220" t="n">
        <v>0</v>
      </c>
      <c r="O220" t="n">
        <v>0</v>
      </c>
      <c r="P220" t="n">
        <v>0</v>
      </c>
      <c r="Q220" t="n">
        <v>0</v>
      </c>
      <c r="R220" s="2" t="inlineStr"/>
    </row>
    <row r="221" ht="15" customHeight="1">
      <c r="A221" t="inlineStr">
        <is>
          <t>A 5064-2026</t>
        </is>
      </c>
      <c r="B221" s="1" t="n">
        <v>46049</v>
      </c>
      <c r="C221" s="1" t="n">
        <v>46181</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44129-2025</t>
        </is>
      </c>
      <c r="B222" s="1" t="n">
        <v>45915.58392361111</v>
      </c>
      <c r="C222" s="1" t="n">
        <v>46181</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5395-2026</t>
        </is>
      </c>
      <c r="B223" s="1" t="n">
        <v>46050.47840277778</v>
      </c>
      <c r="C223" s="1" t="n">
        <v>46181</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5379-2026</t>
        </is>
      </c>
      <c r="B224" s="1" t="n">
        <v>46050</v>
      </c>
      <c r="C224" s="1" t="n">
        <v>46181</v>
      </c>
      <c r="D224" t="inlineStr">
        <is>
          <t>DALARNAS LÄN</t>
        </is>
      </c>
      <c r="E224" t="inlineStr">
        <is>
          <t>ORSA</t>
        </is>
      </c>
      <c r="F224" t="inlineStr">
        <is>
          <t>Bergvik skog öst AB</t>
        </is>
      </c>
      <c r="G224" t="n">
        <v>6.4</v>
      </c>
      <c r="H224" t="n">
        <v>0</v>
      </c>
      <c r="I224" t="n">
        <v>0</v>
      </c>
      <c r="J224" t="n">
        <v>0</v>
      </c>
      <c r="K224" t="n">
        <v>0</v>
      </c>
      <c r="L224" t="n">
        <v>0</v>
      </c>
      <c r="M224" t="n">
        <v>0</v>
      </c>
      <c r="N224" t="n">
        <v>0</v>
      </c>
      <c r="O224" t="n">
        <v>0</v>
      </c>
      <c r="P224" t="n">
        <v>0</v>
      </c>
      <c r="Q224" t="n">
        <v>0</v>
      </c>
      <c r="R224" s="2" t="inlineStr"/>
    </row>
    <row r="225" ht="15" customHeight="1">
      <c r="A225" t="inlineStr">
        <is>
          <t>A 5377-2026</t>
        </is>
      </c>
      <c r="B225" s="1" t="n">
        <v>46050.46118055555</v>
      </c>
      <c r="C225" s="1" t="n">
        <v>46181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5460-2026</t>
        </is>
      </c>
      <c r="B226" s="1" t="n">
        <v>46050</v>
      </c>
      <c r="C226" s="1" t="n">
        <v>46181</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5212-2026</t>
        </is>
      </c>
      <c r="B227" s="1" t="n">
        <v>46049</v>
      </c>
      <c r="C227" s="1" t="n">
        <v>46181</v>
      </c>
      <c r="D227" t="inlineStr">
        <is>
          <t>DALARNAS LÄN</t>
        </is>
      </c>
      <c r="E227" t="inlineStr">
        <is>
          <t>ORSA</t>
        </is>
      </c>
      <c r="G227" t="n">
        <v>7</v>
      </c>
      <c r="H227" t="n">
        <v>0</v>
      </c>
      <c r="I227" t="n">
        <v>0</v>
      </c>
      <c r="J227" t="n">
        <v>0</v>
      </c>
      <c r="K227" t="n">
        <v>0</v>
      </c>
      <c r="L227" t="n">
        <v>0</v>
      </c>
      <c r="M227" t="n">
        <v>0</v>
      </c>
      <c r="N227" t="n">
        <v>0</v>
      </c>
      <c r="O227" t="n">
        <v>0</v>
      </c>
      <c r="P227" t="n">
        <v>0</v>
      </c>
      <c r="Q227" t="n">
        <v>0</v>
      </c>
      <c r="R227" s="2" t="inlineStr"/>
    </row>
    <row r="228" ht="15" customHeight="1">
      <c r="A228" t="inlineStr">
        <is>
          <t>A 5045-2026</t>
        </is>
      </c>
      <c r="B228" s="1" t="n">
        <v>46049</v>
      </c>
      <c r="C228" s="1" t="n">
        <v>46181</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5393-2026</t>
        </is>
      </c>
      <c r="B229" s="1" t="n">
        <v>46050.47733796296</v>
      </c>
      <c r="C229" s="1" t="n">
        <v>46181</v>
      </c>
      <c r="D229" t="inlineStr">
        <is>
          <t>DALARNAS LÄN</t>
        </is>
      </c>
      <c r="E229" t="inlineStr">
        <is>
          <t>ORSA</t>
        </is>
      </c>
      <c r="G229" t="n">
        <v>4.2</v>
      </c>
      <c r="H229" t="n">
        <v>0</v>
      </c>
      <c r="I229" t="n">
        <v>0</v>
      </c>
      <c r="J229" t="n">
        <v>0</v>
      </c>
      <c r="K229" t="n">
        <v>0</v>
      </c>
      <c r="L229" t="n">
        <v>0</v>
      </c>
      <c r="M229" t="n">
        <v>0</v>
      </c>
      <c r="N229" t="n">
        <v>0</v>
      </c>
      <c r="O229" t="n">
        <v>0</v>
      </c>
      <c r="P229" t="n">
        <v>0</v>
      </c>
      <c r="Q229" t="n">
        <v>0</v>
      </c>
      <c r="R229" s="2" t="inlineStr"/>
    </row>
    <row r="230" ht="15" customHeight="1">
      <c r="A230" t="inlineStr">
        <is>
          <t>A 37852-2024</t>
        </is>
      </c>
      <c r="B230" s="1" t="n">
        <v>45544.3786574074</v>
      </c>
      <c r="C230" s="1" t="n">
        <v>46181</v>
      </c>
      <c r="D230" t="inlineStr">
        <is>
          <t>DALARNAS LÄN</t>
        </is>
      </c>
      <c r="E230" t="inlineStr">
        <is>
          <t>ORSA</t>
        </is>
      </c>
      <c r="G230" t="n">
        <v>0.7</v>
      </c>
      <c r="H230" t="n">
        <v>0</v>
      </c>
      <c r="I230" t="n">
        <v>0</v>
      </c>
      <c r="J230" t="n">
        <v>0</v>
      </c>
      <c r="K230" t="n">
        <v>0</v>
      </c>
      <c r="L230" t="n">
        <v>0</v>
      </c>
      <c r="M230" t="n">
        <v>0</v>
      </c>
      <c r="N230" t="n">
        <v>0</v>
      </c>
      <c r="O230" t="n">
        <v>0</v>
      </c>
      <c r="P230" t="n">
        <v>0</v>
      </c>
      <c r="Q230" t="n">
        <v>0</v>
      </c>
      <c r="R230" s="2" t="inlineStr"/>
    </row>
    <row r="231" ht="15" customHeight="1">
      <c r="A231" t="inlineStr">
        <is>
          <t>A 44531-2025</t>
        </is>
      </c>
      <c r="B231" s="1" t="n">
        <v>45916.77120370371</v>
      </c>
      <c r="C231" s="1" t="n">
        <v>46181</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45031-2025</t>
        </is>
      </c>
      <c r="B232" s="1" t="n">
        <v>45918.70020833334</v>
      </c>
      <c r="C232" s="1" t="n">
        <v>46181</v>
      </c>
      <c r="D232" t="inlineStr">
        <is>
          <t>DALARNAS LÄN</t>
        </is>
      </c>
      <c r="E232" t="inlineStr">
        <is>
          <t>ORSA</t>
        </is>
      </c>
      <c r="G232" t="n">
        <v>5</v>
      </c>
      <c r="H232" t="n">
        <v>0</v>
      </c>
      <c r="I232" t="n">
        <v>0</v>
      </c>
      <c r="J232" t="n">
        <v>0</v>
      </c>
      <c r="K232" t="n">
        <v>0</v>
      </c>
      <c r="L232" t="n">
        <v>0</v>
      </c>
      <c r="M232" t="n">
        <v>0</v>
      </c>
      <c r="N232" t="n">
        <v>0</v>
      </c>
      <c r="O232" t="n">
        <v>0</v>
      </c>
      <c r="P232" t="n">
        <v>0</v>
      </c>
      <c r="Q232" t="n">
        <v>0</v>
      </c>
      <c r="R232" s="2" t="inlineStr"/>
    </row>
    <row r="233" ht="15" customHeight="1">
      <c r="A233" t="inlineStr">
        <is>
          <t>A 33057-2025</t>
        </is>
      </c>
      <c r="B233" s="1" t="n">
        <v>45840</v>
      </c>
      <c r="C233" s="1" t="n">
        <v>46181</v>
      </c>
      <c r="D233" t="inlineStr">
        <is>
          <t>DALARNAS LÄN</t>
        </is>
      </c>
      <c r="E233" t="inlineStr">
        <is>
          <t>ORSA</t>
        </is>
      </c>
      <c r="F233" t="inlineStr">
        <is>
          <t>Bergvik skog öst AB</t>
        </is>
      </c>
      <c r="G233" t="n">
        <v>3.3</v>
      </c>
      <c r="H233" t="n">
        <v>0</v>
      </c>
      <c r="I233" t="n">
        <v>0</v>
      </c>
      <c r="J233" t="n">
        <v>0</v>
      </c>
      <c r="K233" t="n">
        <v>0</v>
      </c>
      <c r="L233" t="n">
        <v>0</v>
      </c>
      <c r="M233" t="n">
        <v>0</v>
      </c>
      <c r="N233" t="n">
        <v>0</v>
      </c>
      <c r="O233" t="n">
        <v>0</v>
      </c>
      <c r="P233" t="n">
        <v>0</v>
      </c>
      <c r="Q233" t="n">
        <v>0</v>
      </c>
      <c r="R233" s="2" t="inlineStr"/>
    </row>
    <row r="234" ht="15" customHeight="1">
      <c r="A234" t="inlineStr">
        <is>
          <t>A 5896-2026</t>
        </is>
      </c>
      <c r="B234" s="1" t="n">
        <v>46052.42724537037</v>
      </c>
      <c r="C234" s="1" t="n">
        <v>46181</v>
      </c>
      <c r="D234" t="inlineStr">
        <is>
          <t>DALARNAS LÄN</t>
        </is>
      </c>
      <c r="E234" t="inlineStr">
        <is>
          <t>ORSA</t>
        </is>
      </c>
      <c r="G234" t="n">
        <v>1.7</v>
      </c>
      <c r="H234" t="n">
        <v>0</v>
      </c>
      <c r="I234" t="n">
        <v>0</v>
      </c>
      <c r="J234" t="n">
        <v>0</v>
      </c>
      <c r="K234" t="n">
        <v>0</v>
      </c>
      <c r="L234" t="n">
        <v>0</v>
      </c>
      <c r="M234" t="n">
        <v>0</v>
      </c>
      <c r="N234" t="n">
        <v>0</v>
      </c>
      <c r="O234" t="n">
        <v>0</v>
      </c>
      <c r="P234" t="n">
        <v>0</v>
      </c>
      <c r="Q234" t="n">
        <v>0</v>
      </c>
      <c r="R234" s="2" t="inlineStr"/>
    </row>
    <row r="235" ht="15" customHeight="1">
      <c r="A235" t="inlineStr">
        <is>
          <t>A 54519-2023</t>
        </is>
      </c>
      <c r="B235" s="1" t="n">
        <v>45233.58359953704</v>
      </c>
      <c r="C235" s="1" t="n">
        <v>46181</v>
      </c>
      <c r="D235" t="inlineStr">
        <is>
          <t>DALARNAS LÄN</t>
        </is>
      </c>
      <c r="E235" t="inlineStr">
        <is>
          <t>ORSA</t>
        </is>
      </c>
      <c r="F235" t="inlineStr">
        <is>
          <t>Allmännings- och besparingsskogar</t>
        </is>
      </c>
      <c r="G235" t="n">
        <v>0.5</v>
      </c>
      <c r="H235" t="n">
        <v>0</v>
      </c>
      <c r="I235" t="n">
        <v>0</v>
      </c>
      <c r="J235" t="n">
        <v>0</v>
      </c>
      <c r="K235" t="n">
        <v>0</v>
      </c>
      <c r="L235" t="n">
        <v>0</v>
      </c>
      <c r="M235" t="n">
        <v>0</v>
      </c>
      <c r="N235" t="n">
        <v>0</v>
      </c>
      <c r="O235" t="n">
        <v>0</v>
      </c>
      <c r="P235" t="n">
        <v>0</v>
      </c>
      <c r="Q235" t="n">
        <v>0</v>
      </c>
      <c r="R235" s="2" t="inlineStr"/>
    </row>
    <row r="236" ht="15" customHeight="1">
      <c r="A236" t="inlineStr">
        <is>
          <t>A 45155-2025</t>
        </is>
      </c>
      <c r="B236" s="1" t="n">
        <v>45919.47872685185</v>
      </c>
      <c r="C236" s="1" t="n">
        <v>46181</v>
      </c>
      <c r="D236" t="inlineStr">
        <is>
          <t>DALARNAS LÄN</t>
        </is>
      </c>
      <c r="E236" t="inlineStr">
        <is>
          <t>ORSA</t>
        </is>
      </c>
      <c r="G236" t="n">
        <v>1.5</v>
      </c>
      <c r="H236" t="n">
        <v>0</v>
      </c>
      <c r="I236" t="n">
        <v>0</v>
      </c>
      <c r="J236" t="n">
        <v>0</v>
      </c>
      <c r="K236" t="n">
        <v>0</v>
      </c>
      <c r="L236" t="n">
        <v>0</v>
      </c>
      <c r="M236" t="n">
        <v>0</v>
      </c>
      <c r="N236" t="n">
        <v>0</v>
      </c>
      <c r="O236" t="n">
        <v>0</v>
      </c>
      <c r="P236" t="n">
        <v>0</v>
      </c>
      <c r="Q236" t="n">
        <v>0</v>
      </c>
      <c r="R236" s="2" t="inlineStr"/>
    </row>
    <row r="237" ht="15" customHeight="1">
      <c r="A237" t="inlineStr">
        <is>
          <t>A 45803-2025</t>
        </is>
      </c>
      <c r="B237" s="1" t="n">
        <v>45923.58125</v>
      </c>
      <c r="C237" s="1" t="n">
        <v>46181</v>
      </c>
      <c r="D237" t="inlineStr">
        <is>
          <t>DALARNAS LÄN</t>
        </is>
      </c>
      <c r="E237" t="inlineStr">
        <is>
          <t>ORSA</t>
        </is>
      </c>
      <c r="F237" t="inlineStr">
        <is>
          <t>Allmännings- och besparingsskogar</t>
        </is>
      </c>
      <c r="G237" t="n">
        <v>3.4</v>
      </c>
      <c r="H237" t="n">
        <v>0</v>
      </c>
      <c r="I237" t="n">
        <v>0</v>
      </c>
      <c r="J237" t="n">
        <v>0</v>
      </c>
      <c r="K237" t="n">
        <v>0</v>
      </c>
      <c r="L237" t="n">
        <v>0</v>
      </c>
      <c r="M237" t="n">
        <v>0</v>
      </c>
      <c r="N237" t="n">
        <v>0</v>
      </c>
      <c r="O237" t="n">
        <v>0</v>
      </c>
      <c r="P237" t="n">
        <v>0</v>
      </c>
      <c r="Q237" t="n">
        <v>0</v>
      </c>
      <c r="R237" s="2" t="inlineStr"/>
    </row>
    <row r="238" ht="15" customHeight="1">
      <c r="A238" t="inlineStr">
        <is>
          <t>A 10261-2022</t>
        </is>
      </c>
      <c r="B238" s="1" t="n">
        <v>44622.6445949074</v>
      </c>
      <c r="C238" s="1" t="n">
        <v>46181</v>
      </c>
      <c r="D238" t="inlineStr">
        <is>
          <t>DALARNAS LÄN</t>
        </is>
      </c>
      <c r="E238" t="inlineStr">
        <is>
          <t>ORSA</t>
        </is>
      </c>
      <c r="G238" t="n">
        <v>3.1</v>
      </c>
      <c r="H238" t="n">
        <v>0</v>
      </c>
      <c r="I238" t="n">
        <v>0</v>
      </c>
      <c r="J238" t="n">
        <v>0</v>
      </c>
      <c r="K238" t="n">
        <v>0</v>
      </c>
      <c r="L238" t="n">
        <v>0</v>
      </c>
      <c r="M238" t="n">
        <v>0</v>
      </c>
      <c r="N238" t="n">
        <v>0</v>
      </c>
      <c r="O238" t="n">
        <v>0</v>
      </c>
      <c r="P238" t="n">
        <v>0</v>
      </c>
      <c r="Q238" t="n">
        <v>0</v>
      </c>
      <c r="R238" s="2" t="inlineStr"/>
    </row>
    <row r="239" ht="15" customHeight="1">
      <c r="A239" t="inlineStr">
        <is>
          <t>A 31659-2025</t>
        </is>
      </c>
      <c r="B239" s="1" t="n">
        <v>45834.35421296296</v>
      </c>
      <c r="C239" s="1" t="n">
        <v>46181</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46279-2025</t>
        </is>
      </c>
      <c r="B240" s="1" t="n">
        <v>45925.37534722222</v>
      </c>
      <c r="C240" s="1" t="n">
        <v>46181</v>
      </c>
      <c r="D240" t="inlineStr">
        <is>
          <t>DALARNAS LÄN</t>
        </is>
      </c>
      <c r="E240" t="inlineStr">
        <is>
          <t>ORSA</t>
        </is>
      </c>
      <c r="G240" t="n">
        <v>2.2</v>
      </c>
      <c r="H240" t="n">
        <v>0</v>
      </c>
      <c r="I240" t="n">
        <v>0</v>
      </c>
      <c r="J240" t="n">
        <v>0</v>
      </c>
      <c r="K240" t="n">
        <v>0</v>
      </c>
      <c r="L240" t="n">
        <v>0</v>
      </c>
      <c r="M240" t="n">
        <v>0</v>
      </c>
      <c r="N240" t="n">
        <v>0</v>
      </c>
      <c r="O240" t="n">
        <v>0</v>
      </c>
      <c r="P240" t="n">
        <v>0</v>
      </c>
      <c r="Q240" t="n">
        <v>0</v>
      </c>
      <c r="R240" s="2" t="inlineStr"/>
    </row>
    <row r="241" ht="15" customHeight="1">
      <c r="A241" t="inlineStr">
        <is>
          <t>A 32325-2025</t>
        </is>
      </c>
      <c r="B241" s="1" t="n">
        <v>45836</v>
      </c>
      <c r="C241" s="1" t="n">
        <v>46181</v>
      </c>
      <c r="D241" t="inlineStr">
        <is>
          <t>DALARNAS LÄN</t>
        </is>
      </c>
      <c r="E241" t="inlineStr">
        <is>
          <t>ORSA</t>
        </is>
      </c>
      <c r="G241" t="n">
        <v>3.8</v>
      </c>
      <c r="H241" t="n">
        <v>0</v>
      </c>
      <c r="I241" t="n">
        <v>0</v>
      </c>
      <c r="J241" t="n">
        <v>0</v>
      </c>
      <c r="K241" t="n">
        <v>0</v>
      </c>
      <c r="L241" t="n">
        <v>0</v>
      </c>
      <c r="M241" t="n">
        <v>0</v>
      </c>
      <c r="N241" t="n">
        <v>0</v>
      </c>
      <c r="O241" t="n">
        <v>0</v>
      </c>
      <c r="P241" t="n">
        <v>0</v>
      </c>
      <c r="Q241" t="n">
        <v>0</v>
      </c>
      <c r="R241" s="2" t="inlineStr"/>
    </row>
    <row r="242" ht="15" customHeight="1">
      <c r="A242" t="inlineStr">
        <is>
          <t>A 46421-2025</t>
        </is>
      </c>
      <c r="B242" s="1" t="n">
        <v>45925.59936342593</v>
      </c>
      <c r="C242" s="1" t="n">
        <v>46181</v>
      </c>
      <c r="D242" t="inlineStr">
        <is>
          <t>DALARNAS LÄN</t>
        </is>
      </c>
      <c r="E242" t="inlineStr">
        <is>
          <t>ORSA</t>
        </is>
      </c>
      <c r="F242" t="inlineStr">
        <is>
          <t>Allmännings- och besparingsskogar</t>
        </is>
      </c>
      <c r="G242" t="n">
        <v>6.2</v>
      </c>
      <c r="H242" t="n">
        <v>0</v>
      </c>
      <c r="I242" t="n">
        <v>0</v>
      </c>
      <c r="J242" t="n">
        <v>0</v>
      </c>
      <c r="K242" t="n">
        <v>0</v>
      </c>
      <c r="L242" t="n">
        <v>0</v>
      </c>
      <c r="M242" t="n">
        <v>0</v>
      </c>
      <c r="N242" t="n">
        <v>0</v>
      </c>
      <c r="O242" t="n">
        <v>0</v>
      </c>
      <c r="P242" t="n">
        <v>0</v>
      </c>
      <c r="Q242" t="n">
        <v>0</v>
      </c>
      <c r="R242" s="2" t="inlineStr"/>
    </row>
    <row r="243" ht="15" customHeight="1">
      <c r="A243" t="inlineStr">
        <is>
          <t>A 46272-2025</t>
        </is>
      </c>
      <c r="B243" s="1" t="n">
        <v>45925.36988425926</v>
      </c>
      <c r="C243" s="1" t="n">
        <v>46181</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46242-2025</t>
        </is>
      </c>
      <c r="B244" s="1" t="n">
        <v>45925.31876157408</v>
      </c>
      <c r="C244" s="1" t="n">
        <v>46181</v>
      </c>
      <c r="D244" t="inlineStr">
        <is>
          <t>DALARNAS LÄN</t>
        </is>
      </c>
      <c r="E244" t="inlineStr">
        <is>
          <t>ORSA</t>
        </is>
      </c>
      <c r="G244" t="n">
        <v>5.6</v>
      </c>
      <c r="H244" t="n">
        <v>0</v>
      </c>
      <c r="I244" t="n">
        <v>0</v>
      </c>
      <c r="J244" t="n">
        <v>0</v>
      </c>
      <c r="K244" t="n">
        <v>0</v>
      </c>
      <c r="L244" t="n">
        <v>0</v>
      </c>
      <c r="M244" t="n">
        <v>0</v>
      </c>
      <c r="N244" t="n">
        <v>0</v>
      </c>
      <c r="O244" t="n">
        <v>0</v>
      </c>
      <c r="P244" t="n">
        <v>0</v>
      </c>
      <c r="Q244" t="n">
        <v>0</v>
      </c>
      <c r="R244" s="2" t="inlineStr"/>
    </row>
    <row r="245" ht="15" customHeight="1">
      <c r="A245" t="inlineStr">
        <is>
          <t>A 46402-2025</t>
        </is>
      </c>
      <c r="B245" s="1" t="n">
        <v>45925.56084490741</v>
      </c>
      <c r="C245" s="1" t="n">
        <v>46181</v>
      </c>
      <c r="D245" t="inlineStr">
        <is>
          <t>DALARNAS LÄN</t>
        </is>
      </c>
      <c r="E245" t="inlineStr">
        <is>
          <t>ORSA</t>
        </is>
      </c>
      <c r="F245" t="inlineStr">
        <is>
          <t>Allmännings- och besparingsskogar</t>
        </is>
      </c>
      <c r="G245" t="n">
        <v>0.7</v>
      </c>
      <c r="H245" t="n">
        <v>0</v>
      </c>
      <c r="I245" t="n">
        <v>0</v>
      </c>
      <c r="J245" t="n">
        <v>0</v>
      </c>
      <c r="K245" t="n">
        <v>0</v>
      </c>
      <c r="L245" t="n">
        <v>0</v>
      </c>
      <c r="M245" t="n">
        <v>0</v>
      </c>
      <c r="N245" t="n">
        <v>0</v>
      </c>
      <c r="O245" t="n">
        <v>0</v>
      </c>
      <c r="P245" t="n">
        <v>0</v>
      </c>
      <c r="Q245" t="n">
        <v>0</v>
      </c>
      <c r="R245" s="2" t="inlineStr"/>
    </row>
    <row r="246" ht="15" customHeight="1">
      <c r="A246" t="inlineStr">
        <is>
          <t>A 46277-2025</t>
        </is>
      </c>
      <c r="B246" s="1" t="n">
        <v>45925.37229166667</v>
      </c>
      <c r="C246" s="1" t="n">
        <v>46181</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33214-2025</t>
        </is>
      </c>
      <c r="B247" s="1" t="n">
        <v>45840.6295949074</v>
      </c>
      <c r="C247" s="1" t="n">
        <v>46181</v>
      </c>
      <c r="D247" t="inlineStr">
        <is>
          <t>DALARNAS LÄN</t>
        </is>
      </c>
      <c r="E247" t="inlineStr">
        <is>
          <t>ORSA</t>
        </is>
      </c>
      <c r="G247" t="n">
        <v>0.7</v>
      </c>
      <c r="H247" t="n">
        <v>0</v>
      </c>
      <c r="I247" t="n">
        <v>0</v>
      </c>
      <c r="J247" t="n">
        <v>0</v>
      </c>
      <c r="K247" t="n">
        <v>0</v>
      </c>
      <c r="L247" t="n">
        <v>0</v>
      </c>
      <c r="M247" t="n">
        <v>0</v>
      </c>
      <c r="N247" t="n">
        <v>0</v>
      </c>
      <c r="O247" t="n">
        <v>0</v>
      </c>
      <c r="P247" t="n">
        <v>0</v>
      </c>
      <c r="Q247" t="n">
        <v>0</v>
      </c>
      <c r="R247" s="2" t="inlineStr"/>
    </row>
    <row r="248" ht="15" customHeight="1">
      <c r="A248" t="inlineStr">
        <is>
          <t>A 32985-2025</t>
        </is>
      </c>
      <c r="B248" s="1" t="n">
        <v>45839.93033564815</v>
      </c>
      <c r="C248" s="1" t="n">
        <v>46181</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33059-2025</t>
        </is>
      </c>
      <c r="B249" s="1" t="n">
        <v>45840.43072916667</v>
      </c>
      <c r="C249" s="1" t="n">
        <v>46181</v>
      </c>
      <c r="D249" t="inlineStr">
        <is>
          <t>DALARNAS LÄN</t>
        </is>
      </c>
      <c r="E249" t="inlineStr">
        <is>
          <t>ORSA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33209-2025</t>
        </is>
      </c>
      <c r="B250" s="1" t="n">
        <v>45840.62648148148</v>
      </c>
      <c r="C250" s="1" t="n">
        <v>46181</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33158-2025</t>
        </is>
      </c>
      <c r="B251" s="1" t="n">
        <v>45840</v>
      </c>
      <c r="C251" s="1" t="n">
        <v>46181</v>
      </c>
      <c r="D251" t="inlineStr">
        <is>
          <t>DALARNAS LÄN</t>
        </is>
      </c>
      <c r="E251" t="inlineStr">
        <is>
          <t>ORSA</t>
        </is>
      </c>
      <c r="F251" t="inlineStr">
        <is>
          <t>Bergvik skog öst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32984-2025</t>
        </is>
      </c>
      <c r="B252" s="1" t="n">
        <v>45839.93006944445</v>
      </c>
      <c r="C252" s="1" t="n">
        <v>46181</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33374-2025</t>
        </is>
      </c>
      <c r="B253" s="1" t="n">
        <v>45841.39582175926</v>
      </c>
      <c r="C253" s="1" t="n">
        <v>46181</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52816-2024</t>
        </is>
      </c>
      <c r="B254" s="1" t="n">
        <v>45610.58322916667</v>
      </c>
      <c r="C254" s="1" t="n">
        <v>46181</v>
      </c>
      <c r="D254" t="inlineStr">
        <is>
          <t>DALARNAS LÄN</t>
        </is>
      </c>
      <c r="E254" t="inlineStr">
        <is>
          <t>ORSA</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42517-2024</t>
        </is>
      </c>
      <c r="B255" s="1" t="n">
        <v>45565.54078703704</v>
      </c>
      <c r="C255" s="1" t="n">
        <v>46181</v>
      </c>
      <c r="D255" t="inlineStr">
        <is>
          <t>DALARNAS LÄN</t>
        </is>
      </c>
      <c r="E255" t="inlineStr">
        <is>
          <t>ORSA</t>
        </is>
      </c>
      <c r="G255" t="n">
        <v>3</v>
      </c>
      <c r="H255" t="n">
        <v>0</v>
      </c>
      <c r="I255" t="n">
        <v>0</v>
      </c>
      <c r="J255" t="n">
        <v>0</v>
      </c>
      <c r="K255" t="n">
        <v>0</v>
      </c>
      <c r="L255" t="n">
        <v>0</v>
      </c>
      <c r="M255" t="n">
        <v>0</v>
      </c>
      <c r="N255" t="n">
        <v>0</v>
      </c>
      <c r="O255" t="n">
        <v>0</v>
      </c>
      <c r="P255" t="n">
        <v>0</v>
      </c>
      <c r="Q255" t="n">
        <v>0</v>
      </c>
      <c r="R255" s="2" t="inlineStr"/>
    </row>
    <row r="256" ht="15" customHeight="1">
      <c r="A256" t="inlineStr">
        <is>
          <t>A 47953-2025</t>
        </is>
      </c>
      <c r="B256" s="1" t="n">
        <v>45932.5853125</v>
      </c>
      <c r="C256" s="1" t="n">
        <v>46181</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28082-2023</t>
        </is>
      </c>
      <c r="B257" s="1" t="n">
        <v>45099</v>
      </c>
      <c r="C257" s="1" t="n">
        <v>46181</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2717-2024</t>
        </is>
      </c>
      <c r="B258" s="1" t="n">
        <v>45314.49222222222</v>
      </c>
      <c r="C258" s="1" t="n">
        <v>46181</v>
      </c>
      <c r="D258" t="inlineStr">
        <is>
          <t>DALARNAS LÄN</t>
        </is>
      </c>
      <c r="E258" t="inlineStr">
        <is>
          <t>ORSA</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6757-2026</t>
        </is>
      </c>
      <c r="B259" s="1" t="n">
        <v>46056</v>
      </c>
      <c r="C259" s="1" t="n">
        <v>46181</v>
      </c>
      <c r="D259" t="inlineStr">
        <is>
          <t>DALARNAS LÄN</t>
        </is>
      </c>
      <c r="E259" t="inlineStr">
        <is>
          <t>ORSA</t>
        </is>
      </c>
      <c r="G259" t="n">
        <v>5.5</v>
      </c>
      <c r="H259" t="n">
        <v>0</v>
      </c>
      <c r="I259" t="n">
        <v>0</v>
      </c>
      <c r="J259" t="n">
        <v>0</v>
      </c>
      <c r="K259" t="n">
        <v>0</v>
      </c>
      <c r="L259" t="n">
        <v>0</v>
      </c>
      <c r="M259" t="n">
        <v>0</v>
      </c>
      <c r="N259" t="n">
        <v>0</v>
      </c>
      <c r="O259" t="n">
        <v>0</v>
      </c>
      <c r="P259" t="n">
        <v>0</v>
      </c>
      <c r="Q259" t="n">
        <v>0</v>
      </c>
      <c r="R259" s="2" t="inlineStr"/>
    </row>
    <row r="260" ht="15" customHeight="1">
      <c r="A260" t="inlineStr">
        <is>
          <t>A 33394-2025</t>
        </is>
      </c>
      <c r="B260" s="1" t="n">
        <v>45841.41704861111</v>
      </c>
      <c r="C260" s="1" t="n">
        <v>46181</v>
      </c>
      <c r="D260" t="inlineStr">
        <is>
          <t>DALARNAS LÄN</t>
        </is>
      </c>
      <c r="E260" t="inlineStr">
        <is>
          <t>ORSA</t>
        </is>
      </c>
      <c r="G260" t="n">
        <v>0.8</v>
      </c>
      <c r="H260" t="n">
        <v>0</v>
      </c>
      <c r="I260" t="n">
        <v>0</v>
      </c>
      <c r="J260" t="n">
        <v>0</v>
      </c>
      <c r="K260" t="n">
        <v>0</v>
      </c>
      <c r="L260" t="n">
        <v>0</v>
      </c>
      <c r="M260" t="n">
        <v>0</v>
      </c>
      <c r="N260" t="n">
        <v>0</v>
      </c>
      <c r="O260" t="n">
        <v>0</v>
      </c>
      <c r="P260" t="n">
        <v>0</v>
      </c>
      <c r="Q260" t="n">
        <v>0</v>
      </c>
      <c r="R260" s="2" t="inlineStr"/>
    </row>
    <row r="261" ht="15" customHeight="1">
      <c r="A261" t="inlineStr">
        <is>
          <t>A 56887-2024</t>
        </is>
      </c>
      <c r="B261" s="1" t="n">
        <v>45628.57388888889</v>
      </c>
      <c r="C261" s="1" t="n">
        <v>46181</v>
      </c>
      <c r="D261" t="inlineStr">
        <is>
          <t>DALARNAS LÄN</t>
        </is>
      </c>
      <c r="E261" t="inlineStr">
        <is>
          <t>ORSA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33835-2025</t>
        </is>
      </c>
      <c r="B262" s="1" t="n">
        <v>45842.47619212963</v>
      </c>
      <c r="C262" s="1" t="n">
        <v>46181</v>
      </c>
      <c r="D262" t="inlineStr">
        <is>
          <t>DALARNAS LÄN</t>
        </is>
      </c>
      <c r="E262" t="inlineStr">
        <is>
          <t>ORSA</t>
        </is>
      </c>
      <c r="G262" t="n">
        <v>15.2</v>
      </c>
      <c r="H262" t="n">
        <v>0</v>
      </c>
      <c r="I262" t="n">
        <v>0</v>
      </c>
      <c r="J262" t="n">
        <v>0</v>
      </c>
      <c r="K262" t="n">
        <v>0</v>
      </c>
      <c r="L262" t="n">
        <v>0</v>
      </c>
      <c r="M262" t="n">
        <v>0</v>
      </c>
      <c r="N262" t="n">
        <v>0</v>
      </c>
      <c r="O262" t="n">
        <v>0</v>
      </c>
      <c r="P262" t="n">
        <v>0</v>
      </c>
      <c r="Q262" t="n">
        <v>0</v>
      </c>
      <c r="R262" s="2" t="inlineStr"/>
    </row>
    <row r="263" ht="15" customHeight="1">
      <c r="A263" t="inlineStr">
        <is>
          <t>A 33951-2025</t>
        </is>
      </c>
      <c r="B263" s="1" t="n">
        <v>45842.66791666667</v>
      </c>
      <c r="C263" s="1" t="n">
        <v>46181</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33857-2025</t>
        </is>
      </c>
      <c r="B264" s="1" t="n">
        <v>45842.51953703703</v>
      </c>
      <c r="C264" s="1" t="n">
        <v>46181</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48546-2025</t>
        </is>
      </c>
      <c r="B265" s="1" t="n">
        <v>45936.42172453704</v>
      </c>
      <c r="C265" s="1" t="n">
        <v>46181</v>
      </c>
      <c r="D265" t="inlineStr">
        <is>
          <t>DALARNAS LÄN</t>
        </is>
      </c>
      <c r="E265" t="inlineStr">
        <is>
          <t>ORSA</t>
        </is>
      </c>
      <c r="F265" t="inlineStr">
        <is>
          <t>Allmännings- och besparingsskogar</t>
        </is>
      </c>
      <c r="G265" t="n">
        <v>6</v>
      </c>
      <c r="H265" t="n">
        <v>0</v>
      </c>
      <c r="I265" t="n">
        <v>0</v>
      </c>
      <c r="J265" t="n">
        <v>0</v>
      </c>
      <c r="K265" t="n">
        <v>0</v>
      </c>
      <c r="L265" t="n">
        <v>0</v>
      </c>
      <c r="M265" t="n">
        <v>0</v>
      </c>
      <c r="N265" t="n">
        <v>0</v>
      </c>
      <c r="O265" t="n">
        <v>0</v>
      </c>
      <c r="P265" t="n">
        <v>0</v>
      </c>
      <c r="Q265" t="n">
        <v>0</v>
      </c>
      <c r="R265" s="2" t="inlineStr"/>
    </row>
    <row r="266" ht="15" customHeight="1">
      <c r="A266" t="inlineStr">
        <is>
          <t>A 6848-2026</t>
        </is>
      </c>
      <c r="B266" s="1" t="n">
        <v>46056</v>
      </c>
      <c r="C266" s="1" t="n">
        <v>46181</v>
      </c>
      <c r="D266" t="inlineStr">
        <is>
          <t>DALARNAS LÄN</t>
        </is>
      </c>
      <c r="E266" t="inlineStr">
        <is>
          <t>ORSA</t>
        </is>
      </c>
      <c r="F266" t="inlineStr">
        <is>
          <t>Kommuner</t>
        </is>
      </c>
      <c r="G266" t="n">
        <v>1.3</v>
      </c>
      <c r="H266" t="n">
        <v>0</v>
      </c>
      <c r="I266" t="n">
        <v>0</v>
      </c>
      <c r="J266" t="n">
        <v>0</v>
      </c>
      <c r="K266" t="n">
        <v>0</v>
      </c>
      <c r="L266" t="n">
        <v>0</v>
      </c>
      <c r="M266" t="n">
        <v>0</v>
      </c>
      <c r="N266" t="n">
        <v>0</v>
      </c>
      <c r="O266" t="n">
        <v>0</v>
      </c>
      <c r="P266" t="n">
        <v>0</v>
      </c>
      <c r="Q266" t="n">
        <v>0</v>
      </c>
      <c r="R266" s="2" t="inlineStr"/>
    </row>
    <row r="267" ht="15" customHeight="1">
      <c r="A267" t="inlineStr">
        <is>
          <t>A 42513-2024</t>
        </is>
      </c>
      <c r="B267" s="1" t="n">
        <v>45565.53810185185</v>
      </c>
      <c r="C267" s="1" t="n">
        <v>46181</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48504-2025</t>
        </is>
      </c>
      <c r="B268" s="1" t="n">
        <v>45936.38270833333</v>
      </c>
      <c r="C268" s="1" t="n">
        <v>46181</v>
      </c>
      <c r="D268" t="inlineStr">
        <is>
          <t>DALARNAS LÄN</t>
        </is>
      </c>
      <c r="E268" t="inlineStr">
        <is>
          <t>ORSA</t>
        </is>
      </c>
      <c r="F268" t="inlineStr">
        <is>
          <t>Allmännings- och besparingsskogar</t>
        </is>
      </c>
      <c r="G268" t="n">
        <v>6.1</v>
      </c>
      <c r="H268" t="n">
        <v>0</v>
      </c>
      <c r="I268" t="n">
        <v>0</v>
      </c>
      <c r="J268" t="n">
        <v>0</v>
      </c>
      <c r="K268" t="n">
        <v>0</v>
      </c>
      <c r="L268" t="n">
        <v>0</v>
      </c>
      <c r="M268" t="n">
        <v>0</v>
      </c>
      <c r="N268" t="n">
        <v>0</v>
      </c>
      <c r="O268" t="n">
        <v>0</v>
      </c>
      <c r="P268" t="n">
        <v>0</v>
      </c>
      <c r="Q268" t="n">
        <v>0</v>
      </c>
      <c r="R268" s="2" t="inlineStr"/>
    </row>
    <row r="269" ht="15" customHeight="1">
      <c r="A269" t="inlineStr">
        <is>
          <t>A 34779-2025</t>
        </is>
      </c>
      <c r="B269" s="1" t="n">
        <v>45848.66987268518</v>
      </c>
      <c r="C269" s="1" t="n">
        <v>46181</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34753-2025</t>
        </is>
      </c>
      <c r="B270" s="1" t="n">
        <v>45848.62001157407</v>
      </c>
      <c r="C270" s="1" t="n">
        <v>46181</v>
      </c>
      <c r="D270" t="inlineStr">
        <is>
          <t>DALARNAS LÄN</t>
        </is>
      </c>
      <c r="E270" t="inlineStr">
        <is>
          <t>ORSA</t>
        </is>
      </c>
      <c r="G270" t="n">
        <v>1.4</v>
      </c>
      <c r="H270" t="n">
        <v>0</v>
      </c>
      <c r="I270" t="n">
        <v>0</v>
      </c>
      <c r="J270" t="n">
        <v>0</v>
      </c>
      <c r="K270" t="n">
        <v>0</v>
      </c>
      <c r="L270" t="n">
        <v>0</v>
      </c>
      <c r="M270" t="n">
        <v>0</v>
      </c>
      <c r="N270" t="n">
        <v>0</v>
      </c>
      <c r="O270" t="n">
        <v>0</v>
      </c>
      <c r="P270" t="n">
        <v>0</v>
      </c>
      <c r="Q270" t="n">
        <v>0</v>
      </c>
      <c r="R270" s="2" t="inlineStr"/>
    </row>
    <row r="271" ht="15" customHeight="1">
      <c r="A271" t="inlineStr">
        <is>
          <t>A 34781-2025</t>
        </is>
      </c>
      <c r="B271" s="1" t="n">
        <v>45848.67424768519</v>
      </c>
      <c r="C271" s="1" t="n">
        <v>46181</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34744-2025</t>
        </is>
      </c>
      <c r="B272" s="1" t="n">
        <v>45848.6125</v>
      </c>
      <c r="C272" s="1" t="n">
        <v>46181</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48584-2025</t>
        </is>
      </c>
      <c r="B273" s="1" t="n">
        <v>45936.45788194444</v>
      </c>
      <c r="C273" s="1" t="n">
        <v>46181</v>
      </c>
      <c r="D273" t="inlineStr">
        <is>
          <t>DALARNAS LÄN</t>
        </is>
      </c>
      <c r="E273" t="inlineStr">
        <is>
          <t>ORSA</t>
        </is>
      </c>
      <c r="F273" t="inlineStr">
        <is>
          <t>Allmännings- och besparingsskogar</t>
        </is>
      </c>
      <c r="G273" t="n">
        <v>10.3</v>
      </c>
      <c r="H273" t="n">
        <v>0</v>
      </c>
      <c r="I273" t="n">
        <v>0</v>
      </c>
      <c r="J273" t="n">
        <v>0</v>
      </c>
      <c r="K273" t="n">
        <v>0</v>
      </c>
      <c r="L273" t="n">
        <v>0</v>
      </c>
      <c r="M273" t="n">
        <v>0</v>
      </c>
      <c r="N273" t="n">
        <v>0</v>
      </c>
      <c r="O273" t="n">
        <v>0</v>
      </c>
      <c r="P273" t="n">
        <v>0</v>
      </c>
      <c r="Q273" t="n">
        <v>0</v>
      </c>
      <c r="R273" s="2" t="inlineStr"/>
    </row>
    <row r="274" ht="15" customHeight="1">
      <c r="A274" t="inlineStr">
        <is>
          <t>A 34769-2025</t>
        </is>
      </c>
      <c r="B274" s="1" t="n">
        <v>45848.6534837963</v>
      </c>
      <c r="C274" s="1" t="n">
        <v>46181</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34777-2025</t>
        </is>
      </c>
      <c r="B275" s="1" t="n">
        <v>45848.66167824074</v>
      </c>
      <c r="C275" s="1" t="n">
        <v>46181</v>
      </c>
      <c r="D275" t="inlineStr">
        <is>
          <t>DALARNAS LÄN</t>
        </is>
      </c>
      <c r="E275" t="inlineStr">
        <is>
          <t>ORSA</t>
        </is>
      </c>
      <c r="G275" t="n">
        <v>0.4</v>
      </c>
      <c r="H275" t="n">
        <v>0</v>
      </c>
      <c r="I275" t="n">
        <v>0</v>
      </c>
      <c r="J275" t="n">
        <v>0</v>
      </c>
      <c r="K275" t="n">
        <v>0</v>
      </c>
      <c r="L275" t="n">
        <v>0</v>
      </c>
      <c r="M275" t="n">
        <v>0</v>
      </c>
      <c r="N275" t="n">
        <v>0</v>
      </c>
      <c r="O275" t="n">
        <v>0</v>
      </c>
      <c r="P275" t="n">
        <v>0</v>
      </c>
      <c r="Q275" t="n">
        <v>0</v>
      </c>
      <c r="R275" s="2" t="inlineStr"/>
    </row>
    <row r="276" ht="15" customHeight="1">
      <c r="A276" t="inlineStr">
        <is>
          <t>A 34794-2025</t>
        </is>
      </c>
      <c r="B276" s="1" t="n">
        <v>45848.73256944444</v>
      </c>
      <c r="C276" s="1" t="n">
        <v>46181</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34764-2025</t>
        </is>
      </c>
      <c r="B277" s="1" t="n">
        <v>45848.64788194445</v>
      </c>
      <c r="C277" s="1" t="n">
        <v>46181</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49211-2025</t>
        </is>
      </c>
      <c r="B278" s="1" t="n">
        <v>45938.43825231482</v>
      </c>
      <c r="C278" s="1" t="n">
        <v>46181</v>
      </c>
      <c r="D278" t="inlineStr">
        <is>
          <t>DALARNAS LÄN</t>
        </is>
      </c>
      <c r="E278" t="inlineStr">
        <is>
          <t>ORSA</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34964-2025</t>
        </is>
      </c>
      <c r="B279" s="1" t="n">
        <v>45849.6330787037</v>
      </c>
      <c r="C279" s="1" t="n">
        <v>46181</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7027-2026</t>
        </is>
      </c>
      <c r="B280" s="1" t="n">
        <v>46057.67493055556</v>
      </c>
      <c r="C280" s="1" t="n">
        <v>46181</v>
      </c>
      <c r="D280" t="inlineStr">
        <is>
          <t>DALARNAS LÄN</t>
        </is>
      </c>
      <c r="E280" t="inlineStr">
        <is>
          <t>ORSA</t>
        </is>
      </c>
      <c r="G280" t="n">
        <v>12.1</v>
      </c>
      <c r="H280" t="n">
        <v>0</v>
      </c>
      <c r="I280" t="n">
        <v>0</v>
      </c>
      <c r="J280" t="n">
        <v>0</v>
      </c>
      <c r="K280" t="n">
        <v>0</v>
      </c>
      <c r="L280" t="n">
        <v>0</v>
      </c>
      <c r="M280" t="n">
        <v>0</v>
      </c>
      <c r="N280" t="n">
        <v>0</v>
      </c>
      <c r="O280" t="n">
        <v>0</v>
      </c>
      <c r="P280" t="n">
        <v>0</v>
      </c>
      <c r="Q280" t="n">
        <v>0</v>
      </c>
      <c r="R280" s="2" t="inlineStr"/>
    </row>
    <row r="281" ht="15" customHeight="1">
      <c r="A281" t="inlineStr">
        <is>
          <t>A 49396-2025</t>
        </is>
      </c>
      <c r="B281" s="1" t="n">
        <v>45938.66181712963</v>
      </c>
      <c r="C281" s="1" t="n">
        <v>46181</v>
      </c>
      <c r="D281" t="inlineStr">
        <is>
          <t>DALARNAS LÄN</t>
        </is>
      </c>
      <c r="E281" t="inlineStr">
        <is>
          <t>ORSA</t>
        </is>
      </c>
      <c r="F281" t="inlineStr">
        <is>
          <t>Allmännings- och besparingsskogar</t>
        </is>
      </c>
      <c r="G281" t="n">
        <v>9.9</v>
      </c>
      <c r="H281" t="n">
        <v>0</v>
      </c>
      <c r="I281" t="n">
        <v>0</v>
      </c>
      <c r="J281" t="n">
        <v>0</v>
      </c>
      <c r="K281" t="n">
        <v>0</v>
      </c>
      <c r="L281" t="n">
        <v>0</v>
      </c>
      <c r="M281" t="n">
        <v>0</v>
      </c>
      <c r="N281" t="n">
        <v>0</v>
      </c>
      <c r="O281" t="n">
        <v>0</v>
      </c>
      <c r="P281" t="n">
        <v>0</v>
      </c>
      <c r="Q281" t="n">
        <v>0</v>
      </c>
      <c r="R281" s="2" t="inlineStr"/>
    </row>
    <row r="282" ht="15" customHeight="1">
      <c r="A282" t="inlineStr">
        <is>
          <t>A 6945-2026</t>
        </is>
      </c>
      <c r="B282" s="1" t="n">
        <v>46057.56788194444</v>
      </c>
      <c r="C282" s="1" t="n">
        <v>46181</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7178-2026</t>
        </is>
      </c>
      <c r="B283" s="1" t="n">
        <v>46058.47203703703</v>
      </c>
      <c r="C283" s="1" t="n">
        <v>46181</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35619-2025</t>
        </is>
      </c>
      <c r="B284" s="1" t="n">
        <v>45859</v>
      </c>
      <c r="C284" s="1" t="n">
        <v>46181</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35939-2025</t>
        </is>
      </c>
      <c r="B285" s="1" t="n">
        <v>45862.64581018518</v>
      </c>
      <c r="C285" s="1" t="n">
        <v>46181</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7404-2026</t>
        </is>
      </c>
      <c r="B286" s="1" t="n">
        <v>46059.3959375</v>
      </c>
      <c r="C286" s="1" t="n">
        <v>46181</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35940-2025</t>
        </is>
      </c>
      <c r="B287" s="1" t="n">
        <v>45862.65081018519</v>
      </c>
      <c r="C287" s="1" t="n">
        <v>46181</v>
      </c>
      <c r="D287" t="inlineStr">
        <is>
          <t>DALARNAS LÄN</t>
        </is>
      </c>
      <c r="E287" t="inlineStr">
        <is>
          <t>ORSA</t>
        </is>
      </c>
      <c r="G287" t="n">
        <v>5.1</v>
      </c>
      <c r="H287" t="n">
        <v>0</v>
      </c>
      <c r="I287" t="n">
        <v>0</v>
      </c>
      <c r="J287" t="n">
        <v>0</v>
      </c>
      <c r="K287" t="n">
        <v>0</v>
      </c>
      <c r="L287" t="n">
        <v>0</v>
      </c>
      <c r="M287" t="n">
        <v>0</v>
      </c>
      <c r="N287" t="n">
        <v>0</v>
      </c>
      <c r="O287" t="n">
        <v>0</v>
      </c>
      <c r="P287" t="n">
        <v>0</v>
      </c>
      <c r="Q287" t="n">
        <v>0</v>
      </c>
      <c r="R287" s="2" t="inlineStr"/>
    </row>
    <row r="288" ht="15" customHeight="1">
      <c r="A288" t="inlineStr">
        <is>
          <t>A 35933-2025</t>
        </is>
      </c>
      <c r="B288" s="1" t="n">
        <v>45862.62653935186</v>
      </c>
      <c r="C288" s="1" t="n">
        <v>46181</v>
      </c>
      <c r="D288" t="inlineStr">
        <is>
          <t>DALARNAS LÄN</t>
        </is>
      </c>
      <c r="E288" t="inlineStr">
        <is>
          <t>ORSA</t>
        </is>
      </c>
      <c r="G288" t="n">
        <v>1.6</v>
      </c>
      <c r="H288" t="n">
        <v>0</v>
      </c>
      <c r="I288" t="n">
        <v>0</v>
      </c>
      <c r="J288" t="n">
        <v>0</v>
      </c>
      <c r="K288" t="n">
        <v>0</v>
      </c>
      <c r="L288" t="n">
        <v>0</v>
      </c>
      <c r="M288" t="n">
        <v>0</v>
      </c>
      <c r="N288" t="n">
        <v>0</v>
      </c>
      <c r="O288" t="n">
        <v>0</v>
      </c>
      <c r="P288" t="n">
        <v>0</v>
      </c>
      <c r="Q288" t="n">
        <v>0</v>
      </c>
      <c r="R288" s="2" t="inlineStr"/>
    </row>
    <row r="289" ht="15" customHeight="1">
      <c r="A289" t="inlineStr">
        <is>
          <t>A 35935-2025</t>
        </is>
      </c>
      <c r="B289" s="1" t="n">
        <v>45862.6353125</v>
      </c>
      <c r="C289" s="1" t="n">
        <v>46181</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50714-2023</t>
        </is>
      </c>
      <c r="B290" s="1" t="n">
        <v>45217.56513888889</v>
      </c>
      <c r="C290" s="1" t="n">
        <v>46181</v>
      </c>
      <c r="D290" t="inlineStr">
        <is>
          <t>DALARNAS LÄN</t>
        </is>
      </c>
      <c r="E290" t="inlineStr">
        <is>
          <t>ORSA</t>
        </is>
      </c>
      <c r="G290" t="n">
        <v>1.1</v>
      </c>
      <c r="H290" t="n">
        <v>0</v>
      </c>
      <c r="I290" t="n">
        <v>0</v>
      </c>
      <c r="J290" t="n">
        <v>0</v>
      </c>
      <c r="K290" t="n">
        <v>0</v>
      </c>
      <c r="L290" t="n">
        <v>0</v>
      </c>
      <c r="M290" t="n">
        <v>0</v>
      </c>
      <c r="N290" t="n">
        <v>0</v>
      </c>
      <c r="O290" t="n">
        <v>0</v>
      </c>
      <c r="P290" t="n">
        <v>0</v>
      </c>
      <c r="Q290" t="n">
        <v>0</v>
      </c>
      <c r="R290" s="2" t="inlineStr"/>
    </row>
    <row r="291" ht="15" customHeight="1">
      <c r="A291" t="inlineStr">
        <is>
          <t>A 49517-2025</t>
        </is>
      </c>
      <c r="B291" s="1" t="n">
        <v>45939.38850694444</v>
      </c>
      <c r="C291" s="1" t="n">
        <v>46181</v>
      </c>
      <c r="D291" t="inlineStr">
        <is>
          <t>DALARNAS LÄN</t>
        </is>
      </c>
      <c r="E291" t="inlineStr">
        <is>
          <t>ORSA</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7964-2026</t>
        </is>
      </c>
      <c r="B292" s="1" t="n">
        <v>46063</v>
      </c>
      <c r="C292" s="1" t="n">
        <v>46181</v>
      </c>
      <c r="D292" t="inlineStr">
        <is>
          <t>DALARNAS LÄN</t>
        </is>
      </c>
      <c r="E292" t="inlineStr">
        <is>
          <t>ORSA</t>
        </is>
      </c>
      <c r="G292" t="n">
        <v>5.4</v>
      </c>
      <c r="H292" t="n">
        <v>0</v>
      </c>
      <c r="I292" t="n">
        <v>0</v>
      </c>
      <c r="J292" t="n">
        <v>0</v>
      </c>
      <c r="K292" t="n">
        <v>0</v>
      </c>
      <c r="L292" t="n">
        <v>0</v>
      </c>
      <c r="M292" t="n">
        <v>0</v>
      </c>
      <c r="N292" t="n">
        <v>0</v>
      </c>
      <c r="O292" t="n">
        <v>0</v>
      </c>
      <c r="P292" t="n">
        <v>0</v>
      </c>
      <c r="Q292" t="n">
        <v>0</v>
      </c>
      <c r="R292" s="2" t="inlineStr"/>
    </row>
    <row r="293" ht="15" customHeight="1">
      <c r="A293" t="inlineStr">
        <is>
          <t>A 7970-2026</t>
        </is>
      </c>
      <c r="B293" s="1" t="n">
        <v>46063</v>
      </c>
      <c r="C293" s="1" t="n">
        <v>46181</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36570-2025</t>
        </is>
      </c>
      <c r="B294" s="1" t="n">
        <v>45870.38728009259</v>
      </c>
      <c r="C294" s="1" t="n">
        <v>46181</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36633-2025</t>
        </is>
      </c>
      <c r="B295" s="1" t="n">
        <v>45870</v>
      </c>
      <c r="C295" s="1" t="n">
        <v>46181</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42346-2022</t>
        </is>
      </c>
      <c r="B296" s="1" t="n">
        <v>44831.35561342593</v>
      </c>
      <c r="C296" s="1" t="n">
        <v>46181</v>
      </c>
      <c r="D296" t="inlineStr">
        <is>
          <t>DALARNAS LÄN</t>
        </is>
      </c>
      <c r="E296" t="inlineStr">
        <is>
          <t>ORSA</t>
        </is>
      </c>
      <c r="G296" t="n">
        <v>2.4</v>
      </c>
      <c r="H296" t="n">
        <v>0</v>
      </c>
      <c r="I296" t="n">
        <v>0</v>
      </c>
      <c r="J296" t="n">
        <v>0</v>
      </c>
      <c r="K296" t="n">
        <v>0</v>
      </c>
      <c r="L296" t="n">
        <v>0</v>
      </c>
      <c r="M296" t="n">
        <v>0</v>
      </c>
      <c r="N296" t="n">
        <v>0</v>
      </c>
      <c r="O296" t="n">
        <v>0</v>
      </c>
      <c r="P296" t="n">
        <v>0</v>
      </c>
      <c r="Q296" t="n">
        <v>0</v>
      </c>
      <c r="R296" s="2" t="inlineStr"/>
    </row>
    <row r="297" ht="15" customHeight="1">
      <c r="A297" t="inlineStr">
        <is>
          <t>A 8725-2026</t>
        </is>
      </c>
      <c r="B297" s="1" t="n">
        <v>46066</v>
      </c>
      <c r="C297" s="1" t="n">
        <v>46181</v>
      </c>
      <c r="D297" t="inlineStr">
        <is>
          <t>DALARNAS LÄN</t>
        </is>
      </c>
      <c r="E297" t="inlineStr">
        <is>
          <t>ORSA</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52925-2024</t>
        </is>
      </c>
      <c r="B298" s="1" t="n">
        <v>45610.73276620371</v>
      </c>
      <c r="C298" s="1" t="n">
        <v>46181</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8807-2026</t>
        </is>
      </c>
      <c r="B299" s="1" t="n">
        <v>46066</v>
      </c>
      <c r="C299" s="1" t="n">
        <v>46181</v>
      </c>
      <c r="D299" t="inlineStr">
        <is>
          <t>DALARNAS LÄN</t>
        </is>
      </c>
      <c r="E299" t="inlineStr">
        <is>
          <t>ORSA</t>
        </is>
      </c>
      <c r="G299" t="n">
        <v>1.2</v>
      </c>
      <c r="H299" t="n">
        <v>0</v>
      </c>
      <c r="I299" t="n">
        <v>0</v>
      </c>
      <c r="J299" t="n">
        <v>0</v>
      </c>
      <c r="K299" t="n">
        <v>0</v>
      </c>
      <c r="L299" t="n">
        <v>0</v>
      </c>
      <c r="M299" t="n">
        <v>0</v>
      </c>
      <c r="N299" t="n">
        <v>0</v>
      </c>
      <c r="O299" t="n">
        <v>0</v>
      </c>
      <c r="P299" t="n">
        <v>0</v>
      </c>
      <c r="Q299" t="n">
        <v>0</v>
      </c>
      <c r="R299" s="2" t="inlineStr"/>
    </row>
    <row r="300" ht="15" customHeight="1">
      <c r="A300" t="inlineStr">
        <is>
          <t>A 6097-2025</t>
        </is>
      </c>
      <c r="B300" s="1" t="n">
        <v>45697</v>
      </c>
      <c r="C300" s="1" t="n">
        <v>46181</v>
      </c>
      <c r="D300" t="inlineStr">
        <is>
          <t>DALARNAS LÄN</t>
        </is>
      </c>
      <c r="E300" t="inlineStr">
        <is>
          <t>ORSA</t>
        </is>
      </c>
      <c r="G300" t="n">
        <v>11.1</v>
      </c>
      <c r="H300" t="n">
        <v>0</v>
      </c>
      <c r="I300" t="n">
        <v>0</v>
      </c>
      <c r="J300" t="n">
        <v>0</v>
      </c>
      <c r="K300" t="n">
        <v>0</v>
      </c>
      <c r="L300" t="n">
        <v>0</v>
      </c>
      <c r="M300" t="n">
        <v>0</v>
      </c>
      <c r="N300" t="n">
        <v>0</v>
      </c>
      <c r="O300" t="n">
        <v>0</v>
      </c>
      <c r="P300" t="n">
        <v>0</v>
      </c>
      <c r="Q300" t="n">
        <v>0</v>
      </c>
      <c r="R300" s="2" t="inlineStr"/>
    </row>
    <row r="301" ht="15" customHeight="1">
      <c r="A301" t="inlineStr">
        <is>
          <t>A 40101-2024</t>
        </is>
      </c>
      <c r="B301" s="1" t="n">
        <v>45554.42622685185</v>
      </c>
      <c r="C301" s="1" t="n">
        <v>46181</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9044-2026</t>
        </is>
      </c>
      <c r="B302" s="1" t="n">
        <v>46069</v>
      </c>
      <c r="C302" s="1" t="n">
        <v>46181</v>
      </c>
      <c r="D302" t="inlineStr">
        <is>
          <t>DALARNAS LÄN</t>
        </is>
      </c>
      <c r="E302" t="inlineStr">
        <is>
          <t>ORSA</t>
        </is>
      </c>
      <c r="G302" t="n">
        <v>2.5</v>
      </c>
      <c r="H302" t="n">
        <v>0</v>
      </c>
      <c r="I302" t="n">
        <v>0</v>
      </c>
      <c r="J302" t="n">
        <v>0</v>
      </c>
      <c r="K302" t="n">
        <v>0</v>
      </c>
      <c r="L302" t="n">
        <v>0</v>
      </c>
      <c r="M302" t="n">
        <v>0</v>
      </c>
      <c r="N302" t="n">
        <v>0</v>
      </c>
      <c r="O302" t="n">
        <v>0</v>
      </c>
      <c r="P302" t="n">
        <v>0</v>
      </c>
      <c r="Q302" t="n">
        <v>0</v>
      </c>
      <c r="R302" s="2" t="inlineStr"/>
    </row>
    <row r="303" ht="15" customHeight="1">
      <c r="A303" t="inlineStr">
        <is>
          <t>A 37181-2025</t>
        </is>
      </c>
      <c r="B303" s="1" t="n">
        <v>45875.62668981482</v>
      </c>
      <c r="C303" s="1" t="n">
        <v>46181</v>
      </c>
      <c r="D303" t="inlineStr">
        <is>
          <t>DALARNAS LÄN</t>
        </is>
      </c>
      <c r="E303" t="inlineStr">
        <is>
          <t>ORSA</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51055-2025</t>
        </is>
      </c>
      <c r="B304" s="1" t="n">
        <v>45947.44309027777</v>
      </c>
      <c r="C304" s="1" t="n">
        <v>46181</v>
      </c>
      <c r="D304" t="inlineStr">
        <is>
          <t>DALARNAS LÄN</t>
        </is>
      </c>
      <c r="E304" t="inlineStr">
        <is>
          <t>ORSA</t>
        </is>
      </c>
      <c r="G304" t="n">
        <v>4.6</v>
      </c>
      <c r="H304" t="n">
        <v>0</v>
      </c>
      <c r="I304" t="n">
        <v>0</v>
      </c>
      <c r="J304" t="n">
        <v>0</v>
      </c>
      <c r="K304" t="n">
        <v>0</v>
      </c>
      <c r="L304" t="n">
        <v>0</v>
      </c>
      <c r="M304" t="n">
        <v>0</v>
      </c>
      <c r="N304" t="n">
        <v>0</v>
      </c>
      <c r="O304" t="n">
        <v>0</v>
      </c>
      <c r="P304" t="n">
        <v>0</v>
      </c>
      <c r="Q304" t="n">
        <v>0</v>
      </c>
      <c r="R304" s="2" t="inlineStr"/>
    </row>
    <row r="305" ht="15" customHeight="1">
      <c r="A305" t="inlineStr">
        <is>
          <t>A 37445-2025</t>
        </is>
      </c>
      <c r="B305" s="1" t="n">
        <v>45877.54615740741</v>
      </c>
      <c r="C305" s="1" t="n">
        <v>46181</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51049-2025</t>
        </is>
      </c>
      <c r="B306" s="1" t="n">
        <v>45947.43479166667</v>
      </c>
      <c r="C306" s="1" t="n">
        <v>46181</v>
      </c>
      <c r="D306" t="inlineStr">
        <is>
          <t>DALARNAS LÄN</t>
        </is>
      </c>
      <c r="E306" t="inlineStr">
        <is>
          <t>ORSA</t>
        </is>
      </c>
      <c r="G306" t="n">
        <v>2.3</v>
      </c>
      <c r="H306" t="n">
        <v>0</v>
      </c>
      <c r="I306" t="n">
        <v>0</v>
      </c>
      <c r="J306" t="n">
        <v>0</v>
      </c>
      <c r="K306" t="n">
        <v>0</v>
      </c>
      <c r="L306" t="n">
        <v>0</v>
      </c>
      <c r="M306" t="n">
        <v>0</v>
      </c>
      <c r="N306" t="n">
        <v>0</v>
      </c>
      <c r="O306" t="n">
        <v>0</v>
      </c>
      <c r="P306" t="n">
        <v>0</v>
      </c>
      <c r="Q306" t="n">
        <v>0</v>
      </c>
      <c r="R306" s="2" t="inlineStr"/>
    </row>
    <row r="307" ht="15" customHeight="1">
      <c r="A307" t="inlineStr">
        <is>
          <t>A 37439-2025</t>
        </is>
      </c>
      <c r="B307" s="1" t="n">
        <v>45877.53644675926</v>
      </c>
      <c r="C307" s="1" t="n">
        <v>46181</v>
      </c>
      <c r="D307" t="inlineStr">
        <is>
          <t>DALARNAS LÄN</t>
        </is>
      </c>
      <c r="E307" t="inlineStr">
        <is>
          <t>ORSA</t>
        </is>
      </c>
      <c r="F307" t="inlineStr">
        <is>
          <t>Allmännings- och besparingsskogar</t>
        </is>
      </c>
      <c r="G307" t="n">
        <v>7.9</v>
      </c>
      <c r="H307" t="n">
        <v>0</v>
      </c>
      <c r="I307" t="n">
        <v>0</v>
      </c>
      <c r="J307" t="n">
        <v>0</v>
      </c>
      <c r="K307" t="n">
        <v>0</v>
      </c>
      <c r="L307" t="n">
        <v>0</v>
      </c>
      <c r="M307" t="n">
        <v>0</v>
      </c>
      <c r="N307" t="n">
        <v>0</v>
      </c>
      <c r="O307" t="n">
        <v>0</v>
      </c>
      <c r="P307" t="n">
        <v>0</v>
      </c>
      <c r="Q307" t="n">
        <v>0</v>
      </c>
      <c r="R307" s="2" t="inlineStr"/>
    </row>
    <row r="308" ht="15" customHeight="1">
      <c r="A308" t="inlineStr">
        <is>
          <t>A 51334-2025</t>
        </is>
      </c>
      <c r="B308" s="1" t="n">
        <v>45950.42378472222</v>
      </c>
      <c r="C308" s="1" t="n">
        <v>46181</v>
      </c>
      <c r="D308" t="inlineStr">
        <is>
          <t>DALARNAS LÄN</t>
        </is>
      </c>
      <c r="E308" t="inlineStr">
        <is>
          <t>ORSA</t>
        </is>
      </c>
      <c r="G308" t="n">
        <v>1.8</v>
      </c>
      <c r="H308" t="n">
        <v>0</v>
      </c>
      <c r="I308" t="n">
        <v>0</v>
      </c>
      <c r="J308" t="n">
        <v>0</v>
      </c>
      <c r="K308" t="n">
        <v>0</v>
      </c>
      <c r="L308" t="n">
        <v>0</v>
      </c>
      <c r="M308" t="n">
        <v>0</v>
      </c>
      <c r="N308" t="n">
        <v>0</v>
      </c>
      <c r="O308" t="n">
        <v>0</v>
      </c>
      <c r="P308" t="n">
        <v>0</v>
      </c>
      <c r="Q308" t="n">
        <v>0</v>
      </c>
      <c r="R308" s="2" t="inlineStr"/>
    </row>
    <row r="309" ht="15" customHeight="1">
      <c r="A309" t="inlineStr">
        <is>
          <t>A 37496-2025</t>
        </is>
      </c>
      <c r="B309" s="1" t="n">
        <v>45877.64424768519</v>
      </c>
      <c r="C309" s="1" t="n">
        <v>46181</v>
      </c>
      <c r="D309" t="inlineStr">
        <is>
          <t>DALARNAS LÄN</t>
        </is>
      </c>
      <c r="E309" t="inlineStr">
        <is>
          <t>ORSA</t>
        </is>
      </c>
      <c r="F309" t="inlineStr">
        <is>
          <t>Bergvik skog öst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37457-2025</t>
        </is>
      </c>
      <c r="B310" s="1" t="n">
        <v>45877.56829861111</v>
      </c>
      <c r="C310" s="1" t="n">
        <v>46181</v>
      </c>
      <c r="D310" t="inlineStr">
        <is>
          <t>DALARNAS LÄN</t>
        </is>
      </c>
      <c r="E310" t="inlineStr">
        <is>
          <t>ORSA</t>
        </is>
      </c>
      <c r="F310" t="inlineStr">
        <is>
          <t>Allmännings- och besparingsskogar</t>
        </is>
      </c>
      <c r="G310" t="n">
        <v>6.5</v>
      </c>
      <c r="H310" t="n">
        <v>0</v>
      </c>
      <c r="I310" t="n">
        <v>0</v>
      </c>
      <c r="J310" t="n">
        <v>0</v>
      </c>
      <c r="K310" t="n">
        <v>0</v>
      </c>
      <c r="L310" t="n">
        <v>0</v>
      </c>
      <c r="M310" t="n">
        <v>0</v>
      </c>
      <c r="N310" t="n">
        <v>0</v>
      </c>
      <c r="O310" t="n">
        <v>0</v>
      </c>
      <c r="P310" t="n">
        <v>0</v>
      </c>
      <c r="Q310" t="n">
        <v>0</v>
      </c>
      <c r="R310" s="2" t="inlineStr"/>
    </row>
    <row r="311" ht="15" customHeight="1">
      <c r="A311" t="inlineStr">
        <is>
          <t>A 51064-2025</t>
        </is>
      </c>
      <c r="B311" s="1" t="n">
        <v>45947.45197916667</v>
      </c>
      <c r="C311" s="1" t="n">
        <v>46181</v>
      </c>
      <c r="D311" t="inlineStr">
        <is>
          <t>DALARNAS LÄN</t>
        </is>
      </c>
      <c r="E311" t="inlineStr">
        <is>
          <t>ORSA</t>
        </is>
      </c>
      <c r="G311" t="n">
        <v>2.1</v>
      </c>
      <c r="H311" t="n">
        <v>0</v>
      </c>
      <c r="I311" t="n">
        <v>0</v>
      </c>
      <c r="J311" t="n">
        <v>0</v>
      </c>
      <c r="K311" t="n">
        <v>0</v>
      </c>
      <c r="L311" t="n">
        <v>0</v>
      </c>
      <c r="M311" t="n">
        <v>0</v>
      </c>
      <c r="N311" t="n">
        <v>0</v>
      </c>
      <c r="O311" t="n">
        <v>0</v>
      </c>
      <c r="P311" t="n">
        <v>0</v>
      </c>
      <c r="Q311" t="n">
        <v>0</v>
      </c>
      <c r="R311" s="2" t="inlineStr"/>
    </row>
    <row r="312" ht="15" customHeight="1">
      <c r="A312" t="inlineStr">
        <is>
          <t>A 9269-2026</t>
        </is>
      </c>
      <c r="B312" s="1" t="n">
        <v>46070.55048611111</v>
      </c>
      <c r="C312" s="1" t="n">
        <v>46181</v>
      </c>
      <c r="D312" t="inlineStr">
        <is>
          <t>DALARNAS LÄN</t>
        </is>
      </c>
      <c r="E312" t="inlineStr">
        <is>
          <t>ORSA</t>
        </is>
      </c>
      <c r="G312" t="n">
        <v>1</v>
      </c>
      <c r="H312" t="n">
        <v>0</v>
      </c>
      <c r="I312" t="n">
        <v>0</v>
      </c>
      <c r="J312" t="n">
        <v>0</v>
      </c>
      <c r="K312" t="n">
        <v>0</v>
      </c>
      <c r="L312" t="n">
        <v>0</v>
      </c>
      <c r="M312" t="n">
        <v>0</v>
      </c>
      <c r="N312" t="n">
        <v>0</v>
      </c>
      <c r="O312" t="n">
        <v>0</v>
      </c>
      <c r="P312" t="n">
        <v>0</v>
      </c>
      <c r="Q312" t="n">
        <v>0</v>
      </c>
      <c r="R312" s="2" t="inlineStr"/>
    </row>
    <row r="313" ht="15" customHeight="1">
      <c r="A313" t="inlineStr">
        <is>
          <t>A 37897-2025</t>
        </is>
      </c>
      <c r="B313" s="1" t="n">
        <v>45881.55274305555</v>
      </c>
      <c r="C313" s="1" t="n">
        <v>46181</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51340-2025</t>
        </is>
      </c>
      <c r="B314" s="1" t="n">
        <v>45950.42725694444</v>
      </c>
      <c r="C314" s="1" t="n">
        <v>46181</v>
      </c>
      <c r="D314" t="inlineStr">
        <is>
          <t>DALARNAS LÄN</t>
        </is>
      </c>
      <c r="E314" t="inlineStr">
        <is>
          <t>ORSA</t>
        </is>
      </c>
      <c r="F314" t="inlineStr">
        <is>
          <t>Allmännings- och besparingsskogar</t>
        </is>
      </c>
      <c r="G314" t="n">
        <v>14.1</v>
      </c>
      <c r="H314" t="n">
        <v>0</v>
      </c>
      <c r="I314" t="n">
        <v>0</v>
      </c>
      <c r="J314" t="n">
        <v>0</v>
      </c>
      <c r="K314" t="n">
        <v>0</v>
      </c>
      <c r="L314" t="n">
        <v>0</v>
      </c>
      <c r="M314" t="n">
        <v>0</v>
      </c>
      <c r="N314" t="n">
        <v>0</v>
      </c>
      <c r="O314" t="n">
        <v>0</v>
      </c>
      <c r="P314" t="n">
        <v>0</v>
      </c>
      <c r="Q314" t="n">
        <v>0</v>
      </c>
      <c r="R314" s="2" t="inlineStr"/>
    </row>
    <row r="315" ht="15" customHeight="1">
      <c r="A315" t="inlineStr">
        <is>
          <t>A 37899-2025</t>
        </is>
      </c>
      <c r="B315" s="1" t="n">
        <v>45881.56083333334</v>
      </c>
      <c r="C315" s="1" t="n">
        <v>46181</v>
      </c>
      <c r="D315" t="inlineStr">
        <is>
          <t>DALARNAS LÄN</t>
        </is>
      </c>
      <c r="E315" t="inlineStr">
        <is>
          <t>ORSA</t>
        </is>
      </c>
      <c r="G315" t="n">
        <v>0.8</v>
      </c>
      <c r="H315" t="n">
        <v>0</v>
      </c>
      <c r="I315" t="n">
        <v>0</v>
      </c>
      <c r="J315" t="n">
        <v>0</v>
      </c>
      <c r="K315" t="n">
        <v>0</v>
      </c>
      <c r="L315" t="n">
        <v>0</v>
      </c>
      <c r="M315" t="n">
        <v>0</v>
      </c>
      <c r="N315" t="n">
        <v>0</v>
      </c>
      <c r="O315" t="n">
        <v>0</v>
      </c>
      <c r="P315" t="n">
        <v>0</v>
      </c>
      <c r="Q315" t="n">
        <v>0</v>
      </c>
      <c r="R315" s="2" t="inlineStr"/>
    </row>
    <row r="316" ht="15" customHeight="1">
      <c r="A316" t="inlineStr">
        <is>
          <t>A 9503-2026</t>
        </is>
      </c>
      <c r="B316" s="1" t="n">
        <v>46071</v>
      </c>
      <c r="C316" s="1" t="n">
        <v>46181</v>
      </c>
      <c r="D316" t="inlineStr">
        <is>
          <t>DALARNAS LÄN</t>
        </is>
      </c>
      <c r="E316" t="inlineStr">
        <is>
          <t>ORSA</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9703-2026</t>
        </is>
      </c>
      <c r="B317" s="1" t="n">
        <v>46072</v>
      </c>
      <c r="C317" s="1" t="n">
        <v>46181</v>
      </c>
      <c r="D317" t="inlineStr">
        <is>
          <t>DALARNAS LÄN</t>
        </is>
      </c>
      <c r="E317" t="inlineStr">
        <is>
          <t>ORSA</t>
        </is>
      </c>
      <c r="F317" t="inlineStr">
        <is>
          <t>Bergvik skog öst AB</t>
        </is>
      </c>
      <c r="G317" t="n">
        <v>1.7</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46181</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46181</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9701-2026</t>
        </is>
      </c>
      <c r="B320" s="1" t="n">
        <v>46072</v>
      </c>
      <c r="C320" s="1" t="n">
        <v>46181</v>
      </c>
      <c r="D320" t="inlineStr">
        <is>
          <t>DALARNAS LÄN</t>
        </is>
      </c>
      <c r="E320" t="inlineStr">
        <is>
          <t>ORSA</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10195-2026</t>
        </is>
      </c>
      <c r="B321" s="1" t="n">
        <v>46076.4662962963</v>
      </c>
      <c r="C321" s="1" t="n">
        <v>46181</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10205-2026</t>
        </is>
      </c>
      <c r="B322" s="1" t="n">
        <v>46076.47856481482</v>
      </c>
      <c r="C322" s="1" t="n">
        <v>46181</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10210-2026</t>
        </is>
      </c>
      <c r="B323" s="1" t="n">
        <v>46076.48800925926</v>
      </c>
      <c r="C323" s="1" t="n">
        <v>46181</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10442-2026</t>
        </is>
      </c>
      <c r="B324" s="1" t="n">
        <v>46077.41434027778</v>
      </c>
      <c r="C324" s="1" t="n">
        <v>46181</v>
      </c>
      <c r="D324" t="inlineStr">
        <is>
          <t>DALARNAS LÄN</t>
        </is>
      </c>
      <c r="E324" t="inlineStr">
        <is>
          <t>ORSA</t>
        </is>
      </c>
      <c r="G324" t="n">
        <v>3</v>
      </c>
      <c r="H324" t="n">
        <v>0</v>
      </c>
      <c r="I324" t="n">
        <v>0</v>
      </c>
      <c r="J324" t="n">
        <v>0</v>
      </c>
      <c r="K324" t="n">
        <v>0</v>
      </c>
      <c r="L324" t="n">
        <v>0</v>
      </c>
      <c r="M324" t="n">
        <v>0</v>
      </c>
      <c r="N324" t="n">
        <v>0</v>
      </c>
      <c r="O324" t="n">
        <v>0</v>
      </c>
      <c r="P324" t="n">
        <v>0</v>
      </c>
      <c r="Q324" t="n">
        <v>0</v>
      </c>
      <c r="R324" s="2" t="inlineStr"/>
    </row>
    <row r="325" ht="15" customHeight="1">
      <c r="A325" t="inlineStr">
        <is>
          <t>A 10506-2026</t>
        </is>
      </c>
      <c r="B325" s="1" t="n">
        <v>46077.55996527777</v>
      </c>
      <c r="C325" s="1" t="n">
        <v>46181</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52949-2025</t>
        </is>
      </c>
      <c r="B326" s="1" t="n">
        <v>45954</v>
      </c>
      <c r="C326" s="1" t="n">
        <v>46181</v>
      </c>
      <c r="D326" t="inlineStr">
        <is>
          <t>DALARNAS LÄN</t>
        </is>
      </c>
      <c r="E326" t="inlineStr">
        <is>
          <t>ORSA</t>
        </is>
      </c>
      <c r="G326" t="n">
        <v>2.2</v>
      </c>
      <c r="H326" t="n">
        <v>0</v>
      </c>
      <c r="I326" t="n">
        <v>0</v>
      </c>
      <c r="J326" t="n">
        <v>0</v>
      </c>
      <c r="K326" t="n">
        <v>0</v>
      </c>
      <c r="L326" t="n">
        <v>0</v>
      </c>
      <c r="M326" t="n">
        <v>0</v>
      </c>
      <c r="N326" t="n">
        <v>0</v>
      </c>
      <c r="O326" t="n">
        <v>0</v>
      </c>
      <c r="P326" t="n">
        <v>0</v>
      </c>
      <c r="Q326" t="n">
        <v>0</v>
      </c>
      <c r="R326" s="2" t="inlineStr"/>
    </row>
    <row r="327" ht="15" customHeight="1">
      <c r="A327" t="inlineStr">
        <is>
          <t>A 10513-2026</t>
        </is>
      </c>
      <c r="B327" s="1" t="n">
        <v>46077.57217592592</v>
      </c>
      <c r="C327" s="1" t="n">
        <v>46181</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10202-2026</t>
        </is>
      </c>
      <c r="B328" s="1" t="n">
        <v>46076.47400462963</v>
      </c>
      <c r="C328" s="1" t="n">
        <v>46181</v>
      </c>
      <c r="D328" t="inlineStr">
        <is>
          <t>DALARNAS LÄN</t>
        </is>
      </c>
      <c r="E328" t="inlineStr">
        <is>
          <t>ORSA</t>
        </is>
      </c>
      <c r="G328" t="n">
        <v>2.1</v>
      </c>
      <c r="H328" t="n">
        <v>0</v>
      </c>
      <c r="I328" t="n">
        <v>0</v>
      </c>
      <c r="J328" t="n">
        <v>0</v>
      </c>
      <c r="K328" t="n">
        <v>0</v>
      </c>
      <c r="L328" t="n">
        <v>0</v>
      </c>
      <c r="M328" t="n">
        <v>0</v>
      </c>
      <c r="N328" t="n">
        <v>0</v>
      </c>
      <c r="O328" t="n">
        <v>0</v>
      </c>
      <c r="P328" t="n">
        <v>0</v>
      </c>
      <c r="Q328" t="n">
        <v>0</v>
      </c>
      <c r="R328" s="2" t="inlineStr"/>
    </row>
    <row r="329" ht="15" customHeight="1">
      <c r="A329" t="inlineStr">
        <is>
          <t>A 10561-2026</t>
        </is>
      </c>
      <c r="B329" s="1" t="n">
        <v>46077</v>
      </c>
      <c r="C329" s="1" t="n">
        <v>46181</v>
      </c>
      <c r="D329" t="inlineStr">
        <is>
          <t>DALARNAS LÄN</t>
        </is>
      </c>
      <c r="E329" t="inlineStr">
        <is>
          <t>ORSA</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10564-2026</t>
        </is>
      </c>
      <c r="B330" s="1" t="n">
        <v>46077</v>
      </c>
      <c r="C330" s="1" t="n">
        <v>46181</v>
      </c>
      <c r="D330" t="inlineStr">
        <is>
          <t>DALARNAS LÄN</t>
        </is>
      </c>
      <c r="E330" t="inlineStr">
        <is>
          <t>ORSA</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10065-2026</t>
        </is>
      </c>
      <c r="B331" s="1" t="n">
        <v>46073</v>
      </c>
      <c r="C331" s="1" t="n">
        <v>46181</v>
      </c>
      <c r="D331" t="inlineStr">
        <is>
          <t>DALARNAS LÄN</t>
        </is>
      </c>
      <c r="E331" t="inlineStr">
        <is>
          <t>ORSA</t>
        </is>
      </c>
      <c r="G331" t="n">
        <v>1.1</v>
      </c>
      <c r="H331" t="n">
        <v>0</v>
      </c>
      <c r="I331" t="n">
        <v>0</v>
      </c>
      <c r="J331" t="n">
        <v>0</v>
      </c>
      <c r="K331" t="n">
        <v>0</v>
      </c>
      <c r="L331" t="n">
        <v>0</v>
      </c>
      <c r="M331" t="n">
        <v>0</v>
      </c>
      <c r="N331" t="n">
        <v>0</v>
      </c>
      <c r="O331" t="n">
        <v>0</v>
      </c>
      <c r="P331" t="n">
        <v>0</v>
      </c>
      <c r="Q331" t="n">
        <v>0</v>
      </c>
      <c r="R331" s="2" t="inlineStr"/>
    </row>
    <row r="332" ht="15" customHeight="1">
      <c r="A332" t="inlineStr">
        <is>
          <t>A 10574-2026</t>
        </is>
      </c>
      <c r="B332" s="1" t="n">
        <v>46077.66027777778</v>
      </c>
      <c r="C332" s="1" t="n">
        <v>46181</v>
      </c>
      <c r="D332" t="inlineStr">
        <is>
          <t>DALARNAS LÄN</t>
        </is>
      </c>
      <c r="E332" t="inlineStr">
        <is>
          <t>ORSA</t>
        </is>
      </c>
      <c r="F332" t="inlineStr">
        <is>
          <t>Övriga Aktiebolag</t>
        </is>
      </c>
      <c r="G332" t="n">
        <v>1.5</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44985.67237268519</v>
      </c>
      <c r="C333" s="1" t="n">
        <v>46181</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52486-2025</t>
        </is>
      </c>
      <c r="B334" s="1" t="n">
        <v>45954.47844907407</v>
      </c>
      <c r="C334" s="1" t="n">
        <v>46181</v>
      </c>
      <c r="D334" t="inlineStr">
        <is>
          <t>DALARNAS LÄN</t>
        </is>
      </c>
      <c r="E334" t="inlineStr">
        <is>
          <t>ORSA</t>
        </is>
      </c>
      <c r="G334" t="n">
        <v>2.3</v>
      </c>
      <c r="H334" t="n">
        <v>0</v>
      </c>
      <c r="I334" t="n">
        <v>0</v>
      </c>
      <c r="J334" t="n">
        <v>0</v>
      </c>
      <c r="K334" t="n">
        <v>0</v>
      </c>
      <c r="L334" t="n">
        <v>0</v>
      </c>
      <c r="M334" t="n">
        <v>0</v>
      </c>
      <c r="N334" t="n">
        <v>0</v>
      </c>
      <c r="O334" t="n">
        <v>0</v>
      </c>
      <c r="P334" t="n">
        <v>0</v>
      </c>
      <c r="Q334" t="n">
        <v>0</v>
      </c>
      <c r="R334" s="2" t="inlineStr"/>
    </row>
    <row r="335" ht="15" customHeight="1">
      <c r="A335" t="inlineStr">
        <is>
          <t>A 10206-2026</t>
        </is>
      </c>
      <c r="B335" s="1" t="n">
        <v>46076.48180555556</v>
      </c>
      <c r="C335" s="1" t="n">
        <v>46181</v>
      </c>
      <c r="D335" t="inlineStr">
        <is>
          <t>DALARNAS LÄN</t>
        </is>
      </c>
      <c r="E335" t="inlineStr">
        <is>
          <t>ORSA</t>
        </is>
      </c>
      <c r="G335" t="n">
        <v>1.1</v>
      </c>
      <c r="H335" t="n">
        <v>0</v>
      </c>
      <c r="I335" t="n">
        <v>0</v>
      </c>
      <c r="J335" t="n">
        <v>0</v>
      </c>
      <c r="K335" t="n">
        <v>0</v>
      </c>
      <c r="L335" t="n">
        <v>0</v>
      </c>
      <c r="M335" t="n">
        <v>0</v>
      </c>
      <c r="N335" t="n">
        <v>0</v>
      </c>
      <c r="O335" t="n">
        <v>0</v>
      </c>
      <c r="P335" t="n">
        <v>0</v>
      </c>
      <c r="Q335" t="n">
        <v>0</v>
      </c>
      <c r="R335" s="2" t="inlineStr"/>
    </row>
    <row r="336" ht="15" customHeight="1">
      <c r="A336" t="inlineStr">
        <is>
          <t>A 10209-2026</t>
        </is>
      </c>
      <c r="B336" s="1" t="n">
        <v>46076.48559027778</v>
      </c>
      <c r="C336" s="1" t="n">
        <v>46181</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10525-2026</t>
        </is>
      </c>
      <c r="B337" s="1" t="n">
        <v>46077.58356481481</v>
      </c>
      <c r="C337" s="1" t="n">
        <v>46181</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10579-2026</t>
        </is>
      </c>
      <c r="B338" s="1" t="n">
        <v>46077</v>
      </c>
      <c r="C338" s="1" t="n">
        <v>46181</v>
      </c>
      <c r="D338" t="inlineStr">
        <is>
          <t>DALARNAS LÄN</t>
        </is>
      </c>
      <c r="E338" t="inlineStr">
        <is>
          <t>ORSA</t>
        </is>
      </c>
      <c r="F338" t="inlineStr">
        <is>
          <t>Övriga Aktiebolag</t>
        </is>
      </c>
      <c r="G338" t="n">
        <v>3.9</v>
      </c>
      <c r="H338" t="n">
        <v>0</v>
      </c>
      <c r="I338" t="n">
        <v>0</v>
      </c>
      <c r="J338" t="n">
        <v>0</v>
      </c>
      <c r="K338" t="n">
        <v>0</v>
      </c>
      <c r="L338" t="n">
        <v>0</v>
      </c>
      <c r="M338" t="n">
        <v>0</v>
      </c>
      <c r="N338" t="n">
        <v>0</v>
      </c>
      <c r="O338" t="n">
        <v>0</v>
      </c>
      <c r="P338" t="n">
        <v>0</v>
      </c>
      <c r="Q338" t="n">
        <v>0</v>
      </c>
      <c r="R338" s="2" t="inlineStr"/>
    </row>
    <row r="339" ht="15" customHeight="1">
      <c r="A339" t="inlineStr">
        <is>
          <t>A 9977-2026</t>
        </is>
      </c>
      <c r="B339" s="1" t="n">
        <v>46073</v>
      </c>
      <c r="C339" s="1" t="n">
        <v>46181</v>
      </c>
      <c r="D339" t="inlineStr">
        <is>
          <t>DALARNAS LÄN</t>
        </is>
      </c>
      <c r="E339" t="inlineStr">
        <is>
          <t>ORSA</t>
        </is>
      </c>
      <c r="F339" t="inlineStr">
        <is>
          <t>Bergvik skog öst AB</t>
        </is>
      </c>
      <c r="G339" t="n">
        <v>1.5</v>
      </c>
      <c r="H339" t="n">
        <v>0</v>
      </c>
      <c r="I339" t="n">
        <v>0</v>
      </c>
      <c r="J339" t="n">
        <v>0</v>
      </c>
      <c r="K339" t="n">
        <v>0</v>
      </c>
      <c r="L339" t="n">
        <v>0</v>
      </c>
      <c r="M339" t="n">
        <v>0</v>
      </c>
      <c r="N339" t="n">
        <v>0</v>
      </c>
      <c r="O339" t="n">
        <v>0</v>
      </c>
      <c r="P339" t="n">
        <v>0</v>
      </c>
      <c r="Q339" t="n">
        <v>0</v>
      </c>
      <c r="R339" s="2" t="inlineStr"/>
    </row>
    <row r="340" ht="15" customHeight="1">
      <c r="A340" t="inlineStr">
        <is>
          <t>A 10035-2026</t>
        </is>
      </c>
      <c r="B340" s="1" t="n">
        <v>46073</v>
      </c>
      <c r="C340" s="1" t="n">
        <v>46181</v>
      </c>
      <c r="D340" t="inlineStr">
        <is>
          <t>DALARNAS LÄN</t>
        </is>
      </c>
      <c r="E340" t="inlineStr">
        <is>
          <t>ORSA</t>
        </is>
      </c>
      <c r="F340" t="inlineStr">
        <is>
          <t>Bergvik skog öst AB</t>
        </is>
      </c>
      <c r="G340" t="n">
        <v>19.6</v>
      </c>
      <c r="H340" t="n">
        <v>0</v>
      </c>
      <c r="I340" t="n">
        <v>0</v>
      </c>
      <c r="J340" t="n">
        <v>0</v>
      </c>
      <c r="K340" t="n">
        <v>0</v>
      </c>
      <c r="L340" t="n">
        <v>0</v>
      </c>
      <c r="M340" t="n">
        <v>0</v>
      </c>
      <c r="N340" t="n">
        <v>0</v>
      </c>
      <c r="O340" t="n">
        <v>0</v>
      </c>
      <c r="P340" t="n">
        <v>0</v>
      </c>
      <c r="Q340" t="n">
        <v>0</v>
      </c>
      <c r="R340" s="2" t="inlineStr"/>
    </row>
    <row r="341" ht="15" customHeight="1">
      <c r="A341" t="inlineStr">
        <is>
          <t>A 31031-2023</t>
        </is>
      </c>
      <c r="B341" s="1" t="n">
        <v>45113</v>
      </c>
      <c r="C341" s="1" t="n">
        <v>46181</v>
      </c>
      <c r="D341" t="inlineStr">
        <is>
          <t>DALARNAS LÄN</t>
        </is>
      </c>
      <c r="E341" t="inlineStr">
        <is>
          <t>ORSA</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28388-2024</t>
        </is>
      </c>
      <c r="B342" s="1" t="n">
        <v>45477.59960648148</v>
      </c>
      <c r="C342" s="1" t="n">
        <v>46181</v>
      </c>
      <c r="D342" t="inlineStr">
        <is>
          <t>DALARNAS LÄN</t>
        </is>
      </c>
      <c r="E342" t="inlineStr">
        <is>
          <t>ORSA</t>
        </is>
      </c>
      <c r="F342" t="inlineStr">
        <is>
          <t>Bergvik skog öst AB</t>
        </is>
      </c>
      <c r="G342" t="n">
        <v>3.8</v>
      </c>
      <c r="H342" t="n">
        <v>0</v>
      </c>
      <c r="I342" t="n">
        <v>0</v>
      </c>
      <c r="J342" t="n">
        <v>0</v>
      </c>
      <c r="K342" t="n">
        <v>0</v>
      </c>
      <c r="L342" t="n">
        <v>0</v>
      </c>
      <c r="M342" t="n">
        <v>0</v>
      </c>
      <c r="N342" t="n">
        <v>0</v>
      </c>
      <c r="O342" t="n">
        <v>0</v>
      </c>
      <c r="P342" t="n">
        <v>0</v>
      </c>
      <c r="Q342" t="n">
        <v>0</v>
      </c>
      <c r="R342" s="2" t="inlineStr"/>
    </row>
    <row r="343" ht="15" customHeight="1">
      <c r="A343" t="inlineStr">
        <is>
          <t>A 10653-2026</t>
        </is>
      </c>
      <c r="B343" s="1" t="n">
        <v>46078</v>
      </c>
      <c r="C343" s="1" t="n">
        <v>46181</v>
      </c>
      <c r="D343" t="inlineStr">
        <is>
          <t>DALARNAS LÄN</t>
        </is>
      </c>
      <c r="E343" t="inlineStr">
        <is>
          <t>ORSA</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52702-2025</t>
        </is>
      </c>
      <c r="B344" s="1" t="n">
        <v>45956.86853009259</v>
      </c>
      <c r="C344" s="1" t="n">
        <v>46181</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52686-2025</t>
        </is>
      </c>
      <c r="B345" s="1" t="n">
        <v>45956.3562037037</v>
      </c>
      <c r="C345" s="1" t="n">
        <v>46181</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10784-2026</t>
        </is>
      </c>
      <c r="B346" s="1" t="n">
        <v>46078.57954861111</v>
      </c>
      <c r="C346" s="1" t="n">
        <v>46181</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52485-2025</t>
        </is>
      </c>
      <c r="B347" s="1" t="n">
        <v>45954.47804398148</v>
      </c>
      <c r="C347" s="1" t="n">
        <v>46181</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10768-2026</t>
        </is>
      </c>
      <c r="B348" s="1" t="n">
        <v>46078.56763888889</v>
      </c>
      <c r="C348" s="1" t="n">
        <v>46181</v>
      </c>
      <c r="D348" t="inlineStr">
        <is>
          <t>DALARNAS LÄN</t>
        </is>
      </c>
      <c r="E348" t="inlineStr">
        <is>
          <t>ORSA</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53572-2025</t>
        </is>
      </c>
      <c r="B349" s="1" t="n">
        <v>45960.4140625</v>
      </c>
      <c r="C349" s="1" t="n">
        <v>46181</v>
      </c>
      <c r="D349" t="inlineStr">
        <is>
          <t>DALARNAS LÄN</t>
        </is>
      </c>
      <c r="E349" t="inlineStr">
        <is>
          <t>ORSA</t>
        </is>
      </c>
      <c r="F349" t="inlineStr">
        <is>
          <t>Bergvik skog öst AB</t>
        </is>
      </c>
      <c r="G349" t="n">
        <v>4.1</v>
      </c>
      <c r="H349" t="n">
        <v>0</v>
      </c>
      <c r="I349" t="n">
        <v>0</v>
      </c>
      <c r="J349" t="n">
        <v>0</v>
      </c>
      <c r="K349" t="n">
        <v>0</v>
      </c>
      <c r="L349" t="n">
        <v>0</v>
      </c>
      <c r="M349" t="n">
        <v>0</v>
      </c>
      <c r="N349" t="n">
        <v>0</v>
      </c>
      <c r="O349" t="n">
        <v>0</v>
      </c>
      <c r="P349" t="n">
        <v>0</v>
      </c>
      <c r="Q349" t="n">
        <v>0</v>
      </c>
      <c r="R349" s="2" t="inlineStr"/>
    </row>
    <row r="350" ht="15" customHeight="1">
      <c r="A350" t="inlineStr">
        <is>
          <t>A 53501-2025</t>
        </is>
      </c>
      <c r="B350" s="1" t="n">
        <v>45960.34216435185</v>
      </c>
      <c r="C350" s="1" t="n">
        <v>46181</v>
      </c>
      <c r="D350" t="inlineStr">
        <is>
          <t>DALARNAS LÄN</t>
        </is>
      </c>
      <c r="E350" t="inlineStr">
        <is>
          <t>ORSA</t>
        </is>
      </c>
      <c r="G350" t="n">
        <v>0.6</v>
      </c>
      <c r="H350" t="n">
        <v>0</v>
      </c>
      <c r="I350" t="n">
        <v>0</v>
      </c>
      <c r="J350" t="n">
        <v>0</v>
      </c>
      <c r="K350" t="n">
        <v>0</v>
      </c>
      <c r="L350" t="n">
        <v>0</v>
      </c>
      <c r="M350" t="n">
        <v>0</v>
      </c>
      <c r="N350" t="n">
        <v>0</v>
      </c>
      <c r="O350" t="n">
        <v>0</v>
      </c>
      <c r="P350" t="n">
        <v>0</v>
      </c>
      <c r="Q350" t="n">
        <v>0</v>
      </c>
      <c r="R350" s="2" t="inlineStr"/>
    </row>
    <row r="351" ht="15" customHeight="1">
      <c r="A351" t="inlineStr">
        <is>
          <t>A 53495-2025</t>
        </is>
      </c>
      <c r="B351" s="1" t="n">
        <v>45960.32577546296</v>
      </c>
      <c r="C351" s="1" t="n">
        <v>46181</v>
      </c>
      <c r="D351" t="inlineStr">
        <is>
          <t>DALARNAS LÄN</t>
        </is>
      </c>
      <c r="E351" t="inlineStr">
        <is>
          <t>ORSA</t>
        </is>
      </c>
      <c r="G351" t="n">
        <v>3.6</v>
      </c>
      <c r="H351" t="n">
        <v>0</v>
      </c>
      <c r="I351" t="n">
        <v>0</v>
      </c>
      <c r="J351" t="n">
        <v>0</v>
      </c>
      <c r="K351" t="n">
        <v>0</v>
      </c>
      <c r="L351" t="n">
        <v>0</v>
      </c>
      <c r="M351" t="n">
        <v>0</v>
      </c>
      <c r="N351" t="n">
        <v>0</v>
      </c>
      <c r="O351" t="n">
        <v>0</v>
      </c>
      <c r="P351" t="n">
        <v>0</v>
      </c>
      <c r="Q351" t="n">
        <v>0</v>
      </c>
      <c r="R351" s="2" t="inlineStr"/>
    </row>
    <row r="352" ht="15" customHeight="1">
      <c r="A352" t="inlineStr">
        <is>
          <t>A 53573-2025</t>
        </is>
      </c>
      <c r="B352" s="1" t="n">
        <v>45960.41716435185</v>
      </c>
      <c r="C352" s="1" t="n">
        <v>46181</v>
      </c>
      <c r="D352" t="inlineStr">
        <is>
          <t>DALARNAS LÄN</t>
        </is>
      </c>
      <c r="E352" t="inlineStr">
        <is>
          <t>ORSA</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34708-2021</t>
        </is>
      </c>
      <c r="B353" s="1" t="n">
        <v>44382</v>
      </c>
      <c r="C353" s="1" t="n">
        <v>46181</v>
      </c>
      <c r="D353" t="inlineStr">
        <is>
          <t>DALARNAS LÄN</t>
        </is>
      </c>
      <c r="E353" t="inlineStr">
        <is>
          <t>ORSA</t>
        </is>
      </c>
      <c r="G353" t="n">
        <v>4.3</v>
      </c>
      <c r="H353" t="n">
        <v>0</v>
      </c>
      <c r="I353" t="n">
        <v>0</v>
      </c>
      <c r="J353" t="n">
        <v>0</v>
      </c>
      <c r="K353" t="n">
        <v>0</v>
      </c>
      <c r="L353" t="n">
        <v>0</v>
      </c>
      <c r="M353" t="n">
        <v>0</v>
      </c>
      <c r="N353" t="n">
        <v>0</v>
      </c>
      <c r="O353" t="n">
        <v>0</v>
      </c>
      <c r="P353" t="n">
        <v>0</v>
      </c>
      <c r="Q353" t="n">
        <v>0</v>
      </c>
      <c r="R353" s="2" t="inlineStr"/>
    </row>
    <row r="354" ht="15" customHeight="1">
      <c r="A354" t="inlineStr">
        <is>
          <t>A 54176-2025</t>
        </is>
      </c>
      <c r="B354" s="1" t="n">
        <v>45964.5500925926</v>
      </c>
      <c r="C354" s="1" t="n">
        <v>46181</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54676-2025</t>
        </is>
      </c>
      <c r="B355" s="1" t="n">
        <v>45966.42188657408</v>
      </c>
      <c r="C355" s="1" t="n">
        <v>46181</v>
      </c>
      <c r="D355" t="inlineStr">
        <is>
          <t>DALARNAS LÄN</t>
        </is>
      </c>
      <c r="E355" t="inlineStr">
        <is>
          <t>ORSA</t>
        </is>
      </c>
      <c r="F355" t="inlineStr">
        <is>
          <t>Allmännings- och besparingsskogar</t>
        </is>
      </c>
      <c r="G355" t="n">
        <v>4.6</v>
      </c>
      <c r="H355" t="n">
        <v>0</v>
      </c>
      <c r="I355" t="n">
        <v>0</v>
      </c>
      <c r="J355" t="n">
        <v>0</v>
      </c>
      <c r="K355" t="n">
        <v>0</v>
      </c>
      <c r="L355" t="n">
        <v>0</v>
      </c>
      <c r="M355" t="n">
        <v>0</v>
      </c>
      <c r="N355" t="n">
        <v>0</v>
      </c>
      <c r="O355" t="n">
        <v>0</v>
      </c>
      <c r="P355" t="n">
        <v>0</v>
      </c>
      <c r="Q355" t="n">
        <v>0</v>
      </c>
      <c r="R355" s="2" t="inlineStr"/>
    </row>
    <row r="356" ht="15" customHeight="1">
      <c r="A356" t="inlineStr">
        <is>
          <t>A 37830-2024</t>
        </is>
      </c>
      <c r="B356" s="1" t="n">
        <v>45544.34504629629</v>
      </c>
      <c r="C356" s="1" t="n">
        <v>46181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54726-2025</t>
        </is>
      </c>
      <c r="B357" s="1" t="n">
        <v>45966.54658564815</v>
      </c>
      <c r="C357" s="1" t="n">
        <v>46181</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45272-2022</t>
        </is>
      </c>
      <c r="B358" s="1" t="n">
        <v>44844</v>
      </c>
      <c r="C358" s="1" t="n">
        <v>46181</v>
      </c>
      <c r="D358" t="inlineStr">
        <is>
          <t>DALARNAS LÄN</t>
        </is>
      </c>
      <c r="E358" t="inlineStr">
        <is>
          <t>ORSA</t>
        </is>
      </c>
      <c r="G358" t="n">
        <v>0.3</v>
      </c>
      <c r="H358" t="n">
        <v>0</v>
      </c>
      <c r="I358" t="n">
        <v>0</v>
      </c>
      <c r="J358" t="n">
        <v>0</v>
      </c>
      <c r="K358" t="n">
        <v>0</v>
      </c>
      <c r="L358" t="n">
        <v>0</v>
      </c>
      <c r="M358" t="n">
        <v>0</v>
      </c>
      <c r="N358" t="n">
        <v>0</v>
      </c>
      <c r="O358" t="n">
        <v>0</v>
      </c>
      <c r="P358" t="n">
        <v>0</v>
      </c>
      <c r="Q358" t="n">
        <v>0</v>
      </c>
      <c r="R358" s="2" t="inlineStr"/>
    </row>
    <row r="359" ht="15" customHeight="1">
      <c r="A359" t="inlineStr">
        <is>
          <t>A 4202-2025</t>
        </is>
      </c>
      <c r="B359" s="1" t="n">
        <v>45685.46236111111</v>
      </c>
      <c r="C359" s="1" t="n">
        <v>46181</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4204-2025</t>
        </is>
      </c>
      <c r="B360" s="1" t="n">
        <v>45685.46390046296</v>
      </c>
      <c r="C360" s="1" t="n">
        <v>46181</v>
      </c>
      <c r="D360" t="inlineStr">
        <is>
          <t>DALARNAS LÄN</t>
        </is>
      </c>
      <c r="E360" t="inlineStr">
        <is>
          <t>ORSA</t>
        </is>
      </c>
      <c r="G360" t="n">
        <v>1.8</v>
      </c>
      <c r="H360" t="n">
        <v>0</v>
      </c>
      <c r="I360" t="n">
        <v>0</v>
      </c>
      <c r="J360" t="n">
        <v>0</v>
      </c>
      <c r="K360" t="n">
        <v>0</v>
      </c>
      <c r="L360" t="n">
        <v>0</v>
      </c>
      <c r="M360" t="n">
        <v>0</v>
      </c>
      <c r="N360" t="n">
        <v>0</v>
      </c>
      <c r="O360" t="n">
        <v>0</v>
      </c>
      <c r="P360" t="n">
        <v>0</v>
      </c>
      <c r="Q360" t="n">
        <v>0</v>
      </c>
      <c r="R360" s="2" t="inlineStr"/>
    </row>
    <row r="361" ht="15" customHeight="1">
      <c r="A361" t="inlineStr">
        <is>
          <t>A 30751-2025</t>
        </is>
      </c>
      <c r="B361" s="1" t="n">
        <v>45831.58921296296</v>
      </c>
      <c r="C361" s="1" t="n">
        <v>46181</v>
      </c>
      <c r="D361" t="inlineStr">
        <is>
          <t>DALARNAS LÄN</t>
        </is>
      </c>
      <c r="E361" t="inlineStr">
        <is>
          <t>ORSA</t>
        </is>
      </c>
      <c r="G361" t="n">
        <v>5.2</v>
      </c>
      <c r="H361" t="n">
        <v>0</v>
      </c>
      <c r="I361" t="n">
        <v>0</v>
      </c>
      <c r="J361" t="n">
        <v>0</v>
      </c>
      <c r="K361" t="n">
        <v>0</v>
      </c>
      <c r="L361" t="n">
        <v>0</v>
      </c>
      <c r="M361" t="n">
        <v>0</v>
      </c>
      <c r="N361" t="n">
        <v>0</v>
      </c>
      <c r="O361" t="n">
        <v>0</v>
      </c>
      <c r="P361" t="n">
        <v>0</v>
      </c>
      <c r="Q361" t="n">
        <v>0</v>
      </c>
      <c r="R361" s="2" t="inlineStr"/>
    </row>
    <row r="362" ht="15" customHeight="1">
      <c r="A362" t="inlineStr">
        <is>
          <t>A 54782-2025</t>
        </is>
      </c>
      <c r="B362" s="1" t="n">
        <v>45966.61878472222</v>
      </c>
      <c r="C362" s="1" t="n">
        <v>46181</v>
      </c>
      <c r="D362" t="inlineStr">
        <is>
          <t>DALARNAS LÄN</t>
        </is>
      </c>
      <c r="E362" t="inlineStr">
        <is>
          <t>ORSA</t>
        </is>
      </c>
      <c r="G362" t="n">
        <v>3.8</v>
      </c>
      <c r="H362" t="n">
        <v>0</v>
      </c>
      <c r="I362" t="n">
        <v>0</v>
      </c>
      <c r="J362" t="n">
        <v>0</v>
      </c>
      <c r="K362" t="n">
        <v>0</v>
      </c>
      <c r="L362" t="n">
        <v>0</v>
      </c>
      <c r="M362" t="n">
        <v>0</v>
      </c>
      <c r="N362" t="n">
        <v>0</v>
      </c>
      <c r="O362" t="n">
        <v>0</v>
      </c>
      <c r="P362" t="n">
        <v>0</v>
      </c>
      <c r="Q362" t="n">
        <v>0</v>
      </c>
      <c r="R362" s="2" t="inlineStr"/>
    </row>
    <row r="363" ht="15" customHeight="1">
      <c r="A363" t="inlineStr">
        <is>
          <t>A 54776-2025</t>
        </is>
      </c>
      <c r="B363" s="1" t="n">
        <v>45966.61395833334</v>
      </c>
      <c r="C363" s="1" t="n">
        <v>46181</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54527-2025</t>
        </is>
      </c>
      <c r="B364" s="1" t="n">
        <v>45965.63420138889</v>
      </c>
      <c r="C364" s="1" t="n">
        <v>46181</v>
      </c>
      <c r="D364" t="inlineStr">
        <is>
          <t>DALARNAS LÄN</t>
        </is>
      </c>
      <c r="E364" t="inlineStr">
        <is>
          <t>ORSA</t>
        </is>
      </c>
      <c r="G364" t="n">
        <v>1.9</v>
      </c>
      <c r="H364" t="n">
        <v>0</v>
      </c>
      <c r="I364" t="n">
        <v>0</v>
      </c>
      <c r="J364" t="n">
        <v>0</v>
      </c>
      <c r="K364" t="n">
        <v>0</v>
      </c>
      <c r="L364" t="n">
        <v>0</v>
      </c>
      <c r="M364" t="n">
        <v>0</v>
      </c>
      <c r="N364" t="n">
        <v>0</v>
      </c>
      <c r="O364" t="n">
        <v>0</v>
      </c>
      <c r="P364" t="n">
        <v>0</v>
      </c>
      <c r="Q364" t="n">
        <v>0</v>
      </c>
      <c r="R364" s="2" t="inlineStr"/>
    </row>
    <row r="365" ht="15" customHeight="1">
      <c r="A365" t="inlineStr">
        <is>
          <t>A 15769-2025</t>
        </is>
      </c>
      <c r="B365" s="1" t="n">
        <v>45748.58792824074</v>
      </c>
      <c r="C365" s="1" t="n">
        <v>46181</v>
      </c>
      <c r="D365" t="inlineStr">
        <is>
          <t>DALARNAS LÄN</t>
        </is>
      </c>
      <c r="E365" t="inlineStr">
        <is>
          <t>ORSA</t>
        </is>
      </c>
      <c r="F365" t="inlineStr">
        <is>
          <t>Bergvik skog öst AB</t>
        </is>
      </c>
      <c r="G365" t="n">
        <v>4.7</v>
      </c>
      <c r="H365" t="n">
        <v>0</v>
      </c>
      <c r="I365" t="n">
        <v>0</v>
      </c>
      <c r="J365" t="n">
        <v>0</v>
      </c>
      <c r="K365" t="n">
        <v>0</v>
      </c>
      <c r="L365" t="n">
        <v>0</v>
      </c>
      <c r="M365" t="n">
        <v>0</v>
      </c>
      <c r="N365" t="n">
        <v>0</v>
      </c>
      <c r="O365" t="n">
        <v>0</v>
      </c>
      <c r="P365" t="n">
        <v>0</v>
      </c>
      <c r="Q365" t="n">
        <v>0</v>
      </c>
      <c r="R365" s="2" t="inlineStr"/>
    </row>
    <row r="366" ht="15" customHeight="1">
      <c r="A366" t="inlineStr">
        <is>
          <t>A 54509-2025</t>
        </is>
      </c>
      <c r="B366" s="1" t="n">
        <v>45965.61920138889</v>
      </c>
      <c r="C366" s="1" t="n">
        <v>46181</v>
      </c>
      <c r="D366" t="inlineStr">
        <is>
          <t>DALARNAS LÄN</t>
        </is>
      </c>
      <c r="E366" t="inlineStr">
        <is>
          <t>ORSA</t>
        </is>
      </c>
      <c r="G366" t="n">
        <v>1.7</v>
      </c>
      <c r="H366" t="n">
        <v>0</v>
      </c>
      <c r="I366" t="n">
        <v>0</v>
      </c>
      <c r="J366" t="n">
        <v>0</v>
      </c>
      <c r="K366" t="n">
        <v>0</v>
      </c>
      <c r="L366" t="n">
        <v>0</v>
      </c>
      <c r="M366" t="n">
        <v>0</v>
      </c>
      <c r="N366" t="n">
        <v>0</v>
      </c>
      <c r="O366" t="n">
        <v>0</v>
      </c>
      <c r="P366" t="n">
        <v>0</v>
      </c>
      <c r="Q366" t="n">
        <v>0</v>
      </c>
      <c r="R366" s="2" t="inlineStr"/>
    </row>
    <row r="367" ht="15" customHeight="1">
      <c r="A367" t="inlineStr">
        <is>
          <t>A 54543-2025</t>
        </is>
      </c>
      <c r="B367" s="1" t="n">
        <v>45965.64862268518</v>
      </c>
      <c r="C367" s="1" t="n">
        <v>46181</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37931-2023</t>
        </is>
      </c>
      <c r="B368" s="1" t="n">
        <v>45160.51721064815</v>
      </c>
      <c r="C368" s="1" t="n">
        <v>46181</v>
      </c>
      <c r="D368" t="inlineStr">
        <is>
          <t>DALARNAS LÄN</t>
        </is>
      </c>
      <c r="E368" t="inlineStr">
        <is>
          <t>ORSA</t>
        </is>
      </c>
      <c r="G368" t="n">
        <v>2.6</v>
      </c>
      <c r="H368" t="n">
        <v>0</v>
      </c>
      <c r="I368" t="n">
        <v>0</v>
      </c>
      <c r="J368" t="n">
        <v>0</v>
      </c>
      <c r="K368" t="n">
        <v>0</v>
      </c>
      <c r="L368" t="n">
        <v>0</v>
      </c>
      <c r="M368" t="n">
        <v>0</v>
      </c>
      <c r="N368" t="n">
        <v>0</v>
      </c>
      <c r="O368" t="n">
        <v>0</v>
      </c>
      <c r="P368" t="n">
        <v>0</v>
      </c>
      <c r="Q368" t="n">
        <v>0</v>
      </c>
      <c r="R368" s="2" t="inlineStr"/>
    </row>
    <row r="369" ht="15" customHeight="1">
      <c r="A369" t="inlineStr">
        <is>
          <t>A 7628-2025</t>
        </is>
      </c>
      <c r="B369" s="1" t="n">
        <v>45705.73394675926</v>
      </c>
      <c r="C369" s="1" t="n">
        <v>46181</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15766-2025</t>
        </is>
      </c>
      <c r="B370" s="1" t="n">
        <v>45748.58409722222</v>
      </c>
      <c r="C370" s="1" t="n">
        <v>46181</v>
      </c>
      <c r="D370" t="inlineStr">
        <is>
          <t>DALARNAS LÄN</t>
        </is>
      </c>
      <c r="E370" t="inlineStr">
        <is>
          <t>ORSA</t>
        </is>
      </c>
      <c r="F370" t="inlineStr">
        <is>
          <t>Bergvik skog öst AB</t>
        </is>
      </c>
      <c r="G370" t="n">
        <v>9</v>
      </c>
      <c r="H370" t="n">
        <v>0</v>
      </c>
      <c r="I370" t="n">
        <v>0</v>
      </c>
      <c r="J370" t="n">
        <v>0</v>
      </c>
      <c r="K370" t="n">
        <v>0</v>
      </c>
      <c r="L370" t="n">
        <v>0</v>
      </c>
      <c r="M370" t="n">
        <v>0</v>
      </c>
      <c r="N370" t="n">
        <v>0</v>
      </c>
      <c r="O370" t="n">
        <v>0</v>
      </c>
      <c r="P370" t="n">
        <v>0</v>
      </c>
      <c r="Q370" t="n">
        <v>0</v>
      </c>
      <c r="R370" s="2" t="inlineStr"/>
    </row>
    <row r="371" ht="15" customHeight="1">
      <c r="A371" t="inlineStr">
        <is>
          <t>A 8579-2025</t>
        </is>
      </c>
      <c r="B371" s="1" t="n">
        <v>45709</v>
      </c>
      <c r="C371" s="1" t="n">
        <v>46181</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52033-2023</t>
        </is>
      </c>
      <c r="B372" s="1" t="n">
        <v>45223.62680555556</v>
      </c>
      <c r="C372" s="1" t="n">
        <v>46181</v>
      </c>
      <c r="D372" t="inlineStr">
        <is>
          <t>DALARNAS LÄN</t>
        </is>
      </c>
      <c r="E372" t="inlineStr">
        <is>
          <t>ORSA</t>
        </is>
      </c>
      <c r="G372" t="n">
        <v>11.5</v>
      </c>
      <c r="H372" t="n">
        <v>0</v>
      </c>
      <c r="I372" t="n">
        <v>0</v>
      </c>
      <c r="J372" t="n">
        <v>0</v>
      </c>
      <c r="K372" t="n">
        <v>0</v>
      </c>
      <c r="L372" t="n">
        <v>0</v>
      </c>
      <c r="M372" t="n">
        <v>0</v>
      </c>
      <c r="N372" t="n">
        <v>0</v>
      </c>
      <c r="O372" t="n">
        <v>0</v>
      </c>
      <c r="P372" t="n">
        <v>0</v>
      </c>
      <c r="Q372" t="n">
        <v>0</v>
      </c>
      <c r="R372" s="2" t="inlineStr"/>
    </row>
    <row r="373" ht="15" customHeight="1">
      <c r="A373" t="inlineStr">
        <is>
          <t>A 55105-2025</t>
        </is>
      </c>
      <c r="B373" s="1" t="n">
        <v>45968.36422453704</v>
      </c>
      <c r="C373" s="1" t="n">
        <v>46181</v>
      </c>
      <c r="D373" t="inlineStr">
        <is>
          <t>DALARNAS LÄN</t>
        </is>
      </c>
      <c r="E373" t="inlineStr">
        <is>
          <t>ORSA</t>
        </is>
      </c>
      <c r="F373" t="inlineStr">
        <is>
          <t>Allmännings- och besparingsskogar</t>
        </is>
      </c>
      <c r="G373" t="n">
        <v>31.5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46181</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55405-2025</t>
        </is>
      </c>
      <c r="B375" s="1" t="n">
        <v>45971.45525462963</v>
      </c>
      <c r="C375" s="1" t="n">
        <v>46181</v>
      </c>
      <c r="D375" t="inlineStr">
        <is>
          <t>DALARNAS LÄN</t>
        </is>
      </c>
      <c r="E375" t="inlineStr">
        <is>
          <t>ORSA</t>
        </is>
      </c>
      <c r="F375" t="inlineStr">
        <is>
          <t>Bergvik skog öst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33265-2021</t>
        </is>
      </c>
      <c r="B376" s="1" t="n">
        <v>44377</v>
      </c>
      <c r="C376" s="1" t="n">
        <v>46181</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55369-2025</t>
        </is>
      </c>
      <c r="B377" s="1" t="n">
        <v>45971.41472222222</v>
      </c>
      <c r="C377" s="1" t="n">
        <v>46181</v>
      </c>
      <c r="D377" t="inlineStr">
        <is>
          <t>DALARNAS LÄN</t>
        </is>
      </c>
      <c r="E377" t="inlineStr">
        <is>
          <t>ORSA</t>
        </is>
      </c>
      <c r="F377" t="inlineStr">
        <is>
          <t>Bergvik skog öst AB</t>
        </is>
      </c>
      <c r="G377" t="n">
        <v>1.7</v>
      </c>
      <c r="H377" t="n">
        <v>0</v>
      </c>
      <c r="I377" t="n">
        <v>0</v>
      </c>
      <c r="J377" t="n">
        <v>0</v>
      </c>
      <c r="K377" t="n">
        <v>0</v>
      </c>
      <c r="L377" t="n">
        <v>0</v>
      </c>
      <c r="M377" t="n">
        <v>0</v>
      </c>
      <c r="N377" t="n">
        <v>0</v>
      </c>
      <c r="O377" t="n">
        <v>0</v>
      </c>
      <c r="P377" t="n">
        <v>0</v>
      </c>
      <c r="Q377" t="n">
        <v>0</v>
      </c>
      <c r="R377" s="2" t="inlineStr"/>
    </row>
    <row r="378" ht="15" customHeight="1">
      <c r="A378" t="inlineStr">
        <is>
          <t>A 49781-2023</t>
        </is>
      </c>
      <c r="B378" s="1" t="n">
        <v>45212.60275462963</v>
      </c>
      <c r="C378" s="1" t="n">
        <v>46181</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49814-2023</t>
        </is>
      </c>
      <c r="B379" s="1" t="n">
        <v>45212.67149305555</v>
      </c>
      <c r="C379" s="1" t="n">
        <v>46181</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56295-2025</t>
        </is>
      </c>
      <c r="B380" s="1" t="n">
        <v>45974.60144675926</v>
      </c>
      <c r="C380" s="1" t="n">
        <v>46181</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56288-2025</t>
        </is>
      </c>
      <c r="B381" s="1" t="n">
        <v>45974.59688657407</v>
      </c>
      <c r="C381" s="1" t="n">
        <v>46181</v>
      </c>
      <c r="D381" t="inlineStr">
        <is>
          <t>DALARNAS LÄN</t>
        </is>
      </c>
      <c r="E381" t="inlineStr">
        <is>
          <t>ORSA</t>
        </is>
      </c>
      <c r="G381" t="n">
        <v>7.2</v>
      </c>
      <c r="H381" t="n">
        <v>0</v>
      </c>
      <c r="I381" t="n">
        <v>0</v>
      </c>
      <c r="J381" t="n">
        <v>0</v>
      </c>
      <c r="K381" t="n">
        <v>0</v>
      </c>
      <c r="L381" t="n">
        <v>0</v>
      </c>
      <c r="M381" t="n">
        <v>0</v>
      </c>
      <c r="N381" t="n">
        <v>0</v>
      </c>
      <c r="O381" t="n">
        <v>0</v>
      </c>
      <c r="P381" t="n">
        <v>0</v>
      </c>
      <c r="Q381" t="n">
        <v>0</v>
      </c>
      <c r="R381" s="2" t="inlineStr"/>
    </row>
    <row r="382" ht="15" customHeight="1">
      <c r="A382" t="inlineStr">
        <is>
          <t>A 56344-2025</t>
        </is>
      </c>
      <c r="B382" s="1" t="n">
        <v>45974.64894675926</v>
      </c>
      <c r="C382" s="1" t="n">
        <v>46181</v>
      </c>
      <c r="D382" t="inlineStr">
        <is>
          <t>DALARNAS LÄN</t>
        </is>
      </c>
      <c r="E382" t="inlineStr">
        <is>
          <t>ORSA</t>
        </is>
      </c>
      <c r="G382" t="n">
        <v>5.5</v>
      </c>
      <c r="H382" t="n">
        <v>0</v>
      </c>
      <c r="I382" t="n">
        <v>0</v>
      </c>
      <c r="J382" t="n">
        <v>0</v>
      </c>
      <c r="K382" t="n">
        <v>0</v>
      </c>
      <c r="L382" t="n">
        <v>0</v>
      </c>
      <c r="M382" t="n">
        <v>0</v>
      </c>
      <c r="N382" t="n">
        <v>0</v>
      </c>
      <c r="O382" t="n">
        <v>0</v>
      </c>
      <c r="P382" t="n">
        <v>0</v>
      </c>
      <c r="Q382" t="n">
        <v>0</v>
      </c>
      <c r="R382" s="2" t="inlineStr"/>
    </row>
    <row r="383" ht="15" customHeight="1">
      <c r="A383" t="inlineStr">
        <is>
          <t>A 64133-2025</t>
        </is>
      </c>
      <c r="B383" s="1" t="n">
        <v>46022</v>
      </c>
      <c r="C383" s="1" t="n">
        <v>46181</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56297-2025</t>
        </is>
      </c>
      <c r="B384" s="1" t="n">
        <v>45974.60431712963</v>
      </c>
      <c r="C384" s="1" t="n">
        <v>46181</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10481-2026</t>
        </is>
      </c>
      <c r="B385" s="1" t="n">
        <v>46077</v>
      </c>
      <c r="C385" s="1" t="n">
        <v>46181</v>
      </c>
      <c r="D385" t="inlineStr">
        <is>
          <t>DALARNAS LÄN</t>
        </is>
      </c>
      <c r="E385" t="inlineStr">
        <is>
          <t>ORSA</t>
        </is>
      </c>
      <c r="F385" t="inlineStr">
        <is>
          <t>Bergvik skog öst AB</t>
        </is>
      </c>
      <c r="G385" t="n">
        <v>11.1</v>
      </c>
      <c r="H385" t="n">
        <v>0</v>
      </c>
      <c r="I385" t="n">
        <v>0</v>
      </c>
      <c r="J385" t="n">
        <v>0</v>
      </c>
      <c r="K385" t="n">
        <v>0</v>
      </c>
      <c r="L385" t="n">
        <v>0</v>
      </c>
      <c r="M385" t="n">
        <v>0</v>
      </c>
      <c r="N385" t="n">
        <v>0</v>
      </c>
      <c r="O385" t="n">
        <v>0</v>
      </c>
      <c r="P385" t="n">
        <v>0</v>
      </c>
      <c r="Q385" t="n">
        <v>0</v>
      </c>
      <c r="R385" s="2" t="inlineStr"/>
    </row>
    <row r="386" ht="15" customHeight="1">
      <c r="A386" t="inlineStr">
        <is>
          <t>A 56813-2025</t>
        </is>
      </c>
      <c r="B386" s="1" t="n">
        <v>45978.45585648148</v>
      </c>
      <c r="C386" s="1" t="n">
        <v>46181</v>
      </c>
      <c r="D386" t="inlineStr">
        <is>
          <t>DALARNAS LÄN</t>
        </is>
      </c>
      <c r="E386" t="inlineStr">
        <is>
          <t>ORSA</t>
        </is>
      </c>
      <c r="G386" t="n">
        <v>2</v>
      </c>
      <c r="H386" t="n">
        <v>0</v>
      </c>
      <c r="I386" t="n">
        <v>0</v>
      </c>
      <c r="J386" t="n">
        <v>0</v>
      </c>
      <c r="K386" t="n">
        <v>0</v>
      </c>
      <c r="L386" t="n">
        <v>0</v>
      </c>
      <c r="M386" t="n">
        <v>0</v>
      </c>
      <c r="N386" t="n">
        <v>0</v>
      </c>
      <c r="O386" t="n">
        <v>0</v>
      </c>
      <c r="P386" t="n">
        <v>0</v>
      </c>
      <c r="Q386" t="n">
        <v>0</v>
      </c>
      <c r="R386" s="2" t="inlineStr"/>
    </row>
    <row r="387" ht="15" customHeight="1">
      <c r="A387" t="inlineStr">
        <is>
          <t>A 56471-2025</t>
        </is>
      </c>
      <c r="B387" s="1" t="n">
        <v>45975.37766203703</v>
      </c>
      <c r="C387" s="1" t="n">
        <v>46181</v>
      </c>
      <c r="D387" t="inlineStr">
        <is>
          <t>DALARNAS LÄN</t>
        </is>
      </c>
      <c r="E387" t="inlineStr">
        <is>
          <t>ORSA</t>
        </is>
      </c>
      <c r="G387" t="n">
        <v>5.2</v>
      </c>
      <c r="H387" t="n">
        <v>0</v>
      </c>
      <c r="I387" t="n">
        <v>0</v>
      </c>
      <c r="J387" t="n">
        <v>0</v>
      </c>
      <c r="K387" t="n">
        <v>0</v>
      </c>
      <c r="L387" t="n">
        <v>0</v>
      </c>
      <c r="M387" t="n">
        <v>0</v>
      </c>
      <c r="N387" t="n">
        <v>0</v>
      </c>
      <c r="O387" t="n">
        <v>0</v>
      </c>
      <c r="P387" t="n">
        <v>0</v>
      </c>
      <c r="Q387" t="n">
        <v>0</v>
      </c>
      <c r="R387" s="2" t="inlineStr"/>
    </row>
    <row r="388" ht="15" customHeight="1">
      <c r="A388" t="inlineStr">
        <is>
          <t>A 56459-2025</t>
        </is>
      </c>
      <c r="B388" s="1" t="n">
        <v>45975.36898148148</v>
      </c>
      <c r="C388" s="1" t="n">
        <v>46181</v>
      </c>
      <c r="D388" t="inlineStr">
        <is>
          <t>DALARNAS LÄN</t>
        </is>
      </c>
      <c r="E388" t="inlineStr">
        <is>
          <t>ORSA</t>
        </is>
      </c>
      <c r="G388" t="n">
        <v>3.8</v>
      </c>
      <c r="H388" t="n">
        <v>0</v>
      </c>
      <c r="I388" t="n">
        <v>0</v>
      </c>
      <c r="J388" t="n">
        <v>0</v>
      </c>
      <c r="K388" t="n">
        <v>0</v>
      </c>
      <c r="L388" t="n">
        <v>0</v>
      </c>
      <c r="M388" t="n">
        <v>0</v>
      </c>
      <c r="N388" t="n">
        <v>0</v>
      </c>
      <c r="O388" t="n">
        <v>0</v>
      </c>
      <c r="P388" t="n">
        <v>0</v>
      </c>
      <c r="Q388" t="n">
        <v>0</v>
      </c>
      <c r="R388" s="2" t="inlineStr"/>
    </row>
    <row r="389" ht="15" customHeight="1">
      <c r="A389" t="inlineStr">
        <is>
          <t>A 12678-2026</t>
        </is>
      </c>
      <c r="B389" s="1" t="n">
        <v>46091.54976851852</v>
      </c>
      <c r="C389" s="1" t="n">
        <v>46181</v>
      </c>
      <c r="D389" t="inlineStr">
        <is>
          <t>DALARNAS LÄN</t>
        </is>
      </c>
      <c r="E389" t="inlineStr">
        <is>
          <t>ORSA</t>
        </is>
      </c>
      <c r="F389" t="inlineStr">
        <is>
          <t>Allmännings- och besparingsskogar</t>
        </is>
      </c>
      <c r="G389" t="n">
        <v>0.6</v>
      </c>
      <c r="H389" t="n">
        <v>0</v>
      </c>
      <c r="I389" t="n">
        <v>0</v>
      </c>
      <c r="J389" t="n">
        <v>0</v>
      </c>
      <c r="K389" t="n">
        <v>0</v>
      </c>
      <c r="L389" t="n">
        <v>0</v>
      </c>
      <c r="M389" t="n">
        <v>0</v>
      </c>
      <c r="N389" t="n">
        <v>0</v>
      </c>
      <c r="O389" t="n">
        <v>0</v>
      </c>
      <c r="P389" t="n">
        <v>0</v>
      </c>
      <c r="Q389" t="n">
        <v>0</v>
      </c>
      <c r="R389" s="2" t="inlineStr"/>
    </row>
    <row r="390" ht="15" customHeight="1">
      <c r="A390" t="inlineStr">
        <is>
          <t>A 12404-2026</t>
        </is>
      </c>
      <c r="B390" s="1" t="n">
        <v>46090.40299768518</v>
      </c>
      <c r="C390" s="1" t="n">
        <v>46181</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12677-2026</t>
        </is>
      </c>
      <c r="B391" s="1" t="n">
        <v>46091.54840277778</v>
      </c>
      <c r="C391" s="1" t="n">
        <v>46181</v>
      </c>
      <c r="D391" t="inlineStr">
        <is>
          <t>DALARNAS LÄN</t>
        </is>
      </c>
      <c r="E391" t="inlineStr">
        <is>
          <t>ORSA</t>
        </is>
      </c>
      <c r="F391" t="inlineStr">
        <is>
          <t>Allmännings- och besparingsskogar</t>
        </is>
      </c>
      <c r="G391" t="n">
        <v>0.8</v>
      </c>
      <c r="H391" t="n">
        <v>0</v>
      </c>
      <c r="I391" t="n">
        <v>0</v>
      </c>
      <c r="J391" t="n">
        <v>0</v>
      </c>
      <c r="K391" t="n">
        <v>0</v>
      </c>
      <c r="L391" t="n">
        <v>0</v>
      </c>
      <c r="M391" t="n">
        <v>0</v>
      </c>
      <c r="N391" t="n">
        <v>0</v>
      </c>
      <c r="O391" t="n">
        <v>0</v>
      </c>
      <c r="P391" t="n">
        <v>0</v>
      </c>
      <c r="Q391" t="n">
        <v>0</v>
      </c>
      <c r="R391" s="2" t="inlineStr"/>
    </row>
    <row r="392" ht="15" customHeight="1">
      <c r="A392" t="inlineStr">
        <is>
          <t>A 56473-2025</t>
        </is>
      </c>
      <c r="B392" s="1" t="n">
        <v>45975.38001157407</v>
      </c>
      <c r="C392" s="1" t="n">
        <v>46181</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57681-2025</t>
        </is>
      </c>
      <c r="B393" s="1" t="n">
        <v>45980.30490740741</v>
      </c>
      <c r="C393" s="1" t="n">
        <v>46181</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57055-2025</t>
        </is>
      </c>
      <c r="B394" s="1" t="n">
        <v>45979.36299768519</v>
      </c>
      <c r="C394" s="1" t="n">
        <v>46181</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47732-2021</t>
        </is>
      </c>
      <c r="B395" s="1" t="n">
        <v>44448.52815972222</v>
      </c>
      <c r="C395" s="1" t="n">
        <v>46181</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12805-2026</t>
        </is>
      </c>
      <c r="B396" s="1" t="n">
        <v>46092</v>
      </c>
      <c r="C396" s="1" t="n">
        <v>46181</v>
      </c>
      <c r="D396" t="inlineStr">
        <is>
          <t>DALARNAS LÄN</t>
        </is>
      </c>
      <c r="E396" t="inlineStr">
        <is>
          <t>ORSA</t>
        </is>
      </c>
      <c r="G396" t="n">
        <v>0.6</v>
      </c>
      <c r="H396" t="n">
        <v>0</v>
      </c>
      <c r="I396" t="n">
        <v>0</v>
      </c>
      <c r="J396" t="n">
        <v>0</v>
      </c>
      <c r="K396" t="n">
        <v>0</v>
      </c>
      <c r="L396" t="n">
        <v>0</v>
      </c>
      <c r="M396" t="n">
        <v>0</v>
      </c>
      <c r="N396" t="n">
        <v>0</v>
      </c>
      <c r="O396" t="n">
        <v>0</v>
      </c>
      <c r="P396" t="n">
        <v>0</v>
      </c>
      <c r="Q396" t="n">
        <v>0</v>
      </c>
      <c r="R396" s="2" t="inlineStr"/>
    </row>
    <row r="397" ht="15" customHeight="1">
      <c r="A397" t="inlineStr">
        <is>
          <t>A 12800-2026</t>
        </is>
      </c>
      <c r="B397" s="1" t="n">
        <v>46092</v>
      </c>
      <c r="C397" s="1" t="n">
        <v>46181</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57383-2025</t>
        </is>
      </c>
      <c r="B398" s="1" t="n">
        <v>45980.40871527778</v>
      </c>
      <c r="C398" s="1" t="n">
        <v>46181</v>
      </c>
      <c r="D398" t="inlineStr">
        <is>
          <t>DALARNAS LÄN</t>
        </is>
      </c>
      <c r="E398" t="inlineStr">
        <is>
          <t>ORSA</t>
        </is>
      </c>
      <c r="F398" t="inlineStr">
        <is>
          <t>Kyrkan</t>
        </is>
      </c>
      <c r="G398" t="n">
        <v>3.5</v>
      </c>
      <c r="H398" t="n">
        <v>0</v>
      </c>
      <c r="I398" t="n">
        <v>0</v>
      </c>
      <c r="J398" t="n">
        <v>0</v>
      </c>
      <c r="K398" t="n">
        <v>0</v>
      </c>
      <c r="L398" t="n">
        <v>0</v>
      </c>
      <c r="M398" t="n">
        <v>0</v>
      </c>
      <c r="N398" t="n">
        <v>0</v>
      </c>
      <c r="O398" t="n">
        <v>0</v>
      </c>
      <c r="P398" t="n">
        <v>0</v>
      </c>
      <c r="Q398" t="n">
        <v>0</v>
      </c>
      <c r="R398" s="2" t="inlineStr"/>
    </row>
    <row r="399" ht="15" customHeight="1">
      <c r="A399" t="inlineStr">
        <is>
          <t>A 10045-2026</t>
        </is>
      </c>
      <c r="B399" s="1" t="n">
        <v>46073</v>
      </c>
      <c r="C399" s="1" t="n">
        <v>46181</v>
      </c>
      <c r="D399" t="inlineStr">
        <is>
          <t>DALARNAS LÄN</t>
        </is>
      </c>
      <c r="E399" t="inlineStr">
        <is>
          <t>ORSA</t>
        </is>
      </c>
      <c r="F399" t="inlineStr">
        <is>
          <t>Bergvik skog öst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13257-2026</t>
        </is>
      </c>
      <c r="B400" s="1" t="n">
        <v>46093</v>
      </c>
      <c r="C400" s="1" t="n">
        <v>46181</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10019-2026</t>
        </is>
      </c>
      <c r="B401" s="1" t="n">
        <v>46073</v>
      </c>
      <c r="C401" s="1" t="n">
        <v>46181</v>
      </c>
      <c r="D401" t="inlineStr">
        <is>
          <t>DALARNAS LÄN</t>
        </is>
      </c>
      <c r="E401" t="inlineStr">
        <is>
          <t>ORSA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9963-2026</t>
        </is>
      </c>
      <c r="B402" s="1" t="n">
        <v>46073</v>
      </c>
      <c r="C402" s="1" t="n">
        <v>46181</v>
      </c>
      <c r="D402" t="inlineStr">
        <is>
          <t>DALARNAS LÄN</t>
        </is>
      </c>
      <c r="E402" t="inlineStr">
        <is>
          <t>ORSA</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13242-2026</t>
        </is>
      </c>
      <c r="B403" s="1" t="n">
        <v>46093.65078703704</v>
      </c>
      <c r="C403" s="1" t="n">
        <v>46181</v>
      </c>
      <c r="D403" t="inlineStr">
        <is>
          <t>DALARNAS LÄN</t>
        </is>
      </c>
      <c r="E403" t="inlineStr">
        <is>
          <t>ORSA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60189-2022</t>
        </is>
      </c>
      <c r="B404" s="1" t="n">
        <v>44910.36798611111</v>
      </c>
      <c r="C404" s="1" t="n">
        <v>46181</v>
      </c>
      <c r="D404" t="inlineStr">
        <is>
          <t>DALARNAS LÄN</t>
        </is>
      </c>
      <c r="E404" t="inlineStr">
        <is>
          <t>ORSA</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55534-2023</t>
        </is>
      </c>
      <c r="B405" s="1" t="n">
        <v>45238</v>
      </c>
      <c r="C405" s="1" t="n">
        <v>46181</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20254-2026</t>
        </is>
      </c>
      <c r="B406" s="1" t="n">
        <v>46139.48541666667</v>
      </c>
      <c r="C406" s="1" t="n">
        <v>46181</v>
      </c>
      <c r="D406" t="inlineStr">
        <is>
          <t>DALARNAS LÄN</t>
        </is>
      </c>
      <c r="E406" t="inlineStr">
        <is>
          <t>ORSA</t>
        </is>
      </c>
      <c r="F406" t="inlineStr">
        <is>
          <t>Bergvik skog öst AB</t>
        </is>
      </c>
      <c r="G406" t="n">
        <v>18.5</v>
      </c>
      <c r="H406" t="n">
        <v>0</v>
      </c>
      <c r="I406" t="n">
        <v>0</v>
      </c>
      <c r="J406" t="n">
        <v>0</v>
      </c>
      <c r="K406" t="n">
        <v>0</v>
      </c>
      <c r="L406" t="n">
        <v>0</v>
      </c>
      <c r="M406" t="n">
        <v>0</v>
      </c>
      <c r="N406" t="n">
        <v>0</v>
      </c>
      <c r="O406" t="n">
        <v>0</v>
      </c>
      <c r="P406" t="n">
        <v>0</v>
      </c>
      <c r="Q406" t="n">
        <v>0</v>
      </c>
      <c r="R406" s="2" t="inlineStr"/>
    </row>
    <row r="407" ht="15" customHeight="1">
      <c r="A407" t="inlineStr">
        <is>
          <t>A 13575-2025</t>
        </is>
      </c>
      <c r="B407" s="1" t="n">
        <v>45736.57871527778</v>
      </c>
      <c r="C407" s="1" t="n">
        <v>46181</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16992-2025</t>
        </is>
      </c>
      <c r="B408" s="1" t="n">
        <v>45755.50215277778</v>
      </c>
      <c r="C408" s="1" t="n">
        <v>46181</v>
      </c>
      <c r="D408" t="inlineStr">
        <is>
          <t>DALARNAS LÄN</t>
        </is>
      </c>
      <c r="E408" t="inlineStr">
        <is>
          <t>ORSA</t>
        </is>
      </c>
      <c r="G408" t="n">
        <v>1.5</v>
      </c>
      <c r="H408" t="n">
        <v>0</v>
      </c>
      <c r="I408" t="n">
        <v>0</v>
      </c>
      <c r="J408" t="n">
        <v>0</v>
      </c>
      <c r="K408" t="n">
        <v>0</v>
      </c>
      <c r="L408" t="n">
        <v>0</v>
      </c>
      <c r="M408" t="n">
        <v>0</v>
      </c>
      <c r="N408" t="n">
        <v>0</v>
      </c>
      <c r="O408" t="n">
        <v>0</v>
      </c>
      <c r="P408" t="n">
        <v>0</v>
      </c>
      <c r="Q408" t="n">
        <v>0</v>
      </c>
      <c r="R408" s="2" t="inlineStr"/>
    </row>
    <row r="409" ht="15" customHeight="1">
      <c r="A409" t="inlineStr">
        <is>
          <t>A 58647-2025</t>
        </is>
      </c>
      <c r="B409" s="1" t="n">
        <v>45986.50476851852</v>
      </c>
      <c r="C409" s="1" t="n">
        <v>46181</v>
      </c>
      <c r="D409" t="inlineStr">
        <is>
          <t>DALARNAS LÄN</t>
        </is>
      </c>
      <c r="E409" t="inlineStr">
        <is>
          <t>ORSA</t>
        </is>
      </c>
      <c r="G409" t="n">
        <v>2.8</v>
      </c>
      <c r="H409" t="n">
        <v>0</v>
      </c>
      <c r="I409" t="n">
        <v>0</v>
      </c>
      <c r="J409" t="n">
        <v>0</v>
      </c>
      <c r="K409" t="n">
        <v>0</v>
      </c>
      <c r="L409" t="n">
        <v>0</v>
      </c>
      <c r="M409" t="n">
        <v>0</v>
      </c>
      <c r="N409" t="n">
        <v>0</v>
      </c>
      <c r="O409" t="n">
        <v>0</v>
      </c>
      <c r="P409" t="n">
        <v>0</v>
      </c>
      <c r="Q409" t="n">
        <v>0</v>
      </c>
      <c r="R409" s="2" t="inlineStr"/>
    </row>
    <row r="410" ht="15" customHeight="1">
      <c r="A410" t="inlineStr">
        <is>
          <t>A 58657-2025</t>
        </is>
      </c>
      <c r="B410" s="1" t="n">
        <v>45986.52584490741</v>
      </c>
      <c r="C410" s="1" t="n">
        <v>46181</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30382-2023</t>
        </is>
      </c>
      <c r="B411" s="1" t="n">
        <v>45111</v>
      </c>
      <c r="C411" s="1" t="n">
        <v>46181</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20165-2026</t>
        </is>
      </c>
      <c r="B412" s="1" t="n">
        <v>46139.31881944444</v>
      </c>
      <c r="C412" s="1" t="n">
        <v>46181</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58683-2025</t>
        </is>
      </c>
      <c r="B413" s="1" t="n">
        <v>45986.56949074074</v>
      </c>
      <c r="C413" s="1" t="n">
        <v>46181</v>
      </c>
      <c r="D413" t="inlineStr">
        <is>
          <t>DALARNAS LÄN</t>
        </is>
      </c>
      <c r="E413" t="inlineStr">
        <is>
          <t>ORSA</t>
        </is>
      </c>
      <c r="G413" t="n">
        <v>0.6</v>
      </c>
      <c r="H413" t="n">
        <v>0</v>
      </c>
      <c r="I413" t="n">
        <v>0</v>
      </c>
      <c r="J413" t="n">
        <v>0</v>
      </c>
      <c r="K413" t="n">
        <v>0</v>
      </c>
      <c r="L413" t="n">
        <v>0</v>
      </c>
      <c r="M413" t="n">
        <v>0</v>
      </c>
      <c r="N413" t="n">
        <v>0</v>
      </c>
      <c r="O413" t="n">
        <v>0</v>
      </c>
      <c r="P413" t="n">
        <v>0</v>
      </c>
      <c r="Q413" t="n">
        <v>0</v>
      </c>
      <c r="R413" s="2" t="inlineStr"/>
    </row>
    <row r="414" ht="15" customHeight="1">
      <c r="A414" t="inlineStr">
        <is>
          <t>A 58691-2025</t>
        </is>
      </c>
      <c r="B414" s="1" t="n">
        <v>45986.58231481481</v>
      </c>
      <c r="C414" s="1" t="n">
        <v>46181</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58681-2025</t>
        </is>
      </c>
      <c r="B415" s="1" t="n">
        <v>45986.56822916667</v>
      </c>
      <c r="C415" s="1" t="n">
        <v>46181</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58686-2025</t>
        </is>
      </c>
      <c r="B416" s="1" t="n">
        <v>45986.57303240741</v>
      </c>
      <c r="C416" s="1" t="n">
        <v>46181</v>
      </c>
      <c r="D416" t="inlineStr">
        <is>
          <t>DALARNAS LÄN</t>
        </is>
      </c>
      <c r="E416" t="inlineStr">
        <is>
          <t>ORSA</t>
        </is>
      </c>
      <c r="G416" t="n">
        <v>1.2</v>
      </c>
      <c r="H416" t="n">
        <v>0</v>
      </c>
      <c r="I416" t="n">
        <v>0</v>
      </c>
      <c r="J416" t="n">
        <v>0</v>
      </c>
      <c r="K416" t="n">
        <v>0</v>
      </c>
      <c r="L416" t="n">
        <v>0</v>
      </c>
      <c r="M416" t="n">
        <v>0</v>
      </c>
      <c r="N416" t="n">
        <v>0</v>
      </c>
      <c r="O416" t="n">
        <v>0</v>
      </c>
      <c r="P416" t="n">
        <v>0</v>
      </c>
      <c r="Q416" t="n">
        <v>0</v>
      </c>
      <c r="R416" s="2" t="inlineStr"/>
    </row>
    <row r="417" ht="15" customHeight="1">
      <c r="A417" t="inlineStr">
        <is>
          <t>A 17503-2025</t>
        </is>
      </c>
      <c r="B417" s="1" t="n">
        <v>45757.55321759259</v>
      </c>
      <c r="C417" s="1" t="n">
        <v>46181</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58910-2025</t>
        </is>
      </c>
      <c r="B418" s="1" t="n">
        <v>45987.51534722222</v>
      </c>
      <c r="C418" s="1" t="n">
        <v>46181</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58886-2025</t>
        </is>
      </c>
      <c r="B419" s="1" t="n">
        <v>45987.48171296297</v>
      </c>
      <c r="C419" s="1" t="n">
        <v>46181</v>
      </c>
      <c r="D419" t="inlineStr">
        <is>
          <t>DALARNAS LÄN</t>
        </is>
      </c>
      <c r="E419" t="inlineStr">
        <is>
          <t>ORSA</t>
        </is>
      </c>
      <c r="G419" t="n">
        <v>2.7</v>
      </c>
      <c r="H419" t="n">
        <v>0</v>
      </c>
      <c r="I419" t="n">
        <v>0</v>
      </c>
      <c r="J419" t="n">
        <v>0</v>
      </c>
      <c r="K419" t="n">
        <v>0</v>
      </c>
      <c r="L419" t="n">
        <v>0</v>
      </c>
      <c r="M419" t="n">
        <v>0</v>
      </c>
      <c r="N419" t="n">
        <v>0</v>
      </c>
      <c r="O419" t="n">
        <v>0</v>
      </c>
      <c r="P419" t="n">
        <v>0</v>
      </c>
      <c r="Q419" t="n">
        <v>0</v>
      </c>
      <c r="R419" s="2" t="inlineStr"/>
    </row>
    <row r="420" ht="15" customHeight="1">
      <c r="A420" t="inlineStr">
        <is>
          <t>A 59124-2025</t>
        </is>
      </c>
      <c r="B420" s="1" t="n">
        <v>45988.4934375</v>
      </c>
      <c r="C420" s="1" t="n">
        <v>46181</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60803-2022</t>
        </is>
      </c>
      <c r="B421" s="1" t="n">
        <v>44914</v>
      </c>
      <c r="C421" s="1" t="n">
        <v>46181</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58923-2025</t>
        </is>
      </c>
      <c r="B422" s="1" t="n">
        <v>45987.54099537037</v>
      </c>
      <c r="C422" s="1" t="n">
        <v>46181</v>
      </c>
      <c r="D422" t="inlineStr">
        <is>
          <t>DALARNAS LÄN</t>
        </is>
      </c>
      <c r="E422" t="inlineStr">
        <is>
          <t>ORSA</t>
        </is>
      </c>
      <c r="G422" t="n">
        <v>0.6</v>
      </c>
      <c r="H422" t="n">
        <v>0</v>
      </c>
      <c r="I422" t="n">
        <v>0</v>
      </c>
      <c r="J422" t="n">
        <v>0</v>
      </c>
      <c r="K422" t="n">
        <v>0</v>
      </c>
      <c r="L422" t="n">
        <v>0</v>
      </c>
      <c r="M422" t="n">
        <v>0</v>
      </c>
      <c r="N422" t="n">
        <v>0</v>
      </c>
      <c r="O422" t="n">
        <v>0</v>
      </c>
      <c r="P422" t="n">
        <v>0</v>
      </c>
      <c r="Q422" t="n">
        <v>0</v>
      </c>
      <c r="R422" s="2" t="inlineStr"/>
    </row>
    <row r="423" ht="15" customHeight="1">
      <c r="A423" t="inlineStr">
        <is>
          <t>A 59114-2025</t>
        </is>
      </c>
      <c r="B423" s="1" t="n">
        <v>45988.4884375</v>
      </c>
      <c r="C423" s="1" t="n">
        <v>46181</v>
      </c>
      <c r="D423" t="inlineStr">
        <is>
          <t>DALARNAS LÄN</t>
        </is>
      </c>
      <c r="E423" t="inlineStr">
        <is>
          <t>ORSA</t>
        </is>
      </c>
      <c r="G423" t="n">
        <v>1.3</v>
      </c>
      <c r="H423" t="n">
        <v>0</v>
      </c>
      <c r="I423" t="n">
        <v>0</v>
      </c>
      <c r="J423" t="n">
        <v>0</v>
      </c>
      <c r="K423" t="n">
        <v>0</v>
      </c>
      <c r="L423" t="n">
        <v>0</v>
      </c>
      <c r="M423" t="n">
        <v>0</v>
      </c>
      <c r="N423" t="n">
        <v>0</v>
      </c>
      <c r="O423" t="n">
        <v>0</v>
      </c>
      <c r="P423" t="n">
        <v>0</v>
      </c>
      <c r="Q423" t="n">
        <v>0</v>
      </c>
      <c r="R423" s="2" t="inlineStr"/>
    </row>
    <row r="424" ht="15" customHeight="1">
      <c r="A424" t="inlineStr">
        <is>
          <t>A 58834-2025</t>
        </is>
      </c>
      <c r="B424" s="1" t="n">
        <v>45987.35487268519</v>
      </c>
      <c r="C424" s="1" t="n">
        <v>46181</v>
      </c>
      <c r="D424" t="inlineStr">
        <is>
          <t>DALARNAS LÄN</t>
        </is>
      </c>
      <c r="E424" t="inlineStr">
        <is>
          <t>ORSA</t>
        </is>
      </c>
      <c r="G424" t="n">
        <v>3.6</v>
      </c>
      <c r="H424" t="n">
        <v>0</v>
      </c>
      <c r="I424" t="n">
        <v>0</v>
      </c>
      <c r="J424" t="n">
        <v>0</v>
      </c>
      <c r="K424" t="n">
        <v>0</v>
      </c>
      <c r="L424" t="n">
        <v>0</v>
      </c>
      <c r="M424" t="n">
        <v>0</v>
      </c>
      <c r="N424" t="n">
        <v>0</v>
      </c>
      <c r="O424" t="n">
        <v>0</v>
      </c>
      <c r="P424" t="n">
        <v>0</v>
      </c>
      <c r="Q424" t="n">
        <v>0</v>
      </c>
      <c r="R424" s="2" t="inlineStr"/>
    </row>
    <row r="425" ht="15" customHeight="1">
      <c r="A425" t="inlineStr">
        <is>
          <t>A 58904-2025</t>
        </is>
      </c>
      <c r="B425" s="1" t="n">
        <v>45987.50958333333</v>
      </c>
      <c r="C425" s="1" t="n">
        <v>46181</v>
      </c>
      <c r="D425" t="inlineStr">
        <is>
          <t>DALARNAS LÄN</t>
        </is>
      </c>
      <c r="E425" t="inlineStr">
        <is>
          <t>ORSA</t>
        </is>
      </c>
      <c r="G425" t="n">
        <v>5.5</v>
      </c>
      <c r="H425" t="n">
        <v>0</v>
      </c>
      <c r="I425" t="n">
        <v>0</v>
      </c>
      <c r="J425" t="n">
        <v>0</v>
      </c>
      <c r="K425" t="n">
        <v>0</v>
      </c>
      <c r="L425" t="n">
        <v>0</v>
      </c>
      <c r="M425" t="n">
        <v>0</v>
      </c>
      <c r="N425" t="n">
        <v>0</v>
      </c>
      <c r="O425" t="n">
        <v>0</v>
      </c>
      <c r="P425" t="n">
        <v>0</v>
      </c>
      <c r="Q425" t="n">
        <v>0</v>
      </c>
      <c r="R425" s="2" t="inlineStr"/>
    </row>
    <row r="426" ht="15" customHeight="1">
      <c r="A426" t="inlineStr">
        <is>
          <t>A 51915-2022</t>
        </is>
      </c>
      <c r="B426" s="1" t="n">
        <v>44872.62795138889</v>
      </c>
      <c r="C426" s="1" t="n">
        <v>46181</v>
      </c>
      <c r="D426" t="inlineStr">
        <is>
          <t>DALARNAS LÄN</t>
        </is>
      </c>
      <c r="E426" t="inlineStr">
        <is>
          <t>ORSA</t>
        </is>
      </c>
      <c r="G426" t="n">
        <v>0.7</v>
      </c>
      <c r="H426" t="n">
        <v>0</v>
      </c>
      <c r="I426" t="n">
        <v>0</v>
      </c>
      <c r="J426" t="n">
        <v>0</v>
      </c>
      <c r="K426" t="n">
        <v>0</v>
      </c>
      <c r="L426" t="n">
        <v>0</v>
      </c>
      <c r="M426" t="n">
        <v>0</v>
      </c>
      <c r="N426" t="n">
        <v>0</v>
      </c>
      <c r="O426" t="n">
        <v>0</v>
      </c>
      <c r="P426" t="n">
        <v>0</v>
      </c>
      <c r="Q426" t="n">
        <v>0</v>
      </c>
      <c r="R426" s="2" t="inlineStr"/>
    </row>
    <row r="427" ht="15" customHeight="1">
      <c r="A427" t="inlineStr">
        <is>
          <t>A 59149-2025</t>
        </is>
      </c>
      <c r="B427" s="1" t="n">
        <v>45988.52844907407</v>
      </c>
      <c r="C427" s="1" t="n">
        <v>46181</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34125-2023</t>
        </is>
      </c>
      <c r="B428" s="1" t="n">
        <v>45135</v>
      </c>
      <c r="C428" s="1" t="n">
        <v>46181</v>
      </c>
      <c r="D428" t="inlineStr">
        <is>
          <t>DALARNAS LÄN</t>
        </is>
      </c>
      <c r="E428" t="inlineStr">
        <is>
          <t>ORSA</t>
        </is>
      </c>
      <c r="G428" t="n">
        <v>2.7</v>
      </c>
      <c r="H428" t="n">
        <v>0</v>
      </c>
      <c r="I428" t="n">
        <v>0</v>
      </c>
      <c r="J428" t="n">
        <v>0</v>
      </c>
      <c r="K428" t="n">
        <v>0</v>
      </c>
      <c r="L428" t="n">
        <v>0</v>
      </c>
      <c r="M428" t="n">
        <v>0</v>
      </c>
      <c r="N428" t="n">
        <v>0</v>
      </c>
      <c r="O428" t="n">
        <v>0</v>
      </c>
      <c r="P428" t="n">
        <v>0</v>
      </c>
      <c r="Q428" t="n">
        <v>0</v>
      </c>
      <c r="R428" s="2" t="inlineStr"/>
    </row>
    <row r="429" ht="15" customHeight="1">
      <c r="A429" t="inlineStr">
        <is>
          <t>A 29485-2022</t>
        </is>
      </c>
      <c r="B429" s="1" t="n">
        <v>44753</v>
      </c>
      <c r="C429" s="1" t="n">
        <v>46181</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13236-2022</t>
        </is>
      </c>
      <c r="B430" s="1" t="n">
        <v>44644.61106481482</v>
      </c>
      <c r="C430" s="1" t="n">
        <v>46181</v>
      </c>
      <c r="D430" t="inlineStr">
        <is>
          <t>DALARNAS LÄN</t>
        </is>
      </c>
      <c r="E430" t="inlineStr">
        <is>
          <t>ORSA</t>
        </is>
      </c>
      <c r="G430" t="n">
        <v>0.5</v>
      </c>
      <c r="H430" t="n">
        <v>0</v>
      </c>
      <c r="I430" t="n">
        <v>0</v>
      </c>
      <c r="J430" t="n">
        <v>0</v>
      </c>
      <c r="K430" t="n">
        <v>0</v>
      </c>
      <c r="L430" t="n">
        <v>0</v>
      </c>
      <c r="M430" t="n">
        <v>0</v>
      </c>
      <c r="N430" t="n">
        <v>0</v>
      </c>
      <c r="O430" t="n">
        <v>0</v>
      </c>
      <c r="P430" t="n">
        <v>0</v>
      </c>
      <c r="Q430" t="n">
        <v>0</v>
      </c>
      <c r="R430" s="2" t="inlineStr"/>
    </row>
    <row r="431" ht="15" customHeight="1">
      <c r="A431" t="inlineStr">
        <is>
          <t>A 60162-2025</t>
        </is>
      </c>
      <c r="B431" s="1" t="n">
        <v>45994.43018518519</v>
      </c>
      <c r="C431" s="1" t="n">
        <v>46181</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17500-2025</t>
        </is>
      </c>
      <c r="B432" s="1" t="n">
        <v>45757.54954861111</v>
      </c>
      <c r="C432" s="1" t="n">
        <v>46181</v>
      </c>
      <c r="D432" t="inlineStr">
        <is>
          <t>DALARNAS LÄN</t>
        </is>
      </c>
      <c r="E432" t="inlineStr">
        <is>
          <t>ORSA</t>
        </is>
      </c>
      <c r="G432" t="n">
        <v>1.9</v>
      </c>
      <c r="H432" t="n">
        <v>0</v>
      </c>
      <c r="I432" t="n">
        <v>0</v>
      </c>
      <c r="J432" t="n">
        <v>0</v>
      </c>
      <c r="K432" t="n">
        <v>0</v>
      </c>
      <c r="L432" t="n">
        <v>0</v>
      </c>
      <c r="M432" t="n">
        <v>0</v>
      </c>
      <c r="N432" t="n">
        <v>0</v>
      </c>
      <c r="O432" t="n">
        <v>0</v>
      </c>
      <c r="P432" t="n">
        <v>0</v>
      </c>
      <c r="Q432" t="n">
        <v>0</v>
      </c>
      <c r="R432" s="2" t="inlineStr"/>
    </row>
    <row r="433" ht="15" customHeight="1">
      <c r="A433" t="inlineStr">
        <is>
          <t>A 17521-2025</t>
        </is>
      </c>
      <c r="B433" s="1" t="n">
        <v>45757.57952546296</v>
      </c>
      <c r="C433" s="1" t="n">
        <v>46181</v>
      </c>
      <c r="D433" t="inlineStr">
        <is>
          <t>DALARNAS LÄN</t>
        </is>
      </c>
      <c r="E433" t="inlineStr">
        <is>
          <t>ORSA</t>
        </is>
      </c>
      <c r="F433" t="inlineStr">
        <is>
          <t>Bergvik skog öst AB</t>
        </is>
      </c>
      <c r="G433" t="n">
        <v>3.6</v>
      </c>
      <c r="H433" t="n">
        <v>0</v>
      </c>
      <c r="I433" t="n">
        <v>0</v>
      </c>
      <c r="J433" t="n">
        <v>0</v>
      </c>
      <c r="K433" t="n">
        <v>0</v>
      </c>
      <c r="L433" t="n">
        <v>0</v>
      </c>
      <c r="M433" t="n">
        <v>0</v>
      </c>
      <c r="N433" t="n">
        <v>0</v>
      </c>
      <c r="O433" t="n">
        <v>0</v>
      </c>
      <c r="P433" t="n">
        <v>0</v>
      </c>
      <c r="Q433" t="n">
        <v>0</v>
      </c>
      <c r="R433" s="2" t="inlineStr"/>
    </row>
    <row r="434" ht="15" customHeight="1">
      <c r="A434" t="inlineStr">
        <is>
          <t>A 59909-2025</t>
        </is>
      </c>
      <c r="B434" s="1" t="n">
        <v>45993.35644675926</v>
      </c>
      <c r="C434" s="1" t="n">
        <v>46181</v>
      </c>
      <c r="D434" t="inlineStr">
        <is>
          <t>DALARNAS LÄN</t>
        </is>
      </c>
      <c r="E434" t="inlineStr">
        <is>
          <t>ORSA</t>
        </is>
      </c>
      <c r="G434" t="n">
        <v>3.5</v>
      </c>
      <c r="H434" t="n">
        <v>0</v>
      </c>
      <c r="I434" t="n">
        <v>0</v>
      </c>
      <c r="J434" t="n">
        <v>0</v>
      </c>
      <c r="K434" t="n">
        <v>0</v>
      </c>
      <c r="L434" t="n">
        <v>0</v>
      </c>
      <c r="M434" t="n">
        <v>0</v>
      </c>
      <c r="N434" t="n">
        <v>0</v>
      </c>
      <c r="O434" t="n">
        <v>0</v>
      </c>
      <c r="P434" t="n">
        <v>0</v>
      </c>
      <c r="Q434" t="n">
        <v>0</v>
      </c>
      <c r="R434" s="2" t="inlineStr"/>
    </row>
    <row r="435" ht="15" customHeight="1">
      <c r="A435" t="inlineStr">
        <is>
          <t>A 28451-2023</t>
        </is>
      </c>
      <c r="B435" s="1" t="n">
        <v>45103.33896990741</v>
      </c>
      <c r="C435" s="1" t="n">
        <v>46181</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14128-2026</t>
        </is>
      </c>
      <c r="B436" s="1" t="n">
        <v>46099.446875</v>
      </c>
      <c r="C436" s="1" t="n">
        <v>46181</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8429-2024</t>
        </is>
      </c>
      <c r="B437" s="1" t="n">
        <v>45353.38880787037</v>
      </c>
      <c r="C437" s="1" t="n">
        <v>46181</v>
      </c>
      <c r="D437" t="inlineStr">
        <is>
          <t>DALARNAS LÄN</t>
        </is>
      </c>
      <c r="E437" t="inlineStr">
        <is>
          <t>ORSA</t>
        </is>
      </c>
      <c r="G437" t="n">
        <v>0.3</v>
      </c>
      <c r="H437" t="n">
        <v>0</v>
      </c>
      <c r="I437" t="n">
        <v>0</v>
      </c>
      <c r="J437" t="n">
        <v>0</v>
      </c>
      <c r="K437" t="n">
        <v>0</v>
      </c>
      <c r="L437" t="n">
        <v>0</v>
      </c>
      <c r="M437" t="n">
        <v>0</v>
      </c>
      <c r="N437" t="n">
        <v>0</v>
      </c>
      <c r="O437" t="n">
        <v>0</v>
      </c>
      <c r="P437" t="n">
        <v>0</v>
      </c>
      <c r="Q437" t="n">
        <v>0</v>
      </c>
      <c r="R437" s="2" t="inlineStr"/>
    </row>
    <row r="438" ht="15" customHeight="1">
      <c r="A438" t="inlineStr">
        <is>
          <t>A 13995-2026</t>
        </is>
      </c>
      <c r="B438" s="1" t="n">
        <v>46098</v>
      </c>
      <c r="C438" s="1" t="n">
        <v>46181</v>
      </c>
      <c r="D438" t="inlineStr">
        <is>
          <t>DALARNAS LÄN</t>
        </is>
      </c>
      <c r="E438" t="inlineStr">
        <is>
          <t>ORSA</t>
        </is>
      </c>
      <c r="G438" t="n">
        <v>1.2</v>
      </c>
      <c r="H438" t="n">
        <v>0</v>
      </c>
      <c r="I438" t="n">
        <v>0</v>
      </c>
      <c r="J438" t="n">
        <v>0</v>
      </c>
      <c r="K438" t="n">
        <v>0</v>
      </c>
      <c r="L438" t="n">
        <v>0</v>
      </c>
      <c r="M438" t="n">
        <v>0</v>
      </c>
      <c r="N438" t="n">
        <v>0</v>
      </c>
      <c r="O438" t="n">
        <v>0</v>
      </c>
      <c r="P438" t="n">
        <v>0</v>
      </c>
      <c r="Q438" t="n">
        <v>0</v>
      </c>
      <c r="R438" s="2" t="inlineStr"/>
    </row>
    <row r="439" ht="15" customHeight="1">
      <c r="A439" t="inlineStr">
        <is>
          <t>A 28155-2023</t>
        </is>
      </c>
      <c r="B439" s="1" t="n">
        <v>45099</v>
      </c>
      <c r="C439" s="1" t="n">
        <v>46181</v>
      </c>
      <c r="D439" t="inlineStr">
        <is>
          <t>DALARNAS LÄN</t>
        </is>
      </c>
      <c r="E439" t="inlineStr">
        <is>
          <t>ORSA</t>
        </is>
      </c>
      <c r="F439" t="inlineStr">
        <is>
          <t>Bergvik skog öst AB</t>
        </is>
      </c>
      <c r="G439" t="n">
        <v>7.8</v>
      </c>
      <c r="H439" t="n">
        <v>0</v>
      </c>
      <c r="I439" t="n">
        <v>0</v>
      </c>
      <c r="J439" t="n">
        <v>0</v>
      </c>
      <c r="K439" t="n">
        <v>0</v>
      </c>
      <c r="L439" t="n">
        <v>0</v>
      </c>
      <c r="M439" t="n">
        <v>0</v>
      </c>
      <c r="N439" t="n">
        <v>0</v>
      </c>
      <c r="O439" t="n">
        <v>0</v>
      </c>
      <c r="P439" t="n">
        <v>0</v>
      </c>
      <c r="Q439" t="n">
        <v>0</v>
      </c>
      <c r="R439" s="2" t="inlineStr"/>
    </row>
    <row r="440" ht="15" customHeight="1">
      <c r="A440" t="inlineStr">
        <is>
          <t>A 51567-2023</t>
        </is>
      </c>
      <c r="B440" s="1" t="n">
        <v>45222.44800925926</v>
      </c>
      <c r="C440" s="1" t="n">
        <v>46181</v>
      </c>
      <c r="D440" t="inlineStr">
        <is>
          <t>DALARNAS LÄN</t>
        </is>
      </c>
      <c r="E440" t="inlineStr">
        <is>
          <t>ORSA</t>
        </is>
      </c>
      <c r="G440" t="n">
        <v>0.7</v>
      </c>
      <c r="H440" t="n">
        <v>0</v>
      </c>
      <c r="I440" t="n">
        <v>0</v>
      </c>
      <c r="J440" t="n">
        <v>0</v>
      </c>
      <c r="K440" t="n">
        <v>0</v>
      </c>
      <c r="L440" t="n">
        <v>0</v>
      </c>
      <c r="M440" t="n">
        <v>0</v>
      </c>
      <c r="N440" t="n">
        <v>0</v>
      </c>
      <c r="O440" t="n">
        <v>0</v>
      </c>
      <c r="P440" t="n">
        <v>0</v>
      </c>
      <c r="Q440" t="n">
        <v>0</v>
      </c>
      <c r="R440" s="2" t="inlineStr"/>
    </row>
    <row r="441" ht="15" customHeight="1">
      <c r="A441" t="inlineStr">
        <is>
          <t>A 58007-2025</t>
        </is>
      </c>
      <c r="B441" s="1" t="n">
        <v>45982.44907407407</v>
      </c>
      <c r="C441" s="1" t="n">
        <v>46181</v>
      </c>
      <c r="D441" t="inlineStr">
        <is>
          <t>DALARNAS LÄN</t>
        </is>
      </c>
      <c r="E441" t="inlineStr">
        <is>
          <t>ORSA</t>
        </is>
      </c>
      <c r="G441" t="n">
        <v>1.8</v>
      </c>
      <c r="H441" t="n">
        <v>0</v>
      </c>
      <c r="I441" t="n">
        <v>0</v>
      </c>
      <c r="J441" t="n">
        <v>0</v>
      </c>
      <c r="K441" t="n">
        <v>0</v>
      </c>
      <c r="L441" t="n">
        <v>0</v>
      </c>
      <c r="M441" t="n">
        <v>0</v>
      </c>
      <c r="N441" t="n">
        <v>0</v>
      </c>
      <c r="O441" t="n">
        <v>0</v>
      </c>
      <c r="P441" t="n">
        <v>0</v>
      </c>
      <c r="Q441" t="n">
        <v>0</v>
      </c>
      <c r="R441" s="2" t="inlineStr"/>
    </row>
    <row r="442" ht="15" customHeight="1">
      <c r="A442" t="inlineStr">
        <is>
          <t>A 48516-2024</t>
        </is>
      </c>
      <c r="B442" s="1" t="n">
        <v>45593.31292824074</v>
      </c>
      <c r="C442" s="1" t="n">
        <v>46181</v>
      </c>
      <c r="D442" t="inlineStr">
        <is>
          <t>DALARNAS LÄN</t>
        </is>
      </c>
      <c r="E442" t="inlineStr">
        <is>
          <t>ORSA</t>
        </is>
      </c>
      <c r="G442" t="n">
        <v>3.3</v>
      </c>
      <c r="H442" t="n">
        <v>0</v>
      </c>
      <c r="I442" t="n">
        <v>0</v>
      </c>
      <c r="J442" t="n">
        <v>0</v>
      </c>
      <c r="K442" t="n">
        <v>0</v>
      </c>
      <c r="L442" t="n">
        <v>0</v>
      </c>
      <c r="M442" t="n">
        <v>0</v>
      </c>
      <c r="N442" t="n">
        <v>0</v>
      </c>
      <c r="O442" t="n">
        <v>0</v>
      </c>
      <c r="P442" t="n">
        <v>0</v>
      </c>
      <c r="Q442" t="n">
        <v>0</v>
      </c>
      <c r="R442" s="2" t="inlineStr"/>
    </row>
    <row r="443" ht="15" customHeight="1">
      <c r="A443" t="inlineStr">
        <is>
          <t>A 31170-2023</t>
        </is>
      </c>
      <c r="B443" s="1" t="n">
        <v>45113.84923611111</v>
      </c>
      <c r="C443" s="1" t="n">
        <v>46181</v>
      </c>
      <c r="D443" t="inlineStr">
        <is>
          <t>DALARNAS LÄN</t>
        </is>
      </c>
      <c r="E443" t="inlineStr">
        <is>
          <t>ORSA</t>
        </is>
      </c>
      <c r="G443" t="n">
        <v>2.1</v>
      </c>
      <c r="H443" t="n">
        <v>0</v>
      </c>
      <c r="I443" t="n">
        <v>0</v>
      </c>
      <c r="J443" t="n">
        <v>0</v>
      </c>
      <c r="K443" t="n">
        <v>0</v>
      </c>
      <c r="L443" t="n">
        <v>0</v>
      </c>
      <c r="M443" t="n">
        <v>0</v>
      </c>
      <c r="N443" t="n">
        <v>0</v>
      </c>
      <c r="O443" t="n">
        <v>0</v>
      </c>
      <c r="P443" t="n">
        <v>0</v>
      </c>
      <c r="Q443" t="n">
        <v>0</v>
      </c>
      <c r="R443" s="2" t="inlineStr"/>
    </row>
    <row r="444" ht="15" customHeight="1">
      <c r="A444" t="inlineStr">
        <is>
          <t>A 31172-2023</t>
        </is>
      </c>
      <c r="B444" s="1" t="n">
        <v>45113.8637037037</v>
      </c>
      <c r="C444" s="1" t="n">
        <v>46181</v>
      </c>
      <c r="D444" t="inlineStr">
        <is>
          <t>DALARNAS LÄN</t>
        </is>
      </c>
      <c r="E444" t="inlineStr">
        <is>
          <t>ORSA</t>
        </is>
      </c>
      <c r="G444" t="n">
        <v>2.9</v>
      </c>
      <c r="H444" t="n">
        <v>0</v>
      </c>
      <c r="I444" t="n">
        <v>0</v>
      </c>
      <c r="J444" t="n">
        <v>0</v>
      </c>
      <c r="K444" t="n">
        <v>0</v>
      </c>
      <c r="L444" t="n">
        <v>0</v>
      </c>
      <c r="M444" t="n">
        <v>0</v>
      </c>
      <c r="N444" t="n">
        <v>0</v>
      </c>
      <c r="O444" t="n">
        <v>0</v>
      </c>
      <c r="P444" t="n">
        <v>0</v>
      </c>
      <c r="Q444" t="n">
        <v>0</v>
      </c>
      <c r="R444" s="2" t="inlineStr"/>
    </row>
    <row r="445" ht="15" customHeight="1">
      <c r="A445" t="inlineStr">
        <is>
          <t>A 47134-2024</t>
        </is>
      </c>
      <c r="B445" s="1" t="n">
        <v>45586.58081018519</v>
      </c>
      <c r="C445" s="1" t="n">
        <v>46181</v>
      </c>
      <c r="D445" t="inlineStr">
        <is>
          <t>DALARNAS LÄN</t>
        </is>
      </c>
      <c r="E445" t="inlineStr">
        <is>
          <t>ORSA</t>
        </is>
      </c>
      <c r="G445" t="n">
        <v>0.3</v>
      </c>
      <c r="H445" t="n">
        <v>0</v>
      </c>
      <c r="I445" t="n">
        <v>0</v>
      </c>
      <c r="J445" t="n">
        <v>0</v>
      </c>
      <c r="K445" t="n">
        <v>0</v>
      </c>
      <c r="L445" t="n">
        <v>0</v>
      </c>
      <c r="M445" t="n">
        <v>0</v>
      </c>
      <c r="N445" t="n">
        <v>0</v>
      </c>
      <c r="O445" t="n">
        <v>0</v>
      </c>
      <c r="P445" t="n">
        <v>0</v>
      </c>
      <c r="Q445" t="n">
        <v>0</v>
      </c>
      <c r="R445" s="2" t="inlineStr"/>
    </row>
    <row r="446" ht="15" customHeight="1">
      <c r="A446" t="inlineStr">
        <is>
          <t>A 51551-2025</t>
        </is>
      </c>
      <c r="B446" s="1" t="n">
        <v>45950.84275462963</v>
      </c>
      <c r="C446" s="1" t="n">
        <v>46181</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58793-2023</t>
        </is>
      </c>
      <c r="B447" s="1" t="n">
        <v>45252.34607638889</v>
      </c>
      <c r="C447" s="1" t="n">
        <v>46181</v>
      </c>
      <c r="D447" t="inlineStr">
        <is>
          <t>DALARNAS LÄN</t>
        </is>
      </c>
      <c r="E447" t="inlineStr">
        <is>
          <t>ORSA</t>
        </is>
      </c>
      <c r="G447" t="n">
        <v>2.2</v>
      </c>
      <c r="H447" t="n">
        <v>0</v>
      </c>
      <c r="I447" t="n">
        <v>0</v>
      </c>
      <c r="J447" t="n">
        <v>0</v>
      </c>
      <c r="K447" t="n">
        <v>0</v>
      </c>
      <c r="L447" t="n">
        <v>0</v>
      </c>
      <c r="M447" t="n">
        <v>0</v>
      </c>
      <c r="N447" t="n">
        <v>0</v>
      </c>
      <c r="O447" t="n">
        <v>0</v>
      </c>
      <c r="P447" t="n">
        <v>0</v>
      </c>
      <c r="Q447" t="n">
        <v>0</v>
      </c>
      <c r="R447" s="2" t="inlineStr"/>
    </row>
    <row r="448" ht="15" customHeight="1">
      <c r="A448" t="inlineStr">
        <is>
          <t>A 15870-2025</t>
        </is>
      </c>
      <c r="B448" s="1" t="n">
        <v>45749.37135416667</v>
      </c>
      <c r="C448" s="1" t="n">
        <v>46181</v>
      </c>
      <c r="D448" t="inlineStr">
        <is>
          <t>DALARNAS LÄN</t>
        </is>
      </c>
      <c r="E448" t="inlineStr">
        <is>
          <t>ORSA</t>
        </is>
      </c>
      <c r="F448" t="inlineStr">
        <is>
          <t>Bergvik skog öst AB</t>
        </is>
      </c>
      <c r="G448" t="n">
        <v>2.7</v>
      </c>
      <c r="H448" t="n">
        <v>0</v>
      </c>
      <c r="I448" t="n">
        <v>0</v>
      </c>
      <c r="J448" t="n">
        <v>0</v>
      </c>
      <c r="K448" t="n">
        <v>0</v>
      </c>
      <c r="L448" t="n">
        <v>0</v>
      </c>
      <c r="M448" t="n">
        <v>0</v>
      </c>
      <c r="N448" t="n">
        <v>0</v>
      </c>
      <c r="O448" t="n">
        <v>0</v>
      </c>
      <c r="P448" t="n">
        <v>0</v>
      </c>
      <c r="Q448" t="n">
        <v>0</v>
      </c>
      <c r="R448" s="2" t="inlineStr"/>
    </row>
    <row r="449" ht="15" customHeight="1">
      <c r="A449" t="inlineStr">
        <is>
          <t>A 60837-2025</t>
        </is>
      </c>
      <c r="B449" s="1" t="n">
        <v>45999.47630787037</v>
      </c>
      <c r="C449" s="1" t="n">
        <v>46181</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55701-2023</t>
        </is>
      </c>
      <c r="B450" s="1" t="n">
        <v>45239.37113425926</v>
      </c>
      <c r="C450" s="1" t="n">
        <v>46181</v>
      </c>
      <c r="D450" t="inlineStr">
        <is>
          <t>DALARNAS LÄN</t>
        </is>
      </c>
      <c r="E450" t="inlineStr">
        <is>
          <t>ORSA</t>
        </is>
      </c>
      <c r="G450" t="n">
        <v>1.7</v>
      </c>
      <c r="H450" t="n">
        <v>0</v>
      </c>
      <c r="I450" t="n">
        <v>0</v>
      </c>
      <c r="J450" t="n">
        <v>0</v>
      </c>
      <c r="K450" t="n">
        <v>0</v>
      </c>
      <c r="L450" t="n">
        <v>0</v>
      </c>
      <c r="M450" t="n">
        <v>0</v>
      </c>
      <c r="N450" t="n">
        <v>0</v>
      </c>
      <c r="O450" t="n">
        <v>0</v>
      </c>
      <c r="P450" t="n">
        <v>0</v>
      </c>
      <c r="Q450" t="n">
        <v>0</v>
      </c>
      <c r="R450" s="2" t="inlineStr"/>
    </row>
    <row r="451" ht="15" customHeight="1">
      <c r="A451" t="inlineStr">
        <is>
          <t>A 54121-2025</t>
        </is>
      </c>
      <c r="B451" s="1" t="n">
        <v>45964.45186342593</v>
      </c>
      <c r="C451" s="1" t="n">
        <v>46181</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31171-2023</t>
        </is>
      </c>
      <c r="B452" s="1" t="n">
        <v>45113.85704861111</v>
      </c>
      <c r="C452" s="1" t="n">
        <v>46181</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2563-2025</t>
        </is>
      </c>
      <c r="B453" s="1" t="n">
        <v>45674.65692129629</v>
      </c>
      <c r="C453" s="1" t="n">
        <v>46181</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11784-2024</t>
        </is>
      </c>
      <c r="B454" s="1" t="n">
        <v>45374.67886574074</v>
      </c>
      <c r="C454" s="1" t="n">
        <v>46181</v>
      </c>
      <c r="D454" t="inlineStr">
        <is>
          <t>DALARNAS LÄN</t>
        </is>
      </c>
      <c r="E454" t="inlineStr">
        <is>
          <t>ORSA</t>
        </is>
      </c>
      <c r="G454" t="n">
        <v>1.7</v>
      </c>
      <c r="H454" t="n">
        <v>0</v>
      </c>
      <c r="I454" t="n">
        <v>0</v>
      </c>
      <c r="J454" t="n">
        <v>0</v>
      </c>
      <c r="K454" t="n">
        <v>0</v>
      </c>
      <c r="L454" t="n">
        <v>0</v>
      </c>
      <c r="M454" t="n">
        <v>0</v>
      </c>
      <c r="N454" t="n">
        <v>0</v>
      </c>
      <c r="O454" t="n">
        <v>0</v>
      </c>
      <c r="P454" t="n">
        <v>0</v>
      </c>
      <c r="Q454" t="n">
        <v>0</v>
      </c>
      <c r="R454" s="2" t="inlineStr"/>
    </row>
    <row r="455" ht="15" customHeight="1">
      <c r="A455" t="inlineStr">
        <is>
          <t>A 48819-2024</t>
        </is>
      </c>
      <c r="B455" s="1" t="n">
        <v>45593.67824074074</v>
      </c>
      <c r="C455" s="1" t="n">
        <v>46181</v>
      </c>
      <c r="D455" t="inlineStr">
        <is>
          <t>DALARNAS LÄN</t>
        </is>
      </c>
      <c r="E455" t="inlineStr">
        <is>
          <t>ORSA</t>
        </is>
      </c>
      <c r="G455" t="n">
        <v>5</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46181</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22911-2023</t>
        </is>
      </c>
      <c r="B457" s="1" t="n">
        <v>45072</v>
      </c>
      <c r="C457" s="1" t="n">
        <v>46181</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45203.42181712963</v>
      </c>
      <c r="C458" s="1" t="n">
        <v>46181</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48447-2023</t>
        </is>
      </c>
      <c r="B459" s="1" t="n">
        <v>45206.39274305556</v>
      </c>
      <c r="C459" s="1" t="n">
        <v>46181</v>
      </c>
      <c r="D459" t="inlineStr">
        <is>
          <t>DALARNAS LÄN</t>
        </is>
      </c>
      <c r="E459" t="inlineStr">
        <is>
          <t>ORSA</t>
        </is>
      </c>
      <c r="G459" t="n">
        <v>0.6</v>
      </c>
      <c r="H459" t="n">
        <v>0</v>
      </c>
      <c r="I459" t="n">
        <v>0</v>
      </c>
      <c r="J459" t="n">
        <v>0</v>
      </c>
      <c r="K459" t="n">
        <v>0</v>
      </c>
      <c r="L459" t="n">
        <v>0</v>
      </c>
      <c r="M459" t="n">
        <v>0</v>
      </c>
      <c r="N459" t="n">
        <v>0</v>
      </c>
      <c r="O459" t="n">
        <v>0</v>
      </c>
      <c r="P459" t="n">
        <v>0</v>
      </c>
      <c r="Q459" t="n">
        <v>0</v>
      </c>
      <c r="R459" s="2" t="inlineStr"/>
    </row>
    <row r="460" ht="15" customHeight="1">
      <c r="A460" t="inlineStr">
        <is>
          <t>A 35477-2023</t>
        </is>
      </c>
      <c r="B460" s="1" t="n">
        <v>45146</v>
      </c>
      <c r="C460" s="1" t="n">
        <v>46181</v>
      </c>
      <c r="D460" t="inlineStr">
        <is>
          <t>DALARNAS LÄN</t>
        </is>
      </c>
      <c r="E460" t="inlineStr">
        <is>
          <t>ORSA</t>
        </is>
      </c>
      <c r="G460" t="n">
        <v>7.7</v>
      </c>
      <c r="H460" t="n">
        <v>0</v>
      </c>
      <c r="I460" t="n">
        <v>0</v>
      </c>
      <c r="J460" t="n">
        <v>0</v>
      </c>
      <c r="K460" t="n">
        <v>0</v>
      </c>
      <c r="L460" t="n">
        <v>0</v>
      </c>
      <c r="M460" t="n">
        <v>0</v>
      </c>
      <c r="N460" t="n">
        <v>0</v>
      </c>
      <c r="O460" t="n">
        <v>0</v>
      </c>
      <c r="P460" t="n">
        <v>0</v>
      </c>
      <c r="Q460" t="n">
        <v>0</v>
      </c>
      <c r="R460" s="2" t="inlineStr"/>
    </row>
    <row r="461" ht="15" customHeight="1">
      <c r="A461" t="inlineStr">
        <is>
          <t>A 60844-2025</t>
        </is>
      </c>
      <c r="B461" s="1" t="n">
        <v>45999.4887037037</v>
      </c>
      <c r="C461" s="1" t="n">
        <v>46181</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60945-2025</t>
        </is>
      </c>
      <c r="B462" s="1" t="n">
        <v>45999.64672453704</v>
      </c>
      <c r="C462" s="1" t="n">
        <v>46181</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6047-2023</t>
        </is>
      </c>
      <c r="B463" s="1" t="n">
        <v>44964</v>
      </c>
      <c r="C463" s="1" t="n">
        <v>46181</v>
      </c>
      <c r="D463" t="inlineStr">
        <is>
          <t>DALARNAS LÄN</t>
        </is>
      </c>
      <c r="E463" t="inlineStr">
        <is>
          <t>ORSA</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33384-2022</t>
        </is>
      </c>
      <c r="B464" s="1" t="n">
        <v>44788</v>
      </c>
      <c r="C464" s="1" t="n">
        <v>46181</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31634-2025</t>
        </is>
      </c>
      <c r="B465" s="1" t="n">
        <v>45834</v>
      </c>
      <c r="C465" s="1" t="n">
        <v>46181</v>
      </c>
      <c r="D465" t="inlineStr">
        <is>
          <t>DALARNAS LÄN</t>
        </is>
      </c>
      <c r="E465" t="inlineStr">
        <is>
          <t>ORSA</t>
        </is>
      </c>
      <c r="G465" t="n">
        <v>2</v>
      </c>
      <c r="H465" t="n">
        <v>0</v>
      </c>
      <c r="I465" t="n">
        <v>0</v>
      </c>
      <c r="J465" t="n">
        <v>0</v>
      </c>
      <c r="K465" t="n">
        <v>0</v>
      </c>
      <c r="L465" t="n">
        <v>0</v>
      </c>
      <c r="M465" t="n">
        <v>0</v>
      </c>
      <c r="N465" t="n">
        <v>0</v>
      </c>
      <c r="O465" t="n">
        <v>0</v>
      </c>
      <c r="P465" t="n">
        <v>0</v>
      </c>
      <c r="Q465" t="n">
        <v>0</v>
      </c>
      <c r="R465" s="2" t="inlineStr"/>
    </row>
    <row r="466" ht="15" customHeight="1">
      <c r="A466" t="inlineStr">
        <is>
          <t>A 23350-2024</t>
        </is>
      </c>
      <c r="B466" s="1" t="n">
        <v>45453</v>
      </c>
      <c r="C466" s="1" t="n">
        <v>46181</v>
      </c>
      <c r="D466" t="inlineStr">
        <is>
          <t>DALARNAS LÄN</t>
        </is>
      </c>
      <c r="E466" t="inlineStr">
        <is>
          <t>ORSA</t>
        </is>
      </c>
      <c r="G466" t="n">
        <v>18.7</v>
      </c>
      <c r="H466" t="n">
        <v>0</v>
      </c>
      <c r="I466" t="n">
        <v>0</v>
      </c>
      <c r="J466" t="n">
        <v>0</v>
      </c>
      <c r="K466" t="n">
        <v>0</v>
      </c>
      <c r="L466" t="n">
        <v>0</v>
      </c>
      <c r="M466" t="n">
        <v>0</v>
      </c>
      <c r="N466" t="n">
        <v>0</v>
      </c>
      <c r="O466" t="n">
        <v>0</v>
      </c>
      <c r="P466" t="n">
        <v>0</v>
      </c>
      <c r="Q466" t="n">
        <v>0</v>
      </c>
      <c r="R466" s="2" t="inlineStr"/>
    </row>
    <row r="467" ht="15" customHeight="1">
      <c r="A467" t="inlineStr">
        <is>
          <t>A 55843-2023</t>
        </is>
      </c>
      <c r="B467" s="1" t="n">
        <v>45239</v>
      </c>
      <c r="C467" s="1" t="n">
        <v>46181</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48518-2024</t>
        </is>
      </c>
      <c r="B468" s="1" t="n">
        <v>45593.31915509259</v>
      </c>
      <c r="C468" s="1" t="n">
        <v>46181</v>
      </c>
      <c r="D468" t="inlineStr">
        <is>
          <t>DALARNAS LÄN</t>
        </is>
      </c>
      <c r="E468" t="inlineStr">
        <is>
          <t>ORSA</t>
        </is>
      </c>
      <c r="G468" t="n">
        <v>1.9</v>
      </c>
      <c r="H468" t="n">
        <v>0</v>
      </c>
      <c r="I468" t="n">
        <v>0</v>
      </c>
      <c r="J468" t="n">
        <v>0</v>
      </c>
      <c r="K468" t="n">
        <v>0</v>
      </c>
      <c r="L468" t="n">
        <v>0</v>
      </c>
      <c r="M468" t="n">
        <v>0</v>
      </c>
      <c r="N468" t="n">
        <v>0</v>
      </c>
      <c r="O468" t="n">
        <v>0</v>
      </c>
      <c r="P468" t="n">
        <v>0</v>
      </c>
      <c r="Q468" t="n">
        <v>0</v>
      </c>
      <c r="R468" s="2" t="inlineStr"/>
    </row>
    <row r="469" ht="15" customHeight="1">
      <c r="A469" t="inlineStr">
        <is>
          <t>A 29025-2023</t>
        </is>
      </c>
      <c r="B469" s="1" t="n">
        <v>45104.70399305555</v>
      </c>
      <c r="C469" s="1" t="n">
        <v>46181</v>
      </c>
      <c r="D469" t="inlineStr">
        <is>
          <t>DALARNAS LÄN</t>
        </is>
      </c>
      <c r="E469" t="inlineStr">
        <is>
          <t>ORSA</t>
        </is>
      </c>
      <c r="G469" t="n">
        <v>6.6</v>
      </c>
      <c r="H469" t="n">
        <v>0</v>
      </c>
      <c r="I469" t="n">
        <v>0</v>
      </c>
      <c r="J469" t="n">
        <v>0</v>
      </c>
      <c r="K469" t="n">
        <v>0</v>
      </c>
      <c r="L469" t="n">
        <v>0</v>
      </c>
      <c r="M469" t="n">
        <v>0</v>
      </c>
      <c r="N469" t="n">
        <v>0</v>
      </c>
      <c r="O469" t="n">
        <v>0</v>
      </c>
      <c r="P469" t="n">
        <v>0</v>
      </c>
      <c r="Q469" t="n">
        <v>0</v>
      </c>
      <c r="R469" s="2" t="inlineStr"/>
    </row>
    <row r="470" ht="15" customHeight="1">
      <c r="A470" t="inlineStr">
        <is>
          <t>A 14509-2026</t>
        </is>
      </c>
      <c r="B470" s="1" t="n">
        <v>46100.63200231481</v>
      </c>
      <c r="C470" s="1" t="n">
        <v>46181</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14680-2023</t>
        </is>
      </c>
      <c r="B471" s="1" t="n">
        <v>45014.30054398148</v>
      </c>
      <c r="C471" s="1" t="n">
        <v>46181</v>
      </c>
      <c r="D471" t="inlineStr">
        <is>
          <t>DALARNAS LÄN</t>
        </is>
      </c>
      <c r="E471" t="inlineStr">
        <is>
          <t>ORSA</t>
        </is>
      </c>
      <c r="G471" t="n">
        <v>4.2</v>
      </c>
      <c r="H471" t="n">
        <v>0</v>
      </c>
      <c r="I471" t="n">
        <v>0</v>
      </c>
      <c r="J471" t="n">
        <v>0</v>
      </c>
      <c r="K471" t="n">
        <v>0</v>
      </c>
      <c r="L471" t="n">
        <v>0</v>
      </c>
      <c r="M471" t="n">
        <v>0</v>
      </c>
      <c r="N471" t="n">
        <v>0</v>
      </c>
      <c r="O471" t="n">
        <v>0</v>
      </c>
      <c r="P471" t="n">
        <v>0</v>
      </c>
      <c r="Q471" t="n">
        <v>0</v>
      </c>
      <c r="R471" s="2" t="inlineStr"/>
    </row>
    <row r="472" ht="15" customHeight="1">
      <c r="A472" t="inlineStr">
        <is>
          <t>A 62773-2025</t>
        </is>
      </c>
      <c r="B472" s="1" t="n">
        <v>46008.60548611111</v>
      </c>
      <c r="C472" s="1" t="n">
        <v>46181</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62808-2025</t>
        </is>
      </c>
      <c r="B473" s="1" t="n">
        <v>46008.64555555556</v>
      </c>
      <c r="C473" s="1" t="n">
        <v>46181</v>
      </c>
      <c r="D473" t="inlineStr">
        <is>
          <t>DALARNAS LÄN</t>
        </is>
      </c>
      <c r="E473" t="inlineStr">
        <is>
          <t>ORSA</t>
        </is>
      </c>
      <c r="G473" t="n">
        <v>4.4</v>
      </c>
      <c r="H473" t="n">
        <v>0</v>
      </c>
      <c r="I473" t="n">
        <v>0</v>
      </c>
      <c r="J473" t="n">
        <v>0</v>
      </c>
      <c r="K473" t="n">
        <v>0</v>
      </c>
      <c r="L473" t="n">
        <v>0</v>
      </c>
      <c r="M473" t="n">
        <v>0</v>
      </c>
      <c r="N473" t="n">
        <v>0</v>
      </c>
      <c r="O473" t="n">
        <v>0</v>
      </c>
      <c r="P473" t="n">
        <v>0</v>
      </c>
      <c r="Q473" t="n">
        <v>0</v>
      </c>
      <c r="R473" s="2" t="inlineStr"/>
    </row>
    <row r="474" ht="15" customHeight="1">
      <c r="A474" t="inlineStr">
        <is>
          <t>A 62830-2025</t>
        </is>
      </c>
      <c r="B474" s="1" t="n">
        <v>46008.67211805555</v>
      </c>
      <c r="C474" s="1" t="n">
        <v>46181</v>
      </c>
      <c r="D474" t="inlineStr">
        <is>
          <t>DALARNAS LÄN</t>
        </is>
      </c>
      <c r="E474" t="inlineStr">
        <is>
          <t>ORSA</t>
        </is>
      </c>
      <c r="G474" t="n">
        <v>1.2</v>
      </c>
      <c r="H474" t="n">
        <v>0</v>
      </c>
      <c r="I474" t="n">
        <v>0</v>
      </c>
      <c r="J474" t="n">
        <v>0</v>
      </c>
      <c r="K474" t="n">
        <v>0</v>
      </c>
      <c r="L474" t="n">
        <v>0</v>
      </c>
      <c r="M474" t="n">
        <v>0</v>
      </c>
      <c r="N474" t="n">
        <v>0</v>
      </c>
      <c r="O474" t="n">
        <v>0</v>
      </c>
      <c r="P474" t="n">
        <v>0</v>
      </c>
      <c r="Q474" t="n">
        <v>0</v>
      </c>
      <c r="R474" s="2" t="inlineStr"/>
    </row>
    <row r="475" ht="15" customHeight="1">
      <c r="A475" t="inlineStr">
        <is>
          <t>A 62832-2025</t>
        </is>
      </c>
      <c r="B475" s="1" t="n">
        <v>46008.67696759259</v>
      </c>
      <c r="C475" s="1" t="n">
        <v>46181</v>
      </c>
      <c r="D475" t="inlineStr">
        <is>
          <t>DALARNAS LÄN</t>
        </is>
      </c>
      <c r="E475" t="inlineStr">
        <is>
          <t>ORSA</t>
        </is>
      </c>
      <c r="G475" t="n">
        <v>1.9</v>
      </c>
      <c r="H475" t="n">
        <v>0</v>
      </c>
      <c r="I475" t="n">
        <v>0</v>
      </c>
      <c r="J475" t="n">
        <v>0</v>
      </c>
      <c r="K475" t="n">
        <v>0</v>
      </c>
      <c r="L475" t="n">
        <v>0</v>
      </c>
      <c r="M475" t="n">
        <v>0</v>
      </c>
      <c r="N475" t="n">
        <v>0</v>
      </c>
      <c r="O475" t="n">
        <v>0</v>
      </c>
      <c r="P475" t="n">
        <v>0</v>
      </c>
      <c r="Q475" t="n">
        <v>0</v>
      </c>
      <c r="R475" s="2" t="inlineStr"/>
    </row>
    <row r="476" ht="15" customHeight="1">
      <c r="A476" t="inlineStr">
        <is>
          <t>A 57533-2022</t>
        </is>
      </c>
      <c r="B476" s="1" t="n">
        <v>44896.68393518519</v>
      </c>
      <c r="C476" s="1" t="n">
        <v>46181</v>
      </c>
      <c r="D476" t="inlineStr">
        <is>
          <t>DALARNAS LÄN</t>
        </is>
      </c>
      <c r="E476" t="inlineStr">
        <is>
          <t>ORSA</t>
        </is>
      </c>
      <c r="F476" t="inlineStr">
        <is>
          <t>Bergvik skog öst AB</t>
        </is>
      </c>
      <c r="G476" t="n">
        <v>2.2</v>
      </c>
      <c r="H476" t="n">
        <v>0</v>
      </c>
      <c r="I476" t="n">
        <v>0</v>
      </c>
      <c r="J476" t="n">
        <v>0</v>
      </c>
      <c r="K476" t="n">
        <v>0</v>
      </c>
      <c r="L476" t="n">
        <v>0</v>
      </c>
      <c r="M476" t="n">
        <v>0</v>
      </c>
      <c r="N476" t="n">
        <v>0</v>
      </c>
      <c r="O476" t="n">
        <v>0</v>
      </c>
      <c r="P476" t="n">
        <v>0</v>
      </c>
      <c r="Q476" t="n">
        <v>0</v>
      </c>
      <c r="R476" s="2" t="inlineStr"/>
    </row>
    <row r="477" ht="15" customHeight="1">
      <c r="A477" t="inlineStr">
        <is>
          <t>A 10522-2026</t>
        </is>
      </c>
      <c r="B477" s="1" t="n">
        <v>46077</v>
      </c>
      <c r="C477" s="1" t="n">
        <v>46181</v>
      </c>
      <c r="D477" t="inlineStr">
        <is>
          <t>DALARNAS LÄN</t>
        </is>
      </c>
      <c r="E477" t="inlineStr">
        <is>
          <t>ORSA</t>
        </is>
      </c>
      <c r="F477" t="inlineStr">
        <is>
          <t>Bergvik skog öst AB</t>
        </is>
      </c>
      <c r="G477" t="n">
        <v>13.7</v>
      </c>
      <c r="H477" t="n">
        <v>0</v>
      </c>
      <c r="I477" t="n">
        <v>0</v>
      </c>
      <c r="J477" t="n">
        <v>0</v>
      </c>
      <c r="K477" t="n">
        <v>0</v>
      </c>
      <c r="L477" t="n">
        <v>0</v>
      </c>
      <c r="M477" t="n">
        <v>0</v>
      </c>
      <c r="N477" t="n">
        <v>0</v>
      </c>
      <c r="O477" t="n">
        <v>0</v>
      </c>
      <c r="P477" t="n">
        <v>0</v>
      </c>
      <c r="Q477" t="n">
        <v>0</v>
      </c>
      <c r="R477" s="2" t="inlineStr"/>
    </row>
    <row r="478" ht="15" customHeight="1">
      <c r="A478" t="inlineStr">
        <is>
          <t>A 62778-2025</t>
        </is>
      </c>
      <c r="B478" s="1" t="n">
        <v>46008.61351851852</v>
      </c>
      <c r="C478" s="1" t="n">
        <v>46181</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62810-2025</t>
        </is>
      </c>
      <c r="B479" s="1" t="n">
        <v>46008.64875</v>
      </c>
      <c r="C479" s="1" t="n">
        <v>46181</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62858-2025</t>
        </is>
      </c>
      <c r="B480" s="1" t="n">
        <v>46008.74334490741</v>
      </c>
      <c r="C480" s="1" t="n">
        <v>46181</v>
      </c>
      <c r="D480" t="inlineStr">
        <is>
          <t>DALARNAS LÄN</t>
        </is>
      </c>
      <c r="E480" t="inlineStr">
        <is>
          <t>ORSA</t>
        </is>
      </c>
      <c r="G480" t="n">
        <v>5</v>
      </c>
      <c r="H480" t="n">
        <v>0</v>
      </c>
      <c r="I480" t="n">
        <v>0</v>
      </c>
      <c r="J480" t="n">
        <v>0</v>
      </c>
      <c r="K480" t="n">
        <v>0</v>
      </c>
      <c r="L480" t="n">
        <v>0</v>
      </c>
      <c r="M480" t="n">
        <v>0</v>
      </c>
      <c r="N480" t="n">
        <v>0</v>
      </c>
      <c r="O480" t="n">
        <v>0</v>
      </c>
      <c r="P480" t="n">
        <v>0</v>
      </c>
      <c r="Q480" t="n">
        <v>0</v>
      </c>
      <c r="R480" s="2" t="inlineStr"/>
    </row>
    <row r="481" ht="15" customHeight="1">
      <c r="A481" t="inlineStr">
        <is>
          <t>A 20615-2026</t>
        </is>
      </c>
      <c r="B481" s="1" t="n">
        <v>46140</v>
      </c>
      <c r="C481" s="1" t="n">
        <v>46181</v>
      </c>
      <c r="D481" t="inlineStr">
        <is>
          <t>DALARNAS LÄN</t>
        </is>
      </c>
      <c r="E481" t="inlineStr">
        <is>
          <t>ORSA</t>
        </is>
      </c>
      <c r="G481" t="n">
        <v>1.1</v>
      </c>
      <c r="H481" t="n">
        <v>0</v>
      </c>
      <c r="I481" t="n">
        <v>0</v>
      </c>
      <c r="J481" t="n">
        <v>0</v>
      </c>
      <c r="K481" t="n">
        <v>0</v>
      </c>
      <c r="L481" t="n">
        <v>0</v>
      </c>
      <c r="M481" t="n">
        <v>0</v>
      </c>
      <c r="N481" t="n">
        <v>0</v>
      </c>
      <c r="O481" t="n">
        <v>0</v>
      </c>
      <c r="P481" t="n">
        <v>0</v>
      </c>
      <c r="Q481" t="n">
        <v>0</v>
      </c>
      <c r="R481" s="2" t="inlineStr"/>
    </row>
    <row r="482" ht="15" customHeight="1">
      <c r="A482" t="inlineStr">
        <is>
          <t>A 8430-2024</t>
        </is>
      </c>
      <c r="B482" s="1" t="n">
        <v>45353.41157407407</v>
      </c>
      <c r="C482" s="1" t="n">
        <v>46181</v>
      </c>
      <c r="D482" t="inlineStr">
        <is>
          <t>DALARNAS LÄN</t>
        </is>
      </c>
      <c r="E482" t="inlineStr">
        <is>
          <t>ORSA</t>
        </is>
      </c>
      <c r="G482" t="n">
        <v>14.4</v>
      </c>
      <c r="H482" t="n">
        <v>0</v>
      </c>
      <c r="I482" t="n">
        <v>0</v>
      </c>
      <c r="J482" t="n">
        <v>0</v>
      </c>
      <c r="K482" t="n">
        <v>0</v>
      </c>
      <c r="L482" t="n">
        <v>0</v>
      </c>
      <c r="M482" t="n">
        <v>0</v>
      </c>
      <c r="N482" t="n">
        <v>0</v>
      </c>
      <c r="O482" t="n">
        <v>0</v>
      </c>
      <c r="P482" t="n">
        <v>0</v>
      </c>
      <c r="Q482" t="n">
        <v>0</v>
      </c>
      <c r="R482" s="2" t="inlineStr"/>
    </row>
    <row r="483" ht="15" customHeight="1">
      <c r="A483" t="inlineStr">
        <is>
          <t>A 41832-2024</t>
        </is>
      </c>
      <c r="B483" s="1" t="n">
        <v>45561.40730324074</v>
      </c>
      <c r="C483" s="1" t="n">
        <v>46181</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36427-2023</t>
        </is>
      </c>
      <c r="B484" s="1" t="n">
        <v>45152.60333333333</v>
      </c>
      <c r="C484" s="1" t="n">
        <v>46181</v>
      </c>
      <c r="D484" t="inlineStr">
        <is>
          <t>DALARNAS LÄN</t>
        </is>
      </c>
      <c r="E484" t="inlineStr">
        <is>
          <t>ORSA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62971-2025</t>
        </is>
      </c>
      <c r="B485" s="1" t="n">
        <v>46009.46511574074</v>
      </c>
      <c r="C485" s="1" t="n">
        <v>46181</v>
      </c>
      <c r="D485" t="inlineStr">
        <is>
          <t>DALARNAS LÄN</t>
        </is>
      </c>
      <c r="E485" t="inlineStr">
        <is>
          <t>ORSA</t>
        </is>
      </c>
      <c r="G485" t="n">
        <v>2.4</v>
      </c>
      <c r="H485" t="n">
        <v>0</v>
      </c>
      <c r="I485" t="n">
        <v>0</v>
      </c>
      <c r="J485" t="n">
        <v>0</v>
      </c>
      <c r="K485" t="n">
        <v>0</v>
      </c>
      <c r="L485" t="n">
        <v>0</v>
      </c>
      <c r="M485" t="n">
        <v>0</v>
      </c>
      <c r="N485" t="n">
        <v>0</v>
      </c>
      <c r="O485" t="n">
        <v>0</v>
      </c>
      <c r="P485" t="n">
        <v>0</v>
      </c>
      <c r="Q485" t="n">
        <v>0</v>
      </c>
      <c r="R485" s="2" t="inlineStr"/>
    </row>
    <row r="486" ht="15" customHeight="1">
      <c r="A486" t="inlineStr">
        <is>
          <t>A 63209-2025</t>
        </is>
      </c>
      <c r="B486" s="1" t="n">
        <v>46010.47516203704</v>
      </c>
      <c r="C486" s="1" t="n">
        <v>46181</v>
      </c>
      <c r="D486" t="inlineStr">
        <is>
          <t>DALARNAS LÄN</t>
        </is>
      </c>
      <c r="E486" t="inlineStr">
        <is>
          <t>ORSA</t>
        </is>
      </c>
      <c r="G486" t="n">
        <v>2.4</v>
      </c>
      <c r="H486" t="n">
        <v>0</v>
      </c>
      <c r="I486" t="n">
        <v>0</v>
      </c>
      <c r="J486" t="n">
        <v>0</v>
      </c>
      <c r="K486" t="n">
        <v>0</v>
      </c>
      <c r="L486" t="n">
        <v>0</v>
      </c>
      <c r="M486" t="n">
        <v>0</v>
      </c>
      <c r="N486" t="n">
        <v>0</v>
      </c>
      <c r="O486" t="n">
        <v>0</v>
      </c>
      <c r="P486" t="n">
        <v>0</v>
      </c>
      <c r="Q486" t="n">
        <v>0</v>
      </c>
      <c r="R486" s="2" t="inlineStr"/>
    </row>
    <row r="487" ht="15" customHeight="1">
      <c r="A487" t="inlineStr">
        <is>
          <t>A 33945-2022</t>
        </is>
      </c>
      <c r="B487" s="1" t="n">
        <v>44790.66212962963</v>
      </c>
      <c r="C487" s="1" t="n">
        <v>46181</v>
      </c>
      <c r="D487" t="inlineStr">
        <is>
          <t>DALARNAS LÄN</t>
        </is>
      </c>
      <c r="E487" t="inlineStr">
        <is>
          <t>ORSA</t>
        </is>
      </c>
      <c r="F487" t="inlineStr">
        <is>
          <t>Bergvik skog öst AB</t>
        </is>
      </c>
      <c r="G487" t="n">
        <v>1.9</v>
      </c>
      <c r="H487" t="n">
        <v>0</v>
      </c>
      <c r="I487" t="n">
        <v>0</v>
      </c>
      <c r="J487" t="n">
        <v>0</v>
      </c>
      <c r="K487" t="n">
        <v>0</v>
      </c>
      <c r="L487" t="n">
        <v>0</v>
      </c>
      <c r="M487" t="n">
        <v>0</v>
      </c>
      <c r="N487" t="n">
        <v>0</v>
      </c>
      <c r="O487" t="n">
        <v>0</v>
      </c>
      <c r="P487" t="n">
        <v>0</v>
      </c>
      <c r="Q487" t="n">
        <v>0</v>
      </c>
      <c r="R487" s="2" t="inlineStr"/>
    </row>
    <row r="488" ht="15" customHeight="1">
      <c r="A488" t="inlineStr">
        <is>
          <t>A 21379-2026</t>
        </is>
      </c>
      <c r="B488" s="1" t="n">
        <v>46147.66445601852</v>
      </c>
      <c r="C488" s="1" t="n">
        <v>46181</v>
      </c>
      <c r="D488" t="inlineStr">
        <is>
          <t>DALARNAS LÄN</t>
        </is>
      </c>
      <c r="E488" t="inlineStr">
        <is>
          <t>ORSA</t>
        </is>
      </c>
      <c r="G488" t="n">
        <v>1.7</v>
      </c>
      <c r="H488" t="n">
        <v>0</v>
      </c>
      <c r="I488" t="n">
        <v>0</v>
      </c>
      <c r="J488" t="n">
        <v>0</v>
      </c>
      <c r="K488" t="n">
        <v>0</v>
      </c>
      <c r="L488" t="n">
        <v>0</v>
      </c>
      <c r="M488" t="n">
        <v>0</v>
      </c>
      <c r="N488" t="n">
        <v>0</v>
      </c>
      <c r="O488" t="n">
        <v>0</v>
      </c>
      <c r="P488" t="n">
        <v>0</v>
      </c>
      <c r="Q488" t="n">
        <v>0</v>
      </c>
      <c r="R488" s="2" t="inlineStr"/>
    </row>
    <row r="489" ht="15" customHeight="1">
      <c r="A489" t="inlineStr">
        <is>
          <t>A 63231-2025</t>
        </is>
      </c>
      <c r="B489" s="1" t="n">
        <v>46010.50851851852</v>
      </c>
      <c r="C489" s="1" t="n">
        <v>46181</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16585-2023</t>
        </is>
      </c>
      <c r="B490" s="1" t="n">
        <v>45030</v>
      </c>
      <c r="C490" s="1" t="n">
        <v>46181</v>
      </c>
      <c r="D490" t="inlineStr">
        <is>
          <t>DALARNAS LÄN</t>
        </is>
      </c>
      <c r="E490" t="inlineStr">
        <is>
          <t>ORSA</t>
        </is>
      </c>
      <c r="G490" t="n">
        <v>1</v>
      </c>
      <c r="H490" t="n">
        <v>0</v>
      </c>
      <c r="I490" t="n">
        <v>0</v>
      </c>
      <c r="J490" t="n">
        <v>0</v>
      </c>
      <c r="K490" t="n">
        <v>0</v>
      </c>
      <c r="L490" t="n">
        <v>0</v>
      </c>
      <c r="M490" t="n">
        <v>0</v>
      </c>
      <c r="N490" t="n">
        <v>0</v>
      </c>
      <c r="O490" t="n">
        <v>0</v>
      </c>
      <c r="P490" t="n">
        <v>0</v>
      </c>
      <c r="Q490" t="n">
        <v>0</v>
      </c>
      <c r="R490" s="2" t="inlineStr"/>
    </row>
    <row r="491" ht="15" customHeight="1">
      <c r="A491" t="inlineStr">
        <is>
          <t>A 63118-2025</t>
        </is>
      </c>
      <c r="B491" s="1" t="n">
        <v>46009.85609953704</v>
      </c>
      <c r="C491" s="1" t="n">
        <v>46181</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21225-2026</t>
        </is>
      </c>
      <c r="B492" s="1" t="n">
        <v>46146</v>
      </c>
      <c r="C492" s="1" t="n">
        <v>46181</v>
      </c>
      <c r="D492" t="inlineStr">
        <is>
          <t>DALARNAS LÄN</t>
        </is>
      </c>
      <c r="E492" t="inlineStr">
        <is>
          <t>ORSA</t>
        </is>
      </c>
      <c r="G492" t="n">
        <v>4.6</v>
      </c>
      <c r="H492" t="n">
        <v>0</v>
      </c>
      <c r="I492" t="n">
        <v>0</v>
      </c>
      <c r="J492" t="n">
        <v>0</v>
      </c>
      <c r="K492" t="n">
        <v>0</v>
      </c>
      <c r="L492" t="n">
        <v>0</v>
      </c>
      <c r="M492" t="n">
        <v>0</v>
      </c>
      <c r="N492" t="n">
        <v>0</v>
      </c>
      <c r="O492" t="n">
        <v>0</v>
      </c>
      <c r="P492" t="n">
        <v>0</v>
      </c>
      <c r="Q492" t="n">
        <v>0</v>
      </c>
      <c r="R492" s="2" t="inlineStr"/>
    </row>
    <row r="493" ht="15" customHeight="1">
      <c r="A493" t="inlineStr">
        <is>
          <t>A 14814-2026</t>
        </is>
      </c>
      <c r="B493" s="1" t="n">
        <v>46104</v>
      </c>
      <c r="C493" s="1" t="n">
        <v>46181</v>
      </c>
      <c r="D493" t="inlineStr">
        <is>
          <t>DALARNAS LÄN</t>
        </is>
      </c>
      <c r="E493" t="inlineStr">
        <is>
          <t>ORSA</t>
        </is>
      </c>
      <c r="G493" t="n">
        <v>14.2</v>
      </c>
      <c r="H493" t="n">
        <v>0</v>
      </c>
      <c r="I493" t="n">
        <v>0</v>
      </c>
      <c r="J493" t="n">
        <v>0</v>
      </c>
      <c r="K493" t="n">
        <v>0</v>
      </c>
      <c r="L493" t="n">
        <v>0</v>
      </c>
      <c r="M493" t="n">
        <v>0</v>
      </c>
      <c r="N493" t="n">
        <v>0</v>
      </c>
      <c r="O493" t="n">
        <v>0</v>
      </c>
      <c r="P493" t="n">
        <v>0</v>
      </c>
      <c r="Q493" t="n">
        <v>0</v>
      </c>
      <c r="R493" s="2" t="inlineStr"/>
    </row>
    <row r="494" ht="15" customHeight="1">
      <c r="A494" t="inlineStr">
        <is>
          <t>A 63467-2025</t>
        </is>
      </c>
      <c r="B494" s="1" t="n">
        <v>46013.43195601852</v>
      </c>
      <c r="C494" s="1" t="n">
        <v>46181</v>
      </c>
      <c r="D494" t="inlineStr">
        <is>
          <t>DALARNAS LÄN</t>
        </is>
      </c>
      <c r="E494" t="inlineStr">
        <is>
          <t>ORSA</t>
        </is>
      </c>
      <c r="G494" t="n">
        <v>1.6</v>
      </c>
      <c r="H494" t="n">
        <v>0</v>
      </c>
      <c r="I494" t="n">
        <v>0</v>
      </c>
      <c r="J494" t="n">
        <v>0</v>
      </c>
      <c r="K494" t="n">
        <v>0</v>
      </c>
      <c r="L494" t="n">
        <v>0</v>
      </c>
      <c r="M494" t="n">
        <v>0</v>
      </c>
      <c r="N494" t="n">
        <v>0</v>
      </c>
      <c r="O494" t="n">
        <v>0</v>
      </c>
      <c r="P494" t="n">
        <v>0</v>
      </c>
      <c r="Q494" t="n">
        <v>0</v>
      </c>
      <c r="R494" s="2" t="inlineStr"/>
    </row>
    <row r="495" ht="15" customHeight="1">
      <c r="A495" t="inlineStr">
        <is>
          <t>A 15657-2026</t>
        </is>
      </c>
      <c r="B495" s="1" t="n">
        <v>46106.66402777778</v>
      </c>
      <c r="C495" s="1" t="n">
        <v>46181</v>
      </c>
      <c r="D495" t="inlineStr">
        <is>
          <t>DALARNAS LÄN</t>
        </is>
      </c>
      <c r="E495" t="inlineStr">
        <is>
          <t>ORSA</t>
        </is>
      </c>
      <c r="G495" t="n">
        <v>1.6</v>
      </c>
      <c r="H495" t="n">
        <v>0</v>
      </c>
      <c r="I495" t="n">
        <v>0</v>
      </c>
      <c r="J495" t="n">
        <v>0</v>
      </c>
      <c r="K495" t="n">
        <v>0</v>
      </c>
      <c r="L495" t="n">
        <v>0</v>
      </c>
      <c r="M495" t="n">
        <v>0</v>
      </c>
      <c r="N495" t="n">
        <v>0</v>
      </c>
      <c r="O495" t="n">
        <v>0</v>
      </c>
      <c r="P495" t="n">
        <v>0</v>
      </c>
      <c r="Q495" t="n">
        <v>0</v>
      </c>
      <c r="R495" s="2" t="inlineStr"/>
    </row>
    <row r="496" ht="15" customHeight="1">
      <c r="A496" t="inlineStr">
        <is>
          <t>A 63790-2025</t>
        </is>
      </c>
      <c r="B496" s="1" t="n">
        <v>46019</v>
      </c>
      <c r="C496" s="1" t="n">
        <v>46181</v>
      </c>
      <c r="D496" t="inlineStr">
        <is>
          <t>DALARNAS LÄN</t>
        </is>
      </c>
      <c r="E496" t="inlineStr">
        <is>
          <t>ORSA</t>
        </is>
      </c>
      <c r="G496" t="n">
        <v>3.7</v>
      </c>
      <c r="H496" t="n">
        <v>0</v>
      </c>
      <c r="I496" t="n">
        <v>0</v>
      </c>
      <c r="J496" t="n">
        <v>0</v>
      </c>
      <c r="K496" t="n">
        <v>0</v>
      </c>
      <c r="L496" t="n">
        <v>0</v>
      </c>
      <c r="M496" t="n">
        <v>0</v>
      </c>
      <c r="N496" t="n">
        <v>0</v>
      </c>
      <c r="O496" t="n">
        <v>0</v>
      </c>
      <c r="P496" t="n">
        <v>0</v>
      </c>
      <c r="Q496" t="n">
        <v>0</v>
      </c>
      <c r="R496" s="2" t="inlineStr"/>
    </row>
    <row r="497" ht="15" customHeight="1">
      <c r="A497" t="inlineStr">
        <is>
          <t>A 10355-2026</t>
        </is>
      </c>
      <c r="B497" s="1" t="n">
        <v>46076</v>
      </c>
      <c r="C497" s="1" t="n">
        <v>46181</v>
      </c>
      <c r="D497" t="inlineStr">
        <is>
          <t>DALARNAS LÄN</t>
        </is>
      </c>
      <c r="E497" t="inlineStr">
        <is>
          <t>ORSA</t>
        </is>
      </c>
      <c r="G497" t="n">
        <v>7.7</v>
      </c>
      <c r="H497" t="n">
        <v>0</v>
      </c>
      <c r="I497" t="n">
        <v>0</v>
      </c>
      <c r="J497" t="n">
        <v>0</v>
      </c>
      <c r="K497" t="n">
        <v>0</v>
      </c>
      <c r="L497" t="n">
        <v>0</v>
      </c>
      <c r="M497" t="n">
        <v>0</v>
      </c>
      <c r="N497" t="n">
        <v>0</v>
      </c>
      <c r="O497" t="n">
        <v>0</v>
      </c>
      <c r="P497" t="n">
        <v>0</v>
      </c>
      <c r="Q497" t="n">
        <v>0</v>
      </c>
      <c r="R497" s="2" t="inlineStr"/>
    </row>
    <row r="498" ht="15" customHeight="1">
      <c r="A498" t="inlineStr">
        <is>
          <t>A 11510-2026</t>
        </is>
      </c>
      <c r="B498" s="1" t="n">
        <v>46083</v>
      </c>
      <c r="C498" s="1" t="n">
        <v>46181</v>
      </c>
      <c r="D498" t="inlineStr">
        <is>
          <t>DALARNAS LÄN</t>
        </is>
      </c>
      <c r="E498" t="inlineStr">
        <is>
          <t>ORSA</t>
        </is>
      </c>
      <c r="F498" t="inlineStr">
        <is>
          <t>Bergvik skog öst AB</t>
        </is>
      </c>
      <c r="G498" t="n">
        <v>2.7</v>
      </c>
      <c r="H498" t="n">
        <v>0</v>
      </c>
      <c r="I498" t="n">
        <v>0</v>
      </c>
      <c r="J498" t="n">
        <v>0</v>
      </c>
      <c r="K498" t="n">
        <v>0</v>
      </c>
      <c r="L498" t="n">
        <v>0</v>
      </c>
      <c r="M498" t="n">
        <v>0</v>
      </c>
      <c r="N498" t="n">
        <v>0</v>
      </c>
      <c r="O498" t="n">
        <v>0</v>
      </c>
      <c r="P498" t="n">
        <v>0</v>
      </c>
      <c r="Q498" t="n">
        <v>0</v>
      </c>
      <c r="R498" s="2" t="inlineStr"/>
    </row>
    <row r="499" ht="15" customHeight="1">
      <c r="A499" t="inlineStr">
        <is>
          <t>A 37838-2024</t>
        </is>
      </c>
      <c r="B499" s="1" t="n">
        <v>45544.36310185185</v>
      </c>
      <c r="C499" s="1" t="n">
        <v>46181</v>
      </c>
      <c r="D499" t="inlineStr">
        <is>
          <t>DALARNAS LÄN</t>
        </is>
      </c>
      <c r="E499" t="inlineStr">
        <is>
          <t>ORSA</t>
        </is>
      </c>
      <c r="G499" t="n">
        <v>2.9</v>
      </c>
      <c r="H499" t="n">
        <v>0</v>
      </c>
      <c r="I499" t="n">
        <v>0</v>
      </c>
      <c r="J499" t="n">
        <v>0</v>
      </c>
      <c r="K499" t="n">
        <v>0</v>
      </c>
      <c r="L499" t="n">
        <v>0</v>
      </c>
      <c r="M499" t="n">
        <v>0</v>
      </c>
      <c r="N499" t="n">
        <v>0</v>
      </c>
      <c r="O499" t="n">
        <v>0</v>
      </c>
      <c r="P499" t="n">
        <v>0</v>
      </c>
      <c r="Q499" t="n">
        <v>0</v>
      </c>
      <c r="R499" s="2" t="inlineStr"/>
    </row>
    <row r="500" ht="15" customHeight="1">
      <c r="A500" t="inlineStr">
        <is>
          <t>A 15628-2026</t>
        </is>
      </c>
      <c r="B500" s="1" t="n">
        <v>46106.61641203704</v>
      </c>
      <c r="C500" s="1" t="n">
        <v>46181</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21530-2026</t>
        </is>
      </c>
      <c r="B501" s="1" t="n">
        <v>46148.6219212963</v>
      </c>
      <c r="C501" s="1" t="n">
        <v>46181</v>
      </c>
      <c r="D501" t="inlineStr">
        <is>
          <t>DALARNAS LÄN</t>
        </is>
      </c>
      <c r="E501" t="inlineStr">
        <is>
          <t>ORSA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21511-2026</t>
        </is>
      </c>
      <c r="B502" s="1" t="n">
        <v>46146</v>
      </c>
      <c r="C502" s="1" t="n">
        <v>46181</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64152-2025</t>
        </is>
      </c>
      <c r="B503" s="1" t="n">
        <v>46022.60030092593</v>
      </c>
      <c r="C503" s="1" t="n">
        <v>46181</v>
      </c>
      <c r="D503" t="inlineStr">
        <is>
          <t>DALARNAS LÄN</t>
        </is>
      </c>
      <c r="E503" t="inlineStr">
        <is>
          <t>ORSA</t>
        </is>
      </c>
      <c r="G503" t="n">
        <v>5</v>
      </c>
      <c r="H503" t="n">
        <v>0</v>
      </c>
      <c r="I503" t="n">
        <v>0</v>
      </c>
      <c r="J503" t="n">
        <v>0</v>
      </c>
      <c r="K503" t="n">
        <v>0</v>
      </c>
      <c r="L503" t="n">
        <v>0</v>
      </c>
      <c r="M503" t="n">
        <v>0</v>
      </c>
      <c r="N503" t="n">
        <v>0</v>
      </c>
      <c r="O503" t="n">
        <v>0</v>
      </c>
      <c r="P503" t="n">
        <v>0</v>
      </c>
      <c r="Q503" t="n">
        <v>0</v>
      </c>
      <c r="R503" s="2" t="inlineStr"/>
    </row>
    <row r="504" ht="15" customHeight="1">
      <c r="A504" t="inlineStr">
        <is>
          <t>A 64155-2025</t>
        </is>
      </c>
      <c r="B504" s="1" t="n">
        <v>46022.6519675926</v>
      </c>
      <c r="C504" s="1" t="n">
        <v>46181</v>
      </c>
      <c r="D504" t="inlineStr">
        <is>
          <t>DALARNAS LÄN</t>
        </is>
      </c>
      <c r="E504" t="inlineStr">
        <is>
          <t>ORSA</t>
        </is>
      </c>
      <c r="G504" t="n">
        <v>7</v>
      </c>
      <c r="H504" t="n">
        <v>0</v>
      </c>
      <c r="I504" t="n">
        <v>0</v>
      </c>
      <c r="J504" t="n">
        <v>0</v>
      </c>
      <c r="K504" t="n">
        <v>0</v>
      </c>
      <c r="L504" t="n">
        <v>0</v>
      </c>
      <c r="M504" t="n">
        <v>0</v>
      </c>
      <c r="N504" t="n">
        <v>0</v>
      </c>
      <c r="O504" t="n">
        <v>0</v>
      </c>
      <c r="P504" t="n">
        <v>0</v>
      </c>
      <c r="Q504" t="n">
        <v>0</v>
      </c>
      <c r="R504" s="2" t="inlineStr"/>
    </row>
    <row r="505" ht="15" customHeight="1">
      <c r="A505" t="inlineStr">
        <is>
          <t>A 5100-2026</t>
        </is>
      </c>
      <c r="B505" s="1" t="n">
        <v>46049</v>
      </c>
      <c r="C505" s="1" t="n">
        <v>46181</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144-2026</t>
        </is>
      </c>
      <c r="B506" s="1" t="n">
        <v>46024.63174768518</v>
      </c>
      <c r="C506" s="1" t="n">
        <v>46181</v>
      </c>
      <c r="D506" t="inlineStr">
        <is>
          <t>DALARNAS LÄN</t>
        </is>
      </c>
      <c r="E506" t="inlineStr">
        <is>
          <t>ORSA</t>
        </is>
      </c>
      <c r="G506" t="n">
        <v>1.7</v>
      </c>
      <c r="H506" t="n">
        <v>0</v>
      </c>
      <c r="I506" t="n">
        <v>0</v>
      </c>
      <c r="J506" t="n">
        <v>0</v>
      </c>
      <c r="K506" t="n">
        <v>0</v>
      </c>
      <c r="L506" t="n">
        <v>0</v>
      </c>
      <c r="M506" t="n">
        <v>0</v>
      </c>
      <c r="N506" t="n">
        <v>0</v>
      </c>
      <c r="O506" t="n">
        <v>0</v>
      </c>
      <c r="P506" t="n">
        <v>0</v>
      </c>
      <c r="Q506" t="n">
        <v>0</v>
      </c>
      <c r="R506" s="2" t="inlineStr"/>
    </row>
    <row r="507" ht="15" customHeight="1">
      <c r="A507" t="inlineStr">
        <is>
          <t>A 37-2026</t>
        </is>
      </c>
      <c r="B507" s="1" t="n">
        <v>46024</v>
      </c>
      <c r="C507" s="1" t="n">
        <v>46181</v>
      </c>
      <c r="D507" t="inlineStr">
        <is>
          <t>DALARNAS LÄN</t>
        </is>
      </c>
      <c r="E507" t="inlineStr">
        <is>
          <t>ORSA</t>
        </is>
      </c>
      <c r="G507" t="n">
        <v>4.8</v>
      </c>
      <c r="H507" t="n">
        <v>0</v>
      </c>
      <c r="I507" t="n">
        <v>0</v>
      </c>
      <c r="J507" t="n">
        <v>0</v>
      </c>
      <c r="K507" t="n">
        <v>0</v>
      </c>
      <c r="L507" t="n">
        <v>0</v>
      </c>
      <c r="M507" t="n">
        <v>0</v>
      </c>
      <c r="N507" t="n">
        <v>0</v>
      </c>
      <c r="O507" t="n">
        <v>0</v>
      </c>
      <c r="P507" t="n">
        <v>0</v>
      </c>
      <c r="Q507" t="n">
        <v>0</v>
      </c>
      <c r="R507" s="2" t="inlineStr"/>
    </row>
    <row r="508" ht="15" customHeight="1">
      <c r="A508" t="inlineStr">
        <is>
          <t>A 15414-2026</t>
        </is>
      </c>
      <c r="B508" s="1" t="n">
        <v>46106.37048611111</v>
      </c>
      <c r="C508" s="1" t="n">
        <v>46181</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11454-2026</t>
        </is>
      </c>
      <c r="B509" s="1" t="n">
        <v>46083</v>
      </c>
      <c r="C509" s="1" t="n">
        <v>46181</v>
      </c>
      <c r="D509" t="inlineStr">
        <is>
          <t>DALARNAS LÄN</t>
        </is>
      </c>
      <c r="E509" t="inlineStr">
        <is>
          <t>ORSA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51-2026</t>
        </is>
      </c>
      <c r="B510" s="1" t="n">
        <v>46024</v>
      </c>
      <c r="C510" s="1" t="n">
        <v>46181</v>
      </c>
      <c r="D510" t="inlineStr">
        <is>
          <t>DALARNAS LÄN</t>
        </is>
      </c>
      <c r="E510" t="inlineStr">
        <is>
          <t>ORSA</t>
        </is>
      </c>
      <c r="G510" t="n">
        <v>2</v>
      </c>
      <c r="H510" t="n">
        <v>0</v>
      </c>
      <c r="I510" t="n">
        <v>0</v>
      </c>
      <c r="J510" t="n">
        <v>0</v>
      </c>
      <c r="K510" t="n">
        <v>0</v>
      </c>
      <c r="L510" t="n">
        <v>0</v>
      </c>
      <c r="M510" t="n">
        <v>0</v>
      </c>
      <c r="N510" t="n">
        <v>0</v>
      </c>
      <c r="O510" t="n">
        <v>0</v>
      </c>
      <c r="P510" t="n">
        <v>0</v>
      </c>
      <c r="Q510" t="n">
        <v>0</v>
      </c>
      <c r="R510" s="2" t="inlineStr"/>
    </row>
    <row r="511" ht="15" customHeight="1">
      <c r="A511" t="inlineStr">
        <is>
          <t>A 101-2026</t>
        </is>
      </c>
      <c r="B511" s="1" t="n">
        <v>46024.51534722222</v>
      </c>
      <c r="C511" s="1" t="n">
        <v>46181</v>
      </c>
      <c r="D511" t="inlineStr">
        <is>
          <t>DALARNAS LÄN</t>
        </is>
      </c>
      <c r="E511" t="inlineStr">
        <is>
          <t>ORSA</t>
        </is>
      </c>
      <c r="G511" t="n">
        <v>1.1</v>
      </c>
      <c r="H511" t="n">
        <v>0</v>
      </c>
      <c r="I511" t="n">
        <v>0</v>
      </c>
      <c r="J511" t="n">
        <v>0</v>
      </c>
      <c r="K511" t="n">
        <v>0</v>
      </c>
      <c r="L511" t="n">
        <v>0</v>
      </c>
      <c r="M511" t="n">
        <v>0</v>
      </c>
      <c r="N511" t="n">
        <v>0</v>
      </c>
      <c r="O511" t="n">
        <v>0</v>
      </c>
      <c r="P511" t="n">
        <v>0</v>
      </c>
      <c r="Q511" t="n">
        <v>0</v>
      </c>
      <c r="R511" s="2" t="inlineStr"/>
    </row>
    <row r="512" ht="15" customHeight="1">
      <c r="A512" t="inlineStr">
        <is>
          <t>A 21900-2026</t>
        </is>
      </c>
      <c r="B512" s="1" t="n">
        <v>46150.61177083333</v>
      </c>
      <c r="C512" s="1" t="n">
        <v>46181</v>
      </c>
      <c r="D512" t="inlineStr">
        <is>
          <t>DALARNAS LÄN</t>
        </is>
      </c>
      <c r="E512" t="inlineStr">
        <is>
          <t>ORSA</t>
        </is>
      </c>
      <c r="F512" t="inlineStr">
        <is>
          <t>Allmännings- och besparingsskogar</t>
        </is>
      </c>
      <c r="G512" t="n">
        <v>11.8</v>
      </c>
      <c r="H512" t="n">
        <v>0</v>
      </c>
      <c r="I512" t="n">
        <v>0</v>
      </c>
      <c r="J512" t="n">
        <v>0</v>
      </c>
      <c r="K512" t="n">
        <v>0</v>
      </c>
      <c r="L512" t="n">
        <v>0</v>
      </c>
      <c r="M512" t="n">
        <v>0</v>
      </c>
      <c r="N512" t="n">
        <v>0</v>
      </c>
      <c r="O512" t="n">
        <v>0</v>
      </c>
      <c r="P512" t="n">
        <v>0</v>
      </c>
      <c r="Q512" t="n">
        <v>0</v>
      </c>
      <c r="R512" s="2" t="inlineStr"/>
    </row>
    <row r="513" ht="15" customHeight="1">
      <c r="A513" t="inlineStr">
        <is>
          <t>A 36089-2023</t>
        </is>
      </c>
      <c r="B513" s="1" t="n">
        <v>45149.51068287037</v>
      </c>
      <c r="C513" s="1" t="n">
        <v>46181</v>
      </c>
      <c r="D513" t="inlineStr">
        <is>
          <t>DALARNAS LÄN</t>
        </is>
      </c>
      <c r="E513" t="inlineStr">
        <is>
          <t>ORSA</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46181</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52903-2024</t>
        </is>
      </c>
      <c r="B515" s="1" t="n">
        <v>45610.6875462963</v>
      </c>
      <c r="C515" s="1" t="n">
        <v>46181</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18009-2023</t>
        </is>
      </c>
      <c r="B516" s="1" t="n">
        <v>45040.56190972222</v>
      </c>
      <c r="C516" s="1" t="n">
        <v>46181</v>
      </c>
      <c r="D516" t="inlineStr">
        <is>
          <t>DALARNAS LÄN</t>
        </is>
      </c>
      <c r="E516" t="inlineStr">
        <is>
          <t>ORSA</t>
        </is>
      </c>
      <c r="G516" t="n">
        <v>5.8</v>
      </c>
      <c r="H516" t="n">
        <v>0</v>
      </c>
      <c r="I516" t="n">
        <v>0</v>
      </c>
      <c r="J516" t="n">
        <v>0</v>
      </c>
      <c r="K516" t="n">
        <v>0</v>
      </c>
      <c r="L516" t="n">
        <v>0</v>
      </c>
      <c r="M516" t="n">
        <v>0</v>
      </c>
      <c r="N516" t="n">
        <v>0</v>
      </c>
      <c r="O516" t="n">
        <v>0</v>
      </c>
      <c r="P516" t="n">
        <v>0</v>
      </c>
      <c r="Q516" t="n">
        <v>0</v>
      </c>
      <c r="R516" s="2" t="inlineStr"/>
    </row>
    <row r="517" ht="15" customHeight="1">
      <c r="A517" t="inlineStr">
        <is>
          <t>A 10049-2026</t>
        </is>
      </c>
      <c r="B517" s="1" t="n">
        <v>46073</v>
      </c>
      <c r="C517" s="1" t="n">
        <v>46181</v>
      </c>
      <c r="D517" t="inlineStr">
        <is>
          <t>DALARNAS LÄN</t>
        </is>
      </c>
      <c r="E517" t="inlineStr">
        <is>
          <t>ORSA</t>
        </is>
      </c>
      <c r="F517" t="inlineStr">
        <is>
          <t>Bergvik skog öst AB</t>
        </is>
      </c>
      <c r="G517" t="n">
        <v>4.4</v>
      </c>
      <c r="H517" t="n">
        <v>0</v>
      </c>
      <c r="I517" t="n">
        <v>0</v>
      </c>
      <c r="J517" t="n">
        <v>0</v>
      </c>
      <c r="K517" t="n">
        <v>0</v>
      </c>
      <c r="L517" t="n">
        <v>0</v>
      </c>
      <c r="M517" t="n">
        <v>0</v>
      </c>
      <c r="N517" t="n">
        <v>0</v>
      </c>
      <c r="O517" t="n">
        <v>0</v>
      </c>
      <c r="P517" t="n">
        <v>0</v>
      </c>
      <c r="Q517" t="n">
        <v>0</v>
      </c>
      <c r="R517" s="2" t="inlineStr"/>
    </row>
    <row r="518" ht="15" customHeight="1">
      <c r="A518" t="inlineStr">
        <is>
          <t>A 10151-2026</t>
        </is>
      </c>
      <c r="B518" s="1" t="n">
        <v>46076</v>
      </c>
      <c r="C518" s="1" t="n">
        <v>46181</v>
      </c>
      <c r="D518" t="inlineStr">
        <is>
          <t>DALARNAS LÄN</t>
        </is>
      </c>
      <c r="E518" t="inlineStr">
        <is>
          <t>ORSA</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9962-2026</t>
        </is>
      </c>
      <c r="B519" s="1" t="n">
        <v>46073</v>
      </c>
      <c r="C519" s="1" t="n">
        <v>46181</v>
      </c>
      <c r="D519" t="inlineStr">
        <is>
          <t>DALARNAS LÄN</t>
        </is>
      </c>
      <c r="E519" t="inlineStr">
        <is>
          <t>ORSA</t>
        </is>
      </c>
      <c r="F519" t="inlineStr">
        <is>
          <t>Bergvik skog öst AB</t>
        </is>
      </c>
      <c r="G519" t="n">
        <v>2.5</v>
      </c>
      <c r="H519" t="n">
        <v>0</v>
      </c>
      <c r="I519" t="n">
        <v>0</v>
      </c>
      <c r="J519" t="n">
        <v>0</v>
      </c>
      <c r="K519" t="n">
        <v>0</v>
      </c>
      <c r="L519" t="n">
        <v>0</v>
      </c>
      <c r="M519" t="n">
        <v>0</v>
      </c>
      <c r="N519" t="n">
        <v>0</v>
      </c>
      <c r="O519" t="n">
        <v>0</v>
      </c>
      <c r="P519" t="n">
        <v>0</v>
      </c>
      <c r="Q519" t="n">
        <v>0</v>
      </c>
      <c r="R519" s="2" t="inlineStr"/>
    </row>
    <row r="520" ht="15" customHeight="1">
      <c r="A520" t="inlineStr">
        <is>
          <t>A 56706-2021</t>
        </is>
      </c>
      <c r="B520" s="1" t="n">
        <v>44481.4037962963</v>
      </c>
      <c r="C520" s="1" t="n">
        <v>46181</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59411-2024</t>
        </is>
      </c>
      <c r="B521" s="1" t="n">
        <v>45638.39675925926</v>
      </c>
      <c r="C521" s="1" t="n">
        <v>46181</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59414-2024</t>
        </is>
      </c>
      <c r="B522" s="1" t="n">
        <v>45638.39965277778</v>
      </c>
      <c r="C522" s="1" t="n">
        <v>46181</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16302-2026</t>
        </is>
      </c>
      <c r="B523" s="1" t="n">
        <v>46111.53943287037</v>
      </c>
      <c r="C523" s="1" t="n">
        <v>46181</v>
      </c>
      <c r="D523" t="inlineStr">
        <is>
          <t>DALARNAS LÄN</t>
        </is>
      </c>
      <c r="E523" t="inlineStr">
        <is>
          <t>ORSA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16034-2026</t>
        </is>
      </c>
      <c r="B524" s="1" t="n">
        <v>46108</v>
      </c>
      <c r="C524" s="1" t="n">
        <v>46181</v>
      </c>
      <c r="D524" t="inlineStr">
        <is>
          <t>DALARNAS LÄN</t>
        </is>
      </c>
      <c r="E524" t="inlineStr">
        <is>
          <t>ORSA</t>
        </is>
      </c>
      <c r="G524" t="n">
        <v>5.1</v>
      </c>
      <c r="H524" t="n">
        <v>0</v>
      </c>
      <c r="I524" t="n">
        <v>0</v>
      </c>
      <c r="J524" t="n">
        <v>0</v>
      </c>
      <c r="K524" t="n">
        <v>0</v>
      </c>
      <c r="L524" t="n">
        <v>0</v>
      </c>
      <c r="M524" t="n">
        <v>0</v>
      </c>
      <c r="N524" t="n">
        <v>0</v>
      </c>
      <c r="O524" t="n">
        <v>0</v>
      </c>
      <c r="P524" t="n">
        <v>0</v>
      </c>
      <c r="Q524" t="n">
        <v>0</v>
      </c>
      <c r="R524" s="2" t="inlineStr"/>
    </row>
    <row r="525" ht="15" customHeight="1">
      <c r="A525" t="inlineStr">
        <is>
          <t>A 22228-2026</t>
        </is>
      </c>
      <c r="B525" s="1" t="n">
        <v>46153.76313657407</v>
      </c>
      <c r="C525" s="1" t="n">
        <v>46181</v>
      </c>
      <c r="D525" t="inlineStr">
        <is>
          <t>DALARNAS LÄN</t>
        </is>
      </c>
      <c r="E525" t="inlineStr">
        <is>
          <t>ORSA</t>
        </is>
      </c>
      <c r="G525" t="n">
        <v>3.5</v>
      </c>
      <c r="H525" t="n">
        <v>0</v>
      </c>
      <c r="I525" t="n">
        <v>0</v>
      </c>
      <c r="J525" t="n">
        <v>0</v>
      </c>
      <c r="K525" t="n">
        <v>0</v>
      </c>
      <c r="L525" t="n">
        <v>0</v>
      </c>
      <c r="M525" t="n">
        <v>0</v>
      </c>
      <c r="N525" t="n">
        <v>0</v>
      </c>
      <c r="O525" t="n">
        <v>0</v>
      </c>
      <c r="P525" t="n">
        <v>0</v>
      </c>
      <c r="Q525" t="n">
        <v>0</v>
      </c>
      <c r="R525" s="2" t="inlineStr"/>
    </row>
    <row r="526" ht="15" customHeight="1">
      <c r="A526" t="inlineStr">
        <is>
          <t>A 12440-2026</t>
        </is>
      </c>
      <c r="B526" s="1" t="n">
        <v>46090</v>
      </c>
      <c r="C526" s="1" t="n">
        <v>46181</v>
      </c>
      <c r="D526" t="inlineStr">
        <is>
          <t>DALARNAS LÄN</t>
        </is>
      </c>
      <c r="E526" t="inlineStr">
        <is>
          <t>ORSA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13316-2026</t>
        </is>
      </c>
      <c r="B527" s="1" t="n">
        <v>46094</v>
      </c>
      <c r="C527" s="1" t="n">
        <v>46181</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22590-2026</t>
        </is>
      </c>
      <c r="B528" s="1" t="n">
        <v>46155.58239583333</v>
      </c>
      <c r="C528" s="1" t="n">
        <v>46181</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16900-2026</t>
        </is>
      </c>
      <c r="B529" s="1" t="n">
        <v>46113.6306712963</v>
      </c>
      <c r="C529" s="1" t="n">
        <v>46181</v>
      </c>
      <c r="D529" t="inlineStr">
        <is>
          <t>DALARNAS LÄN</t>
        </is>
      </c>
      <c r="E529" t="inlineStr">
        <is>
          <t>ORSA</t>
        </is>
      </c>
      <c r="G529" t="n">
        <v>0.6</v>
      </c>
      <c r="H529" t="n">
        <v>0</v>
      </c>
      <c r="I529" t="n">
        <v>0</v>
      </c>
      <c r="J529" t="n">
        <v>0</v>
      </c>
      <c r="K529" t="n">
        <v>0</v>
      </c>
      <c r="L529" t="n">
        <v>0</v>
      </c>
      <c r="M529" t="n">
        <v>0</v>
      </c>
      <c r="N529" t="n">
        <v>0</v>
      </c>
      <c r="O529" t="n">
        <v>0</v>
      </c>
      <c r="P529" t="n">
        <v>0</v>
      </c>
      <c r="Q529" t="n">
        <v>0</v>
      </c>
      <c r="R529" s="2" t="inlineStr"/>
    </row>
    <row r="530" ht="15" customHeight="1">
      <c r="A530" t="inlineStr">
        <is>
          <t>A 9836-2022</t>
        </is>
      </c>
      <c r="B530" s="1" t="n">
        <v>44620</v>
      </c>
      <c r="C530" s="1" t="n">
        <v>46181</v>
      </c>
      <c r="D530" t="inlineStr">
        <is>
          <t>DALARNAS LÄN</t>
        </is>
      </c>
      <c r="E530" t="inlineStr">
        <is>
          <t>ORSA</t>
        </is>
      </c>
      <c r="G530" t="n">
        <v>1</v>
      </c>
      <c r="H530" t="n">
        <v>0</v>
      </c>
      <c r="I530" t="n">
        <v>0</v>
      </c>
      <c r="J530" t="n">
        <v>0</v>
      </c>
      <c r="K530" t="n">
        <v>0</v>
      </c>
      <c r="L530" t="n">
        <v>0</v>
      </c>
      <c r="M530" t="n">
        <v>0</v>
      </c>
      <c r="N530" t="n">
        <v>0</v>
      </c>
      <c r="O530" t="n">
        <v>0</v>
      </c>
      <c r="P530" t="n">
        <v>0</v>
      </c>
      <c r="Q530" t="n">
        <v>0</v>
      </c>
      <c r="R530" s="2" t="inlineStr"/>
    </row>
    <row r="531" ht="15" customHeight="1">
      <c r="A531" t="inlineStr">
        <is>
          <t>A 22267-2026</t>
        </is>
      </c>
      <c r="B531" s="1" t="n">
        <v>46154.39655092593</v>
      </c>
      <c r="C531" s="1" t="n">
        <v>46181</v>
      </c>
      <c r="D531" t="inlineStr">
        <is>
          <t>DALARNAS LÄN</t>
        </is>
      </c>
      <c r="E531" t="inlineStr">
        <is>
          <t>ORSA</t>
        </is>
      </c>
      <c r="F531" t="inlineStr">
        <is>
          <t>Allmännings- och besparingsskogar</t>
        </is>
      </c>
      <c r="G531" t="n">
        <v>4.4</v>
      </c>
      <c r="H531" t="n">
        <v>0</v>
      </c>
      <c r="I531" t="n">
        <v>0</v>
      </c>
      <c r="J531" t="n">
        <v>0</v>
      </c>
      <c r="K531" t="n">
        <v>0</v>
      </c>
      <c r="L531" t="n">
        <v>0</v>
      </c>
      <c r="M531" t="n">
        <v>0</v>
      </c>
      <c r="N531" t="n">
        <v>0</v>
      </c>
      <c r="O531" t="n">
        <v>0</v>
      </c>
      <c r="P531" t="n">
        <v>0</v>
      </c>
      <c r="Q531" t="n">
        <v>0</v>
      </c>
      <c r="R531" s="2" t="inlineStr"/>
    </row>
    <row r="532" ht="15" customHeight="1">
      <c r="A532" t="inlineStr">
        <is>
          <t>A 22615-2026</t>
        </is>
      </c>
      <c r="B532" s="1" t="n">
        <v>46155.60784722222</v>
      </c>
      <c r="C532" s="1" t="n">
        <v>46181</v>
      </c>
      <c r="D532" t="inlineStr">
        <is>
          <t>DALARNAS LÄN</t>
        </is>
      </c>
      <c r="E532" t="inlineStr">
        <is>
          <t>ORSA</t>
        </is>
      </c>
      <c r="F532" t="inlineStr">
        <is>
          <t>Bergvik skog öst AB</t>
        </is>
      </c>
      <c r="G532" t="n">
        <v>5.5</v>
      </c>
      <c r="H532" t="n">
        <v>0</v>
      </c>
      <c r="I532" t="n">
        <v>0</v>
      </c>
      <c r="J532" t="n">
        <v>0</v>
      </c>
      <c r="K532" t="n">
        <v>0</v>
      </c>
      <c r="L532" t="n">
        <v>0</v>
      </c>
      <c r="M532" t="n">
        <v>0</v>
      </c>
      <c r="N532" t="n">
        <v>0</v>
      </c>
      <c r="O532" t="n">
        <v>0</v>
      </c>
      <c r="P532" t="n">
        <v>0</v>
      </c>
      <c r="Q532" t="n">
        <v>0</v>
      </c>
      <c r="R532" s="2" t="inlineStr"/>
    </row>
    <row r="533" ht="15" customHeight="1">
      <c r="A533" t="inlineStr">
        <is>
          <t>A 22515-2026</t>
        </is>
      </c>
      <c r="B533" s="1" t="n">
        <v>46155.45591435185</v>
      </c>
      <c r="C533" s="1" t="n">
        <v>46181</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28923-2024</t>
        </is>
      </c>
      <c r="B534" s="1" t="n">
        <v>45481</v>
      </c>
      <c r="C534" s="1" t="n">
        <v>46181</v>
      </c>
      <c r="D534" t="inlineStr">
        <is>
          <t>DALARNAS LÄN</t>
        </is>
      </c>
      <c r="E534" t="inlineStr">
        <is>
          <t>ORSA</t>
        </is>
      </c>
      <c r="F534" t="inlineStr">
        <is>
          <t>Allmännings- och besparingsskogar</t>
        </is>
      </c>
      <c r="G534" t="n">
        <v>13.9</v>
      </c>
      <c r="H534" t="n">
        <v>0</v>
      </c>
      <c r="I534" t="n">
        <v>0</v>
      </c>
      <c r="J534" t="n">
        <v>0</v>
      </c>
      <c r="K534" t="n">
        <v>0</v>
      </c>
      <c r="L534" t="n">
        <v>0</v>
      </c>
      <c r="M534" t="n">
        <v>0</v>
      </c>
      <c r="N534" t="n">
        <v>0</v>
      </c>
      <c r="O534" t="n">
        <v>0</v>
      </c>
      <c r="P534" t="n">
        <v>0</v>
      </c>
      <c r="Q534" t="n">
        <v>0</v>
      </c>
      <c r="R534" s="2" t="inlineStr"/>
    </row>
    <row r="535" ht="15" customHeight="1">
      <c r="A535" t="inlineStr">
        <is>
          <t>A 17850-2025</t>
        </is>
      </c>
      <c r="B535" s="1" t="n">
        <v>45758.60162037037</v>
      </c>
      <c r="C535" s="1" t="n">
        <v>46181</v>
      </c>
      <c r="D535" t="inlineStr">
        <is>
          <t>DALARNAS LÄN</t>
        </is>
      </c>
      <c r="E535" t="inlineStr">
        <is>
          <t>ORSA</t>
        </is>
      </c>
      <c r="G535" t="n">
        <v>2</v>
      </c>
      <c r="H535" t="n">
        <v>0</v>
      </c>
      <c r="I535" t="n">
        <v>0</v>
      </c>
      <c r="J535" t="n">
        <v>0</v>
      </c>
      <c r="K535" t="n">
        <v>0</v>
      </c>
      <c r="L535" t="n">
        <v>0</v>
      </c>
      <c r="M535" t="n">
        <v>0</v>
      </c>
      <c r="N535" t="n">
        <v>0</v>
      </c>
      <c r="O535" t="n">
        <v>0</v>
      </c>
      <c r="P535" t="n">
        <v>0</v>
      </c>
      <c r="Q535" t="n">
        <v>0</v>
      </c>
      <c r="R535" s="2" t="inlineStr"/>
    </row>
    <row r="536" ht="15" customHeight="1">
      <c r="A536" t="inlineStr">
        <is>
          <t>A 51994-2023</t>
        </is>
      </c>
      <c r="B536" s="1" t="n">
        <v>45223.5884375</v>
      </c>
      <c r="C536" s="1" t="n">
        <v>46181</v>
      </c>
      <c r="D536" t="inlineStr">
        <is>
          <t>DALARNAS LÄN</t>
        </is>
      </c>
      <c r="E536" t="inlineStr">
        <is>
          <t>ORSA</t>
        </is>
      </c>
      <c r="G536" t="n">
        <v>10.7</v>
      </c>
      <c r="H536" t="n">
        <v>0</v>
      </c>
      <c r="I536" t="n">
        <v>0</v>
      </c>
      <c r="J536" t="n">
        <v>0</v>
      </c>
      <c r="K536" t="n">
        <v>0</v>
      </c>
      <c r="L536" t="n">
        <v>0</v>
      </c>
      <c r="M536" t="n">
        <v>0</v>
      </c>
      <c r="N536" t="n">
        <v>0</v>
      </c>
      <c r="O536" t="n">
        <v>0</v>
      </c>
      <c r="P536" t="n">
        <v>0</v>
      </c>
      <c r="Q536" t="n">
        <v>0</v>
      </c>
      <c r="R536" s="2" t="inlineStr"/>
    </row>
    <row r="537" ht="15" customHeight="1">
      <c r="A537" t="inlineStr">
        <is>
          <t>A 72284-2021</t>
        </is>
      </c>
      <c r="B537" s="1" t="n">
        <v>44545.36940972223</v>
      </c>
      <c r="C537" s="1" t="n">
        <v>46181</v>
      </c>
      <c r="D537" t="inlineStr">
        <is>
          <t>DALARNAS LÄN</t>
        </is>
      </c>
      <c r="E537" t="inlineStr">
        <is>
          <t>ORSA</t>
        </is>
      </c>
      <c r="G537" t="n">
        <v>0.5</v>
      </c>
      <c r="H537" t="n">
        <v>0</v>
      </c>
      <c r="I537" t="n">
        <v>0</v>
      </c>
      <c r="J537" t="n">
        <v>0</v>
      </c>
      <c r="K537" t="n">
        <v>0</v>
      </c>
      <c r="L537" t="n">
        <v>0</v>
      </c>
      <c r="M537" t="n">
        <v>0</v>
      </c>
      <c r="N537" t="n">
        <v>0</v>
      </c>
      <c r="O537" t="n">
        <v>0</v>
      </c>
      <c r="P537" t="n">
        <v>0</v>
      </c>
      <c r="Q537" t="n">
        <v>0</v>
      </c>
      <c r="R537" s="2" t="inlineStr"/>
    </row>
    <row r="538" ht="15" customHeight="1">
      <c r="A538" t="inlineStr">
        <is>
          <t>A 22728-2026</t>
        </is>
      </c>
      <c r="B538" s="1" t="n">
        <v>46157.35543981481</v>
      </c>
      <c r="C538" s="1" t="n">
        <v>46181</v>
      </c>
      <c r="D538" t="inlineStr">
        <is>
          <t>DALARNAS LÄN</t>
        </is>
      </c>
      <c r="E538" t="inlineStr">
        <is>
          <t>ORSA</t>
        </is>
      </c>
      <c r="F538" t="inlineStr">
        <is>
          <t>Allmännings- och besparingsskogar</t>
        </is>
      </c>
      <c r="G538" t="n">
        <v>4</v>
      </c>
      <c r="H538" t="n">
        <v>0</v>
      </c>
      <c r="I538" t="n">
        <v>0</v>
      </c>
      <c r="J538" t="n">
        <v>0</v>
      </c>
      <c r="K538" t="n">
        <v>0</v>
      </c>
      <c r="L538" t="n">
        <v>0</v>
      </c>
      <c r="M538" t="n">
        <v>0</v>
      </c>
      <c r="N538" t="n">
        <v>0</v>
      </c>
      <c r="O538" t="n">
        <v>0</v>
      </c>
      <c r="P538" t="n">
        <v>0</v>
      </c>
      <c r="Q538" t="n">
        <v>0</v>
      </c>
      <c r="R538" s="2" t="inlineStr"/>
    </row>
    <row r="539" ht="15" customHeight="1">
      <c r="A539" t="inlineStr">
        <is>
          <t>A 13185-2022</t>
        </is>
      </c>
      <c r="B539" s="1" t="n">
        <v>44644.48491898148</v>
      </c>
      <c r="C539" s="1" t="n">
        <v>46181</v>
      </c>
      <c r="D539" t="inlineStr">
        <is>
          <t>DALARNAS LÄN</t>
        </is>
      </c>
      <c r="E539" t="inlineStr">
        <is>
          <t>ORSA</t>
        </is>
      </c>
      <c r="G539" t="n">
        <v>0.6</v>
      </c>
      <c r="H539" t="n">
        <v>0</v>
      </c>
      <c r="I539" t="n">
        <v>0</v>
      </c>
      <c r="J539" t="n">
        <v>0</v>
      </c>
      <c r="K539" t="n">
        <v>0</v>
      </c>
      <c r="L539" t="n">
        <v>0</v>
      </c>
      <c r="M539" t="n">
        <v>0</v>
      </c>
      <c r="N539" t="n">
        <v>0</v>
      </c>
      <c r="O539" t="n">
        <v>0</v>
      </c>
      <c r="P539" t="n">
        <v>0</v>
      </c>
      <c r="Q539" t="n">
        <v>0</v>
      </c>
      <c r="R539" s="2" t="inlineStr"/>
    </row>
    <row r="540" ht="15" customHeight="1">
      <c r="A540" t="inlineStr">
        <is>
          <t>A 46454-2024</t>
        </is>
      </c>
      <c r="B540" s="1" t="n">
        <v>45582</v>
      </c>
      <c r="C540" s="1" t="n">
        <v>46181</v>
      </c>
      <c r="D540" t="inlineStr">
        <is>
          <t>DALARNAS LÄN</t>
        </is>
      </c>
      <c r="E540" t="inlineStr">
        <is>
          <t>ORSA</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52649-2024</t>
        </is>
      </c>
      <c r="B541" s="1" t="n">
        <v>45610.3468287037</v>
      </c>
      <c r="C541" s="1" t="n">
        <v>46181</v>
      </c>
      <c r="D541" t="inlineStr">
        <is>
          <t>DALARNAS LÄN</t>
        </is>
      </c>
      <c r="E541" t="inlineStr">
        <is>
          <t>ORSA</t>
        </is>
      </c>
      <c r="G541" t="n">
        <v>1.3</v>
      </c>
      <c r="H541" t="n">
        <v>0</v>
      </c>
      <c r="I541" t="n">
        <v>0</v>
      </c>
      <c r="J541" t="n">
        <v>0</v>
      </c>
      <c r="K541" t="n">
        <v>0</v>
      </c>
      <c r="L541" t="n">
        <v>0</v>
      </c>
      <c r="M541" t="n">
        <v>0</v>
      </c>
      <c r="N541" t="n">
        <v>0</v>
      </c>
      <c r="O541" t="n">
        <v>0</v>
      </c>
      <c r="P541" t="n">
        <v>0</v>
      </c>
      <c r="Q541" t="n">
        <v>0</v>
      </c>
      <c r="R541" s="2" t="inlineStr"/>
    </row>
    <row r="542" ht="15" customHeight="1">
      <c r="A542" t="inlineStr">
        <is>
          <t>A 58842-2024</t>
        </is>
      </c>
      <c r="B542" s="1" t="n">
        <v>45636.3859837963</v>
      </c>
      <c r="C542" s="1" t="n">
        <v>46181</v>
      </c>
      <c r="D542" t="inlineStr">
        <is>
          <t>DALARNAS LÄN</t>
        </is>
      </c>
      <c r="E542" t="inlineStr">
        <is>
          <t>ORSA</t>
        </is>
      </c>
      <c r="G542" t="n">
        <v>2.8</v>
      </c>
      <c r="H542" t="n">
        <v>0</v>
      </c>
      <c r="I542" t="n">
        <v>0</v>
      </c>
      <c r="J542" t="n">
        <v>0</v>
      </c>
      <c r="K542" t="n">
        <v>0</v>
      </c>
      <c r="L542" t="n">
        <v>0</v>
      </c>
      <c r="M542" t="n">
        <v>0</v>
      </c>
      <c r="N542" t="n">
        <v>0</v>
      </c>
      <c r="O542" t="n">
        <v>0</v>
      </c>
      <c r="P542" t="n">
        <v>0</v>
      </c>
      <c r="Q542" t="n">
        <v>0</v>
      </c>
      <c r="R542" s="2" t="inlineStr"/>
    </row>
    <row r="543" ht="15" customHeight="1">
      <c r="A543" t="inlineStr">
        <is>
          <t>A 13209-2022</t>
        </is>
      </c>
      <c r="B543" s="1" t="n">
        <v>44644.56325231482</v>
      </c>
      <c r="C543" s="1" t="n">
        <v>46181</v>
      </c>
      <c r="D543" t="inlineStr">
        <is>
          <t>DALARNAS LÄN</t>
        </is>
      </c>
      <c r="E543" t="inlineStr">
        <is>
          <t>ORSA</t>
        </is>
      </c>
      <c r="G543" t="n">
        <v>0.5</v>
      </c>
      <c r="H543" t="n">
        <v>0</v>
      </c>
      <c r="I543" t="n">
        <v>0</v>
      </c>
      <c r="J543" t="n">
        <v>0</v>
      </c>
      <c r="K543" t="n">
        <v>0</v>
      </c>
      <c r="L543" t="n">
        <v>0</v>
      </c>
      <c r="M543" t="n">
        <v>0</v>
      </c>
      <c r="N543" t="n">
        <v>0</v>
      </c>
      <c r="O543" t="n">
        <v>0</v>
      </c>
      <c r="P543" t="n">
        <v>0</v>
      </c>
      <c r="Q543" t="n">
        <v>0</v>
      </c>
      <c r="R543" s="2" t="inlineStr"/>
    </row>
    <row r="544" ht="15" customHeight="1">
      <c r="A544" t="inlineStr">
        <is>
          <t>A 12704-2022</t>
        </is>
      </c>
      <c r="B544" s="1" t="n">
        <v>44641</v>
      </c>
      <c r="C544" s="1" t="n">
        <v>46181</v>
      </c>
      <c r="D544" t="inlineStr">
        <is>
          <t>DALARNAS LÄN</t>
        </is>
      </c>
      <c r="E544" t="inlineStr">
        <is>
          <t>ORSA</t>
        </is>
      </c>
      <c r="G544" t="n">
        <v>2.4</v>
      </c>
      <c r="H544" t="n">
        <v>0</v>
      </c>
      <c r="I544" t="n">
        <v>0</v>
      </c>
      <c r="J544" t="n">
        <v>0</v>
      </c>
      <c r="K544" t="n">
        <v>0</v>
      </c>
      <c r="L544" t="n">
        <v>0</v>
      </c>
      <c r="M544" t="n">
        <v>0</v>
      </c>
      <c r="N544" t="n">
        <v>0</v>
      </c>
      <c r="O544" t="n">
        <v>0</v>
      </c>
      <c r="P544" t="n">
        <v>0</v>
      </c>
      <c r="Q544" t="n">
        <v>0</v>
      </c>
      <c r="R544" s="2" t="inlineStr"/>
    </row>
    <row r="545" ht="15" customHeight="1">
      <c r="A545" t="inlineStr">
        <is>
          <t>A 17094-2026</t>
        </is>
      </c>
      <c r="B545" s="1" t="n">
        <v>46114.58635416667</v>
      </c>
      <c r="C545" s="1" t="n">
        <v>46181</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37770-2023</t>
        </is>
      </c>
      <c r="B546" s="1" t="n">
        <v>45159</v>
      </c>
      <c r="C546" s="1" t="n">
        <v>46181</v>
      </c>
      <c r="D546" t="inlineStr">
        <is>
          <t>DALARNAS LÄN</t>
        </is>
      </c>
      <c r="E546" t="inlineStr">
        <is>
          <t>ORSA</t>
        </is>
      </c>
      <c r="G546" t="n">
        <v>2.6</v>
      </c>
      <c r="H546" t="n">
        <v>0</v>
      </c>
      <c r="I546" t="n">
        <v>0</v>
      </c>
      <c r="J546" t="n">
        <v>0</v>
      </c>
      <c r="K546" t="n">
        <v>0</v>
      </c>
      <c r="L546" t="n">
        <v>0</v>
      </c>
      <c r="M546" t="n">
        <v>0</v>
      </c>
      <c r="N546" t="n">
        <v>0</v>
      </c>
      <c r="O546" t="n">
        <v>0</v>
      </c>
      <c r="P546" t="n">
        <v>0</v>
      </c>
      <c r="Q546" t="n">
        <v>0</v>
      </c>
      <c r="R546" s="2" t="inlineStr"/>
    </row>
    <row r="547" ht="15" customHeight="1">
      <c r="A547" t="inlineStr">
        <is>
          <t>A 23339-2024</t>
        </is>
      </c>
      <c r="B547" s="1" t="n">
        <v>45453.48988425926</v>
      </c>
      <c r="C547" s="1" t="n">
        <v>46181</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55280-2024</t>
        </is>
      </c>
      <c r="B548" s="1" t="n">
        <v>45621.62524305555</v>
      </c>
      <c r="C548" s="1" t="n">
        <v>46181</v>
      </c>
      <c r="D548" t="inlineStr">
        <is>
          <t>DALARNAS LÄN</t>
        </is>
      </c>
      <c r="E548" t="inlineStr">
        <is>
          <t>ORSA</t>
        </is>
      </c>
      <c r="G548" t="n">
        <v>2.3</v>
      </c>
      <c r="H548" t="n">
        <v>0</v>
      </c>
      <c r="I548" t="n">
        <v>0</v>
      </c>
      <c r="J548" t="n">
        <v>0</v>
      </c>
      <c r="K548" t="n">
        <v>0</v>
      </c>
      <c r="L548" t="n">
        <v>0</v>
      </c>
      <c r="M548" t="n">
        <v>0</v>
      </c>
      <c r="N548" t="n">
        <v>0</v>
      </c>
      <c r="O548" t="n">
        <v>0</v>
      </c>
      <c r="P548" t="n">
        <v>0</v>
      </c>
      <c r="Q548" t="n">
        <v>0</v>
      </c>
      <c r="R548" s="2" t="inlineStr"/>
    </row>
    <row r="549" ht="15" customHeight="1">
      <c r="A549" t="inlineStr">
        <is>
          <t>A 55580-2024</t>
        </is>
      </c>
      <c r="B549" s="1" t="n">
        <v>45622.56038194444</v>
      </c>
      <c r="C549" s="1" t="n">
        <v>46181</v>
      </c>
      <c r="D549" t="inlineStr">
        <is>
          <t>DALARNAS LÄN</t>
        </is>
      </c>
      <c r="E549" t="inlineStr">
        <is>
          <t>ORSA</t>
        </is>
      </c>
      <c r="G549" t="n">
        <v>2</v>
      </c>
      <c r="H549" t="n">
        <v>0</v>
      </c>
      <c r="I549" t="n">
        <v>0</v>
      </c>
      <c r="J549" t="n">
        <v>0</v>
      </c>
      <c r="K549" t="n">
        <v>0</v>
      </c>
      <c r="L549" t="n">
        <v>0</v>
      </c>
      <c r="M549" t="n">
        <v>0</v>
      </c>
      <c r="N549" t="n">
        <v>0</v>
      </c>
      <c r="O549" t="n">
        <v>0</v>
      </c>
      <c r="P549" t="n">
        <v>0</v>
      </c>
      <c r="Q549" t="n">
        <v>0</v>
      </c>
      <c r="R549" s="2" t="inlineStr"/>
    </row>
    <row r="550" ht="15" customHeight="1">
      <c r="A550" t="inlineStr">
        <is>
          <t>A 22829-2026</t>
        </is>
      </c>
      <c r="B550" s="1" t="n">
        <v>46160.36649305555</v>
      </c>
      <c r="C550" s="1" t="n">
        <v>46181</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23058-2026</t>
        </is>
      </c>
      <c r="B551" s="1" t="n">
        <v>46161.45857638889</v>
      </c>
      <c r="C551" s="1" t="n">
        <v>46181</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56803-2024</t>
        </is>
      </c>
      <c r="B552" s="1" t="n">
        <v>45628.47212962963</v>
      </c>
      <c r="C552" s="1" t="n">
        <v>46181</v>
      </c>
      <c r="D552" t="inlineStr">
        <is>
          <t>DALARNAS LÄN</t>
        </is>
      </c>
      <c r="E552" t="inlineStr">
        <is>
          <t>ORSA</t>
        </is>
      </c>
      <c r="G552" t="n">
        <v>1.4</v>
      </c>
      <c r="H552" t="n">
        <v>0</v>
      </c>
      <c r="I552" t="n">
        <v>0</v>
      </c>
      <c r="J552" t="n">
        <v>0</v>
      </c>
      <c r="K552" t="n">
        <v>0</v>
      </c>
      <c r="L552" t="n">
        <v>0</v>
      </c>
      <c r="M552" t="n">
        <v>0</v>
      </c>
      <c r="N552" t="n">
        <v>0</v>
      </c>
      <c r="O552" t="n">
        <v>0</v>
      </c>
      <c r="P552" t="n">
        <v>0</v>
      </c>
      <c r="Q552" t="n">
        <v>0</v>
      </c>
      <c r="R552" s="2" t="inlineStr"/>
    </row>
    <row r="553" ht="15" customHeight="1">
      <c r="A553" t="inlineStr">
        <is>
          <t>A 53717-2024</t>
        </is>
      </c>
      <c r="B553" s="1" t="n">
        <v>45615.43141203704</v>
      </c>
      <c r="C553" s="1" t="n">
        <v>46181</v>
      </c>
      <c r="D553" t="inlineStr">
        <is>
          <t>DALARNAS LÄN</t>
        </is>
      </c>
      <c r="E553" t="inlineStr">
        <is>
          <t>ORSA</t>
        </is>
      </c>
      <c r="G553" t="n">
        <v>1.5</v>
      </c>
      <c r="H553" t="n">
        <v>0</v>
      </c>
      <c r="I553" t="n">
        <v>0</v>
      </c>
      <c r="J553" t="n">
        <v>0</v>
      </c>
      <c r="K553" t="n">
        <v>0</v>
      </c>
      <c r="L553" t="n">
        <v>0</v>
      </c>
      <c r="M553" t="n">
        <v>0</v>
      </c>
      <c r="N553" t="n">
        <v>0</v>
      </c>
      <c r="O553" t="n">
        <v>0</v>
      </c>
      <c r="P553" t="n">
        <v>0</v>
      </c>
      <c r="Q553" t="n">
        <v>0</v>
      </c>
      <c r="R553" s="2" t="inlineStr"/>
    </row>
    <row r="554" ht="15" customHeight="1">
      <c r="A554" t="inlineStr">
        <is>
          <t>A 25172-2022</t>
        </is>
      </c>
      <c r="B554" s="1" t="n">
        <v>44729.58356481481</v>
      </c>
      <c r="C554" s="1" t="n">
        <v>46181</v>
      </c>
      <c r="D554" t="inlineStr">
        <is>
          <t>DALARNAS LÄN</t>
        </is>
      </c>
      <c r="E554" t="inlineStr">
        <is>
          <t>ORSA</t>
        </is>
      </c>
      <c r="F554" t="inlineStr">
        <is>
          <t>Bergvik skog öst AB</t>
        </is>
      </c>
      <c r="G554" t="n">
        <v>3.6</v>
      </c>
      <c r="H554" t="n">
        <v>0</v>
      </c>
      <c r="I554" t="n">
        <v>0</v>
      </c>
      <c r="J554" t="n">
        <v>0</v>
      </c>
      <c r="K554" t="n">
        <v>0</v>
      </c>
      <c r="L554" t="n">
        <v>0</v>
      </c>
      <c r="M554" t="n">
        <v>0</v>
      </c>
      <c r="N554" t="n">
        <v>0</v>
      </c>
      <c r="O554" t="n">
        <v>0</v>
      </c>
      <c r="P554" t="n">
        <v>0</v>
      </c>
      <c r="Q554" t="n">
        <v>0</v>
      </c>
      <c r="R554" s="2" t="inlineStr"/>
    </row>
    <row r="555" ht="15" customHeight="1">
      <c r="A555" t="inlineStr">
        <is>
          <t>A 986-2025</t>
        </is>
      </c>
      <c r="B555" s="1" t="n">
        <v>45666.42952546296</v>
      </c>
      <c r="C555" s="1" t="n">
        <v>46181</v>
      </c>
      <c r="D555" t="inlineStr">
        <is>
          <t>DALARNAS LÄN</t>
        </is>
      </c>
      <c r="E555" t="inlineStr">
        <is>
          <t>ORSA</t>
        </is>
      </c>
      <c r="G555" t="n">
        <v>5.7</v>
      </c>
      <c r="H555" t="n">
        <v>0</v>
      </c>
      <c r="I555" t="n">
        <v>0</v>
      </c>
      <c r="J555" t="n">
        <v>0</v>
      </c>
      <c r="K555" t="n">
        <v>0</v>
      </c>
      <c r="L555" t="n">
        <v>0</v>
      </c>
      <c r="M555" t="n">
        <v>0</v>
      </c>
      <c r="N555" t="n">
        <v>0</v>
      </c>
      <c r="O555" t="n">
        <v>0</v>
      </c>
      <c r="P555" t="n">
        <v>0</v>
      </c>
      <c r="Q555" t="n">
        <v>0</v>
      </c>
      <c r="R555" s="2" t="inlineStr"/>
    </row>
    <row r="556" ht="15" customHeight="1">
      <c r="A556" t="inlineStr">
        <is>
          <t>A 30458-2023</t>
        </is>
      </c>
      <c r="B556" s="1" t="n">
        <v>45111</v>
      </c>
      <c r="C556" s="1" t="n">
        <v>46181</v>
      </c>
      <c r="D556" t="inlineStr">
        <is>
          <t>DALARNAS LÄN</t>
        </is>
      </c>
      <c r="E556" t="inlineStr">
        <is>
          <t>ORSA</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42238-2023</t>
        </is>
      </c>
      <c r="B557" s="1" t="n">
        <v>45180.34207175926</v>
      </c>
      <c r="C557" s="1" t="n">
        <v>46181</v>
      </c>
      <c r="D557" t="inlineStr">
        <is>
          <t>DALARNAS LÄN</t>
        </is>
      </c>
      <c r="E557" t="inlineStr">
        <is>
          <t>ORSA</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4738-2025</t>
        </is>
      </c>
      <c r="B558" s="1" t="n">
        <v>45688</v>
      </c>
      <c r="C558" s="1" t="n">
        <v>46181</v>
      </c>
      <c r="D558" t="inlineStr">
        <is>
          <t>DALARNAS LÄN</t>
        </is>
      </c>
      <c r="E558" t="inlineStr">
        <is>
          <t>ORSA</t>
        </is>
      </c>
      <c r="G558" t="n">
        <v>3.7</v>
      </c>
      <c r="H558" t="n">
        <v>0</v>
      </c>
      <c r="I558" t="n">
        <v>0</v>
      </c>
      <c r="J558" t="n">
        <v>0</v>
      </c>
      <c r="K558" t="n">
        <v>0</v>
      </c>
      <c r="L558" t="n">
        <v>0</v>
      </c>
      <c r="M558" t="n">
        <v>0</v>
      </c>
      <c r="N558" t="n">
        <v>0</v>
      </c>
      <c r="O558" t="n">
        <v>0</v>
      </c>
      <c r="P558" t="n">
        <v>0</v>
      </c>
      <c r="Q558" t="n">
        <v>0</v>
      </c>
      <c r="R558" s="2" t="inlineStr"/>
    </row>
    <row r="559" ht="15" customHeight="1">
      <c r="A559" t="inlineStr">
        <is>
          <t>A 7534-2025</t>
        </is>
      </c>
      <c r="B559" s="1" t="n">
        <v>45705.56287037037</v>
      </c>
      <c r="C559" s="1" t="n">
        <v>46181</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31026-2023</t>
        </is>
      </c>
      <c r="B560" s="1" t="n">
        <v>45113.5812962963</v>
      </c>
      <c r="C560" s="1" t="n">
        <v>46181</v>
      </c>
      <c r="D560" t="inlineStr">
        <is>
          <t>DALARNAS LÄN</t>
        </is>
      </c>
      <c r="E560" t="inlineStr">
        <is>
          <t>ORSA</t>
        </is>
      </c>
      <c r="F560" t="inlineStr">
        <is>
          <t>Bergvik skog öst AB</t>
        </is>
      </c>
      <c r="G560" t="n">
        <v>0.5</v>
      </c>
      <c r="H560" t="n">
        <v>0</v>
      </c>
      <c r="I560" t="n">
        <v>0</v>
      </c>
      <c r="J560" t="n">
        <v>0</v>
      </c>
      <c r="K560" t="n">
        <v>0</v>
      </c>
      <c r="L560" t="n">
        <v>0</v>
      </c>
      <c r="M560" t="n">
        <v>0</v>
      </c>
      <c r="N560" t="n">
        <v>0</v>
      </c>
      <c r="O560" t="n">
        <v>0</v>
      </c>
      <c r="P560" t="n">
        <v>0</v>
      </c>
      <c r="Q560" t="n">
        <v>0</v>
      </c>
      <c r="R560" s="2" t="inlineStr"/>
    </row>
    <row r="561" ht="15" customHeight="1">
      <c r="A561" t="inlineStr">
        <is>
          <t>A 32125-2024</t>
        </is>
      </c>
      <c r="B561" s="1" t="n">
        <v>45511</v>
      </c>
      <c r="C561" s="1" t="n">
        <v>46181</v>
      </c>
      <c r="D561" t="inlineStr">
        <is>
          <t>DALARNAS LÄN</t>
        </is>
      </c>
      <c r="E561" t="inlineStr">
        <is>
          <t>ORSA</t>
        </is>
      </c>
      <c r="F561" t="inlineStr">
        <is>
          <t>Allmännings- och besparingsskogar</t>
        </is>
      </c>
      <c r="G561" t="n">
        <v>5.2</v>
      </c>
      <c r="H561" t="n">
        <v>0</v>
      </c>
      <c r="I561" t="n">
        <v>0</v>
      </c>
      <c r="J561" t="n">
        <v>0</v>
      </c>
      <c r="K561" t="n">
        <v>0</v>
      </c>
      <c r="L561" t="n">
        <v>0</v>
      </c>
      <c r="M561" t="n">
        <v>0</v>
      </c>
      <c r="N561" t="n">
        <v>0</v>
      </c>
      <c r="O561" t="n">
        <v>0</v>
      </c>
      <c r="P561" t="n">
        <v>0</v>
      </c>
      <c r="Q561" t="n">
        <v>0</v>
      </c>
      <c r="R561" s="2" t="inlineStr"/>
    </row>
    <row r="562" ht="15" customHeight="1">
      <c r="A562" t="inlineStr">
        <is>
          <t>A 63371-2023</t>
        </is>
      </c>
      <c r="B562" s="1" t="n">
        <v>45274.47642361111</v>
      </c>
      <c r="C562" s="1" t="n">
        <v>46181</v>
      </c>
      <c r="D562" t="inlineStr">
        <is>
          <t>DALARNAS LÄN</t>
        </is>
      </c>
      <c r="E562" t="inlineStr">
        <is>
          <t>ORSA</t>
        </is>
      </c>
      <c r="G562" t="n">
        <v>1.3</v>
      </c>
      <c r="H562" t="n">
        <v>0</v>
      </c>
      <c r="I562" t="n">
        <v>0</v>
      </c>
      <c r="J562" t="n">
        <v>0</v>
      </c>
      <c r="K562" t="n">
        <v>0</v>
      </c>
      <c r="L562" t="n">
        <v>0</v>
      </c>
      <c r="M562" t="n">
        <v>0</v>
      </c>
      <c r="N562" t="n">
        <v>0</v>
      </c>
      <c r="O562" t="n">
        <v>0</v>
      </c>
      <c r="P562" t="n">
        <v>0</v>
      </c>
      <c r="Q562" t="n">
        <v>0</v>
      </c>
      <c r="R562" s="2" t="inlineStr"/>
    </row>
    <row r="563" ht="15" customHeight="1">
      <c r="A563" t="inlineStr">
        <is>
          <t>A 22022-2022</t>
        </is>
      </c>
      <c r="B563" s="1" t="n">
        <v>44711.60145833333</v>
      </c>
      <c r="C563" s="1" t="n">
        <v>46181</v>
      </c>
      <c r="D563" t="inlineStr">
        <is>
          <t>DALARNAS LÄN</t>
        </is>
      </c>
      <c r="E563" t="inlineStr">
        <is>
          <t>ORSA</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51563-2023</t>
        </is>
      </c>
      <c r="B564" s="1" t="n">
        <v>45222</v>
      </c>
      <c r="C564" s="1" t="n">
        <v>46181</v>
      </c>
      <c r="D564" t="inlineStr">
        <is>
          <t>DALARNAS LÄN</t>
        </is>
      </c>
      <c r="E564" t="inlineStr">
        <is>
          <t>ORSA</t>
        </is>
      </c>
      <c r="G564" t="n">
        <v>0.5</v>
      </c>
      <c r="H564" t="n">
        <v>0</v>
      </c>
      <c r="I564" t="n">
        <v>0</v>
      </c>
      <c r="J564" t="n">
        <v>0</v>
      </c>
      <c r="K564" t="n">
        <v>0</v>
      </c>
      <c r="L564" t="n">
        <v>0</v>
      </c>
      <c r="M564" t="n">
        <v>0</v>
      </c>
      <c r="N564" t="n">
        <v>0</v>
      </c>
      <c r="O564" t="n">
        <v>0</v>
      </c>
      <c r="P564" t="n">
        <v>0</v>
      </c>
      <c r="Q564" t="n">
        <v>0</v>
      </c>
      <c r="R564" s="2" t="inlineStr"/>
    </row>
    <row r="565" ht="15" customHeight="1">
      <c r="A565" t="inlineStr">
        <is>
          <t>A 47778-2021</t>
        </is>
      </c>
      <c r="B565" s="1" t="n">
        <v>44448</v>
      </c>
      <c r="C565" s="1" t="n">
        <v>46181</v>
      </c>
      <c r="D565" t="inlineStr">
        <is>
          <t>DALARNAS LÄN</t>
        </is>
      </c>
      <c r="E565" t="inlineStr">
        <is>
          <t>ORSA</t>
        </is>
      </c>
      <c r="F565" t="inlineStr">
        <is>
          <t>Bergvik skog öst AB</t>
        </is>
      </c>
      <c r="G565" t="n">
        <v>0.8</v>
      </c>
      <c r="H565" t="n">
        <v>0</v>
      </c>
      <c r="I565" t="n">
        <v>0</v>
      </c>
      <c r="J565" t="n">
        <v>0</v>
      </c>
      <c r="K565" t="n">
        <v>0</v>
      </c>
      <c r="L565" t="n">
        <v>0</v>
      </c>
      <c r="M565" t="n">
        <v>0</v>
      </c>
      <c r="N565" t="n">
        <v>0</v>
      </c>
      <c r="O565" t="n">
        <v>0</v>
      </c>
      <c r="P565" t="n">
        <v>0</v>
      </c>
      <c r="Q565" t="n">
        <v>0</v>
      </c>
      <c r="R565" s="2" t="inlineStr"/>
    </row>
    <row r="566" ht="15" customHeight="1">
      <c r="A566" t="inlineStr">
        <is>
          <t>A 47564-2023</t>
        </is>
      </c>
      <c r="B566" s="1" t="n">
        <v>45203.40004629629</v>
      </c>
      <c r="C566" s="1" t="n">
        <v>46181</v>
      </c>
      <c r="D566" t="inlineStr">
        <is>
          <t>DALARNAS LÄN</t>
        </is>
      </c>
      <c r="E566" t="inlineStr">
        <is>
          <t>ORSA</t>
        </is>
      </c>
      <c r="F566" t="inlineStr">
        <is>
          <t>Allmännings- och besparingsskogar</t>
        </is>
      </c>
      <c r="G566" t="n">
        <v>0.8</v>
      </c>
      <c r="H566" t="n">
        <v>0</v>
      </c>
      <c r="I566" t="n">
        <v>0</v>
      </c>
      <c r="J566" t="n">
        <v>0</v>
      </c>
      <c r="K566" t="n">
        <v>0</v>
      </c>
      <c r="L566" t="n">
        <v>0</v>
      </c>
      <c r="M566" t="n">
        <v>0</v>
      </c>
      <c r="N566" t="n">
        <v>0</v>
      </c>
      <c r="O566" t="n">
        <v>0</v>
      </c>
      <c r="P566" t="n">
        <v>0</v>
      </c>
      <c r="Q566" t="n">
        <v>0</v>
      </c>
      <c r="R566" s="2" t="inlineStr"/>
    </row>
    <row r="567" ht="15" customHeight="1">
      <c r="A567" t="inlineStr">
        <is>
          <t>A 597-2024</t>
        </is>
      </c>
      <c r="B567" s="1" t="n">
        <v>45299.63410879629</v>
      </c>
      <c r="C567" s="1" t="n">
        <v>46181</v>
      </c>
      <c r="D567" t="inlineStr">
        <is>
          <t>DALARNAS LÄN</t>
        </is>
      </c>
      <c r="E567" t="inlineStr">
        <is>
          <t>ORSA</t>
        </is>
      </c>
      <c r="G567" t="n">
        <v>4.4</v>
      </c>
      <c r="H567" t="n">
        <v>0</v>
      </c>
      <c r="I567" t="n">
        <v>0</v>
      </c>
      <c r="J567" t="n">
        <v>0</v>
      </c>
      <c r="K567" t="n">
        <v>0</v>
      </c>
      <c r="L567" t="n">
        <v>0</v>
      </c>
      <c r="M567" t="n">
        <v>0</v>
      </c>
      <c r="N567" t="n">
        <v>0</v>
      </c>
      <c r="O567" t="n">
        <v>0</v>
      </c>
      <c r="P567" t="n">
        <v>0</v>
      </c>
      <c r="Q567" t="n">
        <v>0</v>
      </c>
      <c r="R567" s="2" t="inlineStr"/>
    </row>
    <row r="568" ht="15" customHeight="1">
      <c r="A568" t="inlineStr">
        <is>
          <t>A 15772-2025</t>
        </is>
      </c>
      <c r="B568" s="1" t="n">
        <v>45748.59069444444</v>
      </c>
      <c r="C568" s="1" t="n">
        <v>46181</v>
      </c>
      <c r="D568" t="inlineStr">
        <is>
          <t>DALARNAS LÄN</t>
        </is>
      </c>
      <c r="E568" t="inlineStr">
        <is>
          <t>ORSA</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53229-2023</t>
        </is>
      </c>
      <c r="B569" s="1" t="n">
        <v>45229.48306712963</v>
      </c>
      <c r="C569" s="1" t="n">
        <v>46181</v>
      </c>
      <c r="D569" t="inlineStr">
        <is>
          <t>DALARNAS LÄN</t>
        </is>
      </c>
      <c r="E569" t="inlineStr">
        <is>
          <t>ORSA</t>
        </is>
      </c>
      <c r="F569" t="inlineStr">
        <is>
          <t>Allmännings- och besparingsskogar</t>
        </is>
      </c>
      <c r="G569" t="n">
        <v>0.5</v>
      </c>
      <c r="H569" t="n">
        <v>0</v>
      </c>
      <c r="I569" t="n">
        <v>0</v>
      </c>
      <c r="J569" t="n">
        <v>0</v>
      </c>
      <c r="K569" t="n">
        <v>0</v>
      </c>
      <c r="L569" t="n">
        <v>0</v>
      </c>
      <c r="M569" t="n">
        <v>0</v>
      </c>
      <c r="N569" t="n">
        <v>0</v>
      </c>
      <c r="O569" t="n">
        <v>0</v>
      </c>
      <c r="P569" t="n">
        <v>0</v>
      </c>
      <c r="Q569" t="n">
        <v>0</v>
      </c>
      <c r="R569" s="2" t="inlineStr"/>
    </row>
    <row r="570" ht="15" customHeight="1">
      <c r="A570" t="inlineStr">
        <is>
          <t>A 55538-2023</t>
        </is>
      </c>
      <c r="B570" s="1" t="n">
        <v>45238.5996875</v>
      </c>
      <c r="C570" s="1" t="n">
        <v>46181</v>
      </c>
      <c r="D570" t="inlineStr">
        <is>
          <t>DALARNAS LÄN</t>
        </is>
      </c>
      <c r="E570" t="inlineStr">
        <is>
          <t>ORSA</t>
        </is>
      </c>
      <c r="G570" t="n">
        <v>0.5</v>
      </c>
      <c r="H570" t="n">
        <v>0</v>
      </c>
      <c r="I570" t="n">
        <v>0</v>
      </c>
      <c r="J570" t="n">
        <v>0</v>
      </c>
      <c r="K570" t="n">
        <v>0</v>
      </c>
      <c r="L570" t="n">
        <v>0</v>
      </c>
      <c r="M570" t="n">
        <v>0</v>
      </c>
      <c r="N570" t="n">
        <v>0</v>
      </c>
      <c r="O570" t="n">
        <v>0</v>
      </c>
      <c r="P570" t="n">
        <v>0</v>
      </c>
      <c r="Q570" t="n">
        <v>0</v>
      </c>
      <c r="R570" s="2" t="inlineStr"/>
    </row>
    <row r="571" ht="15" customHeight="1">
      <c r="A571" t="inlineStr">
        <is>
          <t>A 15113-2025</t>
        </is>
      </c>
      <c r="B571" s="1" t="n">
        <v>45744.36179398148</v>
      </c>
      <c r="C571" s="1" t="n">
        <v>46181</v>
      </c>
      <c r="D571" t="inlineStr">
        <is>
          <t>DALARNAS LÄN</t>
        </is>
      </c>
      <c r="E571" t="inlineStr">
        <is>
          <t>ORSA</t>
        </is>
      </c>
      <c r="F571" t="inlineStr">
        <is>
          <t>Allmännings- och besparingsskogar</t>
        </is>
      </c>
      <c r="G571" t="n">
        <v>3.3</v>
      </c>
      <c r="H571" t="n">
        <v>0</v>
      </c>
      <c r="I571" t="n">
        <v>0</v>
      </c>
      <c r="J571" t="n">
        <v>0</v>
      </c>
      <c r="K571" t="n">
        <v>0</v>
      </c>
      <c r="L571" t="n">
        <v>0</v>
      </c>
      <c r="M571" t="n">
        <v>0</v>
      </c>
      <c r="N571" t="n">
        <v>0</v>
      </c>
      <c r="O571" t="n">
        <v>0</v>
      </c>
      <c r="P571" t="n">
        <v>0</v>
      </c>
      <c r="Q571" t="n">
        <v>0</v>
      </c>
      <c r="R571" s="2" t="inlineStr"/>
    </row>
    <row r="572" ht="15" customHeight="1">
      <c r="A572" t="inlineStr">
        <is>
          <t>A 1624-2024</t>
        </is>
      </c>
      <c r="B572" s="1" t="n">
        <v>45306</v>
      </c>
      <c r="C572" s="1" t="n">
        <v>46181</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19505-2022</t>
        </is>
      </c>
      <c r="B573" s="1" t="n">
        <v>44693</v>
      </c>
      <c r="C573" s="1" t="n">
        <v>46181</v>
      </c>
      <c r="D573" t="inlineStr">
        <is>
          <t>DALARNAS LÄN</t>
        </is>
      </c>
      <c r="E573" t="inlineStr">
        <is>
          <t>ORSA</t>
        </is>
      </c>
      <c r="G573" t="n">
        <v>2.7</v>
      </c>
      <c r="H573" t="n">
        <v>0</v>
      </c>
      <c r="I573" t="n">
        <v>0</v>
      </c>
      <c r="J573" t="n">
        <v>0</v>
      </c>
      <c r="K573" t="n">
        <v>0</v>
      </c>
      <c r="L573" t="n">
        <v>0</v>
      </c>
      <c r="M573" t="n">
        <v>0</v>
      </c>
      <c r="N573" t="n">
        <v>0</v>
      </c>
      <c r="O573" t="n">
        <v>0</v>
      </c>
      <c r="P573" t="n">
        <v>0</v>
      </c>
      <c r="Q573" t="n">
        <v>0</v>
      </c>
      <c r="R573" s="2" t="inlineStr"/>
    </row>
    <row r="574" ht="15" customHeight="1">
      <c r="A574" t="inlineStr">
        <is>
          <t>A 19108-2025</t>
        </is>
      </c>
      <c r="B574" s="1" t="n">
        <v>45768</v>
      </c>
      <c r="C574" s="1" t="n">
        <v>46181</v>
      </c>
      <c r="D574" t="inlineStr">
        <is>
          <t>DALARNAS LÄN</t>
        </is>
      </c>
      <c r="E574" t="inlineStr">
        <is>
          <t>ORSA</t>
        </is>
      </c>
      <c r="F574" t="inlineStr">
        <is>
          <t>Bergvik skog väst AB</t>
        </is>
      </c>
      <c r="G574" t="n">
        <v>14.3</v>
      </c>
      <c r="H574" t="n">
        <v>0</v>
      </c>
      <c r="I574" t="n">
        <v>0</v>
      </c>
      <c r="J574" t="n">
        <v>0</v>
      </c>
      <c r="K574" t="n">
        <v>0</v>
      </c>
      <c r="L574" t="n">
        <v>0</v>
      </c>
      <c r="M574" t="n">
        <v>0</v>
      </c>
      <c r="N574" t="n">
        <v>0</v>
      </c>
      <c r="O574" t="n">
        <v>0</v>
      </c>
      <c r="P574" t="n">
        <v>0</v>
      </c>
      <c r="Q574" t="n">
        <v>0</v>
      </c>
      <c r="R574" s="2" t="inlineStr"/>
    </row>
    <row r="575" ht="15" customHeight="1">
      <c r="A575" t="inlineStr">
        <is>
          <t>A 593-2024</t>
        </is>
      </c>
      <c r="B575" s="1" t="n">
        <v>45299.63049768518</v>
      </c>
      <c r="C575" s="1" t="n">
        <v>46181</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47732-2022</t>
        </is>
      </c>
      <c r="B576" s="1" t="n">
        <v>44854.63668981481</v>
      </c>
      <c r="C576" s="1" t="n">
        <v>46181</v>
      </c>
      <c r="D576" t="inlineStr">
        <is>
          <t>DALARNAS LÄN</t>
        </is>
      </c>
      <c r="E576" t="inlineStr">
        <is>
          <t>ORSA</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61279-2023</t>
        </is>
      </c>
      <c r="B577" s="1" t="n">
        <v>45264.5270949074</v>
      </c>
      <c r="C577" s="1" t="n">
        <v>46181</v>
      </c>
      <c r="D577" t="inlineStr">
        <is>
          <t>DALARNAS LÄN</t>
        </is>
      </c>
      <c r="E577" t="inlineStr">
        <is>
          <t>ORSA</t>
        </is>
      </c>
      <c r="G577" t="n">
        <v>0.2</v>
      </c>
      <c r="H577" t="n">
        <v>0</v>
      </c>
      <c r="I577" t="n">
        <v>0</v>
      </c>
      <c r="J577" t="n">
        <v>0</v>
      </c>
      <c r="K577" t="n">
        <v>0</v>
      </c>
      <c r="L577" t="n">
        <v>0</v>
      </c>
      <c r="M577" t="n">
        <v>0</v>
      </c>
      <c r="N577" t="n">
        <v>0</v>
      </c>
      <c r="O577" t="n">
        <v>0</v>
      </c>
      <c r="P577" t="n">
        <v>0</v>
      </c>
      <c r="Q577" t="n">
        <v>0</v>
      </c>
      <c r="R577" s="2" t="inlineStr"/>
    </row>
    <row r="578" ht="15" customHeight="1">
      <c r="A578" t="inlineStr">
        <is>
          <t>A 23461-2023</t>
        </is>
      </c>
      <c r="B578" s="1" t="n">
        <v>45076</v>
      </c>
      <c r="C578" s="1" t="n">
        <v>46181</v>
      </c>
      <c r="D578" t="inlineStr">
        <is>
          <t>DALARNAS LÄN</t>
        </is>
      </c>
      <c r="E578" t="inlineStr">
        <is>
          <t>ORSA</t>
        </is>
      </c>
      <c r="G578" t="n">
        <v>0.5</v>
      </c>
      <c r="H578" t="n">
        <v>0</v>
      </c>
      <c r="I578" t="n">
        <v>0</v>
      </c>
      <c r="J578" t="n">
        <v>0</v>
      </c>
      <c r="K578" t="n">
        <v>0</v>
      </c>
      <c r="L578" t="n">
        <v>0</v>
      </c>
      <c r="M578" t="n">
        <v>0</v>
      </c>
      <c r="N578" t="n">
        <v>0</v>
      </c>
      <c r="O578" t="n">
        <v>0</v>
      </c>
      <c r="P578" t="n">
        <v>0</v>
      </c>
      <c r="Q578" t="n">
        <v>0</v>
      </c>
      <c r="R578" s="2" t="inlineStr"/>
    </row>
    <row r="579" ht="15" customHeight="1">
      <c r="A579" t="inlineStr">
        <is>
          <t>A 18037-2023</t>
        </is>
      </c>
      <c r="B579" s="1" t="n">
        <v>45040</v>
      </c>
      <c r="C579" s="1" t="n">
        <v>46181</v>
      </c>
      <c r="D579" t="inlineStr">
        <is>
          <t>DALARNAS LÄN</t>
        </is>
      </c>
      <c r="E579" t="inlineStr">
        <is>
          <t>ORSA</t>
        </is>
      </c>
      <c r="G579" t="n">
        <v>6.6</v>
      </c>
      <c r="H579" t="n">
        <v>0</v>
      </c>
      <c r="I579" t="n">
        <v>0</v>
      </c>
      <c r="J579" t="n">
        <v>0</v>
      </c>
      <c r="K579" t="n">
        <v>0</v>
      </c>
      <c r="L579" t="n">
        <v>0</v>
      </c>
      <c r="M579" t="n">
        <v>0</v>
      </c>
      <c r="N579" t="n">
        <v>0</v>
      </c>
      <c r="O579" t="n">
        <v>0</v>
      </c>
      <c r="P579" t="n">
        <v>0</v>
      </c>
      <c r="Q579" t="n">
        <v>0</v>
      </c>
      <c r="R579" s="2" t="inlineStr"/>
    </row>
    <row r="580" ht="15" customHeight="1">
      <c r="A580" t="inlineStr">
        <is>
          <t>A 15114-2025</t>
        </is>
      </c>
      <c r="B580" s="1" t="n">
        <v>45744.36232638889</v>
      </c>
      <c r="C580" s="1" t="n">
        <v>46181</v>
      </c>
      <c r="D580" t="inlineStr">
        <is>
          <t>DALARNAS LÄN</t>
        </is>
      </c>
      <c r="E580" t="inlineStr">
        <is>
          <t>ORSA</t>
        </is>
      </c>
      <c r="F580" t="inlineStr">
        <is>
          <t>Allmännings- och besparingsskogar</t>
        </is>
      </c>
      <c r="G580" t="n">
        <v>1.9</v>
      </c>
      <c r="H580" t="n">
        <v>0</v>
      </c>
      <c r="I580" t="n">
        <v>0</v>
      </c>
      <c r="J580" t="n">
        <v>0</v>
      </c>
      <c r="K580" t="n">
        <v>0</v>
      </c>
      <c r="L580" t="n">
        <v>0</v>
      </c>
      <c r="M580" t="n">
        <v>0</v>
      </c>
      <c r="N580" t="n">
        <v>0</v>
      </c>
      <c r="O580" t="n">
        <v>0</v>
      </c>
      <c r="P580" t="n">
        <v>0</v>
      </c>
      <c r="Q580" t="n">
        <v>0</v>
      </c>
      <c r="R580" s="2" t="inlineStr"/>
    </row>
    <row r="581" ht="15" customHeight="1">
      <c r="A581" t="inlineStr">
        <is>
          <t>A 63917-2023</t>
        </is>
      </c>
      <c r="B581" s="1" t="n">
        <v>45278</v>
      </c>
      <c r="C581" s="1" t="n">
        <v>46181</v>
      </c>
      <c r="D581" t="inlineStr">
        <is>
          <t>DALARNAS LÄN</t>
        </is>
      </c>
      <c r="E581" t="inlineStr">
        <is>
          <t>ORSA</t>
        </is>
      </c>
      <c r="G581" t="n">
        <v>0.8</v>
      </c>
      <c r="H581" t="n">
        <v>0</v>
      </c>
      <c r="I581" t="n">
        <v>0</v>
      </c>
      <c r="J581" t="n">
        <v>0</v>
      </c>
      <c r="K581" t="n">
        <v>0</v>
      </c>
      <c r="L581" t="n">
        <v>0</v>
      </c>
      <c r="M581" t="n">
        <v>0</v>
      </c>
      <c r="N581" t="n">
        <v>0</v>
      </c>
      <c r="O581" t="n">
        <v>0</v>
      </c>
      <c r="P581" t="n">
        <v>0</v>
      </c>
      <c r="Q581" t="n">
        <v>0</v>
      </c>
      <c r="R581" s="2" t="inlineStr"/>
    </row>
    <row r="582" ht="15" customHeight="1">
      <c r="A582" t="inlineStr">
        <is>
          <t>A 52912-2023</t>
        </is>
      </c>
      <c r="B582" s="1" t="n">
        <v>45226.51766203704</v>
      </c>
      <c r="C582" s="1" t="n">
        <v>46181</v>
      </c>
      <c r="D582" t="inlineStr">
        <is>
          <t>DALARNAS LÄN</t>
        </is>
      </c>
      <c r="E582" t="inlineStr">
        <is>
          <t>ORSA</t>
        </is>
      </c>
      <c r="G582" t="n">
        <v>10.9</v>
      </c>
      <c r="H582" t="n">
        <v>0</v>
      </c>
      <c r="I582" t="n">
        <v>0</v>
      </c>
      <c r="J582" t="n">
        <v>0</v>
      </c>
      <c r="K582" t="n">
        <v>0</v>
      </c>
      <c r="L582" t="n">
        <v>0</v>
      </c>
      <c r="M582" t="n">
        <v>0</v>
      </c>
      <c r="N582" t="n">
        <v>0</v>
      </c>
      <c r="O582" t="n">
        <v>0</v>
      </c>
      <c r="P582" t="n">
        <v>0</v>
      </c>
      <c r="Q582" t="n">
        <v>0</v>
      </c>
      <c r="R582" s="2" t="inlineStr"/>
    </row>
    <row r="583" ht="15" customHeight="1">
      <c r="A583" t="inlineStr">
        <is>
          <t>A 10832-2022</t>
        </is>
      </c>
      <c r="B583" s="1" t="n">
        <v>44627</v>
      </c>
      <c r="C583" s="1" t="n">
        <v>46181</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10359-2023</t>
        </is>
      </c>
      <c r="B584" s="1" t="n">
        <v>44987.37292824074</v>
      </c>
      <c r="C584" s="1" t="n">
        <v>46181</v>
      </c>
      <c r="D584" t="inlineStr">
        <is>
          <t>DALARNAS LÄN</t>
        </is>
      </c>
      <c r="E584" t="inlineStr">
        <is>
          <t>ORSA</t>
        </is>
      </c>
      <c r="G584" t="n">
        <v>2.5</v>
      </c>
      <c r="H584" t="n">
        <v>0</v>
      </c>
      <c r="I584" t="n">
        <v>0</v>
      </c>
      <c r="J584" t="n">
        <v>0</v>
      </c>
      <c r="K584" t="n">
        <v>0</v>
      </c>
      <c r="L584" t="n">
        <v>0</v>
      </c>
      <c r="M584" t="n">
        <v>0</v>
      </c>
      <c r="N584" t="n">
        <v>0</v>
      </c>
      <c r="O584" t="n">
        <v>0</v>
      </c>
      <c r="P584" t="n">
        <v>0</v>
      </c>
      <c r="Q584" t="n">
        <v>0</v>
      </c>
      <c r="R584" s="2" t="inlineStr"/>
    </row>
    <row r="585" ht="15" customHeight="1">
      <c r="A585" t="inlineStr">
        <is>
          <t>A 23583-2026</t>
        </is>
      </c>
      <c r="B585" s="1" t="n">
        <v>46163.62005787037</v>
      </c>
      <c r="C585" s="1" t="n">
        <v>46181</v>
      </c>
      <c r="D585" t="inlineStr">
        <is>
          <t>DALARNAS LÄN</t>
        </is>
      </c>
      <c r="E585" t="inlineStr">
        <is>
          <t>ORSA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49270-2024</t>
        </is>
      </c>
      <c r="B586" s="1" t="n">
        <v>45595.49896990741</v>
      </c>
      <c r="C586" s="1" t="n">
        <v>46181</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50061-2024</t>
        </is>
      </c>
      <c r="B587" s="1" t="n">
        <v>45600.34721064815</v>
      </c>
      <c r="C587" s="1" t="n">
        <v>46181</v>
      </c>
      <c r="D587" t="inlineStr">
        <is>
          <t>DALARNAS LÄN</t>
        </is>
      </c>
      <c r="E587" t="inlineStr">
        <is>
          <t>ORSA</t>
        </is>
      </c>
      <c r="G587" t="n">
        <v>1.3</v>
      </c>
      <c r="H587" t="n">
        <v>0</v>
      </c>
      <c r="I587" t="n">
        <v>0</v>
      </c>
      <c r="J587" t="n">
        <v>0</v>
      </c>
      <c r="K587" t="n">
        <v>0</v>
      </c>
      <c r="L587" t="n">
        <v>0</v>
      </c>
      <c r="M587" t="n">
        <v>0</v>
      </c>
      <c r="N587" t="n">
        <v>0</v>
      </c>
      <c r="O587" t="n">
        <v>0</v>
      </c>
      <c r="P587" t="n">
        <v>0</v>
      </c>
      <c r="Q587" t="n">
        <v>0</v>
      </c>
      <c r="R587" s="2" t="inlineStr"/>
    </row>
    <row r="588" ht="15" customHeight="1">
      <c r="A588" t="inlineStr">
        <is>
          <t>A 56810-2024</t>
        </is>
      </c>
      <c r="B588" s="1" t="n">
        <v>45628</v>
      </c>
      <c r="C588" s="1" t="n">
        <v>46181</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56811-2024</t>
        </is>
      </c>
      <c r="B589" s="1" t="n">
        <v>45628</v>
      </c>
      <c r="C589" s="1" t="n">
        <v>46181</v>
      </c>
      <c r="D589" t="inlineStr">
        <is>
          <t>DALARNAS LÄN</t>
        </is>
      </c>
      <c r="E589" t="inlineStr">
        <is>
          <t>ORSA</t>
        </is>
      </c>
      <c r="G589" t="n">
        <v>1.3</v>
      </c>
      <c r="H589" t="n">
        <v>0</v>
      </c>
      <c r="I589" t="n">
        <v>0</v>
      </c>
      <c r="J589" t="n">
        <v>0</v>
      </c>
      <c r="K589" t="n">
        <v>0</v>
      </c>
      <c r="L589" t="n">
        <v>0</v>
      </c>
      <c r="M589" t="n">
        <v>0</v>
      </c>
      <c r="N589" t="n">
        <v>0</v>
      </c>
      <c r="O589" t="n">
        <v>0</v>
      </c>
      <c r="P589" t="n">
        <v>0</v>
      </c>
      <c r="Q589" t="n">
        <v>0</v>
      </c>
      <c r="R589" s="2" t="inlineStr"/>
    </row>
    <row r="590" ht="15" customHeight="1">
      <c r="A590" t="inlineStr">
        <is>
          <t>A 3168-2024</t>
        </is>
      </c>
      <c r="B590" s="1" t="n">
        <v>45316.62863425926</v>
      </c>
      <c r="C590" s="1" t="n">
        <v>46181</v>
      </c>
      <c r="D590" t="inlineStr">
        <is>
          <t>DALARNAS LÄN</t>
        </is>
      </c>
      <c r="E590" t="inlineStr">
        <is>
          <t>ORSA</t>
        </is>
      </c>
      <c r="G590" t="n">
        <v>0.7</v>
      </c>
      <c r="H590" t="n">
        <v>0</v>
      </c>
      <c r="I590" t="n">
        <v>0</v>
      </c>
      <c r="J590" t="n">
        <v>0</v>
      </c>
      <c r="K590" t="n">
        <v>0</v>
      </c>
      <c r="L590" t="n">
        <v>0</v>
      </c>
      <c r="M590" t="n">
        <v>0</v>
      </c>
      <c r="N590" t="n">
        <v>0</v>
      </c>
      <c r="O590" t="n">
        <v>0</v>
      </c>
      <c r="P590" t="n">
        <v>0</v>
      </c>
      <c r="Q590" t="n">
        <v>0</v>
      </c>
      <c r="R590" s="2" t="inlineStr"/>
    </row>
    <row r="591" ht="15" customHeight="1">
      <c r="A591" t="inlineStr">
        <is>
          <t>A 17421-2025</t>
        </is>
      </c>
      <c r="B591" s="1" t="n">
        <v>45757.38532407407</v>
      </c>
      <c r="C591" s="1" t="n">
        <v>46181</v>
      </c>
      <c r="D591" t="inlineStr">
        <is>
          <t>DALARNAS LÄN</t>
        </is>
      </c>
      <c r="E591" t="inlineStr">
        <is>
          <t>ORSA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50905-2021</t>
        </is>
      </c>
      <c r="B592" s="1" t="n">
        <v>44460</v>
      </c>
      <c r="C592" s="1" t="n">
        <v>46181</v>
      </c>
      <c r="D592" t="inlineStr">
        <is>
          <t>DALARNAS LÄN</t>
        </is>
      </c>
      <c r="E592" t="inlineStr">
        <is>
          <t>ORSA</t>
        </is>
      </c>
      <c r="G592" t="n">
        <v>2.1</v>
      </c>
      <c r="H592" t="n">
        <v>0</v>
      </c>
      <c r="I592" t="n">
        <v>0</v>
      </c>
      <c r="J592" t="n">
        <v>0</v>
      </c>
      <c r="K592" t="n">
        <v>0</v>
      </c>
      <c r="L592" t="n">
        <v>0</v>
      </c>
      <c r="M592" t="n">
        <v>0</v>
      </c>
      <c r="N592" t="n">
        <v>0</v>
      </c>
      <c r="O592" t="n">
        <v>0</v>
      </c>
      <c r="P592" t="n">
        <v>0</v>
      </c>
      <c r="Q592" t="n">
        <v>0</v>
      </c>
      <c r="R592" s="2" t="inlineStr"/>
    </row>
    <row r="593" ht="15" customHeight="1">
      <c r="A593" t="inlineStr">
        <is>
          <t>A 72310-2021</t>
        </is>
      </c>
      <c r="B593" s="1" t="n">
        <v>44545</v>
      </c>
      <c r="C593" s="1" t="n">
        <v>46181</v>
      </c>
      <c r="D593" t="inlineStr">
        <is>
          <t>DALARNAS LÄN</t>
        </is>
      </c>
      <c r="E593" t="inlineStr">
        <is>
          <t>ORSA</t>
        </is>
      </c>
      <c r="G593" t="n">
        <v>0.5</v>
      </c>
      <c r="H593" t="n">
        <v>0</v>
      </c>
      <c r="I593" t="n">
        <v>0</v>
      </c>
      <c r="J593" t="n">
        <v>0</v>
      </c>
      <c r="K593" t="n">
        <v>0</v>
      </c>
      <c r="L593" t="n">
        <v>0</v>
      </c>
      <c r="M593" t="n">
        <v>0</v>
      </c>
      <c r="N593" t="n">
        <v>0</v>
      </c>
      <c r="O593" t="n">
        <v>0</v>
      </c>
      <c r="P593" t="n">
        <v>0</v>
      </c>
      <c r="Q593" t="n">
        <v>0</v>
      </c>
      <c r="R593" s="2" t="inlineStr"/>
    </row>
    <row r="594" ht="15" customHeight="1">
      <c r="A594" t="inlineStr">
        <is>
          <t>A 23235-2026</t>
        </is>
      </c>
      <c r="B594" s="1" t="n">
        <v>46162.39581018518</v>
      </c>
      <c r="C594" s="1" t="n">
        <v>46181</v>
      </c>
      <c r="D594" t="inlineStr">
        <is>
          <t>DALARNAS LÄN</t>
        </is>
      </c>
      <c r="E594" t="inlineStr">
        <is>
          <t>ORSA</t>
        </is>
      </c>
      <c r="F594" t="inlineStr">
        <is>
          <t>Allmännings- och besparingsskogar</t>
        </is>
      </c>
      <c r="G594" t="n">
        <v>3.5</v>
      </c>
      <c r="H594" t="n">
        <v>0</v>
      </c>
      <c r="I594" t="n">
        <v>0</v>
      </c>
      <c r="J594" t="n">
        <v>0</v>
      </c>
      <c r="K594" t="n">
        <v>0</v>
      </c>
      <c r="L594" t="n">
        <v>0</v>
      </c>
      <c r="M594" t="n">
        <v>0</v>
      </c>
      <c r="N594" t="n">
        <v>0</v>
      </c>
      <c r="O594" t="n">
        <v>0</v>
      </c>
      <c r="P594" t="n">
        <v>0</v>
      </c>
      <c r="Q594" t="n">
        <v>0</v>
      </c>
      <c r="R594" s="2" t="inlineStr"/>
    </row>
    <row r="595" ht="15" customHeight="1">
      <c r="A595" t="inlineStr">
        <is>
          <t>A 34374-2024</t>
        </is>
      </c>
      <c r="B595" s="1" t="n">
        <v>45525.40091435185</v>
      </c>
      <c r="C595" s="1" t="n">
        <v>46181</v>
      </c>
      <c r="D595" t="inlineStr">
        <is>
          <t>DALARNAS LÄN</t>
        </is>
      </c>
      <c r="E595" t="inlineStr">
        <is>
          <t>ORSA</t>
        </is>
      </c>
      <c r="G595" t="n">
        <v>0.5</v>
      </c>
      <c r="H595" t="n">
        <v>0</v>
      </c>
      <c r="I595" t="n">
        <v>0</v>
      </c>
      <c r="J595" t="n">
        <v>0</v>
      </c>
      <c r="K595" t="n">
        <v>0</v>
      </c>
      <c r="L595" t="n">
        <v>0</v>
      </c>
      <c r="M595" t="n">
        <v>0</v>
      </c>
      <c r="N595" t="n">
        <v>0</v>
      </c>
      <c r="O595" t="n">
        <v>0</v>
      </c>
      <c r="P595" t="n">
        <v>0</v>
      </c>
      <c r="Q595" t="n">
        <v>0</v>
      </c>
      <c r="R595" s="2" t="inlineStr"/>
    </row>
    <row r="596" ht="15" customHeight="1">
      <c r="A596" t="inlineStr">
        <is>
          <t>A 21477-2026</t>
        </is>
      </c>
      <c r="B596" s="1" t="n">
        <v>46148</v>
      </c>
      <c r="C596" s="1" t="n">
        <v>46181</v>
      </c>
      <c r="D596" t="inlineStr">
        <is>
          <t>DALARNAS LÄN</t>
        </is>
      </c>
      <c r="E596" t="inlineStr">
        <is>
          <t>ORSA</t>
        </is>
      </c>
      <c r="G596" t="n">
        <v>17.1</v>
      </c>
      <c r="H596" t="n">
        <v>0</v>
      </c>
      <c r="I596" t="n">
        <v>0</v>
      </c>
      <c r="J596" t="n">
        <v>0</v>
      </c>
      <c r="K596" t="n">
        <v>0</v>
      </c>
      <c r="L596" t="n">
        <v>0</v>
      </c>
      <c r="M596" t="n">
        <v>0</v>
      </c>
      <c r="N596" t="n">
        <v>0</v>
      </c>
      <c r="O596" t="n">
        <v>0</v>
      </c>
      <c r="P596" t="n">
        <v>0</v>
      </c>
      <c r="Q596" t="n">
        <v>0</v>
      </c>
      <c r="R596" s="2" t="inlineStr"/>
    </row>
    <row r="597" ht="15" customHeight="1">
      <c r="A597" t="inlineStr">
        <is>
          <t>A 23582-2026</t>
        </is>
      </c>
      <c r="B597" s="1" t="n">
        <v>46163.61466435185</v>
      </c>
      <c r="C597" s="1" t="n">
        <v>46181</v>
      </c>
      <c r="D597" t="inlineStr">
        <is>
          <t>DALARNAS LÄN</t>
        </is>
      </c>
      <c r="E597" t="inlineStr">
        <is>
          <t>ORSA</t>
        </is>
      </c>
      <c r="F597" t="inlineStr">
        <is>
          <t>Bergvik skog öst AB</t>
        </is>
      </c>
      <c r="G597" t="n">
        <v>0.8</v>
      </c>
      <c r="H597" t="n">
        <v>0</v>
      </c>
      <c r="I597" t="n">
        <v>0</v>
      </c>
      <c r="J597" t="n">
        <v>0</v>
      </c>
      <c r="K597" t="n">
        <v>0</v>
      </c>
      <c r="L597" t="n">
        <v>0</v>
      </c>
      <c r="M597" t="n">
        <v>0</v>
      </c>
      <c r="N597" t="n">
        <v>0</v>
      </c>
      <c r="O597" t="n">
        <v>0</v>
      </c>
      <c r="P597" t="n">
        <v>0</v>
      </c>
      <c r="Q597" t="n">
        <v>0</v>
      </c>
      <c r="R597" s="2" t="inlineStr"/>
    </row>
    <row r="598" ht="15" customHeight="1">
      <c r="A598" t="inlineStr">
        <is>
          <t>A 23746-2026</t>
        </is>
      </c>
      <c r="B598" s="1" t="n">
        <v>46164.51518518518</v>
      </c>
      <c r="C598" s="1" t="n">
        <v>46181</v>
      </c>
      <c r="D598" t="inlineStr">
        <is>
          <t>DALARNAS LÄN</t>
        </is>
      </c>
      <c r="E598" t="inlineStr">
        <is>
          <t>ORSA</t>
        </is>
      </c>
      <c r="F598" t="inlineStr">
        <is>
          <t>Bergvik skog öst AB</t>
        </is>
      </c>
      <c r="G598" t="n">
        <v>4.3</v>
      </c>
      <c r="H598" t="n">
        <v>0</v>
      </c>
      <c r="I598" t="n">
        <v>0</v>
      </c>
      <c r="J598" t="n">
        <v>0</v>
      </c>
      <c r="K598" t="n">
        <v>0</v>
      </c>
      <c r="L598" t="n">
        <v>0</v>
      </c>
      <c r="M598" t="n">
        <v>0</v>
      </c>
      <c r="N598" t="n">
        <v>0</v>
      </c>
      <c r="O598" t="n">
        <v>0</v>
      </c>
      <c r="P598" t="n">
        <v>0</v>
      </c>
      <c r="Q598" t="n">
        <v>0</v>
      </c>
      <c r="R598" s="2" t="inlineStr"/>
    </row>
    <row r="599" ht="15" customHeight="1">
      <c r="A599" t="inlineStr">
        <is>
          <t>A 23981-2026</t>
        </is>
      </c>
      <c r="B599" s="1" t="n">
        <v>46167.59725694444</v>
      </c>
      <c r="C599" s="1" t="n">
        <v>46181</v>
      </c>
      <c r="D599" t="inlineStr">
        <is>
          <t>DALARNAS LÄN</t>
        </is>
      </c>
      <c r="E599" t="inlineStr">
        <is>
          <t>ORSA</t>
        </is>
      </c>
      <c r="F599" t="inlineStr">
        <is>
          <t>Bergvik skog öst AB</t>
        </is>
      </c>
      <c r="G599" t="n">
        <v>4.6</v>
      </c>
      <c r="H599" t="n">
        <v>0</v>
      </c>
      <c r="I599" t="n">
        <v>0</v>
      </c>
      <c r="J599" t="n">
        <v>0</v>
      </c>
      <c r="K599" t="n">
        <v>0</v>
      </c>
      <c r="L599" t="n">
        <v>0</v>
      </c>
      <c r="M599" t="n">
        <v>0</v>
      </c>
      <c r="N599" t="n">
        <v>0</v>
      </c>
      <c r="O599" t="n">
        <v>0</v>
      </c>
      <c r="P599" t="n">
        <v>0</v>
      </c>
      <c r="Q599" t="n">
        <v>0</v>
      </c>
      <c r="R599" s="2" t="inlineStr"/>
    </row>
    <row r="600" ht="15" customHeight="1">
      <c r="A600" t="inlineStr">
        <is>
          <t>A 23985-2026</t>
        </is>
      </c>
      <c r="B600" s="1" t="n">
        <v>46167.60168981482</v>
      </c>
      <c r="C600" s="1" t="n">
        <v>46181</v>
      </c>
      <c r="D600" t="inlineStr">
        <is>
          <t>DALARNAS LÄN</t>
        </is>
      </c>
      <c r="E600" t="inlineStr">
        <is>
          <t>ORSA</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18013-2026</t>
        </is>
      </c>
      <c r="B601" s="1" t="n">
        <v>46125.34071759259</v>
      </c>
      <c r="C601" s="1" t="n">
        <v>46181</v>
      </c>
      <c r="D601" t="inlineStr">
        <is>
          <t>DALARNAS LÄN</t>
        </is>
      </c>
      <c r="E601" t="inlineStr">
        <is>
          <t>ORSA</t>
        </is>
      </c>
      <c r="F601" t="inlineStr">
        <is>
          <t>Allmännings- och besparingsskogar</t>
        </is>
      </c>
      <c r="G601" t="n">
        <v>2.7</v>
      </c>
      <c r="H601" t="n">
        <v>0</v>
      </c>
      <c r="I601" t="n">
        <v>0</v>
      </c>
      <c r="J601" t="n">
        <v>0</v>
      </c>
      <c r="K601" t="n">
        <v>0</v>
      </c>
      <c r="L601" t="n">
        <v>0</v>
      </c>
      <c r="M601" t="n">
        <v>0</v>
      </c>
      <c r="N601" t="n">
        <v>0</v>
      </c>
      <c r="O601" t="n">
        <v>0</v>
      </c>
      <c r="P601" t="n">
        <v>0</v>
      </c>
      <c r="Q601" t="n">
        <v>0</v>
      </c>
      <c r="R601" s="2" t="inlineStr"/>
    </row>
    <row r="602" ht="15" customHeight="1">
      <c r="A602" t="inlineStr">
        <is>
          <t>A 23712-2026</t>
        </is>
      </c>
      <c r="B602" s="1" t="n">
        <v>46164.46298611111</v>
      </c>
      <c r="C602" s="1" t="n">
        <v>46181</v>
      </c>
      <c r="D602" t="inlineStr">
        <is>
          <t>DALARNAS LÄN</t>
        </is>
      </c>
      <c r="E602" t="inlineStr">
        <is>
          <t>ORSA</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23924-2026</t>
        </is>
      </c>
      <c r="B603" s="1" t="n">
        <v>46167.5275462963</v>
      </c>
      <c r="C603" s="1" t="n">
        <v>46181</v>
      </c>
      <c r="D603" t="inlineStr">
        <is>
          <t>DALARNAS LÄN</t>
        </is>
      </c>
      <c r="E603" t="inlineStr">
        <is>
          <t>ORSA</t>
        </is>
      </c>
      <c r="F603" t="inlineStr">
        <is>
          <t>Allmännings- och besparingsskogar</t>
        </is>
      </c>
      <c r="G603" t="n">
        <v>26.5</v>
      </c>
      <c r="H603" t="n">
        <v>0</v>
      </c>
      <c r="I603" t="n">
        <v>0</v>
      </c>
      <c r="J603" t="n">
        <v>0</v>
      </c>
      <c r="K603" t="n">
        <v>0</v>
      </c>
      <c r="L603" t="n">
        <v>0</v>
      </c>
      <c r="M603" t="n">
        <v>0</v>
      </c>
      <c r="N603" t="n">
        <v>0</v>
      </c>
      <c r="O603" t="n">
        <v>0</v>
      </c>
      <c r="P603" t="n">
        <v>0</v>
      </c>
      <c r="Q603" t="n">
        <v>0</v>
      </c>
      <c r="R603" s="2" t="inlineStr"/>
    </row>
    <row r="604" ht="15" customHeight="1">
      <c r="A604" t="inlineStr">
        <is>
          <t>A 22039-2026</t>
        </is>
      </c>
      <c r="B604" s="1" t="n">
        <v>46153.45459490741</v>
      </c>
      <c r="C604" s="1" t="n">
        <v>46181</v>
      </c>
      <c r="D604" t="inlineStr">
        <is>
          <t>DALARNAS LÄN</t>
        </is>
      </c>
      <c r="E604" t="inlineStr">
        <is>
          <t>ORSA</t>
        </is>
      </c>
      <c r="F604" t="inlineStr">
        <is>
          <t>Bergvik skog öst AB</t>
        </is>
      </c>
      <c r="G604" t="n">
        <v>13.1</v>
      </c>
      <c r="H604" t="n">
        <v>0</v>
      </c>
      <c r="I604" t="n">
        <v>0</v>
      </c>
      <c r="J604" t="n">
        <v>0</v>
      </c>
      <c r="K604" t="n">
        <v>0</v>
      </c>
      <c r="L604" t="n">
        <v>0</v>
      </c>
      <c r="M604" t="n">
        <v>0</v>
      </c>
      <c r="N604" t="n">
        <v>0</v>
      </c>
      <c r="O604" t="n">
        <v>0</v>
      </c>
      <c r="P604" t="n">
        <v>0</v>
      </c>
      <c r="Q604" t="n">
        <v>0</v>
      </c>
      <c r="R604" s="2" t="inlineStr"/>
    </row>
    <row r="605" ht="15" customHeight="1">
      <c r="A605" t="inlineStr">
        <is>
          <t>A 23709-2026</t>
        </is>
      </c>
      <c r="B605" s="1" t="n">
        <v>46164.46054398148</v>
      </c>
      <c r="C605" s="1" t="n">
        <v>46181</v>
      </c>
      <c r="D605" t="inlineStr">
        <is>
          <t>DALARNAS LÄN</t>
        </is>
      </c>
      <c r="E605" t="inlineStr">
        <is>
          <t>ORSA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23940-2026</t>
        </is>
      </c>
      <c r="B606" s="1" t="n">
        <v>46167.55766203703</v>
      </c>
      <c r="C606" s="1" t="n">
        <v>46181</v>
      </c>
      <c r="D606" t="inlineStr">
        <is>
          <t>DALARNAS LÄN</t>
        </is>
      </c>
      <c r="E606" t="inlineStr">
        <is>
          <t>ORSA</t>
        </is>
      </c>
      <c r="F606" t="inlineStr">
        <is>
          <t>Bergvik skog öst AB</t>
        </is>
      </c>
      <c r="G606" t="n">
        <v>12.8</v>
      </c>
      <c r="H606" t="n">
        <v>0</v>
      </c>
      <c r="I606" t="n">
        <v>0</v>
      </c>
      <c r="J606" t="n">
        <v>0</v>
      </c>
      <c r="K606" t="n">
        <v>0</v>
      </c>
      <c r="L606" t="n">
        <v>0</v>
      </c>
      <c r="M606" t="n">
        <v>0</v>
      </c>
      <c r="N606" t="n">
        <v>0</v>
      </c>
      <c r="O606" t="n">
        <v>0</v>
      </c>
      <c r="P606" t="n">
        <v>0</v>
      </c>
      <c r="Q606" t="n">
        <v>0</v>
      </c>
      <c r="R606" s="2" t="inlineStr"/>
    </row>
    <row r="607" ht="15" customHeight="1">
      <c r="A607" t="inlineStr">
        <is>
          <t>A 21216-2023</t>
        </is>
      </c>
      <c r="B607" s="1" t="n">
        <v>45062</v>
      </c>
      <c r="C607" s="1" t="n">
        <v>46181</v>
      </c>
      <c r="D607" t="inlineStr">
        <is>
          <t>DALARNAS LÄN</t>
        </is>
      </c>
      <c r="E607" t="inlineStr">
        <is>
          <t>ORSA</t>
        </is>
      </c>
      <c r="F607" t="inlineStr">
        <is>
          <t>Bergvik skog öst AB</t>
        </is>
      </c>
      <c r="G607" t="n">
        <v>3.8</v>
      </c>
      <c r="H607" t="n">
        <v>0</v>
      </c>
      <c r="I607" t="n">
        <v>0</v>
      </c>
      <c r="J607" t="n">
        <v>0</v>
      </c>
      <c r="K607" t="n">
        <v>0</v>
      </c>
      <c r="L607" t="n">
        <v>0</v>
      </c>
      <c r="M607" t="n">
        <v>0</v>
      </c>
      <c r="N607" t="n">
        <v>0</v>
      </c>
      <c r="O607" t="n">
        <v>0</v>
      </c>
      <c r="P607" t="n">
        <v>0</v>
      </c>
      <c r="Q607" t="n">
        <v>0</v>
      </c>
      <c r="R607" s="2" t="inlineStr"/>
    </row>
    <row r="608" ht="15" customHeight="1">
      <c r="A608" t="inlineStr">
        <is>
          <t>A 10374-2023</t>
        </is>
      </c>
      <c r="B608" s="1" t="n">
        <v>44987.41359953704</v>
      </c>
      <c r="C608" s="1" t="n">
        <v>46181</v>
      </c>
      <c r="D608" t="inlineStr">
        <is>
          <t>DALARNAS LÄN</t>
        </is>
      </c>
      <c r="E608" t="inlineStr">
        <is>
          <t>ORSA</t>
        </is>
      </c>
      <c r="G608" t="n">
        <v>1.8</v>
      </c>
      <c r="H608" t="n">
        <v>0</v>
      </c>
      <c r="I608" t="n">
        <v>0</v>
      </c>
      <c r="J608" t="n">
        <v>0</v>
      </c>
      <c r="K608" t="n">
        <v>0</v>
      </c>
      <c r="L608" t="n">
        <v>0</v>
      </c>
      <c r="M608" t="n">
        <v>0</v>
      </c>
      <c r="N608" t="n">
        <v>0</v>
      </c>
      <c r="O608" t="n">
        <v>0</v>
      </c>
      <c r="P608" t="n">
        <v>0</v>
      </c>
      <c r="Q608" t="n">
        <v>0</v>
      </c>
      <c r="R608" s="2" t="inlineStr"/>
    </row>
    <row r="609" ht="15" customHeight="1">
      <c r="A609" t="inlineStr">
        <is>
          <t>A 55691-2022</t>
        </is>
      </c>
      <c r="B609" s="1" t="n">
        <v>44888</v>
      </c>
      <c r="C609" s="1" t="n">
        <v>46181</v>
      </c>
      <c r="D609" t="inlineStr">
        <is>
          <t>DALARNAS LÄN</t>
        </is>
      </c>
      <c r="E609" t="inlineStr">
        <is>
          <t>ORSA</t>
        </is>
      </c>
      <c r="G609" t="n">
        <v>0.4</v>
      </c>
      <c r="H609" t="n">
        <v>0</v>
      </c>
      <c r="I609" t="n">
        <v>0</v>
      </c>
      <c r="J609" t="n">
        <v>0</v>
      </c>
      <c r="K609" t="n">
        <v>0</v>
      </c>
      <c r="L609" t="n">
        <v>0</v>
      </c>
      <c r="M609" t="n">
        <v>0</v>
      </c>
      <c r="N609" t="n">
        <v>0</v>
      </c>
      <c r="O609" t="n">
        <v>0</v>
      </c>
      <c r="P609" t="n">
        <v>0</v>
      </c>
      <c r="Q609" t="n">
        <v>0</v>
      </c>
      <c r="R609" s="2" t="inlineStr"/>
    </row>
    <row r="610" ht="15" customHeight="1">
      <c r="A610" t="inlineStr">
        <is>
          <t>A 18348-2026</t>
        </is>
      </c>
      <c r="B610" s="1" t="n">
        <v>46126</v>
      </c>
      <c r="C610" s="1" t="n">
        <v>46181</v>
      </c>
      <c r="D610" t="inlineStr">
        <is>
          <t>DALARNAS LÄN</t>
        </is>
      </c>
      <c r="E610" t="inlineStr">
        <is>
          <t>ORSA</t>
        </is>
      </c>
      <c r="G610" t="n">
        <v>1.3</v>
      </c>
      <c r="H610" t="n">
        <v>0</v>
      </c>
      <c r="I610" t="n">
        <v>0</v>
      </c>
      <c r="J610" t="n">
        <v>0</v>
      </c>
      <c r="K610" t="n">
        <v>0</v>
      </c>
      <c r="L610" t="n">
        <v>0</v>
      </c>
      <c r="M610" t="n">
        <v>0</v>
      </c>
      <c r="N610" t="n">
        <v>0</v>
      </c>
      <c r="O610" t="n">
        <v>0</v>
      </c>
      <c r="P610" t="n">
        <v>0</v>
      </c>
      <c r="Q610" t="n">
        <v>0</v>
      </c>
      <c r="R610" s="2" t="inlineStr"/>
    </row>
    <row r="611" ht="15" customHeight="1">
      <c r="A611" t="inlineStr">
        <is>
          <t>A 22497-2026</t>
        </is>
      </c>
      <c r="B611" s="1" t="n">
        <v>46154</v>
      </c>
      <c r="C611" s="1" t="n">
        <v>46181</v>
      </c>
      <c r="D611" t="inlineStr">
        <is>
          <t>DALARNAS LÄN</t>
        </is>
      </c>
      <c r="E611" t="inlineStr">
        <is>
          <t>ORSA</t>
        </is>
      </c>
      <c r="G611" t="n">
        <v>0.8</v>
      </c>
      <c r="H611" t="n">
        <v>0</v>
      </c>
      <c r="I611" t="n">
        <v>0</v>
      </c>
      <c r="J611" t="n">
        <v>0</v>
      </c>
      <c r="K611" t="n">
        <v>0</v>
      </c>
      <c r="L611" t="n">
        <v>0</v>
      </c>
      <c r="M611" t="n">
        <v>0</v>
      </c>
      <c r="N611" t="n">
        <v>0</v>
      </c>
      <c r="O611" t="n">
        <v>0</v>
      </c>
      <c r="P611" t="n">
        <v>0</v>
      </c>
      <c r="Q611" t="n">
        <v>0</v>
      </c>
      <c r="R611" s="2" t="inlineStr"/>
    </row>
    <row r="612" ht="15" customHeight="1">
      <c r="A612" t="inlineStr">
        <is>
          <t>A 3166-2024</t>
        </is>
      </c>
      <c r="B612" s="1" t="n">
        <v>45316.62592592592</v>
      </c>
      <c r="C612" s="1" t="n">
        <v>46181</v>
      </c>
      <c r="D612" t="inlineStr">
        <is>
          <t>DALARNAS LÄN</t>
        </is>
      </c>
      <c r="E612" t="inlineStr">
        <is>
          <t>ORSA</t>
        </is>
      </c>
      <c r="G612" t="n">
        <v>0.7</v>
      </c>
      <c r="H612" t="n">
        <v>0</v>
      </c>
      <c r="I612" t="n">
        <v>0</v>
      </c>
      <c r="J612" t="n">
        <v>0</v>
      </c>
      <c r="K612" t="n">
        <v>0</v>
      </c>
      <c r="L612" t="n">
        <v>0</v>
      </c>
      <c r="M612" t="n">
        <v>0</v>
      </c>
      <c r="N612" t="n">
        <v>0</v>
      </c>
      <c r="O612" t="n">
        <v>0</v>
      </c>
      <c r="P612" t="n">
        <v>0</v>
      </c>
      <c r="Q612" t="n">
        <v>0</v>
      </c>
      <c r="R612" s="2" t="inlineStr"/>
    </row>
    <row r="613" ht="15" customHeight="1">
      <c r="A613" t="inlineStr">
        <is>
          <t>A 19024-2026</t>
        </is>
      </c>
      <c r="B613" s="1" t="n">
        <v>46131.61427083334</v>
      </c>
      <c r="C613" s="1" t="n">
        <v>46181</v>
      </c>
      <c r="D613" t="inlineStr">
        <is>
          <t>DALARNAS LÄN</t>
        </is>
      </c>
      <c r="E613" t="inlineStr">
        <is>
          <t>ORSA</t>
        </is>
      </c>
      <c r="G613" t="n">
        <v>0.8</v>
      </c>
      <c r="H613" t="n">
        <v>0</v>
      </c>
      <c r="I613" t="n">
        <v>0</v>
      </c>
      <c r="J613" t="n">
        <v>0</v>
      </c>
      <c r="K613" t="n">
        <v>0</v>
      </c>
      <c r="L613" t="n">
        <v>0</v>
      </c>
      <c r="M613" t="n">
        <v>0</v>
      </c>
      <c r="N613" t="n">
        <v>0</v>
      </c>
      <c r="O613" t="n">
        <v>0</v>
      </c>
      <c r="P613" t="n">
        <v>0</v>
      </c>
      <c r="Q613" t="n">
        <v>0</v>
      </c>
      <c r="R613" s="2" t="inlineStr"/>
    </row>
    <row r="614" ht="15" customHeight="1">
      <c r="A614" t="inlineStr">
        <is>
          <t>A 24858-2026</t>
        </is>
      </c>
      <c r="B614" s="1" t="n">
        <v>46174.39219907407</v>
      </c>
      <c r="C614" s="1" t="n">
        <v>46181</v>
      </c>
      <c r="D614" t="inlineStr">
        <is>
          <t>DALARNAS LÄN</t>
        </is>
      </c>
      <c r="E614" t="inlineStr">
        <is>
          <t>ORSA</t>
        </is>
      </c>
      <c r="G614" t="n">
        <v>0.8</v>
      </c>
      <c r="H614" t="n">
        <v>0</v>
      </c>
      <c r="I614" t="n">
        <v>0</v>
      </c>
      <c r="J614" t="n">
        <v>0</v>
      </c>
      <c r="K614" t="n">
        <v>0</v>
      </c>
      <c r="L614" t="n">
        <v>0</v>
      </c>
      <c r="M614" t="n">
        <v>0</v>
      </c>
      <c r="N614" t="n">
        <v>0</v>
      </c>
      <c r="O614" t="n">
        <v>0</v>
      </c>
      <c r="P614" t="n">
        <v>0</v>
      </c>
      <c r="Q614" t="n">
        <v>0</v>
      </c>
      <c r="R614" s="2" t="inlineStr"/>
    </row>
    <row r="615" ht="15" customHeight="1">
      <c r="A615" t="inlineStr">
        <is>
          <t>A 25591-2022</t>
        </is>
      </c>
      <c r="B615" s="1" t="n">
        <v>44732.67958333333</v>
      </c>
      <c r="C615" s="1" t="n">
        <v>46181</v>
      </c>
      <c r="D615" t="inlineStr">
        <is>
          <t>DALARNAS LÄN</t>
        </is>
      </c>
      <c r="E615" t="inlineStr">
        <is>
          <t>ORSA</t>
        </is>
      </c>
      <c r="G615" t="n">
        <v>6</v>
      </c>
      <c r="H615" t="n">
        <v>0</v>
      </c>
      <c r="I615" t="n">
        <v>0</v>
      </c>
      <c r="J615" t="n">
        <v>0</v>
      </c>
      <c r="K615" t="n">
        <v>0</v>
      </c>
      <c r="L615" t="n">
        <v>0</v>
      </c>
      <c r="M615" t="n">
        <v>0</v>
      </c>
      <c r="N615" t="n">
        <v>0</v>
      </c>
      <c r="O615" t="n">
        <v>0</v>
      </c>
      <c r="P615" t="n">
        <v>0</v>
      </c>
      <c r="Q615" t="n">
        <v>0</v>
      </c>
      <c r="R615" s="2" t="inlineStr"/>
    </row>
    <row r="616" ht="15" customHeight="1">
      <c r="A616" t="inlineStr">
        <is>
          <t>A 3951-2023</t>
        </is>
      </c>
      <c r="B616" s="1" t="n">
        <v>44952.38577546296</v>
      </c>
      <c r="C616" s="1" t="n">
        <v>46181</v>
      </c>
      <c r="D616" t="inlineStr">
        <is>
          <t>DALARNAS LÄN</t>
        </is>
      </c>
      <c r="E616" t="inlineStr">
        <is>
          <t>ORSA</t>
        </is>
      </c>
      <c r="G616" t="n">
        <v>0.8</v>
      </c>
      <c r="H616" t="n">
        <v>0</v>
      </c>
      <c r="I616" t="n">
        <v>0</v>
      </c>
      <c r="J616" t="n">
        <v>0</v>
      </c>
      <c r="K616" t="n">
        <v>0</v>
      </c>
      <c r="L616" t="n">
        <v>0</v>
      </c>
      <c r="M616" t="n">
        <v>0</v>
      </c>
      <c r="N616" t="n">
        <v>0</v>
      </c>
      <c r="O616" t="n">
        <v>0</v>
      </c>
      <c r="P616" t="n">
        <v>0</v>
      </c>
      <c r="Q616" t="n">
        <v>0</v>
      </c>
      <c r="R616" s="2" t="inlineStr"/>
    </row>
    <row r="617" ht="15" customHeight="1">
      <c r="A617" t="inlineStr">
        <is>
          <t>A 56942-2024</t>
        </is>
      </c>
      <c r="B617" s="1" t="n">
        <v>45628.62292824074</v>
      </c>
      <c r="C617" s="1" t="n">
        <v>46181</v>
      </c>
      <c r="D617" t="inlineStr">
        <is>
          <t>DALARNAS LÄN</t>
        </is>
      </c>
      <c r="E617" t="inlineStr">
        <is>
          <t>ORSA</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3107-2025</t>
        </is>
      </c>
      <c r="B618" s="1" t="n">
        <v>45678.68400462963</v>
      </c>
      <c r="C618" s="1" t="n">
        <v>46181</v>
      </c>
      <c r="D618" t="inlineStr">
        <is>
          <t>DALARNAS LÄN</t>
        </is>
      </c>
      <c r="E618" t="inlineStr">
        <is>
          <t>ORSA</t>
        </is>
      </c>
      <c r="G618" t="n">
        <v>2.1</v>
      </c>
      <c r="H618" t="n">
        <v>0</v>
      </c>
      <c r="I618" t="n">
        <v>0</v>
      </c>
      <c r="J618" t="n">
        <v>0</v>
      </c>
      <c r="K618" t="n">
        <v>0</v>
      </c>
      <c r="L618" t="n">
        <v>0</v>
      </c>
      <c r="M618" t="n">
        <v>0</v>
      </c>
      <c r="N618" t="n">
        <v>0</v>
      </c>
      <c r="O618" t="n">
        <v>0</v>
      </c>
      <c r="P618" t="n">
        <v>0</v>
      </c>
      <c r="Q618" t="n">
        <v>0</v>
      </c>
      <c r="R618" s="2" t="inlineStr"/>
    </row>
    <row r="619" ht="15" customHeight="1">
      <c r="A619" t="inlineStr">
        <is>
          <t>A 21905-2022</t>
        </is>
      </c>
      <c r="B619" s="1" t="n">
        <v>44711</v>
      </c>
      <c r="C619" s="1" t="n">
        <v>46181</v>
      </c>
      <c r="D619" t="inlineStr">
        <is>
          <t>DALARNAS LÄN</t>
        </is>
      </c>
      <c r="E619" t="inlineStr">
        <is>
          <t>ORSA</t>
        </is>
      </c>
      <c r="F619" t="inlineStr">
        <is>
          <t>Allmännings- och besparingsskogar</t>
        </is>
      </c>
      <c r="G619" t="n">
        <v>3.1</v>
      </c>
      <c r="H619" t="n">
        <v>0</v>
      </c>
      <c r="I619" t="n">
        <v>0</v>
      </c>
      <c r="J619" t="n">
        <v>0</v>
      </c>
      <c r="K619" t="n">
        <v>0</v>
      </c>
      <c r="L619" t="n">
        <v>0</v>
      </c>
      <c r="M619" t="n">
        <v>0</v>
      </c>
      <c r="N619" t="n">
        <v>0</v>
      </c>
      <c r="O619" t="n">
        <v>0</v>
      </c>
      <c r="P619" t="n">
        <v>0</v>
      </c>
      <c r="Q619" t="n">
        <v>0</v>
      </c>
      <c r="R619" s="2" t="inlineStr"/>
    </row>
    <row r="620" ht="15" customHeight="1">
      <c r="A620" t="inlineStr">
        <is>
          <t>A 50742-2023</t>
        </is>
      </c>
      <c r="B620" s="1" t="n">
        <v>45217.58891203703</v>
      </c>
      <c r="C620" s="1" t="n">
        <v>46181</v>
      </c>
      <c r="D620" t="inlineStr">
        <is>
          <t>DALARNAS LÄN</t>
        </is>
      </c>
      <c r="E620" t="inlineStr">
        <is>
          <t>ORSA</t>
        </is>
      </c>
      <c r="G620" t="n">
        <v>0.8</v>
      </c>
      <c r="H620" t="n">
        <v>0</v>
      </c>
      <c r="I620" t="n">
        <v>0</v>
      </c>
      <c r="J620" t="n">
        <v>0</v>
      </c>
      <c r="K620" t="n">
        <v>0</v>
      </c>
      <c r="L620" t="n">
        <v>0</v>
      </c>
      <c r="M620" t="n">
        <v>0</v>
      </c>
      <c r="N620" t="n">
        <v>0</v>
      </c>
      <c r="O620" t="n">
        <v>0</v>
      </c>
      <c r="P620" t="n">
        <v>0</v>
      </c>
      <c r="Q620" t="n">
        <v>0</v>
      </c>
      <c r="R620" s="2" t="inlineStr"/>
    </row>
    <row r="621" ht="15" customHeight="1">
      <c r="A621" t="inlineStr">
        <is>
          <t>A 27163-2023</t>
        </is>
      </c>
      <c r="B621" s="1" t="n">
        <v>45096.4878125</v>
      </c>
      <c r="C621" s="1" t="n">
        <v>46181</v>
      </c>
      <c r="D621" t="inlineStr">
        <is>
          <t>DALARNAS LÄN</t>
        </is>
      </c>
      <c r="E621" t="inlineStr">
        <is>
          <t>ORSA</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24895-2026</t>
        </is>
      </c>
      <c r="B622" s="1" t="n">
        <v>46174.46524305556</v>
      </c>
      <c r="C622" s="1" t="n">
        <v>46181</v>
      </c>
      <c r="D622" t="inlineStr">
        <is>
          <t>DALARNAS LÄN</t>
        </is>
      </c>
      <c r="E622" t="inlineStr">
        <is>
          <t>ORSA</t>
        </is>
      </c>
      <c r="F622" t="inlineStr">
        <is>
          <t>Allmännings- och besparingsskogar</t>
        </is>
      </c>
      <c r="G622" t="n">
        <v>14.7</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45507.46103009259</v>
      </c>
      <c r="C623" s="1" t="n">
        <v>46181</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37647-2023</t>
        </is>
      </c>
      <c r="B624" s="1" t="n">
        <v>45159</v>
      </c>
      <c r="C624" s="1" t="n">
        <v>46181</v>
      </c>
      <c r="D624" t="inlineStr">
        <is>
          <t>DALARNAS LÄN</t>
        </is>
      </c>
      <c r="E624" t="inlineStr">
        <is>
          <t>ORSA</t>
        </is>
      </c>
      <c r="F624" t="inlineStr">
        <is>
          <t>Allmännings- och besparingsskogar</t>
        </is>
      </c>
      <c r="G624" t="n">
        <v>2.1</v>
      </c>
      <c r="H624" t="n">
        <v>0</v>
      </c>
      <c r="I624" t="n">
        <v>0</v>
      </c>
      <c r="J624" t="n">
        <v>0</v>
      </c>
      <c r="K624" t="n">
        <v>0</v>
      </c>
      <c r="L624" t="n">
        <v>0</v>
      </c>
      <c r="M624" t="n">
        <v>0</v>
      </c>
      <c r="N624" t="n">
        <v>0</v>
      </c>
      <c r="O624" t="n">
        <v>0</v>
      </c>
      <c r="P624" t="n">
        <v>0</v>
      </c>
      <c r="Q624" t="n">
        <v>0</v>
      </c>
      <c r="R624" s="2" t="inlineStr"/>
    </row>
    <row r="625" ht="15" customHeight="1">
      <c r="A625" t="inlineStr">
        <is>
          <t>A 33673-2023</t>
        </is>
      </c>
      <c r="B625" s="1" t="n">
        <v>45132</v>
      </c>
      <c r="C625" s="1" t="n">
        <v>46181</v>
      </c>
      <c r="D625" t="inlineStr">
        <is>
          <t>DALARNAS LÄN</t>
        </is>
      </c>
      <c r="E625" t="inlineStr">
        <is>
          <t>ORSA</t>
        </is>
      </c>
      <c r="G625" t="n">
        <v>0.9</v>
      </c>
      <c r="H625" t="n">
        <v>0</v>
      </c>
      <c r="I625" t="n">
        <v>0</v>
      </c>
      <c r="J625" t="n">
        <v>0</v>
      </c>
      <c r="K625" t="n">
        <v>0</v>
      </c>
      <c r="L625" t="n">
        <v>0</v>
      </c>
      <c r="M625" t="n">
        <v>0</v>
      </c>
      <c r="N625" t="n">
        <v>0</v>
      </c>
      <c r="O625" t="n">
        <v>0</v>
      </c>
      <c r="P625" t="n">
        <v>0</v>
      </c>
      <c r="Q625" t="n">
        <v>0</v>
      </c>
      <c r="R625" s="2" t="inlineStr"/>
    </row>
    <row r="626" ht="15" customHeight="1">
      <c r="A626" t="inlineStr">
        <is>
          <t>A 58853-2022</t>
        </is>
      </c>
      <c r="B626" s="1" t="n">
        <v>44903</v>
      </c>
      <c r="C626" s="1" t="n">
        <v>46181</v>
      </c>
      <c r="D626" t="inlineStr">
        <is>
          <t>DALARNAS LÄN</t>
        </is>
      </c>
      <c r="E626" t="inlineStr">
        <is>
          <t>ORSA</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53758-2024</t>
        </is>
      </c>
      <c r="B627" s="1" t="n">
        <v>45615.50483796297</v>
      </c>
      <c r="C627" s="1" t="n">
        <v>46181</v>
      </c>
      <c r="D627" t="inlineStr">
        <is>
          <t>DALARNAS LÄN</t>
        </is>
      </c>
      <c r="E627" t="inlineStr">
        <is>
          <t>ORSA</t>
        </is>
      </c>
      <c r="G627" t="n">
        <v>0.5</v>
      </c>
      <c r="H627" t="n">
        <v>0</v>
      </c>
      <c r="I627" t="n">
        <v>0</v>
      </c>
      <c r="J627" t="n">
        <v>0</v>
      </c>
      <c r="K627" t="n">
        <v>0</v>
      </c>
      <c r="L627" t="n">
        <v>0</v>
      </c>
      <c r="M627" t="n">
        <v>0</v>
      </c>
      <c r="N627" t="n">
        <v>0</v>
      </c>
      <c r="O627" t="n">
        <v>0</v>
      </c>
      <c r="P627" t="n">
        <v>0</v>
      </c>
      <c r="Q627" t="n">
        <v>0</v>
      </c>
      <c r="R627" s="2" t="inlineStr"/>
    </row>
    <row r="628" ht="15" customHeight="1">
      <c r="A628" t="inlineStr">
        <is>
          <t>A 53102-2021</t>
        </is>
      </c>
      <c r="B628" s="1" t="n">
        <v>44467</v>
      </c>
      <c r="C628" s="1" t="n">
        <v>46181</v>
      </c>
      <c r="D628" t="inlineStr">
        <is>
          <t>DALARNAS LÄN</t>
        </is>
      </c>
      <c r="E628" t="inlineStr">
        <is>
          <t>ORSA</t>
        </is>
      </c>
      <c r="G628" t="n">
        <v>1.4</v>
      </c>
      <c r="H628" t="n">
        <v>0</v>
      </c>
      <c r="I628" t="n">
        <v>0</v>
      </c>
      <c r="J628" t="n">
        <v>0</v>
      </c>
      <c r="K628" t="n">
        <v>0</v>
      </c>
      <c r="L628" t="n">
        <v>0</v>
      </c>
      <c r="M628" t="n">
        <v>0</v>
      </c>
      <c r="N628" t="n">
        <v>0</v>
      </c>
      <c r="O628" t="n">
        <v>0</v>
      </c>
      <c r="P628" t="n">
        <v>0</v>
      </c>
      <c r="Q628" t="n">
        <v>0</v>
      </c>
      <c r="R628" s="2" t="inlineStr"/>
    </row>
    <row r="629" ht="15" customHeight="1">
      <c r="A629" t="inlineStr">
        <is>
          <t>A 1304-2024</t>
        </is>
      </c>
      <c r="B629" s="1" t="n">
        <v>45303</v>
      </c>
      <c r="C629" s="1" t="n">
        <v>46181</v>
      </c>
      <c r="D629" t="inlineStr">
        <is>
          <t>DALARNAS LÄN</t>
        </is>
      </c>
      <c r="E629" t="inlineStr">
        <is>
          <t>ORSA</t>
        </is>
      </c>
      <c r="G629" t="n">
        <v>3.8</v>
      </c>
      <c r="H629" t="n">
        <v>0</v>
      </c>
      <c r="I629" t="n">
        <v>0</v>
      </c>
      <c r="J629" t="n">
        <v>0</v>
      </c>
      <c r="K629" t="n">
        <v>0</v>
      </c>
      <c r="L629" t="n">
        <v>0</v>
      </c>
      <c r="M629" t="n">
        <v>0</v>
      </c>
      <c r="N629" t="n">
        <v>0</v>
      </c>
      <c r="O629" t="n">
        <v>0</v>
      </c>
      <c r="P629" t="n">
        <v>0</v>
      </c>
      <c r="Q629" t="n">
        <v>0</v>
      </c>
      <c r="R629" s="2" t="inlineStr"/>
    </row>
    <row r="630" ht="15" customHeight="1">
      <c r="A630" t="inlineStr">
        <is>
          <t>A 27877-2021</t>
        </is>
      </c>
      <c r="B630" s="1" t="n">
        <v>44354.6446875</v>
      </c>
      <c r="C630" s="1" t="n">
        <v>46181</v>
      </c>
      <c r="D630" t="inlineStr">
        <is>
          <t>DALARNAS LÄN</t>
        </is>
      </c>
      <c r="E630" t="inlineStr">
        <is>
          <t>ORSA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17848-2025</t>
        </is>
      </c>
      <c r="B631" s="1" t="n">
        <v>45758.59981481481</v>
      </c>
      <c r="C631" s="1" t="n">
        <v>46181</v>
      </c>
      <c r="D631" t="inlineStr">
        <is>
          <t>DALARNAS LÄN</t>
        </is>
      </c>
      <c r="E631" t="inlineStr">
        <is>
          <t>ORSA</t>
        </is>
      </c>
      <c r="G631" t="n">
        <v>1.6</v>
      </c>
      <c r="H631" t="n">
        <v>0</v>
      </c>
      <c r="I631" t="n">
        <v>0</v>
      </c>
      <c r="J631" t="n">
        <v>0</v>
      </c>
      <c r="K631" t="n">
        <v>0</v>
      </c>
      <c r="L631" t="n">
        <v>0</v>
      </c>
      <c r="M631" t="n">
        <v>0</v>
      </c>
      <c r="N631" t="n">
        <v>0</v>
      </c>
      <c r="O631" t="n">
        <v>0</v>
      </c>
      <c r="P631" t="n">
        <v>0</v>
      </c>
      <c r="Q631" t="n">
        <v>0</v>
      </c>
      <c r="R631" s="2" t="inlineStr"/>
    </row>
    <row r="632" ht="15" customHeight="1">
      <c r="A632" t="inlineStr">
        <is>
          <t>A 18694-2026</t>
        </is>
      </c>
      <c r="B632" s="1" t="n">
        <v>46128.40887731482</v>
      </c>
      <c r="C632" s="1" t="n">
        <v>46181</v>
      </c>
      <c r="D632" t="inlineStr">
        <is>
          <t>DALARNAS LÄN</t>
        </is>
      </c>
      <c r="E632" t="inlineStr">
        <is>
          <t>ORSA</t>
        </is>
      </c>
      <c r="G632" t="n">
        <v>1.4</v>
      </c>
      <c r="H632" t="n">
        <v>0</v>
      </c>
      <c r="I632" t="n">
        <v>0</v>
      </c>
      <c r="J632" t="n">
        <v>0</v>
      </c>
      <c r="K632" t="n">
        <v>0</v>
      </c>
      <c r="L632" t="n">
        <v>0</v>
      </c>
      <c r="M632" t="n">
        <v>0</v>
      </c>
      <c r="N632" t="n">
        <v>0</v>
      </c>
      <c r="O632" t="n">
        <v>0</v>
      </c>
      <c r="P632" t="n">
        <v>0</v>
      </c>
      <c r="Q632" t="n">
        <v>0</v>
      </c>
      <c r="R632" s="2" t="inlineStr"/>
    </row>
    <row r="633" ht="15" customHeight="1">
      <c r="A633" t="inlineStr">
        <is>
          <t>A 892-2024</t>
        </is>
      </c>
      <c r="B633" s="1" t="n">
        <v>45301</v>
      </c>
      <c r="C633" s="1" t="n">
        <v>46181</v>
      </c>
      <c r="D633" t="inlineStr">
        <is>
          <t>DALARNAS LÄN</t>
        </is>
      </c>
      <c r="E633" t="inlineStr">
        <is>
          <t>ORSA</t>
        </is>
      </c>
      <c r="G633" t="n">
        <v>1.2</v>
      </c>
      <c r="H633" t="n">
        <v>0</v>
      </c>
      <c r="I633" t="n">
        <v>0</v>
      </c>
      <c r="J633" t="n">
        <v>0</v>
      </c>
      <c r="K633" t="n">
        <v>0</v>
      </c>
      <c r="L633" t="n">
        <v>0</v>
      </c>
      <c r="M633" t="n">
        <v>0</v>
      </c>
      <c r="N633" t="n">
        <v>0</v>
      </c>
      <c r="O633" t="n">
        <v>0</v>
      </c>
      <c r="P633" t="n">
        <v>0</v>
      </c>
      <c r="Q633" t="n">
        <v>0</v>
      </c>
      <c r="R633" s="2" t="inlineStr"/>
    </row>
    <row r="634" ht="15" customHeight="1">
      <c r="A634" t="inlineStr">
        <is>
          <t>A 16777-2024</t>
        </is>
      </c>
      <c r="B634" s="1" t="n">
        <v>45411</v>
      </c>
      <c r="C634" s="1" t="n">
        <v>46181</v>
      </c>
      <c r="D634" t="inlineStr">
        <is>
          <t>DALARNAS LÄN</t>
        </is>
      </c>
      <c r="E634" t="inlineStr">
        <is>
          <t>ORSA</t>
        </is>
      </c>
      <c r="G634" t="n">
        <v>0.9</v>
      </c>
      <c r="H634" t="n">
        <v>0</v>
      </c>
      <c r="I634" t="n">
        <v>0</v>
      </c>
      <c r="J634" t="n">
        <v>0</v>
      </c>
      <c r="K634" t="n">
        <v>0</v>
      </c>
      <c r="L634" t="n">
        <v>0</v>
      </c>
      <c r="M634" t="n">
        <v>0</v>
      </c>
      <c r="N634" t="n">
        <v>0</v>
      </c>
      <c r="O634" t="n">
        <v>0</v>
      </c>
      <c r="P634" t="n">
        <v>0</v>
      </c>
      <c r="Q634" t="n">
        <v>0</v>
      </c>
      <c r="R634" s="2" t="inlineStr"/>
    </row>
    <row r="635" ht="15" customHeight="1">
      <c r="A635" t="inlineStr">
        <is>
          <t>A 19089-2026</t>
        </is>
      </c>
      <c r="B635" s="1" t="n">
        <v>46132.40895833333</v>
      </c>
      <c r="C635" s="1" t="n">
        <v>46181</v>
      </c>
      <c r="D635" t="inlineStr">
        <is>
          <t>DALARNAS LÄN</t>
        </is>
      </c>
      <c r="E635" t="inlineStr">
        <is>
          <t>ORSA</t>
        </is>
      </c>
      <c r="G635" t="n">
        <v>1</v>
      </c>
      <c r="H635" t="n">
        <v>0</v>
      </c>
      <c r="I635" t="n">
        <v>0</v>
      </c>
      <c r="J635" t="n">
        <v>0</v>
      </c>
      <c r="K635" t="n">
        <v>0</v>
      </c>
      <c r="L635" t="n">
        <v>0</v>
      </c>
      <c r="M635" t="n">
        <v>0</v>
      </c>
      <c r="N635" t="n">
        <v>0</v>
      </c>
      <c r="O635" t="n">
        <v>0</v>
      </c>
      <c r="P635" t="n">
        <v>0</v>
      </c>
      <c r="Q635" t="n">
        <v>0</v>
      </c>
      <c r="R635" s="2" t="inlineStr"/>
    </row>
    <row r="636" ht="15" customHeight="1">
      <c r="A636" t="inlineStr">
        <is>
          <t>A 48521-2024</t>
        </is>
      </c>
      <c r="B636" s="1" t="n">
        <v>45593.32871527778</v>
      </c>
      <c r="C636" s="1" t="n">
        <v>46181</v>
      </c>
      <c r="D636" t="inlineStr">
        <is>
          <t>DALARNAS LÄN</t>
        </is>
      </c>
      <c r="E636" t="inlineStr">
        <is>
          <t>ORSA</t>
        </is>
      </c>
      <c r="G636" t="n">
        <v>1.6</v>
      </c>
      <c r="H636" t="n">
        <v>0</v>
      </c>
      <c r="I636" t="n">
        <v>0</v>
      </c>
      <c r="J636" t="n">
        <v>0</v>
      </c>
      <c r="K636" t="n">
        <v>0</v>
      </c>
      <c r="L636" t="n">
        <v>0</v>
      </c>
      <c r="M636" t="n">
        <v>0</v>
      </c>
      <c r="N636" t="n">
        <v>0</v>
      </c>
      <c r="O636" t="n">
        <v>0</v>
      </c>
      <c r="P636" t="n">
        <v>0</v>
      </c>
      <c r="Q636" t="n">
        <v>0</v>
      </c>
      <c r="R636" s="2" t="inlineStr"/>
    </row>
    <row r="637" ht="15" customHeight="1">
      <c r="A637" t="inlineStr">
        <is>
          <t>A 52643-2024</t>
        </is>
      </c>
      <c r="B637" s="1" t="n">
        <v>45610.34175925926</v>
      </c>
      <c r="C637" s="1" t="n">
        <v>46181</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21301-2023</t>
        </is>
      </c>
      <c r="B638" s="1" t="n">
        <v>45062.66613425926</v>
      </c>
      <c r="C638" s="1" t="n">
        <v>46181</v>
      </c>
      <c r="D638" t="inlineStr">
        <is>
          <t>DALARNAS LÄN</t>
        </is>
      </c>
      <c r="E638" t="inlineStr">
        <is>
          <t>ORSA</t>
        </is>
      </c>
      <c r="G638" t="n">
        <v>2.2</v>
      </c>
      <c r="H638" t="n">
        <v>0</v>
      </c>
      <c r="I638" t="n">
        <v>0</v>
      </c>
      <c r="J638" t="n">
        <v>0</v>
      </c>
      <c r="K638" t="n">
        <v>0</v>
      </c>
      <c r="L638" t="n">
        <v>0</v>
      </c>
      <c r="M638" t="n">
        <v>0</v>
      </c>
      <c r="N638" t="n">
        <v>0</v>
      </c>
      <c r="O638" t="n">
        <v>0</v>
      </c>
      <c r="P638" t="n">
        <v>0</v>
      </c>
      <c r="Q638" t="n">
        <v>0</v>
      </c>
      <c r="R638" s="2" t="inlineStr"/>
    </row>
    <row r="639" ht="15" customHeight="1">
      <c r="A639" t="inlineStr">
        <is>
          <t>A 24994-2026</t>
        </is>
      </c>
      <c r="B639" s="1" t="n">
        <v>46174.60793981481</v>
      </c>
      <c r="C639" s="1" t="n">
        <v>46181</v>
      </c>
      <c r="D639" t="inlineStr">
        <is>
          <t>DALARNAS LÄN</t>
        </is>
      </c>
      <c r="E639" t="inlineStr">
        <is>
          <t>ORSA</t>
        </is>
      </c>
      <c r="G639" t="n">
        <v>2.8</v>
      </c>
      <c r="H639" t="n">
        <v>0</v>
      </c>
      <c r="I639" t="n">
        <v>0</v>
      </c>
      <c r="J639" t="n">
        <v>0</v>
      </c>
      <c r="K639" t="n">
        <v>0</v>
      </c>
      <c r="L639" t="n">
        <v>0</v>
      </c>
      <c r="M639" t="n">
        <v>0</v>
      </c>
      <c r="N639" t="n">
        <v>0</v>
      </c>
      <c r="O639" t="n">
        <v>0</v>
      </c>
      <c r="P639" t="n">
        <v>0</v>
      </c>
      <c r="Q639" t="n">
        <v>0</v>
      </c>
      <c r="R639" s="2" t="inlineStr"/>
    </row>
    <row r="640" ht="15" customHeight="1">
      <c r="A640" t="inlineStr">
        <is>
          <t>A 36569-2021</t>
        </is>
      </c>
      <c r="B640" s="1" t="n">
        <v>44391</v>
      </c>
      <c r="C640" s="1" t="n">
        <v>46181</v>
      </c>
      <c r="D640" t="inlineStr">
        <is>
          <t>DALARNAS LÄN</t>
        </is>
      </c>
      <c r="E640" t="inlineStr">
        <is>
          <t>ORSA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16220-2026</t>
        </is>
      </c>
      <c r="B641" s="1" t="n">
        <v>46111</v>
      </c>
      <c r="C641" s="1" t="n">
        <v>46181</v>
      </c>
      <c r="D641" t="inlineStr">
        <is>
          <t>DALARNAS LÄN</t>
        </is>
      </c>
      <c r="E641" t="inlineStr">
        <is>
          <t>ORSA</t>
        </is>
      </c>
      <c r="F641" t="inlineStr">
        <is>
          <t>Bergvik skog öst AB</t>
        </is>
      </c>
      <c r="G641" t="n">
        <v>7.7</v>
      </c>
      <c r="H641" t="n">
        <v>0</v>
      </c>
      <c r="I641" t="n">
        <v>0</v>
      </c>
      <c r="J641" t="n">
        <v>0</v>
      </c>
      <c r="K641" t="n">
        <v>0</v>
      </c>
      <c r="L641" t="n">
        <v>0</v>
      </c>
      <c r="M641" t="n">
        <v>0</v>
      </c>
      <c r="N641" t="n">
        <v>0</v>
      </c>
      <c r="O641" t="n">
        <v>0</v>
      </c>
      <c r="P641" t="n">
        <v>0</v>
      </c>
      <c r="Q641" t="n">
        <v>0</v>
      </c>
      <c r="R641" s="2" t="inlineStr"/>
    </row>
    <row r="642" ht="15" customHeight="1">
      <c r="A642" t="inlineStr">
        <is>
          <t>A 56711-2021</t>
        </is>
      </c>
      <c r="B642" s="1" t="n">
        <v>44481.41222222222</v>
      </c>
      <c r="C642" s="1" t="n">
        <v>46181</v>
      </c>
      <c r="D642" t="inlineStr">
        <is>
          <t>DALARNAS LÄN</t>
        </is>
      </c>
      <c r="E642" t="inlineStr">
        <is>
          <t>ORSA</t>
        </is>
      </c>
      <c r="G642" t="n">
        <v>0.9</v>
      </c>
      <c r="H642" t="n">
        <v>0</v>
      </c>
      <c r="I642" t="n">
        <v>0</v>
      </c>
      <c r="J642" t="n">
        <v>0</v>
      </c>
      <c r="K642" t="n">
        <v>0</v>
      </c>
      <c r="L642" t="n">
        <v>0</v>
      </c>
      <c r="M642" t="n">
        <v>0</v>
      </c>
      <c r="N642" t="n">
        <v>0</v>
      </c>
      <c r="O642" t="n">
        <v>0</v>
      </c>
      <c r="P642" t="n">
        <v>0</v>
      </c>
      <c r="Q642" t="n">
        <v>0</v>
      </c>
      <c r="R642" s="2" t="inlineStr"/>
    </row>
    <row r="643" ht="15" customHeight="1">
      <c r="A643" t="inlineStr">
        <is>
          <t>A 19026-2026</t>
        </is>
      </c>
      <c r="B643" s="1" t="n">
        <v>46131.62427083333</v>
      </c>
      <c r="C643" s="1" t="n">
        <v>46181</v>
      </c>
      <c r="D643" t="inlineStr">
        <is>
          <t>DALARNAS LÄN</t>
        </is>
      </c>
      <c r="E643" t="inlineStr">
        <is>
          <t>ORSA</t>
        </is>
      </c>
      <c r="G643" t="n">
        <v>3.9</v>
      </c>
      <c r="H643" t="n">
        <v>0</v>
      </c>
      <c r="I643" t="n">
        <v>0</v>
      </c>
      <c r="J643" t="n">
        <v>0</v>
      </c>
      <c r="K643" t="n">
        <v>0</v>
      </c>
      <c r="L643" t="n">
        <v>0</v>
      </c>
      <c r="M643" t="n">
        <v>0</v>
      </c>
      <c r="N643" t="n">
        <v>0</v>
      </c>
      <c r="O643" t="n">
        <v>0</v>
      </c>
      <c r="P643" t="n">
        <v>0</v>
      </c>
      <c r="Q643" t="n">
        <v>0</v>
      </c>
      <c r="R643" s="2" t="inlineStr"/>
    </row>
    <row r="644" ht="15" customHeight="1">
      <c r="A644" t="inlineStr">
        <is>
          <t>A 24722-2026</t>
        </is>
      </c>
      <c r="B644" s="1" t="n">
        <v>46171.54648148148</v>
      </c>
      <c r="C644" s="1" t="n">
        <v>46181</v>
      </c>
      <c r="D644" t="inlineStr">
        <is>
          <t>DALARNAS LÄN</t>
        </is>
      </c>
      <c r="E644" t="inlineStr">
        <is>
          <t>ORSA</t>
        </is>
      </c>
      <c r="F644" t="inlineStr">
        <is>
          <t>Allmännings- och besparingsskogar</t>
        </is>
      </c>
      <c r="G644" t="n">
        <v>3.6</v>
      </c>
      <c r="H644" t="n">
        <v>0</v>
      </c>
      <c r="I644" t="n">
        <v>0</v>
      </c>
      <c r="J644" t="n">
        <v>0</v>
      </c>
      <c r="K644" t="n">
        <v>0</v>
      </c>
      <c r="L644" t="n">
        <v>0</v>
      </c>
      <c r="M644" t="n">
        <v>0</v>
      </c>
      <c r="N644" t="n">
        <v>0</v>
      </c>
      <c r="O644" t="n">
        <v>0</v>
      </c>
      <c r="P644" t="n">
        <v>0</v>
      </c>
      <c r="Q644" t="n">
        <v>0</v>
      </c>
      <c r="R644" s="2" t="inlineStr"/>
    </row>
    <row r="645" ht="15" customHeight="1">
      <c r="A645" t="inlineStr">
        <is>
          <t>A 8526-2026</t>
        </is>
      </c>
      <c r="B645" s="1" t="n">
        <v>46065</v>
      </c>
      <c r="C645" s="1" t="n">
        <v>46181</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48990-2023</t>
        </is>
      </c>
      <c r="B646" s="1" t="n">
        <v>45209.64740740741</v>
      </c>
      <c r="C646" s="1" t="n">
        <v>46181</v>
      </c>
      <c r="D646" t="inlineStr">
        <is>
          <t>DALARNAS LÄN</t>
        </is>
      </c>
      <c r="E646" t="inlineStr">
        <is>
          <t>ORSA</t>
        </is>
      </c>
      <c r="F646" t="inlineStr">
        <is>
          <t>Allmännings- och besparingsskogar</t>
        </is>
      </c>
      <c r="G646" t="n">
        <v>0.9</v>
      </c>
      <c r="H646" t="n">
        <v>0</v>
      </c>
      <c r="I646" t="n">
        <v>0</v>
      </c>
      <c r="J646" t="n">
        <v>0</v>
      </c>
      <c r="K646" t="n">
        <v>0</v>
      </c>
      <c r="L646" t="n">
        <v>0</v>
      </c>
      <c r="M646" t="n">
        <v>0</v>
      </c>
      <c r="N646" t="n">
        <v>0</v>
      </c>
      <c r="O646" t="n">
        <v>0</v>
      </c>
      <c r="P646" t="n">
        <v>0</v>
      </c>
      <c r="Q646" t="n">
        <v>0</v>
      </c>
      <c r="R646" s="2" t="inlineStr"/>
    </row>
    <row r="647" ht="15" customHeight="1">
      <c r="A647" t="inlineStr">
        <is>
          <t>A 61684-2024</t>
        </is>
      </c>
      <c r="B647" s="1" t="n">
        <v>45647.56491898148</v>
      </c>
      <c r="C647" s="1" t="n">
        <v>46181</v>
      </c>
      <c r="D647" t="inlineStr">
        <is>
          <t>DALARNAS LÄN</t>
        </is>
      </c>
      <c r="E647" t="inlineStr">
        <is>
          <t>ORSA</t>
        </is>
      </c>
      <c r="G647" t="n">
        <v>5.8</v>
      </c>
      <c r="H647" t="n">
        <v>0</v>
      </c>
      <c r="I647" t="n">
        <v>0</v>
      </c>
      <c r="J647" t="n">
        <v>0</v>
      </c>
      <c r="K647" t="n">
        <v>0</v>
      </c>
      <c r="L647" t="n">
        <v>0</v>
      </c>
      <c r="M647" t="n">
        <v>0</v>
      </c>
      <c r="N647" t="n">
        <v>0</v>
      </c>
      <c r="O647" t="n">
        <v>0</v>
      </c>
      <c r="P647" t="n">
        <v>0</v>
      </c>
      <c r="Q647" t="n">
        <v>0</v>
      </c>
      <c r="R647" s="2" t="inlineStr"/>
    </row>
    <row r="648" ht="15" customHeight="1">
      <c r="A648" t="inlineStr">
        <is>
          <t>A 6492-2025</t>
        </is>
      </c>
      <c r="B648" s="1" t="n">
        <v>45699</v>
      </c>
      <c r="C648" s="1" t="n">
        <v>46181</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13580-2025</t>
        </is>
      </c>
      <c r="B649" s="1" t="n">
        <v>45736.58362268518</v>
      </c>
      <c r="C649" s="1" t="n">
        <v>46181</v>
      </c>
      <c r="D649" t="inlineStr">
        <is>
          <t>DALARNAS LÄN</t>
        </is>
      </c>
      <c r="E649" t="inlineStr">
        <is>
          <t>ORSA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51574-2023</t>
        </is>
      </c>
      <c r="B650" s="1" t="n">
        <v>45222.45090277777</v>
      </c>
      <c r="C650" s="1" t="n">
        <v>46181</v>
      </c>
      <c r="D650" t="inlineStr">
        <is>
          <t>DALARNAS LÄN</t>
        </is>
      </c>
      <c r="E650" t="inlineStr">
        <is>
          <t>ORSA</t>
        </is>
      </c>
      <c r="G650" t="n">
        <v>0.9</v>
      </c>
      <c r="H650" t="n">
        <v>0</v>
      </c>
      <c r="I650" t="n">
        <v>0</v>
      </c>
      <c r="J650" t="n">
        <v>0</v>
      </c>
      <c r="K650" t="n">
        <v>0</v>
      </c>
      <c r="L650" t="n">
        <v>0</v>
      </c>
      <c r="M650" t="n">
        <v>0</v>
      </c>
      <c r="N650" t="n">
        <v>0</v>
      </c>
      <c r="O650" t="n">
        <v>0</v>
      </c>
      <c r="P650" t="n">
        <v>0</v>
      </c>
      <c r="Q650" t="n">
        <v>0</v>
      </c>
      <c r="R650" s="2" t="inlineStr"/>
    </row>
    <row r="651" ht="15" customHeight="1">
      <c r="A651" t="inlineStr">
        <is>
          <t>A 44053-2025</t>
        </is>
      </c>
      <c r="B651" s="1" t="n">
        <v>45915.51239583334</v>
      </c>
      <c r="C651" s="1" t="n">
        <v>46181</v>
      </c>
      <c r="D651" t="inlineStr">
        <is>
          <t>DALARNAS LÄN</t>
        </is>
      </c>
      <c r="E651" t="inlineStr">
        <is>
          <t>ORSA</t>
        </is>
      </c>
      <c r="G651" t="n">
        <v>1.4</v>
      </c>
      <c r="H651" t="n">
        <v>0</v>
      </c>
      <c r="I651" t="n">
        <v>0</v>
      </c>
      <c r="J651" t="n">
        <v>0</v>
      </c>
      <c r="K651" t="n">
        <v>0</v>
      </c>
      <c r="L651" t="n">
        <v>0</v>
      </c>
      <c r="M651" t="n">
        <v>0</v>
      </c>
      <c r="N651" t="n">
        <v>0</v>
      </c>
      <c r="O651" t="n">
        <v>0</v>
      </c>
      <c r="P651" t="n">
        <v>0</v>
      </c>
      <c r="Q651" t="n">
        <v>0</v>
      </c>
      <c r="R651" s="2" t="inlineStr"/>
    </row>
    <row r="652" ht="15" customHeight="1">
      <c r="A652" t="inlineStr">
        <is>
          <t>A 54546-2024</t>
        </is>
      </c>
      <c r="B652" s="1" t="n">
        <v>45617.61476851852</v>
      </c>
      <c r="C652" s="1" t="n">
        <v>46181</v>
      </c>
      <c r="D652" t="inlineStr">
        <is>
          <t>DALARNAS LÄN</t>
        </is>
      </c>
      <c r="E652" t="inlineStr">
        <is>
          <t>ORSA</t>
        </is>
      </c>
      <c r="G652" t="n">
        <v>0.7</v>
      </c>
      <c r="H652" t="n">
        <v>0</v>
      </c>
      <c r="I652" t="n">
        <v>0</v>
      </c>
      <c r="J652" t="n">
        <v>0</v>
      </c>
      <c r="K652" t="n">
        <v>0</v>
      </c>
      <c r="L652" t="n">
        <v>0</v>
      </c>
      <c r="M652" t="n">
        <v>0</v>
      </c>
      <c r="N652" t="n">
        <v>0</v>
      </c>
      <c r="O652" t="n">
        <v>0</v>
      </c>
      <c r="P652" t="n">
        <v>0</v>
      </c>
      <c r="Q652" t="n">
        <v>0</v>
      </c>
      <c r="R652" s="2" t="inlineStr"/>
    </row>
    <row r="653" ht="15" customHeight="1">
      <c r="A653" t="inlineStr">
        <is>
          <t>A 6476-2025</t>
        </is>
      </c>
      <c r="B653" s="1" t="n">
        <v>45699</v>
      </c>
      <c r="C653" s="1" t="n">
        <v>46181</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6479-2025</t>
        </is>
      </c>
      <c r="B654" s="1" t="n">
        <v>45699</v>
      </c>
      <c r="C654" s="1" t="n">
        <v>46181</v>
      </c>
      <c r="D654" t="inlineStr">
        <is>
          <t>DALARNAS LÄN</t>
        </is>
      </c>
      <c r="E654" t="inlineStr">
        <is>
          <t>ORSA</t>
        </is>
      </c>
      <c r="G654" t="n">
        <v>3.2</v>
      </c>
      <c r="H654" t="n">
        <v>0</v>
      </c>
      <c r="I654" t="n">
        <v>0</v>
      </c>
      <c r="J654" t="n">
        <v>0</v>
      </c>
      <c r="K654" t="n">
        <v>0</v>
      </c>
      <c r="L654" t="n">
        <v>0</v>
      </c>
      <c r="M654" t="n">
        <v>0</v>
      </c>
      <c r="N654" t="n">
        <v>0</v>
      </c>
      <c r="O654" t="n">
        <v>0</v>
      </c>
      <c r="P654" t="n">
        <v>0</v>
      </c>
      <c r="Q654" t="n">
        <v>0</v>
      </c>
      <c r="R654" s="2" t="inlineStr"/>
    </row>
    <row r="655" ht="15" customHeight="1">
      <c r="A655" t="inlineStr">
        <is>
          <t>A 20588-2025</t>
        </is>
      </c>
      <c r="B655" s="1" t="n">
        <v>45775</v>
      </c>
      <c r="C655" s="1" t="n">
        <v>46181</v>
      </c>
      <c r="D655" t="inlineStr">
        <is>
          <t>DALARNAS LÄN</t>
        </is>
      </c>
      <c r="E655" t="inlineStr">
        <is>
          <t>ORSA</t>
        </is>
      </c>
      <c r="G655" t="n">
        <v>1.7</v>
      </c>
      <c r="H655" t="n">
        <v>0</v>
      </c>
      <c r="I655" t="n">
        <v>0</v>
      </c>
      <c r="J655" t="n">
        <v>0</v>
      </c>
      <c r="K655" t="n">
        <v>0</v>
      </c>
      <c r="L655" t="n">
        <v>0</v>
      </c>
      <c r="M655" t="n">
        <v>0</v>
      </c>
      <c r="N655" t="n">
        <v>0</v>
      </c>
      <c r="O655" t="n">
        <v>0</v>
      </c>
      <c r="P655" t="n">
        <v>0</v>
      </c>
      <c r="Q655" t="n">
        <v>0</v>
      </c>
      <c r="R655" s="2" t="inlineStr"/>
    </row>
    <row r="656" ht="15" customHeight="1">
      <c r="A656" t="inlineStr">
        <is>
          <t>A 12101-2025</t>
        </is>
      </c>
      <c r="B656" s="1" t="n">
        <v>45729.33743055556</v>
      </c>
      <c r="C656" s="1" t="n">
        <v>46181</v>
      </c>
      <c r="D656" t="inlineStr">
        <is>
          <t>DALARNAS LÄN</t>
        </is>
      </c>
      <c r="E656" t="inlineStr">
        <is>
          <t>ORSA</t>
        </is>
      </c>
      <c r="G656" t="n">
        <v>1</v>
      </c>
      <c r="H656" t="n">
        <v>0</v>
      </c>
      <c r="I656" t="n">
        <v>0</v>
      </c>
      <c r="J656" t="n">
        <v>0</v>
      </c>
      <c r="K656" t="n">
        <v>0</v>
      </c>
      <c r="L656" t="n">
        <v>0</v>
      </c>
      <c r="M656" t="n">
        <v>0</v>
      </c>
      <c r="N656" t="n">
        <v>0</v>
      </c>
      <c r="O656" t="n">
        <v>0</v>
      </c>
      <c r="P656" t="n">
        <v>0</v>
      </c>
      <c r="Q656" t="n">
        <v>0</v>
      </c>
      <c r="R656" s="2" t="inlineStr"/>
    </row>
    <row r="657" ht="15" customHeight="1">
      <c r="A657" t="inlineStr">
        <is>
          <t>A 29499-2024</t>
        </is>
      </c>
      <c r="B657" s="1" t="n">
        <v>45484</v>
      </c>
      <c r="C657" s="1" t="n">
        <v>46181</v>
      </c>
      <c r="D657" t="inlineStr">
        <is>
          <t>DALARNAS LÄN</t>
        </is>
      </c>
      <c r="E657" t="inlineStr">
        <is>
          <t>ORSA</t>
        </is>
      </c>
      <c r="G657" t="n">
        <v>1.7</v>
      </c>
      <c r="H657" t="n">
        <v>0</v>
      </c>
      <c r="I657" t="n">
        <v>0</v>
      </c>
      <c r="J657" t="n">
        <v>0</v>
      </c>
      <c r="K657" t="n">
        <v>0</v>
      </c>
      <c r="L657" t="n">
        <v>0</v>
      </c>
      <c r="M657" t="n">
        <v>0</v>
      </c>
      <c r="N657" t="n">
        <v>0</v>
      </c>
      <c r="O657" t="n">
        <v>0</v>
      </c>
      <c r="P657" t="n">
        <v>0</v>
      </c>
      <c r="Q657" t="n">
        <v>0</v>
      </c>
      <c r="R657" s="2" t="inlineStr"/>
    </row>
    <row r="658" ht="15" customHeight="1">
      <c r="A658" t="inlineStr">
        <is>
          <t>A 5921-2025</t>
        </is>
      </c>
      <c r="B658" s="1" t="n">
        <v>45695</v>
      </c>
      <c r="C658" s="1" t="n">
        <v>46181</v>
      </c>
      <c r="D658" t="inlineStr">
        <is>
          <t>DALARNAS LÄN</t>
        </is>
      </c>
      <c r="E658" t="inlineStr">
        <is>
          <t>ORSA</t>
        </is>
      </c>
      <c r="G658" t="n">
        <v>1.4</v>
      </c>
      <c r="H658" t="n">
        <v>0</v>
      </c>
      <c r="I658" t="n">
        <v>0</v>
      </c>
      <c r="J658" t="n">
        <v>0</v>
      </c>
      <c r="K658" t="n">
        <v>0</v>
      </c>
      <c r="L658" t="n">
        <v>0</v>
      </c>
      <c r="M658" t="n">
        <v>0</v>
      </c>
      <c r="N658" t="n">
        <v>0</v>
      </c>
      <c r="O658" t="n">
        <v>0</v>
      </c>
      <c r="P658" t="n">
        <v>0</v>
      </c>
      <c r="Q658" t="n">
        <v>0</v>
      </c>
      <c r="R658" s="2" t="inlineStr"/>
    </row>
    <row r="659" ht="15" customHeight="1">
      <c r="A659" t="inlineStr">
        <is>
          <t>A 7626-2025</t>
        </is>
      </c>
      <c r="B659" s="1" t="n">
        <v>45705.72799768519</v>
      </c>
      <c r="C659" s="1" t="n">
        <v>46181</v>
      </c>
      <c r="D659" t="inlineStr">
        <is>
          <t>DALARNAS LÄN</t>
        </is>
      </c>
      <c r="E659" t="inlineStr">
        <is>
          <t>ORSA</t>
        </is>
      </c>
      <c r="G659" t="n">
        <v>15.5</v>
      </c>
      <c r="H659" t="n">
        <v>0</v>
      </c>
      <c r="I659" t="n">
        <v>0</v>
      </c>
      <c r="J659" t="n">
        <v>0</v>
      </c>
      <c r="K659" t="n">
        <v>0</v>
      </c>
      <c r="L659" t="n">
        <v>0</v>
      </c>
      <c r="M659" t="n">
        <v>0</v>
      </c>
      <c r="N659" t="n">
        <v>0</v>
      </c>
      <c r="O659" t="n">
        <v>0</v>
      </c>
      <c r="P659" t="n">
        <v>0</v>
      </c>
      <c r="Q659" t="n">
        <v>0</v>
      </c>
      <c r="R659" s="2" t="inlineStr"/>
    </row>
    <row r="660" ht="15" customHeight="1">
      <c r="A660" t="inlineStr">
        <is>
          <t>A 50392-2024</t>
        </is>
      </c>
      <c r="B660" s="1" t="n">
        <v>45601.33789351852</v>
      </c>
      <c r="C660" s="1" t="n">
        <v>46181</v>
      </c>
      <c r="D660" t="inlineStr">
        <is>
          <t>DALARNAS LÄN</t>
        </is>
      </c>
      <c r="E660" t="inlineStr">
        <is>
          <t>ORSA</t>
        </is>
      </c>
      <c r="G660" t="n">
        <v>0.5</v>
      </c>
      <c r="H660" t="n">
        <v>0</v>
      </c>
      <c r="I660" t="n">
        <v>0</v>
      </c>
      <c r="J660" t="n">
        <v>0</v>
      </c>
      <c r="K660" t="n">
        <v>0</v>
      </c>
      <c r="L660" t="n">
        <v>0</v>
      </c>
      <c r="M660" t="n">
        <v>0</v>
      </c>
      <c r="N660" t="n">
        <v>0</v>
      </c>
      <c r="O660" t="n">
        <v>0</v>
      </c>
      <c r="P660" t="n">
        <v>0</v>
      </c>
      <c r="Q660" t="n">
        <v>0</v>
      </c>
      <c r="R660" s="2" t="inlineStr"/>
    </row>
    <row r="661" ht="15" customHeight="1">
      <c r="A661" t="inlineStr">
        <is>
          <t>A 61277-2023</t>
        </is>
      </c>
      <c r="B661" s="1" t="n">
        <v>45264.52465277778</v>
      </c>
      <c r="C661" s="1" t="n">
        <v>46181</v>
      </c>
      <c r="D661" t="inlineStr">
        <is>
          <t>DALARNAS LÄN</t>
        </is>
      </c>
      <c r="E661" t="inlineStr">
        <is>
          <t>ORSA</t>
        </is>
      </c>
      <c r="G661" t="n">
        <v>0.7</v>
      </c>
      <c r="H661" t="n">
        <v>0</v>
      </c>
      <c r="I661" t="n">
        <v>0</v>
      </c>
      <c r="J661" t="n">
        <v>0</v>
      </c>
      <c r="K661" t="n">
        <v>0</v>
      </c>
      <c r="L661" t="n">
        <v>0</v>
      </c>
      <c r="M661" t="n">
        <v>0</v>
      </c>
      <c r="N661" t="n">
        <v>0</v>
      </c>
      <c r="O661" t="n">
        <v>0</v>
      </c>
      <c r="P661" t="n">
        <v>0</v>
      </c>
      <c r="Q661" t="n">
        <v>0</v>
      </c>
      <c r="R661" s="2" t="inlineStr"/>
    </row>
    <row r="662" ht="15" customHeight="1">
      <c r="A662" t="inlineStr">
        <is>
          <t>A 21376-2025</t>
        </is>
      </c>
      <c r="B662" s="1" t="n">
        <v>45782.45069444444</v>
      </c>
      <c r="C662" s="1" t="n">
        <v>46181</v>
      </c>
      <c r="D662" t="inlineStr">
        <is>
          <t>DALARNAS LÄN</t>
        </is>
      </c>
      <c r="E662" t="inlineStr">
        <is>
          <t>ORSA</t>
        </is>
      </c>
      <c r="G662" t="n">
        <v>4.6</v>
      </c>
      <c r="H662" t="n">
        <v>0</v>
      </c>
      <c r="I662" t="n">
        <v>0</v>
      </c>
      <c r="J662" t="n">
        <v>0</v>
      </c>
      <c r="K662" t="n">
        <v>0</v>
      </c>
      <c r="L662" t="n">
        <v>0</v>
      </c>
      <c r="M662" t="n">
        <v>0</v>
      </c>
      <c r="N662" t="n">
        <v>0</v>
      </c>
      <c r="O662" t="n">
        <v>0</v>
      </c>
      <c r="P662" t="n">
        <v>0</v>
      </c>
      <c r="Q662" t="n">
        <v>0</v>
      </c>
      <c r="R662" s="2" t="inlineStr"/>
    </row>
    <row r="663" ht="15" customHeight="1">
      <c r="A663" t="inlineStr">
        <is>
          <t>A 21335-2025</t>
        </is>
      </c>
      <c r="B663" s="1" t="n">
        <v>45782.37519675926</v>
      </c>
      <c r="C663" s="1" t="n">
        <v>46181</v>
      </c>
      <c r="D663" t="inlineStr">
        <is>
          <t>DALARNAS LÄN</t>
        </is>
      </c>
      <c r="E663" t="inlineStr">
        <is>
          <t>ORSA</t>
        </is>
      </c>
      <c r="F663" t="inlineStr">
        <is>
          <t>Bergvik skog väst AB</t>
        </is>
      </c>
      <c r="G663" t="n">
        <v>14.3</v>
      </c>
      <c r="H663" t="n">
        <v>0</v>
      </c>
      <c r="I663" t="n">
        <v>0</v>
      </c>
      <c r="J663" t="n">
        <v>0</v>
      </c>
      <c r="K663" t="n">
        <v>0</v>
      </c>
      <c r="L663" t="n">
        <v>0</v>
      </c>
      <c r="M663" t="n">
        <v>0</v>
      </c>
      <c r="N663" t="n">
        <v>0</v>
      </c>
      <c r="O663" t="n">
        <v>0</v>
      </c>
      <c r="P663" t="n">
        <v>0</v>
      </c>
      <c r="Q663" t="n">
        <v>0</v>
      </c>
      <c r="R663" s="2" t="inlineStr"/>
    </row>
    <row r="664" ht="15" customHeight="1">
      <c r="A664" t="inlineStr">
        <is>
          <t>A 879-2024</t>
        </is>
      </c>
      <c r="B664" s="1" t="n">
        <v>45301.36821759259</v>
      </c>
      <c r="C664" s="1" t="n">
        <v>46181</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21949-2025</t>
        </is>
      </c>
      <c r="B665" s="1" t="n">
        <v>45784.59369212963</v>
      </c>
      <c r="C665" s="1" t="n">
        <v>46181</v>
      </c>
      <c r="D665" t="inlineStr">
        <is>
          <t>DALARNAS LÄN</t>
        </is>
      </c>
      <c r="E665" t="inlineStr">
        <is>
          <t>ORSA</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21165-2024</t>
        </is>
      </c>
      <c r="B666" s="1" t="n">
        <v>45440.45225694445</v>
      </c>
      <c r="C666" s="1" t="n">
        <v>46181</v>
      </c>
      <c r="D666" t="inlineStr">
        <is>
          <t>DALARNAS LÄN</t>
        </is>
      </c>
      <c r="E666" t="inlineStr">
        <is>
          <t>ORSA</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45561.40888888889</v>
      </c>
      <c r="C667" s="1" t="n">
        <v>46181</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10004-2023</t>
        </is>
      </c>
      <c r="B668" s="1" t="n">
        <v>44985.60604166667</v>
      </c>
      <c r="C668" s="1" t="n">
        <v>46181</v>
      </c>
      <c r="D668" t="inlineStr">
        <is>
          <t>DALARNAS LÄN</t>
        </is>
      </c>
      <c r="E668" t="inlineStr">
        <is>
          <t>ORSA</t>
        </is>
      </c>
      <c r="G668" t="n">
        <v>2.1</v>
      </c>
      <c r="H668" t="n">
        <v>0</v>
      </c>
      <c r="I668" t="n">
        <v>0</v>
      </c>
      <c r="J668" t="n">
        <v>0</v>
      </c>
      <c r="K668" t="n">
        <v>0</v>
      </c>
      <c r="L668" t="n">
        <v>0</v>
      </c>
      <c r="M668" t="n">
        <v>0</v>
      </c>
      <c r="N668" t="n">
        <v>0</v>
      </c>
      <c r="O668" t="n">
        <v>0</v>
      </c>
      <c r="P668" t="n">
        <v>0</v>
      </c>
      <c r="Q668" t="n">
        <v>0</v>
      </c>
      <c r="R668" s="2" t="inlineStr"/>
    </row>
    <row r="669" ht="15" customHeight="1">
      <c r="A669" t="inlineStr">
        <is>
          <t>A 4566-2025</t>
        </is>
      </c>
      <c r="B669" s="1" t="n">
        <v>45687.46100694445</v>
      </c>
      <c r="C669" s="1" t="n">
        <v>46181</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44904-2024</t>
        </is>
      </c>
      <c r="B670" s="1" t="n">
        <v>45575.38193287037</v>
      </c>
      <c r="C670" s="1" t="n">
        <v>46181</v>
      </c>
      <c r="D670" t="inlineStr">
        <is>
          <t>DALARNAS LÄN</t>
        </is>
      </c>
      <c r="E670" t="inlineStr">
        <is>
          <t>ORSA</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23056-2025</t>
        </is>
      </c>
      <c r="B671" s="1" t="n">
        <v>45790.73627314815</v>
      </c>
      <c r="C671" s="1" t="n">
        <v>46181</v>
      </c>
      <c r="D671" t="inlineStr">
        <is>
          <t>DALARNAS LÄN</t>
        </is>
      </c>
      <c r="E671" t="inlineStr">
        <is>
          <t>ORSA</t>
        </is>
      </c>
      <c r="G671" t="n">
        <v>0.5</v>
      </c>
      <c r="H671" t="n">
        <v>0</v>
      </c>
      <c r="I671" t="n">
        <v>0</v>
      </c>
      <c r="J671" t="n">
        <v>0</v>
      </c>
      <c r="K671" t="n">
        <v>0</v>
      </c>
      <c r="L671" t="n">
        <v>0</v>
      </c>
      <c r="M671" t="n">
        <v>0</v>
      </c>
      <c r="N671" t="n">
        <v>0</v>
      </c>
      <c r="O671" t="n">
        <v>0</v>
      </c>
      <c r="P671" t="n">
        <v>0</v>
      </c>
      <c r="Q671" t="n">
        <v>0</v>
      </c>
      <c r="R671" s="2" t="inlineStr"/>
    </row>
    <row r="672" ht="15" customHeight="1">
      <c r="A672" t="inlineStr">
        <is>
          <t>A 23055-2025</t>
        </is>
      </c>
      <c r="B672" s="1" t="n">
        <v>45790.73469907408</v>
      </c>
      <c r="C672" s="1" t="n">
        <v>46181</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23015-2025</t>
        </is>
      </c>
      <c r="B673" s="1" t="n">
        <v>45790.6377662037</v>
      </c>
      <c r="C673" s="1" t="n">
        <v>46181</v>
      </c>
      <c r="D673" t="inlineStr">
        <is>
          <t>DALARNAS LÄN</t>
        </is>
      </c>
      <c r="E673" t="inlineStr">
        <is>
          <t>ORSA</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23053-2025</t>
        </is>
      </c>
      <c r="B674" s="1" t="n">
        <v>45790.73072916667</v>
      </c>
      <c r="C674" s="1" t="n">
        <v>46181</v>
      </c>
      <c r="D674" t="inlineStr">
        <is>
          <t>DALARNAS LÄN</t>
        </is>
      </c>
      <c r="E674" t="inlineStr">
        <is>
          <t>ORSA</t>
        </is>
      </c>
      <c r="G674" t="n">
        <v>3.3</v>
      </c>
      <c r="H674" t="n">
        <v>0</v>
      </c>
      <c r="I674" t="n">
        <v>0</v>
      </c>
      <c r="J674" t="n">
        <v>0</v>
      </c>
      <c r="K674" t="n">
        <v>0</v>
      </c>
      <c r="L674" t="n">
        <v>0</v>
      </c>
      <c r="M674" t="n">
        <v>0</v>
      </c>
      <c r="N674" t="n">
        <v>0</v>
      </c>
      <c r="O674" t="n">
        <v>0</v>
      </c>
      <c r="P674" t="n">
        <v>0</v>
      </c>
      <c r="Q674" t="n">
        <v>0</v>
      </c>
      <c r="R674" s="2" t="inlineStr"/>
    </row>
    <row r="675" ht="15" customHeight="1">
      <c r="A675" t="inlineStr">
        <is>
          <t>A 62289-2023</t>
        </is>
      </c>
      <c r="B675" s="1" t="n">
        <v>45266</v>
      </c>
      <c r="C675" s="1" t="n">
        <v>46181</v>
      </c>
      <c r="D675" t="inlineStr">
        <is>
          <t>DALARNAS LÄN</t>
        </is>
      </c>
      <c r="E675" t="inlineStr">
        <is>
          <t>ORSA</t>
        </is>
      </c>
      <c r="G675" t="n">
        <v>1.9</v>
      </c>
      <c r="H675" t="n">
        <v>0</v>
      </c>
      <c r="I675" t="n">
        <v>0</v>
      </c>
      <c r="J675" t="n">
        <v>0</v>
      </c>
      <c r="K675" t="n">
        <v>0</v>
      </c>
      <c r="L675" t="n">
        <v>0</v>
      </c>
      <c r="M675" t="n">
        <v>0</v>
      </c>
      <c r="N675" t="n">
        <v>0</v>
      </c>
      <c r="O675" t="n">
        <v>0</v>
      </c>
      <c r="P675" t="n">
        <v>0</v>
      </c>
      <c r="Q675" t="n">
        <v>0</v>
      </c>
      <c r="R675" s="2" t="inlineStr"/>
    </row>
    <row r="676" ht="15" customHeight="1">
      <c r="A676" t="inlineStr">
        <is>
          <t>A 58549-2023</t>
        </is>
      </c>
      <c r="B676" s="1" t="n">
        <v>45251.42627314815</v>
      </c>
      <c r="C676" s="1" t="n">
        <v>46181</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5302-2024</t>
        </is>
      </c>
      <c r="B677" s="1" t="n">
        <v>45331.38175925926</v>
      </c>
      <c r="C677" s="1" t="n">
        <v>46181</v>
      </c>
      <c r="D677" t="inlineStr">
        <is>
          <t>DALARNAS LÄN</t>
        </is>
      </c>
      <c r="E677" t="inlineStr">
        <is>
          <t>ORSA</t>
        </is>
      </c>
      <c r="G677" t="n">
        <v>0.8</v>
      </c>
      <c r="H677" t="n">
        <v>0</v>
      </c>
      <c r="I677" t="n">
        <v>0</v>
      </c>
      <c r="J677" t="n">
        <v>0</v>
      </c>
      <c r="K677" t="n">
        <v>0</v>
      </c>
      <c r="L677" t="n">
        <v>0</v>
      </c>
      <c r="M677" t="n">
        <v>0</v>
      </c>
      <c r="N677" t="n">
        <v>0</v>
      </c>
      <c r="O677" t="n">
        <v>0</v>
      </c>
      <c r="P677" t="n">
        <v>0</v>
      </c>
      <c r="Q677" t="n">
        <v>0</v>
      </c>
      <c r="R677" s="2" t="inlineStr"/>
    </row>
    <row r="678" ht="15" customHeight="1">
      <c r="A678" t="inlineStr">
        <is>
          <t>A 20589-2025</t>
        </is>
      </c>
      <c r="B678" s="1" t="n">
        <v>45775</v>
      </c>
      <c r="C678" s="1" t="n">
        <v>46181</v>
      </c>
      <c r="D678" t="inlineStr">
        <is>
          <t>DALARNAS LÄN</t>
        </is>
      </c>
      <c r="E678" t="inlineStr">
        <is>
          <t>ORSA</t>
        </is>
      </c>
      <c r="G678" t="n">
        <v>2</v>
      </c>
      <c r="H678" t="n">
        <v>0</v>
      </c>
      <c r="I678" t="n">
        <v>0</v>
      </c>
      <c r="J678" t="n">
        <v>0</v>
      </c>
      <c r="K678" t="n">
        <v>0</v>
      </c>
      <c r="L678" t="n">
        <v>0</v>
      </c>
      <c r="M678" t="n">
        <v>0</v>
      </c>
      <c r="N678" t="n">
        <v>0</v>
      </c>
      <c r="O678" t="n">
        <v>0</v>
      </c>
      <c r="P678" t="n">
        <v>0</v>
      </c>
      <c r="Q678" t="n">
        <v>0</v>
      </c>
      <c r="R678" s="2" t="inlineStr"/>
    </row>
    <row r="679" ht="15" customHeight="1">
      <c r="A679" t="inlineStr">
        <is>
          <t>A 9116-2026</t>
        </is>
      </c>
      <c r="B679" s="1" t="n">
        <v>46069</v>
      </c>
      <c r="C679" s="1" t="n">
        <v>46181</v>
      </c>
      <c r="D679" t="inlineStr">
        <is>
          <t>DALARNAS LÄN</t>
        </is>
      </c>
      <c r="E679" t="inlineStr">
        <is>
          <t>ORSA</t>
        </is>
      </c>
      <c r="G679" t="n">
        <v>1</v>
      </c>
      <c r="H679" t="n">
        <v>0</v>
      </c>
      <c r="I679" t="n">
        <v>0</v>
      </c>
      <c r="J679" t="n">
        <v>0</v>
      </c>
      <c r="K679" t="n">
        <v>0</v>
      </c>
      <c r="L679" t="n">
        <v>0</v>
      </c>
      <c r="M679" t="n">
        <v>0</v>
      </c>
      <c r="N679" t="n">
        <v>0</v>
      </c>
      <c r="O679" t="n">
        <v>0</v>
      </c>
      <c r="P679" t="n">
        <v>0</v>
      </c>
      <c r="Q679" t="n">
        <v>0</v>
      </c>
      <c r="R679" s="2" t="inlineStr"/>
    </row>
    <row r="680" ht="15" customHeight="1">
      <c r="A680" t="inlineStr">
        <is>
          <t>A 16224-2026</t>
        </is>
      </c>
      <c r="B680" s="1" t="n">
        <v>46111.4474537037</v>
      </c>
      <c r="C680" s="1" t="n">
        <v>46181</v>
      </c>
      <c r="D680" t="inlineStr">
        <is>
          <t>DALARNAS LÄN</t>
        </is>
      </c>
      <c r="E680" t="inlineStr">
        <is>
          <t>ORSA</t>
        </is>
      </c>
      <c r="F680" t="inlineStr">
        <is>
          <t>Bergvik skog öst AB</t>
        </is>
      </c>
      <c r="G680" t="n">
        <v>1.1</v>
      </c>
      <c r="H680" t="n">
        <v>0</v>
      </c>
      <c r="I680" t="n">
        <v>0</v>
      </c>
      <c r="J680" t="n">
        <v>0</v>
      </c>
      <c r="K680" t="n">
        <v>0</v>
      </c>
      <c r="L680" t="n">
        <v>0</v>
      </c>
      <c r="M680" t="n">
        <v>0</v>
      </c>
      <c r="N680" t="n">
        <v>0</v>
      </c>
      <c r="O680" t="n">
        <v>0</v>
      </c>
      <c r="P680" t="n">
        <v>0</v>
      </c>
      <c r="Q680" t="n">
        <v>0</v>
      </c>
      <c r="R680" s="2" t="inlineStr"/>
    </row>
    <row r="681" ht="15" customHeight="1">
      <c r="A681" t="inlineStr">
        <is>
          <t>A 19891-2026</t>
        </is>
      </c>
      <c r="B681" s="1" t="n">
        <v>46135.70008101852</v>
      </c>
      <c r="C681" s="1" t="n">
        <v>46181</v>
      </c>
      <c r="D681" t="inlineStr">
        <is>
          <t>DALARNAS LÄN</t>
        </is>
      </c>
      <c r="E681" t="inlineStr">
        <is>
          <t>ORSA</t>
        </is>
      </c>
      <c r="F681" t="inlineStr">
        <is>
          <t>Bergvik skog öst AB</t>
        </is>
      </c>
      <c r="G681" t="n">
        <v>10</v>
      </c>
      <c r="H681" t="n">
        <v>0</v>
      </c>
      <c r="I681" t="n">
        <v>0</v>
      </c>
      <c r="J681" t="n">
        <v>0</v>
      </c>
      <c r="K681" t="n">
        <v>0</v>
      </c>
      <c r="L681" t="n">
        <v>0</v>
      </c>
      <c r="M681" t="n">
        <v>0</v>
      </c>
      <c r="N681" t="n">
        <v>0</v>
      </c>
      <c r="O681" t="n">
        <v>0</v>
      </c>
      <c r="P681" t="n">
        <v>0</v>
      </c>
      <c r="Q681" t="n">
        <v>0</v>
      </c>
      <c r="R681" s="2" t="inlineStr"/>
    </row>
    <row r="682" ht="15" customHeight="1">
      <c r="A682" t="inlineStr">
        <is>
          <t>A 7775-2026</t>
        </is>
      </c>
      <c r="B682" s="1" t="n">
        <v>46062</v>
      </c>
      <c r="C682" s="1" t="n">
        <v>46181</v>
      </c>
      <c r="D682" t="inlineStr">
        <is>
          <t>DALARNAS LÄN</t>
        </is>
      </c>
      <c r="E682" t="inlineStr">
        <is>
          <t>ORSA</t>
        </is>
      </c>
      <c r="G682" t="n">
        <v>1.9</v>
      </c>
      <c r="H682" t="n">
        <v>0</v>
      </c>
      <c r="I682" t="n">
        <v>0</v>
      </c>
      <c r="J682" t="n">
        <v>0</v>
      </c>
      <c r="K682" t="n">
        <v>0</v>
      </c>
      <c r="L682" t="n">
        <v>0</v>
      </c>
      <c r="M682" t="n">
        <v>0</v>
      </c>
      <c r="N682" t="n">
        <v>0</v>
      </c>
      <c r="O682" t="n">
        <v>0</v>
      </c>
      <c r="P682" t="n">
        <v>0</v>
      </c>
      <c r="Q682" t="n">
        <v>0</v>
      </c>
      <c r="R682" s="2" t="inlineStr"/>
    </row>
    <row r="683" ht="15" customHeight="1">
      <c r="A683" t="inlineStr">
        <is>
          <t>A 61034-2024</t>
        </is>
      </c>
      <c r="B683" s="1" t="n">
        <v>45645.46608796297</v>
      </c>
      <c r="C683" s="1" t="n">
        <v>46181</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27221-2025</t>
        </is>
      </c>
      <c r="B684" s="1" t="n">
        <v>45812.42304398148</v>
      </c>
      <c r="C684" s="1" t="n">
        <v>46181</v>
      </c>
      <c r="D684" t="inlineStr">
        <is>
          <t>DALARNAS LÄN</t>
        </is>
      </c>
      <c r="E684" t="inlineStr">
        <is>
          <t>ORSA</t>
        </is>
      </c>
      <c r="F684" t="inlineStr">
        <is>
          <t>Bergvik skog öst AB</t>
        </is>
      </c>
      <c r="G684" t="n">
        <v>3.7</v>
      </c>
      <c r="H684" t="n">
        <v>0</v>
      </c>
      <c r="I684" t="n">
        <v>0</v>
      </c>
      <c r="J684" t="n">
        <v>0</v>
      </c>
      <c r="K684" t="n">
        <v>0</v>
      </c>
      <c r="L684" t="n">
        <v>0</v>
      </c>
      <c r="M684" t="n">
        <v>0</v>
      </c>
      <c r="N684" t="n">
        <v>0</v>
      </c>
      <c r="O684" t="n">
        <v>0</v>
      </c>
      <c r="P684" t="n">
        <v>0</v>
      </c>
      <c r="Q684" t="n">
        <v>0</v>
      </c>
      <c r="R684" s="2" t="inlineStr"/>
    </row>
    <row r="685" ht="15" customHeight="1">
      <c r="A685" t="inlineStr">
        <is>
          <t>A 25712-2026</t>
        </is>
      </c>
      <c r="B685" s="1" t="n">
        <v>46178.37490740741</v>
      </c>
      <c r="C685" s="1" t="n">
        <v>46181</v>
      </c>
      <c r="D685" t="inlineStr">
        <is>
          <t>DALARNAS LÄN</t>
        </is>
      </c>
      <c r="E685" t="inlineStr">
        <is>
          <t>ORSA</t>
        </is>
      </c>
      <c r="F685" t="inlineStr">
        <is>
          <t>Allmännings- och besparingsskogar</t>
        </is>
      </c>
      <c r="G685" t="n">
        <v>4</v>
      </c>
      <c r="H685" t="n">
        <v>0</v>
      </c>
      <c r="I685" t="n">
        <v>0</v>
      </c>
      <c r="J685" t="n">
        <v>0</v>
      </c>
      <c r="K685" t="n">
        <v>0</v>
      </c>
      <c r="L685" t="n">
        <v>0</v>
      </c>
      <c r="M685" t="n">
        <v>0</v>
      </c>
      <c r="N685" t="n">
        <v>0</v>
      </c>
      <c r="O685" t="n">
        <v>0</v>
      </c>
      <c r="P685" t="n">
        <v>0</v>
      </c>
      <c r="Q685" t="n">
        <v>0</v>
      </c>
      <c r="R685" s="2" t="inlineStr"/>
    </row>
    <row r="686" ht="15" customHeight="1">
      <c r="A686" t="inlineStr">
        <is>
          <t>A 612-2025</t>
        </is>
      </c>
      <c r="B686" s="1" t="n">
        <v>45660</v>
      </c>
      <c r="C686" s="1" t="n">
        <v>46181</v>
      </c>
      <c r="D686" t="inlineStr">
        <is>
          <t>DALARNAS LÄN</t>
        </is>
      </c>
      <c r="E686" t="inlineStr">
        <is>
          <t>ORSA</t>
        </is>
      </c>
      <c r="F686" t="inlineStr">
        <is>
          <t>Allmännings- och besparingsskogar</t>
        </is>
      </c>
      <c r="G686" t="n">
        <v>0.8</v>
      </c>
      <c r="H686" t="n">
        <v>0</v>
      </c>
      <c r="I686" t="n">
        <v>0</v>
      </c>
      <c r="J686" t="n">
        <v>0</v>
      </c>
      <c r="K686" t="n">
        <v>0</v>
      </c>
      <c r="L686" t="n">
        <v>0</v>
      </c>
      <c r="M686" t="n">
        <v>0</v>
      </c>
      <c r="N686" t="n">
        <v>0</v>
      </c>
      <c r="O686" t="n">
        <v>0</v>
      </c>
      <c r="P686" t="n">
        <v>0</v>
      </c>
      <c r="Q686" t="n">
        <v>0</v>
      </c>
      <c r="R686" s="2" t="inlineStr"/>
    </row>
    <row r="687" ht="15" customHeight="1">
      <c r="A687" t="inlineStr">
        <is>
          <t>A 38672-2025</t>
        </is>
      </c>
      <c r="B687" s="1" t="n">
        <v>45884.63340277778</v>
      </c>
      <c r="C687" s="1" t="n">
        <v>46181</v>
      </c>
      <c r="D687" t="inlineStr">
        <is>
          <t>DALARNAS LÄN</t>
        </is>
      </c>
      <c r="E687" t="inlineStr">
        <is>
          <t>ORSA</t>
        </is>
      </c>
      <c r="G687" t="n">
        <v>4.6</v>
      </c>
      <c r="H687" t="n">
        <v>0</v>
      </c>
      <c r="I687" t="n">
        <v>0</v>
      </c>
      <c r="J687" t="n">
        <v>0</v>
      </c>
      <c r="K687" t="n">
        <v>0</v>
      </c>
      <c r="L687" t="n">
        <v>0</v>
      </c>
      <c r="M687" t="n">
        <v>0</v>
      </c>
      <c r="N687" t="n">
        <v>0</v>
      </c>
      <c r="O687" t="n">
        <v>0</v>
      </c>
      <c r="P687" t="n">
        <v>0</v>
      </c>
      <c r="Q687" t="n">
        <v>0</v>
      </c>
      <c r="R687" s="2" t="inlineStr"/>
    </row>
    <row r="688">
      <c r="A688" t="inlineStr">
        <is>
          <t>A 25576-2026</t>
        </is>
      </c>
      <c r="B688" s="1" t="n">
        <v>46177.62800925926</v>
      </c>
      <c r="C688" s="1" t="n">
        <v>46181</v>
      </c>
      <c r="D688" t="inlineStr">
        <is>
          <t>DALARNAS LÄN</t>
        </is>
      </c>
      <c r="E688" t="inlineStr">
        <is>
          <t>ORSA</t>
        </is>
      </c>
      <c r="F688" t="inlineStr">
        <is>
          <t>Bergvik skog öst AB</t>
        </is>
      </c>
      <c r="G688" t="n">
        <v>2.1</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2026-06-08T10:38:29Z</dcterms:created>
  <dcterms:modified xmlns:dcterms="http://purl.org/dc/terms/" xmlns:xsi="http://www.w3.org/2001/XMLSchema-instance" xsi:type="dcterms:W3CDTF">2026-06-08T10:38:29Z</dcterms:modified>
</cp:coreProperties>
</file>