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45994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45994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45994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45994</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45994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45994</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45994</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45994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45994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45994</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45994</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45994</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45994</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45994</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45994</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45994</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45994</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45994</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45994</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45994</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45994</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45994</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45994</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45994</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49516-2025</t>
        </is>
      </c>
      <c r="B29" s="1" t="n">
        <v>45939.38631944444</v>
      </c>
      <c r="C29" s="1" t="n">
        <v>45994</v>
      </c>
      <c r="D29" t="inlineStr">
        <is>
          <t>DALARNAS LÄN</t>
        </is>
      </c>
      <c r="E29" t="inlineStr">
        <is>
          <t>ORSA</t>
        </is>
      </c>
      <c r="F29" t="inlineStr">
        <is>
          <t>Bergvik skog öst AB</t>
        </is>
      </c>
      <c r="G29" t="n">
        <v>3.9</v>
      </c>
      <c r="H29" t="n">
        <v>2</v>
      </c>
      <c r="I29" t="n">
        <v>1</v>
      </c>
      <c r="J29" t="n">
        <v>3</v>
      </c>
      <c r="K29" t="n">
        <v>2</v>
      </c>
      <c r="L29" t="n">
        <v>0</v>
      </c>
      <c r="M29" t="n">
        <v>0</v>
      </c>
      <c r="N29" t="n">
        <v>0</v>
      </c>
      <c r="O29" t="n">
        <v>5</v>
      </c>
      <c r="P29" t="n">
        <v>2</v>
      </c>
      <c r="Q29" t="n">
        <v>6</v>
      </c>
      <c r="R29" s="2" t="inlineStr">
        <is>
          <t>Lateritticka
Tallbit
Garnlav
Granticka
Tretåig hackspett
Stuplav</t>
        </is>
      </c>
      <c r="S29">
        <f>HYPERLINK("https://klasma.github.io/Logging_2034/artfynd/A 49516-2025 artfynd.xlsx", "A 49516-2025")</f>
        <v/>
      </c>
      <c r="T29">
        <f>HYPERLINK("https://klasma.github.io/Logging_2034/kartor/A 49516-2025 karta.png", "A 49516-2025")</f>
        <v/>
      </c>
      <c r="V29">
        <f>HYPERLINK("https://klasma.github.io/Logging_2034/klagomål/A 49516-2025 FSC-klagomål.docx", "A 49516-2025")</f>
        <v/>
      </c>
      <c r="W29">
        <f>HYPERLINK("https://klasma.github.io/Logging_2034/klagomålsmail/A 49516-2025 FSC-klagomål mail.docx", "A 49516-2025")</f>
        <v/>
      </c>
      <c r="X29">
        <f>HYPERLINK("https://klasma.github.io/Logging_2034/tillsyn/A 49516-2025 tillsynsbegäran.docx", "A 49516-2025")</f>
        <v/>
      </c>
      <c r="Y29">
        <f>HYPERLINK("https://klasma.github.io/Logging_2034/tillsynsmail/A 49516-2025 tillsynsbegäran mail.docx", "A 49516-2025")</f>
        <v/>
      </c>
      <c r="Z29">
        <f>HYPERLINK("https://klasma.github.io/Logging_2034/fåglar/A 49516-2025 prioriterade fågelarter.docx", "A 49516-2025")</f>
        <v/>
      </c>
    </row>
    <row r="30" ht="15" customHeight="1">
      <c r="A30" t="inlineStr">
        <is>
          <t>A 33841-2023</t>
        </is>
      </c>
      <c r="B30" s="1" t="n">
        <v>45133.66758101852</v>
      </c>
      <c r="C30" s="1" t="n">
        <v>45994</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50728-2022</t>
        </is>
      </c>
      <c r="B31" s="1" t="n">
        <v>44867</v>
      </c>
      <c r="C31" s="1" t="n">
        <v>45994</v>
      </c>
      <c r="D31" t="inlineStr">
        <is>
          <t>DALARNAS LÄN</t>
        </is>
      </c>
      <c r="E31" t="inlineStr">
        <is>
          <t>ORSA</t>
        </is>
      </c>
      <c r="F31" t="inlineStr">
        <is>
          <t>Allmännings- och besparingsskogar</t>
        </is>
      </c>
      <c r="G31" t="n">
        <v>1.8</v>
      </c>
      <c r="H31" t="n">
        <v>0</v>
      </c>
      <c r="I31" t="n">
        <v>1</v>
      </c>
      <c r="J31" t="n">
        <v>4</v>
      </c>
      <c r="K31" t="n">
        <v>0</v>
      </c>
      <c r="L31" t="n">
        <v>0</v>
      </c>
      <c r="M31" t="n">
        <v>0</v>
      </c>
      <c r="N31" t="n">
        <v>0</v>
      </c>
      <c r="O31" t="n">
        <v>4</v>
      </c>
      <c r="P31" t="n">
        <v>0</v>
      </c>
      <c r="Q31" t="n">
        <v>5</v>
      </c>
      <c r="R31" s="2" t="inlineStr">
        <is>
          <t>Garnlav
Granticka
Lunglav
Skrovellav
Stuplav</t>
        </is>
      </c>
      <c r="S31">
        <f>HYPERLINK("https://klasma.github.io/Logging_2034/artfynd/A 50728-2022 artfynd.xlsx", "A 50728-2022")</f>
        <v/>
      </c>
      <c r="T31">
        <f>HYPERLINK("https://klasma.github.io/Logging_2034/kartor/A 50728-2022 karta.png", "A 50728-2022")</f>
        <v/>
      </c>
      <c r="V31">
        <f>HYPERLINK("https://klasma.github.io/Logging_2034/klagomål/A 50728-2022 FSC-klagomål.docx", "A 50728-2022")</f>
        <v/>
      </c>
      <c r="W31">
        <f>HYPERLINK("https://klasma.github.io/Logging_2034/klagomålsmail/A 50728-2022 FSC-klagomål mail.docx", "A 50728-2022")</f>
        <v/>
      </c>
      <c r="X31">
        <f>HYPERLINK("https://klasma.github.io/Logging_2034/tillsyn/A 50728-2022 tillsynsbegäran.docx", "A 50728-2022")</f>
        <v/>
      </c>
      <c r="Y31">
        <f>HYPERLINK("https://klasma.github.io/Logging_2034/tillsynsmail/A 50728-2022 tillsynsbegäran mail.docx", "A 50728-2022")</f>
        <v/>
      </c>
    </row>
    <row r="32" ht="15" customHeight="1">
      <c r="A32" t="inlineStr">
        <is>
          <t>A 7618-2025</t>
        </is>
      </c>
      <c r="B32" s="1" t="n">
        <v>45705</v>
      </c>
      <c r="C32" s="1" t="n">
        <v>45994</v>
      </c>
      <c r="D32" t="inlineStr">
        <is>
          <t>DALARNAS LÄN</t>
        </is>
      </c>
      <c r="E32" t="inlineStr">
        <is>
          <t>ORSA</t>
        </is>
      </c>
      <c r="G32" t="n">
        <v>0.9</v>
      </c>
      <c r="H32" t="n">
        <v>2</v>
      </c>
      <c r="I32" t="n">
        <v>0</v>
      </c>
      <c r="J32" t="n">
        <v>4</v>
      </c>
      <c r="K32" t="n">
        <v>1</v>
      </c>
      <c r="L32" t="n">
        <v>0</v>
      </c>
      <c r="M32" t="n">
        <v>0</v>
      </c>
      <c r="N32" t="n">
        <v>0</v>
      </c>
      <c r="O32" t="n">
        <v>5</v>
      </c>
      <c r="P32" t="n">
        <v>1</v>
      </c>
      <c r="Q32" t="n">
        <v>5</v>
      </c>
      <c r="R32" s="2" t="inlineStr">
        <is>
          <t>Knärot
Garnlav
Kolflarnlav
Talltita
Violettgrå tagellav</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22172-2025</t>
        </is>
      </c>
      <c r="B33" s="1" t="n">
        <v>45785.6050925926</v>
      </c>
      <c r="C33" s="1" t="n">
        <v>45994</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3421-2021</t>
        </is>
      </c>
      <c r="B34" s="1" t="n">
        <v>44218</v>
      </c>
      <c r="C34" s="1" t="n">
        <v>45994</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33366-2023</t>
        </is>
      </c>
      <c r="B35" s="1" t="n">
        <v>45128</v>
      </c>
      <c r="C35" s="1" t="n">
        <v>45994</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35570-2024</t>
        </is>
      </c>
      <c r="B36" s="1" t="n">
        <v>45531</v>
      </c>
      <c r="C36" s="1" t="n">
        <v>45994</v>
      </c>
      <c r="D36" t="inlineStr">
        <is>
          <t>DALARNAS LÄN</t>
        </is>
      </c>
      <c r="E36" t="inlineStr">
        <is>
          <t>ORSA</t>
        </is>
      </c>
      <c r="G36" t="n">
        <v>3.3</v>
      </c>
      <c r="H36" t="n">
        <v>1</v>
      </c>
      <c r="I36" t="n">
        <v>1</v>
      </c>
      <c r="J36" t="n">
        <v>3</v>
      </c>
      <c r="K36" t="n">
        <v>0</v>
      </c>
      <c r="L36" t="n">
        <v>0</v>
      </c>
      <c r="M36" t="n">
        <v>0</v>
      </c>
      <c r="N36" t="n">
        <v>0</v>
      </c>
      <c r="O36" t="n">
        <v>3</v>
      </c>
      <c r="P36" t="n">
        <v>0</v>
      </c>
      <c r="Q36" t="n">
        <v>4</v>
      </c>
      <c r="R36" s="2" t="inlineStr">
        <is>
          <t>Garnlav
Tretåig hackspett
Violettgrå tagellav
Dropptaggsvamp</t>
        </is>
      </c>
      <c r="S36">
        <f>HYPERLINK("https://klasma.github.io/Logging_2034/artfynd/A 35570-2024 artfynd.xlsx", "A 35570-2024")</f>
        <v/>
      </c>
      <c r="T36">
        <f>HYPERLINK("https://klasma.github.io/Logging_2034/kartor/A 35570-2024 karta.png", "A 35570-2024")</f>
        <v/>
      </c>
      <c r="V36">
        <f>HYPERLINK("https://klasma.github.io/Logging_2034/klagomål/A 35570-2024 FSC-klagomål.docx", "A 35570-2024")</f>
        <v/>
      </c>
      <c r="W36">
        <f>HYPERLINK("https://klasma.github.io/Logging_2034/klagomålsmail/A 35570-2024 FSC-klagomål mail.docx", "A 35570-2024")</f>
        <v/>
      </c>
      <c r="X36">
        <f>HYPERLINK("https://klasma.github.io/Logging_2034/tillsyn/A 35570-2024 tillsynsbegäran.docx", "A 35570-2024")</f>
        <v/>
      </c>
      <c r="Y36">
        <f>HYPERLINK("https://klasma.github.io/Logging_2034/tillsynsmail/A 35570-2024 tillsynsbegäran mail.docx", "A 35570-2024")</f>
        <v/>
      </c>
      <c r="Z36">
        <f>HYPERLINK("https://klasma.github.io/Logging_2034/fåglar/A 35570-2024 prioriterade fågelarter.docx", "A 35570-2024")</f>
        <v/>
      </c>
    </row>
    <row r="37" ht="15" customHeight="1">
      <c r="A37" t="inlineStr">
        <is>
          <t>A 7619-2025</t>
        </is>
      </c>
      <c r="B37" s="1" t="n">
        <v>45705</v>
      </c>
      <c r="C37" s="1" t="n">
        <v>45994</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45994</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45994</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31336-2025</t>
        </is>
      </c>
      <c r="B40" s="1" t="n">
        <v>45833</v>
      </c>
      <c r="C40" s="1" t="n">
        <v>45994</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31161-2025</t>
        </is>
      </c>
      <c r="B41" s="1" t="n">
        <v>45832</v>
      </c>
      <c r="C41" s="1" t="n">
        <v>45994</v>
      </c>
      <c r="D41" t="inlineStr">
        <is>
          <t>DALARNAS LÄN</t>
        </is>
      </c>
      <c r="E41" t="inlineStr">
        <is>
          <t>ORSA</t>
        </is>
      </c>
      <c r="G41" t="n">
        <v>1.7</v>
      </c>
      <c r="H41" t="n">
        <v>1</v>
      </c>
      <c r="I41" t="n">
        <v>1</v>
      </c>
      <c r="J41" t="n">
        <v>2</v>
      </c>
      <c r="K41" t="n">
        <v>0</v>
      </c>
      <c r="L41" t="n">
        <v>0</v>
      </c>
      <c r="M41" t="n">
        <v>0</v>
      </c>
      <c r="N41" t="n">
        <v>0</v>
      </c>
      <c r="O41" t="n">
        <v>2</v>
      </c>
      <c r="P41" t="n">
        <v>0</v>
      </c>
      <c r="Q41" t="n">
        <v>3</v>
      </c>
      <c r="R41" s="2" t="inlineStr">
        <is>
          <t>Garnlav
Tretåig hackspett
Bronshjon</t>
        </is>
      </c>
      <c r="S41">
        <f>HYPERLINK("https://klasma.github.io/Logging_2034/artfynd/A 31161-2025 artfynd.xlsx", "A 31161-2025")</f>
        <v/>
      </c>
      <c r="T41">
        <f>HYPERLINK("https://klasma.github.io/Logging_2034/kartor/A 31161-2025 karta.png", "A 31161-2025")</f>
        <v/>
      </c>
      <c r="V41">
        <f>HYPERLINK("https://klasma.github.io/Logging_2034/klagomål/A 31161-2025 FSC-klagomål.docx", "A 31161-2025")</f>
        <v/>
      </c>
      <c r="W41">
        <f>HYPERLINK("https://klasma.github.io/Logging_2034/klagomålsmail/A 31161-2025 FSC-klagomål mail.docx", "A 31161-2025")</f>
        <v/>
      </c>
      <c r="X41">
        <f>HYPERLINK("https://klasma.github.io/Logging_2034/tillsyn/A 31161-2025 tillsynsbegäran.docx", "A 31161-2025")</f>
        <v/>
      </c>
      <c r="Y41">
        <f>HYPERLINK("https://klasma.github.io/Logging_2034/tillsynsmail/A 31161-2025 tillsynsbegäran mail.docx", "A 31161-2025")</f>
        <v/>
      </c>
      <c r="Z41">
        <f>HYPERLINK("https://klasma.github.io/Logging_2034/fåglar/A 31161-2025 prioriterade fågelarter.docx", "A 31161-2025")</f>
        <v/>
      </c>
    </row>
    <row r="42" ht="15" customHeight="1">
      <c r="A42" t="inlineStr">
        <is>
          <t>A 48985-2025</t>
        </is>
      </c>
      <c r="B42" s="1" t="n">
        <v>45937.57505787037</v>
      </c>
      <c r="C42" s="1" t="n">
        <v>45994</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51070-2025</t>
        </is>
      </c>
      <c r="B43" s="1" t="n">
        <v>45947.45513888889</v>
      </c>
      <c r="C43" s="1" t="n">
        <v>45994</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6029-2024</t>
        </is>
      </c>
      <c r="B44" s="1" t="n">
        <v>45336</v>
      </c>
      <c r="C44" s="1" t="n">
        <v>45994</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45994</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63810-2021</t>
        </is>
      </c>
      <c r="B46" s="1" t="n">
        <v>44509</v>
      </c>
      <c r="C46" s="1" t="n">
        <v>45994</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31164-2025</t>
        </is>
      </c>
      <c r="B47" s="1" t="n">
        <v>45832</v>
      </c>
      <c r="C47" s="1" t="n">
        <v>45994</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30493-2024</t>
        </is>
      </c>
      <c r="B48" s="1" t="n">
        <v>45492.34811342593</v>
      </c>
      <c r="C48" s="1" t="n">
        <v>45994</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37887-2023</t>
        </is>
      </c>
      <c r="B49" s="1" t="n">
        <v>45160</v>
      </c>
      <c r="C49" s="1" t="n">
        <v>45994</v>
      </c>
      <c r="D49" t="inlineStr">
        <is>
          <t>DALARNAS LÄN</t>
        </is>
      </c>
      <c r="E49" t="inlineStr">
        <is>
          <t>ORSA</t>
        </is>
      </c>
      <c r="F49" t="inlineStr">
        <is>
          <t>Allmännings- och besparingsskogar</t>
        </is>
      </c>
      <c r="G49" t="n">
        <v>20.5</v>
      </c>
      <c r="H49" t="n">
        <v>1</v>
      </c>
      <c r="I49" t="n">
        <v>0</v>
      </c>
      <c r="J49" t="n">
        <v>1</v>
      </c>
      <c r="K49" t="n">
        <v>0</v>
      </c>
      <c r="L49" t="n">
        <v>0</v>
      </c>
      <c r="M49" t="n">
        <v>0</v>
      </c>
      <c r="N49" t="n">
        <v>0</v>
      </c>
      <c r="O49" t="n">
        <v>1</v>
      </c>
      <c r="P49" t="n">
        <v>0</v>
      </c>
      <c r="Q49" t="n">
        <v>1</v>
      </c>
      <c r="R49" s="2" t="inlineStr">
        <is>
          <t>Varglav</t>
        </is>
      </c>
      <c r="S49">
        <f>HYPERLINK("https://klasma.github.io/Logging_2034/artfynd/A 37887-2023 artfynd.xlsx", "A 37887-2023")</f>
        <v/>
      </c>
      <c r="T49">
        <f>HYPERLINK("https://klasma.github.io/Logging_2034/kartor/A 37887-2023 karta.png", "A 37887-2023")</f>
        <v/>
      </c>
      <c r="V49">
        <f>HYPERLINK("https://klasma.github.io/Logging_2034/klagomål/A 37887-2023 FSC-klagomål.docx", "A 37887-2023")</f>
        <v/>
      </c>
      <c r="W49">
        <f>HYPERLINK("https://klasma.github.io/Logging_2034/klagomålsmail/A 37887-2023 FSC-klagomål mail.docx", "A 37887-2023")</f>
        <v/>
      </c>
      <c r="X49">
        <f>HYPERLINK("https://klasma.github.io/Logging_2034/tillsyn/A 37887-2023 tillsynsbegäran.docx", "A 37887-2023")</f>
        <v/>
      </c>
      <c r="Y49">
        <f>HYPERLINK("https://klasma.github.io/Logging_2034/tillsynsmail/A 37887-2023 tillsynsbegäran mail.docx", "A 37887-2023")</f>
        <v/>
      </c>
    </row>
    <row r="50" ht="15" customHeight="1">
      <c r="A50" t="inlineStr">
        <is>
          <t>A 41553-2025</t>
        </is>
      </c>
      <c r="B50" s="1" t="n">
        <v>45901.59108796297</v>
      </c>
      <c r="C50" s="1" t="n">
        <v>45994</v>
      </c>
      <c r="D50" t="inlineStr">
        <is>
          <t>DALARNAS LÄN</t>
        </is>
      </c>
      <c r="E50" t="inlineStr">
        <is>
          <t>ORSA</t>
        </is>
      </c>
      <c r="F50" t="inlineStr">
        <is>
          <t>Bergvik skog väst AB</t>
        </is>
      </c>
      <c r="G50" t="n">
        <v>2.2</v>
      </c>
      <c r="H50" t="n">
        <v>0</v>
      </c>
      <c r="I50" t="n">
        <v>0</v>
      </c>
      <c r="J50" t="n">
        <v>0</v>
      </c>
      <c r="K50" t="n">
        <v>1</v>
      </c>
      <c r="L50" t="n">
        <v>0</v>
      </c>
      <c r="M50" t="n">
        <v>0</v>
      </c>
      <c r="N50" t="n">
        <v>0</v>
      </c>
      <c r="O50" t="n">
        <v>1</v>
      </c>
      <c r="P50" t="n">
        <v>1</v>
      </c>
      <c r="Q50" t="n">
        <v>1</v>
      </c>
      <c r="R50" s="2" t="inlineStr">
        <is>
          <t>Honungsticka</t>
        </is>
      </c>
      <c r="S50">
        <f>HYPERLINK("https://klasma.github.io/Logging_2034/artfynd/A 41553-2025 artfynd.xlsx", "A 41553-2025")</f>
        <v/>
      </c>
      <c r="T50">
        <f>HYPERLINK("https://klasma.github.io/Logging_2034/kartor/A 41553-2025 karta.png", "A 41553-2025")</f>
        <v/>
      </c>
      <c r="V50">
        <f>HYPERLINK("https://klasma.github.io/Logging_2034/klagomål/A 41553-2025 FSC-klagomål.docx", "A 41553-2025")</f>
        <v/>
      </c>
      <c r="W50">
        <f>HYPERLINK("https://klasma.github.io/Logging_2034/klagomålsmail/A 41553-2025 FSC-klagomål mail.docx", "A 41553-2025")</f>
        <v/>
      </c>
      <c r="X50">
        <f>HYPERLINK("https://klasma.github.io/Logging_2034/tillsyn/A 41553-2025 tillsynsbegäran.docx", "A 41553-2025")</f>
        <v/>
      </c>
      <c r="Y50">
        <f>HYPERLINK("https://klasma.github.io/Logging_2034/tillsynsmail/A 41553-2025 tillsynsbegäran mail.docx", "A 41553-2025")</f>
        <v/>
      </c>
    </row>
    <row r="51" ht="15" customHeight="1">
      <c r="A51" t="inlineStr">
        <is>
          <t>A 41799-2025</t>
        </is>
      </c>
      <c r="B51" s="1" t="n">
        <v>45902.6065162037</v>
      </c>
      <c r="C51" s="1" t="n">
        <v>45994</v>
      </c>
      <c r="D51" t="inlineStr">
        <is>
          <t>DALARNAS LÄN</t>
        </is>
      </c>
      <c r="E51" t="inlineStr">
        <is>
          <t>ORSA</t>
        </is>
      </c>
      <c r="G51" t="n">
        <v>4</v>
      </c>
      <c r="H51" t="n">
        <v>0</v>
      </c>
      <c r="I51" t="n">
        <v>0</v>
      </c>
      <c r="J51" t="n">
        <v>1</v>
      </c>
      <c r="K51" t="n">
        <v>0</v>
      </c>
      <c r="L51" t="n">
        <v>0</v>
      </c>
      <c r="M51" t="n">
        <v>0</v>
      </c>
      <c r="N51" t="n">
        <v>0</v>
      </c>
      <c r="O51" t="n">
        <v>1</v>
      </c>
      <c r="P51" t="n">
        <v>0</v>
      </c>
      <c r="Q51" t="n">
        <v>1</v>
      </c>
      <c r="R51" s="2" t="inlineStr">
        <is>
          <t>Blå taggsvamp</t>
        </is>
      </c>
      <c r="S51">
        <f>HYPERLINK("https://klasma.github.io/Logging_2034/artfynd/A 41799-2025 artfynd.xlsx", "A 41799-2025")</f>
        <v/>
      </c>
      <c r="T51">
        <f>HYPERLINK("https://klasma.github.io/Logging_2034/kartor/A 41799-2025 karta.png", "A 41799-2025")</f>
        <v/>
      </c>
      <c r="V51">
        <f>HYPERLINK("https://klasma.github.io/Logging_2034/klagomål/A 41799-2025 FSC-klagomål.docx", "A 41799-2025")</f>
        <v/>
      </c>
      <c r="W51">
        <f>HYPERLINK("https://klasma.github.io/Logging_2034/klagomålsmail/A 41799-2025 FSC-klagomål mail.docx", "A 41799-2025")</f>
        <v/>
      </c>
      <c r="X51">
        <f>HYPERLINK("https://klasma.github.io/Logging_2034/tillsyn/A 41799-2025 tillsynsbegäran.docx", "A 41799-2025")</f>
        <v/>
      </c>
      <c r="Y51">
        <f>HYPERLINK("https://klasma.github.io/Logging_2034/tillsynsmail/A 41799-2025 tillsynsbegäran mail.docx", "A 41799-2025")</f>
        <v/>
      </c>
    </row>
    <row r="52" ht="15" customHeight="1">
      <c r="A52" t="inlineStr">
        <is>
          <t>A 42327-2025</t>
        </is>
      </c>
      <c r="B52" s="1" t="n">
        <v>45904.68600694444</v>
      </c>
      <c r="C52" s="1" t="n">
        <v>45994</v>
      </c>
      <c r="D52" t="inlineStr">
        <is>
          <t>DALARNAS LÄN</t>
        </is>
      </c>
      <c r="E52" t="inlineStr">
        <is>
          <t>ORSA</t>
        </is>
      </c>
      <c r="G52" t="n">
        <v>1.6</v>
      </c>
      <c r="H52" t="n">
        <v>1</v>
      </c>
      <c r="I52" t="n">
        <v>0</v>
      </c>
      <c r="J52" t="n">
        <v>1</v>
      </c>
      <c r="K52" t="n">
        <v>0</v>
      </c>
      <c r="L52" t="n">
        <v>0</v>
      </c>
      <c r="M52" t="n">
        <v>0</v>
      </c>
      <c r="N52" t="n">
        <v>0</v>
      </c>
      <c r="O52" t="n">
        <v>1</v>
      </c>
      <c r="P52" t="n">
        <v>0</v>
      </c>
      <c r="Q52" t="n">
        <v>1</v>
      </c>
      <c r="R52" s="2" t="inlineStr">
        <is>
          <t>Grönsångare</t>
        </is>
      </c>
      <c r="S52">
        <f>HYPERLINK("https://klasma.github.io/Logging_2034/artfynd/A 42327-2025 artfynd.xlsx", "A 42327-2025")</f>
        <v/>
      </c>
      <c r="T52">
        <f>HYPERLINK("https://klasma.github.io/Logging_2034/kartor/A 42327-2025 karta.png", "A 42327-2025")</f>
        <v/>
      </c>
      <c r="V52">
        <f>HYPERLINK("https://klasma.github.io/Logging_2034/klagomål/A 42327-2025 FSC-klagomål.docx", "A 42327-2025")</f>
        <v/>
      </c>
      <c r="W52">
        <f>HYPERLINK("https://klasma.github.io/Logging_2034/klagomålsmail/A 42327-2025 FSC-klagomål mail.docx", "A 42327-2025")</f>
        <v/>
      </c>
      <c r="X52">
        <f>HYPERLINK("https://klasma.github.io/Logging_2034/tillsyn/A 42327-2025 tillsynsbegäran.docx", "A 42327-2025")</f>
        <v/>
      </c>
      <c r="Y52">
        <f>HYPERLINK("https://klasma.github.io/Logging_2034/tillsynsmail/A 42327-2025 tillsynsbegäran mail.docx", "A 42327-2025")</f>
        <v/>
      </c>
      <c r="Z52">
        <f>HYPERLINK("https://klasma.github.io/Logging_2034/fåglar/A 42327-2025 prioriterade fågelarter.docx", "A 42327-2025")</f>
        <v/>
      </c>
    </row>
    <row r="53" ht="15" customHeight="1">
      <c r="A53" t="inlineStr">
        <is>
          <t>A 45029-2025</t>
        </is>
      </c>
      <c r="B53" s="1" t="n">
        <v>45918.69835648148</v>
      </c>
      <c r="C53" s="1" t="n">
        <v>45994</v>
      </c>
      <c r="D53" t="inlineStr">
        <is>
          <t>DALARNAS LÄN</t>
        </is>
      </c>
      <c r="E53" t="inlineStr">
        <is>
          <t>ORSA</t>
        </is>
      </c>
      <c r="G53" t="n">
        <v>1.4</v>
      </c>
      <c r="H53" t="n">
        <v>1</v>
      </c>
      <c r="I53" t="n">
        <v>0</v>
      </c>
      <c r="J53" t="n">
        <v>1</v>
      </c>
      <c r="K53" t="n">
        <v>0</v>
      </c>
      <c r="L53" t="n">
        <v>0</v>
      </c>
      <c r="M53" t="n">
        <v>0</v>
      </c>
      <c r="N53" t="n">
        <v>0</v>
      </c>
      <c r="O53" t="n">
        <v>1</v>
      </c>
      <c r="P53" t="n">
        <v>0</v>
      </c>
      <c r="Q53" t="n">
        <v>1</v>
      </c>
      <c r="R53" s="2" t="inlineStr">
        <is>
          <t>Spillkråka</t>
        </is>
      </c>
      <c r="S53">
        <f>HYPERLINK("https://klasma.github.io/Logging_2034/artfynd/A 45029-2025 artfynd.xlsx", "A 45029-2025")</f>
        <v/>
      </c>
      <c r="T53">
        <f>HYPERLINK("https://klasma.github.io/Logging_2034/kartor/A 45029-2025 karta.png", "A 45029-2025")</f>
        <v/>
      </c>
      <c r="V53">
        <f>HYPERLINK("https://klasma.github.io/Logging_2034/klagomål/A 45029-2025 FSC-klagomål.docx", "A 45029-2025")</f>
        <v/>
      </c>
      <c r="W53">
        <f>HYPERLINK("https://klasma.github.io/Logging_2034/klagomålsmail/A 45029-2025 FSC-klagomål mail.docx", "A 45029-2025")</f>
        <v/>
      </c>
      <c r="X53">
        <f>HYPERLINK("https://klasma.github.io/Logging_2034/tillsyn/A 45029-2025 tillsynsbegäran.docx", "A 45029-2025")</f>
        <v/>
      </c>
      <c r="Y53">
        <f>HYPERLINK("https://klasma.github.io/Logging_2034/tillsynsmail/A 45029-2025 tillsynsbegäran mail.docx", "A 45029-2025")</f>
        <v/>
      </c>
      <c r="Z53">
        <f>HYPERLINK("https://klasma.github.io/Logging_2034/fåglar/A 45029-2025 prioriterade fågelarter.docx", "A 45029-2025")</f>
        <v/>
      </c>
    </row>
    <row r="54" ht="15" customHeight="1">
      <c r="A54" t="inlineStr">
        <is>
          <t>A 53707-2025</t>
        </is>
      </c>
      <c r="B54" s="1" t="n">
        <v>45960.60822916667</v>
      </c>
      <c r="C54" s="1" t="n">
        <v>45994</v>
      </c>
      <c r="D54" t="inlineStr">
        <is>
          <t>DALARNAS LÄN</t>
        </is>
      </c>
      <c r="E54" t="inlineStr">
        <is>
          <t>ORSA</t>
        </is>
      </c>
      <c r="G54" t="n">
        <v>2.1</v>
      </c>
      <c r="H54" t="n">
        <v>0</v>
      </c>
      <c r="I54" t="n">
        <v>1</v>
      </c>
      <c r="J54" t="n">
        <v>0</v>
      </c>
      <c r="K54" t="n">
        <v>0</v>
      </c>
      <c r="L54" t="n">
        <v>0</v>
      </c>
      <c r="M54" t="n">
        <v>0</v>
      </c>
      <c r="N54" t="n">
        <v>0</v>
      </c>
      <c r="O54" t="n">
        <v>0</v>
      </c>
      <c r="P54" t="n">
        <v>0</v>
      </c>
      <c r="Q54" t="n">
        <v>1</v>
      </c>
      <c r="R54" s="2" t="inlineStr">
        <is>
          <t>Björksplintborre</t>
        </is>
      </c>
      <c r="S54">
        <f>HYPERLINK("https://klasma.github.io/Logging_2034/artfynd/A 53707-2025 artfynd.xlsx", "A 53707-2025")</f>
        <v/>
      </c>
      <c r="T54">
        <f>HYPERLINK("https://klasma.github.io/Logging_2034/kartor/A 53707-2025 karta.png", "A 53707-2025")</f>
        <v/>
      </c>
      <c r="V54">
        <f>HYPERLINK("https://klasma.github.io/Logging_2034/klagomål/A 53707-2025 FSC-klagomål.docx", "A 53707-2025")</f>
        <v/>
      </c>
      <c r="W54">
        <f>HYPERLINK("https://klasma.github.io/Logging_2034/klagomålsmail/A 53707-2025 FSC-klagomål mail.docx", "A 53707-2025")</f>
        <v/>
      </c>
      <c r="X54">
        <f>HYPERLINK("https://klasma.github.io/Logging_2034/tillsyn/A 53707-2025 tillsynsbegäran.docx", "A 53707-2025")</f>
        <v/>
      </c>
      <c r="Y54">
        <f>HYPERLINK("https://klasma.github.io/Logging_2034/tillsynsmail/A 53707-2025 tillsynsbegäran mail.docx", "A 53707-2025")</f>
        <v/>
      </c>
    </row>
    <row r="55" ht="15" customHeight="1">
      <c r="A55" t="inlineStr">
        <is>
          <t>A 54687-2025</t>
        </is>
      </c>
      <c r="B55" s="1" t="n">
        <v>45966.45024305556</v>
      </c>
      <c r="C55" s="1" t="n">
        <v>45994</v>
      </c>
      <c r="D55" t="inlineStr">
        <is>
          <t>DALARNAS LÄN</t>
        </is>
      </c>
      <c r="E55" t="inlineStr">
        <is>
          <t>ORSA</t>
        </is>
      </c>
      <c r="F55" t="inlineStr">
        <is>
          <t>Allmännings- och besparingsskogar</t>
        </is>
      </c>
      <c r="G55" t="n">
        <v>2</v>
      </c>
      <c r="H55" t="n">
        <v>0</v>
      </c>
      <c r="I55" t="n">
        <v>0</v>
      </c>
      <c r="J55" t="n">
        <v>1</v>
      </c>
      <c r="K55" t="n">
        <v>0</v>
      </c>
      <c r="L55" t="n">
        <v>0</v>
      </c>
      <c r="M55" t="n">
        <v>0</v>
      </c>
      <c r="N55" t="n">
        <v>0</v>
      </c>
      <c r="O55" t="n">
        <v>1</v>
      </c>
      <c r="P55" t="n">
        <v>0</v>
      </c>
      <c r="Q55" t="n">
        <v>1</v>
      </c>
      <c r="R55" s="2" t="inlineStr">
        <is>
          <t>Garnlav</t>
        </is>
      </c>
      <c r="S55">
        <f>HYPERLINK("https://klasma.github.io/Logging_2034/artfynd/A 54687-2025 artfynd.xlsx", "A 54687-2025")</f>
        <v/>
      </c>
      <c r="T55">
        <f>HYPERLINK("https://klasma.github.io/Logging_2034/kartor/A 54687-2025 karta.png", "A 54687-2025")</f>
        <v/>
      </c>
      <c r="V55">
        <f>HYPERLINK("https://klasma.github.io/Logging_2034/klagomål/A 54687-2025 FSC-klagomål.docx", "A 54687-2025")</f>
        <v/>
      </c>
      <c r="W55">
        <f>HYPERLINK("https://klasma.github.io/Logging_2034/klagomålsmail/A 54687-2025 FSC-klagomål mail.docx", "A 54687-2025")</f>
        <v/>
      </c>
      <c r="X55">
        <f>HYPERLINK("https://klasma.github.io/Logging_2034/tillsyn/A 54687-2025 tillsynsbegäran.docx", "A 54687-2025")</f>
        <v/>
      </c>
      <c r="Y55">
        <f>HYPERLINK("https://klasma.github.io/Logging_2034/tillsynsmail/A 54687-2025 tillsynsbegäran mail.docx", "A 54687-2025")</f>
        <v/>
      </c>
    </row>
    <row r="56" ht="15" customHeight="1">
      <c r="A56" t="inlineStr">
        <is>
          <t>A 48973-2025</t>
        </is>
      </c>
      <c r="B56" s="1" t="n">
        <v>45937.5655787037</v>
      </c>
      <c r="C56" s="1" t="n">
        <v>45994</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34713-2021</t>
        </is>
      </c>
      <c r="B57" s="1" t="n">
        <v>44382</v>
      </c>
      <c r="C57" s="1" t="n">
        <v>45994</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45994</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45994</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45994</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45994</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45994</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45994</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45994</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45994</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45994</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45994</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45994</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45994</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45994</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45994</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45994</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45994</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45994</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45994</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45994</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45994</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45994</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18708-2021</t>
        </is>
      </c>
      <c r="B79" s="1" t="n">
        <v>44307</v>
      </c>
      <c r="C79" s="1" t="n">
        <v>45994</v>
      </c>
      <c r="D79" t="inlineStr">
        <is>
          <t>DALARNAS LÄN</t>
        </is>
      </c>
      <c r="E79" t="inlineStr">
        <is>
          <t>ORSA</t>
        </is>
      </c>
      <c r="G79" t="n">
        <v>2.8</v>
      </c>
      <c r="H79" t="n">
        <v>0</v>
      </c>
      <c r="I79" t="n">
        <v>0</v>
      </c>
      <c r="J79" t="n">
        <v>0</v>
      </c>
      <c r="K79" t="n">
        <v>0</v>
      </c>
      <c r="L79" t="n">
        <v>0</v>
      </c>
      <c r="M79" t="n">
        <v>0</v>
      </c>
      <c r="N79" t="n">
        <v>0</v>
      </c>
      <c r="O79" t="n">
        <v>0</v>
      </c>
      <c r="P79" t="n">
        <v>0</v>
      </c>
      <c r="Q79" t="n">
        <v>0</v>
      </c>
      <c r="R79" s="2" t="inlineStr"/>
    </row>
    <row r="80" ht="15" customHeight="1">
      <c r="A80" t="inlineStr">
        <is>
          <t>A 57685-2021</t>
        </is>
      </c>
      <c r="B80" s="1" t="n">
        <v>44484.46385416666</v>
      </c>
      <c r="C80" s="1" t="n">
        <v>45994</v>
      </c>
      <c r="D80" t="inlineStr">
        <is>
          <t>DALARNAS LÄN</t>
        </is>
      </c>
      <c r="E80" t="inlineStr">
        <is>
          <t>ORSA</t>
        </is>
      </c>
      <c r="G80" t="n">
        <v>4.1</v>
      </c>
      <c r="H80" t="n">
        <v>0</v>
      </c>
      <c r="I80" t="n">
        <v>0</v>
      </c>
      <c r="J80" t="n">
        <v>0</v>
      </c>
      <c r="K80" t="n">
        <v>0</v>
      </c>
      <c r="L80" t="n">
        <v>0</v>
      </c>
      <c r="M80" t="n">
        <v>0</v>
      </c>
      <c r="N80" t="n">
        <v>0</v>
      </c>
      <c r="O80" t="n">
        <v>0</v>
      </c>
      <c r="P80" t="n">
        <v>0</v>
      </c>
      <c r="Q80" t="n">
        <v>0</v>
      </c>
      <c r="R80" s="2" t="inlineStr"/>
    </row>
    <row r="81" ht="15" customHeight="1">
      <c r="A81" t="inlineStr">
        <is>
          <t>A 29366-2021</t>
        </is>
      </c>
      <c r="B81" s="1" t="n">
        <v>44361.46637731481</v>
      </c>
      <c r="C81" s="1" t="n">
        <v>45994</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4454-2021</t>
        </is>
      </c>
      <c r="B82" s="1" t="n">
        <v>44224</v>
      </c>
      <c r="C82" s="1" t="n">
        <v>45994</v>
      </c>
      <c r="D82" t="inlineStr">
        <is>
          <t>DALARNAS LÄN</t>
        </is>
      </c>
      <c r="E82" t="inlineStr">
        <is>
          <t>ORSA</t>
        </is>
      </c>
      <c r="G82" t="n">
        <v>1.2</v>
      </c>
      <c r="H82" t="n">
        <v>0</v>
      </c>
      <c r="I82" t="n">
        <v>0</v>
      </c>
      <c r="J82" t="n">
        <v>0</v>
      </c>
      <c r="K82" t="n">
        <v>0</v>
      </c>
      <c r="L82" t="n">
        <v>0</v>
      </c>
      <c r="M82" t="n">
        <v>0</v>
      </c>
      <c r="N82" t="n">
        <v>0</v>
      </c>
      <c r="O82" t="n">
        <v>0</v>
      </c>
      <c r="P82" t="n">
        <v>0</v>
      </c>
      <c r="Q82" t="n">
        <v>0</v>
      </c>
      <c r="R82" s="2" t="inlineStr"/>
    </row>
    <row r="83" ht="15" customHeight="1">
      <c r="A83" t="inlineStr">
        <is>
          <t>A 51864-2022</t>
        </is>
      </c>
      <c r="B83" s="1" t="n">
        <v>44872</v>
      </c>
      <c r="C83" s="1" t="n">
        <v>45994</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45994</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45994</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45994</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45994</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53745-2021</t>
        </is>
      </c>
      <c r="B88" s="1" t="n">
        <v>44469</v>
      </c>
      <c r="C88" s="1" t="n">
        <v>45994</v>
      </c>
      <c r="D88" t="inlineStr">
        <is>
          <t>DALARNAS LÄN</t>
        </is>
      </c>
      <c r="E88" t="inlineStr">
        <is>
          <t>ORSA</t>
        </is>
      </c>
      <c r="G88" t="n">
        <v>1.8</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45994</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52542-2021</t>
        </is>
      </c>
      <c r="B90" s="1" t="n">
        <v>44466</v>
      </c>
      <c r="C90" s="1" t="n">
        <v>45994</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71744-2021</t>
        </is>
      </c>
      <c r="B91" s="1" t="n">
        <v>44543</v>
      </c>
      <c r="C91" s="1" t="n">
        <v>45994</v>
      </c>
      <c r="D91" t="inlineStr">
        <is>
          <t>DALARNAS LÄN</t>
        </is>
      </c>
      <c r="E91" t="inlineStr">
        <is>
          <t>ORSA</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41425-2021</t>
        </is>
      </c>
      <c r="B92" s="1" t="n">
        <v>44424.71729166667</v>
      </c>
      <c r="C92" s="1" t="n">
        <v>45994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23344-2022</t>
        </is>
      </c>
      <c r="B93" s="1" t="n">
        <v>44720.54599537037</v>
      </c>
      <c r="C93" s="1" t="n">
        <v>45994</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160-2022</t>
        </is>
      </c>
      <c r="B94" s="1" t="n">
        <v>44564</v>
      </c>
      <c r="C94" s="1" t="n">
        <v>45994</v>
      </c>
      <c r="D94" t="inlineStr">
        <is>
          <t>DALARNAS LÄN</t>
        </is>
      </c>
      <c r="E94" t="inlineStr">
        <is>
          <t>ORSA</t>
        </is>
      </c>
      <c r="F94" t="inlineStr">
        <is>
          <t>Kommuner</t>
        </is>
      </c>
      <c r="G94" t="n">
        <v>0.1</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45994</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45994</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66533-2020</t>
        </is>
      </c>
      <c r="B97" s="1" t="n">
        <v>44179</v>
      </c>
      <c r="C97" s="1" t="n">
        <v>45994</v>
      </c>
      <c r="D97" t="inlineStr">
        <is>
          <t>DALARNAS LÄN</t>
        </is>
      </c>
      <c r="E97" t="inlineStr">
        <is>
          <t>ORSA</t>
        </is>
      </c>
      <c r="G97" t="n">
        <v>2.3</v>
      </c>
      <c r="H97" t="n">
        <v>0</v>
      </c>
      <c r="I97" t="n">
        <v>0</v>
      </c>
      <c r="J97" t="n">
        <v>0</v>
      </c>
      <c r="K97" t="n">
        <v>0</v>
      </c>
      <c r="L97" t="n">
        <v>0</v>
      </c>
      <c r="M97" t="n">
        <v>0</v>
      </c>
      <c r="N97" t="n">
        <v>0</v>
      </c>
      <c r="O97" t="n">
        <v>0</v>
      </c>
      <c r="P97" t="n">
        <v>0</v>
      </c>
      <c r="Q97" t="n">
        <v>0</v>
      </c>
      <c r="R97" s="2" t="inlineStr"/>
    </row>
    <row r="98" ht="15" customHeight="1">
      <c r="A98" t="inlineStr">
        <is>
          <t>A 51278-2021</t>
        </is>
      </c>
      <c r="B98" s="1" t="n">
        <v>44461</v>
      </c>
      <c r="C98" s="1" t="n">
        <v>45994</v>
      </c>
      <c r="D98" t="inlineStr">
        <is>
          <t>DALARNAS LÄN</t>
        </is>
      </c>
      <c r="E98" t="inlineStr">
        <is>
          <t>ORSA</t>
        </is>
      </c>
      <c r="F98" t="inlineStr">
        <is>
          <t>Allmännings- och besparingsskogar</t>
        </is>
      </c>
      <c r="G98" t="n">
        <v>0.2</v>
      </c>
      <c r="H98" t="n">
        <v>0</v>
      </c>
      <c r="I98" t="n">
        <v>0</v>
      </c>
      <c r="J98" t="n">
        <v>0</v>
      </c>
      <c r="K98" t="n">
        <v>0</v>
      </c>
      <c r="L98" t="n">
        <v>0</v>
      </c>
      <c r="M98" t="n">
        <v>0</v>
      </c>
      <c r="N98" t="n">
        <v>0</v>
      </c>
      <c r="O98" t="n">
        <v>0</v>
      </c>
      <c r="P98" t="n">
        <v>0</v>
      </c>
      <c r="Q98" t="n">
        <v>0</v>
      </c>
      <c r="R98" s="2" t="inlineStr"/>
    </row>
    <row r="99" ht="15" customHeight="1">
      <c r="A99" t="inlineStr">
        <is>
          <t>A 31647-2021</t>
        </is>
      </c>
      <c r="B99" s="1" t="n">
        <v>44369.63069444444</v>
      </c>
      <c r="C99" s="1" t="n">
        <v>45994</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26215-2022</t>
        </is>
      </c>
      <c r="B100" s="1" t="n">
        <v>44735.4421412037</v>
      </c>
      <c r="C100" s="1" t="n">
        <v>45994</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68230-2021</t>
        </is>
      </c>
      <c r="B101" s="1" t="n">
        <v>44526</v>
      </c>
      <c r="C101" s="1" t="n">
        <v>45994</v>
      </c>
      <c r="D101" t="inlineStr">
        <is>
          <t>DALARNAS LÄN</t>
        </is>
      </c>
      <c r="E101" t="inlineStr">
        <is>
          <t>ORSA</t>
        </is>
      </c>
      <c r="F101" t="inlineStr">
        <is>
          <t>Kyrkan</t>
        </is>
      </c>
      <c r="G101" t="n">
        <v>2.2</v>
      </c>
      <c r="H101" t="n">
        <v>0</v>
      </c>
      <c r="I101" t="n">
        <v>0</v>
      </c>
      <c r="J101" t="n">
        <v>0</v>
      </c>
      <c r="K101" t="n">
        <v>0</v>
      </c>
      <c r="L101" t="n">
        <v>0</v>
      </c>
      <c r="M101" t="n">
        <v>0</v>
      </c>
      <c r="N101" t="n">
        <v>0</v>
      </c>
      <c r="O101" t="n">
        <v>0</v>
      </c>
      <c r="P101" t="n">
        <v>0</v>
      </c>
      <c r="Q101" t="n">
        <v>0</v>
      </c>
      <c r="R101" s="2" t="inlineStr"/>
    </row>
    <row r="102" ht="15" customHeight="1">
      <c r="A102" t="inlineStr">
        <is>
          <t>A 61000-2021</t>
        </is>
      </c>
      <c r="B102" s="1" t="n">
        <v>44497</v>
      </c>
      <c r="C102" s="1" t="n">
        <v>45994</v>
      </c>
      <c r="D102" t="inlineStr">
        <is>
          <t>DALARNAS LÄN</t>
        </is>
      </c>
      <c r="E102" t="inlineStr">
        <is>
          <t>ORSA</t>
        </is>
      </c>
      <c r="G102" t="n">
        <v>4.4</v>
      </c>
      <c r="H102" t="n">
        <v>0</v>
      </c>
      <c r="I102" t="n">
        <v>0</v>
      </c>
      <c r="J102" t="n">
        <v>0</v>
      </c>
      <c r="K102" t="n">
        <v>0</v>
      </c>
      <c r="L102" t="n">
        <v>0</v>
      </c>
      <c r="M102" t="n">
        <v>0</v>
      </c>
      <c r="N102" t="n">
        <v>0</v>
      </c>
      <c r="O102" t="n">
        <v>0</v>
      </c>
      <c r="P102" t="n">
        <v>0</v>
      </c>
      <c r="Q102" t="n">
        <v>0</v>
      </c>
      <c r="R102" s="2" t="inlineStr"/>
    </row>
    <row r="103" ht="15" customHeight="1">
      <c r="A103" t="inlineStr">
        <is>
          <t>A 61005-2021</t>
        </is>
      </c>
      <c r="B103" s="1" t="n">
        <v>44497</v>
      </c>
      <c r="C103" s="1" t="n">
        <v>45994</v>
      </c>
      <c r="D103" t="inlineStr">
        <is>
          <t>DALARNAS LÄN</t>
        </is>
      </c>
      <c r="E103" t="inlineStr">
        <is>
          <t>ORSA</t>
        </is>
      </c>
      <c r="G103" t="n">
        <v>1.4</v>
      </c>
      <c r="H103" t="n">
        <v>0</v>
      </c>
      <c r="I103" t="n">
        <v>0</v>
      </c>
      <c r="J103" t="n">
        <v>0</v>
      </c>
      <c r="K103" t="n">
        <v>0</v>
      </c>
      <c r="L103" t="n">
        <v>0</v>
      </c>
      <c r="M103" t="n">
        <v>0</v>
      </c>
      <c r="N103" t="n">
        <v>0</v>
      </c>
      <c r="O103" t="n">
        <v>0</v>
      </c>
      <c r="P103" t="n">
        <v>0</v>
      </c>
      <c r="Q103" t="n">
        <v>0</v>
      </c>
      <c r="R103" s="2" t="inlineStr"/>
    </row>
    <row r="104" ht="15" customHeight="1">
      <c r="A104" t="inlineStr">
        <is>
          <t>A 66536-2020</t>
        </is>
      </c>
      <c r="B104" s="1" t="n">
        <v>44179</v>
      </c>
      <c r="C104" s="1" t="n">
        <v>45994</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23725-2022</t>
        </is>
      </c>
      <c r="B105" s="1" t="n">
        <v>44722.33388888889</v>
      </c>
      <c r="C105" s="1" t="n">
        <v>45994</v>
      </c>
      <c r="D105" t="inlineStr">
        <is>
          <t>DALARNAS LÄN</t>
        </is>
      </c>
      <c r="E105" t="inlineStr">
        <is>
          <t>ORSA</t>
        </is>
      </c>
      <c r="F105" t="inlineStr">
        <is>
          <t>Bergvik skog öst AB</t>
        </is>
      </c>
      <c r="G105" t="n">
        <v>0.9</v>
      </c>
      <c r="H105" t="n">
        <v>0</v>
      </c>
      <c r="I105" t="n">
        <v>0</v>
      </c>
      <c r="J105" t="n">
        <v>0</v>
      </c>
      <c r="K105" t="n">
        <v>0</v>
      </c>
      <c r="L105" t="n">
        <v>0</v>
      </c>
      <c r="M105" t="n">
        <v>0</v>
      </c>
      <c r="N105" t="n">
        <v>0</v>
      </c>
      <c r="O105" t="n">
        <v>0</v>
      </c>
      <c r="P105" t="n">
        <v>0</v>
      </c>
      <c r="Q105" t="n">
        <v>0</v>
      </c>
      <c r="R105" s="2" t="inlineStr"/>
    </row>
    <row r="106" ht="15" customHeight="1">
      <c r="A106" t="inlineStr">
        <is>
          <t>A 33265-2021</t>
        </is>
      </c>
      <c r="B106" s="1" t="n">
        <v>44377</v>
      </c>
      <c r="C106" s="1" t="n">
        <v>45994</v>
      </c>
      <c r="D106" t="inlineStr">
        <is>
          <t>DALARNAS LÄN</t>
        </is>
      </c>
      <c r="E106" t="inlineStr">
        <is>
          <t>ORSA</t>
        </is>
      </c>
      <c r="G106" t="n">
        <v>1.9</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45994</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58842-2024</t>
        </is>
      </c>
      <c r="B108" s="1" t="n">
        <v>45636.3859837963</v>
      </c>
      <c r="C108" s="1" t="n">
        <v>45994</v>
      </c>
      <c r="D108" t="inlineStr">
        <is>
          <t>DALARNAS LÄN</t>
        </is>
      </c>
      <c r="E108" t="inlineStr">
        <is>
          <t>ORSA</t>
        </is>
      </c>
      <c r="G108" t="n">
        <v>2.8</v>
      </c>
      <c r="H108" t="n">
        <v>0</v>
      </c>
      <c r="I108" t="n">
        <v>0</v>
      </c>
      <c r="J108" t="n">
        <v>0</v>
      </c>
      <c r="K108" t="n">
        <v>0</v>
      </c>
      <c r="L108" t="n">
        <v>0</v>
      </c>
      <c r="M108" t="n">
        <v>0</v>
      </c>
      <c r="N108" t="n">
        <v>0</v>
      </c>
      <c r="O108" t="n">
        <v>0</v>
      </c>
      <c r="P108" t="n">
        <v>0</v>
      </c>
      <c r="Q108" t="n">
        <v>0</v>
      </c>
      <c r="R108" s="2" t="inlineStr"/>
    </row>
    <row r="109" ht="15" customHeight="1">
      <c r="A109" t="inlineStr">
        <is>
          <t>A 51277-2021</t>
        </is>
      </c>
      <c r="B109" s="1" t="n">
        <v>44461</v>
      </c>
      <c r="C109" s="1" t="n">
        <v>45994</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48447-2023</t>
        </is>
      </c>
      <c r="B110" s="1" t="n">
        <v>45206.39274305556</v>
      </c>
      <c r="C110" s="1" t="n">
        <v>45994</v>
      </c>
      <c r="D110" t="inlineStr">
        <is>
          <t>DALARNAS LÄN</t>
        </is>
      </c>
      <c r="E110" t="inlineStr">
        <is>
          <t>ORSA</t>
        </is>
      </c>
      <c r="G110" t="n">
        <v>0.6</v>
      </c>
      <c r="H110" t="n">
        <v>0</v>
      </c>
      <c r="I110" t="n">
        <v>0</v>
      </c>
      <c r="J110" t="n">
        <v>0</v>
      </c>
      <c r="K110" t="n">
        <v>0</v>
      </c>
      <c r="L110" t="n">
        <v>0</v>
      </c>
      <c r="M110" t="n">
        <v>0</v>
      </c>
      <c r="N110" t="n">
        <v>0</v>
      </c>
      <c r="O110" t="n">
        <v>0</v>
      </c>
      <c r="P110" t="n">
        <v>0</v>
      </c>
      <c r="Q110" t="n">
        <v>0</v>
      </c>
      <c r="R110" s="2" t="inlineStr"/>
    </row>
    <row r="111" ht="15" customHeight="1">
      <c r="A111" t="inlineStr">
        <is>
          <t>A 17508-2025</t>
        </is>
      </c>
      <c r="B111" s="1" t="n">
        <v>45757.55929398148</v>
      </c>
      <c r="C111" s="1" t="n">
        <v>45994</v>
      </c>
      <c r="D111" t="inlineStr">
        <is>
          <t>DALARNAS LÄN</t>
        </is>
      </c>
      <c r="E111" t="inlineStr">
        <is>
          <t>ORSA</t>
        </is>
      </c>
      <c r="F111" t="inlineStr">
        <is>
          <t>Bergvik skog öst AB</t>
        </is>
      </c>
      <c r="G111" t="n">
        <v>9.4</v>
      </c>
      <c r="H111" t="n">
        <v>0</v>
      </c>
      <c r="I111" t="n">
        <v>0</v>
      </c>
      <c r="J111" t="n">
        <v>0</v>
      </c>
      <c r="K111" t="n">
        <v>0</v>
      </c>
      <c r="L111" t="n">
        <v>0</v>
      </c>
      <c r="M111" t="n">
        <v>0</v>
      </c>
      <c r="N111" t="n">
        <v>0</v>
      </c>
      <c r="O111" t="n">
        <v>0</v>
      </c>
      <c r="P111" t="n">
        <v>0</v>
      </c>
      <c r="Q111" t="n">
        <v>0</v>
      </c>
      <c r="R111" s="2" t="inlineStr"/>
    </row>
    <row r="112" ht="15" customHeight="1">
      <c r="A112" t="inlineStr">
        <is>
          <t>A 56711-2021</t>
        </is>
      </c>
      <c r="B112" s="1" t="n">
        <v>44481.41222222222</v>
      </c>
      <c r="C112" s="1" t="n">
        <v>45994</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3720-2023</t>
        </is>
      </c>
      <c r="B113" s="1" t="n">
        <v>44951.36688657408</v>
      </c>
      <c r="C113" s="1" t="n">
        <v>45994</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45212.60275462963</v>
      </c>
      <c r="C114" s="1" t="n">
        <v>45994</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14535-2022</t>
        </is>
      </c>
      <c r="B115" s="1" t="n">
        <v>44655.44512731482</v>
      </c>
      <c r="C115" s="1" t="n">
        <v>45994</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62342-2023</t>
        </is>
      </c>
      <c r="B116" s="1" t="n">
        <v>45267.9268287037</v>
      </c>
      <c r="C116" s="1" t="n">
        <v>45994</v>
      </c>
      <c r="D116" t="inlineStr">
        <is>
          <t>DALARNAS LÄN</t>
        </is>
      </c>
      <c r="E116" t="inlineStr">
        <is>
          <t>ORSA</t>
        </is>
      </c>
      <c r="G116" t="n">
        <v>2.5</v>
      </c>
      <c r="H116" t="n">
        <v>0</v>
      </c>
      <c r="I116" t="n">
        <v>0</v>
      </c>
      <c r="J116" t="n">
        <v>0</v>
      </c>
      <c r="K116" t="n">
        <v>0</v>
      </c>
      <c r="L116" t="n">
        <v>0</v>
      </c>
      <c r="M116" t="n">
        <v>0</v>
      </c>
      <c r="N116" t="n">
        <v>0</v>
      </c>
      <c r="O116" t="n">
        <v>0</v>
      </c>
      <c r="P116" t="n">
        <v>0</v>
      </c>
      <c r="Q116" t="n">
        <v>0</v>
      </c>
      <c r="R116" s="2" t="inlineStr"/>
    </row>
    <row r="117" ht="15" customHeight="1">
      <c r="A117" t="inlineStr">
        <is>
          <t>A 67842-2020</t>
        </is>
      </c>
      <c r="B117" s="1" t="n">
        <v>44182</v>
      </c>
      <c r="C117" s="1" t="n">
        <v>45994</v>
      </c>
      <c r="D117" t="inlineStr">
        <is>
          <t>DALARNAS LÄN</t>
        </is>
      </c>
      <c r="E117" t="inlineStr">
        <is>
          <t>ORSA</t>
        </is>
      </c>
      <c r="G117" t="n">
        <v>10.6</v>
      </c>
      <c r="H117" t="n">
        <v>0</v>
      </c>
      <c r="I117" t="n">
        <v>0</v>
      </c>
      <c r="J117" t="n">
        <v>0</v>
      </c>
      <c r="K117" t="n">
        <v>0</v>
      </c>
      <c r="L117" t="n">
        <v>0</v>
      </c>
      <c r="M117" t="n">
        <v>0</v>
      </c>
      <c r="N117" t="n">
        <v>0</v>
      </c>
      <c r="O117" t="n">
        <v>0</v>
      </c>
      <c r="P117" t="n">
        <v>0</v>
      </c>
      <c r="Q117" t="n">
        <v>0</v>
      </c>
      <c r="R117" s="2" t="inlineStr"/>
    </row>
    <row r="118" ht="15" customHeight="1">
      <c r="A118" t="inlineStr">
        <is>
          <t>A 52044-2023</t>
        </is>
      </c>
      <c r="B118" s="1" t="n">
        <v>45223.6365625</v>
      </c>
      <c r="C118" s="1" t="n">
        <v>45994</v>
      </c>
      <c r="D118" t="inlineStr">
        <is>
          <t>DALARNAS LÄN</t>
        </is>
      </c>
      <c r="E118" t="inlineStr">
        <is>
          <t>ORSA</t>
        </is>
      </c>
      <c r="G118" t="n">
        <v>2.6</v>
      </c>
      <c r="H118" t="n">
        <v>0</v>
      </c>
      <c r="I118" t="n">
        <v>0</v>
      </c>
      <c r="J118" t="n">
        <v>0</v>
      </c>
      <c r="K118" t="n">
        <v>0</v>
      </c>
      <c r="L118" t="n">
        <v>0</v>
      </c>
      <c r="M118" t="n">
        <v>0</v>
      </c>
      <c r="N118" t="n">
        <v>0</v>
      </c>
      <c r="O118" t="n">
        <v>0</v>
      </c>
      <c r="P118" t="n">
        <v>0</v>
      </c>
      <c r="Q118" t="n">
        <v>0</v>
      </c>
      <c r="R118" s="2" t="inlineStr"/>
    </row>
    <row r="119" ht="15" customHeight="1">
      <c r="A119" t="inlineStr">
        <is>
          <t>A 33384-2022</t>
        </is>
      </c>
      <c r="B119" s="1" t="n">
        <v>44788</v>
      </c>
      <c r="C119" s="1" t="n">
        <v>45994</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10048-2023</t>
        </is>
      </c>
      <c r="B120" s="1" t="n">
        <v>44985.67237268519</v>
      </c>
      <c r="C120" s="1" t="n">
        <v>45994</v>
      </c>
      <c r="D120" t="inlineStr">
        <is>
          <t>DALARNAS LÄN</t>
        </is>
      </c>
      <c r="E120" t="inlineStr">
        <is>
          <t>ORSA</t>
        </is>
      </c>
      <c r="G120" t="n">
        <v>4.8</v>
      </c>
      <c r="H120" t="n">
        <v>0</v>
      </c>
      <c r="I120" t="n">
        <v>0</v>
      </c>
      <c r="J120" t="n">
        <v>0</v>
      </c>
      <c r="K120" t="n">
        <v>0</v>
      </c>
      <c r="L120" t="n">
        <v>0</v>
      </c>
      <c r="M120" t="n">
        <v>0</v>
      </c>
      <c r="N120" t="n">
        <v>0</v>
      </c>
      <c r="O120" t="n">
        <v>0</v>
      </c>
      <c r="P120" t="n">
        <v>0</v>
      </c>
      <c r="Q120" t="n">
        <v>0</v>
      </c>
      <c r="R120" s="2" t="inlineStr"/>
    </row>
    <row r="121" ht="15" customHeight="1">
      <c r="A121" t="inlineStr">
        <is>
          <t>A 51001-2021</t>
        </is>
      </c>
      <c r="B121" s="1" t="n">
        <v>44460.86221064815</v>
      </c>
      <c r="C121" s="1" t="n">
        <v>45994</v>
      </c>
      <c r="D121" t="inlineStr">
        <is>
          <t>DALARNAS LÄN</t>
        </is>
      </c>
      <c r="E121" t="inlineStr">
        <is>
          <t>ORSA</t>
        </is>
      </c>
      <c r="G121" t="n">
        <v>2.6</v>
      </c>
      <c r="H121" t="n">
        <v>0</v>
      </c>
      <c r="I121" t="n">
        <v>0</v>
      </c>
      <c r="J121" t="n">
        <v>0</v>
      </c>
      <c r="K121" t="n">
        <v>0</v>
      </c>
      <c r="L121" t="n">
        <v>0</v>
      </c>
      <c r="M121" t="n">
        <v>0</v>
      </c>
      <c r="N121" t="n">
        <v>0</v>
      </c>
      <c r="O121" t="n">
        <v>0</v>
      </c>
      <c r="P121" t="n">
        <v>0</v>
      </c>
      <c r="Q121" t="n">
        <v>0</v>
      </c>
      <c r="R121" s="2" t="inlineStr"/>
    </row>
    <row r="122" ht="15" customHeight="1">
      <c r="A122" t="inlineStr">
        <is>
          <t>A 892-2024</t>
        </is>
      </c>
      <c r="B122" s="1" t="n">
        <v>45301</v>
      </c>
      <c r="C122" s="1" t="n">
        <v>45994</v>
      </c>
      <c r="D122" t="inlineStr">
        <is>
          <t>DALARNAS LÄN</t>
        </is>
      </c>
      <c r="E122" t="inlineStr">
        <is>
          <t>ORSA</t>
        </is>
      </c>
      <c r="G122" t="n">
        <v>1.2</v>
      </c>
      <c r="H122" t="n">
        <v>0</v>
      </c>
      <c r="I122" t="n">
        <v>0</v>
      </c>
      <c r="J122" t="n">
        <v>0</v>
      </c>
      <c r="K122" t="n">
        <v>0</v>
      </c>
      <c r="L122" t="n">
        <v>0</v>
      </c>
      <c r="M122" t="n">
        <v>0</v>
      </c>
      <c r="N122" t="n">
        <v>0</v>
      </c>
      <c r="O122" t="n">
        <v>0</v>
      </c>
      <c r="P122" t="n">
        <v>0</v>
      </c>
      <c r="Q122" t="n">
        <v>0</v>
      </c>
      <c r="R122" s="2" t="inlineStr"/>
    </row>
    <row r="123" ht="15" customHeight="1">
      <c r="A123" t="inlineStr">
        <is>
          <t>A 16585-2023</t>
        </is>
      </c>
      <c r="B123" s="1" t="n">
        <v>45030</v>
      </c>
      <c r="C123" s="1" t="n">
        <v>45994</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25172-2022</t>
        </is>
      </c>
      <c r="B124" s="1" t="n">
        <v>44729.58356481481</v>
      </c>
      <c r="C124" s="1" t="n">
        <v>45994</v>
      </c>
      <c r="D124" t="inlineStr">
        <is>
          <t>DALARNAS LÄN</t>
        </is>
      </c>
      <c r="E124" t="inlineStr">
        <is>
          <t>ORSA</t>
        </is>
      </c>
      <c r="F124" t="inlineStr">
        <is>
          <t>Bergvik skog öst AB</t>
        </is>
      </c>
      <c r="G124" t="n">
        <v>3.6</v>
      </c>
      <c r="H124" t="n">
        <v>0</v>
      </c>
      <c r="I124" t="n">
        <v>0</v>
      </c>
      <c r="J124" t="n">
        <v>0</v>
      </c>
      <c r="K124" t="n">
        <v>0</v>
      </c>
      <c r="L124" t="n">
        <v>0</v>
      </c>
      <c r="M124" t="n">
        <v>0</v>
      </c>
      <c r="N124" t="n">
        <v>0</v>
      </c>
      <c r="O124" t="n">
        <v>0</v>
      </c>
      <c r="P124" t="n">
        <v>0</v>
      </c>
      <c r="Q124" t="n">
        <v>0</v>
      </c>
      <c r="R124" s="2" t="inlineStr"/>
    </row>
    <row r="125" ht="15" customHeight="1">
      <c r="A125" t="inlineStr">
        <is>
          <t>A 54519-2023</t>
        </is>
      </c>
      <c r="B125" s="1" t="n">
        <v>45233.58359953704</v>
      </c>
      <c r="C125" s="1" t="n">
        <v>45994</v>
      </c>
      <c r="D125" t="inlineStr">
        <is>
          <t>DALARNAS LÄN</t>
        </is>
      </c>
      <c r="E125" t="inlineStr">
        <is>
          <t>ORSA</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72284-2021</t>
        </is>
      </c>
      <c r="B126" s="1" t="n">
        <v>44545.36940972223</v>
      </c>
      <c r="C126" s="1" t="n">
        <v>45994</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13185-2022</t>
        </is>
      </c>
      <c r="B127" s="1" t="n">
        <v>44644.48491898148</v>
      </c>
      <c r="C127" s="1" t="n">
        <v>45994</v>
      </c>
      <c r="D127" t="inlineStr">
        <is>
          <t>DALARNAS LÄN</t>
        </is>
      </c>
      <c r="E127" t="inlineStr">
        <is>
          <t>ORSA</t>
        </is>
      </c>
      <c r="G127" t="n">
        <v>0.6</v>
      </c>
      <c r="H127" t="n">
        <v>0</v>
      </c>
      <c r="I127" t="n">
        <v>0</v>
      </c>
      <c r="J127" t="n">
        <v>0</v>
      </c>
      <c r="K127" t="n">
        <v>0</v>
      </c>
      <c r="L127" t="n">
        <v>0</v>
      </c>
      <c r="M127" t="n">
        <v>0</v>
      </c>
      <c r="N127" t="n">
        <v>0</v>
      </c>
      <c r="O127" t="n">
        <v>0</v>
      </c>
      <c r="P127" t="n">
        <v>0</v>
      </c>
      <c r="Q127" t="n">
        <v>0</v>
      </c>
      <c r="R127" s="2" t="inlineStr"/>
    </row>
    <row r="128" ht="15" customHeight="1">
      <c r="A128" t="inlineStr">
        <is>
          <t>A 44035-2022</t>
        </is>
      </c>
      <c r="B128" s="1" t="n">
        <v>44838.94439814815</v>
      </c>
      <c r="C128" s="1" t="n">
        <v>45994</v>
      </c>
      <c r="D128" t="inlineStr">
        <is>
          <t>DALARNAS LÄN</t>
        </is>
      </c>
      <c r="E128" t="inlineStr">
        <is>
          <t>ORSA</t>
        </is>
      </c>
      <c r="G128" t="n">
        <v>5.8</v>
      </c>
      <c r="H128" t="n">
        <v>0</v>
      </c>
      <c r="I128" t="n">
        <v>0</v>
      </c>
      <c r="J128" t="n">
        <v>0</v>
      </c>
      <c r="K128" t="n">
        <v>0</v>
      </c>
      <c r="L128" t="n">
        <v>0</v>
      </c>
      <c r="M128" t="n">
        <v>0</v>
      </c>
      <c r="N128" t="n">
        <v>0</v>
      </c>
      <c r="O128" t="n">
        <v>0</v>
      </c>
      <c r="P128" t="n">
        <v>0</v>
      </c>
      <c r="Q128" t="n">
        <v>0</v>
      </c>
      <c r="R128" s="2" t="inlineStr"/>
    </row>
    <row r="129" ht="15" customHeight="1">
      <c r="A129" t="inlineStr">
        <is>
          <t>A 3168-2024</t>
        </is>
      </c>
      <c r="B129" s="1" t="n">
        <v>45316.62863425926</v>
      </c>
      <c r="C129" s="1" t="n">
        <v>45994</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12101-2025</t>
        </is>
      </c>
      <c r="B130" s="1" t="n">
        <v>45729.33743055556</v>
      </c>
      <c r="C130" s="1" t="n">
        <v>45994</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59411-2024</t>
        </is>
      </c>
      <c r="B131" s="1" t="n">
        <v>45638.39675925926</v>
      </c>
      <c r="C131" s="1" t="n">
        <v>45994</v>
      </c>
      <c r="D131" t="inlineStr">
        <is>
          <t>DALARNAS LÄN</t>
        </is>
      </c>
      <c r="E131" t="inlineStr">
        <is>
          <t>ORSA</t>
        </is>
      </c>
      <c r="G131" t="n">
        <v>1.4</v>
      </c>
      <c r="H131" t="n">
        <v>0</v>
      </c>
      <c r="I131" t="n">
        <v>0</v>
      </c>
      <c r="J131" t="n">
        <v>0</v>
      </c>
      <c r="K131" t="n">
        <v>0</v>
      </c>
      <c r="L131" t="n">
        <v>0</v>
      </c>
      <c r="M131" t="n">
        <v>0</v>
      </c>
      <c r="N131" t="n">
        <v>0</v>
      </c>
      <c r="O131" t="n">
        <v>0</v>
      </c>
      <c r="P131" t="n">
        <v>0</v>
      </c>
      <c r="Q131" t="n">
        <v>0</v>
      </c>
      <c r="R131" s="2" t="inlineStr"/>
    </row>
    <row r="132" ht="15" customHeight="1">
      <c r="A132" t="inlineStr">
        <is>
          <t>A 59414-2024</t>
        </is>
      </c>
      <c r="B132" s="1" t="n">
        <v>45638.39965277778</v>
      </c>
      <c r="C132" s="1" t="n">
        <v>45994</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67755-2020</t>
        </is>
      </c>
      <c r="B133" s="1" t="n">
        <v>44182</v>
      </c>
      <c r="C133" s="1" t="n">
        <v>45994</v>
      </c>
      <c r="D133" t="inlineStr">
        <is>
          <t>DALARNAS LÄN</t>
        </is>
      </c>
      <c r="E133" t="inlineStr">
        <is>
          <t>ORSA</t>
        </is>
      </c>
      <c r="G133" t="n">
        <v>7.5</v>
      </c>
      <c r="H133" t="n">
        <v>0</v>
      </c>
      <c r="I133" t="n">
        <v>0</v>
      </c>
      <c r="J133" t="n">
        <v>0</v>
      </c>
      <c r="K133" t="n">
        <v>0</v>
      </c>
      <c r="L133" t="n">
        <v>0</v>
      </c>
      <c r="M133" t="n">
        <v>0</v>
      </c>
      <c r="N133" t="n">
        <v>0</v>
      </c>
      <c r="O133" t="n">
        <v>0</v>
      </c>
      <c r="P133" t="n">
        <v>0</v>
      </c>
      <c r="Q133" t="n">
        <v>0</v>
      </c>
      <c r="R133" s="2" t="inlineStr"/>
    </row>
    <row r="134" ht="15" customHeight="1">
      <c r="A134" t="inlineStr">
        <is>
          <t>A 46244-2022</t>
        </is>
      </c>
      <c r="B134" s="1" t="n">
        <v>44847.62055555556</v>
      </c>
      <c r="C134" s="1" t="n">
        <v>45994</v>
      </c>
      <c r="D134" t="inlineStr">
        <is>
          <t>DALARNAS LÄN</t>
        </is>
      </c>
      <c r="E134" t="inlineStr">
        <is>
          <t>ORSA</t>
        </is>
      </c>
      <c r="F134" t="inlineStr">
        <is>
          <t>Bergvik skog öst AB</t>
        </is>
      </c>
      <c r="G134" t="n">
        <v>2.6</v>
      </c>
      <c r="H134" t="n">
        <v>0</v>
      </c>
      <c r="I134" t="n">
        <v>0</v>
      </c>
      <c r="J134" t="n">
        <v>0</v>
      </c>
      <c r="K134" t="n">
        <v>0</v>
      </c>
      <c r="L134" t="n">
        <v>0</v>
      </c>
      <c r="M134" t="n">
        <v>0</v>
      </c>
      <c r="N134" t="n">
        <v>0</v>
      </c>
      <c r="O134" t="n">
        <v>0</v>
      </c>
      <c r="P134" t="n">
        <v>0</v>
      </c>
      <c r="Q134" t="n">
        <v>0</v>
      </c>
      <c r="R134" s="2" t="inlineStr"/>
    </row>
    <row r="135" ht="15" customHeight="1">
      <c r="A135" t="inlineStr">
        <is>
          <t>A 3452-2021</t>
        </is>
      </c>
      <c r="B135" s="1" t="n">
        <v>44218</v>
      </c>
      <c r="C135" s="1" t="n">
        <v>45994</v>
      </c>
      <c r="D135" t="inlineStr">
        <is>
          <t>DALARNAS LÄN</t>
        </is>
      </c>
      <c r="E135" t="inlineStr">
        <is>
          <t>ORSA</t>
        </is>
      </c>
      <c r="G135" t="n">
        <v>12.5</v>
      </c>
      <c r="H135" t="n">
        <v>0</v>
      </c>
      <c r="I135" t="n">
        <v>0</v>
      </c>
      <c r="J135" t="n">
        <v>0</v>
      </c>
      <c r="K135" t="n">
        <v>0</v>
      </c>
      <c r="L135" t="n">
        <v>0</v>
      </c>
      <c r="M135" t="n">
        <v>0</v>
      </c>
      <c r="N135" t="n">
        <v>0</v>
      </c>
      <c r="O135" t="n">
        <v>0</v>
      </c>
      <c r="P135" t="n">
        <v>0</v>
      </c>
      <c r="Q135" t="n">
        <v>0</v>
      </c>
      <c r="R135" s="2" t="inlineStr"/>
    </row>
    <row r="136" ht="15" customHeight="1">
      <c r="A136" t="inlineStr">
        <is>
          <t>A 34125-2023</t>
        </is>
      </c>
      <c r="B136" s="1" t="n">
        <v>45135</v>
      </c>
      <c r="C136" s="1" t="n">
        <v>45994</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28974-2024</t>
        </is>
      </c>
      <c r="B137" s="1" t="n">
        <v>45481.45445601852</v>
      </c>
      <c r="C137" s="1" t="n">
        <v>45994</v>
      </c>
      <c r="D137" t="inlineStr">
        <is>
          <t>DALARNAS LÄN</t>
        </is>
      </c>
      <c r="E137" t="inlineStr">
        <is>
          <t>ORSA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51303-2023</t>
        </is>
      </c>
      <c r="B138" s="1" t="n">
        <v>45219.55793981482</v>
      </c>
      <c r="C138" s="1" t="n">
        <v>45994</v>
      </c>
      <c r="D138" t="inlineStr">
        <is>
          <t>DALARNAS LÄN</t>
        </is>
      </c>
      <c r="E138" t="inlineStr">
        <is>
          <t>ORSA</t>
        </is>
      </c>
      <c r="G138" t="n">
        <v>1.8</v>
      </c>
      <c r="H138" t="n">
        <v>0</v>
      </c>
      <c r="I138" t="n">
        <v>0</v>
      </c>
      <c r="J138" t="n">
        <v>0</v>
      </c>
      <c r="K138" t="n">
        <v>0</v>
      </c>
      <c r="L138" t="n">
        <v>0</v>
      </c>
      <c r="M138" t="n">
        <v>0</v>
      </c>
      <c r="N138" t="n">
        <v>0</v>
      </c>
      <c r="O138" t="n">
        <v>0</v>
      </c>
      <c r="P138" t="n">
        <v>0</v>
      </c>
      <c r="Q138" t="n">
        <v>0</v>
      </c>
      <c r="R138" s="2" t="inlineStr"/>
    </row>
    <row r="139" ht="15" customHeight="1">
      <c r="A139" t="inlineStr">
        <is>
          <t>A 612-2025</t>
        </is>
      </c>
      <c r="B139" s="1" t="n">
        <v>45660</v>
      </c>
      <c r="C139" s="1" t="n">
        <v>45994</v>
      </c>
      <c r="D139" t="inlineStr">
        <is>
          <t>DALARNAS LÄN</t>
        </is>
      </c>
      <c r="E139" t="inlineStr">
        <is>
          <t>ORSA</t>
        </is>
      </c>
      <c r="F139" t="inlineStr">
        <is>
          <t>Allmännings- och besparingsskogar</t>
        </is>
      </c>
      <c r="G139" t="n">
        <v>0.8</v>
      </c>
      <c r="H139" t="n">
        <v>0</v>
      </c>
      <c r="I139" t="n">
        <v>0</v>
      </c>
      <c r="J139" t="n">
        <v>0</v>
      </c>
      <c r="K139" t="n">
        <v>0</v>
      </c>
      <c r="L139" t="n">
        <v>0</v>
      </c>
      <c r="M139" t="n">
        <v>0</v>
      </c>
      <c r="N139" t="n">
        <v>0</v>
      </c>
      <c r="O139" t="n">
        <v>0</v>
      </c>
      <c r="P139" t="n">
        <v>0</v>
      </c>
      <c r="Q139" t="n">
        <v>0</v>
      </c>
      <c r="R139" s="2" t="inlineStr"/>
    </row>
    <row r="140" ht="15" customHeight="1">
      <c r="A140" t="inlineStr">
        <is>
          <t>A 37770-2023</t>
        </is>
      </c>
      <c r="B140" s="1" t="n">
        <v>45159</v>
      </c>
      <c r="C140" s="1" t="n">
        <v>45994</v>
      </c>
      <c r="D140" t="inlineStr">
        <is>
          <t>DALARNAS LÄN</t>
        </is>
      </c>
      <c r="E140" t="inlineStr">
        <is>
          <t>ORSA</t>
        </is>
      </c>
      <c r="G140" t="n">
        <v>2.6</v>
      </c>
      <c r="H140" t="n">
        <v>0</v>
      </c>
      <c r="I140" t="n">
        <v>0</v>
      </c>
      <c r="J140" t="n">
        <v>0</v>
      </c>
      <c r="K140" t="n">
        <v>0</v>
      </c>
      <c r="L140" t="n">
        <v>0</v>
      </c>
      <c r="M140" t="n">
        <v>0</v>
      </c>
      <c r="N140" t="n">
        <v>0</v>
      </c>
      <c r="O140" t="n">
        <v>0</v>
      </c>
      <c r="P140" t="n">
        <v>0</v>
      </c>
      <c r="Q140" t="n">
        <v>0</v>
      </c>
      <c r="R140" s="2" t="inlineStr"/>
    </row>
    <row r="141" ht="15" customHeight="1">
      <c r="A141" t="inlineStr">
        <is>
          <t>A 18312-2024</t>
        </is>
      </c>
      <c r="B141" s="1" t="n">
        <v>45422.48225694444</v>
      </c>
      <c r="C141" s="1" t="n">
        <v>45994</v>
      </c>
      <c r="D141" t="inlineStr">
        <is>
          <t>DALARNAS LÄN</t>
        </is>
      </c>
      <c r="E141" t="inlineStr">
        <is>
          <t>ORSA</t>
        </is>
      </c>
      <c r="G141" t="n">
        <v>1.4</v>
      </c>
      <c r="H141" t="n">
        <v>0</v>
      </c>
      <c r="I141" t="n">
        <v>0</v>
      </c>
      <c r="J141" t="n">
        <v>0</v>
      </c>
      <c r="K141" t="n">
        <v>0</v>
      </c>
      <c r="L141" t="n">
        <v>0</v>
      </c>
      <c r="M141" t="n">
        <v>0</v>
      </c>
      <c r="N141" t="n">
        <v>0</v>
      </c>
      <c r="O141" t="n">
        <v>0</v>
      </c>
      <c r="P141" t="n">
        <v>0</v>
      </c>
      <c r="Q141" t="n">
        <v>0</v>
      </c>
      <c r="R141" s="2" t="inlineStr"/>
    </row>
    <row r="142" ht="15" customHeight="1">
      <c r="A142" t="inlineStr">
        <is>
          <t>A 4202-2025</t>
        </is>
      </c>
      <c r="B142" s="1" t="n">
        <v>45685.46236111111</v>
      </c>
      <c r="C142" s="1" t="n">
        <v>45994</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4204-2025</t>
        </is>
      </c>
      <c r="B143" s="1" t="n">
        <v>45685.46390046296</v>
      </c>
      <c r="C143" s="1" t="n">
        <v>45994</v>
      </c>
      <c r="D143" t="inlineStr">
        <is>
          <t>DALARNAS LÄN</t>
        </is>
      </c>
      <c r="E143" t="inlineStr">
        <is>
          <t>ORSA</t>
        </is>
      </c>
      <c r="G143" t="n">
        <v>1.8</v>
      </c>
      <c r="H143" t="n">
        <v>0</v>
      </c>
      <c r="I143" t="n">
        <v>0</v>
      </c>
      <c r="J143" t="n">
        <v>0</v>
      </c>
      <c r="K143" t="n">
        <v>0</v>
      </c>
      <c r="L143" t="n">
        <v>0</v>
      </c>
      <c r="M143" t="n">
        <v>0</v>
      </c>
      <c r="N143" t="n">
        <v>0</v>
      </c>
      <c r="O143" t="n">
        <v>0</v>
      </c>
      <c r="P143" t="n">
        <v>0</v>
      </c>
      <c r="Q143" t="n">
        <v>0</v>
      </c>
      <c r="R143" s="2" t="inlineStr"/>
    </row>
    <row r="144" ht="15" customHeight="1">
      <c r="A144" t="inlineStr">
        <is>
          <t>A 55538-2023</t>
        </is>
      </c>
      <c r="B144" s="1" t="n">
        <v>45238.5996875</v>
      </c>
      <c r="C144" s="1" t="n">
        <v>45994</v>
      </c>
      <c r="D144" t="inlineStr">
        <is>
          <t>DALARNAS LÄN</t>
        </is>
      </c>
      <c r="E144" t="inlineStr">
        <is>
          <t>ORSA</t>
        </is>
      </c>
      <c r="G144" t="n">
        <v>0.5</v>
      </c>
      <c r="H144" t="n">
        <v>0</v>
      </c>
      <c r="I144" t="n">
        <v>0</v>
      </c>
      <c r="J144" t="n">
        <v>0</v>
      </c>
      <c r="K144" t="n">
        <v>0</v>
      </c>
      <c r="L144" t="n">
        <v>0</v>
      </c>
      <c r="M144" t="n">
        <v>0</v>
      </c>
      <c r="N144" t="n">
        <v>0</v>
      </c>
      <c r="O144" t="n">
        <v>0</v>
      </c>
      <c r="P144" t="n">
        <v>0</v>
      </c>
      <c r="Q144" t="n">
        <v>0</v>
      </c>
      <c r="R144" s="2" t="inlineStr"/>
    </row>
    <row r="145" ht="15" customHeight="1">
      <c r="A145" t="inlineStr">
        <is>
          <t>A 51574-2023</t>
        </is>
      </c>
      <c r="B145" s="1" t="n">
        <v>45222.45090277777</v>
      </c>
      <c r="C145" s="1" t="n">
        <v>45994</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48819-2024</t>
        </is>
      </c>
      <c r="B146" s="1" t="n">
        <v>45593.67824074074</v>
      </c>
      <c r="C146" s="1" t="n">
        <v>45994</v>
      </c>
      <c r="D146" t="inlineStr">
        <is>
          <t>DALARNAS LÄN</t>
        </is>
      </c>
      <c r="E146" t="inlineStr">
        <is>
          <t>ORSA</t>
        </is>
      </c>
      <c r="G146" t="n">
        <v>5</v>
      </c>
      <c r="H146" t="n">
        <v>0</v>
      </c>
      <c r="I146" t="n">
        <v>0</v>
      </c>
      <c r="J146" t="n">
        <v>0</v>
      </c>
      <c r="K146" t="n">
        <v>0</v>
      </c>
      <c r="L146" t="n">
        <v>0</v>
      </c>
      <c r="M146" t="n">
        <v>0</v>
      </c>
      <c r="N146" t="n">
        <v>0</v>
      </c>
      <c r="O146" t="n">
        <v>0</v>
      </c>
      <c r="P146" t="n">
        <v>0</v>
      </c>
      <c r="Q146" t="n">
        <v>0</v>
      </c>
      <c r="R146" s="2" t="inlineStr"/>
    </row>
    <row r="147" ht="15" customHeight="1">
      <c r="A147" t="inlineStr">
        <is>
          <t>A 55580-2024</t>
        </is>
      </c>
      <c r="B147" s="1" t="n">
        <v>45622.56038194444</v>
      </c>
      <c r="C147" s="1" t="n">
        <v>45994</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72310-2021</t>
        </is>
      </c>
      <c r="B148" s="1" t="n">
        <v>44545</v>
      </c>
      <c r="C148" s="1" t="n">
        <v>45994</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60803-2022</t>
        </is>
      </c>
      <c r="B149" s="1" t="n">
        <v>44914</v>
      </c>
      <c r="C149" s="1" t="n">
        <v>45994</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7628-2025</t>
        </is>
      </c>
      <c r="B150" s="1" t="n">
        <v>45705.73394675926</v>
      </c>
      <c r="C150" s="1" t="n">
        <v>45994</v>
      </c>
      <c r="D150" t="inlineStr">
        <is>
          <t>DALARNAS LÄN</t>
        </is>
      </c>
      <c r="E150" t="inlineStr">
        <is>
          <t>ORSA</t>
        </is>
      </c>
      <c r="G150" t="n">
        <v>1.8</v>
      </c>
      <c r="H150" t="n">
        <v>0</v>
      </c>
      <c r="I150" t="n">
        <v>0</v>
      </c>
      <c r="J150" t="n">
        <v>0</v>
      </c>
      <c r="K150" t="n">
        <v>0</v>
      </c>
      <c r="L150" t="n">
        <v>0</v>
      </c>
      <c r="M150" t="n">
        <v>0</v>
      </c>
      <c r="N150" t="n">
        <v>0</v>
      </c>
      <c r="O150" t="n">
        <v>0</v>
      </c>
      <c r="P150" t="n">
        <v>0</v>
      </c>
      <c r="Q150" t="n">
        <v>0</v>
      </c>
      <c r="R150" s="2" t="inlineStr"/>
    </row>
    <row r="151" ht="15" customHeight="1">
      <c r="A151" t="inlineStr">
        <is>
          <t>A 19505-2022</t>
        </is>
      </c>
      <c r="B151" s="1" t="n">
        <v>44693</v>
      </c>
      <c r="C151" s="1" t="n">
        <v>45994</v>
      </c>
      <c r="D151" t="inlineStr">
        <is>
          <t>DALARNAS LÄN</t>
        </is>
      </c>
      <c r="E151" t="inlineStr">
        <is>
          <t>ORSA</t>
        </is>
      </c>
      <c r="G151" t="n">
        <v>2.7</v>
      </c>
      <c r="H151" t="n">
        <v>0</v>
      </c>
      <c r="I151" t="n">
        <v>0</v>
      </c>
      <c r="J151" t="n">
        <v>0</v>
      </c>
      <c r="K151" t="n">
        <v>0</v>
      </c>
      <c r="L151" t="n">
        <v>0</v>
      </c>
      <c r="M151" t="n">
        <v>0</v>
      </c>
      <c r="N151" t="n">
        <v>0</v>
      </c>
      <c r="O151" t="n">
        <v>0</v>
      </c>
      <c r="P151" t="n">
        <v>0</v>
      </c>
      <c r="Q151" t="n">
        <v>0</v>
      </c>
      <c r="R151" s="2" t="inlineStr"/>
    </row>
    <row r="152" ht="15" customHeight="1">
      <c r="A152" t="inlineStr">
        <is>
          <t>A 48518-2024</t>
        </is>
      </c>
      <c r="B152" s="1" t="n">
        <v>45593.31915509259</v>
      </c>
      <c r="C152" s="1" t="n">
        <v>45994</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61685-2024</t>
        </is>
      </c>
      <c r="B153" s="1" t="n">
        <v>45647.56972222222</v>
      </c>
      <c r="C153" s="1" t="n">
        <v>45994</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6939-2021</t>
        </is>
      </c>
      <c r="B154" s="1" t="n">
        <v>44237</v>
      </c>
      <c r="C154" s="1" t="n">
        <v>45994</v>
      </c>
      <c r="D154" t="inlineStr">
        <is>
          <t>DALARNAS LÄN</t>
        </is>
      </c>
      <c r="E154" t="inlineStr">
        <is>
          <t>ORSA</t>
        </is>
      </c>
      <c r="F154" t="inlineStr">
        <is>
          <t>Övriga statliga verk och myndigheter</t>
        </is>
      </c>
      <c r="G154" t="n">
        <v>1.5</v>
      </c>
      <c r="H154" t="n">
        <v>0</v>
      </c>
      <c r="I154" t="n">
        <v>0</v>
      </c>
      <c r="J154" t="n">
        <v>0</v>
      </c>
      <c r="K154" t="n">
        <v>0</v>
      </c>
      <c r="L154" t="n">
        <v>0</v>
      </c>
      <c r="M154" t="n">
        <v>0</v>
      </c>
      <c r="N154" t="n">
        <v>0</v>
      </c>
      <c r="O154" t="n">
        <v>0</v>
      </c>
      <c r="P154" t="n">
        <v>0</v>
      </c>
      <c r="Q154" t="n">
        <v>0</v>
      </c>
      <c r="R154" s="2" t="inlineStr"/>
    </row>
    <row r="155" ht="15" customHeight="1">
      <c r="A155" t="inlineStr">
        <is>
          <t>A 55691-2022</t>
        </is>
      </c>
      <c r="B155" s="1" t="n">
        <v>44888</v>
      </c>
      <c r="C155" s="1" t="n">
        <v>45994</v>
      </c>
      <c r="D155" t="inlineStr">
        <is>
          <t>DALARNAS LÄN</t>
        </is>
      </c>
      <c r="E155" t="inlineStr">
        <is>
          <t>ORSA</t>
        </is>
      </c>
      <c r="G155" t="n">
        <v>0.4</v>
      </c>
      <c r="H155" t="n">
        <v>0</v>
      </c>
      <c r="I155" t="n">
        <v>0</v>
      </c>
      <c r="J155" t="n">
        <v>0</v>
      </c>
      <c r="K155" t="n">
        <v>0</v>
      </c>
      <c r="L155" t="n">
        <v>0</v>
      </c>
      <c r="M155" t="n">
        <v>0</v>
      </c>
      <c r="N155" t="n">
        <v>0</v>
      </c>
      <c r="O155" t="n">
        <v>0</v>
      </c>
      <c r="P155" t="n">
        <v>0</v>
      </c>
      <c r="Q155" t="n">
        <v>0</v>
      </c>
      <c r="R155" s="2" t="inlineStr"/>
    </row>
    <row r="156" ht="15" customHeight="1">
      <c r="A156" t="inlineStr">
        <is>
          <t>A 34169-2023</t>
        </is>
      </c>
      <c r="B156" s="1" t="n">
        <v>45138.3071412037</v>
      </c>
      <c r="C156" s="1" t="n">
        <v>45994</v>
      </c>
      <c r="D156" t="inlineStr">
        <is>
          <t>DALARNAS LÄN</t>
        </is>
      </c>
      <c r="E156" t="inlineStr">
        <is>
          <t>ORSA</t>
        </is>
      </c>
      <c r="F156" t="inlineStr">
        <is>
          <t>Allmännings- och besparingsskogar</t>
        </is>
      </c>
      <c r="G156" t="n">
        <v>0.7</v>
      </c>
      <c r="H156" t="n">
        <v>0</v>
      </c>
      <c r="I156" t="n">
        <v>0</v>
      </c>
      <c r="J156" t="n">
        <v>0</v>
      </c>
      <c r="K156" t="n">
        <v>0</v>
      </c>
      <c r="L156" t="n">
        <v>0</v>
      </c>
      <c r="M156" t="n">
        <v>0</v>
      </c>
      <c r="N156" t="n">
        <v>0</v>
      </c>
      <c r="O156" t="n">
        <v>0</v>
      </c>
      <c r="P156" t="n">
        <v>0</v>
      </c>
      <c r="Q156" t="n">
        <v>0</v>
      </c>
      <c r="R156" s="2" t="inlineStr"/>
    </row>
    <row r="157" ht="15" customHeight="1">
      <c r="A157" t="inlineStr">
        <is>
          <t>A 29499-2024</t>
        </is>
      </c>
      <c r="B157" s="1" t="n">
        <v>45484</v>
      </c>
      <c r="C157" s="1" t="n">
        <v>45994</v>
      </c>
      <c r="D157" t="inlineStr">
        <is>
          <t>DALARNAS LÄN</t>
        </is>
      </c>
      <c r="E157" t="inlineStr">
        <is>
          <t>ORSA</t>
        </is>
      </c>
      <c r="G157" t="n">
        <v>1.7</v>
      </c>
      <c r="H157" t="n">
        <v>0</v>
      </c>
      <c r="I157" t="n">
        <v>0</v>
      </c>
      <c r="J157" t="n">
        <v>0</v>
      </c>
      <c r="K157" t="n">
        <v>0</v>
      </c>
      <c r="L157" t="n">
        <v>0</v>
      </c>
      <c r="M157" t="n">
        <v>0</v>
      </c>
      <c r="N157" t="n">
        <v>0</v>
      </c>
      <c r="O157" t="n">
        <v>0</v>
      </c>
      <c r="P157" t="n">
        <v>0</v>
      </c>
      <c r="Q157" t="n">
        <v>0</v>
      </c>
      <c r="R157" s="2" t="inlineStr"/>
    </row>
    <row r="158" ht="15" customHeight="1">
      <c r="A158" t="inlineStr">
        <is>
          <t>A 7534-2025</t>
        </is>
      </c>
      <c r="B158" s="1" t="n">
        <v>45705.56287037037</v>
      </c>
      <c r="C158" s="1" t="n">
        <v>45994</v>
      </c>
      <c r="D158" t="inlineStr">
        <is>
          <t>DALARNAS LÄN</t>
        </is>
      </c>
      <c r="E158" t="inlineStr">
        <is>
          <t>ORSA</t>
        </is>
      </c>
      <c r="G158" t="n">
        <v>1.1</v>
      </c>
      <c r="H158" t="n">
        <v>0</v>
      </c>
      <c r="I158" t="n">
        <v>0</v>
      </c>
      <c r="J158" t="n">
        <v>0</v>
      </c>
      <c r="K158" t="n">
        <v>0</v>
      </c>
      <c r="L158" t="n">
        <v>0</v>
      </c>
      <c r="M158" t="n">
        <v>0</v>
      </c>
      <c r="N158" t="n">
        <v>0</v>
      </c>
      <c r="O158" t="n">
        <v>0</v>
      </c>
      <c r="P158" t="n">
        <v>0</v>
      </c>
      <c r="Q158" t="n">
        <v>0</v>
      </c>
      <c r="R158" s="2" t="inlineStr"/>
    </row>
    <row r="159" ht="15" customHeight="1">
      <c r="A159" t="inlineStr">
        <is>
          <t>A 593-2024</t>
        </is>
      </c>
      <c r="B159" s="1" t="n">
        <v>45299.63049768518</v>
      </c>
      <c r="C159" s="1" t="n">
        <v>45994</v>
      </c>
      <c r="D159" t="inlineStr">
        <is>
          <t>DALARNAS LÄN</t>
        </is>
      </c>
      <c r="E159" t="inlineStr">
        <is>
          <t>ORSA</t>
        </is>
      </c>
      <c r="G159" t="n">
        <v>1.5</v>
      </c>
      <c r="H159" t="n">
        <v>0</v>
      </c>
      <c r="I159" t="n">
        <v>0</v>
      </c>
      <c r="J159" t="n">
        <v>0</v>
      </c>
      <c r="K159" t="n">
        <v>0</v>
      </c>
      <c r="L159" t="n">
        <v>0</v>
      </c>
      <c r="M159" t="n">
        <v>0</v>
      </c>
      <c r="N159" t="n">
        <v>0</v>
      </c>
      <c r="O159" t="n">
        <v>0</v>
      </c>
      <c r="P159" t="n">
        <v>0</v>
      </c>
      <c r="Q159" t="n">
        <v>0</v>
      </c>
      <c r="R159" s="2" t="inlineStr"/>
    </row>
    <row r="160" ht="15" customHeight="1">
      <c r="A160" t="inlineStr">
        <is>
          <t>A 49270-2024</t>
        </is>
      </c>
      <c r="B160" s="1" t="n">
        <v>45595.49896990741</v>
      </c>
      <c r="C160" s="1" t="n">
        <v>45994</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27146-2021</t>
        </is>
      </c>
      <c r="B161" s="1" t="n">
        <v>44350</v>
      </c>
      <c r="C161" s="1" t="n">
        <v>45994</v>
      </c>
      <c r="D161" t="inlineStr">
        <is>
          <t>DALARNAS LÄN</t>
        </is>
      </c>
      <c r="E161" t="inlineStr">
        <is>
          <t>ORSA</t>
        </is>
      </c>
      <c r="G161" t="n">
        <v>1</v>
      </c>
      <c r="H161" t="n">
        <v>0</v>
      </c>
      <c r="I161" t="n">
        <v>0</v>
      </c>
      <c r="J161" t="n">
        <v>0</v>
      </c>
      <c r="K161" t="n">
        <v>0</v>
      </c>
      <c r="L161" t="n">
        <v>0</v>
      </c>
      <c r="M161" t="n">
        <v>0</v>
      </c>
      <c r="N161" t="n">
        <v>0</v>
      </c>
      <c r="O161" t="n">
        <v>0</v>
      </c>
      <c r="P161" t="n">
        <v>0</v>
      </c>
      <c r="Q161" t="n">
        <v>0</v>
      </c>
      <c r="R161" s="2" t="inlineStr"/>
    </row>
    <row r="162" ht="15" customHeight="1">
      <c r="A162" t="inlineStr">
        <is>
          <t>A 58793-2023</t>
        </is>
      </c>
      <c r="B162" s="1" t="n">
        <v>45252.34607638889</v>
      </c>
      <c r="C162" s="1" t="n">
        <v>45994</v>
      </c>
      <c r="D162" t="inlineStr">
        <is>
          <t>DALARNAS LÄN</t>
        </is>
      </c>
      <c r="E162" t="inlineStr">
        <is>
          <t>ORSA</t>
        </is>
      </c>
      <c r="G162" t="n">
        <v>2.2</v>
      </c>
      <c r="H162" t="n">
        <v>0</v>
      </c>
      <c r="I162" t="n">
        <v>0</v>
      </c>
      <c r="J162" t="n">
        <v>0</v>
      </c>
      <c r="K162" t="n">
        <v>0</v>
      </c>
      <c r="L162" t="n">
        <v>0</v>
      </c>
      <c r="M162" t="n">
        <v>0</v>
      </c>
      <c r="N162" t="n">
        <v>0</v>
      </c>
      <c r="O162" t="n">
        <v>0</v>
      </c>
      <c r="P162" t="n">
        <v>0</v>
      </c>
      <c r="Q162" t="n">
        <v>0</v>
      </c>
      <c r="R162" s="2" t="inlineStr"/>
    </row>
    <row r="163" ht="15" customHeight="1">
      <c r="A163" t="inlineStr">
        <is>
          <t>A 53229-2023</t>
        </is>
      </c>
      <c r="B163" s="1" t="n">
        <v>45229.48306712963</v>
      </c>
      <c r="C163" s="1" t="n">
        <v>45994</v>
      </c>
      <c r="D163" t="inlineStr">
        <is>
          <t>DALARNAS LÄN</t>
        </is>
      </c>
      <c r="E163" t="inlineStr">
        <is>
          <t>ORSA</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36427-2023</t>
        </is>
      </c>
      <c r="B164" s="1" t="n">
        <v>45152.60333333333</v>
      </c>
      <c r="C164" s="1" t="n">
        <v>45994</v>
      </c>
      <c r="D164" t="inlineStr">
        <is>
          <t>DALARNAS LÄN</t>
        </is>
      </c>
      <c r="E164" t="inlineStr">
        <is>
          <t>ORSA</t>
        </is>
      </c>
      <c r="F164" t="inlineStr">
        <is>
          <t>Bergvik skog öst AB</t>
        </is>
      </c>
      <c r="G164" t="n">
        <v>1.2</v>
      </c>
      <c r="H164" t="n">
        <v>0</v>
      </c>
      <c r="I164" t="n">
        <v>0</v>
      </c>
      <c r="J164" t="n">
        <v>0</v>
      </c>
      <c r="K164" t="n">
        <v>0</v>
      </c>
      <c r="L164" t="n">
        <v>0</v>
      </c>
      <c r="M164" t="n">
        <v>0</v>
      </c>
      <c r="N164" t="n">
        <v>0</v>
      </c>
      <c r="O164" t="n">
        <v>0</v>
      </c>
      <c r="P164" t="n">
        <v>0</v>
      </c>
      <c r="Q164" t="n">
        <v>0</v>
      </c>
      <c r="R164" s="2" t="inlineStr"/>
    </row>
    <row r="165" ht="15" customHeight="1">
      <c r="A165" t="inlineStr">
        <is>
          <t>A 29025-2023</t>
        </is>
      </c>
      <c r="B165" s="1" t="n">
        <v>45104.70399305555</v>
      </c>
      <c r="C165" s="1" t="n">
        <v>45994</v>
      </c>
      <c r="D165" t="inlineStr">
        <is>
          <t>DALARNAS LÄN</t>
        </is>
      </c>
      <c r="E165" t="inlineStr">
        <is>
          <t>ORSA</t>
        </is>
      </c>
      <c r="G165" t="n">
        <v>6.6</v>
      </c>
      <c r="H165" t="n">
        <v>0</v>
      </c>
      <c r="I165" t="n">
        <v>0</v>
      </c>
      <c r="J165" t="n">
        <v>0</v>
      </c>
      <c r="K165" t="n">
        <v>0</v>
      </c>
      <c r="L165" t="n">
        <v>0</v>
      </c>
      <c r="M165" t="n">
        <v>0</v>
      </c>
      <c r="N165" t="n">
        <v>0</v>
      </c>
      <c r="O165" t="n">
        <v>0</v>
      </c>
      <c r="P165" t="n">
        <v>0</v>
      </c>
      <c r="Q165" t="n">
        <v>0</v>
      </c>
      <c r="R165" s="2" t="inlineStr"/>
    </row>
    <row r="166" ht="15" customHeight="1">
      <c r="A166" t="inlineStr">
        <is>
          <t>A 6171-2025</t>
        </is>
      </c>
      <c r="B166" s="1" t="n">
        <v>45698.43287037037</v>
      </c>
      <c r="C166" s="1" t="n">
        <v>45994</v>
      </c>
      <c r="D166" t="inlineStr">
        <is>
          <t>DALARNAS LÄN</t>
        </is>
      </c>
      <c r="E166" t="inlineStr">
        <is>
          <t>ORSA</t>
        </is>
      </c>
      <c r="G166" t="n">
        <v>11.1</v>
      </c>
      <c r="H166" t="n">
        <v>0</v>
      </c>
      <c r="I166" t="n">
        <v>0</v>
      </c>
      <c r="J166" t="n">
        <v>0</v>
      </c>
      <c r="K166" t="n">
        <v>0</v>
      </c>
      <c r="L166" t="n">
        <v>0</v>
      </c>
      <c r="M166" t="n">
        <v>0</v>
      </c>
      <c r="N166" t="n">
        <v>0</v>
      </c>
      <c r="O166" t="n">
        <v>0</v>
      </c>
      <c r="P166" t="n">
        <v>0</v>
      </c>
      <c r="Q166" t="n">
        <v>0</v>
      </c>
      <c r="R166" s="2" t="inlineStr"/>
    </row>
    <row r="167" ht="15" customHeight="1">
      <c r="A167" t="inlineStr">
        <is>
          <t>A 2717-2024</t>
        </is>
      </c>
      <c r="B167" s="1" t="n">
        <v>45314.49222222222</v>
      </c>
      <c r="C167" s="1" t="n">
        <v>45994</v>
      </c>
      <c r="D167" t="inlineStr">
        <is>
          <t>DALARNAS LÄN</t>
        </is>
      </c>
      <c r="E167" t="inlineStr">
        <is>
          <t>ORSA</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13209-2022</t>
        </is>
      </c>
      <c r="B168" s="1" t="n">
        <v>44644.56325231482</v>
      </c>
      <c r="C168" s="1" t="n">
        <v>45994</v>
      </c>
      <c r="D168" t="inlineStr">
        <is>
          <t>DALARNAS LÄN</t>
        </is>
      </c>
      <c r="E168" t="inlineStr">
        <is>
          <t>ORSA</t>
        </is>
      </c>
      <c r="G168" t="n">
        <v>0.5</v>
      </c>
      <c r="H168" t="n">
        <v>0</v>
      </c>
      <c r="I168" t="n">
        <v>0</v>
      </c>
      <c r="J168" t="n">
        <v>0</v>
      </c>
      <c r="K168" t="n">
        <v>0</v>
      </c>
      <c r="L168" t="n">
        <v>0</v>
      </c>
      <c r="M168" t="n">
        <v>0</v>
      </c>
      <c r="N168" t="n">
        <v>0</v>
      </c>
      <c r="O168" t="n">
        <v>0</v>
      </c>
      <c r="P168" t="n">
        <v>0</v>
      </c>
      <c r="Q168" t="n">
        <v>0</v>
      </c>
      <c r="R168" s="2" t="inlineStr"/>
    </row>
    <row r="169" ht="15" customHeight="1">
      <c r="A169" t="inlineStr">
        <is>
          <t>A 26301-2023</t>
        </is>
      </c>
      <c r="B169" s="1" t="n">
        <v>45091</v>
      </c>
      <c r="C169" s="1" t="n">
        <v>45994</v>
      </c>
      <c r="D169" t="inlineStr">
        <is>
          <t>DALARNAS LÄN</t>
        </is>
      </c>
      <c r="E169" t="inlineStr">
        <is>
          <t>ORSA</t>
        </is>
      </c>
      <c r="G169" t="n">
        <v>1.7</v>
      </c>
      <c r="H169" t="n">
        <v>0</v>
      </c>
      <c r="I169" t="n">
        <v>0</v>
      </c>
      <c r="J169" t="n">
        <v>0</v>
      </c>
      <c r="K169" t="n">
        <v>0</v>
      </c>
      <c r="L169" t="n">
        <v>0</v>
      </c>
      <c r="M169" t="n">
        <v>0</v>
      </c>
      <c r="N169" t="n">
        <v>0</v>
      </c>
      <c r="O169" t="n">
        <v>0</v>
      </c>
      <c r="P169" t="n">
        <v>0</v>
      </c>
      <c r="Q169" t="n">
        <v>0</v>
      </c>
      <c r="R169" s="2" t="inlineStr"/>
    </row>
    <row r="170" ht="15" customHeight="1">
      <c r="A170" t="inlineStr">
        <is>
          <t>A 13236-2022</t>
        </is>
      </c>
      <c r="B170" s="1" t="n">
        <v>44644.61106481482</v>
      </c>
      <c r="C170" s="1" t="n">
        <v>45994</v>
      </c>
      <c r="D170" t="inlineStr">
        <is>
          <t>DALARNAS LÄN</t>
        </is>
      </c>
      <c r="E170" t="inlineStr">
        <is>
          <t>ORSA</t>
        </is>
      </c>
      <c r="G170" t="n">
        <v>0.5</v>
      </c>
      <c r="H170" t="n">
        <v>0</v>
      </c>
      <c r="I170" t="n">
        <v>0</v>
      </c>
      <c r="J170" t="n">
        <v>0</v>
      </c>
      <c r="K170" t="n">
        <v>0</v>
      </c>
      <c r="L170" t="n">
        <v>0</v>
      </c>
      <c r="M170" t="n">
        <v>0</v>
      </c>
      <c r="N170" t="n">
        <v>0</v>
      </c>
      <c r="O170" t="n">
        <v>0</v>
      </c>
      <c r="P170" t="n">
        <v>0</v>
      </c>
      <c r="Q170" t="n">
        <v>0</v>
      </c>
      <c r="R170" s="2" t="inlineStr"/>
    </row>
    <row r="171" ht="15" customHeight="1">
      <c r="A171" t="inlineStr">
        <is>
          <t>A 8429-2024</t>
        </is>
      </c>
      <c r="B171" s="1" t="n">
        <v>45353.38880787037</v>
      </c>
      <c r="C171" s="1" t="n">
        <v>45994</v>
      </c>
      <c r="D171" t="inlineStr">
        <is>
          <t>DALARNAS LÄN</t>
        </is>
      </c>
      <c r="E171" t="inlineStr">
        <is>
          <t>ORSA</t>
        </is>
      </c>
      <c r="G171" t="n">
        <v>0.3</v>
      </c>
      <c r="H171" t="n">
        <v>0</v>
      </c>
      <c r="I171" t="n">
        <v>0</v>
      </c>
      <c r="J171" t="n">
        <v>0</v>
      </c>
      <c r="K171" t="n">
        <v>0</v>
      </c>
      <c r="L171" t="n">
        <v>0</v>
      </c>
      <c r="M171" t="n">
        <v>0</v>
      </c>
      <c r="N171" t="n">
        <v>0</v>
      </c>
      <c r="O171" t="n">
        <v>0</v>
      </c>
      <c r="P171" t="n">
        <v>0</v>
      </c>
      <c r="Q171" t="n">
        <v>0</v>
      </c>
      <c r="R171" s="2" t="inlineStr"/>
    </row>
    <row r="172" ht="15" customHeight="1">
      <c r="A172" t="inlineStr">
        <is>
          <t>A 46454-2024</t>
        </is>
      </c>
      <c r="B172" s="1" t="n">
        <v>45582</v>
      </c>
      <c r="C172" s="1" t="n">
        <v>45994</v>
      </c>
      <c r="D172" t="inlineStr">
        <is>
          <t>DALARNAS LÄN</t>
        </is>
      </c>
      <c r="E172" t="inlineStr">
        <is>
          <t>ORSA</t>
        </is>
      </c>
      <c r="F172" t="inlineStr">
        <is>
          <t>Övriga statliga verk och myndigheter</t>
        </is>
      </c>
      <c r="G172" t="n">
        <v>1</v>
      </c>
      <c r="H172" t="n">
        <v>0</v>
      </c>
      <c r="I172" t="n">
        <v>0</v>
      </c>
      <c r="J172" t="n">
        <v>0</v>
      </c>
      <c r="K172" t="n">
        <v>0</v>
      </c>
      <c r="L172" t="n">
        <v>0</v>
      </c>
      <c r="M172" t="n">
        <v>0</v>
      </c>
      <c r="N172" t="n">
        <v>0</v>
      </c>
      <c r="O172" t="n">
        <v>0</v>
      </c>
      <c r="P172" t="n">
        <v>0</v>
      </c>
      <c r="Q172" t="n">
        <v>0</v>
      </c>
      <c r="R172" s="2" t="inlineStr"/>
    </row>
    <row r="173" ht="15" customHeight="1">
      <c r="A173" t="inlineStr">
        <is>
          <t>A 1624-2024</t>
        </is>
      </c>
      <c r="B173" s="1" t="n">
        <v>45306</v>
      </c>
      <c r="C173" s="1" t="n">
        <v>45994</v>
      </c>
      <c r="D173" t="inlineStr">
        <is>
          <t>DALARNAS LÄN</t>
        </is>
      </c>
      <c r="E173" t="inlineStr">
        <is>
          <t>ORSA</t>
        </is>
      </c>
      <c r="G173" t="n">
        <v>1.9</v>
      </c>
      <c r="H173" t="n">
        <v>0</v>
      </c>
      <c r="I173" t="n">
        <v>0</v>
      </c>
      <c r="J173" t="n">
        <v>0</v>
      </c>
      <c r="K173" t="n">
        <v>0</v>
      </c>
      <c r="L173" t="n">
        <v>0</v>
      </c>
      <c r="M173" t="n">
        <v>0</v>
      </c>
      <c r="N173" t="n">
        <v>0</v>
      </c>
      <c r="O173" t="n">
        <v>0</v>
      </c>
      <c r="P173" t="n">
        <v>0</v>
      </c>
      <c r="Q173" t="n">
        <v>0</v>
      </c>
      <c r="R173" s="2" t="inlineStr"/>
    </row>
    <row r="174" ht="15" customHeight="1">
      <c r="A174" t="inlineStr">
        <is>
          <t>A 47134-2024</t>
        </is>
      </c>
      <c r="B174" s="1" t="n">
        <v>45586.58081018519</v>
      </c>
      <c r="C174" s="1" t="n">
        <v>45994</v>
      </c>
      <c r="D174" t="inlineStr">
        <is>
          <t>DALARNAS LÄN</t>
        </is>
      </c>
      <c r="E174" t="inlineStr">
        <is>
          <t>ORSA</t>
        </is>
      </c>
      <c r="G174" t="n">
        <v>0.3</v>
      </c>
      <c r="H174" t="n">
        <v>0</v>
      </c>
      <c r="I174" t="n">
        <v>0</v>
      </c>
      <c r="J174" t="n">
        <v>0</v>
      </c>
      <c r="K174" t="n">
        <v>0</v>
      </c>
      <c r="L174" t="n">
        <v>0</v>
      </c>
      <c r="M174" t="n">
        <v>0</v>
      </c>
      <c r="N174" t="n">
        <v>0</v>
      </c>
      <c r="O174" t="n">
        <v>0</v>
      </c>
      <c r="P174" t="n">
        <v>0</v>
      </c>
      <c r="Q174" t="n">
        <v>0</v>
      </c>
      <c r="R174" s="2" t="inlineStr"/>
    </row>
    <row r="175" ht="15" customHeight="1">
      <c r="A175" t="inlineStr">
        <is>
          <t>A 20588-2025</t>
        </is>
      </c>
      <c r="B175" s="1" t="n">
        <v>45775</v>
      </c>
      <c r="C175" s="1" t="n">
        <v>45994</v>
      </c>
      <c r="D175" t="inlineStr">
        <is>
          <t>DALARNAS LÄN</t>
        </is>
      </c>
      <c r="E175" t="inlineStr">
        <is>
          <t>ORSA</t>
        </is>
      </c>
      <c r="G175" t="n">
        <v>1.7</v>
      </c>
      <c r="H175" t="n">
        <v>0</v>
      </c>
      <c r="I175" t="n">
        <v>0</v>
      </c>
      <c r="J175" t="n">
        <v>0</v>
      </c>
      <c r="K175" t="n">
        <v>0</v>
      </c>
      <c r="L175" t="n">
        <v>0</v>
      </c>
      <c r="M175" t="n">
        <v>0</v>
      </c>
      <c r="N175" t="n">
        <v>0</v>
      </c>
      <c r="O175" t="n">
        <v>0</v>
      </c>
      <c r="P175" t="n">
        <v>0</v>
      </c>
      <c r="Q175" t="n">
        <v>0</v>
      </c>
      <c r="R175" s="2" t="inlineStr"/>
    </row>
    <row r="176" ht="15" customHeight="1">
      <c r="A176" t="inlineStr">
        <is>
          <t>A 20589-2025</t>
        </is>
      </c>
      <c r="B176" s="1" t="n">
        <v>45775</v>
      </c>
      <c r="C176" s="1" t="n">
        <v>45994</v>
      </c>
      <c r="D176" t="inlineStr">
        <is>
          <t>DALARNAS LÄN</t>
        </is>
      </c>
      <c r="E176" t="inlineStr">
        <is>
          <t>ORSA</t>
        </is>
      </c>
      <c r="G176" t="n">
        <v>2</v>
      </c>
      <c r="H176" t="n">
        <v>0</v>
      </c>
      <c r="I176" t="n">
        <v>0</v>
      </c>
      <c r="J176" t="n">
        <v>0</v>
      </c>
      <c r="K176" t="n">
        <v>0</v>
      </c>
      <c r="L176" t="n">
        <v>0</v>
      </c>
      <c r="M176" t="n">
        <v>0</v>
      </c>
      <c r="N176" t="n">
        <v>0</v>
      </c>
      <c r="O176" t="n">
        <v>0</v>
      </c>
      <c r="P176" t="n">
        <v>0</v>
      </c>
      <c r="Q176" t="n">
        <v>0</v>
      </c>
      <c r="R176" s="2" t="inlineStr"/>
    </row>
    <row r="177" ht="15" customHeight="1">
      <c r="A177" t="inlineStr">
        <is>
          <t>A 47579-2023</t>
        </is>
      </c>
      <c r="B177" s="1" t="n">
        <v>45203.42181712963</v>
      </c>
      <c r="C177" s="1" t="n">
        <v>45994</v>
      </c>
      <c r="D177" t="inlineStr">
        <is>
          <t>DALARNAS LÄN</t>
        </is>
      </c>
      <c r="E177" t="inlineStr">
        <is>
          <t>ORSA</t>
        </is>
      </c>
      <c r="G177" t="n">
        <v>2.9</v>
      </c>
      <c r="H177" t="n">
        <v>0</v>
      </c>
      <c r="I177" t="n">
        <v>0</v>
      </c>
      <c r="J177" t="n">
        <v>0</v>
      </c>
      <c r="K177" t="n">
        <v>0</v>
      </c>
      <c r="L177" t="n">
        <v>0</v>
      </c>
      <c r="M177" t="n">
        <v>0</v>
      </c>
      <c r="N177" t="n">
        <v>0</v>
      </c>
      <c r="O177" t="n">
        <v>0</v>
      </c>
      <c r="P177" t="n">
        <v>0</v>
      </c>
      <c r="Q177" t="n">
        <v>0</v>
      </c>
      <c r="R177" s="2" t="inlineStr"/>
    </row>
    <row r="178" ht="15" customHeight="1">
      <c r="A178" t="inlineStr">
        <is>
          <t>A 13575-2025</t>
        </is>
      </c>
      <c r="B178" s="1" t="n">
        <v>45736.57871527778</v>
      </c>
      <c r="C178" s="1" t="n">
        <v>45994</v>
      </c>
      <c r="D178" t="inlineStr">
        <is>
          <t>DALARNAS LÄN</t>
        </is>
      </c>
      <c r="E178" t="inlineStr">
        <is>
          <t>ORSA</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15870-2025</t>
        </is>
      </c>
      <c r="B179" s="1" t="n">
        <v>45749.37135416667</v>
      </c>
      <c r="C179" s="1" t="n">
        <v>45994</v>
      </c>
      <c r="D179" t="inlineStr">
        <is>
          <t>DALARNAS LÄN</t>
        </is>
      </c>
      <c r="E179" t="inlineStr">
        <is>
          <t>ORSA</t>
        </is>
      </c>
      <c r="F179" t="inlineStr">
        <is>
          <t>Bergvik skog öst AB</t>
        </is>
      </c>
      <c r="G179" t="n">
        <v>2.7</v>
      </c>
      <c r="H179" t="n">
        <v>0</v>
      </c>
      <c r="I179" t="n">
        <v>0</v>
      </c>
      <c r="J179" t="n">
        <v>0</v>
      </c>
      <c r="K179" t="n">
        <v>0</v>
      </c>
      <c r="L179" t="n">
        <v>0</v>
      </c>
      <c r="M179" t="n">
        <v>0</v>
      </c>
      <c r="N179" t="n">
        <v>0</v>
      </c>
      <c r="O179" t="n">
        <v>0</v>
      </c>
      <c r="P179" t="n">
        <v>0</v>
      </c>
      <c r="Q179" t="n">
        <v>0</v>
      </c>
      <c r="R179" s="2" t="inlineStr"/>
    </row>
    <row r="180" ht="15" customHeight="1">
      <c r="A180" t="inlineStr">
        <is>
          <t>A 47126-2021</t>
        </is>
      </c>
      <c r="B180" s="1" t="n">
        <v>44446.78168981482</v>
      </c>
      <c r="C180" s="1" t="n">
        <v>45994</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37981-2024</t>
        </is>
      </c>
      <c r="B181" s="1" t="n">
        <v>45544</v>
      </c>
      <c r="C181" s="1" t="n">
        <v>45994</v>
      </c>
      <c r="D181" t="inlineStr">
        <is>
          <t>DALARNAS LÄN</t>
        </is>
      </c>
      <c r="E181" t="inlineStr">
        <is>
          <t>ORSA</t>
        </is>
      </c>
      <c r="F181" t="inlineStr">
        <is>
          <t>Allmännings- och besparingsskogar</t>
        </is>
      </c>
      <c r="G181" t="n">
        <v>1.2</v>
      </c>
      <c r="H181" t="n">
        <v>0</v>
      </c>
      <c r="I181" t="n">
        <v>0</v>
      </c>
      <c r="J181" t="n">
        <v>0</v>
      </c>
      <c r="K181" t="n">
        <v>0</v>
      </c>
      <c r="L181" t="n">
        <v>0</v>
      </c>
      <c r="M181" t="n">
        <v>0</v>
      </c>
      <c r="N181" t="n">
        <v>0</v>
      </c>
      <c r="O181" t="n">
        <v>0</v>
      </c>
      <c r="P181" t="n">
        <v>0</v>
      </c>
      <c r="Q181" t="n">
        <v>0</v>
      </c>
      <c r="R181" s="2" t="inlineStr"/>
    </row>
    <row r="182" ht="15" customHeight="1">
      <c r="A182" t="inlineStr">
        <is>
          <t>A 17500-2025</t>
        </is>
      </c>
      <c r="B182" s="1" t="n">
        <v>45757.54954861111</v>
      </c>
      <c r="C182" s="1" t="n">
        <v>45994</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597-2024</t>
        </is>
      </c>
      <c r="B183" s="1" t="n">
        <v>45299.63410879629</v>
      </c>
      <c r="C183" s="1" t="n">
        <v>45994</v>
      </c>
      <c r="D183" t="inlineStr">
        <is>
          <t>DALARNAS LÄN</t>
        </is>
      </c>
      <c r="E183" t="inlineStr">
        <is>
          <t>ORSA</t>
        </is>
      </c>
      <c r="G183" t="n">
        <v>4.4</v>
      </c>
      <c r="H183" t="n">
        <v>0</v>
      </c>
      <c r="I183" t="n">
        <v>0</v>
      </c>
      <c r="J183" t="n">
        <v>0</v>
      </c>
      <c r="K183" t="n">
        <v>0</v>
      </c>
      <c r="L183" t="n">
        <v>0</v>
      </c>
      <c r="M183" t="n">
        <v>0</v>
      </c>
      <c r="N183" t="n">
        <v>0</v>
      </c>
      <c r="O183" t="n">
        <v>0</v>
      </c>
      <c r="P183" t="n">
        <v>0</v>
      </c>
      <c r="Q183" t="n">
        <v>0</v>
      </c>
      <c r="R183" s="2" t="inlineStr"/>
    </row>
    <row r="184" ht="15" customHeight="1">
      <c r="A184" t="inlineStr">
        <is>
          <t>A 15114-2025</t>
        </is>
      </c>
      <c r="B184" s="1" t="n">
        <v>45744.36232638889</v>
      </c>
      <c r="C184" s="1" t="n">
        <v>45994</v>
      </c>
      <c r="D184" t="inlineStr">
        <is>
          <t>DALARNAS LÄN</t>
        </is>
      </c>
      <c r="E184" t="inlineStr">
        <is>
          <t>ORSA</t>
        </is>
      </c>
      <c r="F184" t="inlineStr">
        <is>
          <t>Allmännings- och besparingsskogar</t>
        </is>
      </c>
      <c r="G184" t="n">
        <v>1.9</v>
      </c>
      <c r="H184" t="n">
        <v>0</v>
      </c>
      <c r="I184" t="n">
        <v>0</v>
      </c>
      <c r="J184" t="n">
        <v>0</v>
      </c>
      <c r="K184" t="n">
        <v>0</v>
      </c>
      <c r="L184" t="n">
        <v>0</v>
      </c>
      <c r="M184" t="n">
        <v>0</v>
      </c>
      <c r="N184" t="n">
        <v>0</v>
      </c>
      <c r="O184" t="n">
        <v>0</v>
      </c>
      <c r="P184" t="n">
        <v>0</v>
      </c>
      <c r="Q184" t="n">
        <v>0</v>
      </c>
      <c r="R184" s="2" t="inlineStr"/>
    </row>
    <row r="185" ht="15" customHeight="1">
      <c r="A185" t="inlineStr">
        <is>
          <t>A 20808-2025</t>
        </is>
      </c>
      <c r="B185" s="1" t="n">
        <v>45776</v>
      </c>
      <c r="C185" s="1" t="n">
        <v>45994</v>
      </c>
      <c r="D185" t="inlineStr">
        <is>
          <t>DALARNAS LÄN</t>
        </is>
      </c>
      <c r="E185" t="inlineStr">
        <is>
          <t>ORSA</t>
        </is>
      </c>
      <c r="F185" t="inlineStr">
        <is>
          <t>Bergvik skog väst AB</t>
        </is>
      </c>
      <c r="G185" t="n">
        <v>14.3</v>
      </c>
      <c r="H185" t="n">
        <v>0</v>
      </c>
      <c r="I185" t="n">
        <v>0</v>
      </c>
      <c r="J185" t="n">
        <v>0</v>
      </c>
      <c r="K185" t="n">
        <v>0</v>
      </c>
      <c r="L185" t="n">
        <v>0</v>
      </c>
      <c r="M185" t="n">
        <v>0</v>
      </c>
      <c r="N185" t="n">
        <v>0</v>
      </c>
      <c r="O185" t="n">
        <v>0</v>
      </c>
      <c r="P185" t="n">
        <v>0</v>
      </c>
      <c r="Q185" t="n">
        <v>0</v>
      </c>
      <c r="R185" s="2" t="inlineStr"/>
    </row>
    <row r="186" ht="15" customHeight="1">
      <c r="A186" t="inlineStr">
        <is>
          <t>A 48990-2023</t>
        </is>
      </c>
      <c r="B186" s="1" t="n">
        <v>45209.64740740741</v>
      </c>
      <c r="C186" s="1" t="n">
        <v>45994</v>
      </c>
      <c r="D186" t="inlineStr">
        <is>
          <t>DALARNAS LÄN</t>
        </is>
      </c>
      <c r="E186" t="inlineStr">
        <is>
          <t>ORSA</t>
        </is>
      </c>
      <c r="F186" t="inlineStr">
        <is>
          <t>Allmännings- och besparingsskogar</t>
        </is>
      </c>
      <c r="G186" t="n">
        <v>0.9</v>
      </c>
      <c r="H186" t="n">
        <v>0</v>
      </c>
      <c r="I186" t="n">
        <v>0</v>
      </c>
      <c r="J186" t="n">
        <v>0</v>
      </c>
      <c r="K186" t="n">
        <v>0</v>
      </c>
      <c r="L186" t="n">
        <v>0</v>
      </c>
      <c r="M186" t="n">
        <v>0</v>
      </c>
      <c r="N186" t="n">
        <v>0</v>
      </c>
      <c r="O186" t="n">
        <v>0</v>
      </c>
      <c r="P186" t="n">
        <v>0</v>
      </c>
      <c r="Q186" t="n">
        <v>0</v>
      </c>
      <c r="R186" s="2" t="inlineStr"/>
    </row>
    <row r="187" ht="15" customHeight="1">
      <c r="A187" t="inlineStr">
        <is>
          <t>A 51915-2022</t>
        </is>
      </c>
      <c r="B187" s="1" t="n">
        <v>44872.62795138889</v>
      </c>
      <c r="C187" s="1" t="n">
        <v>45994</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986-2025</t>
        </is>
      </c>
      <c r="B188" s="1" t="n">
        <v>45666.42952546296</v>
      </c>
      <c r="C188" s="1" t="n">
        <v>45994</v>
      </c>
      <c r="D188" t="inlineStr">
        <is>
          <t>DALARNAS LÄN</t>
        </is>
      </c>
      <c r="E188" t="inlineStr">
        <is>
          <t>ORSA</t>
        </is>
      </c>
      <c r="G188" t="n">
        <v>5.7</v>
      </c>
      <c r="H188" t="n">
        <v>0</v>
      </c>
      <c r="I188" t="n">
        <v>0</v>
      </c>
      <c r="J188" t="n">
        <v>0</v>
      </c>
      <c r="K188" t="n">
        <v>0</v>
      </c>
      <c r="L188" t="n">
        <v>0</v>
      </c>
      <c r="M188" t="n">
        <v>0</v>
      </c>
      <c r="N188" t="n">
        <v>0</v>
      </c>
      <c r="O188" t="n">
        <v>0</v>
      </c>
      <c r="P188" t="n">
        <v>0</v>
      </c>
      <c r="Q188" t="n">
        <v>0</v>
      </c>
      <c r="R188" s="2" t="inlineStr"/>
    </row>
    <row r="189" ht="15" customHeight="1">
      <c r="A189" t="inlineStr">
        <is>
          <t>A 58853-2022</t>
        </is>
      </c>
      <c r="B189" s="1" t="n">
        <v>44903</v>
      </c>
      <c r="C189" s="1" t="n">
        <v>45994</v>
      </c>
      <c r="D189" t="inlineStr">
        <is>
          <t>DALARNAS LÄN</t>
        </is>
      </c>
      <c r="E189" t="inlineStr">
        <is>
          <t>ORSA</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37931-2023</t>
        </is>
      </c>
      <c r="B190" s="1" t="n">
        <v>45160.51721064815</v>
      </c>
      <c r="C190" s="1" t="n">
        <v>45994</v>
      </c>
      <c r="D190" t="inlineStr">
        <is>
          <t>DALARNAS LÄN</t>
        </is>
      </c>
      <c r="E190" t="inlineStr">
        <is>
          <t>ORSA</t>
        </is>
      </c>
      <c r="G190" t="n">
        <v>2.6</v>
      </c>
      <c r="H190" t="n">
        <v>0</v>
      </c>
      <c r="I190" t="n">
        <v>0</v>
      </c>
      <c r="J190" t="n">
        <v>0</v>
      </c>
      <c r="K190" t="n">
        <v>0</v>
      </c>
      <c r="L190" t="n">
        <v>0</v>
      </c>
      <c r="M190" t="n">
        <v>0</v>
      </c>
      <c r="N190" t="n">
        <v>0</v>
      </c>
      <c r="O190" t="n">
        <v>0</v>
      </c>
      <c r="P190" t="n">
        <v>0</v>
      </c>
      <c r="Q190" t="n">
        <v>0</v>
      </c>
      <c r="R190" s="2" t="inlineStr"/>
    </row>
    <row r="191" ht="15" customHeight="1">
      <c r="A191" t="inlineStr">
        <is>
          <t>A 6097-2025</t>
        </is>
      </c>
      <c r="B191" s="1" t="n">
        <v>45697</v>
      </c>
      <c r="C191" s="1" t="n">
        <v>45994</v>
      </c>
      <c r="D191" t="inlineStr">
        <is>
          <t>DALARNAS LÄN</t>
        </is>
      </c>
      <c r="E191" t="inlineStr">
        <is>
          <t>ORSA</t>
        </is>
      </c>
      <c r="G191" t="n">
        <v>11.1</v>
      </c>
      <c r="H191" t="n">
        <v>0</v>
      </c>
      <c r="I191" t="n">
        <v>0</v>
      </c>
      <c r="J191" t="n">
        <v>0</v>
      </c>
      <c r="K191" t="n">
        <v>0</v>
      </c>
      <c r="L191" t="n">
        <v>0</v>
      </c>
      <c r="M191" t="n">
        <v>0</v>
      </c>
      <c r="N191" t="n">
        <v>0</v>
      </c>
      <c r="O191" t="n">
        <v>0</v>
      </c>
      <c r="P191" t="n">
        <v>0</v>
      </c>
      <c r="Q191" t="n">
        <v>0</v>
      </c>
      <c r="R191" s="2" t="inlineStr"/>
    </row>
    <row r="192" ht="15" customHeight="1">
      <c r="A192" t="inlineStr">
        <is>
          <t>A 30291-2024</t>
        </is>
      </c>
      <c r="B192" s="1" t="n">
        <v>45490.64978009259</v>
      </c>
      <c r="C192" s="1" t="n">
        <v>45994</v>
      </c>
      <c r="D192" t="inlineStr">
        <is>
          <t>DALARNAS LÄN</t>
        </is>
      </c>
      <c r="E192" t="inlineStr">
        <is>
          <t>ORSA</t>
        </is>
      </c>
      <c r="F192" t="inlineStr">
        <is>
          <t>Bergvik skog öst AB</t>
        </is>
      </c>
      <c r="G192" t="n">
        <v>7.5</v>
      </c>
      <c r="H192" t="n">
        <v>0</v>
      </c>
      <c r="I192" t="n">
        <v>0</v>
      </c>
      <c r="J192" t="n">
        <v>0</v>
      </c>
      <c r="K192" t="n">
        <v>0</v>
      </c>
      <c r="L192" t="n">
        <v>0</v>
      </c>
      <c r="M192" t="n">
        <v>0</v>
      </c>
      <c r="N192" t="n">
        <v>0</v>
      </c>
      <c r="O192" t="n">
        <v>0</v>
      </c>
      <c r="P192" t="n">
        <v>0</v>
      </c>
      <c r="Q192" t="n">
        <v>0</v>
      </c>
      <c r="R192" s="2" t="inlineStr"/>
    </row>
    <row r="193" ht="15" customHeight="1">
      <c r="A193" t="inlineStr">
        <is>
          <t>A 42513-2024</t>
        </is>
      </c>
      <c r="B193" s="1" t="n">
        <v>45565.53810185185</v>
      </c>
      <c r="C193" s="1" t="n">
        <v>45994</v>
      </c>
      <c r="D193" t="inlineStr">
        <is>
          <t>DALARNAS LÄN</t>
        </is>
      </c>
      <c r="E193" t="inlineStr">
        <is>
          <t>ORSA</t>
        </is>
      </c>
      <c r="G193" t="n">
        <v>1.6</v>
      </c>
      <c r="H193" t="n">
        <v>0</v>
      </c>
      <c r="I193" t="n">
        <v>0</v>
      </c>
      <c r="J193" t="n">
        <v>0</v>
      </c>
      <c r="K193" t="n">
        <v>0</v>
      </c>
      <c r="L193" t="n">
        <v>0</v>
      </c>
      <c r="M193" t="n">
        <v>0</v>
      </c>
      <c r="N193" t="n">
        <v>0</v>
      </c>
      <c r="O193" t="n">
        <v>0</v>
      </c>
      <c r="P193" t="n">
        <v>0</v>
      </c>
      <c r="Q193" t="n">
        <v>0</v>
      </c>
      <c r="R193" s="2" t="inlineStr"/>
    </row>
    <row r="194" ht="15" customHeight="1">
      <c r="A194" t="inlineStr">
        <is>
          <t>A 42517-2024</t>
        </is>
      </c>
      <c r="B194" s="1" t="n">
        <v>45565.54078703704</v>
      </c>
      <c r="C194" s="1" t="n">
        <v>45994</v>
      </c>
      <c r="D194" t="inlineStr">
        <is>
          <t>DALARNAS LÄN</t>
        </is>
      </c>
      <c r="E194" t="inlineStr">
        <is>
          <t>ORSA</t>
        </is>
      </c>
      <c r="G194" t="n">
        <v>3</v>
      </c>
      <c r="H194" t="n">
        <v>0</v>
      </c>
      <c r="I194" t="n">
        <v>0</v>
      </c>
      <c r="J194" t="n">
        <v>0</v>
      </c>
      <c r="K194" t="n">
        <v>0</v>
      </c>
      <c r="L194" t="n">
        <v>0</v>
      </c>
      <c r="M194" t="n">
        <v>0</v>
      </c>
      <c r="N194" t="n">
        <v>0</v>
      </c>
      <c r="O194" t="n">
        <v>0</v>
      </c>
      <c r="P194" t="n">
        <v>0</v>
      </c>
      <c r="Q194" t="n">
        <v>0</v>
      </c>
      <c r="R194" s="2" t="inlineStr"/>
    </row>
    <row r="195" ht="15" customHeight="1">
      <c r="A195" t="inlineStr">
        <is>
          <t>A 8430-2024</t>
        </is>
      </c>
      <c r="B195" s="1" t="n">
        <v>45353.41157407407</v>
      </c>
      <c r="C195" s="1" t="n">
        <v>45994</v>
      </c>
      <c r="D195" t="inlineStr">
        <is>
          <t>DALARNAS LÄN</t>
        </is>
      </c>
      <c r="E195" t="inlineStr">
        <is>
          <t>ORSA</t>
        </is>
      </c>
      <c r="G195" t="n">
        <v>14.4</v>
      </c>
      <c r="H195" t="n">
        <v>0</v>
      </c>
      <c r="I195" t="n">
        <v>0</v>
      </c>
      <c r="J195" t="n">
        <v>0</v>
      </c>
      <c r="K195" t="n">
        <v>0</v>
      </c>
      <c r="L195" t="n">
        <v>0</v>
      </c>
      <c r="M195" t="n">
        <v>0</v>
      </c>
      <c r="N195" t="n">
        <v>0</v>
      </c>
      <c r="O195" t="n">
        <v>0</v>
      </c>
      <c r="P195" t="n">
        <v>0</v>
      </c>
      <c r="Q195" t="n">
        <v>0</v>
      </c>
      <c r="R195" s="2" t="inlineStr"/>
    </row>
    <row r="196" ht="15" customHeight="1">
      <c r="A196" t="inlineStr">
        <is>
          <t>A 13580-2025</t>
        </is>
      </c>
      <c r="B196" s="1" t="n">
        <v>45736.58362268518</v>
      </c>
      <c r="C196" s="1" t="n">
        <v>45994</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10359-2023</t>
        </is>
      </c>
      <c r="B197" s="1" t="n">
        <v>44987.37292824074</v>
      </c>
      <c r="C197" s="1" t="n">
        <v>45994</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33488-2024</t>
        </is>
      </c>
      <c r="B198" s="1" t="n">
        <v>45519.61466435185</v>
      </c>
      <c r="C198" s="1" t="n">
        <v>45994</v>
      </c>
      <c r="D198" t="inlineStr">
        <is>
          <t>DALARNAS LÄN</t>
        </is>
      </c>
      <c r="E198" t="inlineStr">
        <is>
          <t>ORSA</t>
        </is>
      </c>
      <c r="F198" t="inlineStr">
        <is>
          <t>Övriga statliga verk och myndigheter</t>
        </is>
      </c>
      <c r="G198" t="n">
        <v>0.5</v>
      </c>
      <c r="H198" t="n">
        <v>0</v>
      </c>
      <c r="I198" t="n">
        <v>0</v>
      </c>
      <c r="J198" t="n">
        <v>0</v>
      </c>
      <c r="K198" t="n">
        <v>0</v>
      </c>
      <c r="L198" t="n">
        <v>0</v>
      </c>
      <c r="M198" t="n">
        <v>0</v>
      </c>
      <c r="N198" t="n">
        <v>0</v>
      </c>
      <c r="O198" t="n">
        <v>0</v>
      </c>
      <c r="P198" t="n">
        <v>0</v>
      </c>
      <c r="Q198" t="n">
        <v>0</v>
      </c>
      <c r="R198" s="2" t="inlineStr"/>
    </row>
    <row r="199" ht="15" customHeight="1">
      <c r="A199" t="inlineStr">
        <is>
          <t>A 63917-2023</t>
        </is>
      </c>
      <c r="B199" s="1" t="n">
        <v>45278</v>
      </c>
      <c r="C199" s="1" t="n">
        <v>45994</v>
      </c>
      <c r="D199" t="inlineStr">
        <is>
          <t>DALARNAS LÄN</t>
        </is>
      </c>
      <c r="E199" t="inlineStr">
        <is>
          <t>ORSA</t>
        </is>
      </c>
      <c r="G199" t="n">
        <v>0.8</v>
      </c>
      <c r="H199" t="n">
        <v>0</v>
      </c>
      <c r="I199" t="n">
        <v>0</v>
      </c>
      <c r="J199" t="n">
        <v>0</v>
      </c>
      <c r="K199" t="n">
        <v>0</v>
      </c>
      <c r="L199" t="n">
        <v>0</v>
      </c>
      <c r="M199" t="n">
        <v>0</v>
      </c>
      <c r="N199" t="n">
        <v>0</v>
      </c>
      <c r="O199" t="n">
        <v>0</v>
      </c>
      <c r="P199" t="n">
        <v>0</v>
      </c>
      <c r="Q199" t="n">
        <v>0</v>
      </c>
      <c r="R199" s="2" t="inlineStr"/>
    </row>
    <row r="200" ht="15" customHeight="1">
      <c r="A200" t="inlineStr">
        <is>
          <t>A 3951-2023</t>
        </is>
      </c>
      <c r="B200" s="1" t="n">
        <v>44952.38577546296</v>
      </c>
      <c r="C200" s="1" t="n">
        <v>45994</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15766-2025</t>
        </is>
      </c>
      <c r="B201" s="1" t="n">
        <v>45748.58409722222</v>
      </c>
      <c r="C201" s="1" t="n">
        <v>45994</v>
      </c>
      <c r="D201" t="inlineStr">
        <is>
          <t>DALARNAS LÄN</t>
        </is>
      </c>
      <c r="E201" t="inlineStr">
        <is>
          <t>ORSA</t>
        </is>
      </c>
      <c r="F201" t="inlineStr">
        <is>
          <t>Bergvik skog öst AB</t>
        </is>
      </c>
      <c r="G201" t="n">
        <v>9</v>
      </c>
      <c r="H201" t="n">
        <v>0</v>
      </c>
      <c r="I201" t="n">
        <v>0</v>
      </c>
      <c r="J201" t="n">
        <v>0</v>
      </c>
      <c r="K201" t="n">
        <v>0</v>
      </c>
      <c r="L201" t="n">
        <v>0</v>
      </c>
      <c r="M201" t="n">
        <v>0</v>
      </c>
      <c r="N201" t="n">
        <v>0</v>
      </c>
      <c r="O201" t="n">
        <v>0</v>
      </c>
      <c r="P201" t="n">
        <v>0</v>
      </c>
      <c r="Q201" t="n">
        <v>0</v>
      </c>
      <c r="R201" s="2" t="inlineStr"/>
    </row>
    <row r="202" ht="15" customHeight="1">
      <c r="A202" t="inlineStr">
        <is>
          <t>A 16992-2025</t>
        </is>
      </c>
      <c r="B202" s="1" t="n">
        <v>45755.50215277778</v>
      </c>
      <c r="C202" s="1" t="n">
        <v>45994</v>
      </c>
      <c r="D202" t="inlineStr">
        <is>
          <t>DALARNAS LÄN</t>
        </is>
      </c>
      <c r="E202" t="inlineStr">
        <is>
          <t>ORSA</t>
        </is>
      </c>
      <c r="G202" t="n">
        <v>1.5</v>
      </c>
      <c r="H202" t="n">
        <v>0</v>
      </c>
      <c r="I202" t="n">
        <v>0</v>
      </c>
      <c r="J202" t="n">
        <v>0</v>
      </c>
      <c r="K202" t="n">
        <v>0</v>
      </c>
      <c r="L202" t="n">
        <v>0</v>
      </c>
      <c r="M202" t="n">
        <v>0</v>
      </c>
      <c r="N202" t="n">
        <v>0</v>
      </c>
      <c r="O202" t="n">
        <v>0</v>
      </c>
      <c r="P202" t="n">
        <v>0</v>
      </c>
      <c r="Q202" t="n">
        <v>0</v>
      </c>
      <c r="R202" s="2" t="inlineStr"/>
    </row>
    <row r="203" ht="15" customHeight="1">
      <c r="A203" t="inlineStr">
        <is>
          <t>A 47564-2023</t>
        </is>
      </c>
      <c r="B203" s="1" t="n">
        <v>45203.40004629629</v>
      </c>
      <c r="C203" s="1" t="n">
        <v>45994</v>
      </c>
      <c r="D203" t="inlineStr">
        <is>
          <t>DALARNAS LÄN</t>
        </is>
      </c>
      <c r="E203" t="inlineStr">
        <is>
          <t>ORSA</t>
        </is>
      </c>
      <c r="F203" t="inlineStr">
        <is>
          <t>Allmännings- och besparingsskogar</t>
        </is>
      </c>
      <c r="G203" t="n">
        <v>0.8</v>
      </c>
      <c r="H203" t="n">
        <v>0</v>
      </c>
      <c r="I203" t="n">
        <v>0</v>
      </c>
      <c r="J203" t="n">
        <v>0</v>
      </c>
      <c r="K203" t="n">
        <v>0</v>
      </c>
      <c r="L203" t="n">
        <v>0</v>
      </c>
      <c r="M203" t="n">
        <v>0</v>
      </c>
      <c r="N203" t="n">
        <v>0</v>
      </c>
      <c r="O203" t="n">
        <v>0</v>
      </c>
      <c r="P203" t="n">
        <v>0</v>
      </c>
      <c r="Q203" t="n">
        <v>0</v>
      </c>
      <c r="R203" s="2" t="inlineStr"/>
    </row>
    <row r="204" ht="15" customHeight="1">
      <c r="A204" t="inlineStr">
        <is>
          <t>A 50061-2024</t>
        </is>
      </c>
      <c r="B204" s="1" t="n">
        <v>45600.34721064815</v>
      </c>
      <c r="C204" s="1" t="n">
        <v>45994</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57533-2022</t>
        </is>
      </c>
      <c r="B205" s="1" t="n">
        <v>44896.68393518519</v>
      </c>
      <c r="C205" s="1" t="n">
        <v>45994</v>
      </c>
      <c r="D205" t="inlineStr">
        <is>
          <t>DALARNAS LÄN</t>
        </is>
      </c>
      <c r="E205" t="inlineStr">
        <is>
          <t>ORSA</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45994</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48985-2023</t>
        </is>
      </c>
      <c r="B207" s="1" t="n">
        <v>45209.64077546296</v>
      </c>
      <c r="C207" s="1" t="n">
        <v>45994</v>
      </c>
      <c r="D207" t="inlineStr">
        <is>
          <t>DALARNAS LÄN</t>
        </is>
      </c>
      <c r="E207" t="inlineStr">
        <is>
          <t>ORSA</t>
        </is>
      </c>
      <c r="F207" t="inlineStr">
        <is>
          <t>Allmännings- och besparingsskogar</t>
        </is>
      </c>
      <c r="G207" t="n">
        <v>2.1</v>
      </c>
      <c r="H207" t="n">
        <v>0</v>
      </c>
      <c r="I207" t="n">
        <v>0</v>
      </c>
      <c r="J207" t="n">
        <v>0</v>
      </c>
      <c r="K207" t="n">
        <v>0</v>
      </c>
      <c r="L207" t="n">
        <v>0</v>
      </c>
      <c r="M207" t="n">
        <v>0</v>
      </c>
      <c r="N207" t="n">
        <v>0</v>
      </c>
      <c r="O207" t="n">
        <v>0</v>
      </c>
      <c r="P207" t="n">
        <v>0</v>
      </c>
      <c r="Q207" t="n">
        <v>0</v>
      </c>
      <c r="R207" s="2" t="inlineStr"/>
    </row>
    <row r="208" ht="15" customHeight="1">
      <c r="A208" t="inlineStr">
        <is>
          <t>A 21747-2025</t>
        </is>
      </c>
      <c r="B208" s="1" t="n">
        <v>45783.60923611111</v>
      </c>
      <c r="C208" s="1" t="n">
        <v>45994</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42346-2022</t>
        </is>
      </c>
      <c r="B209" s="1" t="n">
        <v>44831.35561342593</v>
      </c>
      <c r="C209" s="1" t="n">
        <v>45994</v>
      </c>
      <c r="D209" t="inlineStr">
        <is>
          <t>DALARNAS LÄN</t>
        </is>
      </c>
      <c r="E209" t="inlineStr">
        <is>
          <t>ORSA</t>
        </is>
      </c>
      <c r="G209" t="n">
        <v>2.4</v>
      </c>
      <c r="H209" t="n">
        <v>0</v>
      </c>
      <c r="I209" t="n">
        <v>0</v>
      </c>
      <c r="J209" t="n">
        <v>0</v>
      </c>
      <c r="K209" t="n">
        <v>0</v>
      </c>
      <c r="L209" t="n">
        <v>0</v>
      </c>
      <c r="M209" t="n">
        <v>0</v>
      </c>
      <c r="N209" t="n">
        <v>0</v>
      </c>
      <c r="O209" t="n">
        <v>0</v>
      </c>
      <c r="P209" t="n">
        <v>0</v>
      </c>
      <c r="Q209" t="n">
        <v>0</v>
      </c>
      <c r="R209" s="2" t="inlineStr"/>
    </row>
    <row r="210" ht="15" customHeight="1">
      <c r="A210" t="inlineStr">
        <is>
          <t>A 21376-2025</t>
        </is>
      </c>
      <c r="B210" s="1" t="n">
        <v>45782.45069444444</v>
      </c>
      <c r="C210" s="1" t="n">
        <v>45994</v>
      </c>
      <c r="D210" t="inlineStr">
        <is>
          <t>DALARNAS LÄN</t>
        </is>
      </c>
      <c r="E210" t="inlineStr">
        <is>
          <t>ORSA</t>
        </is>
      </c>
      <c r="G210" t="n">
        <v>4.6</v>
      </c>
      <c r="H210" t="n">
        <v>0</v>
      </c>
      <c r="I210" t="n">
        <v>0</v>
      </c>
      <c r="J210" t="n">
        <v>0</v>
      </c>
      <c r="K210" t="n">
        <v>0</v>
      </c>
      <c r="L210" t="n">
        <v>0</v>
      </c>
      <c r="M210" t="n">
        <v>0</v>
      </c>
      <c r="N210" t="n">
        <v>0</v>
      </c>
      <c r="O210" t="n">
        <v>0</v>
      </c>
      <c r="P210" t="n">
        <v>0</v>
      </c>
      <c r="Q210" t="n">
        <v>0</v>
      </c>
      <c r="R210" s="2" t="inlineStr"/>
    </row>
    <row r="211" ht="15" customHeight="1">
      <c r="A211" t="inlineStr">
        <is>
          <t>A 21335-2025</t>
        </is>
      </c>
      <c r="B211" s="1" t="n">
        <v>45782.37519675926</v>
      </c>
      <c r="C211" s="1" t="n">
        <v>45994</v>
      </c>
      <c r="D211" t="inlineStr">
        <is>
          <t>DALARNAS LÄN</t>
        </is>
      </c>
      <c r="E211" t="inlineStr">
        <is>
          <t>ORSA</t>
        </is>
      </c>
      <c r="F211" t="inlineStr">
        <is>
          <t>Bergvik skog väst AB</t>
        </is>
      </c>
      <c r="G211" t="n">
        <v>14.3</v>
      </c>
      <c r="H211" t="n">
        <v>0</v>
      </c>
      <c r="I211" t="n">
        <v>0</v>
      </c>
      <c r="J211" t="n">
        <v>0</v>
      </c>
      <c r="K211" t="n">
        <v>0</v>
      </c>
      <c r="L211" t="n">
        <v>0</v>
      </c>
      <c r="M211" t="n">
        <v>0</v>
      </c>
      <c r="N211" t="n">
        <v>0</v>
      </c>
      <c r="O211" t="n">
        <v>0</v>
      </c>
      <c r="P211" t="n">
        <v>0</v>
      </c>
      <c r="Q211" t="n">
        <v>0</v>
      </c>
      <c r="R211" s="2" t="inlineStr"/>
    </row>
    <row r="212" ht="15" customHeight="1">
      <c r="A212" t="inlineStr">
        <is>
          <t>A 10004-2023</t>
        </is>
      </c>
      <c r="B212" s="1" t="n">
        <v>44985.60604166667</v>
      </c>
      <c r="C212" s="1" t="n">
        <v>45994</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879-2024</t>
        </is>
      </c>
      <c r="B213" s="1" t="n">
        <v>45301.36821759259</v>
      </c>
      <c r="C213" s="1" t="n">
        <v>45994</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61277-2023</t>
        </is>
      </c>
      <c r="B214" s="1" t="n">
        <v>45264.52465277778</v>
      </c>
      <c r="C214" s="1" t="n">
        <v>45994</v>
      </c>
      <c r="D214" t="inlineStr">
        <is>
          <t>DALARNAS LÄN</t>
        </is>
      </c>
      <c r="E214" t="inlineStr">
        <is>
          <t>ORSA</t>
        </is>
      </c>
      <c r="G214" t="n">
        <v>0.7</v>
      </c>
      <c r="H214" t="n">
        <v>0</v>
      </c>
      <c r="I214" t="n">
        <v>0</v>
      </c>
      <c r="J214" t="n">
        <v>0</v>
      </c>
      <c r="K214" t="n">
        <v>0</v>
      </c>
      <c r="L214" t="n">
        <v>0</v>
      </c>
      <c r="M214" t="n">
        <v>0</v>
      </c>
      <c r="N214" t="n">
        <v>0</v>
      </c>
      <c r="O214" t="n">
        <v>0</v>
      </c>
      <c r="P214" t="n">
        <v>0</v>
      </c>
      <c r="Q214" t="n">
        <v>0</v>
      </c>
      <c r="R214" s="2" t="inlineStr"/>
    </row>
    <row r="215" ht="15" customHeight="1">
      <c r="A215" t="inlineStr">
        <is>
          <t>A 28451-2023</t>
        </is>
      </c>
      <c r="B215" s="1" t="n">
        <v>45103.33896990741</v>
      </c>
      <c r="C215" s="1" t="n">
        <v>45994</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41835-2024</t>
        </is>
      </c>
      <c r="B216" s="1" t="n">
        <v>45561.40888888889</v>
      </c>
      <c r="C216" s="1" t="n">
        <v>45994</v>
      </c>
      <c r="D216" t="inlineStr">
        <is>
          <t>DALARNAS LÄN</t>
        </is>
      </c>
      <c r="E216" t="inlineStr">
        <is>
          <t>ORSA</t>
        </is>
      </c>
      <c r="G216" t="n">
        <v>0.7</v>
      </c>
      <c r="H216" t="n">
        <v>0</v>
      </c>
      <c r="I216" t="n">
        <v>0</v>
      </c>
      <c r="J216" t="n">
        <v>0</v>
      </c>
      <c r="K216" t="n">
        <v>0</v>
      </c>
      <c r="L216" t="n">
        <v>0</v>
      </c>
      <c r="M216" t="n">
        <v>0</v>
      </c>
      <c r="N216" t="n">
        <v>0</v>
      </c>
      <c r="O216" t="n">
        <v>0</v>
      </c>
      <c r="P216" t="n">
        <v>0</v>
      </c>
      <c r="Q216" t="n">
        <v>0</v>
      </c>
      <c r="R216" s="2" t="inlineStr"/>
    </row>
    <row r="217" ht="15" customHeight="1">
      <c r="A217" t="inlineStr">
        <is>
          <t>A 4566-2025</t>
        </is>
      </c>
      <c r="B217" s="1" t="n">
        <v>45687.46100694445</v>
      </c>
      <c r="C217" s="1" t="n">
        <v>45994</v>
      </c>
      <c r="D217" t="inlineStr">
        <is>
          <t>DALARNAS LÄN</t>
        </is>
      </c>
      <c r="E217" t="inlineStr">
        <is>
          <t>ORSA</t>
        </is>
      </c>
      <c r="G217" t="n">
        <v>2.1</v>
      </c>
      <c r="H217" t="n">
        <v>0</v>
      </c>
      <c r="I217" t="n">
        <v>0</v>
      </c>
      <c r="J217" t="n">
        <v>0</v>
      </c>
      <c r="K217" t="n">
        <v>0</v>
      </c>
      <c r="L217" t="n">
        <v>0</v>
      </c>
      <c r="M217" t="n">
        <v>0</v>
      </c>
      <c r="N217" t="n">
        <v>0</v>
      </c>
      <c r="O217" t="n">
        <v>0</v>
      </c>
      <c r="P217" t="n">
        <v>0</v>
      </c>
      <c r="Q217" t="n">
        <v>0</v>
      </c>
      <c r="R217" s="2" t="inlineStr"/>
    </row>
    <row r="218" ht="15" customHeight="1">
      <c r="A218" t="inlineStr">
        <is>
          <t>A 33945-2022</t>
        </is>
      </c>
      <c r="B218" s="1" t="n">
        <v>44790.66212962963</v>
      </c>
      <c r="C218" s="1" t="n">
        <v>45994</v>
      </c>
      <c r="D218" t="inlineStr">
        <is>
          <t>DALARNAS LÄN</t>
        </is>
      </c>
      <c r="E218" t="inlineStr">
        <is>
          <t>ORSA</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61053-2024</t>
        </is>
      </c>
      <c r="B219" s="1" t="n">
        <v>45645.48501157408</v>
      </c>
      <c r="C219" s="1" t="n">
        <v>45994</v>
      </c>
      <c r="D219" t="inlineStr">
        <is>
          <t>DALARNAS LÄN</t>
        </is>
      </c>
      <c r="E219" t="inlineStr">
        <is>
          <t>ORSA</t>
        </is>
      </c>
      <c r="G219" t="n">
        <v>2.6</v>
      </c>
      <c r="H219" t="n">
        <v>0</v>
      </c>
      <c r="I219" t="n">
        <v>0</v>
      </c>
      <c r="J219" t="n">
        <v>0</v>
      </c>
      <c r="K219" t="n">
        <v>0</v>
      </c>
      <c r="L219" t="n">
        <v>0</v>
      </c>
      <c r="M219" t="n">
        <v>0</v>
      </c>
      <c r="N219" t="n">
        <v>0</v>
      </c>
      <c r="O219" t="n">
        <v>0</v>
      </c>
      <c r="P219" t="n">
        <v>0</v>
      </c>
      <c r="Q219" t="n">
        <v>0</v>
      </c>
      <c r="R219" s="2" t="inlineStr"/>
    </row>
    <row r="220" ht="15" customHeight="1">
      <c r="A220" t="inlineStr">
        <is>
          <t>A 29984-2025</t>
        </is>
      </c>
      <c r="B220" s="1" t="n">
        <v>45826.49581018519</v>
      </c>
      <c r="C220" s="1" t="n">
        <v>45994</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15772-2025</t>
        </is>
      </c>
      <c r="B221" s="1" t="n">
        <v>45748.59069444444</v>
      </c>
      <c r="C221" s="1" t="n">
        <v>45994</v>
      </c>
      <c r="D221" t="inlineStr">
        <is>
          <t>DALARNAS LÄN</t>
        </is>
      </c>
      <c r="E221" t="inlineStr">
        <is>
          <t>ORSA</t>
        </is>
      </c>
      <c r="F221" t="inlineStr">
        <is>
          <t>Bergvik skog öst AB</t>
        </is>
      </c>
      <c r="G221" t="n">
        <v>3.8</v>
      </c>
      <c r="H221" t="n">
        <v>0</v>
      </c>
      <c r="I221" t="n">
        <v>0</v>
      </c>
      <c r="J221" t="n">
        <v>0</v>
      </c>
      <c r="K221" t="n">
        <v>0</v>
      </c>
      <c r="L221" t="n">
        <v>0</v>
      </c>
      <c r="M221" t="n">
        <v>0</v>
      </c>
      <c r="N221" t="n">
        <v>0</v>
      </c>
      <c r="O221" t="n">
        <v>0</v>
      </c>
      <c r="P221" t="n">
        <v>0</v>
      </c>
      <c r="Q221" t="n">
        <v>0</v>
      </c>
      <c r="R221" s="2" t="inlineStr"/>
    </row>
    <row r="222" ht="15" customHeight="1">
      <c r="A222" t="inlineStr">
        <is>
          <t>A 51305-2023</t>
        </is>
      </c>
      <c r="B222" s="1" t="n">
        <v>45219</v>
      </c>
      <c r="C222" s="1" t="n">
        <v>45994</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22911-2023</t>
        </is>
      </c>
      <c r="B223" s="1" t="n">
        <v>45072</v>
      </c>
      <c r="C223" s="1" t="n">
        <v>45994</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56942-2024</t>
        </is>
      </c>
      <c r="B224" s="1" t="n">
        <v>45628.62292824074</v>
      </c>
      <c r="C224" s="1" t="n">
        <v>45994</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21949-2025</t>
        </is>
      </c>
      <c r="B225" s="1" t="n">
        <v>45784.59369212963</v>
      </c>
      <c r="C225" s="1" t="n">
        <v>45994</v>
      </c>
      <c r="D225" t="inlineStr">
        <is>
          <t>DALARNAS LÄN</t>
        </is>
      </c>
      <c r="E225" t="inlineStr">
        <is>
          <t>ORSA</t>
        </is>
      </c>
      <c r="F225" t="inlineStr">
        <is>
          <t>Bergvik skog öst AB</t>
        </is>
      </c>
      <c r="G225" t="n">
        <v>11</v>
      </c>
      <c r="H225" t="n">
        <v>0</v>
      </c>
      <c r="I225" t="n">
        <v>0</v>
      </c>
      <c r="J225" t="n">
        <v>0</v>
      </c>
      <c r="K225" t="n">
        <v>0</v>
      </c>
      <c r="L225" t="n">
        <v>0</v>
      </c>
      <c r="M225" t="n">
        <v>0</v>
      </c>
      <c r="N225" t="n">
        <v>0</v>
      </c>
      <c r="O225" t="n">
        <v>0</v>
      </c>
      <c r="P225" t="n">
        <v>0</v>
      </c>
      <c r="Q225" t="n">
        <v>0</v>
      </c>
      <c r="R225" s="2" t="inlineStr"/>
    </row>
    <row r="226" ht="15" customHeight="1">
      <c r="A226" t="inlineStr">
        <is>
          <t>A 17850-2025</t>
        </is>
      </c>
      <c r="B226" s="1" t="n">
        <v>45758.60162037037</v>
      </c>
      <c r="C226" s="1" t="n">
        <v>45994</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21165-2024</t>
        </is>
      </c>
      <c r="B227" s="1" t="n">
        <v>45440.45225694445</v>
      </c>
      <c r="C227" s="1" t="n">
        <v>45994</v>
      </c>
      <c r="D227" t="inlineStr">
        <is>
          <t>DALARNAS LÄN</t>
        </is>
      </c>
      <c r="E227" t="inlineStr">
        <is>
          <t>ORSA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16777-2024</t>
        </is>
      </c>
      <c r="B228" s="1" t="n">
        <v>45411</v>
      </c>
      <c r="C228" s="1" t="n">
        <v>45994</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7626-2025</t>
        </is>
      </c>
      <c r="B229" s="1" t="n">
        <v>45705.72799768519</v>
      </c>
      <c r="C229" s="1" t="n">
        <v>45994</v>
      </c>
      <c r="D229" t="inlineStr">
        <is>
          <t>DALARNAS LÄN</t>
        </is>
      </c>
      <c r="E229" t="inlineStr">
        <is>
          <t>ORSA</t>
        </is>
      </c>
      <c r="G229" t="n">
        <v>15.5</v>
      </c>
      <c r="H229" t="n">
        <v>0</v>
      </c>
      <c r="I229" t="n">
        <v>0</v>
      </c>
      <c r="J229" t="n">
        <v>0</v>
      </c>
      <c r="K229" t="n">
        <v>0</v>
      </c>
      <c r="L229" t="n">
        <v>0</v>
      </c>
      <c r="M229" t="n">
        <v>0</v>
      </c>
      <c r="N229" t="n">
        <v>0</v>
      </c>
      <c r="O229" t="n">
        <v>0</v>
      </c>
      <c r="P229" t="n">
        <v>0</v>
      </c>
      <c r="Q229" t="n">
        <v>0</v>
      </c>
      <c r="R229" s="2" t="inlineStr"/>
    </row>
    <row r="230" ht="15" customHeight="1">
      <c r="A230" t="inlineStr">
        <is>
          <t>A 53102-2021</t>
        </is>
      </c>
      <c r="B230" s="1" t="n">
        <v>44467</v>
      </c>
      <c r="C230" s="1" t="n">
        <v>45994</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6047-2023</t>
        </is>
      </c>
      <c r="B231" s="1" t="n">
        <v>44964</v>
      </c>
      <c r="C231" s="1" t="n">
        <v>45994</v>
      </c>
      <c r="D231" t="inlineStr">
        <is>
          <t>DALARNAS LÄN</t>
        </is>
      </c>
      <c r="E231" t="inlineStr">
        <is>
          <t>ORSA</t>
        </is>
      </c>
      <c r="F231" t="inlineStr">
        <is>
          <t>Bergvik skog öst AB</t>
        </is>
      </c>
      <c r="G231" t="n">
        <v>0.2</v>
      </c>
      <c r="H231" t="n">
        <v>0</v>
      </c>
      <c r="I231" t="n">
        <v>0</v>
      </c>
      <c r="J231" t="n">
        <v>0</v>
      </c>
      <c r="K231" t="n">
        <v>0</v>
      </c>
      <c r="L231" t="n">
        <v>0</v>
      </c>
      <c r="M231" t="n">
        <v>0</v>
      </c>
      <c r="N231" t="n">
        <v>0</v>
      </c>
      <c r="O231" t="n">
        <v>0</v>
      </c>
      <c r="P231" t="n">
        <v>0</v>
      </c>
      <c r="Q231" t="n">
        <v>0</v>
      </c>
      <c r="R231" s="2" t="inlineStr"/>
    </row>
    <row r="232" ht="15" customHeight="1">
      <c r="A232" t="inlineStr">
        <is>
          <t>A 41291-2021</t>
        </is>
      </c>
      <c r="B232" s="1" t="n">
        <v>44424</v>
      </c>
      <c r="C232" s="1" t="n">
        <v>45994</v>
      </c>
      <c r="D232" t="inlineStr">
        <is>
          <t>DALARNAS LÄN</t>
        </is>
      </c>
      <c r="E232" t="inlineStr">
        <is>
          <t>ORSA</t>
        </is>
      </c>
      <c r="G232" t="n">
        <v>2</v>
      </c>
      <c r="H232" t="n">
        <v>0</v>
      </c>
      <c r="I232" t="n">
        <v>0</v>
      </c>
      <c r="J232" t="n">
        <v>0</v>
      </c>
      <c r="K232" t="n">
        <v>0</v>
      </c>
      <c r="L232" t="n">
        <v>0</v>
      </c>
      <c r="M232" t="n">
        <v>0</v>
      </c>
      <c r="N232" t="n">
        <v>0</v>
      </c>
      <c r="O232" t="n">
        <v>0</v>
      </c>
      <c r="P232" t="n">
        <v>0</v>
      </c>
      <c r="Q232" t="n">
        <v>0</v>
      </c>
      <c r="R232" s="2" t="inlineStr"/>
    </row>
    <row r="233" ht="15" customHeight="1">
      <c r="A233" t="inlineStr">
        <is>
          <t>A 21446-2024</t>
        </is>
      </c>
      <c r="B233" s="1" t="n">
        <v>45441.45840277777</v>
      </c>
      <c r="C233" s="1" t="n">
        <v>45994</v>
      </c>
      <c r="D233" t="inlineStr">
        <is>
          <t>DALARNAS LÄN</t>
        </is>
      </c>
      <c r="E233" t="inlineStr">
        <is>
          <t>ORSA</t>
        </is>
      </c>
      <c r="G233" t="n">
        <v>1.6</v>
      </c>
      <c r="H233" t="n">
        <v>0</v>
      </c>
      <c r="I233" t="n">
        <v>0</v>
      </c>
      <c r="J233" t="n">
        <v>0</v>
      </c>
      <c r="K233" t="n">
        <v>0</v>
      </c>
      <c r="L233" t="n">
        <v>0</v>
      </c>
      <c r="M233" t="n">
        <v>0</v>
      </c>
      <c r="N233" t="n">
        <v>0</v>
      </c>
      <c r="O233" t="n">
        <v>0</v>
      </c>
      <c r="P233" t="n">
        <v>0</v>
      </c>
      <c r="Q233" t="n">
        <v>0</v>
      </c>
      <c r="R233" s="2" t="inlineStr"/>
    </row>
    <row r="234" ht="15" customHeight="1">
      <c r="A234" t="inlineStr">
        <is>
          <t>A 32125-2024</t>
        </is>
      </c>
      <c r="B234" s="1" t="n">
        <v>45511</v>
      </c>
      <c r="C234" s="1" t="n">
        <v>45994</v>
      </c>
      <c r="D234" t="inlineStr">
        <is>
          <t>DALARNAS LÄN</t>
        </is>
      </c>
      <c r="E234" t="inlineStr">
        <is>
          <t>ORSA</t>
        </is>
      </c>
      <c r="F234" t="inlineStr">
        <is>
          <t>Allmännings- och besparingsskogar</t>
        </is>
      </c>
      <c r="G234" t="n">
        <v>5.2</v>
      </c>
      <c r="H234" t="n">
        <v>0</v>
      </c>
      <c r="I234" t="n">
        <v>0</v>
      </c>
      <c r="J234" t="n">
        <v>0</v>
      </c>
      <c r="K234" t="n">
        <v>0</v>
      </c>
      <c r="L234" t="n">
        <v>0</v>
      </c>
      <c r="M234" t="n">
        <v>0</v>
      </c>
      <c r="N234" t="n">
        <v>0</v>
      </c>
      <c r="O234" t="n">
        <v>0</v>
      </c>
      <c r="P234" t="n">
        <v>0</v>
      </c>
      <c r="Q234" t="n">
        <v>0</v>
      </c>
      <c r="R234" s="2" t="inlineStr"/>
    </row>
    <row r="235" ht="15" customHeight="1">
      <c r="A235" t="inlineStr">
        <is>
          <t>A 51563-2023</t>
        </is>
      </c>
      <c r="B235" s="1" t="n">
        <v>45222</v>
      </c>
      <c r="C235" s="1" t="n">
        <v>45994</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56975-2023</t>
        </is>
      </c>
      <c r="B236" s="1" t="n">
        <v>45244</v>
      </c>
      <c r="C236" s="1" t="n">
        <v>45994</v>
      </c>
      <c r="D236" t="inlineStr">
        <is>
          <t>DALARNAS LÄN</t>
        </is>
      </c>
      <c r="E236" t="inlineStr">
        <is>
          <t>ORSA</t>
        </is>
      </c>
      <c r="G236" t="n">
        <v>1.6</v>
      </c>
      <c r="H236" t="n">
        <v>0</v>
      </c>
      <c r="I236" t="n">
        <v>0</v>
      </c>
      <c r="J236" t="n">
        <v>0</v>
      </c>
      <c r="K236" t="n">
        <v>0</v>
      </c>
      <c r="L236" t="n">
        <v>0</v>
      </c>
      <c r="M236" t="n">
        <v>0</v>
      </c>
      <c r="N236" t="n">
        <v>0</v>
      </c>
      <c r="O236" t="n">
        <v>0</v>
      </c>
      <c r="P236" t="n">
        <v>0</v>
      </c>
      <c r="Q236" t="n">
        <v>0</v>
      </c>
      <c r="R236" s="2" t="inlineStr"/>
    </row>
    <row r="237" ht="15" customHeight="1">
      <c r="A237" t="inlineStr">
        <is>
          <t>A 61279-2023</t>
        </is>
      </c>
      <c r="B237" s="1" t="n">
        <v>45264.5270949074</v>
      </c>
      <c r="C237" s="1" t="n">
        <v>45994</v>
      </c>
      <c r="D237" t="inlineStr">
        <is>
          <t>DALARNAS LÄN</t>
        </is>
      </c>
      <c r="E237" t="inlineStr">
        <is>
          <t>ORSA</t>
        </is>
      </c>
      <c r="G237" t="n">
        <v>0.2</v>
      </c>
      <c r="H237" t="n">
        <v>0</v>
      </c>
      <c r="I237" t="n">
        <v>0</v>
      </c>
      <c r="J237" t="n">
        <v>0</v>
      </c>
      <c r="K237" t="n">
        <v>0</v>
      </c>
      <c r="L237" t="n">
        <v>0</v>
      </c>
      <c r="M237" t="n">
        <v>0</v>
      </c>
      <c r="N237" t="n">
        <v>0</v>
      </c>
      <c r="O237" t="n">
        <v>0</v>
      </c>
      <c r="P237" t="n">
        <v>0</v>
      </c>
      <c r="Q237" t="n">
        <v>0</v>
      </c>
      <c r="R237" s="2" t="inlineStr"/>
    </row>
    <row r="238" ht="15" customHeight="1">
      <c r="A238" t="inlineStr">
        <is>
          <t>A 15769-2025</t>
        </is>
      </c>
      <c r="B238" s="1" t="n">
        <v>45748.58792824074</v>
      </c>
      <c r="C238" s="1" t="n">
        <v>45994</v>
      </c>
      <c r="D238" t="inlineStr">
        <is>
          <t>DALARNAS LÄN</t>
        </is>
      </c>
      <c r="E238" t="inlineStr">
        <is>
          <t>ORSA</t>
        </is>
      </c>
      <c r="F238" t="inlineStr">
        <is>
          <t>Bergvik skog öst AB</t>
        </is>
      </c>
      <c r="G238" t="n">
        <v>4.7</v>
      </c>
      <c r="H238" t="n">
        <v>0</v>
      </c>
      <c r="I238" t="n">
        <v>0</v>
      </c>
      <c r="J238" t="n">
        <v>0</v>
      </c>
      <c r="K238" t="n">
        <v>0</v>
      </c>
      <c r="L238" t="n">
        <v>0</v>
      </c>
      <c r="M238" t="n">
        <v>0</v>
      </c>
      <c r="N238" t="n">
        <v>0</v>
      </c>
      <c r="O238" t="n">
        <v>0</v>
      </c>
      <c r="P238" t="n">
        <v>0</v>
      </c>
      <c r="Q238" t="n">
        <v>0</v>
      </c>
      <c r="R238" s="2" t="inlineStr"/>
    </row>
    <row r="239" ht="15" customHeight="1">
      <c r="A239" t="inlineStr">
        <is>
          <t>A 17521-2025</t>
        </is>
      </c>
      <c r="B239" s="1" t="n">
        <v>45757.57952546296</v>
      </c>
      <c r="C239" s="1" t="n">
        <v>45994</v>
      </c>
      <c r="D239" t="inlineStr">
        <is>
          <t>DALARNAS LÄN</t>
        </is>
      </c>
      <c r="E239" t="inlineStr">
        <is>
          <t>ORSA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63371-2023</t>
        </is>
      </c>
      <c r="B240" s="1" t="n">
        <v>45274.47642361111</v>
      </c>
      <c r="C240" s="1" t="n">
        <v>45994</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16392-2024</t>
        </is>
      </c>
      <c r="B241" s="1" t="n">
        <v>45407.62380787037</v>
      </c>
      <c r="C241" s="1" t="n">
        <v>45994</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15914-2021</t>
        </is>
      </c>
      <c r="B242" s="1" t="n">
        <v>44287</v>
      </c>
      <c r="C242" s="1" t="n">
        <v>45994</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21216-2023</t>
        </is>
      </c>
      <c r="B243" s="1" t="n">
        <v>45062</v>
      </c>
      <c r="C243" s="1" t="n">
        <v>45994</v>
      </c>
      <c r="D243" t="inlineStr">
        <is>
          <t>DALARNAS LÄN</t>
        </is>
      </c>
      <c r="E243" t="inlineStr">
        <is>
          <t>ORSA</t>
        </is>
      </c>
      <c r="F243" t="inlineStr">
        <is>
          <t>Bergvik skog öst AB</t>
        </is>
      </c>
      <c r="G243" t="n">
        <v>3.8</v>
      </c>
      <c r="H243" t="n">
        <v>0</v>
      </c>
      <c r="I243" t="n">
        <v>0</v>
      </c>
      <c r="J243" t="n">
        <v>0</v>
      </c>
      <c r="K243" t="n">
        <v>0</v>
      </c>
      <c r="L243" t="n">
        <v>0</v>
      </c>
      <c r="M243" t="n">
        <v>0</v>
      </c>
      <c r="N243" t="n">
        <v>0</v>
      </c>
      <c r="O243" t="n">
        <v>0</v>
      </c>
      <c r="P243" t="n">
        <v>0</v>
      </c>
      <c r="Q243" t="n">
        <v>0</v>
      </c>
      <c r="R243" s="2" t="inlineStr"/>
    </row>
    <row r="244" ht="15" customHeight="1">
      <c r="A244" t="inlineStr">
        <is>
          <t>A 3166-2024</t>
        </is>
      </c>
      <c r="B244" s="1" t="n">
        <v>45316.62592592592</v>
      </c>
      <c r="C244" s="1" t="n">
        <v>45994</v>
      </c>
      <c r="D244" t="inlineStr">
        <is>
          <t>DALARNAS LÄN</t>
        </is>
      </c>
      <c r="E244" t="inlineStr">
        <is>
          <t>ORSA</t>
        </is>
      </c>
      <c r="G244" t="n">
        <v>0.7</v>
      </c>
      <c r="H244" t="n">
        <v>0</v>
      </c>
      <c r="I244" t="n">
        <v>0</v>
      </c>
      <c r="J244" t="n">
        <v>0</v>
      </c>
      <c r="K244" t="n">
        <v>0</v>
      </c>
      <c r="L244" t="n">
        <v>0</v>
      </c>
      <c r="M244" t="n">
        <v>0</v>
      </c>
      <c r="N244" t="n">
        <v>0</v>
      </c>
      <c r="O244" t="n">
        <v>0</v>
      </c>
      <c r="P244" t="n">
        <v>0</v>
      </c>
      <c r="Q244" t="n">
        <v>0</v>
      </c>
      <c r="R244" s="2" t="inlineStr"/>
    </row>
    <row r="245" ht="15" customHeight="1">
      <c r="A245" t="inlineStr">
        <is>
          <t>A 56887-2024</t>
        </is>
      </c>
      <c r="B245" s="1" t="n">
        <v>45628.57388888889</v>
      </c>
      <c r="C245" s="1" t="n">
        <v>45994</v>
      </c>
      <c r="D245" t="inlineStr">
        <is>
          <t>DALARNAS LÄN</t>
        </is>
      </c>
      <c r="E245" t="inlineStr">
        <is>
          <t>ORSA</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30382-2023</t>
        </is>
      </c>
      <c r="B246" s="1" t="n">
        <v>45111</v>
      </c>
      <c r="C246" s="1" t="n">
        <v>45994</v>
      </c>
      <c r="D246" t="inlineStr">
        <is>
          <t>DALARNAS LÄN</t>
        </is>
      </c>
      <c r="E246" t="inlineStr">
        <is>
          <t>ORSA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2563-2025</t>
        </is>
      </c>
      <c r="B247" s="1" t="n">
        <v>45674.65692129629</v>
      </c>
      <c r="C247" s="1" t="n">
        <v>45994</v>
      </c>
      <c r="D247" t="inlineStr">
        <is>
          <t>DALARNAS LÄN</t>
        </is>
      </c>
      <c r="E247" t="inlineStr">
        <is>
          <t>ORSA</t>
        </is>
      </c>
      <c r="G247" t="n">
        <v>0.7</v>
      </c>
      <c r="H247" t="n">
        <v>0</v>
      </c>
      <c r="I247" t="n">
        <v>0</v>
      </c>
      <c r="J247" t="n">
        <v>0</v>
      </c>
      <c r="K247" t="n">
        <v>0</v>
      </c>
      <c r="L247" t="n">
        <v>0</v>
      </c>
      <c r="M247" t="n">
        <v>0</v>
      </c>
      <c r="N247" t="n">
        <v>0</v>
      </c>
      <c r="O247" t="n">
        <v>0</v>
      </c>
      <c r="P247" t="n">
        <v>0</v>
      </c>
      <c r="Q247" t="n">
        <v>0</v>
      </c>
      <c r="R247" s="2" t="inlineStr"/>
    </row>
    <row r="248" ht="15" customHeight="1">
      <c r="A248" t="inlineStr">
        <is>
          <t>A 20349-2021</t>
        </is>
      </c>
      <c r="B248" s="1" t="n">
        <v>44315.41582175926</v>
      </c>
      <c r="C248" s="1" t="n">
        <v>45994</v>
      </c>
      <c r="D248" t="inlineStr">
        <is>
          <t>DALARNAS LÄN</t>
        </is>
      </c>
      <c r="E248" t="inlineStr">
        <is>
          <t>ORSA</t>
        </is>
      </c>
      <c r="G248" t="n">
        <v>2.3</v>
      </c>
      <c r="H248" t="n">
        <v>0</v>
      </c>
      <c r="I248" t="n">
        <v>0</v>
      </c>
      <c r="J248" t="n">
        <v>0</v>
      </c>
      <c r="K248" t="n">
        <v>0</v>
      </c>
      <c r="L248" t="n">
        <v>0</v>
      </c>
      <c r="M248" t="n">
        <v>0</v>
      </c>
      <c r="N248" t="n">
        <v>0</v>
      </c>
      <c r="O248" t="n">
        <v>0</v>
      </c>
      <c r="P248" t="n">
        <v>0</v>
      </c>
      <c r="Q248" t="n">
        <v>0</v>
      </c>
      <c r="R248" s="2" t="inlineStr"/>
    </row>
    <row r="249" ht="15" customHeight="1">
      <c r="A249" t="inlineStr">
        <is>
          <t>A 8579-2025</t>
        </is>
      </c>
      <c r="B249" s="1" t="n">
        <v>45709</v>
      </c>
      <c r="C249" s="1" t="n">
        <v>45994</v>
      </c>
      <c r="D249" t="inlineStr">
        <is>
          <t>DALARNAS LÄN</t>
        </is>
      </c>
      <c r="E249" t="inlineStr">
        <is>
          <t>ORSA</t>
        </is>
      </c>
      <c r="G249" t="n">
        <v>1.2</v>
      </c>
      <c r="H249" t="n">
        <v>0</v>
      </c>
      <c r="I249" t="n">
        <v>0</v>
      </c>
      <c r="J249" t="n">
        <v>0</v>
      </c>
      <c r="K249" t="n">
        <v>0</v>
      </c>
      <c r="L249" t="n">
        <v>0</v>
      </c>
      <c r="M249" t="n">
        <v>0</v>
      </c>
      <c r="N249" t="n">
        <v>0</v>
      </c>
      <c r="O249" t="n">
        <v>0</v>
      </c>
      <c r="P249" t="n">
        <v>0</v>
      </c>
      <c r="Q249" t="n">
        <v>0</v>
      </c>
      <c r="R249" s="2" t="inlineStr"/>
    </row>
    <row r="250" ht="15" customHeight="1">
      <c r="A250" t="inlineStr">
        <is>
          <t>A 33673-2023</t>
        </is>
      </c>
      <c r="B250" s="1" t="n">
        <v>45132</v>
      </c>
      <c r="C250" s="1" t="n">
        <v>45994</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37852-2024</t>
        </is>
      </c>
      <c r="B251" s="1" t="n">
        <v>45544.3786574074</v>
      </c>
      <c r="C251" s="1" t="n">
        <v>45994</v>
      </c>
      <c r="D251" t="inlineStr">
        <is>
          <t>DALARNAS LÄN</t>
        </is>
      </c>
      <c r="E251" t="inlineStr">
        <is>
          <t>ORSA</t>
        </is>
      </c>
      <c r="G251" t="n">
        <v>0.7</v>
      </c>
      <c r="H251" t="n">
        <v>0</v>
      </c>
      <c r="I251" t="n">
        <v>0</v>
      </c>
      <c r="J251" t="n">
        <v>0</v>
      </c>
      <c r="K251" t="n">
        <v>0</v>
      </c>
      <c r="L251" t="n">
        <v>0</v>
      </c>
      <c r="M251" t="n">
        <v>0</v>
      </c>
      <c r="N251" t="n">
        <v>0</v>
      </c>
      <c r="O251" t="n">
        <v>0</v>
      </c>
      <c r="P251" t="n">
        <v>0</v>
      </c>
      <c r="Q251" t="n">
        <v>0</v>
      </c>
      <c r="R251" s="2" t="inlineStr"/>
    </row>
    <row r="252" ht="15" customHeight="1">
      <c r="A252" t="inlineStr">
        <is>
          <t>A 24083-2021</t>
        </is>
      </c>
      <c r="B252" s="1" t="n">
        <v>44336</v>
      </c>
      <c r="C252" s="1" t="n">
        <v>45994</v>
      </c>
      <c r="D252" t="inlineStr">
        <is>
          <t>DALARNAS LÄN</t>
        </is>
      </c>
      <c r="E252" t="inlineStr">
        <is>
          <t>ORSA</t>
        </is>
      </c>
      <c r="G252" t="n">
        <v>2.3</v>
      </c>
      <c r="H252" t="n">
        <v>0</v>
      </c>
      <c r="I252" t="n">
        <v>0</v>
      </c>
      <c r="J252" t="n">
        <v>0</v>
      </c>
      <c r="K252" t="n">
        <v>0</v>
      </c>
      <c r="L252" t="n">
        <v>0</v>
      </c>
      <c r="M252" t="n">
        <v>0</v>
      </c>
      <c r="N252" t="n">
        <v>0</v>
      </c>
      <c r="O252" t="n">
        <v>0</v>
      </c>
      <c r="P252" t="n">
        <v>0</v>
      </c>
      <c r="Q252" t="n">
        <v>0</v>
      </c>
      <c r="R252" s="2" t="inlineStr"/>
    </row>
    <row r="253" ht="15" customHeight="1">
      <c r="A253" t="inlineStr">
        <is>
          <t>A 53717-2024</t>
        </is>
      </c>
      <c r="B253" s="1" t="n">
        <v>45615.43141203704</v>
      </c>
      <c r="C253" s="1" t="n">
        <v>45994</v>
      </c>
      <c r="D253" t="inlineStr">
        <is>
          <t>DALARNAS LÄN</t>
        </is>
      </c>
      <c r="E253" t="inlineStr">
        <is>
          <t>ORSA</t>
        </is>
      </c>
      <c r="G253" t="n">
        <v>1.5</v>
      </c>
      <c r="H253" t="n">
        <v>0</v>
      </c>
      <c r="I253" t="n">
        <v>0</v>
      </c>
      <c r="J253" t="n">
        <v>0</v>
      </c>
      <c r="K253" t="n">
        <v>0</v>
      </c>
      <c r="L253" t="n">
        <v>0</v>
      </c>
      <c r="M253" t="n">
        <v>0</v>
      </c>
      <c r="N253" t="n">
        <v>0</v>
      </c>
      <c r="O253" t="n">
        <v>0</v>
      </c>
      <c r="P253" t="n">
        <v>0</v>
      </c>
      <c r="Q253" t="n">
        <v>0</v>
      </c>
      <c r="R253" s="2" t="inlineStr"/>
    </row>
    <row r="254" ht="15" customHeight="1">
      <c r="A254" t="inlineStr">
        <is>
          <t>A 31688-2024</t>
        </is>
      </c>
      <c r="B254" s="1" t="n">
        <v>45507.46103009259</v>
      </c>
      <c r="C254" s="1" t="n">
        <v>45994</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44904-2024</t>
        </is>
      </c>
      <c r="B255" s="1" t="n">
        <v>45575.38193287037</v>
      </c>
      <c r="C255" s="1" t="n">
        <v>45994</v>
      </c>
      <c r="D255" t="inlineStr">
        <is>
          <t>DALARNAS LÄN</t>
        </is>
      </c>
      <c r="E255" t="inlineStr">
        <is>
          <t>ORSA</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56706-2021</t>
        </is>
      </c>
      <c r="B256" s="1" t="n">
        <v>44481.4037962963</v>
      </c>
      <c r="C256" s="1" t="n">
        <v>45994</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28155-2023</t>
        </is>
      </c>
      <c r="B257" s="1" t="n">
        <v>45099</v>
      </c>
      <c r="C257" s="1" t="n">
        <v>45994</v>
      </c>
      <c r="D257" t="inlineStr">
        <is>
          <t>DALARNAS LÄN</t>
        </is>
      </c>
      <c r="E257" t="inlineStr">
        <is>
          <t>ORSA</t>
        </is>
      </c>
      <c r="F257" t="inlineStr">
        <is>
          <t>Bergvik skog öst AB</t>
        </is>
      </c>
      <c r="G257" t="n">
        <v>7.8</v>
      </c>
      <c r="H257" t="n">
        <v>0</v>
      </c>
      <c r="I257" t="n">
        <v>0</v>
      </c>
      <c r="J257" t="n">
        <v>0</v>
      </c>
      <c r="K257" t="n">
        <v>0</v>
      </c>
      <c r="L257" t="n">
        <v>0</v>
      </c>
      <c r="M257" t="n">
        <v>0</v>
      </c>
      <c r="N257" t="n">
        <v>0</v>
      </c>
      <c r="O257" t="n">
        <v>0</v>
      </c>
      <c r="P257" t="n">
        <v>0</v>
      </c>
      <c r="Q257" t="n">
        <v>0</v>
      </c>
      <c r="R257" s="2" t="inlineStr"/>
    </row>
    <row r="258" ht="15" customHeight="1">
      <c r="A258" t="inlineStr">
        <is>
          <t>A 51994-2023</t>
        </is>
      </c>
      <c r="B258" s="1" t="n">
        <v>45223.5884375</v>
      </c>
      <c r="C258" s="1" t="n">
        <v>45994</v>
      </c>
      <c r="D258" t="inlineStr">
        <is>
          <t>DALARNAS LÄN</t>
        </is>
      </c>
      <c r="E258" t="inlineStr">
        <is>
          <t>ORSA</t>
        </is>
      </c>
      <c r="G258" t="n">
        <v>10.7</v>
      </c>
      <c r="H258" t="n">
        <v>0</v>
      </c>
      <c r="I258" t="n">
        <v>0</v>
      </c>
      <c r="J258" t="n">
        <v>0</v>
      </c>
      <c r="K258" t="n">
        <v>0</v>
      </c>
      <c r="L258" t="n">
        <v>0</v>
      </c>
      <c r="M258" t="n">
        <v>0</v>
      </c>
      <c r="N258" t="n">
        <v>0</v>
      </c>
      <c r="O258" t="n">
        <v>0</v>
      </c>
      <c r="P258" t="n">
        <v>0</v>
      </c>
      <c r="Q258" t="n">
        <v>0</v>
      </c>
      <c r="R258" s="2" t="inlineStr"/>
    </row>
    <row r="259" ht="15" customHeight="1">
      <c r="A259" t="inlineStr">
        <is>
          <t>A 5435-2025</t>
        </is>
      </c>
      <c r="B259" s="1" t="n">
        <v>45692</v>
      </c>
      <c r="C259" s="1" t="n">
        <v>45994</v>
      </c>
      <c r="D259" t="inlineStr">
        <is>
          <t>DALARNAS LÄN</t>
        </is>
      </c>
      <c r="E259" t="inlineStr">
        <is>
          <t>ORSA</t>
        </is>
      </c>
      <c r="G259" t="n">
        <v>7.8</v>
      </c>
      <c r="H259" t="n">
        <v>0</v>
      </c>
      <c r="I259" t="n">
        <v>0</v>
      </c>
      <c r="J259" t="n">
        <v>0</v>
      </c>
      <c r="K259" t="n">
        <v>0</v>
      </c>
      <c r="L259" t="n">
        <v>0</v>
      </c>
      <c r="M259" t="n">
        <v>0</v>
      </c>
      <c r="N259" t="n">
        <v>0</v>
      </c>
      <c r="O259" t="n">
        <v>0</v>
      </c>
      <c r="P259" t="n">
        <v>0</v>
      </c>
      <c r="Q259" t="n">
        <v>0</v>
      </c>
      <c r="R259" s="2" t="inlineStr"/>
    </row>
    <row r="260" ht="15" customHeight="1">
      <c r="A260" t="inlineStr">
        <is>
          <t>A 50999-2021</t>
        </is>
      </c>
      <c r="B260" s="1" t="n">
        <v>44460.85565972222</v>
      </c>
      <c r="C260" s="1" t="n">
        <v>45994</v>
      </c>
      <c r="D260" t="inlineStr">
        <is>
          <t>DALARNAS LÄN</t>
        </is>
      </c>
      <c r="E260" t="inlineStr">
        <is>
          <t>ORSA</t>
        </is>
      </c>
      <c r="G260" t="n">
        <v>3</v>
      </c>
      <c r="H260" t="n">
        <v>0</v>
      </c>
      <c r="I260" t="n">
        <v>0</v>
      </c>
      <c r="J260" t="n">
        <v>0</v>
      </c>
      <c r="K260" t="n">
        <v>0</v>
      </c>
      <c r="L260" t="n">
        <v>0</v>
      </c>
      <c r="M260" t="n">
        <v>0</v>
      </c>
      <c r="N260" t="n">
        <v>0</v>
      </c>
      <c r="O260" t="n">
        <v>0</v>
      </c>
      <c r="P260" t="n">
        <v>0</v>
      </c>
      <c r="Q260" t="n">
        <v>0</v>
      </c>
      <c r="R260" s="2" t="inlineStr"/>
    </row>
    <row r="261" ht="15" customHeight="1">
      <c r="A261" t="inlineStr">
        <is>
          <t>A 28388-2024</t>
        </is>
      </c>
      <c r="B261" s="1" t="n">
        <v>45477.59960648148</v>
      </c>
      <c r="C261" s="1" t="n">
        <v>45994</v>
      </c>
      <c r="D261" t="inlineStr">
        <is>
          <t>DALARNAS LÄN</t>
        </is>
      </c>
      <c r="E261" t="inlineStr">
        <is>
          <t>ORSA</t>
        </is>
      </c>
      <c r="F261" t="inlineStr">
        <is>
          <t>Bergvik skog öst AB</t>
        </is>
      </c>
      <c r="G261" t="n">
        <v>3.8</v>
      </c>
      <c r="H261" t="n">
        <v>0</v>
      </c>
      <c r="I261" t="n">
        <v>0</v>
      </c>
      <c r="J261" t="n">
        <v>0</v>
      </c>
      <c r="K261" t="n">
        <v>0</v>
      </c>
      <c r="L261" t="n">
        <v>0</v>
      </c>
      <c r="M261" t="n">
        <v>0</v>
      </c>
      <c r="N261" t="n">
        <v>0</v>
      </c>
      <c r="O261" t="n">
        <v>0</v>
      </c>
      <c r="P261" t="n">
        <v>0</v>
      </c>
      <c r="Q261" t="n">
        <v>0</v>
      </c>
      <c r="R261" s="2" t="inlineStr"/>
    </row>
    <row r="262" ht="15" customHeight="1">
      <c r="A262" t="inlineStr">
        <is>
          <t>A 27877-2021</t>
        </is>
      </c>
      <c r="B262" s="1" t="n">
        <v>44354.6446875</v>
      </c>
      <c r="C262" s="1" t="n">
        <v>45994</v>
      </c>
      <c r="D262" t="inlineStr">
        <is>
          <t>DALARNAS LÄN</t>
        </is>
      </c>
      <c r="E262" t="inlineStr">
        <is>
          <t>ORSA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52903-2024</t>
        </is>
      </c>
      <c r="B263" s="1" t="n">
        <v>45610.6875462963</v>
      </c>
      <c r="C263" s="1" t="n">
        <v>45994</v>
      </c>
      <c r="D263" t="inlineStr">
        <is>
          <t>DALARNAS LÄN</t>
        </is>
      </c>
      <c r="E263" t="inlineStr">
        <is>
          <t>ORSA</t>
        </is>
      </c>
      <c r="G263" t="n">
        <v>1.3</v>
      </c>
      <c r="H263" t="n">
        <v>0</v>
      </c>
      <c r="I263" t="n">
        <v>0</v>
      </c>
      <c r="J263" t="n">
        <v>0</v>
      </c>
      <c r="K263" t="n">
        <v>0</v>
      </c>
      <c r="L263" t="n">
        <v>0</v>
      </c>
      <c r="M263" t="n">
        <v>0</v>
      </c>
      <c r="N263" t="n">
        <v>0</v>
      </c>
      <c r="O263" t="n">
        <v>0</v>
      </c>
      <c r="P263" t="n">
        <v>0</v>
      </c>
      <c r="Q263" t="n">
        <v>0</v>
      </c>
      <c r="R263" s="2" t="inlineStr"/>
    </row>
    <row r="264" ht="15" customHeight="1">
      <c r="A264" t="inlineStr">
        <is>
          <t>A 55843-2023</t>
        </is>
      </c>
      <c r="B264" s="1" t="n">
        <v>45239</v>
      </c>
      <c r="C264" s="1" t="n">
        <v>45994</v>
      </c>
      <c r="D264" t="inlineStr">
        <is>
          <t>DALARNAS LÄN</t>
        </is>
      </c>
      <c r="E264" t="inlineStr">
        <is>
          <t>ORSA</t>
        </is>
      </c>
      <c r="G264" t="n">
        <v>2.4</v>
      </c>
      <c r="H264" t="n">
        <v>0</v>
      </c>
      <c r="I264" t="n">
        <v>0</v>
      </c>
      <c r="J264" t="n">
        <v>0</v>
      </c>
      <c r="K264" t="n">
        <v>0</v>
      </c>
      <c r="L264" t="n">
        <v>0</v>
      </c>
      <c r="M264" t="n">
        <v>0</v>
      </c>
      <c r="N264" t="n">
        <v>0</v>
      </c>
      <c r="O264" t="n">
        <v>0</v>
      </c>
      <c r="P264" t="n">
        <v>0</v>
      </c>
      <c r="Q264" t="n">
        <v>0</v>
      </c>
      <c r="R264" s="2" t="inlineStr"/>
    </row>
    <row r="265" ht="15" customHeight="1">
      <c r="A265" t="inlineStr">
        <is>
          <t>A 28082-2023</t>
        </is>
      </c>
      <c r="B265" s="1" t="n">
        <v>45099</v>
      </c>
      <c r="C265" s="1" t="n">
        <v>45994</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50742-2023</t>
        </is>
      </c>
      <c r="B266" s="1" t="n">
        <v>45217.58891203703</v>
      </c>
      <c r="C266" s="1" t="n">
        <v>45994</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4553-2025</t>
        </is>
      </c>
      <c r="B267" s="1" t="n">
        <v>45687.42143518518</v>
      </c>
      <c r="C267" s="1" t="n">
        <v>45994</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51567-2023</t>
        </is>
      </c>
      <c r="B268" s="1" t="n">
        <v>45222.44800925926</v>
      </c>
      <c r="C268" s="1" t="n">
        <v>45994</v>
      </c>
      <c r="D268" t="inlineStr">
        <is>
          <t>DALARNAS LÄN</t>
        </is>
      </c>
      <c r="E268" t="inlineStr">
        <is>
          <t>ORSA</t>
        </is>
      </c>
      <c r="G268" t="n">
        <v>0.7</v>
      </c>
      <c r="H268" t="n">
        <v>0</v>
      </c>
      <c r="I268" t="n">
        <v>0</v>
      </c>
      <c r="J268" t="n">
        <v>0</v>
      </c>
      <c r="K268" t="n">
        <v>0</v>
      </c>
      <c r="L268" t="n">
        <v>0</v>
      </c>
      <c r="M268" t="n">
        <v>0</v>
      </c>
      <c r="N268" t="n">
        <v>0</v>
      </c>
      <c r="O268" t="n">
        <v>0</v>
      </c>
      <c r="P268" t="n">
        <v>0</v>
      </c>
      <c r="Q268" t="n">
        <v>0</v>
      </c>
      <c r="R268" s="2" t="inlineStr"/>
    </row>
    <row r="269" ht="15" customHeight="1">
      <c r="A269" t="inlineStr">
        <is>
          <t>A 17421-2025</t>
        </is>
      </c>
      <c r="B269" s="1" t="n">
        <v>45757.38532407407</v>
      </c>
      <c r="C269" s="1" t="n">
        <v>45994</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55280-2024</t>
        </is>
      </c>
      <c r="B270" s="1" t="n">
        <v>45621.62524305555</v>
      </c>
      <c r="C270" s="1" t="n">
        <v>45994</v>
      </c>
      <c r="D270" t="inlineStr">
        <is>
          <t>DALARNAS LÄN</t>
        </is>
      </c>
      <c r="E270" t="inlineStr">
        <is>
          <t>ORSA</t>
        </is>
      </c>
      <c r="G270" t="n">
        <v>2.3</v>
      </c>
      <c r="H270" t="n">
        <v>0</v>
      </c>
      <c r="I270" t="n">
        <v>0</v>
      </c>
      <c r="J270" t="n">
        <v>0</v>
      </c>
      <c r="K270" t="n">
        <v>0</v>
      </c>
      <c r="L270" t="n">
        <v>0</v>
      </c>
      <c r="M270" t="n">
        <v>0</v>
      </c>
      <c r="N270" t="n">
        <v>0</v>
      </c>
      <c r="O270" t="n">
        <v>0</v>
      </c>
      <c r="P270" t="n">
        <v>0</v>
      </c>
      <c r="Q270" t="n">
        <v>0</v>
      </c>
      <c r="R270" s="2" t="inlineStr"/>
    </row>
    <row r="271" ht="15" customHeight="1">
      <c r="A271" t="inlineStr">
        <is>
          <t>A 52776-2022</t>
        </is>
      </c>
      <c r="B271" s="1" t="n">
        <v>44875.36341435185</v>
      </c>
      <c r="C271" s="1" t="n">
        <v>45994</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17518-2025</t>
        </is>
      </c>
      <c r="B272" s="1" t="n">
        <v>45757.57597222222</v>
      </c>
      <c r="C272" s="1" t="n">
        <v>45994</v>
      </c>
      <c r="D272" t="inlineStr">
        <is>
          <t>DALARNAS LÄN</t>
        </is>
      </c>
      <c r="E272" t="inlineStr">
        <is>
          <t>ORSA</t>
        </is>
      </c>
      <c r="F272" t="inlineStr">
        <is>
          <t>Bergvik skog öst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6492-2025</t>
        </is>
      </c>
      <c r="B273" s="1" t="n">
        <v>45699</v>
      </c>
      <c r="C273" s="1" t="n">
        <v>45994</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19024-2021</t>
        </is>
      </c>
      <c r="B274" s="1" t="n">
        <v>44308.5053587963</v>
      </c>
      <c r="C274" s="1" t="n">
        <v>45994</v>
      </c>
      <c r="D274" t="inlineStr">
        <is>
          <t>DALARNAS LÄN</t>
        </is>
      </c>
      <c r="E274" t="inlineStr">
        <is>
          <t>ORSA</t>
        </is>
      </c>
      <c r="G274" t="n">
        <v>1.7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45994</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25761-2021</t>
        </is>
      </c>
      <c r="B276" s="1" t="n">
        <v>44343</v>
      </c>
      <c r="C276" s="1" t="n">
        <v>45994</v>
      </c>
      <c r="D276" t="inlineStr">
        <is>
          <t>DALARNAS LÄN</t>
        </is>
      </c>
      <c r="E276" t="inlineStr">
        <is>
          <t>ORSA</t>
        </is>
      </c>
      <c r="G276" t="n">
        <v>3.4</v>
      </c>
      <c r="H276" t="n">
        <v>0</v>
      </c>
      <c r="I276" t="n">
        <v>0</v>
      </c>
      <c r="J276" t="n">
        <v>0</v>
      </c>
      <c r="K276" t="n">
        <v>0</v>
      </c>
      <c r="L276" t="n">
        <v>0</v>
      </c>
      <c r="M276" t="n">
        <v>0</v>
      </c>
      <c r="N276" t="n">
        <v>0</v>
      </c>
      <c r="O276" t="n">
        <v>0</v>
      </c>
      <c r="P276" t="n">
        <v>0</v>
      </c>
      <c r="Q276" t="n">
        <v>0</v>
      </c>
      <c r="R276" s="2" t="inlineStr"/>
    </row>
    <row r="277" ht="15" customHeight="1">
      <c r="A277" t="inlineStr">
        <is>
          <t>A 50392-2024</t>
        </is>
      </c>
      <c r="B277" s="1" t="n">
        <v>45601.33789351852</v>
      </c>
      <c r="C277" s="1" t="n">
        <v>45994</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21301-2023</t>
        </is>
      </c>
      <c r="B278" s="1" t="n">
        <v>45062.66613425926</v>
      </c>
      <c r="C278" s="1" t="n">
        <v>45994</v>
      </c>
      <c r="D278" t="inlineStr">
        <is>
          <t>DALARNAS LÄN</t>
        </is>
      </c>
      <c r="E278" t="inlineStr">
        <is>
          <t>ORSA</t>
        </is>
      </c>
      <c r="G278" t="n">
        <v>2.2</v>
      </c>
      <c r="H278" t="n">
        <v>0</v>
      </c>
      <c r="I278" t="n">
        <v>0</v>
      </c>
      <c r="J278" t="n">
        <v>0</v>
      </c>
      <c r="K278" t="n">
        <v>0</v>
      </c>
      <c r="L278" t="n">
        <v>0</v>
      </c>
      <c r="M278" t="n">
        <v>0</v>
      </c>
      <c r="N278" t="n">
        <v>0</v>
      </c>
      <c r="O278" t="n">
        <v>0</v>
      </c>
      <c r="P278" t="n">
        <v>0</v>
      </c>
      <c r="Q278" t="n">
        <v>0</v>
      </c>
      <c r="R278" s="2" t="inlineStr"/>
    </row>
    <row r="279" ht="15" customHeight="1">
      <c r="A279" t="inlineStr">
        <is>
          <t>A 10374-2023</t>
        </is>
      </c>
      <c r="B279" s="1" t="n">
        <v>44987.41359953704</v>
      </c>
      <c r="C279" s="1" t="n">
        <v>45994</v>
      </c>
      <c r="D279" t="inlineStr">
        <is>
          <t>DALARNAS LÄN</t>
        </is>
      </c>
      <c r="E279" t="inlineStr">
        <is>
          <t>ORSA</t>
        </is>
      </c>
      <c r="G279" t="n">
        <v>1.8</v>
      </c>
      <c r="H279" t="n">
        <v>0</v>
      </c>
      <c r="I279" t="n">
        <v>0</v>
      </c>
      <c r="J279" t="n">
        <v>0</v>
      </c>
      <c r="K279" t="n">
        <v>0</v>
      </c>
      <c r="L279" t="n">
        <v>0</v>
      </c>
      <c r="M279" t="n">
        <v>0</v>
      </c>
      <c r="N279" t="n">
        <v>0</v>
      </c>
      <c r="O279" t="n">
        <v>0</v>
      </c>
      <c r="P279" t="n">
        <v>0</v>
      </c>
      <c r="Q279" t="n">
        <v>0</v>
      </c>
      <c r="R279" s="2" t="inlineStr"/>
    </row>
    <row r="280" ht="15" customHeight="1">
      <c r="A280" t="inlineStr">
        <is>
          <t>A 23056-2025</t>
        </is>
      </c>
      <c r="B280" s="1" t="n">
        <v>45790.73627314815</v>
      </c>
      <c r="C280" s="1" t="n">
        <v>45994</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35477-2023</t>
        </is>
      </c>
      <c r="B281" s="1" t="n">
        <v>45146</v>
      </c>
      <c r="C281" s="1" t="n">
        <v>45994</v>
      </c>
      <c r="D281" t="inlineStr">
        <is>
          <t>DALARNAS LÄN</t>
        </is>
      </c>
      <c r="E281" t="inlineStr">
        <is>
          <t>ORSA</t>
        </is>
      </c>
      <c r="G281" t="n">
        <v>7.7</v>
      </c>
      <c r="H281" t="n">
        <v>0</v>
      </c>
      <c r="I281" t="n">
        <v>0</v>
      </c>
      <c r="J281" t="n">
        <v>0</v>
      </c>
      <c r="K281" t="n">
        <v>0</v>
      </c>
      <c r="L281" t="n">
        <v>0</v>
      </c>
      <c r="M281" t="n">
        <v>0</v>
      </c>
      <c r="N281" t="n">
        <v>0</v>
      </c>
      <c r="O281" t="n">
        <v>0</v>
      </c>
      <c r="P281" t="n">
        <v>0</v>
      </c>
      <c r="Q281" t="n">
        <v>0</v>
      </c>
      <c r="R281" s="2" t="inlineStr"/>
    </row>
    <row r="282" ht="15" customHeight="1">
      <c r="A282" t="inlineStr">
        <is>
          <t>A 9466-2023</t>
        </is>
      </c>
      <c r="B282" s="1" t="n">
        <v>44981</v>
      </c>
      <c r="C282" s="1" t="n">
        <v>45994</v>
      </c>
      <c r="D282" t="inlineStr">
        <is>
          <t>DALARNAS LÄN</t>
        </is>
      </c>
      <c r="E282" t="inlineStr">
        <is>
          <t>ORSA</t>
        </is>
      </c>
      <c r="F282" t="inlineStr">
        <is>
          <t>Bergvik skog väst AB</t>
        </is>
      </c>
      <c r="G282" t="n">
        <v>3.8</v>
      </c>
      <c r="H282" t="n">
        <v>0</v>
      </c>
      <c r="I282" t="n">
        <v>0</v>
      </c>
      <c r="J282" t="n">
        <v>0</v>
      </c>
      <c r="K282" t="n">
        <v>0</v>
      </c>
      <c r="L282" t="n">
        <v>0</v>
      </c>
      <c r="M282" t="n">
        <v>0</v>
      </c>
      <c r="N282" t="n">
        <v>0</v>
      </c>
      <c r="O282" t="n">
        <v>0</v>
      </c>
      <c r="P282" t="n">
        <v>0</v>
      </c>
      <c r="Q282" t="n">
        <v>0</v>
      </c>
      <c r="R282" s="2" t="inlineStr"/>
    </row>
    <row r="283" ht="15" customHeight="1">
      <c r="A283" t="inlineStr">
        <is>
          <t>A 23461-2023</t>
        </is>
      </c>
      <c r="B283" s="1" t="n">
        <v>45076</v>
      </c>
      <c r="C283" s="1" t="n">
        <v>45994</v>
      </c>
      <c r="D283" t="inlineStr">
        <is>
          <t>DALARNAS LÄN</t>
        </is>
      </c>
      <c r="E283" t="inlineStr">
        <is>
          <t>ORSA</t>
        </is>
      </c>
      <c r="G283" t="n">
        <v>0.5</v>
      </c>
      <c r="H283" t="n">
        <v>0</v>
      </c>
      <c r="I283" t="n">
        <v>0</v>
      </c>
      <c r="J283" t="n">
        <v>0</v>
      </c>
      <c r="K283" t="n">
        <v>0</v>
      </c>
      <c r="L283" t="n">
        <v>0</v>
      </c>
      <c r="M283" t="n">
        <v>0</v>
      </c>
      <c r="N283" t="n">
        <v>0</v>
      </c>
      <c r="O283" t="n">
        <v>0</v>
      </c>
      <c r="P283" t="n">
        <v>0</v>
      </c>
      <c r="Q283" t="n">
        <v>0</v>
      </c>
      <c r="R283" s="2" t="inlineStr"/>
    </row>
    <row r="284" ht="15" customHeight="1">
      <c r="A284" t="inlineStr">
        <is>
          <t>A 28923-2024</t>
        </is>
      </c>
      <c r="B284" s="1" t="n">
        <v>45481</v>
      </c>
      <c r="C284" s="1" t="n">
        <v>45994</v>
      </c>
      <c r="D284" t="inlineStr">
        <is>
          <t>DALARNAS LÄN</t>
        </is>
      </c>
      <c r="E284" t="inlineStr">
        <is>
          <t>ORSA</t>
        </is>
      </c>
      <c r="F284" t="inlineStr">
        <is>
          <t>Allmännings- och besparingsskogar</t>
        </is>
      </c>
      <c r="G284" t="n">
        <v>13.9</v>
      </c>
      <c r="H284" t="n">
        <v>0</v>
      </c>
      <c r="I284" t="n">
        <v>0</v>
      </c>
      <c r="J284" t="n">
        <v>0</v>
      </c>
      <c r="K284" t="n">
        <v>0</v>
      </c>
      <c r="L284" t="n">
        <v>0</v>
      </c>
      <c r="M284" t="n">
        <v>0</v>
      </c>
      <c r="N284" t="n">
        <v>0</v>
      </c>
      <c r="O284" t="n">
        <v>0</v>
      </c>
      <c r="P284" t="n">
        <v>0</v>
      </c>
      <c r="Q284" t="n">
        <v>0</v>
      </c>
      <c r="R284" s="2" t="inlineStr"/>
    </row>
    <row r="285" ht="15" customHeight="1">
      <c r="A285" t="inlineStr">
        <is>
          <t>A 23015-2025</t>
        </is>
      </c>
      <c r="B285" s="1" t="n">
        <v>45790.6377662037</v>
      </c>
      <c r="C285" s="1" t="n">
        <v>45994</v>
      </c>
      <c r="D285" t="inlineStr">
        <is>
          <t>DALARNAS LÄN</t>
        </is>
      </c>
      <c r="E285" t="inlineStr">
        <is>
          <t>ORSA</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15113-2025</t>
        </is>
      </c>
      <c r="B286" s="1" t="n">
        <v>45744.36179398148</v>
      </c>
      <c r="C286" s="1" t="n">
        <v>45994</v>
      </c>
      <c r="D286" t="inlineStr">
        <is>
          <t>DALARNAS LÄN</t>
        </is>
      </c>
      <c r="E286" t="inlineStr">
        <is>
          <t>ORSA</t>
        </is>
      </c>
      <c r="F286" t="inlineStr">
        <is>
          <t>Allmännings- och besparingsskogar</t>
        </is>
      </c>
      <c r="G286" t="n">
        <v>3.3</v>
      </c>
      <c r="H286" t="n">
        <v>0</v>
      </c>
      <c r="I286" t="n">
        <v>0</v>
      </c>
      <c r="J286" t="n">
        <v>0</v>
      </c>
      <c r="K286" t="n">
        <v>0</v>
      </c>
      <c r="L286" t="n">
        <v>0</v>
      </c>
      <c r="M286" t="n">
        <v>0</v>
      </c>
      <c r="N286" t="n">
        <v>0</v>
      </c>
      <c r="O286" t="n">
        <v>0</v>
      </c>
      <c r="P286" t="n">
        <v>0</v>
      </c>
      <c r="Q286" t="n">
        <v>0</v>
      </c>
      <c r="R286" s="2" t="inlineStr"/>
    </row>
    <row r="287" ht="15" customHeight="1">
      <c r="A287" t="inlineStr">
        <is>
          <t>A 19932-2021</t>
        </is>
      </c>
      <c r="B287" s="1" t="n">
        <v>44313.60207175926</v>
      </c>
      <c r="C287" s="1" t="n">
        <v>45994</v>
      </c>
      <c r="D287" t="inlineStr">
        <is>
          <t>DALARNAS LÄN</t>
        </is>
      </c>
      <c r="E287" t="inlineStr">
        <is>
          <t>ORSA</t>
        </is>
      </c>
      <c r="G287" t="n">
        <v>2</v>
      </c>
      <c r="H287" t="n">
        <v>0</v>
      </c>
      <c r="I287" t="n">
        <v>0</v>
      </c>
      <c r="J287" t="n">
        <v>0</v>
      </c>
      <c r="K287" t="n">
        <v>0</v>
      </c>
      <c r="L287" t="n">
        <v>0</v>
      </c>
      <c r="M287" t="n">
        <v>0</v>
      </c>
      <c r="N287" t="n">
        <v>0</v>
      </c>
      <c r="O287" t="n">
        <v>0</v>
      </c>
      <c r="P287" t="n">
        <v>0</v>
      </c>
      <c r="Q287" t="n">
        <v>0</v>
      </c>
      <c r="R287" s="2" t="inlineStr"/>
    </row>
    <row r="288" ht="15" customHeight="1">
      <c r="A288" t="inlineStr">
        <is>
          <t>A 47732-2022</t>
        </is>
      </c>
      <c r="B288" s="1" t="n">
        <v>44854.63668981481</v>
      </c>
      <c r="C288" s="1" t="n">
        <v>45994</v>
      </c>
      <c r="D288" t="inlineStr">
        <is>
          <t>DALARNAS LÄN</t>
        </is>
      </c>
      <c r="E288" t="inlineStr">
        <is>
          <t>ORSA</t>
        </is>
      </c>
      <c r="F288" t="inlineStr">
        <is>
          <t>Bergvik skog öst AB</t>
        </is>
      </c>
      <c r="G288" t="n">
        <v>1.7</v>
      </c>
      <c r="H288" t="n">
        <v>0</v>
      </c>
      <c r="I288" t="n">
        <v>0</v>
      </c>
      <c r="J288" t="n">
        <v>0</v>
      </c>
      <c r="K288" t="n">
        <v>0</v>
      </c>
      <c r="L288" t="n">
        <v>0</v>
      </c>
      <c r="M288" t="n">
        <v>0</v>
      </c>
      <c r="N288" t="n">
        <v>0</v>
      </c>
      <c r="O288" t="n">
        <v>0</v>
      </c>
      <c r="P288" t="n">
        <v>0</v>
      </c>
      <c r="Q288" t="n">
        <v>0</v>
      </c>
      <c r="R288" s="2" t="inlineStr"/>
    </row>
    <row r="289" ht="15" customHeight="1">
      <c r="A289" t="inlineStr">
        <is>
          <t>A 36089-2023</t>
        </is>
      </c>
      <c r="B289" s="1" t="n">
        <v>45149.51068287037</v>
      </c>
      <c r="C289" s="1" t="n">
        <v>45994</v>
      </c>
      <c r="D289" t="inlineStr">
        <is>
          <t>DALARNAS LÄN</t>
        </is>
      </c>
      <c r="E289" t="inlineStr">
        <is>
          <t>ORSA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30290-2024</t>
        </is>
      </c>
      <c r="B290" s="1" t="n">
        <v>45490.64681712963</v>
      </c>
      <c r="C290" s="1" t="n">
        <v>45994</v>
      </c>
      <c r="D290" t="inlineStr">
        <is>
          <t>DALARNAS LÄN</t>
        </is>
      </c>
      <c r="E290" t="inlineStr">
        <is>
          <t>ORSA</t>
        </is>
      </c>
      <c r="F290" t="inlineStr">
        <is>
          <t>Bergvik skog öst AB</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112-2021</t>
        </is>
      </c>
      <c r="B291" s="1" t="n">
        <v>44200</v>
      </c>
      <c r="C291" s="1" t="n">
        <v>45994</v>
      </c>
      <c r="D291" t="inlineStr">
        <is>
          <t>DALARNAS LÄN</t>
        </is>
      </c>
      <c r="E291" t="inlineStr">
        <is>
          <t>ORSA</t>
        </is>
      </c>
      <c r="G291" t="n">
        <v>1.3</v>
      </c>
      <c r="H291" t="n">
        <v>0</v>
      </c>
      <c r="I291" t="n">
        <v>0</v>
      </c>
      <c r="J291" t="n">
        <v>0</v>
      </c>
      <c r="K291" t="n">
        <v>0</v>
      </c>
      <c r="L291" t="n">
        <v>0</v>
      </c>
      <c r="M291" t="n">
        <v>0</v>
      </c>
      <c r="N291" t="n">
        <v>0</v>
      </c>
      <c r="O291" t="n">
        <v>0</v>
      </c>
      <c r="P291" t="n">
        <v>0</v>
      </c>
      <c r="Q291" t="n">
        <v>0</v>
      </c>
      <c r="R291" s="2" t="inlineStr"/>
    </row>
    <row r="292" ht="15" customHeight="1">
      <c r="A292" t="inlineStr">
        <is>
          <t>A 37836-2024</t>
        </is>
      </c>
      <c r="B292" s="1" t="n">
        <v>45544.35747685185</v>
      </c>
      <c r="C292" s="1" t="n">
        <v>45994</v>
      </c>
      <c r="D292" t="inlineStr">
        <is>
          <t>DALARNAS LÄN</t>
        </is>
      </c>
      <c r="E292" t="inlineStr">
        <is>
          <t>ORSA</t>
        </is>
      </c>
      <c r="G292" t="n">
        <v>2.3</v>
      </c>
      <c r="H292" t="n">
        <v>0</v>
      </c>
      <c r="I292" t="n">
        <v>0</v>
      </c>
      <c r="J292" t="n">
        <v>0</v>
      </c>
      <c r="K292" t="n">
        <v>0</v>
      </c>
      <c r="L292" t="n">
        <v>0</v>
      </c>
      <c r="M292" t="n">
        <v>0</v>
      </c>
      <c r="N292" t="n">
        <v>0</v>
      </c>
      <c r="O292" t="n">
        <v>0</v>
      </c>
      <c r="P292" t="n">
        <v>0</v>
      </c>
      <c r="Q292" t="n">
        <v>0</v>
      </c>
      <c r="R292" s="2" t="inlineStr"/>
    </row>
    <row r="293" ht="15" customHeight="1">
      <c r="A293" t="inlineStr">
        <is>
          <t>A 58549-2023</t>
        </is>
      </c>
      <c r="B293" s="1" t="n">
        <v>45251.42627314815</v>
      </c>
      <c r="C293" s="1" t="n">
        <v>45994</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34374-2024</t>
        </is>
      </c>
      <c r="B294" s="1" t="n">
        <v>45525.40091435185</v>
      </c>
      <c r="C294" s="1" t="n">
        <v>45994</v>
      </c>
      <c r="D294" t="inlineStr">
        <is>
          <t>DALARNAS LÄN</t>
        </is>
      </c>
      <c r="E294" t="inlineStr">
        <is>
          <t>ORSA</t>
        </is>
      </c>
      <c r="G294" t="n">
        <v>0.5</v>
      </c>
      <c r="H294" t="n">
        <v>0</v>
      </c>
      <c r="I294" t="n">
        <v>0</v>
      </c>
      <c r="J294" t="n">
        <v>0</v>
      </c>
      <c r="K294" t="n">
        <v>0</v>
      </c>
      <c r="L294" t="n">
        <v>0</v>
      </c>
      <c r="M294" t="n">
        <v>0</v>
      </c>
      <c r="N294" t="n">
        <v>0</v>
      </c>
      <c r="O294" t="n">
        <v>0</v>
      </c>
      <c r="P294" t="n">
        <v>0</v>
      </c>
      <c r="Q294" t="n">
        <v>0</v>
      </c>
      <c r="R294" s="2" t="inlineStr"/>
    </row>
    <row r="295" ht="15" customHeight="1">
      <c r="A295" t="inlineStr">
        <is>
          <t>A 37838-2024</t>
        </is>
      </c>
      <c r="B295" s="1" t="n">
        <v>45544.36310185185</v>
      </c>
      <c r="C295" s="1" t="n">
        <v>45994</v>
      </c>
      <c r="D295" t="inlineStr">
        <is>
          <t>DALARNAS LÄN</t>
        </is>
      </c>
      <c r="E295" t="inlineStr">
        <is>
          <t>ORSA</t>
        </is>
      </c>
      <c r="G295" t="n">
        <v>2.9</v>
      </c>
      <c r="H295" t="n">
        <v>0</v>
      </c>
      <c r="I295" t="n">
        <v>0</v>
      </c>
      <c r="J295" t="n">
        <v>0</v>
      </c>
      <c r="K295" t="n">
        <v>0</v>
      </c>
      <c r="L295" t="n">
        <v>0</v>
      </c>
      <c r="M295" t="n">
        <v>0</v>
      </c>
      <c r="N295" t="n">
        <v>0</v>
      </c>
      <c r="O295" t="n">
        <v>0</v>
      </c>
      <c r="P295" t="n">
        <v>0</v>
      </c>
      <c r="Q295" t="n">
        <v>0</v>
      </c>
      <c r="R295" s="2" t="inlineStr"/>
    </row>
    <row r="296" ht="15" customHeight="1">
      <c r="A296" t="inlineStr">
        <is>
          <t>A 23053-2025</t>
        </is>
      </c>
      <c r="B296" s="1" t="n">
        <v>45790.73072916667</v>
      </c>
      <c r="C296" s="1" t="n">
        <v>45994</v>
      </c>
      <c r="D296" t="inlineStr">
        <is>
          <t>DALARNAS LÄN</t>
        </is>
      </c>
      <c r="E296" t="inlineStr">
        <is>
          <t>ORSA</t>
        </is>
      </c>
      <c r="G296" t="n">
        <v>3.3</v>
      </c>
      <c r="H296" t="n">
        <v>0</v>
      </c>
      <c r="I296" t="n">
        <v>0</v>
      </c>
      <c r="J296" t="n">
        <v>0</v>
      </c>
      <c r="K296" t="n">
        <v>0</v>
      </c>
      <c r="L296" t="n">
        <v>0</v>
      </c>
      <c r="M296" t="n">
        <v>0</v>
      </c>
      <c r="N296" t="n">
        <v>0</v>
      </c>
      <c r="O296" t="n">
        <v>0</v>
      </c>
      <c r="P296" t="n">
        <v>0</v>
      </c>
      <c r="Q296" t="n">
        <v>0</v>
      </c>
      <c r="R296" s="2" t="inlineStr"/>
    </row>
    <row r="297" ht="15" customHeight="1">
      <c r="A297" t="inlineStr">
        <is>
          <t>A 52033-2023</t>
        </is>
      </c>
      <c r="B297" s="1" t="n">
        <v>45223.62680555556</v>
      </c>
      <c r="C297" s="1" t="n">
        <v>45994</v>
      </c>
      <c r="D297" t="inlineStr">
        <is>
          <t>DALARNAS LÄN</t>
        </is>
      </c>
      <c r="E297" t="inlineStr">
        <is>
          <t>ORSA</t>
        </is>
      </c>
      <c r="G297" t="n">
        <v>11.5</v>
      </c>
      <c r="H297" t="n">
        <v>0</v>
      </c>
      <c r="I297" t="n">
        <v>0</v>
      </c>
      <c r="J297" t="n">
        <v>0</v>
      </c>
      <c r="K297" t="n">
        <v>0</v>
      </c>
      <c r="L297" t="n">
        <v>0</v>
      </c>
      <c r="M297" t="n">
        <v>0</v>
      </c>
      <c r="N297" t="n">
        <v>0</v>
      </c>
      <c r="O297" t="n">
        <v>0</v>
      </c>
      <c r="P297" t="n">
        <v>0</v>
      </c>
      <c r="Q297" t="n">
        <v>0</v>
      </c>
      <c r="R297" s="2" t="inlineStr"/>
    </row>
    <row r="298" ht="15" customHeight="1">
      <c r="A298" t="inlineStr">
        <is>
          <t>A 62289-2023</t>
        </is>
      </c>
      <c r="B298" s="1" t="n">
        <v>45266</v>
      </c>
      <c r="C298" s="1" t="n">
        <v>45994</v>
      </c>
      <c r="D298" t="inlineStr">
        <is>
          <t>DALARNAS LÄN</t>
        </is>
      </c>
      <c r="E298" t="inlineStr">
        <is>
          <t>ORSA</t>
        </is>
      </c>
      <c r="G298" t="n">
        <v>1.9</v>
      </c>
      <c r="H298" t="n">
        <v>0</v>
      </c>
      <c r="I298" t="n">
        <v>0</v>
      </c>
      <c r="J298" t="n">
        <v>0</v>
      </c>
      <c r="K298" t="n">
        <v>0</v>
      </c>
      <c r="L298" t="n">
        <v>0</v>
      </c>
      <c r="M298" t="n">
        <v>0</v>
      </c>
      <c r="N298" t="n">
        <v>0</v>
      </c>
      <c r="O298" t="n">
        <v>0</v>
      </c>
      <c r="P298" t="n">
        <v>0</v>
      </c>
      <c r="Q298" t="n">
        <v>0</v>
      </c>
      <c r="R298" s="2" t="inlineStr"/>
    </row>
    <row r="299" ht="15" customHeight="1">
      <c r="A299" t="inlineStr">
        <is>
          <t>A 34708-2021</t>
        </is>
      </c>
      <c r="B299" s="1" t="n">
        <v>44382</v>
      </c>
      <c r="C299" s="1" t="n">
        <v>45994</v>
      </c>
      <c r="D299" t="inlineStr">
        <is>
          <t>DALARNAS LÄN</t>
        </is>
      </c>
      <c r="E299" t="inlineStr">
        <is>
          <t>ORSA</t>
        </is>
      </c>
      <c r="G299" t="n">
        <v>4.3</v>
      </c>
      <c r="H299" t="n">
        <v>0</v>
      </c>
      <c r="I299" t="n">
        <v>0</v>
      </c>
      <c r="J299" t="n">
        <v>0</v>
      </c>
      <c r="K299" t="n">
        <v>0</v>
      </c>
      <c r="L299" t="n">
        <v>0</v>
      </c>
      <c r="M299" t="n">
        <v>0</v>
      </c>
      <c r="N299" t="n">
        <v>0</v>
      </c>
      <c r="O299" t="n">
        <v>0</v>
      </c>
      <c r="P299" t="n">
        <v>0</v>
      </c>
      <c r="Q299" t="n">
        <v>0</v>
      </c>
      <c r="R299" s="2" t="inlineStr"/>
    </row>
    <row r="300" ht="15" customHeight="1">
      <c r="A300" t="inlineStr">
        <is>
          <t>A 18037-2023</t>
        </is>
      </c>
      <c r="B300" s="1" t="n">
        <v>45040</v>
      </c>
      <c r="C300" s="1" t="n">
        <v>45994</v>
      </c>
      <c r="D300" t="inlineStr">
        <is>
          <t>DALARNAS LÄN</t>
        </is>
      </c>
      <c r="E300" t="inlineStr">
        <is>
          <t>ORSA</t>
        </is>
      </c>
      <c r="G300" t="n">
        <v>6.6</v>
      </c>
      <c r="H300" t="n">
        <v>0</v>
      </c>
      <c r="I300" t="n">
        <v>0</v>
      </c>
      <c r="J300" t="n">
        <v>0</v>
      </c>
      <c r="K300" t="n">
        <v>0</v>
      </c>
      <c r="L300" t="n">
        <v>0</v>
      </c>
      <c r="M300" t="n">
        <v>0</v>
      </c>
      <c r="N300" t="n">
        <v>0</v>
      </c>
      <c r="O300" t="n">
        <v>0</v>
      </c>
      <c r="P300" t="n">
        <v>0</v>
      </c>
      <c r="Q300" t="n">
        <v>0</v>
      </c>
      <c r="R300" s="2" t="inlineStr"/>
    </row>
    <row r="301" ht="15" customHeight="1">
      <c r="A301" t="inlineStr">
        <is>
          <t>A 54546-2024</t>
        </is>
      </c>
      <c r="B301" s="1" t="n">
        <v>45617.61476851852</v>
      </c>
      <c r="C301" s="1" t="n">
        <v>45994</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3107-2025</t>
        </is>
      </c>
      <c r="B302" s="1" t="n">
        <v>45678.68400462963</v>
      </c>
      <c r="C302" s="1" t="n">
        <v>45994</v>
      </c>
      <c r="D302" t="inlineStr">
        <is>
          <t>DALARNAS LÄN</t>
        </is>
      </c>
      <c r="E302" t="inlineStr">
        <is>
          <t>ORSA</t>
        </is>
      </c>
      <c r="G302" t="n">
        <v>2.1</v>
      </c>
      <c r="H302" t="n">
        <v>0</v>
      </c>
      <c r="I302" t="n">
        <v>0</v>
      </c>
      <c r="J302" t="n">
        <v>0</v>
      </c>
      <c r="K302" t="n">
        <v>0</v>
      </c>
      <c r="L302" t="n">
        <v>0</v>
      </c>
      <c r="M302" t="n">
        <v>0</v>
      </c>
      <c r="N302" t="n">
        <v>0</v>
      </c>
      <c r="O302" t="n">
        <v>0</v>
      </c>
      <c r="P302" t="n">
        <v>0</v>
      </c>
      <c r="Q302" t="n">
        <v>0</v>
      </c>
      <c r="R302" s="2" t="inlineStr"/>
    </row>
    <row r="303" ht="15" customHeight="1">
      <c r="A303" t="inlineStr">
        <is>
          <t>A 52816-2024</t>
        </is>
      </c>
      <c r="B303" s="1" t="n">
        <v>45610.58322916667</v>
      </c>
      <c r="C303" s="1" t="n">
        <v>45994</v>
      </c>
      <c r="D303" t="inlineStr">
        <is>
          <t>DALARNAS LÄN</t>
        </is>
      </c>
      <c r="E303" t="inlineStr">
        <is>
          <t>ORSA</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52912-2023</t>
        </is>
      </c>
      <c r="B304" s="1" t="n">
        <v>45226.51766203704</v>
      </c>
      <c r="C304" s="1" t="n">
        <v>45994</v>
      </c>
      <c r="D304" t="inlineStr">
        <is>
          <t>DALARNAS LÄN</t>
        </is>
      </c>
      <c r="E304" t="inlineStr">
        <is>
          <t>ORSA</t>
        </is>
      </c>
      <c r="G304" t="n">
        <v>10.9</v>
      </c>
      <c r="H304" t="n">
        <v>0</v>
      </c>
      <c r="I304" t="n">
        <v>0</v>
      </c>
      <c r="J304" t="n">
        <v>0</v>
      </c>
      <c r="K304" t="n">
        <v>0</v>
      </c>
      <c r="L304" t="n">
        <v>0</v>
      </c>
      <c r="M304" t="n">
        <v>0</v>
      </c>
      <c r="N304" t="n">
        <v>0</v>
      </c>
      <c r="O304" t="n">
        <v>0</v>
      </c>
      <c r="P304" t="n">
        <v>0</v>
      </c>
      <c r="Q304" t="n">
        <v>0</v>
      </c>
      <c r="R304" s="2" t="inlineStr"/>
    </row>
    <row r="305" ht="15" customHeight="1">
      <c r="A305" t="inlineStr">
        <is>
          <t>A 50905-2021</t>
        </is>
      </c>
      <c r="B305" s="1" t="n">
        <v>44460</v>
      </c>
      <c r="C305" s="1" t="n">
        <v>45994</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55534-2023</t>
        </is>
      </c>
      <c r="B306" s="1" t="n">
        <v>45238</v>
      </c>
      <c r="C306" s="1" t="n">
        <v>45994</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36569-2021</t>
        </is>
      </c>
      <c r="B307" s="1" t="n">
        <v>44391</v>
      </c>
      <c r="C307" s="1" t="n">
        <v>45994</v>
      </c>
      <c r="D307" t="inlineStr">
        <is>
          <t>DALARNAS LÄN</t>
        </is>
      </c>
      <c r="E307" t="inlineStr">
        <is>
          <t>ORSA</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45272-2022</t>
        </is>
      </c>
      <c r="B308" s="1" t="n">
        <v>44844</v>
      </c>
      <c r="C308" s="1" t="n">
        <v>45994</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23055-2025</t>
        </is>
      </c>
      <c r="B309" s="1" t="n">
        <v>45790.73469907408</v>
      </c>
      <c r="C309" s="1" t="n">
        <v>45994</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5302-2024</t>
        </is>
      </c>
      <c r="B310" s="1" t="n">
        <v>45331.38175925926</v>
      </c>
      <c r="C310" s="1" t="n">
        <v>45994</v>
      </c>
      <c r="D310" t="inlineStr">
        <is>
          <t>DALARNAS LÄN</t>
        </is>
      </c>
      <c r="E310" t="inlineStr">
        <is>
          <t>ORSA</t>
        </is>
      </c>
      <c r="G310" t="n">
        <v>0.8</v>
      </c>
      <c r="H310" t="n">
        <v>0</v>
      </c>
      <c r="I310" t="n">
        <v>0</v>
      </c>
      <c r="J310" t="n">
        <v>0</v>
      </c>
      <c r="K310" t="n">
        <v>0</v>
      </c>
      <c r="L310" t="n">
        <v>0</v>
      </c>
      <c r="M310" t="n">
        <v>0</v>
      </c>
      <c r="N310" t="n">
        <v>0</v>
      </c>
      <c r="O310" t="n">
        <v>0</v>
      </c>
      <c r="P310" t="n">
        <v>0</v>
      </c>
      <c r="Q310" t="n">
        <v>0</v>
      </c>
      <c r="R310" s="2" t="inlineStr"/>
    </row>
    <row r="311" ht="15" customHeight="1">
      <c r="A311" t="inlineStr">
        <is>
          <t>A 10261-2022</t>
        </is>
      </c>
      <c r="B311" s="1" t="n">
        <v>44622.6445949074</v>
      </c>
      <c r="C311" s="1" t="n">
        <v>45994</v>
      </c>
      <c r="D311" t="inlineStr">
        <is>
          <t>DALARNAS LÄN</t>
        </is>
      </c>
      <c r="E311" t="inlineStr">
        <is>
          <t>ORSA</t>
        </is>
      </c>
      <c r="G311" t="n">
        <v>3.1</v>
      </c>
      <c r="H311" t="n">
        <v>0</v>
      </c>
      <c r="I311" t="n">
        <v>0</v>
      </c>
      <c r="J311" t="n">
        <v>0</v>
      </c>
      <c r="K311" t="n">
        <v>0</v>
      </c>
      <c r="L311" t="n">
        <v>0</v>
      </c>
      <c r="M311" t="n">
        <v>0</v>
      </c>
      <c r="N311" t="n">
        <v>0</v>
      </c>
      <c r="O311" t="n">
        <v>0</v>
      </c>
      <c r="P311" t="n">
        <v>0</v>
      </c>
      <c r="Q311" t="n">
        <v>0</v>
      </c>
      <c r="R311" s="2" t="inlineStr"/>
    </row>
    <row r="312" ht="15" customHeight="1">
      <c r="A312" t="inlineStr">
        <is>
          <t>A 38588-2025</t>
        </is>
      </c>
      <c r="B312" s="1" t="n">
        <v>45884.47355324074</v>
      </c>
      <c r="C312" s="1" t="n">
        <v>45994</v>
      </c>
      <c r="D312" t="inlineStr">
        <is>
          <t>DALARNAS LÄN</t>
        </is>
      </c>
      <c r="E312" t="inlineStr">
        <is>
          <t>ORSA</t>
        </is>
      </c>
      <c r="F312" t="inlineStr">
        <is>
          <t>Bergvik skog öst AB</t>
        </is>
      </c>
      <c r="G312" t="n">
        <v>9.5</v>
      </c>
      <c r="H312" t="n">
        <v>0</v>
      </c>
      <c r="I312" t="n">
        <v>0</v>
      </c>
      <c r="J312" t="n">
        <v>0</v>
      </c>
      <c r="K312" t="n">
        <v>0</v>
      </c>
      <c r="L312" t="n">
        <v>0</v>
      </c>
      <c r="M312" t="n">
        <v>0</v>
      </c>
      <c r="N312" t="n">
        <v>0</v>
      </c>
      <c r="O312" t="n">
        <v>0</v>
      </c>
      <c r="P312" t="n">
        <v>0</v>
      </c>
      <c r="Q312" t="n">
        <v>0</v>
      </c>
      <c r="R312" s="2" t="inlineStr"/>
    </row>
    <row r="313" ht="15" customHeight="1">
      <c r="A313" t="inlineStr">
        <is>
          <t>A 23740-2025</t>
        </is>
      </c>
      <c r="B313" s="1" t="n">
        <v>45793.43210648148</v>
      </c>
      <c r="C313" s="1" t="n">
        <v>45994</v>
      </c>
      <c r="D313" t="inlineStr">
        <is>
          <t>DALARNAS LÄN</t>
        </is>
      </c>
      <c r="E313" t="inlineStr">
        <is>
          <t>ORSA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17848-2025</t>
        </is>
      </c>
      <c r="B314" s="1" t="n">
        <v>45758.59981481481</v>
      </c>
      <c r="C314" s="1" t="n">
        <v>45994</v>
      </c>
      <c r="D314" t="inlineStr">
        <is>
          <t>DALARNAS LÄN</t>
        </is>
      </c>
      <c r="E314" t="inlineStr">
        <is>
          <t>ORSA</t>
        </is>
      </c>
      <c r="G314" t="n">
        <v>1.6</v>
      </c>
      <c r="H314" t="n">
        <v>0</v>
      </c>
      <c r="I314" t="n">
        <v>0</v>
      </c>
      <c r="J314" t="n">
        <v>0</v>
      </c>
      <c r="K314" t="n">
        <v>0</v>
      </c>
      <c r="L314" t="n">
        <v>0</v>
      </c>
      <c r="M314" t="n">
        <v>0</v>
      </c>
      <c r="N314" t="n">
        <v>0</v>
      </c>
      <c r="O314" t="n">
        <v>0</v>
      </c>
      <c r="P314" t="n">
        <v>0</v>
      </c>
      <c r="Q314" t="n">
        <v>0</v>
      </c>
      <c r="R314" s="2" t="inlineStr"/>
    </row>
    <row r="315" ht="15" customHeight="1">
      <c r="A315" t="inlineStr">
        <is>
          <t>A 18009-2023</t>
        </is>
      </c>
      <c r="B315" s="1" t="n">
        <v>45040.56190972222</v>
      </c>
      <c r="C315" s="1" t="n">
        <v>45994</v>
      </c>
      <c r="D315" t="inlineStr">
        <is>
          <t>DALARNAS LÄN</t>
        </is>
      </c>
      <c r="E315" t="inlineStr">
        <is>
          <t>ORSA</t>
        </is>
      </c>
      <c r="G315" t="n">
        <v>5.8</v>
      </c>
      <c r="H315" t="n">
        <v>0</v>
      </c>
      <c r="I315" t="n">
        <v>0</v>
      </c>
      <c r="J315" t="n">
        <v>0</v>
      </c>
      <c r="K315" t="n">
        <v>0</v>
      </c>
      <c r="L315" t="n">
        <v>0</v>
      </c>
      <c r="M315" t="n">
        <v>0</v>
      </c>
      <c r="N315" t="n">
        <v>0</v>
      </c>
      <c r="O315" t="n">
        <v>0</v>
      </c>
      <c r="P315" t="n">
        <v>0</v>
      </c>
      <c r="Q315" t="n">
        <v>0</v>
      </c>
      <c r="R315" s="2" t="inlineStr"/>
    </row>
    <row r="316" ht="15" customHeight="1">
      <c r="A316" t="inlineStr">
        <is>
          <t>A 61684-2024</t>
        </is>
      </c>
      <c r="B316" s="1" t="n">
        <v>45647.56491898148</v>
      </c>
      <c r="C316" s="1" t="n">
        <v>45994</v>
      </c>
      <c r="D316" t="inlineStr">
        <is>
          <t>DALARNAS LÄN</t>
        </is>
      </c>
      <c r="E316" t="inlineStr">
        <is>
          <t>ORSA</t>
        </is>
      </c>
      <c r="G316" t="n">
        <v>5.8</v>
      </c>
      <c r="H316" t="n">
        <v>0</v>
      </c>
      <c r="I316" t="n">
        <v>0</v>
      </c>
      <c r="J316" t="n">
        <v>0</v>
      </c>
      <c r="K316" t="n">
        <v>0</v>
      </c>
      <c r="L316" t="n">
        <v>0</v>
      </c>
      <c r="M316" t="n">
        <v>0</v>
      </c>
      <c r="N316" t="n">
        <v>0</v>
      </c>
      <c r="O316" t="n">
        <v>0</v>
      </c>
      <c r="P316" t="n">
        <v>0</v>
      </c>
      <c r="Q316" t="n">
        <v>0</v>
      </c>
      <c r="R316" s="2" t="inlineStr"/>
    </row>
    <row r="317" ht="15" customHeight="1">
      <c r="A317" t="inlineStr">
        <is>
          <t>A 11784-2024</t>
        </is>
      </c>
      <c r="B317" s="1" t="n">
        <v>45374.67886574074</v>
      </c>
      <c r="C317" s="1" t="n">
        <v>45994</v>
      </c>
      <c r="D317" t="inlineStr">
        <is>
          <t>DALARNAS LÄN</t>
        </is>
      </c>
      <c r="E317" t="inlineStr">
        <is>
          <t>ORSA</t>
        </is>
      </c>
      <c r="G317" t="n">
        <v>1.7</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44887.45185185185</v>
      </c>
      <c r="C318" s="1" t="n">
        <v>45994</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5434-2025</t>
        </is>
      </c>
      <c r="B319" s="1" t="n">
        <v>45692</v>
      </c>
      <c r="C319" s="1" t="n">
        <v>45994</v>
      </c>
      <c r="D319" t="inlineStr">
        <is>
          <t>DALARNAS LÄN</t>
        </is>
      </c>
      <c r="E319" t="inlineStr">
        <is>
          <t>ORSA</t>
        </is>
      </c>
      <c r="G319" t="n">
        <v>6.9</v>
      </c>
      <c r="H319" t="n">
        <v>0</v>
      </c>
      <c r="I319" t="n">
        <v>0</v>
      </c>
      <c r="J319" t="n">
        <v>0</v>
      </c>
      <c r="K319" t="n">
        <v>0</v>
      </c>
      <c r="L319" t="n">
        <v>0</v>
      </c>
      <c r="M319" t="n">
        <v>0</v>
      </c>
      <c r="N319" t="n">
        <v>0</v>
      </c>
      <c r="O319" t="n">
        <v>0</v>
      </c>
      <c r="P319" t="n">
        <v>0</v>
      </c>
      <c r="Q319" t="n">
        <v>0</v>
      </c>
      <c r="R319" s="2" t="inlineStr"/>
    </row>
    <row r="320" ht="15" customHeight="1">
      <c r="A320" t="inlineStr">
        <is>
          <t>A 70332-2021</t>
        </is>
      </c>
      <c r="B320" s="1" t="n">
        <v>44536</v>
      </c>
      <c r="C320" s="1" t="n">
        <v>45994</v>
      </c>
      <c r="D320" t="inlineStr">
        <is>
          <t>DALARNAS LÄN</t>
        </is>
      </c>
      <c r="E320" t="inlineStr">
        <is>
          <t>ORSA</t>
        </is>
      </c>
      <c r="G320" t="n">
        <v>7.2</v>
      </c>
      <c r="H320" t="n">
        <v>0</v>
      </c>
      <c r="I320" t="n">
        <v>0</v>
      </c>
      <c r="J320" t="n">
        <v>0</v>
      </c>
      <c r="K320" t="n">
        <v>0</v>
      </c>
      <c r="L320" t="n">
        <v>0</v>
      </c>
      <c r="M320" t="n">
        <v>0</v>
      </c>
      <c r="N320" t="n">
        <v>0</v>
      </c>
      <c r="O320" t="n">
        <v>0</v>
      </c>
      <c r="P320" t="n">
        <v>0</v>
      </c>
      <c r="Q320" t="n">
        <v>0</v>
      </c>
      <c r="R320" s="2" t="inlineStr"/>
    </row>
    <row r="321" ht="15" customHeight="1">
      <c r="A321" t="inlineStr">
        <is>
          <t>A 38844-2025</t>
        </is>
      </c>
      <c r="B321" s="1" t="n">
        <v>45887.54075231482</v>
      </c>
      <c r="C321" s="1" t="n">
        <v>45994</v>
      </c>
      <c r="D321" t="inlineStr">
        <is>
          <t>DALARNAS LÄN</t>
        </is>
      </c>
      <c r="E321" t="inlineStr">
        <is>
          <t>ORSA</t>
        </is>
      </c>
      <c r="G321" t="n">
        <v>1.6</v>
      </c>
      <c r="H321" t="n">
        <v>0</v>
      </c>
      <c r="I321" t="n">
        <v>0</v>
      </c>
      <c r="J321" t="n">
        <v>0</v>
      </c>
      <c r="K321" t="n">
        <v>0</v>
      </c>
      <c r="L321" t="n">
        <v>0</v>
      </c>
      <c r="M321" t="n">
        <v>0</v>
      </c>
      <c r="N321" t="n">
        <v>0</v>
      </c>
      <c r="O321" t="n">
        <v>0</v>
      </c>
      <c r="P321" t="n">
        <v>0</v>
      </c>
      <c r="Q321" t="n">
        <v>0</v>
      </c>
      <c r="R321" s="2" t="inlineStr"/>
    </row>
    <row r="322" ht="15" customHeight="1">
      <c r="A322" t="inlineStr">
        <is>
          <t>A 5921-2025</t>
        </is>
      </c>
      <c r="B322" s="1" t="n">
        <v>45695</v>
      </c>
      <c r="C322" s="1" t="n">
        <v>45994</v>
      </c>
      <c r="D322" t="inlineStr">
        <is>
          <t>DALARNAS LÄN</t>
        </is>
      </c>
      <c r="E322" t="inlineStr">
        <is>
          <t>ORSA</t>
        </is>
      </c>
      <c r="G322" t="n">
        <v>1.4</v>
      </c>
      <c r="H322" t="n">
        <v>0</v>
      </c>
      <c r="I322" t="n">
        <v>0</v>
      </c>
      <c r="J322" t="n">
        <v>0</v>
      </c>
      <c r="K322" t="n">
        <v>0</v>
      </c>
      <c r="L322" t="n">
        <v>0</v>
      </c>
      <c r="M322" t="n">
        <v>0</v>
      </c>
      <c r="N322" t="n">
        <v>0</v>
      </c>
      <c r="O322" t="n">
        <v>0</v>
      </c>
      <c r="P322" t="n">
        <v>0</v>
      </c>
      <c r="Q322" t="n">
        <v>0</v>
      </c>
      <c r="R322" s="2" t="inlineStr"/>
    </row>
    <row r="323" ht="15" customHeight="1">
      <c r="A323" t="inlineStr">
        <is>
          <t>A 41295-2021</t>
        </is>
      </c>
      <c r="B323" s="1" t="n">
        <v>44424</v>
      </c>
      <c r="C323" s="1" t="n">
        <v>45994</v>
      </c>
      <c r="D323" t="inlineStr">
        <is>
          <t>DALARNAS LÄN</t>
        </is>
      </c>
      <c r="E323" t="inlineStr">
        <is>
          <t>ORSA</t>
        </is>
      </c>
      <c r="G323" t="n">
        <v>3.1</v>
      </c>
      <c r="H323" t="n">
        <v>0</v>
      </c>
      <c r="I323" t="n">
        <v>0</v>
      </c>
      <c r="J323" t="n">
        <v>0</v>
      </c>
      <c r="K323" t="n">
        <v>0</v>
      </c>
      <c r="L323" t="n">
        <v>0</v>
      </c>
      <c r="M323" t="n">
        <v>0</v>
      </c>
      <c r="N323" t="n">
        <v>0</v>
      </c>
      <c r="O323" t="n">
        <v>0</v>
      </c>
      <c r="P323" t="n">
        <v>0</v>
      </c>
      <c r="Q323" t="n">
        <v>0</v>
      </c>
      <c r="R323" s="2" t="inlineStr"/>
    </row>
    <row r="324" ht="15" customHeight="1">
      <c r="A324" t="inlineStr">
        <is>
          <t>A 1785-2024</t>
        </is>
      </c>
      <c r="B324" s="1" t="n">
        <v>45307</v>
      </c>
      <c r="C324" s="1" t="n">
        <v>45994</v>
      </c>
      <c r="D324" t="inlineStr">
        <is>
          <t>DALARNAS LÄN</t>
        </is>
      </c>
      <c r="E324" t="inlineStr">
        <is>
          <t>ORSA</t>
        </is>
      </c>
      <c r="G324" t="n">
        <v>42.8</v>
      </c>
      <c r="H324" t="n">
        <v>0</v>
      </c>
      <c r="I324" t="n">
        <v>0</v>
      </c>
      <c r="J324" t="n">
        <v>0</v>
      </c>
      <c r="K324" t="n">
        <v>0</v>
      </c>
      <c r="L324" t="n">
        <v>0</v>
      </c>
      <c r="M324" t="n">
        <v>0</v>
      </c>
      <c r="N324" t="n">
        <v>0</v>
      </c>
      <c r="O324" t="n">
        <v>0</v>
      </c>
      <c r="P324" t="n">
        <v>0</v>
      </c>
      <c r="Q324" t="n">
        <v>0</v>
      </c>
      <c r="R324" s="2" t="inlineStr"/>
    </row>
    <row r="325" ht="15" customHeight="1">
      <c r="A325" t="inlineStr">
        <is>
          <t>A 31031-2023</t>
        </is>
      </c>
      <c r="B325" s="1" t="n">
        <v>45113</v>
      </c>
      <c r="C325" s="1" t="n">
        <v>45994</v>
      </c>
      <c r="D325" t="inlineStr">
        <is>
          <t>DALARNAS LÄN</t>
        </is>
      </c>
      <c r="E325" t="inlineStr">
        <is>
          <t>ORSA</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24248-2025</t>
        </is>
      </c>
      <c r="B326" s="1" t="n">
        <v>45797.40101851852</v>
      </c>
      <c r="C326" s="1" t="n">
        <v>45994</v>
      </c>
      <c r="D326" t="inlineStr">
        <is>
          <t>DALARNAS LÄN</t>
        </is>
      </c>
      <c r="E326" t="inlineStr">
        <is>
          <t>ORSA</t>
        </is>
      </c>
      <c r="F326" t="inlineStr">
        <is>
          <t>Bergvik skog öst AB</t>
        </is>
      </c>
      <c r="G326" t="n">
        <v>4.3</v>
      </c>
      <c r="H326" t="n">
        <v>0</v>
      </c>
      <c r="I326" t="n">
        <v>0</v>
      </c>
      <c r="J326" t="n">
        <v>0</v>
      </c>
      <c r="K326" t="n">
        <v>0</v>
      </c>
      <c r="L326" t="n">
        <v>0</v>
      </c>
      <c r="M326" t="n">
        <v>0</v>
      </c>
      <c r="N326" t="n">
        <v>0</v>
      </c>
      <c r="O326" t="n">
        <v>0</v>
      </c>
      <c r="P326" t="n">
        <v>0</v>
      </c>
      <c r="Q326" t="n">
        <v>0</v>
      </c>
      <c r="R326" s="2" t="inlineStr"/>
    </row>
    <row r="327" ht="15" customHeight="1">
      <c r="A327" t="inlineStr">
        <is>
          <t>A 27542-2021</t>
        </is>
      </c>
      <c r="B327" s="1" t="n">
        <v>44351</v>
      </c>
      <c r="C327" s="1" t="n">
        <v>45994</v>
      </c>
      <c r="D327" t="inlineStr">
        <is>
          <t>DALARNAS LÄN</t>
        </is>
      </c>
      <c r="E327" t="inlineStr">
        <is>
          <t>ORSA</t>
        </is>
      </c>
      <c r="G327" t="n">
        <v>1</v>
      </c>
      <c r="H327" t="n">
        <v>0</v>
      </c>
      <c r="I327" t="n">
        <v>0</v>
      </c>
      <c r="J327" t="n">
        <v>0</v>
      </c>
      <c r="K327" t="n">
        <v>0</v>
      </c>
      <c r="L327" t="n">
        <v>0</v>
      </c>
      <c r="M327" t="n">
        <v>0</v>
      </c>
      <c r="N327" t="n">
        <v>0</v>
      </c>
      <c r="O327" t="n">
        <v>0</v>
      </c>
      <c r="P327" t="n">
        <v>0</v>
      </c>
      <c r="Q327" t="n">
        <v>0</v>
      </c>
      <c r="R327" s="2" t="inlineStr"/>
    </row>
    <row r="328" ht="15" customHeight="1">
      <c r="A328" t="inlineStr">
        <is>
          <t>A 23350-2024</t>
        </is>
      </c>
      <c r="B328" s="1" t="n">
        <v>45453</v>
      </c>
      <c r="C328" s="1" t="n">
        <v>45994</v>
      </c>
      <c r="D328" t="inlineStr">
        <is>
          <t>DALARNAS LÄN</t>
        </is>
      </c>
      <c r="E328" t="inlineStr">
        <is>
          <t>ORSA</t>
        </is>
      </c>
      <c r="G328" t="n">
        <v>18.7</v>
      </c>
      <c r="H328" t="n">
        <v>0</v>
      </c>
      <c r="I328" t="n">
        <v>0</v>
      </c>
      <c r="J328" t="n">
        <v>0</v>
      </c>
      <c r="K328" t="n">
        <v>0</v>
      </c>
      <c r="L328" t="n">
        <v>0</v>
      </c>
      <c r="M328" t="n">
        <v>0</v>
      </c>
      <c r="N328" t="n">
        <v>0</v>
      </c>
      <c r="O328" t="n">
        <v>0</v>
      </c>
      <c r="P328" t="n">
        <v>0</v>
      </c>
      <c r="Q328" t="n">
        <v>0</v>
      </c>
      <c r="R328" s="2" t="inlineStr"/>
    </row>
    <row r="329" ht="15" customHeight="1">
      <c r="A329" t="inlineStr">
        <is>
          <t>A 42238-2023</t>
        </is>
      </c>
      <c r="B329" s="1" t="n">
        <v>45180.34207175926</v>
      </c>
      <c r="C329" s="1" t="n">
        <v>45994</v>
      </c>
      <c r="D329" t="inlineStr">
        <is>
          <t>DALARNAS LÄN</t>
        </is>
      </c>
      <c r="E329" t="inlineStr">
        <is>
          <t>ORSA</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53703-2024</t>
        </is>
      </c>
      <c r="B330" s="1" t="n">
        <v>45615.3990162037</v>
      </c>
      <c r="C330" s="1" t="n">
        <v>45994</v>
      </c>
      <c r="D330" t="inlineStr">
        <is>
          <t>DALARNAS LÄN</t>
        </is>
      </c>
      <c r="E330" t="inlineStr">
        <is>
          <t>ORSA</t>
        </is>
      </c>
      <c r="G330" t="n">
        <v>1.4</v>
      </c>
      <c r="H330" t="n">
        <v>0</v>
      </c>
      <c r="I330" t="n">
        <v>0</v>
      </c>
      <c r="J330" t="n">
        <v>0</v>
      </c>
      <c r="K330" t="n">
        <v>0</v>
      </c>
      <c r="L330" t="n">
        <v>0</v>
      </c>
      <c r="M330" t="n">
        <v>0</v>
      </c>
      <c r="N330" t="n">
        <v>0</v>
      </c>
      <c r="O330" t="n">
        <v>0</v>
      </c>
      <c r="P330" t="n">
        <v>0</v>
      </c>
      <c r="Q330" t="n">
        <v>0</v>
      </c>
      <c r="R330" s="2" t="inlineStr"/>
    </row>
    <row r="331" ht="15" customHeight="1">
      <c r="A331" t="inlineStr">
        <is>
          <t>A 38672-2025</t>
        </is>
      </c>
      <c r="B331" s="1" t="n">
        <v>45884.63340277778</v>
      </c>
      <c r="C331" s="1" t="n">
        <v>45994</v>
      </c>
      <c r="D331" t="inlineStr">
        <is>
          <t>DALARNAS LÄN</t>
        </is>
      </c>
      <c r="E331" t="inlineStr">
        <is>
          <t>ORSA</t>
        </is>
      </c>
      <c r="G331" t="n">
        <v>4.6</v>
      </c>
      <c r="H331" t="n">
        <v>0</v>
      </c>
      <c r="I331" t="n">
        <v>0</v>
      </c>
      <c r="J331" t="n">
        <v>0</v>
      </c>
      <c r="K331" t="n">
        <v>0</v>
      </c>
      <c r="L331" t="n">
        <v>0</v>
      </c>
      <c r="M331" t="n">
        <v>0</v>
      </c>
      <c r="N331" t="n">
        <v>0</v>
      </c>
      <c r="O331" t="n">
        <v>0</v>
      </c>
      <c r="P331" t="n">
        <v>0</v>
      </c>
      <c r="Q331" t="n">
        <v>0</v>
      </c>
      <c r="R331" s="2" t="inlineStr"/>
    </row>
    <row r="332" ht="15" customHeight="1">
      <c r="A332" t="inlineStr">
        <is>
          <t>A 10832-2022</t>
        </is>
      </c>
      <c r="B332" s="1" t="n">
        <v>44627</v>
      </c>
      <c r="C332" s="1" t="n">
        <v>45994</v>
      </c>
      <c r="D332" t="inlineStr">
        <is>
          <t>DALARNAS LÄN</t>
        </is>
      </c>
      <c r="E332" t="inlineStr">
        <is>
          <t>ORSA</t>
        </is>
      </c>
      <c r="G332" t="n">
        <v>1.4</v>
      </c>
      <c r="H332" t="n">
        <v>0</v>
      </c>
      <c r="I332" t="n">
        <v>0</v>
      </c>
      <c r="J332" t="n">
        <v>0</v>
      </c>
      <c r="K332" t="n">
        <v>0</v>
      </c>
      <c r="L332" t="n">
        <v>0</v>
      </c>
      <c r="M332" t="n">
        <v>0</v>
      </c>
      <c r="N332" t="n">
        <v>0</v>
      </c>
      <c r="O332" t="n">
        <v>0</v>
      </c>
      <c r="P332" t="n">
        <v>0</v>
      </c>
      <c r="Q332" t="n">
        <v>0</v>
      </c>
      <c r="R332" s="2" t="inlineStr"/>
    </row>
    <row r="333" ht="15" customHeight="1">
      <c r="A333" t="inlineStr">
        <is>
          <t>A 38688-2025</t>
        </is>
      </c>
      <c r="B333" s="1" t="n">
        <v>45884.66097222222</v>
      </c>
      <c r="C333" s="1" t="n">
        <v>45994</v>
      </c>
      <c r="D333" t="inlineStr">
        <is>
          <t>DALARNAS LÄN</t>
        </is>
      </c>
      <c r="E333" t="inlineStr">
        <is>
          <t>ORSA</t>
        </is>
      </c>
      <c r="F333" t="inlineStr">
        <is>
          <t>Allmännings- och besparingsskogar</t>
        </is>
      </c>
      <c r="G333" t="n">
        <v>10.2</v>
      </c>
      <c r="H333" t="n">
        <v>0</v>
      </c>
      <c r="I333" t="n">
        <v>0</v>
      </c>
      <c r="J333" t="n">
        <v>0</v>
      </c>
      <c r="K333" t="n">
        <v>0</v>
      </c>
      <c r="L333" t="n">
        <v>0</v>
      </c>
      <c r="M333" t="n">
        <v>0</v>
      </c>
      <c r="N333" t="n">
        <v>0</v>
      </c>
      <c r="O333" t="n">
        <v>0</v>
      </c>
      <c r="P333" t="n">
        <v>0</v>
      </c>
      <c r="Q333" t="n">
        <v>0</v>
      </c>
      <c r="R333" s="2" t="inlineStr"/>
    </row>
    <row r="334" ht="15" customHeight="1">
      <c r="A334" t="inlineStr">
        <is>
          <t>A 36682-2024</t>
        </is>
      </c>
      <c r="B334" s="1" t="n">
        <v>45537.65519675926</v>
      </c>
      <c r="C334" s="1" t="n">
        <v>45994</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55701-2023</t>
        </is>
      </c>
      <c r="B335" s="1" t="n">
        <v>45239.37113425926</v>
      </c>
      <c r="C335" s="1" t="n">
        <v>45994</v>
      </c>
      <c r="D335" t="inlineStr">
        <is>
          <t>DALARNAS LÄN</t>
        </is>
      </c>
      <c r="E335" t="inlineStr">
        <is>
          <t>ORSA</t>
        </is>
      </c>
      <c r="G335" t="n">
        <v>1.7</v>
      </c>
      <c r="H335" t="n">
        <v>0</v>
      </c>
      <c r="I335" t="n">
        <v>0</v>
      </c>
      <c r="J335" t="n">
        <v>0</v>
      </c>
      <c r="K335" t="n">
        <v>0</v>
      </c>
      <c r="L335" t="n">
        <v>0</v>
      </c>
      <c r="M335" t="n">
        <v>0</v>
      </c>
      <c r="N335" t="n">
        <v>0</v>
      </c>
      <c r="O335" t="n">
        <v>0</v>
      </c>
      <c r="P335" t="n">
        <v>0</v>
      </c>
      <c r="Q335" t="n">
        <v>0</v>
      </c>
      <c r="R335" s="2" t="inlineStr"/>
    </row>
    <row r="336" ht="15" customHeight="1">
      <c r="A336" t="inlineStr">
        <is>
          <t>A 49814-2023</t>
        </is>
      </c>
      <c r="B336" s="1" t="n">
        <v>45212.67149305555</v>
      </c>
      <c r="C336" s="1" t="n">
        <v>45994</v>
      </c>
      <c r="D336" t="inlineStr">
        <is>
          <t>DALARNAS LÄN</t>
        </is>
      </c>
      <c r="E336" t="inlineStr">
        <is>
          <t>ORSA</t>
        </is>
      </c>
      <c r="G336" t="n">
        <v>0.7</v>
      </c>
      <c r="H336" t="n">
        <v>0</v>
      </c>
      <c r="I336" t="n">
        <v>0</v>
      </c>
      <c r="J336" t="n">
        <v>0</v>
      </c>
      <c r="K336" t="n">
        <v>0</v>
      </c>
      <c r="L336" t="n">
        <v>0</v>
      </c>
      <c r="M336" t="n">
        <v>0</v>
      </c>
      <c r="N336" t="n">
        <v>0</v>
      </c>
      <c r="O336" t="n">
        <v>0</v>
      </c>
      <c r="P336" t="n">
        <v>0</v>
      </c>
      <c r="Q336" t="n">
        <v>0</v>
      </c>
      <c r="R336" s="2" t="inlineStr"/>
    </row>
    <row r="337" ht="15" customHeight="1">
      <c r="A337" t="inlineStr">
        <is>
          <t>A 24235-2025</t>
        </is>
      </c>
      <c r="B337" s="1" t="n">
        <v>45797.38252314815</v>
      </c>
      <c r="C337" s="1" t="n">
        <v>45994</v>
      </c>
      <c r="D337" t="inlineStr">
        <is>
          <t>DALARNAS LÄN</t>
        </is>
      </c>
      <c r="E337" t="inlineStr">
        <is>
          <t>ORSA</t>
        </is>
      </c>
      <c r="G337" t="n">
        <v>3.1</v>
      </c>
      <c r="H337" t="n">
        <v>0</v>
      </c>
      <c r="I337" t="n">
        <v>0</v>
      </c>
      <c r="J337" t="n">
        <v>0</v>
      </c>
      <c r="K337" t="n">
        <v>0</v>
      </c>
      <c r="L337" t="n">
        <v>0</v>
      </c>
      <c r="M337" t="n">
        <v>0</v>
      </c>
      <c r="N337" t="n">
        <v>0</v>
      </c>
      <c r="O337" t="n">
        <v>0</v>
      </c>
      <c r="P337" t="n">
        <v>0</v>
      </c>
      <c r="Q337" t="n">
        <v>0</v>
      </c>
      <c r="R337" s="2" t="inlineStr"/>
    </row>
    <row r="338" ht="15" customHeight="1">
      <c r="A338" t="inlineStr">
        <is>
          <t>A 25591-2022</t>
        </is>
      </c>
      <c r="B338" s="1" t="n">
        <v>44732.67958333333</v>
      </c>
      <c r="C338" s="1" t="n">
        <v>45994</v>
      </c>
      <c r="D338" t="inlineStr">
        <is>
          <t>DALARNAS LÄN</t>
        </is>
      </c>
      <c r="E338" t="inlineStr">
        <is>
          <t>ORSA</t>
        </is>
      </c>
      <c r="G338" t="n">
        <v>6</v>
      </c>
      <c r="H338" t="n">
        <v>0</v>
      </c>
      <c r="I338" t="n">
        <v>0</v>
      </c>
      <c r="J338" t="n">
        <v>0</v>
      </c>
      <c r="K338" t="n">
        <v>0</v>
      </c>
      <c r="L338" t="n">
        <v>0</v>
      </c>
      <c r="M338" t="n">
        <v>0</v>
      </c>
      <c r="N338" t="n">
        <v>0</v>
      </c>
      <c r="O338" t="n">
        <v>0</v>
      </c>
      <c r="P338" t="n">
        <v>0</v>
      </c>
      <c r="Q338" t="n">
        <v>0</v>
      </c>
      <c r="R338" s="2" t="inlineStr"/>
    </row>
    <row r="339" ht="15" customHeight="1">
      <c r="A339" t="inlineStr">
        <is>
          <t>A 67189-2020</t>
        </is>
      </c>
      <c r="B339" s="1" t="n">
        <v>44180</v>
      </c>
      <c r="C339" s="1" t="n">
        <v>45994</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31172-2023</t>
        </is>
      </c>
      <c r="B340" s="1" t="n">
        <v>45113.8637037037</v>
      </c>
      <c r="C340" s="1" t="n">
        <v>45994</v>
      </c>
      <c r="D340" t="inlineStr">
        <is>
          <t>DALARNAS LÄN</t>
        </is>
      </c>
      <c r="E340" t="inlineStr">
        <is>
          <t>ORSA</t>
        </is>
      </c>
      <c r="G340" t="n">
        <v>2.9</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44910.36798611111</v>
      </c>
      <c r="C341" s="1" t="n">
        <v>45994</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38840-2025</t>
        </is>
      </c>
      <c r="B342" s="1" t="n">
        <v>45887.5375</v>
      </c>
      <c r="C342" s="1" t="n">
        <v>45994</v>
      </c>
      <c r="D342" t="inlineStr">
        <is>
          <t>DALARNAS LÄN</t>
        </is>
      </c>
      <c r="E342" t="inlineStr">
        <is>
          <t>ORSA</t>
        </is>
      </c>
      <c r="G342" t="n">
        <v>1.5</v>
      </c>
      <c r="H342" t="n">
        <v>0</v>
      </c>
      <c r="I342" t="n">
        <v>0</v>
      </c>
      <c r="J342" t="n">
        <v>0</v>
      </c>
      <c r="K342" t="n">
        <v>0</v>
      </c>
      <c r="L342" t="n">
        <v>0</v>
      </c>
      <c r="M342" t="n">
        <v>0</v>
      </c>
      <c r="N342" t="n">
        <v>0</v>
      </c>
      <c r="O342" t="n">
        <v>0</v>
      </c>
      <c r="P342" t="n">
        <v>0</v>
      </c>
      <c r="Q342" t="n">
        <v>0</v>
      </c>
      <c r="R342" s="2" t="inlineStr"/>
    </row>
    <row r="343" ht="15" customHeight="1">
      <c r="A343" t="inlineStr">
        <is>
          <t>A 19108-2025</t>
        </is>
      </c>
      <c r="B343" s="1" t="n">
        <v>45768</v>
      </c>
      <c r="C343" s="1" t="n">
        <v>45994</v>
      </c>
      <c r="D343" t="inlineStr">
        <is>
          <t>DALARNAS LÄN</t>
        </is>
      </c>
      <c r="E343" t="inlineStr">
        <is>
          <t>ORSA</t>
        </is>
      </c>
      <c r="F343" t="inlineStr">
        <is>
          <t>Bergvik skog väst AB</t>
        </is>
      </c>
      <c r="G343" t="n">
        <v>14.3</v>
      </c>
      <c r="H343" t="n">
        <v>0</v>
      </c>
      <c r="I343" t="n">
        <v>0</v>
      </c>
      <c r="J343" t="n">
        <v>0</v>
      </c>
      <c r="K343" t="n">
        <v>0</v>
      </c>
      <c r="L343" t="n">
        <v>0</v>
      </c>
      <c r="M343" t="n">
        <v>0</v>
      </c>
      <c r="N343" t="n">
        <v>0</v>
      </c>
      <c r="O343" t="n">
        <v>0</v>
      </c>
      <c r="P343" t="n">
        <v>0</v>
      </c>
      <c r="Q343" t="n">
        <v>0</v>
      </c>
      <c r="R343" s="2" t="inlineStr"/>
    </row>
    <row r="344" ht="15" customHeight="1">
      <c r="A344" t="inlineStr">
        <is>
          <t>A 52649-2024</t>
        </is>
      </c>
      <c r="B344" s="1" t="n">
        <v>45610.3468287037</v>
      </c>
      <c r="C344" s="1" t="n">
        <v>45994</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52925-2024</t>
        </is>
      </c>
      <c r="B345" s="1" t="n">
        <v>45610.73276620371</v>
      </c>
      <c r="C345" s="1" t="n">
        <v>45994</v>
      </c>
      <c r="D345" t="inlineStr">
        <is>
          <t>DALARNAS LÄN</t>
        </is>
      </c>
      <c r="E345" t="inlineStr">
        <is>
          <t>ORSA</t>
        </is>
      </c>
      <c r="F345" t="inlineStr">
        <is>
          <t>Allmännings- och besparingsskogar</t>
        </is>
      </c>
      <c r="G345" t="n">
        <v>2.5</v>
      </c>
      <c r="H345" t="n">
        <v>0</v>
      </c>
      <c r="I345" t="n">
        <v>0</v>
      </c>
      <c r="J345" t="n">
        <v>0</v>
      </c>
      <c r="K345" t="n">
        <v>0</v>
      </c>
      <c r="L345" t="n">
        <v>0</v>
      </c>
      <c r="M345" t="n">
        <v>0</v>
      </c>
      <c r="N345" t="n">
        <v>0</v>
      </c>
      <c r="O345" t="n">
        <v>0</v>
      </c>
      <c r="P345" t="n">
        <v>0</v>
      </c>
      <c r="Q345" t="n">
        <v>0</v>
      </c>
      <c r="R345" s="2" t="inlineStr"/>
    </row>
    <row r="346" ht="15" customHeight="1">
      <c r="A346" t="inlineStr">
        <is>
          <t>A 6476-2025</t>
        </is>
      </c>
      <c r="B346" s="1" t="n">
        <v>45699</v>
      </c>
      <c r="C346" s="1" t="n">
        <v>45994</v>
      </c>
      <c r="D346" t="inlineStr">
        <is>
          <t>DALARNAS LÄN</t>
        </is>
      </c>
      <c r="E346" t="inlineStr">
        <is>
          <t>ORSA</t>
        </is>
      </c>
      <c r="G346" t="n">
        <v>1.2</v>
      </c>
      <c r="H346" t="n">
        <v>0</v>
      </c>
      <c r="I346" t="n">
        <v>0</v>
      </c>
      <c r="J346" t="n">
        <v>0</v>
      </c>
      <c r="K346" t="n">
        <v>0</v>
      </c>
      <c r="L346" t="n">
        <v>0</v>
      </c>
      <c r="M346" t="n">
        <v>0</v>
      </c>
      <c r="N346" t="n">
        <v>0</v>
      </c>
      <c r="O346" t="n">
        <v>0</v>
      </c>
      <c r="P346" t="n">
        <v>0</v>
      </c>
      <c r="Q346" t="n">
        <v>0</v>
      </c>
      <c r="R346" s="2" t="inlineStr"/>
    </row>
    <row r="347" ht="15" customHeight="1">
      <c r="A347" t="inlineStr">
        <is>
          <t>A 6479-2025</t>
        </is>
      </c>
      <c r="B347" s="1" t="n">
        <v>45699</v>
      </c>
      <c r="C347" s="1" t="n">
        <v>45994</v>
      </c>
      <c r="D347" t="inlineStr">
        <is>
          <t>DALARNAS LÄN</t>
        </is>
      </c>
      <c r="E347" t="inlineStr">
        <is>
          <t>ORSA</t>
        </is>
      </c>
      <c r="G347" t="n">
        <v>3.2</v>
      </c>
      <c r="H347" t="n">
        <v>0</v>
      </c>
      <c r="I347" t="n">
        <v>0</v>
      </c>
      <c r="J347" t="n">
        <v>0</v>
      </c>
      <c r="K347" t="n">
        <v>0</v>
      </c>
      <c r="L347" t="n">
        <v>0</v>
      </c>
      <c r="M347" t="n">
        <v>0</v>
      </c>
      <c r="N347" t="n">
        <v>0</v>
      </c>
      <c r="O347" t="n">
        <v>0</v>
      </c>
      <c r="P347" t="n">
        <v>0</v>
      </c>
      <c r="Q347" t="n">
        <v>0</v>
      </c>
      <c r="R347" s="2" t="inlineStr"/>
    </row>
    <row r="348" ht="15" customHeight="1">
      <c r="A348" t="inlineStr">
        <is>
          <t>A 30751-2025</t>
        </is>
      </c>
      <c r="B348" s="1" t="n">
        <v>45831.58921296296</v>
      </c>
      <c r="C348" s="1" t="n">
        <v>45994</v>
      </c>
      <c r="D348" t="inlineStr">
        <is>
          <t>DALARNAS LÄN</t>
        </is>
      </c>
      <c r="E348" t="inlineStr">
        <is>
          <t>ORSA</t>
        </is>
      </c>
      <c r="G348" t="n">
        <v>5.2</v>
      </c>
      <c r="H348" t="n">
        <v>0</v>
      </c>
      <c r="I348" t="n">
        <v>0</v>
      </c>
      <c r="J348" t="n">
        <v>0</v>
      </c>
      <c r="K348" t="n">
        <v>0</v>
      </c>
      <c r="L348" t="n">
        <v>0</v>
      </c>
      <c r="M348" t="n">
        <v>0</v>
      </c>
      <c r="N348" t="n">
        <v>0</v>
      </c>
      <c r="O348" t="n">
        <v>0</v>
      </c>
      <c r="P348" t="n">
        <v>0</v>
      </c>
      <c r="Q348" t="n">
        <v>0</v>
      </c>
      <c r="R348" s="2" t="inlineStr"/>
    </row>
    <row r="349" ht="15" customHeight="1">
      <c r="A349" t="inlineStr">
        <is>
          <t>A 56807-2024</t>
        </is>
      </c>
      <c r="B349" s="1" t="n">
        <v>45628.47519675926</v>
      </c>
      <c r="C349" s="1" t="n">
        <v>45994</v>
      </c>
      <c r="D349" t="inlineStr">
        <is>
          <t>DALARNAS LÄN</t>
        </is>
      </c>
      <c r="E349" t="inlineStr">
        <is>
          <t>ORSA</t>
        </is>
      </c>
      <c r="G349" t="n">
        <v>1.9</v>
      </c>
      <c r="H349" t="n">
        <v>0</v>
      </c>
      <c r="I349" t="n">
        <v>0</v>
      </c>
      <c r="J349" t="n">
        <v>0</v>
      </c>
      <c r="K349" t="n">
        <v>0</v>
      </c>
      <c r="L349" t="n">
        <v>0</v>
      </c>
      <c r="M349" t="n">
        <v>0</v>
      </c>
      <c r="N349" t="n">
        <v>0</v>
      </c>
      <c r="O349" t="n">
        <v>0</v>
      </c>
      <c r="P349" t="n">
        <v>0</v>
      </c>
      <c r="Q349" t="n">
        <v>0</v>
      </c>
      <c r="R349" s="2" t="inlineStr"/>
    </row>
    <row r="350" ht="15" customHeight="1">
      <c r="A350" t="inlineStr">
        <is>
          <t>A 1304-2024</t>
        </is>
      </c>
      <c r="B350" s="1" t="n">
        <v>45303</v>
      </c>
      <c r="C350" s="1" t="n">
        <v>45994</v>
      </c>
      <c r="D350" t="inlineStr">
        <is>
          <t>DALARNAS LÄN</t>
        </is>
      </c>
      <c r="E350" t="inlineStr">
        <is>
          <t>ORSA</t>
        </is>
      </c>
      <c r="G350" t="n">
        <v>3.8</v>
      </c>
      <c r="H350" t="n">
        <v>0</v>
      </c>
      <c r="I350" t="n">
        <v>0</v>
      </c>
      <c r="J350" t="n">
        <v>0</v>
      </c>
      <c r="K350" t="n">
        <v>0</v>
      </c>
      <c r="L350" t="n">
        <v>0</v>
      </c>
      <c r="M350" t="n">
        <v>0</v>
      </c>
      <c r="N350" t="n">
        <v>0</v>
      </c>
      <c r="O350" t="n">
        <v>0</v>
      </c>
      <c r="P350" t="n">
        <v>0</v>
      </c>
      <c r="Q350" t="n">
        <v>0</v>
      </c>
      <c r="R350" s="2" t="inlineStr"/>
    </row>
    <row r="351" ht="15" customHeight="1">
      <c r="A351" t="inlineStr">
        <is>
          <t>A 40070-2025</t>
        </is>
      </c>
      <c r="B351" s="1" t="n">
        <v>45894.44197916667</v>
      </c>
      <c r="C351" s="1" t="n">
        <v>45994</v>
      </c>
      <c r="D351" t="inlineStr">
        <is>
          <t>DALARNAS LÄN</t>
        </is>
      </c>
      <c r="E351" t="inlineStr">
        <is>
          <t>ORSA</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51289-2023</t>
        </is>
      </c>
      <c r="B352" s="1" t="n">
        <v>45219.54077546296</v>
      </c>
      <c r="C352" s="1" t="n">
        <v>45994</v>
      </c>
      <c r="D352" t="inlineStr">
        <is>
          <t>DALARNAS LÄN</t>
        </is>
      </c>
      <c r="E352" t="inlineStr">
        <is>
          <t>ORSA</t>
        </is>
      </c>
      <c r="G352" t="n">
        <v>1.5</v>
      </c>
      <c r="H352" t="n">
        <v>0</v>
      </c>
      <c r="I352" t="n">
        <v>0</v>
      </c>
      <c r="J352" t="n">
        <v>0</v>
      </c>
      <c r="K352" t="n">
        <v>0</v>
      </c>
      <c r="L352" t="n">
        <v>0</v>
      </c>
      <c r="M352" t="n">
        <v>0</v>
      </c>
      <c r="N352" t="n">
        <v>0</v>
      </c>
      <c r="O352" t="n">
        <v>0</v>
      </c>
      <c r="P352" t="n">
        <v>0</v>
      </c>
      <c r="Q352" t="n">
        <v>0</v>
      </c>
      <c r="R352" s="2" t="inlineStr"/>
    </row>
    <row r="353" ht="15" customHeight="1">
      <c r="A353" t="inlineStr">
        <is>
          <t>A 52643-2024</t>
        </is>
      </c>
      <c r="B353" s="1" t="n">
        <v>45610.34175925926</v>
      </c>
      <c r="C353" s="1" t="n">
        <v>45994</v>
      </c>
      <c r="D353" t="inlineStr">
        <is>
          <t>DALARNAS LÄN</t>
        </is>
      </c>
      <c r="E353" t="inlineStr">
        <is>
          <t>ORSA</t>
        </is>
      </c>
      <c r="G353" t="n">
        <v>1.5</v>
      </c>
      <c r="H353" t="n">
        <v>0</v>
      </c>
      <c r="I353" t="n">
        <v>0</v>
      </c>
      <c r="J353" t="n">
        <v>0</v>
      </c>
      <c r="K353" t="n">
        <v>0</v>
      </c>
      <c r="L353" t="n">
        <v>0</v>
      </c>
      <c r="M353" t="n">
        <v>0</v>
      </c>
      <c r="N353" t="n">
        <v>0</v>
      </c>
      <c r="O353" t="n">
        <v>0</v>
      </c>
      <c r="P353" t="n">
        <v>0</v>
      </c>
      <c r="Q353" t="n">
        <v>0</v>
      </c>
      <c r="R353" s="2" t="inlineStr"/>
    </row>
    <row r="354" ht="15" customHeight="1">
      <c r="A354" t="inlineStr">
        <is>
          <t>A 40111-2025</t>
        </is>
      </c>
      <c r="B354" s="1" t="n">
        <v>45894.49417824074</v>
      </c>
      <c r="C354" s="1" t="n">
        <v>45994</v>
      </c>
      <c r="D354" t="inlineStr">
        <is>
          <t>DALARNAS LÄN</t>
        </is>
      </c>
      <c r="E354" t="inlineStr">
        <is>
          <t>ORSA</t>
        </is>
      </c>
      <c r="F354" t="inlineStr">
        <is>
          <t>Allmännings- och besparingsskogar</t>
        </is>
      </c>
      <c r="G354" t="n">
        <v>18.6</v>
      </c>
      <c r="H354" t="n">
        <v>0</v>
      </c>
      <c r="I354" t="n">
        <v>0</v>
      </c>
      <c r="J354" t="n">
        <v>0</v>
      </c>
      <c r="K354" t="n">
        <v>0</v>
      </c>
      <c r="L354" t="n">
        <v>0</v>
      </c>
      <c r="M354" t="n">
        <v>0</v>
      </c>
      <c r="N354" t="n">
        <v>0</v>
      </c>
      <c r="O354" t="n">
        <v>0</v>
      </c>
      <c r="P354" t="n">
        <v>0</v>
      </c>
      <c r="Q354" t="n">
        <v>0</v>
      </c>
      <c r="R354" s="2" t="inlineStr"/>
    </row>
    <row r="355" ht="15" customHeight="1">
      <c r="A355" t="inlineStr">
        <is>
          <t>A 47732-2021</t>
        </is>
      </c>
      <c r="B355" s="1" t="n">
        <v>44448.52815972222</v>
      </c>
      <c r="C355" s="1" t="n">
        <v>45994</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40127-2025</t>
        </is>
      </c>
      <c r="B356" s="1" t="n">
        <v>45894.53300925926</v>
      </c>
      <c r="C356" s="1" t="n">
        <v>45994</v>
      </c>
      <c r="D356" t="inlineStr">
        <is>
          <t>DALARNAS LÄN</t>
        </is>
      </c>
      <c r="E356" t="inlineStr">
        <is>
          <t>ORSA</t>
        </is>
      </c>
      <c r="F356" t="inlineStr">
        <is>
          <t>Allmännings- och besparingsskogar</t>
        </is>
      </c>
      <c r="G356" t="n">
        <v>17.4</v>
      </c>
      <c r="H356" t="n">
        <v>0</v>
      </c>
      <c r="I356" t="n">
        <v>0</v>
      </c>
      <c r="J356" t="n">
        <v>0</v>
      </c>
      <c r="K356" t="n">
        <v>0</v>
      </c>
      <c r="L356" t="n">
        <v>0</v>
      </c>
      <c r="M356" t="n">
        <v>0</v>
      </c>
      <c r="N356" t="n">
        <v>0</v>
      </c>
      <c r="O356" t="n">
        <v>0</v>
      </c>
      <c r="P356" t="n">
        <v>0</v>
      </c>
      <c r="Q356" t="n">
        <v>0</v>
      </c>
      <c r="R356" s="2" t="inlineStr"/>
    </row>
    <row r="357" ht="15" customHeight="1">
      <c r="A357" t="inlineStr">
        <is>
          <t>A 31170-2023</t>
        </is>
      </c>
      <c r="B357" s="1" t="n">
        <v>45113.84923611111</v>
      </c>
      <c r="C357" s="1" t="n">
        <v>45994</v>
      </c>
      <c r="D357" t="inlineStr">
        <is>
          <t>DALARNAS LÄN</t>
        </is>
      </c>
      <c r="E357" t="inlineStr">
        <is>
          <t>ORSA</t>
        </is>
      </c>
      <c r="G357" t="n">
        <v>2.1</v>
      </c>
      <c r="H357" t="n">
        <v>0</v>
      </c>
      <c r="I357" t="n">
        <v>0</v>
      </c>
      <c r="J357" t="n">
        <v>0</v>
      </c>
      <c r="K357" t="n">
        <v>0</v>
      </c>
      <c r="L357" t="n">
        <v>0</v>
      </c>
      <c r="M357" t="n">
        <v>0</v>
      </c>
      <c r="N357" t="n">
        <v>0</v>
      </c>
      <c r="O357" t="n">
        <v>0</v>
      </c>
      <c r="P357" t="n">
        <v>0</v>
      </c>
      <c r="Q357" t="n">
        <v>0</v>
      </c>
      <c r="R357" s="2" t="inlineStr"/>
    </row>
    <row r="358" ht="15" customHeight="1">
      <c r="A358" t="inlineStr">
        <is>
          <t>A 31171-2023</t>
        </is>
      </c>
      <c r="B358" s="1" t="n">
        <v>45113.85704861111</v>
      </c>
      <c r="C358" s="1" t="n">
        <v>45994</v>
      </c>
      <c r="D358" t="inlineStr">
        <is>
          <t>DALARNAS LÄN</t>
        </is>
      </c>
      <c r="E358" t="inlineStr">
        <is>
          <t>ORSA</t>
        </is>
      </c>
      <c r="G358" t="n">
        <v>1.4</v>
      </c>
      <c r="H358" t="n">
        <v>0</v>
      </c>
      <c r="I358" t="n">
        <v>0</v>
      </c>
      <c r="J358" t="n">
        <v>0</v>
      </c>
      <c r="K358" t="n">
        <v>0</v>
      </c>
      <c r="L358" t="n">
        <v>0</v>
      </c>
      <c r="M358" t="n">
        <v>0</v>
      </c>
      <c r="N358" t="n">
        <v>0</v>
      </c>
      <c r="O358" t="n">
        <v>0</v>
      </c>
      <c r="P358" t="n">
        <v>0</v>
      </c>
      <c r="Q358" t="n">
        <v>0</v>
      </c>
      <c r="R358" s="2" t="inlineStr"/>
    </row>
    <row r="359" ht="15" customHeight="1">
      <c r="A359" t="inlineStr">
        <is>
          <t>A 40101-2024</t>
        </is>
      </c>
      <c r="B359" s="1" t="n">
        <v>45554.42622685185</v>
      </c>
      <c r="C359" s="1" t="n">
        <v>45994</v>
      </c>
      <c r="D359" t="inlineStr">
        <is>
          <t>DALARNAS LÄN</t>
        </is>
      </c>
      <c r="E359" t="inlineStr">
        <is>
          <t>ORSA</t>
        </is>
      </c>
      <c r="G359" t="n">
        <v>1.3</v>
      </c>
      <c r="H359" t="n">
        <v>0</v>
      </c>
      <c r="I359" t="n">
        <v>0</v>
      </c>
      <c r="J359" t="n">
        <v>0</v>
      </c>
      <c r="K359" t="n">
        <v>0</v>
      </c>
      <c r="L359" t="n">
        <v>0</v>
      </c>
      <c r="M359" t="n">
        <v>0</v>
      </c>
      <c r="N359" t="n">
        <v>0</v>
      </c>
      <c r="O359" t="n">
        <v>0</v>
      </c>
      <c r="P359" t="n">
        <v>0</v>
      </c>
      <c r="Q359" t="n">
        <v>0</v>
      </c>
      <c r="R359" s="2" t="inlineStr"/>
    </row>
    <row r="360" ht="15" customHeight="1">
      <c r="A360" t="inlineStr">
        <is>
          <t>A 40091-2025</t>
        </is>
      </c>
      <c r="B360" s="1" t="n">
        <v>45894.47822916666</v>
      </c>
      <c r="C360" s="1" t="n">
        <v>45994</v>
      </c>
      <c r="D360" t="inlineStr">
        <is>
          <t>DALARNAS LÄN</t>
        </is>
      </c>
      <c r="E360" t="inlineStr">
        <is>
          <t>ORSA</t>
        </is>
      </c>
      <c r="F360" t="inlineStr">
        <is>
          <t>Allmännings- och besparingsskogar</t>
        </is>
      </c>
      <c r="G360" t="n">
        <v>20.4</v>
      </c>
      <c r="H360" t="n">
        <v>0</v>
      </c>
      <c r="I360" t="n">
        <v>0</v>
      </c>
      <c r="J360" t="n">
        <v>0</v>
      </c>
      <c r="K360" t="n">
        <v>0</v>
      </c>
      <c r="L360" t="n">
        <v>0</v>
      </c>
      <c r="M360" t="n">
        <v>0</v>
      </c>
      <c r="N360" t="n">
        <v>0</v>
      </c>
      <c r="O360" t="n">
        <v>0</v>
      </c>
      <c r="P360" t="n">
        <v>0</v>
      </c>
      <c r="Q360" t="n">
        <v>0</v>
      </c>
      <c r="R360" s="2" t="inlineStr"/>
    </row>
    <row r="361" ht="15" customHeight="1">
      <c r="A361" t="inlineStr">
        <is>
          <t>A 40577-2025</t>
        </is>
      </c>
      <c r="B361" s="1" t="n">
        <v>45896.51028935185</v>
      </c>
      <c r="C361" s="1" t="n">
        <v>45994</v>
      </c>
      <c r="D361" t="inlineStr">
        <is>
          <t>DALARNAS LÄN</t>
        </is>
      </c>
      <c r="E361" t="inlineStr">
        <is>
          <t>ORSA</t>
        </is>
      </c>
      <c r="F361" t="inlineStr">
        <is>
          <t>Allmännings- och besparingsskogar</t>
        </is>
      </c>
      <c r="G361" t="n">
        <v>13.8</v>
      </c>
      <c r="H361" t="n">
        <v>0</v>
      </c>
      <c r="I361" t="n">
        <v>0</v>
      </c>
      <c r="J361" t="n">
        <v>0</v>
      </c>
      <c r="K361" t="n">
        <v>0</v>
      </c>
      <c r="L361" t="n">
        <v>0</v>
      </c>
      <c r="M361" t="n">
        <v>0</v>
      </c>
      <c r="N361" t="n">
        <v>0</v>
      </c>
      <c r="O361" t="n">
        <v>0</v>
      </c>
      <c r="P361" t="n">
        <v>0</v>
      </c>
      <c r="Q361" t="n">
        <v>0</v>
      </c>
      <c r="R361" s="2" t="inlineStr"/>
    </row>
    <row r="362" ht="15" customHeight="1">
      <c r="A362" t="inlineStr">
        <is>
          <t>A 23339-2024</t>
        </is>
      </c>
      <c r="B362" s="1" t="n">
        <v>45453.48988425926</v>
      </c>
      <c r="C362" s="1" t="n">
        <v>45994</v>
      </c>
      <c r="D362" t="inlineStr">
        <is>
          <t>DALARNAS LÄN</t>
        </is>
      </c>
      <c r="E362" t="inlineStr">
        <is>
          <t>ORSA</t>
        </is>
      </c>
      <c r="G362" t="n">
        <v>3.8</v>
      </c>
      <c r="H362" t="n">
        <v>0</v>
      </c>
      <c r="I362" t="n">
        <v>0</v>
      </c>
      <c r="J362" t="n">
        <v>0</v>
      </c>
      <c r="K362" t="n">
        <v>0</v>
      </c>
      <c r="L362" t="n">
        <v>0</v>
      </c>
      <c r="M362" t="n">
        <v>0</v>
      </c>
      <c r="N362" t="n">
        <v>0</v>
      </c>
      <c r="O362" t="n">
        <v>0</v>
      </c>
      <c r="P362" t="n">
        <v>0</v>
      </c>
      <c r="Q362" t="n">
        <v>0</v>
      </c>
      <c r="R362" s="2" t="inlineStr"/>
    </row>
    <row r="363" ht="15" customHeight="1">
      <c r="A363" t="inlineStr">
        <is>
          <t>A 37647-2023</t>
        </is>
      </c>
      <c r="B363" s="1" t="n">
        <v>45159</v>
      </c>
      <c r="C363" s="1" t="n">
        <v>45994</v>
      </c>
      <c r="D363" t="inlineStr">
        <is>
          <t>DALARNAS LÄN</t>
        </is>
      </c>
      <c r="E363" t="inlineStr">
        <is>
          <t>ORSA</t>
        </is>
      </c>
      <c r="F363" t="inlineStr">
        <is>
          <t>Allmännings- och besparingsskogar</t>
        </is>
      </c>
      <c r="G363" t="n">
        <v>2.1</v>
      </c>
      <c r="H363" t="n">
        <v>0</v>
      </c>
      <c r="I363" t="n">
        <v>0</v>
      </c>
      <c r="J363" t="n">
        <v>0</v>
      </c>
      <c r="K363" t="n">
        <v>0</v>
      </c>
      <c r="L363" t="n">
        <v>0</v>
      </c>
      <c r="M363" t="n">
        <v>0</v>
      </c>
      <c r="N363" t="n">
        <v>0</v>
      </c>
      <c r="O363" t="n">
        <v>0</v>
      </c>
      <c r="P363" t="n">
        <v>0</v>
      </c>
      <c r="Q363" t="n">
        <v>0</v>
      </c>
      <c r="R363" s="2" t="inlineStr"/>
    </row>
    <row r="364" ht="15" customHeight="1">
      <c r="A364" t="inlineStr">
        <is>
          <t>A 17503-2025</t>
        </is>
      </c>
      <c r="B364" s="1" t="n">
        <v>45757.55321759259</v>
      </c>
      <c r="C364" s="1" t="n">
        <v>45994</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37830-2024</t>
        </is>
      </c>
      <c r="B365" s="1" t="n">
        <v>45544.34504629629</v>
      </c>
      <c r="C365" s="1" t="n">
        <v>45994</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21905-2022</t>
        </is>
      </c>
      <c r="B366" s="1" t="n">
        <v>44711</v>
      </c>
      <c r="C366" s="1" t="n">
        <v>45994</v>
      </c>
      <c r="D366" t="inlineStr">
        <is>
          <t>DALARNAS LÄN</t>
        </is>
      </c>
      <c r="E366" t="inlineStr">
        <is>
          <t>ORSA</t>
        </is>
      </c>
      <c r="F366" t="inlineStr">
        <is>
          <t>Allmännings- och besparingsskogar</t>
        </is>
      </c>
      <c r="G366" t="n">
        <v>3.1</v>
      </c>
      <c r="H366" t="n">
        <v>0</v>
      </c>
      <c r="I366" t="n">
        <v>0</v>
      </c>
      <c r="J366" t="n">
        <v>0</v>
      </c>
      <c r="K366" t="n">
        <v>0</v>
      </c>
      <c r="L366" t="n">
        <v>0</v>
      </c>
      <c r="M366" t="n">
        <v>0</v>
      </c>
      <c r="N366" t="n">
        <v>0</v>
      </c>
      <c r="O366" t="n">
        <v>0</v>
      </c>
      <c r="P366" t="n">
        <v>0</v>
      </c>
      <c r="Q366" t="n">
        <v>0</v>
      </c>
      <c r="R366" s="2" t="inlineStr"/>
    </row>
    <row r="367" ht="15" customHeight="1">
      <c r="A367" t="inlineStr">
        <is>
          <t>A 48516-2024</t>
        </is>
      </c>
      <c r="B367" s="1" t="n">
        <v>45593.31292824074</v>
      </c>
      <c r="C367" s="1" t="n">
        <v>45994</v>
      </c>
      <c r="D367" t="inlineStr">
        <is>
          <t>DALARNAS LÄN</t>
        </is>
      </c>
      <c r="E367" t="inlineStr">
        <is>
          <t>ORSA</t>
        </is>
      </c>
      <c r="G367" t="n">
        <v>3.3</v>
      </c>
      <c r="H367" t="n">
        <v>0</v>
      </c>
      <c r="I367" t="n">
        <v>0</v>
      </c>
      <c r="J367" t="n">
        <v>0</v>
      </c>
      <c r="K367" t="n">
        <v>0</v>
      </c>
      <c r="L367" t="n">
        <v>0</v>
      </c>
      <c r="M367" t="n">
        <v>0</v>
      </c>
      <c r="N367" t="n">
        <v>0</v>
      </c>
      <c r="O367" t="n">
        <v>0</v>
      </c>
      <c r="P367" t="n">
        <v>0</v>
      </c>
      <c r="Q367" t="n">
        <v>0</v>
      </c>
      <c r="R367" s="2" t="inlineStr"/>
    </row>
    <row r="368" ht="15" customHeight="1">
      <c r="A368" t="inlineStr">
        <is>
          <t>A 48521-2024</t>
        </is>
      </c>
      <c r="B368" s="1" t="n">
        <v>45593.32871527778</v>
      </c>
      <c r="C368" s="1" t="n">
        <v>45994</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48525-2024</t>
        </is>
      </c>
      <c r="B369" s="1" t="n">
        <v>45593.33947916667</v>
      </c>
      <c r="C369" s="1" t="n">
        <v>45994</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31026-2023</t>
        </is>
      </c>
      <c r="B370" s="1" t="n">
        <v>45113.5812962963</v>
      </c>
      <c r="C370" s="1" t="n">
        <v>45994</v>
      </c>
      <c r="D370" t="inlineStr">
        <is>
          <t>DALARNAS LÄN</t>
        </is>
      </c>
      <c r="E370" t="inlineStr">
        <is>
          <t>ORSA</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30458-2023</t>
        </is>
      </c>
      <c r="B371" s="1" t="n">
        <v>45111</v>
      </c>
      <c r="C371" s="1" t="n">
        <v>45994</v>
      </c>
      <c r="D371" t="inlineStr">
        <is>
          <t>DALARNAS LÄN</t>
        </is>
      </c>
      <c r="E371" t="inlineStr">
        <is>
          <t>ORSA</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14680-2023</t>
        </is>
      </c>
      <c r="B372" s="1" t="n">
        <v>45014.30054398148</v>
      </c>
      <c r="C372" s="1" t="n">
        <v>45994</v>
      </c>
      <c r="D372" t="inlineStr">
        <is>
          <t>DALARNAS LÄN</t>
        </is>
      </c>
      <c r="E372" t="inlineStr">
        <is>
          <t>ORSA</t>
        </is>
      </c>
      <c r="G372" t="n">
        <v>4.2</v>
      </c>
      <c r="H372" t="n">
        <v>0</v>
      </c>
      <c r="I372" t="n">
        <v>0</v>
      </c>
      <c r="J372" t="n">
        <v>0</v>
      </c>
      <c r="K372" t="n">
        <v>0</v>
      </c>
      <c r="L372" t="n">
        <v>0</v>
      </c>
      <c r="M372" t="n">
        <v>0</v>
      </c>
      <c r="N372" t="n">
        <v>0</v>
      </c>
      <c r="O372" t="n">
        <v>0</v>
      </c>
      <c r="P372" t="n">
        <v>0</v>
      </c>
      <c r="Q372" t="n">
        <v>0</v>
      </c>
      <c r="R372" s="2" t="inlineStr"/>
    </row>
    <row r="373" ht="15" customHeight="1">
      <c r="A373" t="inlineStr">
        <is>
          <t>A 4738-2025</t>
        </is>
      </c>
      <c r="B373" s="1" t="n">
        <v>45688</v>
      </c>
      <c r="C373" s="1" t="n">
        <v>45994</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41832-2024</t>
        </is>
      </c>
      <c r="B374" s="1" t="n">
        <v>45561.40730324074</v>
      </c>
      <c r="C374" s="1" t="n">
        <v>45994</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22491-2025</t>
        </is>
      </c>
      <c r="B375" s="1" t="n">
        <v>45786.65040509259</v>
      </c>
      <c r="C375" s="1" t="n">
        <v>45994</v>
      </c>
      <c r="D375" t="inlineStr">
        <is>
          <t>DALARNAS LÄN</t>
        </is>
      </c>
      <c r="E375" t="inlineStr">
        <is>
          <t>ORSA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2948-2025</t>
        </is>
      </c>
      <c r="B376" s="1" t="n">
        <v>45678.42868055555</v>
      </c>
      <c r="C376" s="1" t="n">
        <v>45994</v>
      </c>
      <c r="D376" t="inlineStr">
        <is>
          <t>DALARNAS LÄN</t>
        </is>
      </c>
      <c r="E376" t="inlineStr">
        <is>
          <t>ORSA</t>
        </is>
      </c>
      <c r="G376" t="n">
        <v>2</v>
      </c>
      <c r="H376" t="n">
        <v>0</v>
      </c>
      <c r="I376" t="n">
        <v>0</v>
      </c>
      <c r="J376" t="n">
        <v>0</v>
      </c>
      <c r="K376" t="n">
        <v>0</v>
      </c>
      <c r="L376" t="n">
        <v>0</v>
      </c>
      <c r="M376" t="n">
        <v>0</v>
      </c>
      <c r="N376" t="n">
        <v>0</v>
      </c>
      <c r="O376" t="n">
        <v>0</v>
      </c>
      <c r="P376" t="n">
        <v>0</v>
      </c>
      <c r="Q376" t="n">
        <v>0</v>
      </c>
      <c r="R376" s="2" t="inlineStr"/>
    </row>
    <row r="377" ht="15" customHeight="1">
      <c r="A377" t="inlineStr">
        <is>
          <t>A 53758-2024</t>
        </is>
      </c>
      <c r="B377" s="1" t="n">
        <v>45615.50483796297</v>
      </c>
      <c r="C377" s="1" t="n">
        <v>45994</v>
      </c>
      <c r="D377" t="inlineStr">
        <is>
          <t>DALARNAS LÄN</t>
        </is>
      </c>
      <c r="E377" t="inlineStr">
        <is>
          <t>ORSA</t>
        </is>
      </c>
      <c r="G377" t="n">
        <v>0.5</v>
      </c>
      <c r="H377" t="n">
        <v>0</v>
      </c>
      <c r="I377" t="n">
        <v>0</v>
      </c>
      <c r="J377" t="n">
        <v>0</v>
      </c>
      <c r="K377" t="n">
        <v>0</v>
      </c>
      <c r="L377" t="n">
        <v>0</v>
      </c>
      <c r="M377" t="n">
        <v>0</v>
      </c>
      <c r="N377" t="n">
        <v>0</v>
      </c>
      <c r="O377" t="n">
        <v>0</v>
      </c>
      <c r="P377" t="n">
        <v>0</v>
      </c>
      <c r="Q377" t="n">
        <v>0</v>
      </c>
      <c r="R377" s="2" t="inlineStr"/>
    </row>
    <row r="378" ht="15" customHeight="1">
      <c r="A378" t="inlineStr">
        <is>
          <t>A 41991-2025</t>
        </is>
      </c>
      <c r="B378" s="1" t="n">
        <v>45903.54532407408</v>
      </c>
      <c r="C378" s="1" t="n">
        <v>45994</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41927-2025</t>
        </is>
      </c>
      <c r="B379" s="1" t="n">
        <v>45903.4290625</v>
      </c>
      <c r="C379" s="1" t="n">
        <v>45994</v>
      </c>
      <c r="D379" t="inlineStr">
        <is>
          <t>DALARNAS LÄN</t>
        </is>
      </c>
      <c r="E379" t="inlineStr">
        <is>
          <t>ORSA</t>
        </is>
      </c>
      <c r="G379" t="n">
        <v>2.4</v>
      </c>
      <c r="H379" t="n">
        <v>0</v>
      </c>
      <c r="I379" t="n">
        <v>0</v>
      </c>
      <c r="J379" t="n">
        <v>0</v>
      </c>
      <c r="K379" t="n">
        <v>0</v>
      </c>
      <c r="L379" t="n">
        <v>0</v>
      </c>
      <c r="M379" t="n">
        <v>0</v>
      </c>
      <c r="N379" t="n">
        <v>0</v>
      </c>
      <c r="O379" t="n">
        <v>0</v>
      </c>
      <c r="P379" t="n">
        <v>0</v>
      </c>
      <c r="Q379" t="n">
        <v>0</v>
      </c>
      <c r="R379" s="2" t="inlineStr"/>
    </row>
    <row r="380" ht="15" customHeight="1">
      <c r="A380" t="inlineStr">
        <is>
          <t>A 67834-2020</t>
        </is>
      </c>
      <c r="B380" s="1" t="n">
        <v>44182</v>
      </c>
      <c r="C380" s="1" t="n">
        <v>45994</v>
      </c>
      <c r="D380" t="inlineStr">
        <is>
          <t>DALARNAS LÄN</t>
        </is>
      </c>
      <c r="E380" t="inlineStr">
        <is>
          <t>ORSA</t>
        </is>
      </c>
      <c r="G380" t="n">
        <v>4</v>
      </c>
      <c r="H380" t="n">
        <v>0</v>
      </c>
      <c r="I380" t="n">
        <v>0</v>
      </c>
      <c r="J380" t="n">
        <v>0</v>
      </c>
      <c r="K380" t="n">
        <v>0</v>
      </c>
      <c r="L380" t="n">
        <v>0</v>
      </c>
      <c r="M380" t="n">
        <v>0</v>
      </c>
      <c r="N380" t="n">
        <v>0</v>
      </c>
      <c r="O380" t="n">
        <v>0</v>
      </c>
      <c r="P380" t="n">
        <v>0</v>
      </c>
      <c r="Q380" t="n">
        <v>0</v>
      </c>
      <c r="R380" s="2" t="inlineStr"/>
    </row>
    <row r="381" ht="15" customHeight="1">
      <c r="A381" t="inlineStr">
        <is>
          <t>A 41919-2025</t>
        </is>
      </c>
      <c r="B381" s="1" t="n">
        <v>45903.42372685186</v>
      </c>
      <c r="C381" s="1" t="n">
        <v>45994</v>
      </c>
      <c r="D381" t="inlineStr">
        <is>
          <t>DALARNAS LÄN</t>
        </is>
      </c>
      <c r="E381" t="inlineStr">
        <is>
          <t>ORSA</t>
        </is>
      </c>
      <c r="G381" t="n">
        <v>0.5</v>
      </c>
      <c r="H381" t="n">
        <v>0</v>
      </c>
      <c r="I381" t="n">
        <v>0</v>
      </c>
      <c r="J381" t="n">
        <v>0</v>
      </c>
      <c r="K381" t="n">
        <v>0</v>
      </c>
      <c r="L381" t="n">
        <v>0</v>
      </c>
      <c r="M381" t="n">
        <v>0</v>
      </c>
      <c r="N381" t="n">
        <v>0</v>
      </c>
      <c r="O381" t="n">
        <v>0</v>
      </c>
      <c r="P381" t="n">
        <v>0</v>
      </c>
      <c r="Q381" t="n">
        <v>0</v>
      </c>
      <c r="R381" s="2" t="inlineStr"/>
    </row>
    <row r="382" ht="15" customHeight="1">
      <c r="A382" t="inlineStr">
        <is>
          <t>A 41666-2025</t>
        </is>
      </c>
      <c r="B382" s="1" t="n">
        <v>45902.35822916667</v>
      </c>
      <c r="C382" s="1" t="n">
        <v>45994</v>
      </c>
      <c r="D382" t="inlineStr">
        <is>
          <t>DALARNAS LÄN</t>
        </is>
      </c>
      <c r="E382" t="inlineStr">
        <is>
          <t>ORSA</t>
        </is>
      </c>
      <c r="G382" t="n">
        <v>1.4</v>
      </c>
      <c r="H382" t="n">
        <v>0</v>
      </c>
      <c r="I382" t="n">
        <v>0</v>
      </c>
      <c r="J382" t="n">
        <v>0</v>
      </c>
      <c r="K382" t="n">
        <v>0</v>
      </c>
      <c r="L382" t="n">
        <v>0</v>
      </c>
      <c r="M382" t="n">
        <v>0</v>
      </c>
      <c r="N382" t="n">
        <v>0</v>
      </c>
      <c r="O382" t="n">
        <v>0</v>
      </c>
      <c r="P382" t="n">
        <v>0</v>
      </c>
      <c r="Q382" t="n">
        <v>0</v>
      </c>
      <c r="R382" s="2" t="inlineStr"/>
    </row>
    <row r="383" ht="15" customHeight="1">
      <c r="A383" t="inlineStr">
        <is>
          <t>A 41971-2025</t>
        </is>
      </c>
      <c r="B383" s="1" t="n">
        <v>45903.48930555556</v>
      </c>
      <c r="C383" s="1" t="n">
        <v>45994</v>
      </c>
      <c r="D383" t="inlineStr">
        <is>
          <t>DALARNAS LÄN</t>
        </is>
      </c>
      <c r="E383" t="inlineStr">
        <is>
          <t>ORSA</t>
        </is>
      </c>
      <c r="G383" t="n">
        <v>15.8</v>
      </c>
      <c r="H383" t="n">
        <v>0</v>
      </c>
      <c r="I383" t="n">
        <v>0</v>
      </c>
      <c r="J383" t="n">
        <v>0</v>
      </c>
      <c r="K383" t="n">
        <v>0</v>
      </c>
      <c r="L383" t="n">
        <v>0</v>
      </c>
      <c r="M383" t="n">
        <v>0</v>
      </c>
      <c r="N383" t="n">
        <v>0</v>
      </c>
      <c r="O383" t="n">
        <v>0</v>
      </c>
      <c r="P383" t="n">
        <v>0</v>
      </c>
      <c r="Q383" t="n">
        <v>0</v>
      </c>
      <c r="R383" s="2" t="inlineStr"/>
    </row>
    <row r="384" ht="15" customHeight="1">
      <c r="A384" t="inlineStr">
        <is>
          <t>A 61698-2022</t>
        </is>
      </c>
      <c r="B384" s="1" t="n">
        <v>44917.40038194445</v>
      </c>
      <c r="C384" s="1" t="n">
        <v>45994</v>
      </c>
      <c r="D384" t="inlineStr">
        <is>
          <t>DALARNAS LÄN</t>
        </is>
      </c>
      <c r="E384" t="inlineStr">
        <is>
          <t>ORSA</t>
        </is>
      </c>
      <c r="F384" t="inlineStr">
        <is>
          <t>Bergvik skog öst AB</t>
        </is>
      </c>
      <c r="G384" t="n">
        <v>0.5</v>
      </c>
      <c r="H384" t="n">
        <v>0</v>
      </c>
      <c r="I384" t="n">
        <v>0</v>
      </c>
      <c r="J384" t="n">
        <v>0</v>
      </c>
      <c r="K384" t="n">
        <v>0</v>
      </c>
      <c r="L384" t="n">
        <v>0</v>
      </c>
      <c r="M384" t="n">
        <v>0</v>
      </c>
      <c r="N384" t="n">
        <v>0</v>
      </c>
      <c r="O384" t="n">
        <v>0</v>
      </c>
      <c r="P384" t="n">
        <v>0</v>
      </c>
      <c r="Q384" t="n">
        <v>0</v>
      </c>
      <c r="R384" s="2" t="inlineStr"/>
    </row>
    <row r="385" ht="15" customHeight="1">
      <c r="A385" t="inlineStr">
        <is>
          <t>A 61034-2024</t>
        </is>
      </c>
      <c r="B385" s="1" t="n">
        <v>45645.46608796297</v>
      </c>
      <c r="C385" s="1" t="n">
        <v>45994</v>
      </c>
      <c r="D385" t="inlineStr">
        <is>
          <t>DALARNAS LÄN</t>
        </is>
      </c>
      <c r="E385" t="inlineStr">
        <is>
          <t>ORSA</t>
        </is>
      </c>
      <c r="G385" t="n">
        <v>0.9</v>
      </c>
      <c r="H385" t="n">
        <v>0</v>
      </c>
      <c r="I385" t="n">
        <v>0</v>
      </c>
      <c r="J385" t="n">
        <v>0</v>
      </c>
      <c r="K385" t="n">
        <v>0</v>
      </c>
      <c r="L385" t="n">
        <v>0</v>
      </c>
      <c r="M385" t="n">
        <v>0</v>
      </c>
      <c r="N385" t="n">
        <v>0</v>
      </c>
      <c r="O385" t="n">
        <v>0</v>
      </c>
      <c r="P385" t="n">
        <v>0</v>
      </c>
      <c r="Q385" t="n">
        <v>0</v>
      </c>
      <c r="R385" s="2" t="inlineStr"/>
    </row>
    <row r="386" ht="15" customHeight="1">
      <c r="A386" t="inlineStr">
        <is>
          <t>A 27163-2023</t>
        </is>
      </c>
      <c r="B386" s="1" t="n">
        <v>45096.4878125</v>
      </c>
      <c r="C386" s="1" t="n">
        <v>45994</v>
      </c>
      <c r="D386" t="inlineStr">
        <is>
          <t>DALARNAS LÄN</t>
        </is>
      </c>
      <c r="E386" t="inlineStr">
        <is>
          <t>ORSA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27240-2025</t>
        </is>
      </c>
      <c r="B387" s="1" t="n">
        <v>45812.45170138889</v>
      </c>
      <c r="C387" s="1" t="n">
        <v>45994</v>
      </c>
      <c r="D387" t="inlineStr">
        <is>
          <t>DALARNAS LÄN</t>
        </is>
      </c>
      <c r="E387" t="inlineStr">
        <is>
          <t>ORSA</t>
        </is>
      </c>
      <c r="F387" t="inlineStr">
        <is>
          <t>Bergvik skog öst AB</t>
        </is>
      </c>
      <c r="G387" t="n">
        <v>6.8</v>
      </c>
      <c r="H387" t="n">
        <v>0</v>
      </c>
      <c r="I387" t="n">
        <v>0</v>
      </c>
      <c r="J387" t="n">
        <v>0</v>
      </c>
      <c r="K387" t="n">
        <v>0</v>
      </c>
      <c r="L387" t="n">
        <v>0</v>
      </c>
      <c r="M387" t="n">
        <v>0</v>
      </c>
      <c r="N387" t="n">
        <v>0</v>
      </c>
      <c r="O387" t="n">
        <v>0</v>
      </c>
      <c r="P387" t="n">
        <v>0</v>
      </c>
      <c r="Q387" t="n">
        <v>0</v>
      </c>
      <c r="R387" s="2" t="inlineStr"/>
    </row>
    <row r="388" ht="15" customHeight="1">
      <c r="A388" t="inlineStr">
        <is>
          <t>A 22022-2022</t>
        </is>
      </c>
      <c r="B388" s="1" t="n">
        <v>44711.60145833333</v>
      </c>
      <c r="C388" s="1" t="n">
        <v>45994</v>
      </c>
      <c r="D388" t="inlineStr">
        <is>
          <t>DALARNAS LÄN</t>
        </is>
      </c>
      <c r="E388" t="inlineStr">
        <is>
          <t>ORSA</t>
        </is>
      </c>
      <c r="F388" t="inlineStr">
        <is>
          <t>Bergvik skog öst AB</t>
        </is>
      </c>
      <c r="G388" t="n">
        <v>1.9</v>
      </c>
      <c r="H388" t="n">
        <v>0</v>
      </c>
      <c r="I388" t="n">
        <v>0</v>
      </c>
      <c r="J388" t="n">
        <v>0</v>
      </c>
      <c r="K388" t="n">
        <v>0</v>
      </c>
      <c r="L388" t="n">
        <v>0</v>
      </c>
      <c r="M388" t="n">
        <v>0</v>
      </c>
      <c r="N388" t="n">
        <v>0</v>
      </c>
      <c r="O388" t="n">
        <v>0</v>
      </c>
      <c r="P388" t="n">
        <v>0</v>
      </c>
      <c r="Q388" t="n">
        <v>0</v>
      </c>
      <c r="R388" s="2" t="inlineStr"/>
    </row>
    <row r="389" ht="15" customHeight="1">
      <c r="A389" t="inlineStr">
        <is>
          <t>A 42226-2025</t>
        </is>
      </c>
      <c r="B389" s="1" t="n">
        <v>45904.53831018518</v>
      </c>
      <c r="C389" s="1" t="n">
        <v>45994</v>
      </c>
      <c r="D389" t="inlineStr">
        <is>
          <t>DALARNAS LÄN</t>
        </is>
      </c>
      <c r="E389" t="inlineStr">
        <is>
          <t>ORSA</t>
        </is>
      </c>
      <c r="F389" t="inlineStr">
        <is>
          <t>Allmännings- och besparingsskogar</t>
        </is>
      </c>
      <c r="G389" t="n">
        <v>18</v>
      </c>
      <c r="H389" t="n">
        <v>0</v>
      </c>
      <c r="I389" t="n">
        <v>0</v>
      </c>
      <c r="J389" t="n">
        <v>0</v>
      </c>
      <c r="K389" t="n">
        <v>0</v>
      </c>
      <c r="L389" t="n">
        <v>0</v>
      </c>
      <c r="M389" t="n">
        <v>0</v>
      </c>
      <c r="N389" t="n">
        <v>0</v>
      </c>
      <c r="O389" t="n">
        <v>0</v>
      </c>
      <c r="P389" t="n">
        <v>0</v>
      </c>
      <c r="Q389" t="n">
        <v>0</v>
      </c>
      <c r="R389" s="2" t="inlineStr"/>
    </row>
    <row r="390" ht="15" customHeight="1">
      <c r="A390" t="inlineStr">
        <is>
          <t>A 24969-2025</t>
        </is>
      </c>
      <c r="B390" s="1" t="n">
        <v>45799</v>
      </c>
      <c r="C390" s="1" t="n">
        <v>45994</v>
      </c>
      <c r="D390" t="inlineStr">
        <is>
          <t>DALARNAS LÄN</t>
        </is>
      </c>
      <c r="E390" t="inlineStr">
        <is>
          <t>ORSA</t>
        </is>
      </c>
      <c r="F390" t="inlineStr">
        <is>
          <t>Allmännings- och besparingsskogar</t>
        </is>
      </c>
      <c r="G390" t="n">
        <v>2.6</v>
      </c>
      <c r="H390" t="n">
        <v>0</v>
      </c>
      <c r="I390" t="n">
        <v>0</v>
      </c>
      <c r="J390" t="n">
        <v>0</v>
      </c>
      <c r="K390" t="n">
        <v>0</v>
      </c>
      <c r="L390" t="n">
        <v>0</v>
      </c>
      <c r="M390" t="n">
        <v>0</v>
      </c>
      <c r="N390" t="n">
        <v>0</v>
      </c>
      <c r="O390" t="n">
        <v>0</v>
      </c>
      <c r="P390" t="n">
        <v>0</v>
      </c>
      <c r="Q390" t="n">
        <v>0</v>
      </c>
      <c r="R390" s="2" t="inlineStr"/>
    </row>
    <row r="391" ht="15" customHeight="1">
      <c r="A391" t="inlineStr">
        <is>
          <t>A 56810-2024</t>
        </is>
      </c>
      <c r="B391" s="1" t="n">
        <v>45628</v>
      </c>
      <c r="C391" s="1" t="n">
        <v>45994</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56811-2024</t>
        </is>
      </c>
      <c r="B392" s="1" t="n">
        <v>45628</v>
      </c>
      <c r="C392" s="1" t="n">
        <v>45994</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12704-2022</t>
        </is>
      </c>
      <c r="B393" s="1" t="n">
        <v>44641</v>
      </c>
      <c r="C393" s="1" t="n">
        <v>45994</v>
      </c>
      <c r="D393" t="inlineStr">
        <is>
          <t>DALARNAS LÄN</t>
        </is>
      </c>
      <c r="E393" t="inlineStr">
        <is>
          <t>ORSA</t>
        </is>
      </c>
      <c r="G393" t="n">
        <v>2.4</v>
      </c>
      <c r="H393" t="n">
        <v>0</v>
      </c>
      <c r="I393" t="n">
        <v>0</v>
      </c>
      <c r="J393" t="n">
        <v>0</v>
      </c>
      <c r="K393" t="n">
        <v>0</v>
      </c>
      <c r="L393" t="n">
        <v>0</v>
      </c>
      <c r="M393" t="n">
        <v>0</v>
      </c>
      <c r="N393" t="n">
        <v>0</v>
      </c>
      <c r="O393" t="n">
        <v>0</v>
      </c>
      <c r="P393" t="n">
        <v>0</v>
      </c>
      <c r="Q393" t="n">
        <v>0</v>
      </c>
      <c r="R393" s="2" t="inlineStr"/>
    </row>
    <row r="394" ht="15" customHeight="1">
      <c r="A394" t="inlineStr">
        <is>
          <t>A 56803-2024</t>
        </is>
      </c>
      <c r="B394" s="1" t="n">
        <v>45628.47212962963</v>
      </c>
      <c r="C394" s="1" t="n">
        <v>45994</v>
      </c>
      <c r="D394" t="inlineStr">
        <is>
          <t>DALARNAS LÄN</t>
        </is>
      </c>
      <c r="E394" t="inlineStr">
        <is>
          <t>ORSA</t>
        </is>
      </c>
      <c r="G394" t="n">
        <v>1.4</v>
      </c>
      <c r="H394" t="n">
        <v>0</v>
      </c>
      <c r="I394" t="n">
        <v>0</v>
      </c>
      <c r="J394" t="n">
        <v>0</v>
      </c>
      <c r="K394" t="n">
        <v>0</v>
      </c>
      <c r="L394" t="n">
        <v>0</v>
      </c>
      <c r="M394" t="n">
        <v>0</v>
      </c>
      <c r="N394" t="n">
        <v>0</v>
      </c>
      <c r="O394" t="n">
        <v>0</v>
      </c>
      <c r="P394" t="n">
        <v>0</v>
      </c>
      <c r="Q394" t="n">
        <v>0</v>
      </c>
      <c r="R394" s="2" t="inlineStr"/>
    </row>
    <row r="395" ht="15" customHeight="1">
      <c r="A395" t="inlineStr">
        <is>
          <t>A 38611-2022</t>
        </is>
      </c>
      <c r="B395" s="1" t="n">
        <v>44813.60177083333</v>
      </c>
      <c r="C395" s="1" t="n">
        <v>45994</v>
      </c>
      <c r="D395" t="inlineStr">
        <is>
          <t>DALARNAS LÄN</t>
        </is>
      </c>
      <c r="E395" t="inlineStr">
        <is>
          <t>ORSA</t>
        </is>
      </c>
      <c r="G395" t="n">
        <v>3.6</v>
      </c>
      <c r="H395" t="n">
        <v>0</v>
      </c>
      <c r="I395" t="n">
        <v>0</v>
      </c>
      <c r="J395" t="n">
        <v>0</v>
      </c>
      <c r="K395" t="n">
        <v>0</v>
      </c>
      <c r="L395" t="n">
        <v>0</v>
      </c>
      <c r="M395" t="n">
        <v>0</v>
      </c>
      <c r="N395" t="n">
        <v>0</v>
      </c>
      <c r="O395" t="n">
        <v>0</v>
      </c>
      <c r="P395" t="n">
        <v>0</v>
      </c>
      <c r="Q395" t="n">
        <v>0</v>
      </c>
      <c r="R395" s="2" t="inlineStr"/>
    </row>
    <row r="396" ht="15" customHeight="1">
      <c r="A396" t="inlineStr">
        <is>
          <t>A 23875-2025</t>
        </is>
      </c>
      <c r="B396" s="1" t="n">
        <v>45793.68313657407</v>
      </c>
      <c r="C396" s="1" t="n">
        <v>45994</v>
      </c>
      <c r="D396" t="inlineStr">
        <is>
          <t>DALARNAS LÄN</t>
        </is>
      </c>
      <c r="E396" t="inlineStr">
        <is>
          <t>ORSA</t>
        </is>
      </c>
      <c r="G396" t="n">
        <v>0.8</v>
      </c>
      <c r="H396" t="n">
        <v>0</v>
      </c>
      <c r="I396" t="n">
        <v>0</v>
      </c>
      <c r="J396" t="n">
        <v>0</v>
      </c>
      <c r="K396" t="n">
        <v>0</v>
      </c>
      <c r="L396" t="n">
        <v>0</v>
      </c>
      <c r="M396" t="n">
        <v>0</v>
      </c>
      <c r="N396" t="n">
        <v>0</v>
      </c>
      <c r="O396" t="n">
        <v>0</v>
      </c>
      <c r="P396" t="n">
        <v>0</v>
      </c>
      <c r="Q396" t="n">
        <v>0</v>
      </c>
      <c r="R396" s="2" t="inlineStr"/>
    </row>
    <row r="397" ht="15" customHeight="1">
      <c r="A397" t="inlineStr">
        <is>
          <t>A 9836-2022</t>
        </is>
      </c>
      <c r="B397" s="1" t="n">
        <v>44620</v>
      </c>
      <c r="C397" s="1" t="n">
        <v>45994</v>
      </c>
      <c r="D397" t="inlineStr">
        <is>
          <t>DALARNAS LÄN</t>
        </is>
      </c>
      <c r="E397" t="inlineStr">
        <is>
          <t>ORSA</t>
        </is>
      </c>
      <c r="G397" t="n">
        <v>1</v>
      </c>
      <c r="H397" t="n">
        <v>0</v>
      </c>
      <c r="I397" t="n">
        <v>0</v>
      </c>
      <c r="J397" t="n">
        <v>0</v>
      </c>
      <c r="K397" t="n">
        <v>0</v>
      </c>
      <c r="L397" t="n">
        <v>0</v>
      </c>
      <c r="M397" t="n">
        <v>0</v>
      </c>
      <c r="N397" t="n">
        <v>0</v>
      </c>
      <c r="O397" t="n">
        <v>0</v>
      </c>
      <c r="P397" t="n">
        <v>0</v>
      </c>
      <c r="Q397" t="n">
        <v>0</v>
      </c>
      <c r="R397" s="2" t="inlineStr"/>
    </row>
    <row r="398" ht="15" customHeight="1">
      <c r="A398" t="inlineStr">
        <is>
          <t>A 890-2024</t>
        </is>
      </c>
      <c r="B398" s="1" t="n">
        <v>45301.40552083333</v>
      </c>
      <c r="C398" s="1" t="n">
        <v>45994</v>
      </c>
      <c r="D398" t="inlineStr">
        <is>
          <t>DALARNAS LÄN</t>
        </is>
      </c>
      <c r="E398" t="inlineStr">
        <is>
          <t>ORSA</t>
        </is>
      </c>
      <c r="G398" t="n">
        <v>2.5</v>
      </c>
      <c r="H398" t="n">
        <v>0</v>
      </c>
      <c r="I398" t="n">
        <v>0</v>
      </c>
      <c r="J398" t="n">
        <v>0</v>
      </c>
      <c r="K398" t="n">
        <v>0</v>
      </c>
      <c r="L398" t="n">
        <v>0</v>
      </c>
      <c r="M398" t="n">
        <v>0</v>
      </c>
      <c r="N398" t="n">
        <v>0</v>
      </c>
      <c r="O398" t="n">
        <v>0</v>
      </c>
      <c r="P398" t="n">
        <v>0</v>
      </c>
      <c r="Q398" t="n">
        <v>0</v>
      </c>
      <c r="R398" s="2" t="inlineStr"/>
    </row>
    <row r="399" ht="15" customHeight="1">
      <c r="A399" t="inlineStr">
        <is>
          <t>A 25211-2025</t>
        </is>
      </c>
      <c r="B399" s="1" t="n">
        <v>45800.46965277778</v>
      </c>
      <c r="C399" s="1" t="n">
        <v>45994</v>
      </c>
      <c r="D399" t="inlineStr">
        <is>
          <t>DALARNAS LÄN</t>
        </is>
      </c>
      <c r="E399" t="inlineStr">
        <is>
          <t>ORSA</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18817-2023</t>
        </is>
      </c>
      <c r="B400" s="1" t="n">
        <v>45043</v>
      </c>
      <c r="C400" s="1" t="n">
        <v>45994</v>
      </c>
      <c r="D400" t="inlineStr">
        <is>
          <t>DALARNAS LÄN</t>
        </is>
      </c>
      <c r="E400" t="inlineStr">
        <is>
          <t>ORSA</t>
        </is>
      </c>
      <c r="G400" t="n">
        <v>4.4</v>
      </c>
      <c r="H400" t="n">
        <v>0</v>
      </c>
      <c r="I400" t="n">
        <v>0</v>
      </c>
      <c r="J400" t="n">
        <v>0</v>
      </c>
      <c r="K400" t="n">
        <v>0</v>
      </c>
      <c r="L400" t="n">
        <v>0</v>
      </c>
      <c r="M400" t="n">
        <v>0</v>
      </c>
      <c r="N400" t="n">
        <v>0</v>
      </c>
      <c r="O400" t="n">
        <v>0</v>
      </c>
      <c r="P400" t="n">
        <v>0</v>
      </c>
      <c r="Q400" t="n">
        <v>0</v>
      </c>
      <c r="R400" s="2" t="inlineStr"/>
    </row>
    <row r="401" ht="15" customHeight="1">
      <c r="A401" t="inlineStr">
        <is>
          <t>A 52485-2025</t>
        </is>
      </c>
      <c r="B401" s="1" t="n">
        <v>45954.47804398148</v>
      </c>
      <c r="C401" s="1" t="n">
        <v>45994</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44119-2025</t>
        </is>
      </c>
      <c r="B402" s="1" t="n">
        <v>45915.57738425926</v>
      </c>
      <c r="C402" s="1" t="n">
        <v>45994</v>
      </c>
      <c r="D402" t="inlineStr">
        <is>
          <t>DALARNAS LÄN</t>
        </is>
      </c>
      <c r="E402" t="inlineStr">
        <is>
          <t>ORSA</t>
        </is>
      </c>
      <c r="F402" t="inlineStr">
        <is>
          <t>Allmännings- och besparingsskogar</t>
        </is>
      </c>
      <c r="G402" t="n">
        <v>1.5</v>
      </c>
      <c r="H402" t="n">
        <v>0</v>
      </c>
      <c r="I402" t="n">
        <v>0</v>
      </c>
      <c r="J402" t="n">
        <v>0</v>
      </c>
      <c r="K402" t="n">
        <v>0</v>
      </c>
      <c r="L402" t="n">
        <v>0</v>
      </c>
      <c r="M402" t="n">
        <v>0</v>
      </c>
      <c r="N402" t="n">
        <v>0</v>
      </c>
      <c r="O402" t="n">
        <v>0</v>
      </c>
      <c r="P402" t="n">
        <v>0</v>
      </c>
      <c r="Q402" t="n">
        <v>0</v>
      </c>
      <c r="R402" s="2" t="inlineStr"/>
    </row>
    <row r="403" ht="15" customHeight="1">
      <c r="A403" t="inlineStr">
        <is>
          <t>A 44121-2025</t>
        </is>
      </c>
      <c r="B403" s="1" t="n">
        <v>45915.57792824074</v>
      </c>
      <c r="C403" s="1" t="n">
        <v>45994</v>
      </c>
      <c r="D403" t="inlineStr">
        <is>
          <t>DALARNAS LÄN</t>
        </is>
      </c>
      <c r="E403" t="inlineStr">
        <is>
          <t>ORSA</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44053-2025</t>
        </is>
      </c>
      <c r="B404" s="1" t="n">
        <v>45915.51239583334</v>
      </c>
      <c r="C404" s="1" t="n">
        <v>45994</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43965-2025</t>
        </is>
      </c>
      <c r="B405" s="1" t="n">
        <v>45915.40027777778</v>
      </c>
      <c r="C405" s="1" t="n">
        <v>45994</v>
      </c>
      <c r="D405" t="inlineStr">
        <is>
          <t>DALARNAS LÄN</t>
        </is>
      </c>
      <c r="E405" t="inlineStr">
        <is>
          <t>ORSA</t>
        </is>
      </c>
      <c r="F405" t="inlineStr">
        <is>
          <t>Allmännings- och besparingsskogar</t>
        </is>
      </c>
      <c r="G405" t="n">
        <v>11.5</v>
      </c>
      <c r="H405" t="n">
        <v>0</v>
      </c>
      <c r="I405" t="n">
        <v>0</v>
      </c>
      <c r="J405" t="n">
        <v>0</v>
      </c>
      <c r="K405" t="n">
        <v>0</v>
      </c>
      <c r="L405" t="n">
        <v>0</v>
      </c>
      <c r="M405" t="n">
        <v>0</v>
      </c>
      <c r="N405" t="n">
        <v>0</v>
      </c>
      <c r="O405" t="n">
        <v>0</v>
      </c>
      <c r="P405" t="n">
        <v>0</v>
      </c>
      <c r="Q405" t="n">
        <v>0</v>
      </c>
      <c r="R405" s="2" t="inlineStr"/>
    </row>
    <row r="406" ht="15" customHeight="1">
      <c r="A406" t="inlineStr">
        <is>
          <t>A 44117-2025</t>
        </is>
      </c>
      <c r="B406" s="1" t="n">
        <v>45915.57677083334</v>
      </c>
      <c r="C406" s="1" t="n">
        <v>45994</v>
      </c>
      <c r="D406" t="inlineStr">
        <is>
          <t>DALARNAS LÄN</t>
        </is>
      </c>
      <c r="E406" t="inlineStr">
        <is>
          <t>ORSA</t>
        </is>
      </c>
      <c r="F406" t="inlineStr">
        <is>
          <t>Allmännings- och besparingsskogar</t>
        </is>
      </c>
      <c r="G406" t="n">
        <v>2.7</v>
      </c>
      <c r="H406" t="n">
        <v>0</v>
      </c>
      <c r="I406" t="n">
        <v>0</v>
      </c>
      <c r="J406" t="n">
        <v>0</v>
      </c>
      <c r="K406" t="n">
        <v>0</v>
      </c>
      <c r="L406" t="n">
        <v>0</v>
      </c>
      <c r="M406" t="n">
        <v>0</v>
      </c>
      <c r="N406" t="n">
        <v>0</v>
      </c>
      <c r="O406" t="n">
        <v>0</v>
      </c>
      <c r="P406" t="n">
        <v>0</v>
      </c>
      <c r="Q406" t="n">
        <v>0</v>
      </c>
      <c r="R406" s="2" t="inlineStr"/>
    </row>
    <row r="407" ht="15" customHeight="1">
      <c r="A407" t="inlineStr">
        <is>
          <t>A 26741-2025</t>
        </is>
      </c>
      <c r="B407" s="1" t="n">
        <v>45810.52444444445</v>
      </c>
      <c r="C407" s="1" t="n">
        <v>45994</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44129-2025</t>
        </is>
      </c>
      <c r="B408" s="1" t="n">
        <v>45915.58392361111</v>
      </c>
      <c r="C408" s="1" t="n">
        <v>45994</v>
      </c>
      <c r="D408" t="inlineStr">
        <is>
          <t>DALARNAS LÄN</t>
        </is>
      </c>
      <c r="E408" t="inlineStr">
        <is>
          <t>ORSA</t>
        </is>
      </c>
      <c r="G408" t="n">
        <v>0.9</v>
      </c>
      <c r="H408" t="n">
        <v>0</v>
      </c>
      <c r="I408" t="n">
        <v>0</v>
      </c>
      <c r="J408" t="n">
        <v>0</v>
      </c>
      <c r="K408" t="n">
        <v>0</v>
      </c>
      <c r="L408" t="n">
        <v>0</v>
      </c>
      <c r="M408" t="n">
        <v>0</v>
      </c>
      <c r="N408" t="n">
        <v>0</v>
      </c>
      <c r="O408" t="n">
        <v>0</v>
      </c>
      <c r="P408" t="n">
        <v>0</v>
      </c>
      <c r="Q408" t="n">
        <v>0</v>
      </c>
      <c r="R408" s="2" t="inlineStr"/>
    </row>
    <row r="409" ht="15" customHeight="1">
      <c r="A409" t="inlineStr">
        <is>
          <t>A 52686-2025</t>
        </is>
      </c>
      <c r="B409" s="1" t="n">
        <v>45956.3562037037</v>
      </c>
      <c r="C409" s="1" t="n">
        <v>45994</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43967-2025</t>
        </is>
      </c>
      <c r="B410" s="1" t="n">
        <v>45915.40188657407</v>
      </c>
      <c r="C410" s="1" t="n">
        <v>45994</v>
      </c>
      <c r="D410" t="inlineStr">
        <is>
          <t>DALARNAS LÄN</t>
        </is>
      </c>
      <c r="E410" t="inlineStr">
        <is>
          <t>ORSA</t>
        </is>
      </c>
      <c r="F410" t="inlineStr">
        <is>
          <t>Allmännings- och besparingsskogar</t>
        </is>
      </c>
      <c r="G410" t="n">
        <v>8.4</v>
      </c>
      <c r="H410" t="n">
        <v>0</v>
      </c>
      <c r="I410" t="n">
        <v>0</v>
      </c>
      <c r="J410" t="n">
        <v>0</v>
      </c>
      <c r="K410" t="n">
        <v>0</v>
      </c>
      <c r="L410" t="n">
        <v>0</v>
      </c>
      <c r="M410" t="n">
        <v>0</v>
      </c>
      <c r="N410" t="n">
        <v>0</v>
      </c>
      <c r="O410" t="n">
        <v>0</v>
      </c>
      <c r="P410" t="n">
        <v>0</v>
      </c>
      <c r="Q410" t="n">
        <v>0</v>
      </c>
      <c r="R410" s="2" t="inlineStr"/>
    </row>
    <row r="411" ht="15" customHeight="1">
      <c r="A411" t="inlineStr">
        <is>
          <t>A 43778-2025</t>
        </is>
      </c>
      <c r="B411" s="1" t="n">
        <v>45912.5147337963</v>
      </c>
      <c r="C411" s="1" t="n">
        <v>45994</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20302-2023</t>
        </is>
      </c>
      <c r="B412" s="1" t="n">
        <v>45056</v>
      </c>
      <c r="C412" s="1" t="n">
        <v>45994</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52702-2025</t>
        </is>
      </c>
      <c r="B413" s="1" t="n">
        <v>45956.86853009259</v>
      </c>
      <c r="C413" s="1" t="n">
        <v>45994</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44531-2025</t>
        </is>
      </c>
      <c r="B414" s="1" t="n">
        <v>45916.77120370371</v>
      </c>
      <c r="C414" s="1" t="n">
        <v>45994</v>
      </c>
      <c r="D414" t="inlineStr">
        <is>
          <t>DALARNAS LÄN</t>
        </is>
      </c>
      <c r="E414" t="inlineStr">
        <is>
          <t>ORSA</t>
        </is>
      </c>
      <c r="G414" t="n">
        <v>0.8</v>
      </c>
      <c r="H414" t="n">
        <v>0</v>
      </c>
      <c r="I414" t="n">
        <v>0</v>
      </c>
      <c r="J414" t="n">
        <v>0</v>
      </c>
      <c r="K414" t="n">
        <v>0</v>
      </c>
      <c r="L414" t="n">
        <v>0</v>
      </c>
      <c r="M414" t="n">
        <v>0</v>
      </c>
      <c r="N414" t="n">
        <v>0</v>
      </c>
      <c r="O414" t="n">
        <v>0</v>
      </c>
      <c r="P414" t="n">
        <v>0</v>
      </c>
      <c r="Q414" t="n">
        <v>0</v>
      </c>
      <c r="R414" s="2" t="inlineStr"/>
    </row>
    <row r="415" ht="15" customHeight="1">
      <c r="A415" t="inlineStr">
        <is>
          <t>A 21364-2025</t>
        </is>
      </c>
      <c r="B415" s="1" t="n">
        <v>45782</v>
      </c>
      <c r="C415" s="1" t="n">
        <v>45994</v>
      </c>
      <c r="D415" t="inlineStr">
        <is>
          <t>DALARNAS LÄN</t>
        </is>
      </c>
      <c r="E415" t="inlineStr">
        <is>
          <t>ORSA</t>
        </is>
      </c>
      <c r="F415" t="inlineStr">
        <is>
          <t>Allmännings- och besparingsskogar</t>
        </is>
      </c>
      <c r="G415" t="n">
        <v>52.6</v>
      </c>
      <c r="H415" t="n">
        <v>0</v>
      </c>
      <c r="I415" t="n">
        <v>0</v>
      </c>
      <c r="J415" t="n">
        <v>0</v>
      </c>
      <c r="K415" t="n">
        <v>0</v>
      </c>
      <c r="L415" t="n">
        <v>0</v>
      </c>
      <c r="M415" t="n">
        <v>0</v>
      </c>
      <c r="N415" t="n">
        <v>0</v>
      </c>
      <c r="O415" t="n">
        <v>0</v>
      </c>
      <c r="P415" t="n">
        <v>0</v>
      </c>
      <c r="Q415" t="n">
        <v>0</v>
      </c>
      <c r="R415" s="2" t="inlineStr"/>
    </row>
    <row r="416" ht="15" customHeight="1">
      <c r="A416" t="inlineStr">
        <is>
          <t>A 27190-2025</t>
        </is>
      </c>
      <c r="B416" s="1" t="n">
        <v>45812.37025462963</v>
      </c>
      <c r="C416" s="1" t="n">
        <v>45994</v>
      </c>
      <c r="D416" t="inlineStr">
        <is>
          <t>DALARNAS LÄN</t>
        </is>
      </c>
      <c r="E416" t="inlineStr">
        <is>
          <t>ORSA</t>
        </is>
      </c>
      <c r="F416" t="inlineStr">
        <is>
          <t>Bergvik skog öst AB</t>
        </is>
      </c>
      <c r="G416" t="n">
        <v>4.9</v>
      </c>
      <c r="H416" t="n">
        <v>0</v>
      </c>
      <c r="I416" t="n">
        <v>0</v>
      </c>
      <c r="J416" t="n">
        <v>0</v>
      </c>
      <c r="K416" t="n">
        <v>0</v>
      </c>
      <c r="L416" t="n">
        <v>0</v>
      </c>
      <c r="M416" t="n">
        <v>0</v>
      </c>
      <c r="N416" t="n">
        <v>0</v>
      </c>
      <c r="O416" t="n">
        <v>0</v>
      </c>
      <c r="P416" t="n">
        <v>0</v>
      </c>
      <c r="Q416" t="n">
        <v>0</v>
      </c>
      <c r="R416" s="2" t="inlineStr"/>
    </row>
    <row r="417" ht="15" customHeight="1">
      <c r="A417" t="inlineStr">
        <is>
          <t>A 27221-2025</t>
        </is>
      </c>
      <c r="B417" s="1" t="n">
        <v>45812.42304398148</v>
      </c>
      <c r="C417" s="1" t="n">
        <v>45994</v>
      </c>
      <c r="D417" t="inlineStr">
        <is>
          <t>DALARNAS LÄN</t>
        </is>
      </c>
      <c r="E417" t="inlineStr">
        <is>
          <t>ORSA</t>
        </is>
      </c>
      <c r="F417" t="inlineStr">
        <is>
          <t>Bergvik skog öst AB</t>
        </is>
      </c>
      <c r="G417" t="n">
        <v>3.7</v>
      </c>
      <c r="H417" t="n">
        <v>0</v>
      </c>
      <c r="I417" t="n">
        <v>0</v>
      </c>
      <c r="J417" t="n">
        <v>0</v>
      </c>
      <c r="K417" t="n">
        <v>0</v>
      </c>
      <c r="L417" t="n">
        <v>0</v>
      </c>
      <c r="M417" t="n">
        <v>0</v>
      </c>
      <c r="N417" t="n">
        <v>0</v>
      </c>
      <c r="O417" t="n">
        <v>0</v>
      </c>
      <c r="P417" t="n">
        <v>0</v>
      </c>
      <c r="Q417" t="n">
        <v>0</v>
      </c>
      <c r="R417" s="2" t="inlineStr"/>
    </row>
    <row r="418" ht="15" customHeight="1">
      <c r="A418" t="inlineStr">
        <is>
          <t>A 6490-2025</t>
        </is>
      </c>
      <c r="B418" s="1" t="n">
        <v>45699</v>
      </c>
      <c r="C418" s="1" t="n">
        <v>45994</v>
      </c>
      <c r="D418" t="inlineStr">
        <is>
          <t>DALARNAS LÄN</t>
        </is>
      </c>
      <c r="E418" t="inlineStr">
        <is>
          <t>ORSA</t>
        </is>
      </c>
      <c r="G418" t="n">
        <v>7.5</v>
      </c>
      <c r="H418" t="n">
        <v>0</v>
      </c>
      <c r="I418" t="n">
        <v>0</v>
      </c>
      <c r="J418" t="n">
        <v>0</v>
      </c>
      <c r="K418" t="n">
        <v>0</v>
      </c>
      <c r="L418" t="n">
        <v>0</v>
      </c>
      <c r="M418" t="n">
        <v>0</v>
      </c>
      <c r="N418" t="n">
        <v>0</v>
      </c>
      <c r="O418" t="n">
        <v>0</v>
      </c>
      <c r="P418" t="n">
        <v>0</v>
      </c>
      <c r="Q418" t="n">
        <v>0</v>
      </c>
      <c r="R418" s="2" t="inlineStr"/>
    </row>
    <row r="419" ht="15" customHeight="1">
      <c r="A419" t="inlineStr">
        <is>
          <t>A 27313-2025</t>
        </is>
      </c>
      <c r="B419" s="1" t="n">
        <v>45812.58365740741</v>
      </c>
      <c r="C419" s="1" t="n">
        <v>45994</v>
      </c>
      <c r="D419" t="inlineStr">
        <is>
          <t>DALARNAS LÄN</t>
        </is>
      </c>
      <c r="E419" t="inlineStr">
        <is>
          <t>ORSA</t>
        </is>
      </c>
      <c r="F419" t="inlineStr">
        <is>
          <t>Allmännings- och besparingsskogar</t>
        </is>
      </c>
      <c r="G419" t="n">
        <v>1.4</v>
      </c>
      <c r="H419" t="n">
        <v>0</v>
      </c>
      <c r="I419" t="n">
        <v>0</v>
      </c>
      <c r="J419" t="n">
        <v>0</v>
      </c>
      <c r="K419" t="n">
        <v>0</v>
      </c>
      <c r="L419" t="n">
        <v>0</v>
      </c>
      <c r="M419" t="n">
        <v>0</v>
      </c>
      <c r="N419" t="n">
        <v>0</v>
      </c>
      <c r="O419" t="n">
        <v>0</v>
      </c>
      <c r="P419" t="n">
        <v>0</v>
      </c>
      <c r="Q419" t="n">
        <v>0</v>
      </c>
      <c r="R419" s="2" t="inlineStr"/>
    </row>
    <row r="420" ht="15" customHeight="1">
      <c r="A420" t="inlineStr">
        <is>
          <t>A 27866-2025</t>
        </is>
      </c>
      <c r="B420" s="1" t="n">
        <v>45817.4262962963</v>
      </c>
      <c r="C420" s="1" t="n">
        <v>45994</v>
      </c>
      <c r="D420" t="inlineStr">
        <is>
          <t>DALARNAS LÄN</t>
        </is>
      </c>
      <c r="E420" t="inlineStr">
        <is>
          <t>ORSA</t>
        </is>
      </c>
      <c r="F420" t="inlineStr">
        <is>
          <t>Allmännings- och besparingsskogar</t>
        </is>
      </c>
      <c r="G420" t="n">
        <v>6</v>
      </c>
      <c r="H420" t="n">
        <v>0</v>
      </c>
      <c r="I420" t="n">
        <v>0</v>
      </c>
      <c r="J420" t="n">
        <v>0</v>
      </c>
      <c r="K420" t="n">
        <v>0</v>
      </c>
      <c r="L420" t="n">
        <v>0</v>
      </c>
      <c r="M420" t="n">
        <v>0</v>
      </c>
      <c r="N420" t="n">
        <v>0</v>
      </c>
      <c r="O420" t="n">
        <v>0</v>
      </c>
      <c r="P420" t="n">
        <v>0</v>
      </c>
      <c r="Q420" t="n">
        <v>0</v>
      </c>
      <c r="R420" s="2" t="inlineStr"/>
    </row>
    <row r="421" ht="15" customHeight="1">
      <c r="A421" t="inlineStr">
        <is>
          <t>A 27885-2025</t>
        </is>
      </c>
      <c r="B421" s="1" t="n">
        <v>45817.45034722222</v>
      </c>
      <c r="C421" s="1" t="n">
        <v>45994</v>
      </c>
      <c r="D421" t="inlineStr">
        <is>
          <t>DALARNAS LÄN</t>
        </is>
      </c>
      <c r="E421" t="inlineStr">
        <is>
          <t>ORSA</t>
        </is>
      </c>
      <c r="F421" t="inlineStr">
        <is>
          <t>Allmännings- och besparingsskogar</t>
        </is>
      </c>
      <c r="G421" t="n">
        <v>3.4</v>
      </c>
      <c r="H421" t="n">
        <v>0</v>
      </c>
      <c r="I421" t="n">
        <v>0</v>
      </c>
      <c r="J421" t="n">
        <v>0</v>
      </c>
      <c r="K421" t="n">
        <v>0</v>
      </c>
      <c r="L421" t="n">
        <v>0</v>
      </c>
      <c r="M421" t="n">
        <v>0</v>
      </c>
      <c r="N421" t="n">
        <v>0</v>
      </c>
      <c r="O421" t="n">
        <v>0</v>
      </c>
      <c r="P421" t="n">
        <v>0</v>
      </c>
      <c r="Q421" t="n">
        <v>0</v>
      </c>
      <c r="R421" s="2" t="inlineStr"/>
    </row>
    <row r="422" ht="15" customHeight="1">
      <c r="A422" t="inlineStr">
        <is>
          <t>A 27987-2025</t>
        </is>
      </c>
      <c r="B422" s="1" t="n">
        <v>45817.58361111111</v>
      </c>
      <c r="C422" s="1" t="n">
        <v>45994</v>
      </c>
      <c r="D422" t="inlineStr">
        <is>
          <t>DALARNAS LÄN</t>
        </is>
      </c>
      <c r="E422" t="inlineStr">
        <is>
          <t>ORSA</t>
        </is>
      </c>
      <c r="F422" t="inlineStr">
        <is>
          <t>Allmännings- och besparingsskogar</t>
        </is>
      </c>
      <c r="G422" t="n">
        <v>2.5</v>
      </c>
      <c r="H422" t="n">
        <v>0</v>
      </c>
      <c r="I422" t="n">
        <v>0</v>
      </c>
      <c r="J422" t="n">
        <v>0</v>
      </c>
      <c r="K422" t="n">
        <v>0</v>
      </c>
      <c r="L422" t="n">
        <v>0</v>
      </c>
      <c r="M422" t="n">
        <v>0</v>
      </c>
      <c r="N422" t="n">
        <v>0</v>
      </c>
      <c r="O422" t="n">
        <v>0</v>
      </c>
      <c r="P422" t="n">
        <v>0</v>
      </c>
      <c r="Q422" t="n">
        <v>0</v>
      </c>
      <c r="R422" s="2" t="inlineStr"/>
    </row>
    <row r="423" ht="15" customHeight="1">
      <c r="A423" t="inlineStr">
        <is>
          <t>A 28207-2025</t>
        </is>
      </c>
      <c r="B423" s="1" t="n">
        <v>45818.44871527778</v>
      </c>
      <c r="C423" s="1" t="n">
        <v>45994</v>
      </c>
      <c r="D423" t="inlineStr">
        <is>
          <t>DALARNAS LÄN</t>
        </is>
      </c>
      <c r="E423" t="inlineStr">
        <is>
          <t>ORSA</t>
        </is>
      </c>
      <c r="F423" t="inlineStr">
        <is>
          <t>Bergvik skog öst AB</t>
        </is>
      </c>
      <c r="G423" t="n">
        <v>2.9</v>
      </c>
      <c r="H423" t="n">
        <v>0</v>
      </c>
      <c r="I423" t="n">
        <v>0</v>
      </c>
      <c r="J423" t="n">
        <v>0</v>
      </c>
      <c r="K423" t="n">
        <v>0</v>
      </c>
      <c r="L423" t="n">
        <v>0</v>
      </c>
      <c r="M423" t="n">
        <v>0</v>
      </c>
      <c r="N423" t="n">
        <v>0</v>
      </c>
      <c r="O423" t="n">
        <v>0</v>
      </c>
      <c r="P423" t="n">
        <v>0</v>
      </c>
      <c r="Q423" t="n">
        <v>0</v>
      </c>
      <c r="R423" s="2" t="inlineStr"/>
    </row>
    <row r="424" ht="15" customHeight="1">
      <c r="A424" t="inlineStr">
        <is>
          <t>A 28635-2025</t>
        </is>
      </c>
      <c r="B424" s="1" t="n">
        <v>45819.63112268518</v>
      </c>
      <c r="C424" s="1" t="n">
        <v>45994</v>
      </c>
      <c r="D424" t="inlineStr">
        <is>
          <t>DALARNAS LÄN</t>
        </is>
      </c>
      <c r="E424" t="inlineStr">
        <is>
          <t>ORSA</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28317-2025</t>
        </is>
      </c>
      <c r="B425" s="1" t="n">
        <v>45818.6300462963</v>
      </c>
      <c r="C425" s="1" t="n">
        <v>45994</v>
      </c>
      <c r="D425" t="inlineStr">
        <is>
          <t>DALARNAS LÄN</t>
        </is>
      </c>
      <c r="E425" t="inlineStr">
        <is>
          <t>ORSA</t>
        </is>
      </c>
      <c r="F425" t="inlineStr">
        <is>
          <t>Bergvik skog öst AB</t>
        </is>
      </c>
      <c r="G425" t="n">
        <v>1</v>
      </c>
      <c r="H425" t="n">
        <v>0</v>
      </c>
      <c r="I425" t="n">
        <v>0</v>
      </c>
      <c r="J425" t="n">
        <v>0</v>
      </c>
      <c r="K425" t="n">
        <v>0</v>
      </c>
      <c r="L425" t="n">
        <v>0</v>
      </c>
      <c r="M425" t="n">
        <v>0</v>
      </c>
      <c r="N425" t="n">
        <v>0</v>
      </c>
      <c r="O425" t="n">
        <v>0</v>
      </c>
      <c r="P425" t="n">
        <v>0</v>
      </c>
      <c r="Q425" t="n">
        <v>0</v>
      </c>
      <c r="R425" s="2" t="inlineStr"/>
    </row>
    <row r="426" ht="15" customHeight="1">
      <c r="A426" t="inlineStr">
        <is>
          <t>A 28609-2025</t>
        </is>
      </c>
      <c r="B426" s="1" t="n">
        <v>45819.60303240741</v>
      </c>
      <c r="C426" s="1" t="n">
        <v>45994</v>
      </c>
      <c r="D426" t="inlineStr">
        <is>
          <t>DALARNAS LÄN</t>
        </is>
      </c>
      <c r="E426" t="inlineStr">
        <is>
          <t>ORSA</t>
        </is>
      </c>
      <c r="F426" t="inlineStr">
        <is>
          <t>Bergvik skog öst AB</t>
        </is>
      </c>
      <c r="G426" t="n">
        <v>9.1</v>
      </c>
      <c r="H426" t="n">
        <v>0</v>
      </c>
      <c r="I426" t="n">
        <v>0</v>
      </c>
      <c r="J426" t="n">
        <v>0</v>
      </c>
      <c r="K426" t="n">
        <v>0</v>
      </c>
      <c r="L426" t="n">
        <v>0</v>
      </c>
      <c r="M426" t="n">
        <v>0</v>
      </c>
      <c r="N426" t="n">
        <v>0</v>
      </c>
      <c r="O426" t="n">
        <v>0</v>
      </c>
      <c r="P426" t="n">
        <v>0</v>
      </c>
      <c r="Q426" t="n">
        <v>0</v>
      </c>
      <c r="R426" s="2" t="inlineStr"/>
    </row>
    <row r="427" ht="15" customHeight="1">
      <c r="A427" t="inlineStr">
        <is>
          <t>A 45155-2025</t>
        </is>
      </c>
      <c r="B427" s="1" t="n">
        <v>45919.47872685185</v>
      </c>
      <c r="C427" s="1" t="n">
        <v>45994</v>
      </c>
      <c r="D427" t="inlineStr">
        <is>
          <t>DALARNAS LÄN</t>
        </is>
      </c>
      <c r="E427" t="inlineStr">
        <is>
          <t>ORSA</t>
        </is>
      </c>
      <c r="G427" t="n">
        <v>1.5</v>
      </c>
      <c r="H427" t="n">
        <v>0</v>
      </c>
      <c r="I427" t="n">
        <v>0</v>
      </c>
      <c r="J427" t="n">
        <v>0</v>
      </c>
      <c r="K427" t="n">
        <v>0</v>
      </c>
      <c r="L427" t="n">
        <v>0</v>
      </c>
      <c r="M427" t="n">
        <v>0</v>
      </c>
      <c r="N427" t="n">
        <v>0</v>
      </c>
      <c r="O427" t="n">
        <v>0</v>
      </c>
      <c r="P427" t="n">
        <v>0</v>
      </c>
      <c r="Q427" t="n">
        <v>0</v>
      </c>
      <c r="R427" s="2" t="inlineStr"/>
    </row>
    <row r="428" ht="15" customHeight="1">
      <c r="A428" t="inlineStr">
        <is>
          <t>A 33057-2025</t>
        </is>
      </c>
      <c r="B428" s="1" t="n">
        <v>45840</v>
      </c>
      <c r="C428" s="1" t="n">
        <v>45994</v>
      </c>
      <c r="D428" t="inlineStr">
        <is>
          <t>DALARNAS LÄN</t>
        </is>
      </c>
      <c r="E428" t="inlineStr">
        <is>
          <t>ORSA</t>
        </is>
      </c>
      <c r="F428" t="inlineStr">
        <is>
          <t>Bergvik skog öst AB</t>
        </is>
      </c>
      <c r="G428" t="n">
        <v>3.3</v>
      </c>
      <c r="H428" t="n">
        <v>0</v>
      </c>
      <c r="I428" t="n">
        <v>0</v>
      </c>
      <c r="J428" t="n">
        <v>0</v>
      </c>
      <c r="K428" t="n">
        <v>0</v>
      </c>
      <c r="L428" t="n">
        <v>0</v>
      </c>
      <c r="M428" t="n">
        <v>0</v>
      </c>
      <c r="N428" t="n">
        <v>0</v>
      </c>
      <c r="O428" t="n">
        <v>0</v>
      </c>
      <c r="P428" t="n">
        <v>0</v>
      </c>
      <c r="Q428" t="n">
        <v>0</v>
      </c>
      <c r="R428" s="2" t="inlineStr"/>
    </row>
    <row r="429" ht="15" customHeight="1">
      <c r="A429" t="inlineStr">
        <is>
          <t>A 53501-2025</t>
        </is>
      </c>
      <c r="B429" s="1" t="n">
        <v>45960.34216435185</v>
      </c>
      <c r="C429" s="1" t="n">
        <v>45994</v>
      </c>
      <c r="D429" t="inlineStr">
        <is>
          <t>DALARNAS LÄN</t>
        </is>
      </c>
      <c r="E429" t="inlineStr">
        <is>
          <t>ORSA</t>
        </is>
      </c>
      <c r="G429" t="n">
        <v>0.6</v>
      </c>
      <c r="H429" t="n">
        <v>0</v>
      </c>
      <c r="I429" t="n">
        <v>0</v>
      </c>
      <c r="J429" t="n">
        <v>0</v>
      </c>
      <c r="K429" t="n">
        <v>0</v>
      </c>
      <c r="L429" t="n">
        <v>0</v>
      </c>
      <c r="M429" t="n">
        <v>0</v>
      </c>
      <c r="N429" t="n">
        <v>0</v>
      </c>
      <c r="O429" t="n">
        <v>0</v>
      </c>
      <c r="P429" t="n">
        <v>0</v>
      </c>
      <c r="Q429" t="n">
        <v>0</v>
      </c>
      <c r="R429" s="2" t="inlineStr"/>
    </row>
    <row r="430" ht="15" customHeight="1">
      <c r="A430" t="inlineStr">
        <is>
          <t>A 53573-2025</t>
        </is>
      </c>
      <c r="B430" s="1" t="n">
        <v>45960.41716435185</v>
      </c>
      <c r="C430" s="1" t="n">
        <v>45994</v>
      </c>
      <c r="D430" t="inlineStr">
        <is>
          <t>DALARNAS LÄN</t>
        </is>
      </c>
      <c r="E430" t="inlineStr">
        <is>
          <t>ORSA</t>
        </is>
      </c>
      <c r="F430" t="inlineStr">
        <is>
          <t>Bergvik skog öst AB</t>
        </is>
      </c>
      <c r="G430" t="n">
        <v>2.3</v>
      </c>
      <c r="H430" t="n">
        <v>0</v>
      </c>
      <c r="I430" t="n">
        <v>0</v>
      </c>
      <c r="J430" t="n">
        <v>0</v>
      </c>
      <c r="K430" t="n">
        <v>0</v>
      </c>
      <c r="L430" t="n">
        <v>0</v>
      </c>
      <c r="M430" t="n">
        <v>0</v>
      </c>
      <c r="N430" t="n">
        <v>0</v>
      </c>
      <c r="O430" t="n">
        <v>0</v>
      </c>
      <c r="P430" t="n">
        <v>0</v>
      </c>
      <c r="Q430" t="n">
        <v>0</v>
      </c>
      <c r="R430" s="2" t="inlineStr"/>
    </row>
    <row r="431" ht="15" customHeight="1">
      <c r="A431" t="inlineStr">
        <is>
          <t>A 53495-2025</t>
        </is>
      </c>
      <c r="B431" s="1" t="n">
        <v>45960.32577546296</v>
      </c>
      <c r="C431" s="1" t="n">
        <v>45994</v>
      </c>
      <c r="D431" t="inlineStr">
        <is>
          <t>DALARNAS LÄN</t>
        </is>
      </c>
      <c r="E431" t="inlineStr">
        <is>
          <t>ORSA</t>
        </is>
      </c>
      <c r="G431" t="n">
        <v>3.6</v>
      </c>
      <c r="H431" t="n">
        <v>0</v>
      </c>
      <c r="I431" t="n">
        <v>0</v>
      </c>
      <c r="J431" t="n">
        <v>0</v>
      </c>
      <c r="K431" t="n">
        <v>0</v>
      </c>
      <c r="L431" t="n">
        <v>0</v>
      </c>
      <c r="M431" t="n">
        <v>0</v>
      </c>
      <c r="N431" t="n">
        <v>0</v>
      </c>
      <c r="O431" t="n">
        <v>0</v>
      </c>
      <c r="P431" t="n">
        <v>0</v>
      </c>
      <c r="Q431" t="n">
        <v>0</v>
      </c>
      <c r="R431" s="2" t="inlineStr"/>
    </row>
    <row r="432" ht="15" customHeight="1">
      <c r="A432" t="inlineStr">
        <is>
          <t>A 45031-2025</t>
        </is>
      </c>
      <c r="B432" s="1" t="n">
        <v>45918.70020833334</v>
      </c>
      <c r="C432" s="1" t="n">
        <v>45994</v>
      </c>
      <c r="D432" t="inlineStr">
        <is>
          <t>DALARNAS LÄN</t>
        </is>
      </c>
      <c r="E432" t="inlineStr">
        <is>
          <t>ORSA</t>
        </is>
      </c>
      <c r="G432" t="n">
        <v>5</v>
      </c>
      <c r="H432" t="n">
        <v>0</v>
      </c>
      <c r="I432" t="n">
        <v>0</v>
      </c>
      <c r="J432" t="n">
        <v>0</v>
      </c>
      <c r="K432" t="n">
        <v>0</v>
      </c>
      <c r="L432" t="n">
        <v>0</v>
      </c>
      <c r="M432" t="n">
        <v>0</v>
      </c>
      <c r="N432" t="n">
        <v>0</v>
      </c>
      <c r="O432" t="n">
        <v>0</v>
      </c>
      <c r="P432" t="n">
        <v>0</v>
      </c>
      <c r="Q432" t="n">
        <v>0</v>
      </c>
      <c r="R432" s="2" t="inlineStr"/>
    </row>
    <row r="433" ht="15" customHeight="1">
      <c r="A433" t="inlineStr">
        <is>
          <t>A 53855-2025</t>
        </is>
      </c>
      <c r="B433" s="1" t="n">
        <v>45961.37528935185</v>
      </c>
      <c r="C433" s="1" t="n">
        <v>45994</v>
      </c>
      <c r="D433" t="inlineStr">
        <is>
          <t>DALARNAS LÄN</t>
        </is>
      </c>
      <c r="E433" t="inlineStr">
        <is>
          <t>ORSA</t>
        </is>
      </c>
      <c r="G433" t="n">
        <v>11.1</v>
      </c>
      <c r="H433" t="n">
        <v>0</v>
      </c>
      <c r="I433" t="n">
        <v>0</v>
      </c>
      <c r="J433" t="n">
        <v>0</v>
      </c>
      <c r="K433" t="n">
        <v>0</v>
      </c>
      <c r="L433" t="n">
        <v>0</v>
      </c>
      <c r="M433" t="n">
        <v>0</v>
      </c>
      <c r="N433" t="n">
        <v>0</v>
      </c>
      <c r="O433" t="n">
        <v>0</v>
      </c>
      <c r="P433" t="n">
        <v>0</v>
      </c>
      <c r="Q433" t="n">
        <v>0</v>
      </c>
      <c r="R433" s="2" t="inlineStr"/>
    </row>
    <row r="434" ht="15" customHeight="1">
      <c r="A434" t="inlineStr">
        <is>
          <t>A 53572-2025</t>
        </is>
      </c>
      <c r="B434" s="1" t="n">
        <v>45960.4140625</v>
      </c>
      <c r="C434" s="1" t="n">
        <v>45994</v>
      </c>
      <c r="D434" t="inlineStr">
        <is>
          <t>DALARNAS LÄN</t>
        </is>
      </c>
      <c r="E434" t="inlineStr">
        <is>
          <t>ORSA</t>
        </is>
      </c>
      <c r="F434" t="inlineStr">
        <is>
          <t>Bergvik skog öst AB</t>
        </is>
      </c>
      <c r="G434" t="n">
        <v>4.1</v>
      </c>
      <c r="H434" t="n">
        <v>0</v>
      </c>
      <c r="I434" t="n">
        <v>0</v>
      </c>
      <c r="J434" t="n">
        <v>0</v>
      </c>
      <c r="K434" t="n">
        <v>0</v>
      </c>
      <c r="L434" t="n">
        <v>0</v>
      </c>
      <c r="M434" t="n">
        <v>0</v>
      </c>
      <c r="N434" t="n">
        <v>0</v>
      </c>
      <c r="O434" t="n">
        <v>0</v>
      </c>
      <c r="P434" t="n">
        <v>0</v>
      </c>
      <c r="Q434" t="n">
        <v>0</v>
      </c>
      <c r="R434" s="2" t="inlineStr"/>
    </row>
    <row r="435" ht="15" customHeight="1">
      <c r="A435" t="inlineStr">
        <is>
          <t>A 54176-2025</t>
        </is>
      </c>
      <c r="B435" s="1" t="n">
        <v>45964.5500925926</v>
      </c>
      <c r="C435" s="1" t="n">
        <v>45994</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29933-2025</t>
        </is>
      </c>
      <c r="B436" s="1" t="n">
        <v>45826.44121527778</v>
      </c>
      <c r="C436" s="1" t="n">
        <v>45994</v>
      </c>
      <c r="D436" t="inlineStr">
        <is>
          <t>DALARNAS LÄN</t>
        </is>
      </c>
      <c r="E436" t="inlineStr">
        <is>
          <t>ORSA</t>
        </is>
      </c>
      <c r="G436" t="n">
        <v>1.8</v>
      </c>
      <c r="H436" t="n">
        <v>0</v>
      </c>
      <c r="I436" t="n">
        <v>0</v>
      </c>
      <c r="J436" t="n">
        <v>0</v>
      </c>
      <c r="K436" t="n">
        <v>0</v>
      </c>
      <c r="L436" t="n">
        <v>0</v>
      </c>
      <c r="M436" t="n">
        <v>0</v>
      </c>
      <c r="N436" t="n">
        <v>0</v>
      </c>
      <c r="O436" t="n">
        <v>0</v>
      </c>
      <c r="P436" t="n">
        <v>0</v>
      </c>
      <c r="Q436" t="n">
        <v>0</v>
      </c>
      <c r="R436" s="2" t="inlineStr"/>
    </row>
    <row r="437" ht="15" customHeight="1">
      <c r="A437" t="inlineStr">
        <is>
          <t>A 45803-2025</t>
        </is>
      </c>
      <c r="B437" s="1" t="n">
        <v>45923.58125</v>
      </c>
      <c r="C437" s="1" t="n">
        <v>45994</v>
      </c>
      <c r="D437" t="inlineStr">
        <is>
          <t>DALARNAS LÄN</t>
        </is>
      </c>
      <c r="E437" t="inlineStr">
        <is>
          <t>ORSA</t>
        </is>
      </c>
      <c r="F437" t="inlineStr">
        <is>
          <t>Allmännings- och besparingsskogar</t>
        </is>
      </c>
      <c r="G437" t="n">
        <v>3.4</v>
      </c>
      <c r="H437" t="n">
        <v>0</v>
      </c>
      <c r="I437" t="n">
        <v>0</v>
      </c>
      <c r="J437" t="n">
        <v>0</v>
      </c>
      <c r="K437" t="n">
        <v>0</v>
      </c>
      <c r="L437" t="n">
        <v>0</v>
      </c>
      <c r="M437" t="n">
        <v>0</v>
      </c>
      <c r="N437" t="n">
        <v>0</v>
      </c>
      <c r="O437" t="n">
        <v>0</v>
      </c>
      <c r="P437" t="n">
        <v>0</v>
      </c>
      <c r="Q437" t="n">
        <v>0</v>
      </c>
      <c r="R437" s="2" t="inlineStr"/>
    </row>
    <row r="438" ht="15" customHeight="1">
      <c r="A438" t="inlineStr">
        <is>
          <t>A 29844-2025</t>
        </is>
      </c>
      <c r="B438" s="1" t="n">
        <v>45826</v>
      </c>
      <c r="C438" s="1" t="n">
        <v>45994</v>
      </c>
      <c r="D438" t="inlineStr">
        <is>
          <t>DALARNAS LÄN</t>
        </is>
      </c>
      <c r="E438" t="inlineStr">
        <is>
          <t>ORSA</t>
        </is>
      </c>
      <c r="F438" t="inlineStr">
        <is>
          <t>Allmännings- och besparingsskogar</t>
        </is>
      </c>
      <c r="G438" t="n">
        <v>53.9</v>
      </c>
      <c r="H438" t="n">
        <v>0</v>
      </c>
      <c r="I438" t="n">
        <v>0</v>
      </c>
      <c r="J438" t="n">
        <v>0</v>
      </c>
      <c r="K438" t="n">
        <v>0</v>
      </c>
      <c r="L438" t="n">
        <v>0</v>
      </c>
      <c r="M438" t="n">
        <v>0</v>
      </c>
      <c r="N438" t="n">
        <v>0</v>
      </c>
      <c r="O438" t="n">
        <v>0</v>
      </c>
      <c r="P438" t="n">
        <v>0</v>
      </c>
      <c r="Q438" t="n">
        <v>0</v>
      </c>
      <c r="R438" s="2" t="inlineStr"/>
    </row>
    <row r="439" ht="15" customHeight="1">
      <c r="A439" t="inlineStr">
        <is>
          <t>A 54543-2025</t>
        </is>
      </c>
      <c r="B439" s="1" t="n">
        <v>45965.64862268518</v>
      </c>
      <c r="C439" s="1" t="n">
        <v>45994</v>
      </c>
      <c r="D439" t="inlineStr">
        <is>
          <t>DALARNAS LÄN</t>
        </is>
      </c>
      <c r="E439" t="inlineStr">
        <is>
          <t>ORSA</t>
        </is>
      </c>
      <c r="G439" t="n">
        <v>1.7</v>
      </c>
      <c r="H439" t="n">
        <v>0</v>
      </c>
      <c r="I439" t="n">
        <v>0</v>
      </c>
      <c r="J439" t="n">
        <v>0</v>
      </c>
      <c r="K439" t="n">
        <v>0</v>
      </c>
      <c r="L439" t="n">
        <v>0</v>
      </c>
      <c r="M439" t="n">
        <v>0</v>
      </c>
      <c r="N439" t="n">
        <v>0</v>
      </c>
      <c r="O439" t="n">
        <v>0</v>
      </c>
      <c r="P439" t="n">
        <v>0</v>
      </c>
      <c r="Q439" t="n">
        <v>0</v>
      </c>
      <c r="R439" s="2" t="inlineStr"/>
    </row>
    <row r="440" ht="15" customHeight="1">
      <c r="A440" t="inlineStr">
        <is>
          <t>A 54121-2025</t>
        </is>
      </c>
      <c r="B440" s="1" t="n">
        <v>45964.45186342593</v>
      </c>
      <c r="C440" s="1" t="n">
        <v>45994</v>
      </c>
      <c r="D440" t="inlineStr">
        <is>
          <t>DALARNAS LÄN</t>
        </is>
      </c>
      <c r="E440" t="inlineStr">
        <is>
          <t>ORSA</t>
        </is>
      </c>
      <c r="G440" t="n">
        <v>1.2</v>
      </c>
      <c r="H440" t="n">
        <v>0</v>
      </c>
      <c r="I440" t="n">
        <v>0</v>
      </c>
      <c r="J440" t="n">
        <v>0</v>
      </c>
      <c r="K440" t="n">
        <v>0</v>
      </c>
      <c r="L440" t="n">
        <v>0</v>
      </c>
      <c r="M440" t="n">
        <v>0</v>
      </c>
      <c r="N440" t="n">
        <v>0</v>
      </c>
      <c r="O440" t="n">
        <v>0</v>
      </c>
      <c r="P440" t="n">
        <v>0</v>
      </c>
      <c r="Q440" t="n">
        <v>0</v>
      </c>
      <c r="R440" s="2" t="inlineStr"/>
    </row>
    <row r="441" ht="15" customHeight="1">
      <c r="A441" t="inlineStr">
        <is>
          <t>A 54527-2025</t>
        </is>
      </c>
      <c r="B441" s="1" t="n">
        <v>45965.63420138889</v>
      </c>
      <c r="C441" s="1" t="n">
        <v>45994</v>
      </c>
      <c r="D441" t="inlineStr">
        <is>
          <t>DALARNAS LÄN</t>
        </is>
      </c>
      <c r="E441" t="inlineStr">
        <is>
          <t>ORSA</t>
        </is>
      </c>
      <c r="G441" t="n">
        <v>1.9</v>
      </c>
      <c r="H441" t="n">
        <v>0</v>
      </c>
      <c r="I441" t="n">
        <v>0</v>
      </c>
      <c r="J441" t="n">
        <v>0</v>
      </c>
      <c r="K441" t="n">
        <v>0</v>
      </c>
      <c r="L441" t="n">
        <v>0</v>
      </c>
      <c r="M441" t="n">
        <v>0</v>
      </c>
      <c r="N441" t="n">
        <v>0</v>
      </c>
      <c r="O441" t="n">
        <v>0</v>
      </c>
      <c r="P441" t="n">
        <v>0</v>
      </c>
      <c r="Q441" t="n">
        <v>0</v>
      </c>
      <c r="R441" s="2" t="inlineStr"/>
    </row>
    <row r="442" ht="15" customHeight="1">
      <c r="A442" t="inlineStr">
        <is>
          <t>A 31365-2025</t>
        </is>
      </c>
      <c r="B442" s="1" t="n">
        <v>45833.43884259259</v>
      </c>
      <c r="C442" s="1" t="n">
        <v>45994</v>
      </c>
      <c r="D442" t="inlineStr">
        <is>
          <t>DALARNAS LÄN</t>
        </is>
      </c>
      <c r="E442" t="inlineStr">
        <is>
          <t>ORSA</t>
        </is>
      </c>
      <c r="G442" t="n">
        <v>1.6</v>
      </c>
      <c r="H442" t="n">
        <v>0</v>
      </c>
      <c r="I442" t="n">
        <v>0</v>
      </c>
      <c r="J442" t="n">
        <v>0</v>
      </c>
      <c r="K442" t="n">
        <v>0</v>
      </c>
      <c r="L442" t="n">
        <v>0</v>
      </c>
      <c r="M442" t="n">
        <v>0</v>
      </c>
      <c r="N442" t="n">
        <v>0</v>
      </c>
      <c r="O442" t="n">
        <v>0</v>
      </c>
      <c r="P442" t="n">
        <v>0</v>
      </c>
      <c r="Q442" t="n">
        <v>0</v>
      </c>
      <c r="R442" s="2" t="inlineStr"/>
    </row>
    <row r="443" ht="15" customHeight="1">
      <c r="A443" t="inlineStr">
        <is>
          <t>A 54509-2025</t>
        </is>
      </c>
      <c r="B443" s="1" t="n">
        <v>45965.61920138889</v>
      </c>
      <c r="C443" s="1" t="n">
        <v>45994</v>
      </c>
      <c r="D443" t="inlineStr">
        <is>
          <t>DALARNAS LÄN</t>
        </is>
      </c>
      <c r="E443" t="inlineStr">
        <is>
          <t>ORSA</t>
        </is>
      </c>
      <c r="G443" t="n">
        <v>1.7</v>
      </c>
      <c r="H443" t="n">
        <v>0</v>
      </c>
      <c r="I443" t="n">
        <v>0</v>
      </c>
      <c r="J443" t="n">
        <v>0</v>
      </c>
      <c r="K443" t="n">
        <v>0</v>
      </c>
      <c r="L443" t="n">
        <v>0</v>
      </c>
      <c r="M443" t="n">
        <v>0</v>
      </c>
      <c r="N443" t="n">
        <v>0</v>
      </c>
      <c r="O443" t="n">
        <v>0</v>
      </c>
      <c r="P443" t="n">
        <v>0</v>
      </c>
      <c r="Q443" t="n">
        <v>0</v>
      </c>
      <c r="R443" s="2" t="inlineStr"/>
    </row>
    <row r="444" ht="15" customHeight="1">
      <c r="A444" t="inlineStr">
        <is>
          <t>A 54676-2025</t>
        </is>
      </c>
      <c r="B444" s="1" t="n">
        <v>45966.42188657408</v>
      </c>
      <c r="C444" s="1" t="n">
        <v>45994</v>
      </c>
      <c r="D444" t="inlineStr">
        <is>
          <t>DALARNAS LÄN</t>
        </is>
      </c>
      <c r="E444" t="inlineStr">
        <is>
          <t>ORSA</t>
        </is>
      </c>
      <c r="F444" t="inlineStr">
        <is>
          <t>Allmännings- och besparingsskogar</t>
        </is>
      </c>
      <c r="G444" t="n">
        <v>4.6</v>
      </c>
      <c r="H444" t="n">
        <v>0</v>
      </c>
      <c r="I444" t="n">
        <v>0</v>
      </c>
      <c r="J444" t="n">
        <v>0</v>
      </c>
      <c r="K444" t="n">
        <v>0</v>
      </c>
      <c r="L444" t="n">
        <v>0</v>
      </c>
      <c r="M444" t="n">
        <v>0</v>
      </c>
      <c r="N444" t="n">
        <v>0</v>
      </c>
      <c r="O444" t="n">
        <v>0</v>
      </c>
      <c r="P444" t="n">
        <v>0</v>
      </c>
      <c r="Q444" t="n">
        <v>0</v>
      </c>
      <c r="R444" s="2" t="inlineStr"/>
    </row>
    <row r="445" ht="15" customHeight="1">
      <c r="A445" t="inlineStr">
        <is>
          <t>A 54782-2025</t>
        </is>
      </c>
      <c r="B445" s="1" t="n">
        <v>45966.61878472222</v>
      </c>
      <c r="C445" s="1" t="n">
        <v>45994</v>
      </c>
      <c r="D445" t="inlineStr">
        <is>
          <t>DALARNAS LÄN</t>
        </is>
      </c>
      <c r="E445" t="inlineStr">
        <is>
          <t>ORSA</t>
        </is>
      </c>
      <c r="G445" t="n">
        <v>3.8</v>
      </c>
      <c r="H445" t="n">
        <v>0</v>
      </c>
      <c r="I445" t="n">
        <v>0</v>
      </c>
      <c r="J445" t="n">
        <v>0</v>
      </c>
      <c r="K445" t="n">
        <v>0</v>
      </c>
      <c r="L445" t="n">
        <v>0</v>
      </c>
      <c r="M445" t="n">
        <v>0</v>
      </c>
      <c r="N445" t="n">
        <v>0</v>
      </c>
      <c r="O445" t="n">
        <v>0</v>
      </c>
      <c r="P445" t="n">
        <v>0</v>
      </c>
      <c r="Q445" t="n">
        <v>0</v>
      </c>
      <c r="R445" s="2" t="inlineStr"/>
    </row>
    <row r="446" ht="15" customHeight="1">
      <c r="A446" t="inlineStr">
        <is>
          <t>A 46242-2025</t>
        </is>
      </c>
      <c r="B446" s="1" t="n">
        <v>45925.31876157408</v>
      </c>
      <c r="C446" s="1" t="n">
        <v>45994</v>
      </c>
      <c r="D446" t="inlineStr">
        <is>
          <t>DALARNAS LÄN</t>
        </is>
      </c>
      <c r="E446" t="inlineStr">
        <is>
          <t>ORSA</t>
        </is>
      </c>
      <c r="G446" t="n">
        <v>5.6</v>
      </c>
      <c r="H446" t="n">
        <v>0</v>
      </c>
      <c r="I446" t="n">
        <v>0</v>
      </c>
      <c r="J446" t="n">
        <v>0</v>
      </c>
      <c r="K446" t="n">
        <v>0</v>
      </c>
      <c r="L446" t="n">
        <v>0</v>
      </c>
      <c r="M446" t="n">
        <v>0</v>
      </c>
      <c r="N446" t="n">
        <v>0</v>
      </c>
      <c r="O446" t="n">
        <v>0</v>
      </c>
      <c r="P446" t="n">
        <v>0</v>
      </c>
      <c r="Q446" t="n">
        <v>0</v>
      </c>
      <c r="R446" s="2" t="inlineStr"/>
    </row>
    <row r="447" ht="15" customHeight="1">
      <c r="A447" t="inlineStr">
        <is>
          <t>A 54776-2025</t>
        </is>
      </c>
      <c r="B447" s="1" t="n">
        <v>45966.61395833334</v>
      </c>
      <c r="C447" s="1" t="n">
        <v>45994</v>
      </c>
      <c r="D447" t="inlineStr">
        <is>
          <t>DALARNAS LÄN</t>
        </is>
      </c>
      <c r="E447" t="inlineStr">
        <is>
          <t>ORSA</t>
        </is>
      </c>
      <c r="G447" t="n">
        <v>4.8</v>
      </c>
      <c r="H447" t="n">
        <v>0</v>
      </c>
      <c r="I447" t="n">
        <v>0</v>
      </c>
      <c r="J447" t="n">
        <v>0</v>
      </c>
      <c r="K447" t="n">
        <v>0</v>
      </c>
      <c r="L447" t="n">
        <v>0</v>
      </c>
      <c r="M447" t="n">
        <v>0</v>
      </c>
      <c r="N447" t="n">
        <v>0</v>
      </c>
      <c r="O447" t="n">
        <v>0</v>
      </c>
      <c r="P447" t="n">
        <v>0</v>
      </c>
      <c r="Q447" t="n">
        <v>0</v>
      </c>
      <c r="R447" s="2" t="inlineStr"/>
    </row>
    <row r="448" ht="15" customHeight="1">
      <c r="A448" t="inlineStr">
        <is>
          <t>A 46402-2025</t>
        </is>
      </c>
      <c r="B448" s="1" t="n">
        <v>45925.56084490741</v>
      </c>
      <c r="C448" s="1" t="n">
        <v>45994</v>
      </c>
      <c r="D448" t="inlineStr">
        <is>
          <t>DALARNAS LÄN</t>
        </is>
      </c>
      <c r="E448" t="inlineStr">
        <is>
          <t>ORSA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46277-2025</t>
        </is>
      </c>
      <c r="B449" s="1" t="n">
        <v>45925.37229166667</v>
      </c>
      <c r="C449" s="1" t="n">
        <v>45994</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46279-2025</t>
        </is>
      </c>
      <c r="B450" s="1" t="n">
        <v>45925.37534722222</v>
      </c>
      <c r="C450" s="1" t="n">
        <v>45994</v>
      </c>
      <c r="D450" t="inlineStr">
        <is>
          <t>DALARNAS LÄN</t>
        </is>
      </c>
      <c r="E450" t="inlineStr">
        <is>
          <t>ORSA</t>
        </is>
      </c>
      <c r="G450" t="n">
        <v>2.2</v>
      </c>
      <c r="H450" t="n">
        <v>0</v>
      </c>
      <c r="I450" t="n">
        <v>0</v>
      </c>
      <c r="J450" t="n">
        <v>0</v>
      </c>
      <c r="K450" t="n">
        <v>0</v>
      </c>
      <c r="L450" t="n">
        <v>0</v>
      </c>
      <c r="M450" t="n">
        <v>0</v>
      </c>
      <c r="N450" t="n">
        <v>0</v>
      </c>
      <c r="O450" t="n">
        <v>0</v>
      </c>
      <c r="P450" t="n">
        <v>0</v>
      </c>
      <c r="Q450" t="n">
        <v>0</v>
      </c>
      <c r="R450" s="2" t="inlineStr"/>
    </row>
    <row r="451" ht="15" customHeight="1">
      <c r="A451" t="inlineStr">
        <is>
          <t>A 31634-2025</t>
        </is>
      </c>
      <c r="B451" s="1" t="n">
        <v>45834</v>
      </c>
      <c r="C451" s="1" t="n">
        <v>45994</v>
      </c>
      <c r="D451" t="inlineStr">
        <is>
          <t>DALARNAS LÄN</t>
        </is>
      </c>
      <c r="E451" t="inlineStr">
        <is>
          <t>ORSA</t>
        </is>
      </c>
      <c r="G451" t="n">
        <v>2</v>
      </c>
      <c r="H451" t="n">
        <v>0</v>
      </c>
      <c r="I451" t="n">
        <v>0</v>
      </c>
      <c r="J451" t="n">
        <v>0</v>
      </c>
      <c r="K451" t="n">
        <v>0</v>
      </c>
      <c r="L451" t="n">
        <v>0</v>
      </c>
      <c r="M451" t="n">
        <v>0</v>
      </c>
      <c r="N451" t="n">
        <v>0</v>
      </c>
      <c r="O451" t="n">
        <v>0</v>
      </c>
      <c r="P451" t="n">
        <v>0</v>
      </c>
      <c r="Q451" t="n">
        <v>0</v>
      </c>
      <c r="R451" s="2" t="inlineStr"/>
    </row>
    <row r="452" ht="15" customHeight="1">
      <c r="A452" t="inlineStr">
        <is>
          <t>A 54726-2025</t>
        </is>
      </c>
      <c r="B452" s="1" t="n">
        <v>45966.54658564815</v>
      </c>
      <c r="C452" s="1" t="n">
        <v>45994</v>
      </c>
      <c r="D452" t="inlineStr">
        <is>
          <t>DALARNAS LÄN</t>
        </is>
      </c>
      <c r="E452" t="inlineStr">
        <is>
          <t>ORSA</t>
        </is>
      </c>
      <c r="G452" t="n">
        <v>4.8</v>
      </c>
      <c r="H452" t="n">
        <v>0</v>
      </c>
      <c r="I452" t="n">
        <v>0</v>
      </c>
      <c r="J452" t="n">
        <v>0</v>
      </c>
      <c r="K452" t="n">
        <v>0</v>
      </c>
      <c r="L452" t="n">
        <v>0</v>
      </c>
      <c r="M452" t="n">
        <v>0</v>
      </c>
      <c r="N452" t="n">
        <v>0</v>
      </c>
      <c r="O452" t="n">
        <v>0</v>
      </c>
      <c r="P452" t="n">
        <v>0</v>
      </c>
      <c r="Q452" t="n">
        <v>0</v>
      </c>
      <c r="R452" s="2" t="inlineStr"/>
    </row>
    <row r="453" ht="15" customHeight="1">
      <c r="A453" t="inlineStr">
        <is>
          <t>A 46421-2025</t>
        </is>
      </c>
      <c r="B453" s="1" t="n">
        <v>45925.59936342593</v>
      </c>
      <c r="C453" s="1" t="n">
        <v>45994</v>
      </c>
      <c r="D453" t="inlineStr">
        <is>
          <t>DALARNAS LÄN</t>
        </is>
      </c>
      <c r="E453" t="inlineStr">
        <is>
          <t>ORSA</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31659-2025</t>
        </is>
      </c>
      <c r="B454" s="1" t="n">
        <v>45834.35421296296</v>
      </c>
      <c r="C454" s="1" t="n">
        <v>45994</v>
      </c>
      <c r="D454" t="inlineStr">
        <is>
          <t>DALARNAS LÄN</t>
        </is>
      </c>
      <c r="E454" t="inlineStr">
        <is>
          <t>ORSA</t>
        </is>
      </c>
      <c r="G454" t="n">
        <v>1.4</v>
      </c>
      <c r="H454" t="n">
        <v>0</v>
      </c>
      <c r="I454" t="n">
        <v>0</v>
      </c>
      <c r="J454" t="n">
        <v>0</v>
      </c>
      <c r="K454" t="n">
        <v>0</v>
      </c>
      <c r="L454" t="n">
        <v>0</v>
      </c>
      <c r="M454" t="n">
        <v>0</v>
      </c>
      <c r="N454" t="n">
        <v>0</v>
      </c>
      <c r="O454" t="n">
        <v>0</v>
      </c>
      <c r="P454" t="n">
        <v>0</v>
      </c>
      <c r="Q454" t="n">
        <v>0</v>
      </c>
      <c r="R454" s="2" t="inlineStr"/>
    </row>
    <row r="455" ht="15" customHeight="1">
      <c r="A455" t="inlineStr">
        <is>
          <t>A 46272-2025</t>
        </is>
      </c>
      <c r="B455" s="1" t="n">
        <v>45925.36988425926</v>
      </c>
      <c r="C455" s="1" t="n">
        <v>45994</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54773-2025</t>
        </is>
      </c>
      <c r="B456" s="1" t="n">
        <v>45966.61081018519</v>
      </c>
      <c r="C456" s="1" t="n">
        <v>45994</v>
      </c>
      <c r="D456" t="inlineStr">
        <is>
          <t>DALARNAS LÄN</t>
        </is>
      </c>
      <c r="E456" t="inlineStr">
        <is>
          <t>ORSA</t>
        </is>
      </c>
      <c r="G456" t="n">
        <v>3.6</v>
      </c>
      <c r="H456" t="n">
        <v>0</v>
      </c>
      <c r="I456" t="n">
        <v>0</v>
      </c>
      <c r="J456" t="n">
        <v>0</v>
      </c>
      <c r="K456" t="n">
        <v>0</v>
      </c>
      <c r="L456" t="n">
        <v>0</v>
      </c>
      <c r="M456" t="n">
        <v>0</v>
      </c>
      <c r="N456" t="n">
        <v>0</v>
      </c>
      <c r="O456" t="n">
        <v>0</v>
      </c>
      <c r="P456" t="n">
        <v>0</v>
      </c>
      <c r="Q456" t="n">
        <v>0</v>
      </c>
      <c r="R456" s="2" t="inlineStr"/>
    </row>
    <row r="457" ht="15" customHeight="1">
      <c r="A457" t="inlineStr">
        <is>
          <t>A 32325-2025</t>
        </is>
      </c>
      <c r="B457" s="1" t="n">
        <v>45836</v>
      </c>
      <c r="C457" s="1" t="n">
        <v>45994</v>
      </c>
      <c r="D457" t="inlineStr">
        <is>
          <t>DALARNAS LÄN</t>
        </is>
      </c>
      <c r="E457" t="inlineStr">
        <is>
          <t>ORSA</t>
        </is>
      </c>
      <c r="G457" t="n">
        <v>3.8</v>
      </c>
      <c r="H457" t="n">
        <v>0</v>
      </c>
      <c r="I457" t="n">
        <v>0</v>
      </c>
      <c r="J457" t="n">
        <v>0</v>
      </c>
      <c r="K457" t="n">
        <v>0</v>
      </c>
      <c r="L457" t="n">
        <v>0</v>
      </c>
      <c r="M457" t="n">
        <v>0</v>
      </c>
      <c r="N457" t="n">
        <v>0</v>
      </c>
      <c r="O457" t="n">
        <v>0</v>
      </c>
      <c r="P457" t="n">
        <v>0</v>
      </c>
      <c r="Q457" t="n">
        <v>0</v>
      </c>
      <c r="R457" s="2" t="inlineStr"/>
    </row>
    <row r="458" ht="15" customHeight="1">
      <c r="A458" t="inlineStr">
        <is>
          <t>A 55105-2025</t>
        </is>
      </c>
      <c r="B458" s="1" t="n">
        <v>45968.36422453704</v>
      </c>
      <c r="C458" s="1" t="n">
        <v>45994</v>
      </c>
      <c r="D458" t="inlineStr">
        <is>
          <t>DALARNAS LÄN</t>
        </is>
      </c>
      <c r="E458" t="inlineStr">
        <is>
          <t>ORSA</t>
        </is>
      </c>
      <c r="F458" t="inlineStr">
        <is>
          <t>Allmännings- och besparingsskogar</t>
        </is>
      </c>
      <c r="G458" t="n">
        <v>31.5</v>
      </c>
      <c r="H458" t="n">
        <v>0</v>
      </c>
      <c r="I458" t="n">
        <v>0</v>
      </c>
      <c r="J458" t="n">
        <v>0</v>
      </c>
      <c r="K458" t="n">
        <v>0</v>
      </c>
      <c r="L458" t="n">
        <v>0</v>
      </c>
      <c r="M458" t="n">
        <v>0</v>
      </c>
      <c r="N458" t="n">
        <v>0</v>
      </c>
      <c r="O458" t="n">
        <v>0</v>
      </c>
      <c r="P458" t="n">
        <v>0</v>
      </c>
      <c r="Q458" t="n">
        <v>0</v>
      </c>
      <c r="R458" s="2" t="inlineStr"/>
    </row>
    <row r="459" ht="15" customHeight="1">
      <c r="A459" t="inlineStr">
        <is>
          <t>A 32984-2025</t>
        </is>
      </c>
      <c r="B459" s="1" t="n">
        <v>45839.93006944445</v>
      </c>
      <c r="C459" s="1" t="n">
        <v>45994</v>
      </c>
      <c r="D459" t="inlineStr">
        <is>
          <t>DALARNAS LÄN</t>
        </is>
      </c>
      <c r="E459" t="inlineStr">
        <is>
          <t>ORSA</t>
        </is>
      </c>
      <c r="G459" t="n">
        <v>0.5</v>
      </c>
      <c r="H459" t="n">
        <v>0</v>
      </c>
      <c r="I459" t="n">
        <v>0</v>
      </c>
      <c r="J459" t="n">
        <v>0</v>
      </c>
      <c r="K459" t="n">
        <v>0</v>
      </c>
      <c r="L459" t="n">
        <v>0</v>
      </c>
      <c r="M459" t="n">
        <v>0</v>
      </c>
      <c r="N459" t="n">
        <v>0</v>
      </c>
      <c r="O459" t="n">
        <v>0</v>
      </c>
      <c r="P459" t="n">
        <v>0</v>
      </c>
      <c r="Q459" t="n">
        <v>0</v>
      </c>
      <c r="R459" s="2" t="inlineStr"/>
    </row>
    <row r="460" ht="15" customHeight="1">
      <c r="A460" t="inlineStr">
        <is>
          <t>A 32985-2025</t>
        </is>
      </c>
      <c r="B460" s="1" t="n">
        <v>45839.93033564815</v>
      </c>
      <c r="C460" s="1" t="n">
        <v>45994</v>
      </c>
      <c r="D460" t="inlineStr">
        <is>
          <t>DALARNAS LÄN</t>
        </is>
      </c>
      <c r="E460" t="inlineStr">
        <is>
          <t>ORSA</t>
        </is>
      </c>
      <c r="G460" t="n">
        <v>1.6</v>
      </c>
      <c r="H460" t="n">
        <v>0</v>
      </c>
      <c r="I460" t="n">
        <v>0</v>
      </c>
      <c r="J460" t="n">
        <v>0</v>
      </c>
      <c r="K460" t="n">
        <v>0</v>
      </c>
      <c r="L460" t="n">
        <v>0</v>
      </c>
      <c r="M460" t="n">
        <v>0</v>
      </c>
      <c r="N460" t="n">
        <v>0</v>
      </c>
      <c r="O460" t="n">
        <v>0</v>
      </c>
      <c r="P460" t="n">
        <v>0</v>
      </c>
      <c r="Q460" t="n">
        <v>0</v>
      </c>
      <c r="R460" s="2" t="inlineStr"/>
    </row>
    <row r="461" ht="15" customHeight="1">
      <c r="A461" t="inlineStr">
        <is>
          <t>A 33158-2025</t>
        </is>
      </c>
      <c r="B461" s="1" t="n">
        <v>45840</v>
      </c>
      <c r="C461" s="1" t="n">
        <v>45994</v>
      </c>
      <c r="D461" t="inlineStr">
        <is>
          <t>DALARNAS LÄN</t>
        </is>
      </c>
      <c r="E461" t="inlineStr">
        <is>
          <t>ORSA</t>
        </is>
      </c>
      <c r="F461" t="inlineStr">
        <is>
          <t>Bergvik skog öst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33394-2025</t>
        </is>
      </c>
      <c r="B462" s="1" t="n">
        <v>45841.41704861111</v>
      </c>
      <c r="C462" s="1" t="n">
        <v>45994</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33059-2025</t>
        </is>
      </c>
      <c r="B463" s="1" t="n">
        <v>45840.43072916667</v>
      </c>
      <c r="C463" s="1" t="n">
        <v>45994</v>
      </c>
      <c r="D463" t="inlineStr">
        <is>
          <t>DALARNAS LÄN</t>
        </is>
      </c>
      <c r="E463" t="inlineStr">
        <is>
          <t>ORSA</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33209-2025</t>
        </is>
      </c>
      <c r="B464" s="1" t="n">
        <v>45840.62648148148</v>
      </c>
      <c r="C464" s="1" t="n">
        <v>45994</v>
      </c>
      <c r="D464" t="inlineStr">
        <is>
          <t>DALARNAS LÄN</t>
        </is>
      </c>
      <c r="E464" t="inlineStr">
        <is>
          <t>ORSA</t>
        </is>
      </c>
      <c r="G464" t="n">
        <v>1.3</v>
      </c>
      <c r="H464" t="n">
        <v>0</v>
      </c>
      <c r="I464" t="n">
        <v>0</v>
      </c>
      <c r="J464" t="n">
        <v>0</v>
      </c>
      <c r="K464" t="n">
        <v>0</v>
      </c>
      <c r="L464" t="n">
        <v>0</v>
      </c>
      <c r="M464" t="n">
        <v>0</v>
      </c>
      <c r="N464" t="n">
        <v>0</v>
      </c>
      <c r="O464" t="n">
        <v>0</v>
      </c>
      <c r="P464" t="n">
        <v>0</v>
      </c>
      <c r="Q464" t="n">
        <v>0</v>
      </c>
      <c r="R464" s="2" t="inlineStr"/>
    </row>
    <row r="465" ht="15" customHeight="1">
      <c r="A465" t="inlineStr">
        <is>
          <t>A 55405-2025</t>
        </is>
      </c>
      <c r="B465" s="1" t="n">
        <v>45971.45525462963</v>
      </c>
      <c r="C465" s="1" t="n">
        <v>45994</v>
      </c>
      <c r="D465" t="inlineStr">
        <is>
          <t>DALARNAS LÄN</t>
        </is>
      </c>
      <c r="E465" t="inlineStr">
        <is>
          <t>ORSA</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33214-2025</t>
        </is>
      </c>
      <c r="B466" s="1" t="n">
        <v>45840.6295949074</v>
      </c>
      <c r="C466" s="1" t="n">
        <v>45994</v>
      </c>
      <c r="D466" t="inlineStr">
        <is>
          <t>DALARNAS LÄN</t>
        </is>
      </c>
      <c r="E466" t="inlineStr">
        <is>
          <t>ORSA</t>
        </is>
      </c>
      <c r="G466" t="n">
        <v>0.7</v>
      </c>
      <c r="H466" t="n">
        <v>0</v>
      </c>
      <c r="I466" t="n">
        <v>0</v>
      </c>
      <c r="J466" t="n">
        <v>0</v>
      </c>
      <c r="K466" t="n">
        <v>0</v>
      </c>
      <c r="L466" t="n">
        <v>0</v>
      </c>
      <c r="M466" t="n">
        <v>0</v>
      </c>
      <c r="N466" t="n">
        <v>0</v>
      </c>
      <c r="O466" t="n">
        <v>0</v>
      </c>
      <c r="P466" t="n">
        <v>0</v>
      </c>
      <c r="Q466" t="n">
        <v>0</v>
      </c>
      <c r="R466" s="2" t="inlineStr"/>
    </row>
    <row r="467" ht="15" customHeight="1">
      <c r="A467" t="inlineStr">
        <is>
          <t>A 33374-2025</t>
        </is>
      </c>
      <c r="B467" s="1" t="n">
        <v>45841.39582175926</v>
      </c>
      <c r="C467" s="1" t="n">
        <v>45994</v>
      </c>
      <c r="D467" t="inlineStr">
        <is>
          <t>DALARNAS LÄN</t>
        </is>
      </c>
      <c r="E467" t="inlineStr">
        <is>
          <t>ORSA</t>
        </is>
      </c>
      <c r="G467" t="n">
        <v>1</v>
      </c>
      <c r="H467" t="n">
        <v>0</v>
      </c>
      <c r="I467" t="n">
        <v>0</v>
      </c>
      <c r="J467" t="n">
        <v>0</v>
      </c>
      <c r="K467" t="n">
        <v>0</v>
      </c>
      <c r="L467" t="n">
        <v>0</v>
      </c>
      <c r="M467" t="n">
        <v>0</v>
      </c>
      <c r="N467" t="n">
        <v>0</v>
      </c>
      <c r="O467" t="n">
        <v>0</v>
      </c>
      <c r="P467" t="n">
        <v>0</v>
      </c>
      <c r="Q467" t="n">
        <v>0</v>
      </c>
      <c r="R467" s="2" t="inlineStr"/>
    </row>
    <row r="468" ht="15" customHeight="1">
      <c r="A468" t="inlineStr">
        <is>
          <t>A 55369-2025</t>
        </is>
      </c>
      <c r="B468" s="1" t="n">
        <v>45971.41472222222</v>
      </c>
      <c r="C468" s="1" t="n">
        <v>45994</v>
      </c>
      <c r="D468" t="inlineStr">
        <is>
          <t>DALARNAS LÄN</t>
        </is>
      </c>
      <c r="E468" t="inlineStr">
        <is>
          <t>ORSA</t>
        </is>
      </c>
      <c r="F468" t="inlineStr">
        <is>
          <t>Bergvik skog öst AB</t>
        </is>
      </c>
      <c r="G468" t="n">
        <v>1.7</v>
      </c>
      <c r="H468" t="n">
        <v>0</v>
      </c>
      <c r="I468" t="n">
        <v>0</v>
      </c>
      <c r="J468" t="n">
        <v>0</v>
      </c>
      <c r="K468" t="n">
        <v>0</v>
      </c>
      <c r="L468" t="n">
        <v>0</v>
      </c>
      <c r="M468" t="n">
        <v>0</v>
      </c>
      <c r="N468" t="n">
        <v>0</v>
      </c>
      <c r="O468" t="n">
        <v>0</v>
      </c>
      <c r="P468" t="n">
        <v>0</v>
      </c>
      <c r="Q468" t="n">
        <v>0</v>
      </c>
      <c r="R468" s="2" t="inlineStr"/>
    </row>
    <row r="469" ht="15" customHeight="1">
      <c r="A469" t="inlineStr">
        <is>
          <t>A 33884-2025</t>
        </is>
      </c>
      <c r="B469" s="1" t="n">
        <v>45842.57081018519</v>
      </c>
      <c r="C469" s="1" t="n">
        <v>45994</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33951-2025</t>
        </is>
      </c>
      <c r="B470" s="1" t="n">
        <v>45842.66791666667</v>
      </c>
      <c r="C470" s="1" t="n">
        <v>45994</v>
      </c>
      <c r="D470" t="inlineStr">
        <is>
          <t>DALARNAS LÄN</t>
        </is>
      </c>
      <c r="E470" t="inlineStr">
        <is>
          <t>ORSA</t>
        </is>
      </c>
      <c r="G470" t="n">
        <v>1.2</v>
      </c>
      <c r="H470" t="n">
        <v>0</v>
      </c>
      <c r="I470" t="n">
        <v>0</v>
      </c>
      <c r="J470" t="n">
        <v>0</v>
      </c>
      <c r="K470" t="n">
        <v>0</v>
      </c>
      <c r="L470" t="n">
        <v>0</v>
      </c>
      <c r="M470" t="n">
        <v>0</v>
      </c>
      <c r="N470" t="n">
        <v>0</v>
      </c>
      <c r="O470" t="n">
        <v>0</v>
      </c>
      <c r="P470" t="n">
        <v>0</v>
      </c>
      <c r="Q470" t="n">
        <v>0</v>
      </c>
      <c r="R470" s="2" t="inlineStr"/>
    </row>
    <row r="471" ht="15" customHeight="1">
      <c r="A471" t="inlineStr">
        <is>
          <t>A 33835-2025</t>
        </is>
      </c>
      <c r="B471" s="1" t="n">
        <v>45842.47619212963</v>
      </c>
      <c r="C471" s="1" t="n">
        <v>45994</v>
      </c>
      <c r="D471" t="inlineStr">
        <is>
          <t>DALARNAS LÄN</t>
        </is>
      </c>
      <c r="E471" t="inlineStr">
        <is>
          <t>ORSA</t>
        </is>
      </c>
      <c r="G471" t="n">
        <v>15.2</v>
      </c>
      <c r="H471" t="n">
        <v>0</v>
      </c>
      <c r="I471" t="n">
        <v>0</v>
      </c>
      <c r="J471" t="n">
        <v>0</v>
      </c>
      <c r="K471" t="n">
        <v>0</v>
      </c>
      <c r="L471" t="n">
        <v>0</v>
      </c>
      <c r="M471" t="n">
        <v>0</v>
      </c>
      <c r="N471" t="n">
        <v>0</v>
      </c>
      <c r="O471" t="n">
        <v>0</v>
      </c>
      <c r="P471" t="n">
        <v>0</v>
      </c>
      <c r="Q471" t="n">
        <v>0</v>
      </c>
      <c r="R471" s="2" t="inlineStr"/>
    </row>
    <row r="472" ht="15" customHeight="1">
      <c r="A472" t="inlineStr">
        <is>
          <t>A 33857-2025</t>
        </is>
      </c>
      <c r="B472" s="1" t="n">
        <v>45842.51953703703</v>
      </c>
      <c r="C472" s="1" t="n">
        <v>45994</v>
      </c>
      <c r="D472" t="inlineStr">
        <is>
          <t>DALARNAS LÄN</t>
        </is>
      </c>
      <c r="E472" t="inlineStr">
        <is>
          <t>ORSA</t>
        </is>
      </c>
      <c r="G472" t="n">
        <v>1.3</v>
      </c>
      <c r="H472" t="n">
        <v>0</v>
      </c>
      <c r="I472" t="n">
        <v>0</v>
      </c>
      <c r="J472" t="n">
        <v>0</v>
      </c>
      <c r="K472" t="n">
        <v>0</v>
      </c>
      <c r="L472" t="n">
        <v>0</v>
      </c>
      <c r="M472" t="n">
        <v>0</v>
      </c>
      <c r="N472" t="n">
        <v>0</v>
      </c>
      <c r="O472" t="n">
        <v>0</v>
      </c>
      <c r="P472" t="n">
        <v>0</v>
      </c>
      <c r="Q472" t="n">
        <v>0</v>
      </c>
      <c r="R472" s="2" t="inlineStr"/>
    </row>
    <row r="473" ht="15" customHeight="1">
      <c r="A473" t="inlineStr">
        <is>
          <t>A 34001-2025</t>
        </is>
      </c>
      <c r="B473" s="1" t="n">
        <v>45844</v>
      </c>
      <c r="C473" s="1" t="n">
        <v>45994</v>
      </c>
      <c r="D473" t="inlineStr">
        <is>
          <t>DALARNAS LÄN</t>
        </is>
      </c>
      <c r="E473" t="inlineStr">
        <is>
          <t>ORSA</t>
        </is>
      </c>
      <c r="F473" t="inlineStr">
        <is>
          <t>Bergvik skog öst AB</t>
        </is>
      </c>
      <c r="G473" t="n">
        <v>13.4</v>
      </c>
      <c r="H473" t="n">
        <v>0</v>
      </c>
      <c r="I473" t="n">
        <v>0</v>
      </c>
      <c r="J473" t="n">
        <v>0</v>
      </c>
      <c r="K473" t="n">
        <v>0</v>
      </c>
      <c r="L473" t="n">
        <v>0</v>
      </c>
      <c r="M473" t="n">
        <v>0</v>
      </c>
      <c r="N473" t="n">
        <v>0</v>
      </c>
      <c r="O473" t="n">
        <v>0</v>
      </c>
      <c r="P473" t="n">
        <v>0</v>
      </c>
      <c r="Q473" t="n">
        <v>0</v>
      </c>
      <c r="R473" s="2" t="inlineStr"/>
    </row>
    <row r="474" ht="15" customHeight="1">
      <c r="A474" t="inlineStr">
        <is>
          <t>A 34744-2025</t>
        </is>
      </c>
      <c r="B474" s="1" t="n">
        <v>45848.6125</v>
      </c>
      <c r="C474" s="1" t="n">
        <v>45994</v>
      </c>
      <c r="D474" t="inlineStr">
        <is>
          <t>DALARNAS LÄN</t>
        </is>
      </c>
      <c r="E474" t="inlineStr">
        <is>
          <t>ORSA</t>
        </is>
      </c>
      <c r="G474" t="n">
        <v>1.7</v>
      </c>
      <c r="H474" t="n">
        <v>0</v>
      </c>
      <c r="I474" t="n">
        <v>0</v>
      </c>
      <c r="J474" t="n">
        <v>0</v>
      </c>
      <c r="K474" t="n">
        <v>0</v>
      </c>
      <c r="L474" t="n">
        <v>0</v>
      </c>
      <c r="M474" t="n">
        <v>0</v>
      </c>
      <c r="N474" t="n">
        <v>0</v>
      </c>
      <c r="O474" t="n">
        <v>0</v>
      </c>
      <c r="P474" t="n">
        <v>0</v>
      </c>
      <c r="Q474" t="n">
        <v>0</v>
      </c>
      <c r="R474" s="2" t="inlineStr"/>
    </row>
    <row r="475" ht="15" customHeight="1">
      <c r="A475" t="inlineStr">
        <is>
          <t>A 34769-2025</t>
        </is>
      </c>
      <c r="B475" s="1" t="n">
        <v>45848.6534837963</v>
      </c>
      <c r="C475" s="1" t="n">
        <v>45994</v>
      </c>
      <c r="D475" t="inlineStr">
        <is>
          <t>DALARNAS LÄN</t>
        </is>
      </c>
      <c r="E475" t="inlineStr">
        <is>
          <t>ORSA</t>
        </is>
      </c>
      <c r="G475" t="n">
        <v>0.4</v>
      </c>
      <c r="H475" t="n">
        <v>0</v>
      </c>
      <c r="I475" t="n">
        <v>0</v>
      </c>
      <c r="J475" t="n">
        <v>0</v>
      </c>
      <c r="K475" t="n">
        <v>0</v>
      </c>
      <c r="L475" t="n">
        <v>0</v>
      </c>
      <c r="M475" t="n">
        <v>0</v>
      </c>
      <c r="N475" t="n">
        <v>0</v>
      </c>
      <c r="O475" t="n">
        <v>0</v>
      </c>
      <c r="P475" t="n">
        <v>0</v>
      </c>
      <c r="Q475" t="n">
        <v>0</v>
      </c>
      <c r="R475" s="2" t="inlineStr"/>
    </row>
    <row r="476" ht="15" customHeight="1">
      <c r="A476" t="inlineStr">
        <is>
          <t>A 34777-2025</t>
        </is>
      </c>
      <c r="B476" s="1" t="n">
        <v>45848.66167824074</v>
      </c>
      <c r="C476" s="1" t="n">
        <v>45994</v>
      </c>
      <c r="D476" t="inlineStr">
        <is>
          <t>DALARNAS LÄN</t>
        </is>
      </c>
      <c r="E476" t="inlineStr">
        <is>
          <t>ORSA</t>
        </is>
      </c>
      <c r="G476" t="n">
        <v>0.4</v>
      </c>
      <c r="H476" t="n">
        <v>0</v>
      </c>
      <c r="I476" t="n">
        <v>0</v>
      </c>
      <c r="J476" t="n">
        <v>0</v>
      </c>
      <c r="K476" t="n">
        <v>0</v>
      </c>
      <c r="L476" t="n">
        <v>0</v>
      </c>
      <c r="M476" t="n">
        <v>0</v>
      </c>
      <c r="N476" t="n">
        <v>0</v>
      </c>
      <c r="O476" t="n">
        <v>0</v>
      </c>
      <c r="P476" t="n">
        <v>0</v>
      </c>
      <c r="Q476" t="n">
        <v>0</v>
      </c>
      <c r="R476" s="2" t="inlineStr"/>
    </row>
    <row r="477" ht="15" customHeight="1">
      <c r="A477" t="inlineStr">
        <is>
          <t>A 34794-2025</t>
        </is>
      </c>
      <c r="B477" s="1" t="n">
        <v>45848.73256944444</v>
      </c>
      <c r="C477" s="1" t="n">
        <v>45994</v>
      </c>
      <c r="D477" t="inlineStr">
        <is>
          <t>DALARNAS LÄN</t>
        </is>
      </c>
      <c r="E477" t="inlineStr">
        <is>
          <t>ORSA</t>
        </is>
      </c>
      <c r="G477" t="n">
        <v>2.3</v>
      </c>
      <c r="H477" t="n">
        <v>0</v>
      </c>
      <c r="I477" t="n">
        <v>0</v>
      </c>
      <c r="J477" t="n">
        <v>0</v>
      </c>
      <c r="K477" t="n">
        <v>0</v>
      </c>
      <c r="L477" t="n">
        <v>0</v>
      </c>
      <c r="M477" t="n">
        <v>0</v>
      </c>
      <c r="N477" t="n">
        <v>0</v>
      </c>
      <c r="O477" t="n">
        <v>0</v>
      </c>
      <c r="P477" t="n">
        <v>0</v>
      </c>
      <c r="Q477" t="n">
        <v>0</v>
      </c>
      <c r="R477" s="2" t="inlineStr"/>
    </row>
    <row r="478" ht="15" customHeight="1">
      <c r="A478" t="inlineStr">
        <is>
          <t>A 34779-2025</t>
        </is>
      </c>
      <c r="B478" s="1" t="n">
        <v>45848.66987268518</v>
      </c>
      <c r="C478" s="1" t="n">
        <v>45994</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34753-2025</t>
        </is>
      </c>
      <c r="B479" s="1" t="n">
        <v>45848.62001157407</v>
      </c>
      <c r="C479" s="1" t="n">
        <v>45994</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34764-2025</t>
        </is>
      </c>
      <c r="B480" s="1" t="n">
        <v>45848.64788194445</v>
      </c>
      <c r="C480" s="1" t="n">
        <v>45994</v>
      </c>
      <c r="D480" t="inlineStr">
        <is>
          <t>DALARNAS LÄN</t>
        </is>
      </c>
      <c r="E480" t="inlineStr">
        <is>
          <t>ORSA</t>
        </is>
      </c>
      <c r="G480" t="n">
        <v>1.3</v>
      </c>
      <c r="H480" t="n">
        <v>0</v>
      </c>
      <c r="I480" t="n">
        <v>0</v>
      </c>
      <c r="J480" t="n">
        <v>0</v>
      </c>
      <c r="K480" t="n">
        <v>0</v>
      </c>
      <c r="L480" t="n">
        <v>0</v>
      </c>
      <c r="M480" t="n">
        <v>0</v>
      </c>
      <c r="N480" t="n">
        <v>0</v>
      </c>
      <c r="O480" t="n">
        <v>0</v>
      </c>
      <c r="P480" t="n">
        <v>0</v>
      </c>
      <c r="Q480" t="n">
        <v>0</v>
      </c>
      <c r="R480" s="2" t="inlineStr"/>
    </row>
    <row r="481" ht="15" customHeight="1">
      <c r="A481" t="inlineStr">
        <is>
          <t>A 34781-2025</t>
        </is>
      </c>
      <c r="B481" s="1" t="n">
        <v>45848.67424768519</v>
      </c>
      <c r="C481" s="1" t="n">
        <v>45994</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34964-2025</t>
        </is>
      </c>
      <c r="B482" s="1" t="n">
        <v>45849.6330787037</v>
      </c>
      <c r="C482" s="1" t="n">
        <v>45994</v>
      </c>
      <c r="D482" t="inlineStr">
        <is>
          <t>DALARNAS LÄN</t>
        </is>
      </c>
      <c r="E482" t="inlineStr">
        <is>
          <t>ORSA</t>
        </is>
      </c>
      <c r="G482" t="n">
        <v>2.1</v>
      </c>
      <c r="H482" t="n">
        <v>0</v>
      </c>
      <c r="I482" t="n">
        <v>0</v>
      </c>
      <c r="J482" t="n">
        <v>0</v>
      </c>
      <c r="K482" t="n">
        <v>0</v>
      </c>
      <c r="L482" t="n">
        <v>0</v>
      </c>
      <c r="M482" t="n">
        <v>0</v>
      </c>
      <c r="N482" t="n">
        <v>0</v>
      </c>
      <c r="O482" t="n">
        <v>0</v>
      </c>
      <c r="P482" t="n">
        <v>0</v>
      </c>
      <c r="Q482" t="n">
        <v>0</v>
      </c>
      <c r="R482" s="2" t="inlineStr"/>
    </row>
    <row r="483" ht="15" customHeight="1">
      <c r="A483" t="inlineStr">
        <is>
          <t>A 56473-2025</t>
        </is>
      </c>
      <c r="B483" s="1" t="n">
        <v>45975.38001157407</v>
      </c>
      <c r="C483" s="1" t="n">
        <v>45994</v>
      </c>
      <c r="D483" t="inlineStr">
        <is>
          <t>DALARNAS LÄN</t>
        </is>
      </c>
      <c r="E483" t="inlineStr">
        <is>
          <t>ORSA</t>
        </is>
      </c>
      <c r="G483" t="n">
        <v>1.1</v>
      </c>
      <c r="H483" t="n">
        <v>0</v>
      </c>
      <c r="I483" t="n">
        <v>0</v>
      </c>
      <c r="J483" t="n">
        <v>0</v>
      </c>
      <c r="K483" t="n">
        <v>0</v>
      </c>
      <c r="L483" t="n">
        <v>0</v>
      </c>
      <c r="M483" t="n">
        <v>0</v>
      </c>
      <c r="N483" t="n">
        <v>0</v>
      </c>
      <c r="O483" t="n">
        <v>0</v>
      </c>
      <c r="P483" t="n">
        <v>0</v>
      </c>
      <c r="Q483" t="n">
        <v>0</v>
      </c>
      <c r="R483" s="2" t="inlineStr"/>
    </row>
    <row r="484" ht="15" customHeight="1">
      <c r="A484" t="inlineStr">
        <is>
          <t>A 56297-2025</t>
        </is>
      </c>
      <c r="B484" s="1" t="n">
        <v>45974.60431712963</v>
      </c>
      <c r="C484" s="1" t="n">
        <v>45994</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56344-2025</t>
        </is>
      </c>
      <c r="B485" s="1" t="n">
        <v>45974.64894675926</v>
      </c>
      <c r="C485" s="1" t="n">
        <v>45994</v>
      </c>
      <c r="D485" t="inlineStr">
        <is>
          <t>DALARNAS LÄN</t>
        </is>
      </c>
      <c r="E485" t="inlineStr">
        <is>
          <t>ORSA</t>
        </is>
      </c>
      <c r="G485" t="n">
        <v>5.5</v>
      </c>
      <c r="H485" t="n">
        <v>0</v>
      </c>
      <c r="I485" t="n">
        <v>0</v>
      </c>
      <c r="J485" t="n">
        <v>0</v>
      </c>
      <c r="K485" t="n">
        <v>0</v>
      </c>
      <c r="L485" t="n">
        <v>0</v>
      </c>
      <c r="M485" t="n">
        <v>0</v>
      </c>
      <c r="N485" t="n">
        <v>0</v>
      </c>
      <c r="O485" t="n">
        <v>0</v>
      </c>
      <c r="P485" t="n">
        <v>0</v>
      </c>
      <c r="Q485" t="n">
        <v>0</v>
      </c>
      <c r="R485" s="2" t="inlineStr"/>
    </row>
    <row r="486" ht="15" customHeight="1">
      <c r="A486" t="inlineStr">
        <is>
          <t>A 47953-2025</t>
        </is>
      </c>
      <c r="B486" s="1" t="n">
        <v>45932.5853125</v>
      </c>
      <c r="C486" s="1" t="n">
        <v>45994</v>
      </c>
      <c r="D486" t="inlineStr">
        <is>
          <t>DALARNAS LÄN</t>
        </is>
      </c>
      <c r="E486" t="inlineStr">
        <is>
          <t>ORSA</t>
        </is>
      </c>
      <c r="G486" t="n">
        <v>1.3</v>
      </c>
      <c r="H486" t="n">
        <v>0</v>
      </c>
      <c r="I486" t="n">
        <v>0</v>
      </c>
      <c r="J486" t="n">
        <v>0</v>
      </c>
      <c r="K486" t="n">
        <v>0</v>
      </c>
      <c r="L486" t="n">
        <v>0</v>
      </c>
      <c r="M486" t="n">
        <v>0</v>
      </c>
      <c r="N486" t="n">
        <v>0</v>
      </c>
      <c r="O486" t="n">
        <v>0</v>
      </c>
      <c r="P486" t="n">
        <v>0</v>
      </c>
      <c r="Q486" t="n">
        <v>0</v>
      </c>
      <c r="R486" s="2" t="inlineStr"/>
    </row>
    <row r="487" ht="15" customHeight="1">
      <c r="A487" t="inlineStr">
        <is>
          <t>A 56459-2025</t>
        </is>
      </c>
      <c r="B487" s="1" t="n">
        <v>45975.36898148148</v>
      </c>
      <c r="C487" s="1" t="n">
        <v>45994</v>
      </c>
      <c r="D487" t="inlineStr">
        <is>
          <t>DALARNAS LÄN</t>
        </is>
      </c>
      <c r="E487" t="inlineStr">
        <is>
          <t>ORSA</t>
        </is>
      </c>
      <c r="G487" t="n">
        <v>3.8</v>
      </c>
      <c r="H487" t="n">
        <v>0</v>
      </c>
      <c r="I487" t="n">
        <v>0</v>
      </c>
      <c r="J487" t="n">
        <v>0</v>
      </c>
      <c r="K487" t="n">
        <v>0</v>
      </c>
      <c r="L487" t="n">
        <v>0</v>
      </c>
      <c r="M487" t="n">
        <v>0</v>
      </c>
      <c r="N487" t="n">
        <v>0</v>
      </c>
      <c r="O487" t="n">
        <v>0</v>
      </c>
      <c r="P487" t="n">
        <v>0</v>
      </c>
      <c r="Q487" t="n">
        <v>0</v>
      </c>
      <c r="R487" s="2" t="inlineStr"/>
    </row>
    <row r="488" ht="15" customHeight="1">
      <c r="A488" t="inlineStr">
        <is>
          <t>A 56295-2025</t>
        </is>
      </c>
      <c r="B488" s="1" t="n">
        <v>45974.60144675926</v>
      </c>
      <c r="C488" s="1" t="n">
        <v>45994</v>
      </c>
      <c r="D488" t="inlineStr">
        <is>
          <t>DALARNAS LÄN</t>
        </is>
      </c>
      <c r="E488" t="inlineStr">
        <is>
          <t>ORSA</t>
        </is>
      </c>
      <c r="G488" t="n">
        <v>2.1</v>
      </c>
      <c r="H488" t="n">
        <v>0</v>
      </c>
      <c r="I488" t="n">
        <v>0</v>
      </c>
      <c r="J488" t="n">
        <v>0</v>
      </c>
      <c r="K488" t="n">
        <v>0</v>
      </c>
      <c r="L488" t="n">
        <v>0</v>
      </c>
      <c r="M488" t="n">
        <v>0</v>
      </c>
      <c r="N488" t="n">
        <v>0</v>
      </c>
      <c r="O488" t="n">
        <v>0</v>
      </c>
      <c r="P488" t="n">
        <v>0</v>
      </c>
      <c r="Q488" t="n">
        <v>0</v>
      </c>
      <c r="R488" s="2" t="inlineStr"/>
    </row>
    <row r="489" ht="15" customHeight="1">
      <c r="A489" t="inlineStr">
        <is>
          <t>A 35619-2025</t>
        </is>
      </c>
      <c r="B489" s="1" t="n">
        <v>45859</v>
      </c>
      <c r="C489" s="1" t="n">
        <v>45994</v>
      </c>
      <c r="D489" t="inlineStr">
        <is>
          <t>DALARNAS LÄN</t>
        </is>
      </c>
      <c r="E489" t="inlineStr">
        <is>
          <t>ORSA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35933-2025</t>
        </is>
      </c>
      <c r="B490" s="1" t="n">
        <v>45862.62653935186</v>
      </c>
      <c r="C490" s="1" t="n">
        <v>45994</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35935-2025</t>
        </is>
      </c>
      <c r="B491" s="1" t="n">
        <v>45862.6353125</v>
      </c>
      <c r="C491" s="1" t="n">
        <v>45994</v>
      </c>
      <c r="D491" t="inlineStr">
        <is>
          <t>DALARNAS LÄN</t>
        </is>
      </c>
      <c r="E491" t="inlineStr">
        <is>
          <t>ORSA</t>
        </is>
      </c>
      <c r="G491" t="n">
        <v>0.6</v>
      </c>
      <c r="H491" t="n">
        <v>0</v>
      </c>
      <c r="I491" t="n">
        <v>0</v>
      </c>
      <c r="J491" t="n">
        <v>0</v>
      </c>
      <c r="K491" t="n">
        <v>0</v>
      </c>
      <c r="L491" t="n">
        <v>0</v>
      </c>
      <c r="M491" t="n">
        <v>0</v>
      </c>
      <c r="N491" t="n">
        <v>0</v>
      </c>
      <c r="O491" t="n">
        <v>0</v>
      </c>
      <c r="P491" t="n">
        <v>0</v>
      </c>
      <c r="Q491" t="n">
        <v>0</v>
      </c>
      <c r="R491" s="2" t="inlineStr"/>
    </row>
    <row r="492" ht="15" customHeight="1">
      <c r="A492" t="inlineStr">
        <is>
          <t>A 35940-2025</t>
        </is>
      </c>
      <c r="B492" s="1" t="n">
        <v>45862.65081018519</v>
      </c>
      <c r="C492" s="1" t="n">
        <v>45994</v>
      </c>
      <c r="D492" t="inlineStr">
        <is>
          <t>DALARNAS LÄN</t>
        </is>
      </c>
      <c r="E492" t="inlineStr">
        <is>
          <t>ORSA</t>
        </is>
      </c>
      <c r="G492" t="n">
        <v>5.1</v>
      </c>
      <c r="H492" t="n">
        <v>0</v>
      </c>
      <c r="I492" t="n">
        <v>0</v>
      </c>
      <c r="J492" t="n">
        <v>0</v>
      </c>
      <c r="K492" t="n">
        <v>0</v>
      </c>
      <c r="L492" t="n">
        <v>0</v>
      </c>
      <c r="M492" t="n">
        <v>0</v>
      </c>
      <c r="N492" t="n">
        <v>0</v>
      </c>
      <c r="O492" t="n">
        <v>0</v>
      </c>
      <c r="P492" t="n">
        <v>0</v>
      </c>
      <c r="Q492" t="n">
        <v>0</v>
      </c>
      <c r="R492" s="2" t="inlineStr"/>
    </row>
    <row r="493" ht="15" customHeight="1">
      <c r="A493" t="inlineStr">
        <is>
          <t>A 35939-2025</t>
        </is>
      </c>
      <c r="B493" s="1" t="n">
        <v>45862.64581018518</v>
      </c>
      <c r="C493" s="1" t="n">
        <v>45994</v>
      </c>
      <c r="D493" t="inlineStr">
        <is>
          <t>DALARNAS LÄN</t>
        </is>
      </c>
      <c r="E493" t="inlineStr">
        <is>
          <t>ORSA</t>
        </is>
      </c>
      <c r="G493" t="n">
        <v>5.6</v>
      </c>
      <c r="H493" t="n">
        <v>0</v>
      </c>
      <c r="I493" t="n">
        <v>0</v>
      </c>
      <c r="J493" t="n">
        <v>0</v>
      </c>
      <c r="K493" t="n">
        <v>0</v>
      </c>
      <c r="L493" t="n">
        <v>0</v>
      </c>
      <c r="M493" t="n">
        <v>0</v>
      </c>
      <c r="N493" t="n">
        <v>0</v>
      </c>
      <c r="O493" t="n">
        <v>0</v>
      </c>
      <c r="P493" t="n">
        <v>0</v>
      </c>
      <c r="Q493" t="n">
        <v>0</v>
      </c>
      <c r="R493" s="2" t="inlineStr"/>
    </row>
    <row r="494" ht="15" customHeight="1">
      <c r="A494" t="inlineStr">
        <is>
          <t>A 56288-2025</t>
        </is>
      </c>
      <c r="B494" s="1" t="n">
        <v>45974.59688657407</v>
      </c>
      <c r="C494" s="1" t="n">
        <v>45994</v>
      </c>
      <c r="D494" t="inlineStr">
        <is>
          <t>DALARNAS LÄN</t>
        </is>
      </c>
      <c r="E494" t="inlineStr">
        <is>
          <t>ORSA</t>
        </is>
      </c>
      <c r="G494" t="n">
        <v>7.2</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45217.56513888889</v>
      </c>
      <c r="C495" s="1" t="n">
        <v>45994</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56471-2025</t>
        </is>
      </c>
      <c r="B496" s="1" t="n">
        <v>45975.37766203703</v>
      </c>
      <c r="C496" s="1" t="n">
        <v>45994</v>
      </c>
      <c r="D496" t="inlineStr">
        <is>
          <t>DALARNAS LÄN</t>
        </is>
      </c>
      <c r="E496" t="inlineStr">
        <is>
          <t>ORSA</t>
        </is>
      </c>
      <c r="G496" t="n">
        <v>5.2</v>
      </c>
      <c r="H496" t="n">
        <v>0</v>
      </c>
      <c r="I496" t="n">
        <v>0</v>
      </c>
      <c r="J496" t="n">
        <v>0</v>
      </c>
      <c r="K496" t="n">
        <v>0</v>
      </c>
      <c r="L496" t="n">
        <v>0</v>
      </c>
      <c r="M496" t="n">
        <v>0</v>
      </c>
      <c r="N496" t="n">
        <v>0</v>
      </c>
      <c r="O496" t="n">
        <v>0</v>
      </c>
      <c r="P496" t="n">
        <v>0</v>
      </c>
      <c r="Q496" t="n">
        <v>0</v>
      </c>
      <c r="R496" s="2" t="inlineStr"/>
    </row>
    <row r="497" ht="15" customHeight="1">
      <c r="A497" t="inlineStr">
        <is>
          <t>A 48546-2025</t>
        </is>
      </c>
      <c r="B497" s="1" t="n">
        <v>45936.42172453704</v>
      </c>
      <c r="C497" s="1" t="n">
        <v>45994</v>
      </c>
      <c r="D497" t="inlineStr">
        <is>
          <t>DALARNAS LÄN</t>
        </is>
      </c>
      <c r="E497" t="inlineStr">
        <is>
          <t>ORSA</t>
        </is>
      </c>
      <c r="F497" t="inlineStr">
        <is>
          <t>Allmännings- och besparingsskogar</t>
        </is>
      </c>
      <c r="G497" t="n">
        <v>6</v>
      </c>
      <c r="H497" t="n">
        <v>0</v>
      </c>
      <c r="I497" t="n">
        <v>0</v>
      </c>
      <c r="J497" t="n">
        <v>0</v>
      </c>
      <c r="K497" t="n">
        <v>0</v>
      </c>
      <c r="L497" t="n">
        <v>0</v>
      </c>
      <c r="M497" t="n">
        <v>0</v>
      </c>
      <c r="N497" t="n">
        <v>0</v>
      </c>
      <c r="O497" t="n">
        <v>0</v>
      </c>
      <c r="P497" t="n">
        <v>0</v>
      </c>
      <c r="Q497" t="n">
        <v>0</v>
      </c>
      <c r="R497" s="2" t="inlineStr"/>
    </row>
    <row r="498" ht="15" customHeight="1">
      <c r="A498" t="inlineStr">
        <is>
          <t>A 56813-2025</t>
        </is>
      </c>
      <c r="B498" s="1" t="n">
        <v>45978.45585648148</v>
      </c>
      <c r="C498" s="1" t="n">
        <v>45994</v>
      </c>
      <c r="D498" t="inlineStr">
        <is>
          <t>DALARNAS LÄN</t>
        </is>
      </c>
      <c r="E498" t="inlineStr">
        <is>
          <t>ORSA</t>
        </is>
      </c>
      <c r="G498" t="n">
        <v>2</v>
      </c>
      <c r="H498" t="n">
        <v>0</v>
      </c>
      <c r="I498" t="n">
        <v>0</v>
      </c>
      <c r="J498" t="n">
        <v>0</v>
      </c>
      <c r="K498" t="n">
        <v>0</v>
      </c>
      <c r="L498" t="n">
        <v>0</v>
      </c>
      <c r="M498" t="n">
        <v>0</v>
      </c>
      <c r="N498" t="n">
        <v>0</v>
      </c>
      <c r="O498" t="n">
        <v>0</v>
      </c>
      <c r="P498" t="n">
        <v>0</v>
      </c>
      <c r="Q498" t="n">
        <v>0</v>
      </c>
      <c r="R498" s="2" t="inlineStr"/>
    </row>
    <row r="499" ht="15" customHeight="1">
      <c r="A499" t="inlineStr">
        <is>
          <t>A 36570-2025</t>
        </is>
      </c>
      <c r="B499" s="1" t="n">
        <v>45870.38728009259</v>
      </c>
      <c r="C499" s="1" t="n">
        <v>45994</v>
      </c>
      <c r="D499" t="inlineStr">
        <is>
          <t>DALARNAS LÄN</t>
        </is>
      </c>
      <c r="E499" t="inlineStr">
        <is>
          <t>ORSA</t>
        </is>
      </c>
      <c r="F499" t="inlineStr">
        <is>
          <t>Bergvik skog öst AB</t>
        </is>
      </c>
      <c r="G499" t="n">
        <v>2.2</v>
      </c>
      <c r="H499" t="n">
        <v>0</v>
      </c>
      <c r="I499" t="n">
        <v>0</v>
      </c>
      <c r="J499" t="n">
        <v>0</v>
      </c>
      <c r="K499" t="n">
        <v>0</v>
      </c>
      <c r="L499" t="n">
        <v>0</v>
      </c>
      <c r="M499" t="n">
        <v>0</v>
      </c>
      <c r="N499" t="n">
        <v>0</v>
      </c>
      <c r="O499" t="n">
        <v>0</v>
      </c>
      <c r="P499" t="n">
        <v>0</v>
      </c>
      <c r="Q499" t="n">
        <v>0</v>
      </c>
      <c r="R499" s="2" t="inlineStr"/>
    </row>
    <row r="500" ht="15" customHeight="1">
      <c r="A500" t="inlineStr">
        <is>
          <t>A 57055-2025</t>
        </is>
      </c>
      <c r="B500" s="1" t="n">
        <v>45979.36299768519</v>
      </c>
      <c r="C500" s="1" t="n">
        <v>45994</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48584-2025</t>
        </is>
      </c>
      <c r="B501" s="1" t="n">
        <v>45936.45788194444</v>
      </c>
      <c r="C501" s="1" t="n">
        <v>45994</v>
      </c>
      <c r="D501" t="inlineStr">
        <is>
          <t>DALARNAS LÄN</t>
        </is>
      </c>
      <c r="E501" t="inlineStr">
        <is>
          <t>ORSA</t>
        </is>
      </c>
      <c r="F501" t="inlineStr">
        <is>
          <t>Allmännings- och besparingsskogar</t>
        </is>
      </c>
      <c r="G501" t="n">
        <v>10.3</v>
      </c>
      <c r="H501" t="n">
        <v>0</v>
      </c>
      <c r="I501" t="n">
        <v>0</v>
      </c>
      <c r="J501" t="n">
        <v>0</v>
      </c>
      <c r="K501" t="n">
        <v>0</v>
      </c>
      <c r="L501" t="n">
        <v>0</v>
      </c>
      <c r="M501" t="n">
        <v>0</v>
      </c>
      <c r="N501" t="n">
        <v>0</v>
      </c>
      <c r="O501" t="n">
        <v>0</v>
      </c>
      <c r="P501" t="n">
        <v>0</v>
      </c>
      <c r="Q501" t="n">
        <v>0</v>
      </c>
      <c r="R501" s="2" t="inlineStr"/>
    </row>
    <row r="502" ht="15" customHeight="1">
      <c r="A502" t="inlineStr">
        <is>
          <t>A 52486-2025</t>
        </is>
      </c>
      <c r="B502" s="1" t="n">
        <v>45954.47844907407</v>
      </c>
      <c r="C502" s="1" t="n">
        <v>45994</v>
      </c>
      <c r="D502" t="inlineStr">
        <is>
          <t>DALARNAS LÄN</t>
        </is>
      </c>
      <c r="E502" t="inlineStr">
        <is>
          <t>ORSA</t>
        </is>
      </c>
      <c r="G502" t="n">
        <v>2.3</v>
      </c>
      <c r="H502" t="n">
        <v>0</v>
      </c>
      <c r="I502" t="n">
        <v>0</v>
      </c>
      <c r="J502" t="n">
        <v>0</v>
      </c>
      <c r="K502" t="n">
        <v>0</v>
      </c>
      <c r="L502" t="n">
        <v>0</v>
      </c>
      <c r="M502" t="n">
        <v>0</v>
      </c>
      <c r="N502" t="n">
        <v>0</v>
      </c>
      <c r="O502" t="n">
        <v>0</v>
      </c>
      <c r="P502" t="n">
        <v>0</v>
      </c>
      <c r="Q502" t="n">
        <v>0</v>
      </c>
      <c r="R502" s="2" t="inlineStr"/>
    </row>
    <row r="503" ht="15" customHeight="1">
      <c r="A503" t="inlineStr">
        <is>
          <t>A 48504-2025</t>
        </is>
      </c>
      <c r="B503" s="1" t="n">
        <v>45936.38270833333</v>
      </c>
      <c r="C503" s="1" t="n">
        <v>45994</v>
      </c>
      <c r="D503" t="inlineStr">
        <is>
          <t>DALARNAS LÄN</t>
        </is>
      </c>
      <c r="E503" t="inlineStr">
        <is>
          <t>ORSA</t>
        </is>
      </c>
      <c r="F503" t="inlineStr">
        <is>
          <t>Allmännings- och besparingsskogar</t>
        </is>
      </c>
      <c r="G503" t="n">
        <v>6.1</v>
      </c>
      <c r="H503" t="n">
        <v>0</v>
      </c>
      <c r="I503" t="n">
        <v>0</v>
      </c>
      <c r="J503" t="n">
        <v>0</v>
      </c>
      <c r="K503" t="n">
        <v>0</v>
      </c>
      <c r="L503" t="n">
        <v>0</v>
      </c>
      <c r="M503" t="n">
        <v>0</v>
      </c>
      <c r="N503" t="n">
        <v>0</v>
      </c>
      <c r="O503" t="n">
        <v>0</v>
      </c>
      <c r="P503" t="n">
        <v>0</v>
      </c>
      <c r="Q503" t="n">
        <v>0</v>
      </c>
      <c r="R503" s="2" t="inlineStr"/>
    </row>
    <row r="504" ht="15" customHeight="1">
      <c r="A504" t="inlineStr">
        <is>
          <t>A 36633-2025</t>
        </is>
      </c>
      <c r="B504" s="1" t="n">
        <v>45870</v>
      </c>
      <c r="C504" s="1" t="n">
        <v>45994</v>
      </c>
      <c r="D504" t="inlineStr">
        <is>
          <t>DALARNAS LÄN</t>
        </is>
      </c>
      <c r="E504" t="inlineStr">
        <is>
          <t>ORSA</t>
        </is>
      </c>
      <c r="G504" t="n">
        <v>0.9</v>
      </c>
      <c r="H504" t="n">
        <v>0</v>
      </c>
      <c r="I504" t="n">
        <v>0</v>
      </c>
      <c r="J504" t="n">
        <v>0</v>
      </c>
      <c r="K504" t="n">
        <v>0</v>
      </c>
      <c r="L504" t="n">
        <v>0</v>
      </c>
      <c r="M504" t="n">
        <v>0</v>
      </c>
      <c r="N504" t="n">
        <v>0</v>
      </c>
      <c r="O504" t="n">
        <v>0</v>
      </c>
      <c r="P504" t="n">
        <v>0</v>
      </c>
      <c r="Q504" t="n">
        <v>0</v>
      </c>
      <c r="R504" s="2" t="inlineStr"/>
    </row>
    <row r="505" ht="15" customHeight="1">
      <c r="A505" t="inlineStr">
        <is>
          <t>A 49517-2025</t>
        </is>
      </c>
      <c r="B505" s="1" t="n">
        <v>45939.38850694444</v>
      </c>
      <c r="C505" s="1" t="n">
        <v>45994</v>
      </c>
      <c r="D505" t="inlineStr">
        <is>
          <t>DALARNAS LÄN</t>
        </is>
      </c>
      <c r="E505" t="inlineStr">
        <is>
          <t>ORSA</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49396-2025</t>
        </is>
      </c>
      <c r="B506" s="1" t="n">
        <v>45938.66181712963</v>
      </c>
      <c r="C506" s="1" t="n">
        <v>45994</v>
      </c>
      <c r="D506" t="inlineStr">
        <is>
          <t>DALARNAS LÄN</t>
        </is>
      </c>
      <c r="E506" t="inlineStr">
        <is>
          <t>ORSA</t>
        </is>
      </c>
      <c r="F506" t="inlineStr">
        <is>
          <t>Allmännings- och besparingsskogar</t>
        </is>
      </c>
      <c r="G506" t="n">
        <v>9.9</v>
      </c>
      <c r="H506" t="n">
        <v>0</v>
      </c>
      <c r="I506" t="n">
        <v>0</v>
      </c>
      <c r="J506" t="n">
        <v>0</v>
      </c>
      <c r="K506" t="n">
        <v>0</v>
      </c>
      <c r="L506" t="n">
        <v>0</v>
      </c>
      <c r="M506" t="n">
        <v>0</v>
      </c>
      <c r="N506" t="n">
        <v>0</v>
      </c>
      <c r="O506" t="n">
        <v>0</v>
      </c>
      <c r="P506" t="n">
        <v>0</v>
      </c>
      <c r="Q506" t="n">
        <v>0</v>
      </c>
      <c r="R506" s="2" t="inlineStr"/>
    </row>
    <row r="507" ht="15" customHeight="1">
      <c r="A507" t="inlineStr">
        <is>
          <t>A 37181-2025</t>
        </is>
      </c>
      <c r="B507" s="1" t="n">
        <v>45875.62668981482</v>
      </c>
      <c r="C507" s="1" t="n">
        <v>45994</v>
      </c>
      <c r="D507" t="inlineStr">
        <is>
          <t>DALARNAS LÄN</t>
        </is>
      </c>
      <c r="E507" t="inlineStr">
        <is>
          <t>ORSA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37439-2025</t>
        </is>
      </c>
      <c r="B508" s="1" t="n">
        <v>45877.53644675926</v>
      </c>
      <c r="C508" s="1" t="n">
        <v>45994</v>
      </c>
      <c r="D508" t="inlineStr">
        <is>
          <t>DALARNAS LÄN</t>
        </is>
      </c>
      <c r="E508" t="inlineStr">
        <is>
          <t>ORSA</t>
        </is>
      </c>
      <c r="F508" t="inlineStr">
        <is>
          <t>Allmännings- och besparingsskogar</t>
        </is>
      </c>
      <c r="G508" t="n">
        <v>7.9</v>
      </c>
      <c r="H508" t="n">
        <v>0</v>
      </c>
      <c r="I508" t="n">
        <v>0</v>
      </c>
      <c r="J508" t="n">
        <v>0</v>
      </c>
      <c r="K508" t="n">
        <v>0</v>
      </c>
      <c r="L508" t="n">
        <v>0</v>
      </c>
      <c r="M508" t="n">
        <v>0</v>
      </c>
      <c r="N508" t="n">
        <v>0</v>
      </c>
      <c r="O508" t="n">
        <v>0</v>
      </c>
      <c r="P508" t="n">
        <v>0</v>
      </c>
      <c r="Q508" t="n">
        <v>0</v>
      </c>
      <c r="R508" s="2" t="inlineStr"/>
    </row>
    <row r="509" ht="15" customHeight="1">
      <c r="A509" t="inlineStr">
        <is>
          <t>A 49211-2025</t>
        </is>
      </c>
      <c r="B509" s="1" t="n">
        <v>45938.43825231482</v>
      </c>
      <c r="C509" s="1" t="n">
        <v>45994</v>
      </c>
      <c r="D509" t="inlineStr">
        <is>
          <t>DALARNAS LÄN</t>
        </is>
      </c>
      <c r="E509" t="inlineStr">
        <is>
          <t>ORSA</t>
        </is>
      </c>
      <c r="F509" t="inlineStr">
        <is>
          <t>Bergvik skog öst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37457-2025</t>
        </is>
      </c>
      <c r="B510" s="1" t="n">
        <v>45877.56829861111</v>
      </c>
      <c r="C510" s="1" t="n">
        <v>45994</v>
      </c>
      <c r="D510" t="inlineStr">
        <is>
          <t>DALARNAS LÄN</t>
        </is>
      </c>
      <c r="E510" t="inlineStr">
        <is>
          <t>ORSA</t>
        </is>
      </c>
      <c r="F510" t="inlineStr">
        <is>
          <t>Allmännings- och besparingsskogar</t>
        </is>
      </c>
      <c r="G510" t="n">
        <v>6.5</v>
      </c>
      <c r="H510" t="n">
        <v>0</v>
      </c>
      <c r="I510" t="n">
        <v>0</v>
      </c>
      <c r="J510" t="n">
        <v>0</v>
      </c>
      <c r="K510" t="n">
        <v>0</v>
      </c>
      <c r="L510" t="n">
        <v>0</v>
      </c>
      <c r="M510" t="n">
        <v>0</v>
      </c>
      <c r="N510" t="n">
        <v>0</v>
      </c>
      <c r="O510" t="n">
        <v>0</v>
      </c>
      <c r="P510" t="n">
        <v>0</v>
      </c>
      <c r="Q510" t="n">
        <v>0</v>
      </c>
      <c r="R510" s="2" t="inlineStr"/>
    </row>
    <row r="511" ht="15" customHeight="1">
      <c r="A511" t="inlineStr">
        <is>
          <t>A 37496-2025</t>
        </is>
      </c>
      <c r="B511" s="1" t="n">
        <v>45877.64424768519</v>
      </c>
      <c r="C511" s="1" t="n">
        <v>45994</v>
      </c>
      <c r="D511" t="inlineStr">
        <is>
          <t>DALARNAS LÄN</t>
        </is>
      </c>
      <c r="E511" t="inlineStr">
        <is>
          <t>ORSA</t>
        </is>
      </c>
      <c r="F511" t="inlineStr">
        <is>
          <t>Bergvik skog öst AB</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37445-2025</t>
        </is>
      </c>
      <c r="B512" s="1" t="n">
        <v>45877.54615740741</v>
      </c>
      <c r="C512" s="1" t="n">
        <v>45994</v>
      </c>
      <c r="D512" t="inlineStr">
        <is>
          <t>DALARNAS LÄN</t>
        </is>
      </c>
      <c r="E512" t="inlineStr">
        <is>
          <t>ORSA</t>
        </is>
      </c>
      <c r="F512" t="inlineStr">
        <is>
          <t>Bergvik skog öst AB</t>
        </is>
      </c>
      <c r="G512" t="n">
        <v>13.4</v>
      </c>
      <c r="H512" t="n">
        <v>0</v>
      </c>
      <c r="I512" t="n">
        <v>0</v>
      </c>
      <c r="J512" t="n">
        <v>0</v>
      </c>
      <c r="K512" t="n">
        <v>0</v>
      </c>
      <c r="L512" t="n">
        <v>0</v>
      </c>
      <c r="M512" t="n">
        <v>0</v>
      </c>
      <c r="N512" t="n">
        <v>0</v>
      </c>
      <c r="O512" t="n">
        <v>0</v>
      </c>
      <c r="P512" t="n">
        <v>0</v>
      </c>
      <c r="Q512" t="n">
        <v>0</v>
      </c>
      <c r="R512" s="2" t="inlineStr"/>
    </row>
    <row r="513" ht="15" customHeight="1">
      <c r="A513" t="inlineStr">
        <is>
          <t>A 57383-2025</t>
        </is>
      </c>
      <c r="B513" s="1" t="n">
        <v>45980.40871527778</v>
      </c>
      <c r="C513" s="1" t="n">
        <v>45994</v>
      </c>
      <c r="D513" t="inlineStr">
        <is>
          <t>DALARNAS LÄN</t>
        </is>
      </c>
      <c r="E513" t="inlineStr">
        <is>
          <t>ORSA</t>
        </is>
      </c>
      <c r="F513" t="inlineStr">
        <is>
          <t>Kyrkan</t>
        </is>
      </c>
      <c r="G513" t="n">
        <v>3.5</v>
      </c>
      <c r="H513" t="n">
        <v>0</v>
      </c>
      <c r="I513" t="n">
        <v>0</v>
      </c>
      <c r="J513" t="n">
        <v>0</v>
      </c>
      <c r="K513" t="n">
        <v>0</v>
      </c>
      <c r="L513" t="n">
        <v>0</v>
      </c>
      <c r="M513" t="n">
        <v>0</v>
      </c>
      <c r="N513" t="n">
        <v>0</v>
      </c>
      <c r="O513" t="n">
        <v>0</v>
      </c>
      <c r="P513" t="n">
        <v>0</v>
      </c>
      <c r="Q513" t="n">
        <v>0</v>
      </c>
      <c r="R513" s="2" t="inlineStr"/>
    </row>
    <row r="514" ht="15" customHeight="1">
      <c r="A514" t="inlineStr">
        <is>
          <t>A 37897-2025</t>
        </is>
      </c>
      <c r="B514" s="1" t="n">
        <v>45881.55274305555</v>
      </c>
      <c r="C514" s="1" t="n">
        <v>45994</v>
      </c>
      <c r="D514" t="inlineStr">
        <is>
          <t>DALARNAS LÄN</t>
        </is>
      </c>
      <c r="E514" t="inlineStr">
        <is>
          <t>ORSA</t>
        </is>
      </c>
      <c r="G514" t="n">
        <v>1.9</v>
      </c>
      <c r="H514" t="n">
        <v>0</v>
      </c>
      <c r="I514" t="n">
        <v>0</v>
      </c>
      <c r="J514" t="n">
        <v>0</v>
      </c>
      <c r="K514" t="n">
        <v>0</v>
      </c>
      <c r="L514" t="n">
        <v>0</v>
      </c>
      <c r="M514" t="n">
        <v>0</v>
      </c>
      <c r="N514" t="n">
        <v>0</v>
      </c>
      <c r="O514" t="n">
        <v>0</v>
      </c>
      <c r="P514" t="n">
        <v>0</v>
      </c>
      <c r="Q514" t="n">
        <v>0</v>
      </c>
      <c r="R514" s="2" t="inlineStr"/>
    </row>
    <row r="515" ht="15" customHeight="1">
      <c r="A515" t="inlineStr">
        <is>
          <t>A 37899-2025</t>
        </is>
      </c>
      <c r="B515" s="1" t="n">
        <v>45881.56083333334</v>
      </c>
      <c r="C515" s="1" t="n">
        <v>45994</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57681-2025</t>
        </is>
      </c>
      <c r="B516" s="1" t="n">
        <v>45980.30490740741</v>
      </c>
      <c r="C516" s="1" t="n">
        <v>45994</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37893-2025</t>
        </is>
      </c>
      <c r="B517" s="1" t="n">
        <v>45881.54469907407</v>
      </c>
      <c r="C517" s="1" t="n">
        <v>45994</v>
      </c>
      <c r="D517" t="inlineStr">
        <is>
          <t>DALARNAS LÄN</t>
        </is>
      </c>
      <c r="E517" t="inlineStr">
        <is>
          <t>ORSA</t>
        </is>
      </c>
      <c r="G517" t="n">
        <v>4.4</v>
      </c>
      <c r="H517" t="n">
        <v>0</v>
      </c>
      <c r="I517" t="n">
        <v>0</v>
      </c>
      <c r="J517" t="n">
        <v>0</v>
      </c>
      <c r="K517" t="n">
        <v>0</v>
      </c>
      <c r="L517" t="n">
        <v>0</v>
      </c>
      <c r="M517" t="n">
        <v>0</v>
      </c>
      <c r="N517" t="n">
        <v>0</v>
      </c>
      <c r="O517" t="n">
        <v>0</v>
      </c>
      <c r="P517" t="n">
        <v>0</v>
      </c>
      <c r="Q517" t="n">
        <v>0</v>
      </c>
      <c r="R517" s="2" t="inlineStr"/>
    </row>
    <row r="518" ht="15" customHeight="1">
      <c r="A518" t="inlineStr">
        <is>
          <t>A 37906-2025</t>
        </is>
      </c>
      <c r="B518" s="1" t="n">
        <v>45881.56803240741</v>
      </c>
      <c r="C518" s="1" t="n">
        <v>45994</v>
      </c>
      <c r="D518" t="inlineStr">
        <is>
          <t>DALARNAS LÄN</t>
        </is>
      </c>
      <c r="E518" t="inlineStr">
        <is>
          <t>ORSA</t>
        </is>
      </c>
      <c r="G518" t="n">
        <v>1</v>
      </c>
      <c r="H518" t="n">
        <v>0</v>
      </c>
      <c r="I518" t="n">
        <v>0</v>
      </c>
      <c r="J518" t="n">
        <v>0</v>
      </c>
      <c r="K518" t="n">
        <v>0</v>
      </c>
      <c r="L518" t="n">
        <v>0</v>
      </c>
      <c r="M518" t="n">
        <v>0</v>
      </c>
      <c r="N518" t="n">
        <v>0</v>
      </c>
      <c r="O518" t="n">
        <v>0</v>
      </c>
      <c r="P518" t="n">
        <v>0</v>
      </c>
      <c r="Q518" t="n">
        <v>0</v>
      </c>
      <c r="R518" s="2" t="inlineStr"/>
    </row>
    <row r="519" ht="15" customHeight="1">
      <c r="A519" t="inlineStr">
        <is>
          <t>A 58007-2025</t>
        </is>
      </c>
      <c r="B519" s="1" t="n">
        <v>45982.44907407407</v>
      </c>
      <c r="C519" s="1" t="n">
        <v>45994</v>
      </c>
      <c r="D519" t="inlineStr">
        <is>
          <t>DALARNAS LÄN</t>
        </is>
      </c>
      <c r="E519" t="inlineStr">
        <is>
          <t>ORSA</t>
        </is>
      </c>
      <c r="G519" t="n">
        <v>1.8</v>
      </c>
      <c r="H519" t="n">
        <v>0</v>
      </c>
      <c r="I519" t="n">
        <v>0</v>
      </c>
      <c r="J519" t="n">
        <v>0</v>
      </c>
      <c r="K519" t="n">
        <v>0</v>
      </c>
      <c r="L519" t="n">
        <v>0</v>
      </c>
      <c r="M519" t="n">
        <v>0</v>
      </c>
      <c r="N519" t="n">
        <v>0</v>
      </c>
      <c r="O519" t="n">
        <v>0</v>
      </c>
      <c r="P519" t="n">
        <v>0</v>
      </c>
      <c r="Q519" t="n">
        <v>0</v>
      </c>
      <c r="R519" s="2" t="inlineStr"/>
    </row>
    <row r="520" ht="15" customHeight="1">
      <c r="A520" t="inlineStr">
        <is>
          <t>A 58910-2025</t>
        </is>
      </c>
      <c r="B520" s="1" t="n">
        <v>45987.51534722222</v>
      </c>
      <c r="C520" s="1" t="n">
        <v>45994</v>
      </c>
      <c r="D520" t="inlineStr">
        <is>
          <t>DALARNAS LÄN</t>
        </is>
      </c>
      <c r="E520" t="inlineStr">
        <is>
          <t>ORSA</t>
        </is>
      </c>
      <c r="G520" t="n">
        <v>2.1</v>
      </c>
      <c r="H520" t="n">
        <v>0</v>
      </c>
      <c r="I520" t="n">
        <v>0</v>
      </c>
      <c r="J520" t="n">
        <v>0</v>
      </c>
      <c r="K520" t="n">
        <v>0</v>
      </c>
      <c r="L520" t="n">
        <v>0</v>
      </c>
      <c r="M520" t="n">
        <v>0</v>
      </c>
      <c r="N520" t="n">
        <v>0</v>
      </c>
      <c r="O520" t="n">
        <v>0</v>
      </c>
      <c r="P520" t="n">
        <v>0</v>
      </c>
      <c r="Q520" t="n">
        <v>0</v>
      </c>
      <c r="R520" s="2" t="inlineStr"/>
    </row>
    <row r="521" ht="15" customHeight="1">
      <c r="A521" t="inlineStr">
        <is>
          <t>A 58923-2025</t>
        </is>
      </c>
      <c r="B521" s="1" t="n">
        <v>45987.54099537037</v>
      </c>
      <c r="C521" s="1" t="n">
        <v>45994</v>
      </c>
      <c r="D521" t="inlineStr">
        <is>
          <t>DALARNAS LÄN</t>
        </is>
      </c>
      <c r="E521" t="inlineStr">
        <is>
          <t>ORSA</t>
        </is>
      </c>
      <c r="G521" t="n">
        <v>0.6</v>
      </c>
      <c r="H521" t="n">
        <v>0</v>
      </c>
      <c r="I521" t="n">
        <v>0</v>
      </c>
      <c r="J521" t="n">
        <v>0</v>
      </c>
      <c r="K521" t="n">
        <v>0</v>
      </c>
      <c r="L521" t="n">
        <v>0</v>
      </c>
      <c r="M521" t="n">
        <v>0</v>
      </c>
      <c r="N521" t="n">
        <v>0</v>
      </c>
      <c r="O521" t="n">
        <v>0</v>
      </c>
      <c r="P521" t="n">
        <v>0</v>
      </c>
      <c r="Q521" t="n">
        <v>0</v>
      </c>
      <c r="R521" s="2" t="inlineStr"/>
    </row>
    <row r="522" ht="15" customHeight="1">
      <c r="A522" t="inlineStr">
        <is>
          <t>A 58834-2025</t>
        </is>
      </c>
      <c r="B522" s="1" t="n">
        <v>45987.35487268519</v>
      </c>
      <c r="C522" s="1" t="n">
        <v>45994</v>
      </c>
      <c r="D522" t="inlineStr">
        <is>
          <t>DALARNAS LÄN</t>
        </is>
      </c>
      <c r="E522" t="inlineStr">
        <is>
          <t>ORSA</t>
        </is>
      </c>
      <c r="G522" t="n">
        <v>3.6</v>
      </c>
      <c r="H522" t="n">
        <v>0</v>
      </c>
      <c r="I522" t="n">
        <v>0</v>
      </c>
      <c r="J522" t="n">
        <v>0</v>
      </c>
      <c r="K522" t="n">
        <v>0</v>
      </c>
      <c r="L522" t="n">
        <v>0</v>
      </c>
      <c r="M522" t="n">
        <v>0</v>
      </c>
      <c r="N522" t="n">
        <v>0</v>
      </c>
      <c r="O522" t="n">
        <v>0</v>
      </c>
      <c r="P522" t="n">
        <v>0</v>
      </c>
      <c r="Q522" t="n">
        <v>0</v>
      </c>
      <c r="R522" s="2" t="inlineStr"/>
    </row>
    <row r="523" ht="15" customHeight="1">
      <c r="A523" t="inlineStr">
        <is>
          <t>A 58904-2025</t>
        </is>
      </c>
      <c r="B523" s="1" t="n">
        <v>45987.50958333333</v>
      </c>
      <c r="C523" s="1" t="n">
        <v>45994</v>
      </c>
      <c r="D523" t="inlineStr">
        <is>
          <t>DALARNAS LÄN</t>
        </is>
      </c>
      <c r="E523" t="inlineStr">
        <is>
          <t>ORSA</t>
        </is>
      </c>
      <c r="G523" t="n">
        <v>5.5</v>
      </c>
      <c r="H523" t="n">
        <v>0</v>
      </c>
      <c r="I523" t="n">
        <v>0</v>
      </c>
      <c r="J523" t="n">
        <v>0</v>
      </c>
      <c r="K523" t="n">
        <v>0</v>
      </c>
      <c r="L523" t="n">
        <v>0</v>
      </c>
      <c r="M523" t="n">
        <v>0</v>
      </c>
      <c r="N523" t="n">
        <v>0</v>
      </c>
      <c r="O523" t="n">
        <v>0</v>
      </c>
      <c r="P523" t="n">
        <v>0</v>
      </c>
      <c r="Q523" t="n">
        <v>0</v>
      </c>
      <c r="R523" s="2" t="inlineStr"/>
    </row>
    <row r="524" ht="15" customHeight="1">
      <c r="A524" t="inlineStr">
        <is>
          <t>A 58683-2025</t>
        </is>
      </c>
      <c r="B524" s="1" t="n">
        <v>45986.56949074074</v>
      </c>
      <c r="C524" s="1" t="n">
        <v>45994</v>
      </c>
      <c r="D524" t="inlineStr">
        <is>
          <t>DALARNAS LÄN</t>
        </is>
      </c>
      <c r="E524" t="inlineStr">
        <is>
          <t>ORSA</t>
        </is>
      </c>
      <c r="G524" t="n">
        <v>0.6</v>
      </c>
      <c r="H524" t="n">
        <v>0</v>
      </c>
      <c r="I524" t="n">
        <v>0</v>
      </c>
      <c r="J524" t="n">
        <v>0</v>
      </c>
      <c r="K524" t="n">
        <v>0</v>
      </c>
      <c r="L524" t="n">
        <v>0</v>
      </c>
      <c r="M524" t="n">
        <v>0</v>
      </c>
      <c r="N524" t="n">
        <v>0</v>
      </c>
      <c r="O524" t="n">
        <v>0</v>
      </c>
      <c r="P524" t="n">
        <v>0</v>
      </c>
      <c r="Q524" t="n">
        <v>0</v>
      </c>
      <c r="R524" s="2" t="inlineStr"/>
    </row>
    <row r="525" ht="15" customHeight="1">
      <c r="A525" t="inlineStr">
        <is>
          <t>A 58691-2025</t>
        </is>
      </c>
      <c r="B525" s="1" t="n">
        <v>45986.58231481481</v>
      </c>
      <c r="C525" s="1" t="n">
        <v>45994</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58681-2025</t>
        </is>
      </c>
      <c r="B526" s="1" t="n">
        <v>45986.56822916667</v>
      </c>
      <c r="C526" s="1" t="n">
        <v>45994</v>
      </c>
      <c r="D526" t="inlineStr">
        <is>
          <t>DALARNAS LÄN</t>
        </is>
      </c>
      <c r="E526" t="inlineStr">
        <is>
          <t>ORSA</t>
        </is>
      </c>
      <c r="G526" t="n">
        <v>1.3</v>
      </c>
      <c r="H526" t="n">
        <v>0</v>
      </c>
      <c r="I526" t="n">
        <v>0</v>
      </c>
      <c r="J526" t="n">
        <v>0</v>
      </c>
      <c r="K526" t="n">
        <v>0</v>
      </c>
      <c r="L526" t="n">
        <v>0</v>
      </c>
      <c r="M526" t="n">
        <v>0</v>
      </c>
      <c r="N526" t="n">
        <v>0</v>
      </c>
      <c r="O526" t="n">
        <v>0</v>
      </c>
      <c r="P526" t="n">
        <v>0</v>
      </c>
      <c r="Q526" t="n">
        <v>0</v>
      </c>
      <c r="R526" s="2" t="inlineStr"/>
    </row>
    <row r="527" ht="15" customHeight="1">
      <c r="A527" t="inlineStr">
        <is>
          <t>A 58886-2025</t>
        </is>
      </c>
      <c r="B527" s="1" t="n">
        <v>45987.48171296297</v>
      </c>
      <c r="C527" s="1" t="n">
        <v>45994</v>
      </c>
      <c r="D527" t="inlineStr">
        <is>
          <t>DALARNAS LÄN</t>
        </is>
      </c>
      <c r="E527" t="inlineStr">
        <is>
          <t>ORSA</t>
        </is>
      </c>
      <c r="G527" t="n">
        <v>2.7</v>
      </c>
      <c r="H527" t="n">
        <v>0</v>
      </c>
      <c r="I527" t="n">
        <v>0</v>
      </c>
      <c r="J527" t="n">
        <v>0</v>
      </c>
      <c r="K527" t="n">
        <v>0</v>
      </c>
      <c r="L527" t="n">
        <v>0</v>
      </c>
      <c r="M527" t="n">
        <v>0</v>
      </c>
      <c r="N527" t="n">
        <v>0</v>
      </c>
      <c r="O527" t="n">
        <v>0</v>
      </c>
      <c r="P527" t="n">
        <v>0</v>
      </c>
      <c r="Q527" t="n">
        <v>0</v>
      </c>
      <c r="R527" s="2" t="inlineStr"/>
    </row>
    <row r="528" ht="15" customHeight="1">
      <c r="A528" t="inlineStr">
        <is>
          <t>A 58657-2025</t>
        </is>
      </c>
      <c r="B528" s="1" t="n">
        <v>45986.52584490741</v>
      </c>
      <c r="C528" s="1" t="n">
        <v>45994</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58686-2025</t>
        </is>
      </c>
      <c r="B529" s="1" t="n">
        <v>45986.57303240741</v>
      </c>
      <c r="C529" s="1" t="n">
        <v>45994</v>
      </c>
      <c r="D529" t="inlineStr">
        <is>
          <t>DALARNAS LÄN</t>
        </is>
      </c>
      <c r="E529" t="inlineStr">
        <is>
          <t>ORSA</t>
        </is>
      </c>
      <c r="G529" t="n">
        <v>1.2</v>
      </c>
      <c r="H529" t="n">
        <v>0</v>
      </c>
      <c r="I529" t="n">
        <v>0</v>
      </c>
      <c r="J529" t="n">
        <v>0</v>
      </c>
      <c r="K529" t="n">
        <v>0</v>
      </c>
      <c r="L529" t="n">
        <v>0</v>
      </c>
      <c r="M529" t="n">
        <v>0</v>
      </c>
      <c r="N529" t="n">
        <v>0</v>
      </c>
      <c r="O529" t="n">
        <v>0</v>
      </c>
      <c r="P529" t="n">
        <v>0</v>
      </c>
      <c r="Q529" t="n">
        <v>0</v>
      </c>
      <c r="R529" s="2" t="inlineStr"/>
    </row>
    <row r="530" ht="15" customHeight="1">
      <c r="A530" t="inlineStr">
        <is>
          <t>A 58647-2025</t>
        </is>
      </c>
      <c r="B530" s="1" t="n">
        <v>45986.50476851852</v>
      </c>
      <c r="C530" s="1" t="n">
        <v>45994</v>
      </c>
      <c r="D530" t="inlineStr">
        <is>
          <t>DALARNAS LÄN</t>
        </is>
      </c>
      <c r="E530" t="inlineStr">
        <is>
          <t>ORSA</t>
        </is>
      </c>
      <c r="G530" t="n">
        <v>2.8</v>
      </c>
      <c r="H530" t="n">
        <v>0</v>
      </c>
      <c r="I530" t="n">
        <v>0</v>
      </c>
      <c r="J530" t="n">
        <v>0</v>
      </c>
      <c r="K530" t="n">
        <v>0</v>
      </c>
      <c r="L530" t="n">
        <v>0</v>
      </c>
      <c r="M530" t="n">
        <v>0</v>
      </c>
      <c r="N530" t="n">
        <v>0</v>
      </c>
      <c r="O530" t="n">
        <v>0</v>
      </c>
      <c r="P530" t="n">
        <v>0</v>
      </c>
      <c r="Q530" t="n">
        <v>0</v>
      </c>
      <c r="R530" s="2" t="inlineStr"/>
    </row>
    <row r="531" ht="15" customHeight="1">
      <c r="A531" t="inlineStr">
        <is>
          <t>A 59114-2025</t>
        </is>
      </c>
      <c r="B531" s="1" t="n">
        <v>45988.4884375</v>
      </c>
      <c r="C531" s="1" t="n">
        <v>45994</v>
      </c>
      <c r="D531" t="inlineStr">
        <is>
          <t>DALARNAS LÄN</t>
        </is>
      </c>
      <c r="E531" t="inlineStr">
        <is>
          <t>ORSA</t>
        </is>
      </c>
      <c r="G531" t="n">
        <v>1.3</v>
      </c>
      <c r="H531" t="n">
        <v>0</v>
      </c>
      <c r="I531" t="n">
        <v>0</v>
      </c>
      <c r="J531" t="n">
        <v>0</v>
      </c>
      <c r="K531" t="n">
        <v>0</v>
      </c>
      <c r="L531" t="n">
        <v>0</v>
      </c>
      <c r="M531" t="n">
        <v>0</v>
      </c>
      <c r="N531" t="n">
        <v>0</v>
      </c>
      <c r="O531" t="n">
        <v>0</v>
      </c>
      <c r="P531" t="n">
        <v>0</v>
      </c>
      <c r="Q531" t="n">
        <v>0</v>
      </c>
      <c r="R531" s="2" t="inlineStr"/>
    </row>
    <row r="532" ht="15" customHeight="1">
      <c r="A532" t="inlineStr">
        <is>
          <t>A 59124-2025</t>
        </is>
      </c>
      <c r="B532" s="1" t="n">
        <v>45988.4934375</v>
      </c>
      <c r="C532" s="1" t="n">
        <v>45994</v>
      </c>
      <c r="D532" t="inlineStr">
        <is>
          <t>DALARNAS LÄN</t>
        </is>
      </c>
      <c r="E532" t="inlineStr">
        <is>
          <t>ORSA</t>
        </is>
      </c>
      <c r="G532" t="n">
        <v>0.6</v>
      </c>
      <c r="H532" t="n">
        <v>0</v>
      </c>
      <c r="I532" t="n">
        <v>0</v>
      </c>
      <c r="J532" t="n">
        <v>0</v>
      </c>
      <c r="K532" t="n">
        <v>0</v>
      </c>
      <c r="L532" t="n">
        <v>0</v>
      </c>
      <c r="M532" t="n">
        <v>0</v>
      </c>
      <c r="N532" t="n">
        <v>0</v>
      </c>
      <c r="O532" t="n">
        <v>0</v>
      </c>
      <c r="P532" t="n">
        <v>0</v>
      </c>
      <c r="Q532" t="n">
        <v>0</v>
      </c>
      <c r="R532" s="2" t="inlineStr"/>
    </row>
    <row r="533" ht="15" customHeight="1">
      <c r="A533" t="inlineStr">
        <is>
          <t>A 59149-2025</t>
        </is>
      </c>
      <c r="B533" s="1" t="n">
        <v>45988.52844907407</v>
      </c>
      <c r="C533" s="1" t="n">
        <v>45994</v>
      </c>
      <c r="D533" t="inlineStr">
        <is>
          <t>DALARNAS LÄN</t>
        </is>
      </c>
      <c r="E533" t="inlineStr">
        <is>
          <t>ORSA</t>
        </is>
      </c>
      <c r="G533" t="n">
        <v>0.8</v>
      </c>
      <c r="H533" t="n">
        <v>0</v>
      </c>
      <c r="I533" t="n">
        <v>0</v>
      </c>
      <c r="J533" t="n">
        <v>0</v>
      </c>
      <c r="K533" t="n">
        <v>0</v>
      </c>
      <c r="L533" t="n">
        <v>0</v>
      </c>
      <c r="M533" t="n">
        <v>0</v>
      </c>
      <c r="N533" t="n">
        <v>0</v>
      </c>
      <c r="O533" t="n">
        <v>0</v>
      </c>
      <c r="P533" t="n">
        <v>0</v>
      </c>
      <c r="Q533" t="n">
        <v>0</v>
      </c>
      <c r="R533" s="2" t="inlineStr"/>
    </row>
    <row r="534" ht="15" customHeight="1">
      <c r="A534" t="inlineStr">
        <is>
          <t>A 51067-2025</t>
        </is>
      </c>
      <c r="B534" s="1" t="n">
        <v>45947.45381944445</v>
      </c>
      <c r="C534" s="1" t="n">
        <v>45994</v>
      </c>
      <c r="D534" t="inlineStr">
        <is>
          <t>DALARNAS LÄN</t>
        </is>
      </c>
      <c r="E534" t="inlineStr">
        <is>
          <t>ORSA</t>
        </is>
      </c>
      <c r="G534" t="n">
        <v>5.4</v>
      </c>
      <c r="H534" t="n">
        <v>0</v>
      </c>
      <c r="I534" t="n">
        <v>0</v>
      </c>
      <c r="J534" t="n">
        <v>0</v>
      </c>
      <c r="K534" t="n">
        <v>0</v>
      </c>
      <c r="L534" t="n">
        <v>0</v>
      </c>
      <c r="M534" t="n">
        <v>0</v>
      </c>
      <c r="N534" t="n">
        <v>0</v>
      </c>
      <c r="O534" t="n">
        <v>0</v>
      </c>
      <c r="P534" t="n">
        <v>0</v>
      </c>
      <c r="Q534" t="n">
        <v>0</v>
      </c>
      <c r="R534" s="2" t="inlineStr"/>
    </row>
    <row r="535" ht="15" customHeight="1">
      <c r="A535" t="inlineStr">
        <is>
          <t>A 51055-2025</t>
        </is>
      </c>
      <c r="B535" s="1" t="n">
        <v>45947.44309027777</v>
      </c>
      <c r="C535" s="1" t="n">
        <v>45994</v>
      </c>
      <c r="D535" t="inlineStr">
        <is>
          <t>DALARNAS LÄN</t>
        </is>
      </c>
      <c r="E535" t="inlineStr">
        <is>
          <t>ORSA</t>
        </is>
      </c>
      <c r="G535" t="n">
        <v>4.6</v>
      </c>
      <c r="H535" t="n">
        <v>0</v>
      </c>
      <c r="I535" t="n">
        <v>0</v>
      </c>
      <c r="J535" t="n">
        <v>0</v>
      </c>
      <c r="K535" t="n">
        <v>0</v>
      </c>
      <c r="L535" t="n">
        <v>0</v>
      </c>
      <c r="M535" t="n">
        <v>0</v>
      </c>
      <c r="N535" t="n">
        <v>0</v>
      </c>
      <c r="O535" t="n">
        <v>0</v>
      </c>
      <c r="P535" t="n">
        <v>0</v>
      </c>
      <c r="Q535" t="n">
        <v>0</v>
      </c>
      <c r="R535" s="2" t="inlineStr"/>
    </row>
    <row r="536" ht="15" customHeight="1">
      <c r="A536" t="inlineStr">
        <is>
          <t>A 51049-2025</t>
        </is>
      </c>
      <c r="B536" s="1" t="n">
        <v>45947.43479166667</v>
      </c>
      <c r="C536" s="1" t="n">
        <v>45994</v>
      </c>
      <c r="D536" t="inlineStr">
        <is>
          <t>DALARNAS LÄN</t>
        </is>
      </c>
      <c r="E536" t="inlineStr">
        <is>
          <t>ORSA</t>
        </is>
      </c>
      <c r="G536" t="n">
        <v>2.3</v>
      </c>
      <c r="H536" t="n">
        <v>0</v>
      </c>
      <c r="I536" t="n">
        <v>0</v>
      </c>
      <c r="J536" t="n">
        <v>0</v>
      </c>
      <c r="K536" t="n">
        <v>0</v>
      </c>
      <c r="L536" t="n">
        <v>0</v>
      </c>
      <c r="M536" t="n">
        <v>0</v>
      </c>
      <c r="N536" t="n">
        <v>0</v>
      </c>
      <c r="O536" t="n">
        <v>0</v>
      </c>
      <c r="P536" t="n">
        <v>0</v>
      </c>
      <c r="Q536" t="n">
        <v>0</v>
      </c>
      <c r="R536" s="2" t="inlineStr"/>
    </row>
    <row r="537" ht="15" customHeight="1">
      <c r="A537" t="inlineStr">
        <is>
          <t>A 51064-2025</t>
        </is>
      </c>
      <c r="B537" s="1" t="n">
        <v>45947.45197916667</v>
      </c>
      <c r="C537" s="1" t="n">
        <v>45994</v>
      </c>
      <c r="D537" t="inlineStr">
        <is>
          <t>DALARNAS LÄN</t>
        </is>
      </c>
      <c r="E537" t="inlineStr">
        <is>
          <t>ORSA</t>
        </is>
      </c>
      <c r="G537" t="n">
        <v>2.1</v>
      </c>
      <c r="H537" t="n">
        <v>0</v>
      </c>
      <c r="I537" t="n">
        <v>0</v>
      </c>
      <c r="J537" t="n">
        <v>0</v>
      </c>
      <c r="K537" t="n">
        <v>0</v>
      </c>
      <c r="L537" t="n">
        <v>0</v>
      </c>
      <c r="M537" t="n">
        <v>0</v>
      </c>
      <c r="N537" t="n">
        <v>0</v>
      </c>
      <c r="O537" t="n">
        <v>0</v>
      </c>
      <c r="P537" t="n">
        <v>0</v>
      </c>
      <c r="Q537" t="n">
        <v>0</v>
      </c>
      <c r="R537" s="2" t="inlineStr"/>
    </row>
    <row r="538" ht="15" customHeight="1">
      <c r="A538" t="inlineStr">
        <is>
          <t>A 59909-2025</t>
        </is>
      </c>
      <c r="B538" s="1" t="n">
        <v>45993.35644675926</v>
      </c>
      <c r="C538" s="1" t="n">
        <v>45994</v>
      </c>
      <c r="D538" t="inlineStr">
        <is>
          <t>DALARNAS LÄN</t>
        </is>
      </c>
      <c r="E538" t="inlineStr">
        <is>
          <t>ORSA</t>
        </is>
      </c>
      <c r="G538" t="n">
        <v>3.5</v>
      </c>
      <c r="H538" t="n">
        <v>0</v>
      </c>
      <c r="I538" t="n">
        <v>0</v>
      </c>
      <c r="J538" t="n">
        <v>0</v>
      </c>
      <c r="K538" t="n">
        <v>0</v>
      </c>
      <c r="L538" t="n">
        <v>0</v>
      </c>
      <c r="M538" t="n">
        <v>0</v>
      </c>
      <c r="N538" t="n">
        <v>0</v>
      </c>
      <c r="O538" t="n">
        <v>0</v>
      </c>
      <c r="P538" t="n">
        <v>0</v>
      </c>
      <c r="Q538" t="n">
        <v>0</v>
      </c>
      <c r="R538" s="2" t="inlineStr"/>
    </row>
    <row r="539" ht="15" customHeight="1">
      <c r="A539" t="inlineStr">
        <is>
          <t>A 52949-2025</t>
        </is>
      </c>
      <c r="B539" s="1" t="n">
        <v>45954</v>
      </c>
      <c r="C539" s="1" t="n">
        <v>45994</v>
      </c>
      <c r="D539" t="inlineStr">
        <is>
          <t>DALARNAS LÄN</t>
        </is>
      </c>
      <c r="E539" t="inlineStr">
        <is>
          <t>ORSA</t>
        </is>
      </c>
      <c r="G539" t="n">
        <v>2.2</v>
      </c>
      <c r="H539" t="n">
        <v>0</v>
      </c>
      <c r="I539" t="n">
        <v>0</v>
      </c>
      <c r="J539" t="n">
        <v>0</v>
      </c>
      <c r="K539" t="n">
        <v>0</v>
      </c>
      <c r="L539" t="n">
        <v>0</v>
      </c>
      <c r="M539" t="n">
        <v>0</v>
      </c>
      <c r="N539" t="n">
        <v>0</v>
      </c>
      <c r="O539" t="n">
        <v>0</v>
      </c>
      <c r="P539" t="n">
        <v>0</v>
      </c>
      <c r="Q539" t="n">
        <v>0</v>
      </c>
      <c r="R539" s="2" t="inlineStr"/>
    </row>
    <row r="540" ht="15" customHeight="1">
      <c r="A540" t="inlineStr">
        <is>
          <t>A 51334-2025</t>
        </is>
      </c>
      <c r="B540" s="1" t="n">
        <v>45950.42378472222</v>
      </c>
      <c r="C540" s="1" t="n">
        <v>45994</v>
      </c>
      <c r="D540" t="inlineStr">
        <is>
          <t>DALARNAS LÄN</t>
        </is>
      </c>
      <c r="E540" t="inlineStr">
        <is>
          <t>ORSA</t>
        </is>
      </c>
      <c r="G540" t="n">
        <v>1.8</v>
      </c>
      <c r="H540" t="n">
        <v>0</v>
      </c>
      <c r="I540" t="n">
        <v>0</v>
      </c>
      <c r="J540" t="n">
        <v>0</v>
      </c>
      <c r="K540" t="n">
        <v>0</v>
      </c>
      <c r="L540" t="n">
        <v>0</v>
      </c>
      <c r="M540" t="n">
        <v>0</v>
      </c>
      <c r="N540" t="n">
        <v>0</v>
      </c>
      <c r="O540" t="n">
        <v>0</v>
      </c>
      <c r="P540" t="n">
        <v>0</v>
      </c>
      <c r="Q540" t="n">
        <v>0</v>
      </c>
      <c r="R540" s="2" t="inlineStr"/>
    </row>
    <row r="541" ht="15" customHeight="1">
      <c r="A541" t="inlineStr">
        <is>
          <t>A 51340-2025</t>
        </is>
      </c>
      <c r="B541" s="1" t="n">
        <v>45950.42725694444</v>
      </c>
      <c r="C541" s="1" t="n">
        <v>45994</v>
      </c>
      <c r="D541" t="inlineStr">
        <is>
          <t>DALARNAS LÄN</t>
        </is>
      </c>
      <c r="E541" t="inlineStr">
        <is>
          <t>ORSA</t>
        </is>
      </c>
      <c r="F541" t="inlineStr">
        <is>
          <t>Allmännings- och besparingsskogar</t>
        </is>
      </c>
      <c r="G541" t="n">
        <v>14.1</v>
      </c>
      <c r="H541" t="n">
        <v>0</v>
      </c>
      <c r="I541" t="n">
        <v>0</v>
      </c>
      <c r="J541" t="n">
        <v>0</v>
      </c>
      <c r="K541" t="n">
        <v>0</v>
      </c>
      <c r="L541" t="n">
        <v>0</v>
      </c>
      <c r="M541" t="n">
        <v>0</v>
      </c>
      <c r="N541" t="n">
        <v>0</v>
      </c>
      <c r="O541" t="n">
        <v>0</v>
      </c>
      <c r="P541" t="n">
        <v>0</v>
      </c>
      <c r="Q541" t="n">
        <v>0</v>
      </c>
      <c r="R541" s="2" t="inlineStr"/>
    </row>
    <row r="542">
      <c r="A542" t="inlineStr">
        <is>
          <t>A 51551-2025</t>
        </is>
      </c>
      <c r="B542" s="1" t="n">
        <v>45950.84275462963</v>
      </c>
      <c r="C542" s="1" t="n">
        <v>45994</v>
      </c>
      <c r="D542" t="inlineStr">
        <is>
          <t>DALARNAS LÄN</t>
        </is>
      </c>
      <c r="E542" t="inlineStr">
        <is>
          <t>ORSA</t>
        </is>
      </c>
      <c r="G542" t="n">
        <v>0.9</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2025-12-03T10:26:48Z</dcterms:created>
  <dcterms:modified xmlns:dcterms="http://purl.org/dc/terms/" xmlns:xsi="http://www.w3.org/2001/XMLSchema-instance" xsi:type="dcterms:W3CDTF">2025-12-03T10:26:48Z</dcterms:modified>
</cp:coreProperties>
</file>