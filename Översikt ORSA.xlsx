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46177</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46177</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46177</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46177</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46177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52487-2024</t>
        </is>
      </c>
      <c r="B13" s="1" t="n">
        <v>45609</v>
      </c>
      <c r="C13" s="1" t="n">
        <v>46177</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46177</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46177</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46177</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46177</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46177</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46177</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46177</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46177</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46177</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46177</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46177</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46177</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51305-2023</t>
        </is>
      </c>
      <c r="B27" s="1" t="n">
        <v>45219</v>
      </c>
      <c r="C27" s="1" t="n">
        <v>46177</v>
      </c>
      <c r="D27" t="inlineStr">
        <is>
          <t>DALARNAS LÄN</t>
        </is>
      </c>
      <c r="E27" t="inlineStr">
        <is>
          <t>ORSA</t>
        </is>
      </c>
      <c r="G27" t="n">
        <v>1.3</v>
      </c>
      <c r="H27" t="n">
        <v>4</v>
      </c>
      <c r="I27" t="n">
        <v>2</v>
      </c>
      <c r="J27" t="n">
        <v>6</v>
      </c>
      <c r="K27" t="n">
        <v>0</v>
      </c>
      <c r="L27" t="n">
        <v>0</v>
      </c>
      <c r="M27" t="n">
        <v>0</v>
      </c>
      <c r="N27" t="n">
        <v>0</v>
      </c>
      <c r="O27" t="n">
        <v>6</v>
      </c>
      <c r="P27" t="n">
        <v>0</v>
      </c>
      <c r="Q27" t="n">
        <v>8</v>
      </c>
      <c r="R27" s="2" t="inlineStr">
        <is>
          <t>Entita
Garnlav
Spillkråka
Tallticka
Tretåig hackspett
Ärtsångare
Bronshjon
Mindre märgborre</t>
        </is>
      </c>
      <c r="S27">
        <f>HYPERLINK("https://klasma.github.io/Logging_2034/artfynd/A 51305-2023 artfynd.xlsx", "A 51305-2023")</f>
        <v/>
      </c>
      <c r="T27">
        <f>HYPERLINK("https://klasma.github.io/Logging_2034/kartor/A 51305-2023 karta.png", "A 51305-2023")</f>
        <v/>
      </c>
      <c r="V27">
        <f>HYPERLINK("https://klasma.github.io/Logging_2034/klagomål/A 51305-2023 FSC-klagomål.docx", "A 51305-2023")</f>
        <v/>
      </c>
      <c r="W27">
        <f>HYPERLINK("https://klasma.github.io/Logging_2034/klagomålsmail/A 51305-2023 FSC-klagomål mail.docx", "A 51305-2023")</f>
        <v/>
      </c>
      <c r="X27">
        <f>HYPERLINK("https://klasma.github.io/Logging_2034/tillsyn/A 51305-2023 tillsynsbegäran.docx", "A 51305-2023")</f>
        <v/>
      </c>
      <c r="Y27">
        <f>HYPERLINK("https://klasma.github.io/Logging_2034/tillsynsmail/A 51305-2023 tillsynsbegäran mail.docx", "A 51305-2023")</f>
        <v/>
      </c>
      <c r="Z27">
        <f>HYPERLINK("https://klasma.github.io/Logging_2034/fåglar/A 51305-2023 prioriterade fågelarter.docx", "A 51305-2023")</f>
        <v/>
      </c>
    </row>
    <row r="28" ht="15" customHeight="1">
      <c r="A28" t="inlineStr">
        <is>
          <t>A 53705-2025</t>
        </is>
      </c>
      <c r="B28" s="1" t="n">
        <v>45960.605</v>
      </c>
      <c r="C28" s="1" t="n">
        <v>46177</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46177</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707-2024</t>
        </is>
      </c>
      <c r="B30" s="1" t="n">
        <v>45300</v>
      </c>
      <c r="C30" s="1" t="n">
        <v>46177</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62761-2025</t>
        </is>
      </c>
      <c r="B31" s="1" t="n">
        <v>46008.59363425926</v>
      </c>
      <c r="C31" s="1" t="n">
        <v>46177</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21799-2026</t>
        </is>
      </c>
      <c r="B32" s="1" t="n">
        <v>46150.43199074074</v>
      </c>
      <c r="C32" s="1" t="n">
        <v>46177</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46177</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46177</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8107-2024</t>
        </is>
      </c>
      <c r="B35" s="1" t="n">
        <v>45351</v>
      </c>
      <c r="C35" s="1" t="n">
        <v>46177</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883-2026</t>
        </is>
      </c>
      <c r="B36" s="1" t="n">
        <v>46030.44587962963</v>
      </c>
      <c r="C36" s="1" t="n">
        <v>46177</v>
      </c>
      <c r="D36" t="inlineStr">
        <is>
          <t>DALARNAS LÄN</t>
        </is>
      </c>
      <c r="E36" t="inlineStr">
        <is>
          <t>ORSA</t>
        </is>
      </c>
      <c r="G36" t="n">
        <v>2.8</v>
      </c>
      <c r="H36" t="n">
        <v>0</v>
      </c>
      <c r="I36" t="n">
        <v>0</v>
      </c>
      <c r="J36" t="n">
        <v>5</v>
      </c>
      <c r="K36" t="n">
        <v>1</v>
      </c>
      <c r="L36" t="n">
        <v>0</v>
      </c>
      <c r="M36" t="n">
        <v>0</v>
      </c>
      <c r="N36" t="n">
        <v>0</v>
      </c>
      <c r="O36" t="n">
        <v>6</v>
      </c>
      <c r="P36" t="n">
        <v>1</v>
      </c>
      <c r="Q36" t="n">
        <v>6</v>
      </c>
      <c r="R36" s="2" t="inlineStr">
        <is>
          <t>Rynkskinn
Garnlav
Granticka
Rosenticka
Ullticka
Vedtrappmossa</t>
        </is>
      </c>
      <c r="S36">
        <f>HYPERLINK("https://klasma.github.io/Logging_2034/artfynd/A 883-2026 artfynd.xlsx", "A 883-2026")</f>
        <v/>
      </c>
      <c r="T36">
        <f>HYPERLINK("https://klasma.github.io/Logging_2034/kartor/A 883-2026 karta.png", "A 883-2026")</f>
        <v/>
      </c>
      <c r="V36">
        <f>HYPERLINK("https://klasma.github.io/Logging_2034/klagomål/A 883-2026 FSC-klagomål.docx", "A 883-2026")</f>
        <v/>
      </c>
      <c r="W36">
        <f>HYPERLINK("https://klasma.github.io/Logging_2034/klagomålsmail/A 883-2026 FSC-klagomål mail.docx", "A 883-2026")</f>
        <v/>
      </c>
      <c r="X36">
        <f>HYPERLINK("https://klasma.github.io/Logging_2034/tillsyn/A 883-2026 tillsynsbegäran.docx", "A 883-2026")</f>
        <v/>
      </c>
      <c r="Y36">
        <f>HYPERLINK("https://klasma.github.io/Logging_2034/tillsynsmail/A 883-2026 tillsynsbegäran mail.docx", "A 883-2026")</f>
        <v/>
      </c>
    </row>
    <row r="37" ht="15" customHeight="1">
      <c r="A37" t="inlineStr">
        <is>
          <t>A 7619-2025</t>
        </is>
      </c>
      <c r="B37" s="1" t="n">
        <v>45705</v>
      </c>
      <c r="C37" s="1" t="n">
        <v>46177</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46177</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46177</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46177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50728-2022</t>
        </is>
      </c>
      <c r="B41" s="1" t="n">
        <v>44867</v>
      </c>
      <c r="C41" s="1" t="n">
        <v>46177</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49516-2025</t>
        </is>
      </c>
      <c r="B42" s="1" t="n">
        <v>45939.38631944444</v>
      </c>
      <c r="C42" s="1" t="n">
        <v>46177</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7618-2025</t>
        </is>
      </c>
      <c r="B43" s="1" t="n">
        <v>45705</v>
      </c>
      <c r="C43" s="1" t="n">
        <v>46177</v>
      </c>
      <c r="D43" t="inlineStr">
        <is>
          <t>DALARNAS LÄN</t>
        </is>
      </c>
      <c r="E43" t="inlineStr">
        <is>
          <t>ORSA</t>
        </is>
      </c>
      <c r="G43" t="n">
        <v>0.9</v>
      </c>
      <c r="H43" t="n">
        <v>2</v>
      </c>
      <c r="I43" t="n">
        <v>0</v>
      </c>
      <c r="J43" t="n">
        <v>4</v>
      </c>
      <c r="K43" t="n">
        <v>1</v>
      </c>
      <c r="L43" t="n">
        <v>0</v>
      </c>
      <c r="M43" t="n">
        <v>0</v>
      </c>
      <c r="N43" t="n">
        <v>0</v>
      </c>
      <c r="O43" t="n">
        <v>5</v>
      </c>
      <c r="P43" t="n">
        <v>1</v>
      </c>
      <c r="Q43" t="n">
        <v>5</v>
      </c>
      <c r="R43" s="2" t="inlineStr">
        <is>
          <t>Knärot
Garnlav
Kolflarnlav
Talltita
Violettgrå tagellav</t>
        </is>
      </c>
      <c r="S43">
        <f>HYPERLINK("https://klasma.github.io/Logging_2034/artfynd/A 7618-2025 artfynd.xlsx", "A 7618-2025")</f>
        <v/>
      </c>
      <c r="T43">
        <f>HYPERLINK("https://klasma.github.io/Logging_2034/kartor/A 7618-2025 karta.png", "A 7618-2025")</f>
        <v/>
      </c>
      <c r="U43">
        <f>HYPERLINK("https://klasma.github.io/Logging_2034/knärot/A 7618-2025 karta knärot.png", "A 7618-2025")</f>
        <v/>
      </c>
      <c r="V43">
        <f>HYPERLINK("https://klasma.github.io/Logging_2034/klagomål/A 7618-2025 FSC-klagomål.docx", "A 7618-2025")</f>
        <v/>
      </c>
      <c r="W43">
        <f>HYPERLINK("https://klasma.github.io/Logging_2034/klagomålsmail/A 7618-2025 FSC-klagomål mail.docx", "A 7618-2025")</f>
        <v/>
      </c>
      <c r="X43">
        <f>HYPERLINK("https://klasma.github.io/Logging_2034/tillsyn/A 7618-2025 tillsynsbegäran.docx", "A 7618-2025")</f>
        <v/>
      </c>
      <c r="Y43">
        <f>HYPERLINK("https://klasma.github.io/Logging_2034/tillsynsmail/A 7618-2025 tillsynsbegäran mail.docx", "A 7618-2025")</f>
        <v/>
      </c>
      <c r="Z43">
        <f>HYPERLINK("https://klasma.github.io/Logging_2034/fåglar/A 7618-2025 prioriterade fågelarter.docx", "A 7618-2025")</f>
        <v/>
      </c>
    </row>
    <row r="44" ht="15" customHeight="1">
      <c r="A44" t="inlineStr">
        <is>
          <t>A 21919-2026</t>
        </is>
      </c>
      <c r="B44" s="1" t="n">
        <v>46150.64587962963</v>
      </c>
      <c r="C44" s="1" t="n">
        <v>46177</v>
      </c>
      <c r="D44" t="inlineStr">
        <is>
          <t>DALARNAS LÄN</t>
        </is>
      </c>
      <c r="E44" t="inlineStr">
        <is>
          <t>ORSA</t>
        </is>
      </c>
      <c r="F44" t="inlineStr">
        <is>
          <t>Bergvik skog öst AB</t>
        </is>
      </c>
      <c r="G44" t="n">
        <v>12.4</v>
      </c>
      <c r="H44" t="n">
        <v>0</v>
      </c>
      <c r="I44" t="n">
        <v>1</v>
      </c>
      <c r="J44" t="n">
        <v>4</v>
      </c>
      <c r="K44" t="n">
        <v>0</v>
      </c>
      <c r="L44" t="n">
        <v>0</v>
      </c>
      <c r="M44" t="n">
        <v>0</v>
      </c>
      <c r="N44" t="n">
        <v>0</v>
      </c>
      <c r="O44" t="n">
        <v>4</v>
      </c>
      <c r="P44" t="n">
        <v>0</v>
      </c>
      <c r="Q44" t="n">
        <v>5</v>
      </c>
      <c r="R44" s="2" t="inlineStr">
        <is>
          <t>Blågrå svartspik
Garnlav
Kolflarnlav
Mörk kolflarnlav
Bronshjon</t>
        </is>
      </c>
      <c r="S44">
        <f>HYPERLINK("https://klasma.github.io/Logging_2034/artfynd/A 21919-2026 artfynd.xlsx", "A 21919-2026")</f>
        <v/>
      </c>
      <c r="T44">
        <f>HYPERLINK("https://klasma.github.io/Logging_2034/kartor/A 21919-2026 karta.png", "A 21919-2026")</f>
        <v/>
      </c>
      <c r="V44">
        <f>HYPERLINK("https://klasma.github.io/Logging_2034/klagomål/A 21919-2026 FSC-klagomål.docx", "A 21919-2026")</f>
        <v/>
      </c>
      <c r="W44">
        <f>HYPERLINK("https://klasma.github.io/Logging_2034/klagomålsmail/A 21919-2026 FSC-klagomål mail.docx", "A 21919-2026")</f>
        <v/>
      </c>
      <c r="X44">
        <f>HYPERLINK("https://klasma.github.io/Logging_2034/tillsyn/A 21919-2026 tillsynsbegäran.docx", "A 21919-2026")</f>
        <v/>
      </c>
      <c r="Y44">
        <f>HYPERLINK("https://klasma.github.io/Logging_2034/tillsynsmail/A 21919-2026 tillsynsbegäran mail.docx", "A 21919-2026")</f>
        <v/>
      </c>
    </row>
    <row r="45" ht="15" customHeight="1">
      <c r="A45" t="inlineStr">
        <is>
          <t>A 21476-2026</t>
        </is>
      </c>
      <c r="B45" s="1" t="n">
        <v>46148</v>
      </c>
      <c r="C45" s="1" t="n">
        <v>46177</v>
      </c>
      <c r="D45" t="inlineStr">
        <is>
          <t>DALARNAS LÄN</t>
        </is>
      </c>
      <c r="E45" t="inlineStr">
        <is>
          <t>ORSA</t>
        </is>
      </c>
      <c r="G45" t="n">
        <v>12.4</v>
      </c>
      <c r="H45" t="n">
        <v>4</v>
      </c>
      <c r="I45" t="n">
        <v>1</v>
      </c>
      <c r="J45" t="n">
        <v>2</v>
      </c>
      <c r="K45" t="n">
        <v>0</v>
      </c>
      <c r="L45" t="n">
        <v>0</v>
      </c>
      <c r="M45" t="n">
        <v>0</v>
      </c>
      <c r="N45" t="n">
        <v>0</v>
      </c>
      <c r="O45" t="n">
        <v>2</v>
      </c>
      <c r="P45" t="n">
        <v>0</v>
      </c>
      <c r="Q45" t="n">
        <v>5</v>
      </c>
      <c r="R45" s="2" t="inlineStr">
        <is>
          <t>Spillkråka
Talltita
Mörk husmossa
Mattlummer
Revlummer</t>
        </is>
      </c>
      <c r="S45">
        <f>HYPERLINK("https://klasma.github.io/Logging_2034/artfynd/A 21476-2026 artfynd.xlsx", "A 21476-2026")</f>
        <v/>
      </c>
      <c r="T45">
        <f>HYPERLINK("https://klasma.github.io/Logging_2034/kartor/A 21476-2026 karta.png", "A 21476-2026")</f>
        <v/>
      </c>
      <c r="V45">
        <f>HYPERLINK("https://klasma.github.io/Logging_2034/klagomål/A 21476-2026 FSC-klagomål.docx", "A 21476-2026")</f>
        <v/>
      </c>
      <c r="W45">
        <f>HYPERLINK("https://klasma.github.io/Logging_2034/klagomålsmail/A 21476-2026 FSC-klagomål mail.docx", "A 21476-2026")</f>
        <v/>
      </c>
      <c r="X45">
        <f>HYPERLINK("https://klasma.github.io/Logging_2034/tillsyn/A 21476-2026 tillsynsbegäran.docx", "A 21476-2026")</f>
        <v/>
      </c>
      <c r="Y45">
        <f>HYPERLINK("https://klasma.github.io/Logging_2034/tillsynsmail/A 21476-2026 tillsynsbegäran mail.docx", "A 21476-2026")</f>
        <v/>
      </c>
      <c r="Z45">
        <f>HYPERLINK("https://klasma.github.io/Logging_2034/fåglar/A 21476-2026 prioriterade fågelarter.docx", "A 21476-2026")</f>
        <v/>
      </c>
    </row>
    <row r="46" ht="15" customHeight="1">
      <c r="A46" t="inlineStr">
        <is>
          <t>A 22172-2025</t>
        </is>
      </c>
      <c r="B46" s="1" t="n">
        <v>45785</v>
      </c>
      <c r="C46" s="1" t="n">
        <v>46177</v>
      </c>
      <c r="D46" t="inlineStr">
        <is>
          <t>DALARNAS LÄN</t>
        </is>
      </c>
      <c r="E46" t="inlineStr">
        <is>
          <t>ORSA</t>
        </is>
      </c>
      <c r="F46" t="inlineStr">
        <is>
          <t>Bergvik skog öst AB</t>
        </is>
      </c>
      <c r="G46" t="n">
        <v>3.8</v>
      </c>
      <c r="H46" t="n">
        <v>3</v>
      </c>
      <c r="I46" t="n">
        <v>1</v>
      </c>
      <c r="J46" t="n">
        <v>2</v>
      </c>
      <c r="K46" t="n">
        <v>0</v>
      </c>
      <c r="L46" t="n">
        <v>0</v>
      </c>
      <c r="M46" t="n">
        <v>0</v>
      </c>
      <c r="N46" t="n">
        <v>0</v>
      </c>
      <c r="O46" t="n">
        <v>2</v>
      </c>
      <c r="P46" t="n">
        <v>0</v>
      </c>
      <c r="Q46" t="n">
        <v>5</v>
      </c>
      <c r="R46" s="2" t="inlineStr">
        <is>
          <t>Garnlav
Spillkråka
Tallfingersvamp
Lavskrika
Revlummer</t>
        </is>
      </c>
      <c r="S46">
        <f>HYPERLINK("https://klasma.github.io/Logging_2034/artfynd/A 22172-2025 artfynd.xlsx", "A 22172-2025")</f>
        <v/>
      </c>
      <c r="T46">
        <f>HYPERLINK("https://klasma.github.io/Logging_2034/kartor/A 22172-2025 karta.png", "A 22172-2025")</f>
        <v/>
      </c>
      <c r="V46">
        <f>HYPERLINK("https://klasma.github.io/Logging_2034/klagomål/A 22172-2025 FSC-klagomål.docx", "A 22172-2025")</f>
        <v/>
      </c>
      <c r="W46">
        <f>HYPERLINK("https://klasma.github.io/Logging_2034/klagomålsmail/A 22172-2025 FSC-klagomål mail.docx", "A 22172-2025")</f>
        <v/>
      </c>
      <c r="X46">
        <f>HYPERLINK("https://klasma.github.io/Logging_2034/tillsyn/A 22172-2025 tillsynsbegäran.docx", "A 22172-2025")</f>
        <v/>
      </c>
      <c r="Y46">
        <f>HYPERLINK("https://klasma.github.io/Logging_2034/tillsynsmail/A 22172-2025 tillsynsbegäran mail.docx", "A 22172-2025")</f>
        <v/>
      </c>
      <c r="Z46">
        <f>HYPERLINK("https://klasma.github.io/Logging_2034/fåglar/A 22172-2025 prioriterade fågelarter.docx", "A 22172-2025")</f>
        <v/>
      </c>
    </row>
    <row r="47" ht="15" customHeight="1">
      <c r="A47" t="inlineStr">
        <is>
          <t>A 35570-2024</t>
        </is>
      </c>
      <c r="B47" s="1" t="n">
        <v>45531</v>
      </c>
      <c r="C47" s="1" t="n">
        <v>46177</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33366-2023</t>
        </is>
      </c>
      <c r="B48" s="1" t="n">
        <v>45128</v>
      </c>
      <c r="C48" s="1" t="n">
        <v>46177</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48499-2024</t>
        </is>
      </c>
      <c r="B49" s="1" t="n">
        <v>45592</v>
      </c>
      <c r="C49" s="1" t="n">
        <v>46177</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46008.68391203704</v>
      </c>
      <c r="C50" s="1" t="n">
        <v>46177</v>
      </c>
      <c r="D50" t="inlineStr">
        <is>
          <t>DALARNAS LÄN</t>
        </is>
      </c>
      <c r="E50" t="inlineStr">
        <is>
          <t>ORSA</t>
        </is>
      </c>
      <c r="G50" t="n">
        <v>6.8</v>
      </c>
      <c r="H50" t="n">
        <v>3</v>
      </c>
      <c r="I50" t="n">
        <v>0</v>
      </c>
      <c r="J50" t="n">
        <v>4</v>
      </c>
      <c r="K50" t="n">
        <v>0</v>
      </c>
      <c r="L50" t="n">
        <v>0</v>
      </c>
      <c r="M50" t="n">
        <v>0</v>
      </c>
      <c r="N50" t="n">
        <v>0</v>
      </c>
      <c r="O50" t="n">
        <v>4</v>
      </c>
      <c r="P50" t="n">
        <v>0</v>
      </c>
      <c r="Q50" t="n">
        <v>4</v>
      </c>
      <c r="R50" s="2" t="inlineStr">
        <is>
          <t>Garnlav
Järpe
Spillkråka
Tretåig hackspett</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21747-2025</t>
        </is>
      </c>
      <c r="B51" s="1" t="n">
        <v>45783.60923611111</v>
      </c>
      <c r="C51" s="1" t="n">
        <v>46177</v>
      </c>
      <c r="D51" t="inlineStr">
        <is>
          <t>DALARNAS LÄN</t>
        </is>
      </c>
      <c r="E51" t="inlineStr">
        <is>
          <t>ORSA</t>
        </is>
      </c>
      <c r="G51" t="n">
        <v>1.2</v>
      </c>
      <c r="H51" t="n">
        <v>0</v>
      </c>
      <c r="I51" t="n">
        <v>1</v>
      </c>
      <c r="J51" t="n">
        <v>2</v>
      </c>
      <c r="K51" t="n">
        <v>0</v>
      </c>
      <c r="L51" t="n">
        <v>0</v>
      </c>
      <c r="M51" t="n">
        <v>0</v>
      </c>
      <c r="N51" t="n">
        <v>0</v>
      </c>
      <c r="O51" t="n">
        <v>2</v>
      </c>
      <c r="P51" t="n">
        <v>0</v>
      </c>
      <c r="Q51" t="n">
        <v>3</v>
      </c>
      <c r="R51" s="2" t="inlineStr">
        <is>
          <t>Garnlav
Violettgrå tagellav
Mindre märgborre</t>
        </is>
      </c>
      <c r="S51">
        <f>HYPERLINK("https://klasma.github.io/Logging_2034/artfynd/A 21747-2025 artfynd.xlsx", "A 21747-2025")</f>
        <v/>
      </c>
      <c r="T51">
        <f>HYPERLINK("https://klasma.github.io/Logging_2034/kartor/A 21747-2025 karta.png", "A 21747-2025")</f>
        <v/>
      </c>
      <c r="V51">
        <f>HYPERLINK("https://klasma.github.io/Logging_2034/klagomål/A 21747-2025 FSC-klagomål.docx", "A 21747-2025")</f>
        <v/>
      </c>
      <c r="W51">
        <f>HYPERLINK("https://klasma.github.io/Logging_2034/klagomålsmail/A 21747-2025 FSC-klagomål mail.docx", "A 21747-2025")</f>
        <v/>
      </c>
      <c r="X51">
        <f>HYPERLINK("https://klasma.github.io/Logging_2034/tillsyn/A 21747-2025 tillsynsbegäran.docx", "A 21747-2025")</f>
        <v/>
      </c>
      <c r="Y51">
        <f>HYPERLINK("https://klasma.github.io/Logging_2034/tillsynsmail/A 21747-2025 tillsynsbegäran mail.docx", "A 21747-2025")</f>
        <v/>
      </c>
    </row>
    <row r="52" ht="15" customHeight="1">
      <c r="A52" t="inlineStr">
        <is>
          <t>A 48985-2025</t>
        </is>
      </c>
      <c r="B52" s="1" t="n">
        <v>45937.57505787037</v>
      </c>
      <c r="C52" s="1" t="n">
        <v>46177</v>
      </c>
      <c r="D52" t="inlineStr">
        <is>
          <t>DALARNAS LÄN</t>
        </is>
      </c>
      <c r="E52" t="inlineStr">
        <is>
          <t>ORSA</t>
        </is>
      </c>
      <c r="F52" t="inlineStr">
        <is>
          <t>Bergvik skog öst AB</t>
        </is>
      </c>
      <c r="G52" t="n">
        <v>7.1</v>
      </c>
      <c r="H52" t="n">
        <v>1</v>
      </c>
      <c r="I52" t="n">
        <v>1</v>
      </c>
      <c r="J52" t="n">
        <v>2</v>
      </c>
      <c r="K52" t="n">
        <v>0</v>
      </c>
      <c r="L52" t="n">
        <v>0</v>
      </c>
      <c r="M52" t="n">
        <v>0</v>
      </c>
      <c r="N52" t="n">
        <v>0</v>
      </c>
      <c r="O52" t="n">
        <v>2</v>
      </c>
      <c r="P52" t="n">
        <v>0</v>
      </c>
      <c r="Q52" t="n">
        <v>3</v>
      </c>
      <c r="R52" s="2" t="inlineStr">
        <is>
          <t>Skrovellav
Talltita
Norrlandslav</t>
        </is>
      </c>
      <c r="S52">
        <f>HYPERLINK("https://klasma.github.io/Logging_2034/artfynd/A 48985-2025 artfynd.xlsx", "A 48985-2025")</f>
        <v/>
      </c>
      <c r="T52">
        <f>HYPERLINK("https://klasma.github.io/Logging_2034/kartor/A 48985-2025 karta.png", "A 48985-2025")</f>
        <v/>
      </c>
      <c r="V52">
        <f>HYPERLINK("https://klasma.github.io/Logging_2034/klagomål/A 48985-2025 FSC-klagomål.docx", "A 48985-2025")</f>
        <v/>
      </c>
      <c r="W52">
        <f>HYPERLINK("https://klasma.github.io/Logging_2034/klagomålsmail/A 48985-2025 FSC-klagomål mail.docx", "A 48985-2025")</f>
        <v/>
      </c>
      <c r="X52">
        <f>HYPERLINK("https://klasma.github.io/Logging_2034/tillsyn/A 48985-2025 tillsynsbegäran.docx", "A 48985-2025")</f>
        <v/>
      </c>
      <c r="Y52">
        <f>HYPERLINK("https://klasma.github.io/Logging_2034/tillsynsmail/A 48985-2025 tillsynsbegäran mail.docx", "A 48985-2025")</f>
        <v/>
      </c>
      <c r="Z52">
        <f>HYPERLINK("https://klasma.github.io/Logging_2034/fåglar/A 48985-2025 prioriterade fågelarter.docx", "A 48985-2025")</f>
        <v/>
      </c>
    </row>
    <row r="53" ht="15" customHeight="1">
      <c r="A53" t="inlineStr">
        <is>
          <t>A 29844-2025</t>
        </is>
      </c>
      <c r="B53" s="1" t="n">
        <v>45826</v>
      </c>
      <c r="C53" s="1" t="n">
        <v>46177</v>
      </c>
      <c r="D53" t="inlineStr">
        <is>
          <t>DALARNAS LÄN</t>
        </is>
      </c>
      <c r="E53" t="inlineStr">
        <is>
          <t>ORSA</t>
        </is>
      </c>
      <c r="F53" t="inlineStr">
        <is>
          <t>Allmännings- och besparingsskogar</t>
        </is>
      </c>
      <c r="G53" t="n">
        <v>53.9</v>
      </c>
      <c r="H53" t="n">
        <v>1</v>
      </c>
      <c r="I53" t="n">
        <v>1</v>
      </c>
      <c r="J53" t="n">
        <v>2</v>
      </c>
      <c r="K53" t="n">
        <v>0</v>
      </c>
      <c r="L53" t="n">
        <v>0</v>
      </c>
      <c r="M53" t="n">
        <v>0</v>
      </c>
      <c r="N53" t="n">
        <v>0</v>
      </c>
      <c r="O53" t="n">
        <v>2</v>
      </c>
      <c r="P53" t="n">
        <v>0</v>
      </c>
      <c r="Q53" t="n">
        <v>3</v>
      </c>
      <c r="R53" s="2" t="inlineStr">
        <is>
          <t>Garnlav
Spillkråka
Bronshjon</t>
        </is>
      </c>
      <c r="S53">
        <f>HYPERLINK("https://klasma.github.io/Logging_2034/artfynd/A 29844-2025 artfynd.xlsx", "A 29844-2025")</f>
        <v/>
      </c>
      <c r="T53">
        <f>HYPERLINK("https://klasma.github.io/Logging_2034/kartor/A 29844-2025 karta.png", "A 29844-2025")</f>
        <v/>
      </c>
      <c r="V53">
        <f>HYPERLINK("https://klasma.github.io/Logging_2034/klagomål/A 29844-2025 FSC-klagomål.docx", "A 29844-2025")</f>
        <v/>
      </c>
      <c r="W53">
        <f>HYPERLINK("https://klasma.github.io/Logging_2034/klagomålsmail/A 29844-2025 FSC-klagomål mail.docx", "A 29844-2025")</f>
        <v/>
      </c>
      <c r="X53">
        <f>HYPERLINK("https://klasma.github.io/Logging_2034/tillsyn/A 29844-2025 tillsynsbegäran.docx", "A 29844-2025")</f>
        <v/>
      </c>
      <c r="Y53">
        <f>HYPERLINK("https://klasma.github.io/Logging_2034/tillsynsmail/A 29844-2025 tillsynsbegäran mail.docx", "A 29844-2025")</f>
        <v/>
      </c>
      <c r="Z53">
        <f>HYPERLINK("https://klasma.github.io/Logging_2034/fåglar/A 29844-2025 prioriterade fågelarter.docx", "A 29844-2025")</f>
        <v/>
      </c>
    </row>
    <row r="54" ht="15" customHeight="1">
      <c r="A54" t="inlineStr">
        <is>
          <t>A 31336-2025</t>
        </is>
      </c>
      <c r="B54" s="1" t="n">
        <v>45833</v>
      </c>
      <c r="C54" s="1" t="n">
        <v>46177</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HYPERLINK("https://klasma.github.io/Logging_2034/artfynd/A 31336-2025 artfynd.xlsx", "A 31336-2025")</f>
        <v/>
      </c>
      <c r="T54">
        <f>HYPERLINK("https://klasma.github.io/Logging_2034/kartor/A 31336-2025 karta.png", "A 31336-2025")</f>
        <v/>
      </c>
      <c r="V54">
        <f>HYPERLINK("https://klasma.github.io/Logging_2034/klagomål/A 31336-2025 FSC-klagomål.docx", "A 31336-2025")</f>
        <v/>
      </c>
      <c r="W54">
        <f>HYPERLINK("https://klasma.github.io/Logging_2034/klagomålsmail/A 31336-2025 FSC-klagomål mail.docx", "A 31336-2025")</f>
        <v/>
      </c>
      <c r="X54">
        <f>HYPERLINK("https://klasma.github.io/Logging_2034/tillsyn/A 31336-2025 tillsynsbegäran.docx", "A 31336-2025")</f>
        <v/>
      </c>
      <c r="Y54">
        <f>HYPERLINK("https://klasma.github.io/Logging_2034/tillsynsmail/A 31336-2025 tillsynsbegäran mail.docx", "A 31336-2025")</f>
        <v/>
      </c>
      <c r="Z54">
        <f>HYPERLINK("https://klasma.github.io/Logging_2034/fåglar/A 31336-2025 prioriterade fågelarter.docx", "A 31336-2025")</f>
        <v/>
      </c>
    </row>
    <row r="55" ht="15" customHeight="1">
      <c r="A55" t="inlineStr">
        <is>
          <t>A 51289-2023</t>
        </is>
      </c>
      <c r="B55" s="1" t="n">
        <v>45219.54077546296</v>
      </c>
      <c r="C55" s="1" t="n">
        <v>46177</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61163-2025</t>
        </is>
      </c>
      <c r="B56" s="1" t="n">
        <v>46000.55846064815</v>
      </c>
      <c r="C56" s="1" t="n">
        <v>46177</v>
      </c>
      <c r="D56" t="inlineStr">
        <is>
          <t>DALARNAS LÄN</t>
        </is>
      </c>
      <c r="E56" t="inlineStr">
        <is>
          <t>ORSA</t>
        </is>
      </c>
      <c r="G56" t="n">
        <v>6.4</v>
      </c>
      <c r="H56" t="n">
        <v>1</v>
      </c>
      <c r="I56" t="n">
        <v>1</v>
      </c>
      <c r="J56" t="n">
        <v>1</v>
      </c>
      <c r="K56" t="n">
        <v>0</v>
      </c>
      <c r="L56" t="n">
        <v>0</v>
      </c>
      <c r="M56" t="n">
        <v>0</v>
      </c>
      <c r="N56" t="n">
        <v>0</v>
      </c>
      <c r="O56" t="n">
        <v>1</v>
      </c>
      <c r="P56" t="n">
        <v>0</v>
      </c>
      <c r="Q56" t="n">
        <v>3</v>
      </c>
      <c r="R56" s="2" t="inlineStr">
        <is>
          <t>Garnlav
Mindre märgborre
Mattlummer</t>
        </is>
      </c>
      <c r="S56">
        <f>HYPERLINK("https://klasma.github.io/Logging_2034/artfynd/A 61163-2025 artfynd.xlsx", "A 61163-2025")</f>
        <v/>
      </c>
      <c r="T56">
        <f>HYPERLINK("https://klasma.github.io/Logging_2034/kartor/A 61163-2025 karta.png", "A 61163-2025")</f>
        <v/>
      </c>
      <c r="V56">
        <f>HYPERLINK("https://klasma.github.io/Logging_2034/klagomål/A 61163-2025 FSC-klagomål.docx", "A 61163-2025")</f>
        <v/>
      </c>
      <c r="W56">
        <f>HYPERLINK("https://klasma.github.io/Logging_2034/klagomålsmail/A 61163-2025 FSC-klagomål mail.docx", "A 61163-2025")</f>
        <v/>
      </c>
      <c r="X56">
        <f>HYPERLINK("https://klasma.github.io/Logging_2034/tillsyn/A 61163-2025 tillsynsbegäran.docx", "A 61163-2025")</f>
        <v/>
      </c>
      <c r="Y56">
        <f>HYPERLINK("https://klasma.github.io/Logging_2034/tillsynsmail/A 61163-2025 tillsynsbegäran mail.docx", "A 61163-2025")</f>
        <v/>
      </c>
    </row>
    <row r="57" ht="15" customHeight="1">
      <c r="A57" t="inlineStr">
        <is>
          <t>A 51070-2025</t>
        </is>
      </c>
      <c r="B57" s="1" t="n">
        <v>45947.45513888889</v>
      </c>
      <c r="C57" s="1" t="n">
        <v>46177</v>
      </c>
      <c r="D57" t="inlineStr">
        <is>
          <t>DALARNAS LÄN</t>
        </is>
      </c>
      <c r="E57" t="inlineStr">
        <is>
          <t>ORSA</t>
        </is>
      </c>
      <c r="G57" t="n">
        <v>2.8</v>
      </c>
      <c r="H57" t="n">
        <v>1</v>
      </c>
      <c r="I57" t="n">
        <v>0</v>
      </c>
      <c r="J57" t="n">
        <v>2</v>
      </c>
      <c r="K57" t="n">
        <v>0</v>
      </c>
      <c r="L57" t="n">
        <v>0</v>
      </c>
      <c r="M57" t="n">
        <v>0</v>
      </c>
      <c r="N57" t="n">
        <v>0</v>
      </c>
      <c r="O57" t="n">
        <v>2</v>
      </c>
      <c r="P57" t="n">
        <v>0</v>
      </c>
      <c r="Q57" t="n">
        <v>3</v>
      </c>
      <c r="R57" s="2" t="inlineStr">
        <is>
          <t>Garnlav
Lunglav
Tjäder</t>
        </is>
      </c>
      <c r="S57">
        <f>HYPERLINK("https://klasma.github.io/Logging_2034/artfynd/A 51070-2025 artfynd.xlsx", "A 51070-2025")</f>
        <v/>
      </c>
      <c r="T57">
        <f>HYPERLINK("https://klasma.github.io/Logging_2034/kartor/A 51070-2025 karta.png", "A 51070-2025")</f>
        <v/>
      </c>
      <c r="V57">
        <f>HYPERLINK("https://klasma.github.io/Logging_2034/klagomål/A 51070-2025 FSC-klagomål.docx", "A 51070-2025")</f>
        <v/>
      </c>
      <c r="W57">
        <f>HYPERLINK("https://klasma.github.io/Logging_2034/klagomålsmail/A 51070-2025 FSC-klagomål mail.docx", "A 51070-2025")</f>
        <v/>
      </c>
      <c r="X57">
        <f>HYPERLINK("https://klasma.github.io/Logging_2034/tillsyn/A 51070-2025 tillsynsbegäran.docx", "A 51070-2025")</f>
        <v/>
      </c>
      <c r="Y57">
        <f>HYPERLINK("https://klasma.github.io/Logging_2034/tillsynsmail/A 51070-2025 tillsynsbegäran mail.docx", "A 51070-2025")</f>
        <v/>
      </c>
      <c r="Z57">
        <f>HYPERLINK("https://klasma.github.io/Logging_2034/fåglar/A 51070-2025 prioriterade fågelarter.docx", "A 51070-2025")</f>
        <v/>
      </c>
    </row>
    <row r="58" ht="15" customHeight="1">
      <c r="A58" t="inlineStr">
        <is>
          <t>A 64154-2025</t>
        </is>
      </c>
      <c r="B58" s="1" t="n">
        <v>46022</v>
      </c>
      <c r="C58" s="1" t="n">
        <v>46177</v>
      </c>
      <c r="D58" t="inlineStr">
        <is>
          <t>DALARNAS LÄN</t>
        </is>
      </c>
      <c r="E58" t="inlineStr">
        <is>
          <t>ORSA</t>
        </is>
      </c>
      <c r="G58" t="n">
        <v>29.9</v>
      </c>
      <c r="H58" t="n">
        <v>1</v>
      </c>
      <c r="I58" t="n">
        <v>1</v>
      </c>
      <c r="J58" t="n">
        <v>2</v>
      </c>
      <c r="K58" t="n">
        <v>0</v>
      </c>
      <c r="L58" t="n">
        <v>0</v>
      </c>
      <c r="M58" t="n">
        <v>0</v>
      </c>
      <c r="N58" t="n">
        <v>0</v>
      </c>
      <c r="O58" t="n">
        <v>2</v>
      </c>
      <c r="P58" t="n">
        <v>0</v>
      </c>
      <c r="Q58" t="n">
        <v>3</v>
      </c>
      <c r="R58" s="2" t="inlineStr">
        <is>
          <t>Garnlav
Tretåig hackspett
Mindre märgborre</t>
        </is>
      </c>
      <c r="S58">
        <f>HYPERLINK("https://klasma.github.io/Logging_2034/artfynd/A 64154-2025 artfynd.xlsx", "A 64154-2025")</f>
        <v/>
      </c>
      <c r="T58">
        <f>HYPERLINK("https://klasma.github.io/Logging_2034/kartor/A 64154-2025 karta.png", "A 64154-2025")</f>
        <v/>
      </c>
      <c r="V58">
        <f>HYPERLINK("https://klasma.github.io/Logging_2034/klagomål/A 64154-2025 FSC-klagomål.docx", "A 64154-2025")</f>
        <v/>
      </c>
      <c r="W58">
        <f>HYPERLINK("https://klasma.github.io/Logging_2034/klagomålsmail/A 64154-2025 FSC-klagomål mail.docx", "A 64154-2025")</f>
        <v/>
      </c>
      <c r="X58">
        <f>HYPERLINK("https://klasma.github.io/Logging_2034/tillsyn/A 64154-2025 tillsynsbegäran.docx", "A 64154-2025")</f>
        <v/>
      </c>
      <c r="Y58">
        <f>HYPERLINK("https://klasma.github.io/Logging_2034/tillsynsmail/A 64154-2025 tillsynsbegäran mail.docx", "A 64154-2025")</f>
        <v/>
      </c>
      <c r="Z58">
        <f>HYPERLINK("https://klasma.github.io/Logging_2034/fåglar/A 64154-2025 prioriterade fågelarter.docx", "A 64154-2025")</f>
        <v/>
      </c>
    </row>
    <row r="59" ht="15" customHeight="1">
      <c r="A59" t="inlineStr">
        <is>
          <t>A 31161-2025</t>
        </is>
      </c>
      <c r="B59" s="1" t="n">
        <v>45832</v>
      </c>
      <c r="C59" s="1" t="n">
        <v>46177</v>
      </c>
      <c r="D59" t="inlineStr">
        <is>
          <t>DALARNAS LÄN</t>
        </is>
      </c>
      <c r="E59" t="inlineStr">
        <is>
          <t>ORSA</t>
        </is>
      </c>
      <c r="G59" t="n">
        <v>1.7</v>
      </c>
      <c r="H59" t="n">
        <v>1</v>
      </c>
      <c r="I59" t="n">
        <v>1</v>
      </c>
      <c r="J59" t="n">
        <v>2</v>
      </c>
      <c r="K59" t="n">
        <v>0</v>
      </c>
      <c r="L59" t="n">
        <v>0</v>
      </c>
      <c r="M59" t="n">
        <v>0</v>
      </c>
      <c r="N59" t="n">
        <v>0</v>
      </c>
      <c r="O59" t="n">
        <v>2</v>
      </c>
      <c r="P59" t="n">
        <v>0</v>
      </c>
      <c r="Q59" t="n">
        <v>3</v>
      </c>
      <c r="R59" s="2" t="inlineStr">
        <is>
          <t>Garnlav
Tretåig hackspett
Bronshjon</t>
        </is>
      </c>
      <c r="S59">
        <f>HYPERLINK("https://klasma.github.io/Logging_2034/artfynd/A 31161-2025 artfynd.xlsx", "A 31161-2025")</f>
        <v/>
      </c>
      <c r="T59">
        <f>HYPERLINK("https://klasma.github.io/Logging_2034/kartor/A 31161-2025 karta.png", "A 31161-2025")</f>
        <v/>
      </c>
      <c r="V59">
        <f>HYPERLINK("https://klasma.github.io/Logging_2034/klagomål/A 31161-2025 FSC-klagomål.docx", "A 31161-2025")</f>
        <v/>
      </c>
      <c r="W59">
        <f>HYPERLINK("https://klasma.github.io/Logging_2034/klagomålsmail/A 31161-2025 FSC-klagomål mail.docx", "A 31161-2025")</f>
        <v/>
      </c>
      <c r="X59">
        <f>HYPERLINK("https://klasma.github.io/Logging_2034/tillsyn/A 31161-2025 tillsynsbegäran.docx", "A 31161-2025")</f>
        <v/>
      </c>
      <c r="Y59">
        <f>HYPERLINK("https://klasma.github.io/Logging_2034/tillsynsmail/A 31161-2025 tillsynsbegäran mail.docx", "A 31161-2025")</f>
        <v/>
      </c>
      <c r="Z59">
        <f>HYPERLINK("https://klasma.github.io/Logging_2034/fåglar/A 31161-2025 prioriterade fågelarter.docx", "A 31161-2025")</f>
        <v/>
      </c>
    </row>
    <row r="60" ht="15" customHeight="1">
      <c r="A60" t="inlineStr">
        <is>
          <t>A 63810-2021</t>
        </is>
      </c>
      <c r="B60" s="1" t="n">
        <v>44509</v>
      </c>
      <c r="C60" s="1" t="n">
        <v>46177</v>
      </c>
      <c r="D60" t="inlineStr">
        <is>
          <t>DALARNAS LÄN</t>
        </is>
      </c>
      <c r="E60" t="inlineStr">
        <is>
          <t>ORSA</t>
        </is>
      </c>
      <c r="G60" t="n">
        <v>18.4</v>
      </c>
      <c r="H60" t="n">
        <v>0</v>
      </c>
      <c r="I60" t="n">
        <v>0</v>
      </c>
      <c r="J60" t="n">
        <v>2</v>
      </c>
      <c r="K60" t="n">
        <v>0</v>
      </c>
      <c r="L60" t="n">
        <v>0</v>
      </c>
      <c r="M60" t="n">
        <v>0</v>
      </c>
      <c r="N60" t="n">
        <v>0</v>
      </c>
      <c r="O60" t="n">
        <v>2</v>
      </c>
      <c r="P60" t="n">
        <v>0</v>
      </c>
      <c r="Q60" t="n">
        <v>2</v>
      </c>
      <c r="R60" s="2" t="inlineStr">
        <is>
          <t>Garnlav
Violettgrå tagellav</t>
        </is>
      </c>
      <c r="S60">
        <f>HYPERLINK("https://klasma.github.io/Logging_2034/artfynd/A 63810-2021 artfynd.xlsx", "A 63810-2021")</f>
        <v/>
      </c>
      <c r="T60">
        <f>HYPERLINK("https://klasma.github.io/Logging_2034/kartor/A 63810-2021 karta.png", "A 63810-2021")</f>
        <v/>
      </c>
      <c r="V60">
        <f>HYPERLINK("https://klasma.github.io/Logging_2034/klagomål/A 63810-2021 FSC-klagomål.docx", "A 63810-2021")</f>
        <v/>
      </c>
      <c r="W60">
        <f>HYPERLINK("https://klasma.github.io/Logging_2034/klagomålsmail/A 63810-2021 FSC-klagomål mail.docx", "A 63810-2021")</f>
        <v/>
      </c>
      <c r="X60">
        <f>HYPERLINK("https://klasma.github.io/Logging_2034/tillsyn/A 63810-2021 tillsynsbegäran.docx", "A 63810-2021")</f>
        <v/>
      </c>
      <c r="Y60">
        <f>HYPERLINK("https://klasma.github.io/Logging_2034/tillsynsmail/A 63810-2021 tillsynsbegäran mail.docx", "A 63810-2021")</f>
        <v/>
      </c>
    </row>
    <row r="61" ht="15" customHeight="1">
      <c r="A61" t="inlineStr">
        <is>
          <t>A 48343-2022</t>
        </is>
      </c>
      <c r="B61" s="1" t="n">
        <v>44858</v>
      </c>
      <c r="C61" s="1" t="n">
        <v>46177</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6029-2024</t>
        </is>
      </c>
      <c r="B62" s="1" t="n">
        <v>45336</v>
      </c>
      <c r="C62" s="1" t="n">
        <v>46177</v>
      </c>
      <c r="D62" t="inlineStr">
        <is>
          <t>DALARNAS LÄN</t>
        </is>
      </c>
      <c r="E62" t="inlineStr">
        <is>
          <t>ORSA</t>
        </is>
      </c>
      <c r="F62" t="inlineStr">
        <is>
          <t>Kommuner</t>
        </is>
      </c>
      <c r="G62" t="n">
        <v>0.8</v>
      </c>
      <c r="H62" t="n">
        <v>0</v>
      </c>
      <c r="I62" t="n">
        <v>2</v>
      </c>
      <c r="J62" t="n">
        <v>0</v>
      </c>
      <c r="K62" t="n">
        <v>0</v>
      </c>
      <c r="L62" t="n">
        <v>0</v>
      </c>
      <c r="M62" t="n">
        <v>0</v>
      </c>
      <c r="N62" t="n">
        <v>0</v>
      </c>
      <c r="O62" t="n">
        <v>0</v>
      </c>
      <c r="P62" t="n">
        <v>0</v>
      </c>
      <c r="Q62" t="n">
        <v>2</v>
      </c>
      <c r="R62" s="2" t="inlineStr">
        <is>
          <t>Svart trolldruva
Svavelriska</t>
        </is>
      </c>
      <c r="S62">
        <f>HYPERLINK("https://klasma.github.io/Logging_2034/artfynd/A 6029-2024 artfynd.xlsx", "A 6029-2024")</f>
        <v/>
      </c>
      <c r="T62">
        <f>HYPERLINK("https://klasma.github.io/Logging_2034/kartor/A 6029-2024 karta.png", "A 6029-2024")</f>
        <v/>
      </c>
      <c r="V62">
        <f>HYPERLINK("https://klasma.github.io/Logging_2034/klagomål/A 6029-2024 FSC-klagomål.docx", "A 6029-2024")</f>
        <v/>
      </c>
      <c r="W62">
        <f>HYPERLINK("https://klasma.github.io/Logging_2034/klagomålsmail/A 6029-2024 FSC-klagomål mail.docx", "A 6029-2024")</f>
        <v/>
      </c>
      <c r="X62">
        <f>HYPERLINK("https://klasma.github.io/Logging_2034/tillsyn/A 6029-2024 tillsynsbegäran.docx", "A 6029-2024")</f>
        <v/>
      </c>
      <c r="Y62">
        <f>HYPERLINK("https://klasma.github.io/Logging_2034/tillsynsmail/A 6029-2024 tillsynsbegäran mail.docx", "A 6029-2024")</f>
        <v/>
      </c>
    </row>
    <row r="63" ht="15" customHeight="1">
      <c r="A63" t="inlineStr">
        <is>
          <t>A 31164-2025</t>
        </is>
      </c>
      <c r="B63" s="1" t="n">
        <v>45832</v>
      </c>
      <c r="C63" s="1" t="n">
        <v>46177</v>
      </c>
      <c r="D63" t="inlineStr">
        <is>
          <t>DALARNAS LÄN</t>
        </is>
      </c>
      <c r="E63" t="inlineStr">
        <is>
          <t>ORSA</t>
        </is>
      </c>
      <c r="G63" t="n">
        <v>0.9</v>
      </c>
      <c r="H63" t="n">
        <v>1</v>
      </c>
      <c r="I63" t="n">
        <v>0</v>
      </c>
      <c r="J63" t="n">
        <v>2</v>
      </c>
      <c r="K63" t="n">
        <v>0</v>
      </c>
      <c r="L63" t="n">
        <v>0</v>
      </c>
      <c r="M63" t="n">
        <v>0</v>
      </c>
      <c r="N63" t="n">
        <v>0</v>
      </c>
      <c r="O63" t="n">
        <v>2</v>
      </c>
      <c r="P63" t="n">
        <v>0</v>
      </c>
      <c r="Q63" t="n">
        <v>2</v>
      </c>
      <c r="R63" s="2" t="inlineStr">
        <is>
          <t>Garnlav
Tretåig hackspett</t>
        </is>
      </c>
      <c r="S63">
        <f>HYPERLINK("https://klasma.github.io/Logging_2034/artfynd/A 31164-2025 artfynd.xlsx", "A 31164-2025")</f>
        <v/>
      </c>
      <c r="T63">
        <f>HYPERLINK("https://klasma.github.io/Logging_2034/kartor/A 31164-2025 karta.png", "A 31164-2025")</f>
        <v/>
      </c>
      <c r="V63">
        <f>HYPERLINK("https://klasma.github.io/Logging_2034/klagomål/A 31164-2025 FSC-klagomål.docx", "A 31164-2025")</f>
        <v/>
      </c>
      <c r="W63">
        <f>HYPERLINK("https://klasma.github.io/Logging_2034/klagomålsmail/A 31164-2025 FSC-klagomål mail.docx", "A 31164-2025")</f>
        <v/>
      </c>
      <c r="X63">
        <f>HYPERLINK("https://klasma.github.io/Logging_2034/tillsyn/A 31164-2025 tillsynsbegäran.docx", "A 31164-2025")</f>
        <v/>
      </c>
      <c r="Y63">
        <f>HYPERLINK("https://klasma.github.io/Logging_2034/tillsynsmail/A 31164-2025 tillsynsbegäran mail.docx", "A 31164-2025")</f>
        <v/>
      </c>
      <c r="Z63">
        <f>HYPERLINK("https://klasma.github.io/Logging_2034/fåglar/A 31164-2025 prioriterade fågelarter.docx", "A 31164-2025")</f>
        <v/>
      </c>
    </row>
    <row r="64" ht="15" customHeight="1">
      <c r="A64" t="inlineStr">
        <is>
          <t>A 18692-2026</t>
        </is>
      </c>
      <c r="B64" s="1" t="n">
        <v>46128.4040625</v>
      </c>
      <c r="C64" s="1" t="n">
        <v>46177</v>
      </c>
      <c r="D64" t="inlineStr">
        <is>
          <t>DALARNAS LÄN</t>
        </is>
      </c>
      <c r="E64" t="inlineStr">
        <is>
          <t>ORSA</t>
        </is>
      </c>
      <c r="G64" t="n">
        <v>3.3</v>
      </c>
      <c r="H64" t="n">
        <v>1</v>
      </c>
      <c r="I64" t="n">
        <v>1</v>
      </c>
      <c r="J64" t="n">
        <v>0</v>
      </c>
      <c r="K64" t="n">
        <v>0</v>
      </c>
      <c r="L64" t="n">
        <v>0</v>
      </c>
      <c r="M64" t="n">
        <v>0</v>
      </c>
      <c r="N64" t="n">
        <v>0</v>
      </c>
      <c r="O64" t="n">
        <v>0</v>
      </c>
      <c r="P64" t="n">
        <v>0</v>
      </c>
      <c r="Q64" t="n">
        <v>2</v>
      </c>
      <c r="R64" s="2" t="inlineStr">
        <is>
          <t>Mindre märgborre
Tjäder</t>
        </is>
      </c>
      <c r="S64">
        <f>HYPERLINK("https://klasma.github.io/Logging_2034/artfynd/A 18692-2026 artfynd.xlsx", "A 18692-2026")</f>
        <v/>
      </c>
      <c r="T64">
        <f>HYPERLINK("https://klasma.github.io/Logging_2034/kartor/A 18692-2026 karta.png", "A 18692-2026")</f>
        <v/>
      </c>
      <c r="V64">
        <f>HYPERLINK("https://klasma.github.io/Logging_2034/klagomål/A 18692-2026 FSC-klagomål.docx", "A 18692-2026")</f>
        <v/>
      </c>
      <c r="W64">
        <f>HYPERLINK("https://klasma.github.io/Logging_2034/klagomålsmail/A 18692-2026 FSC-klagomål mail.docx", "A 18692-2026")</f>
        <v/>
      </c>
      <c r="X64">
        <f>HYPERLINK("https://klasma.github.io/Logging_2034/tillsyn/A 18692-2026 tillsynsbegäran.docx", "A 18692-2026")</f>
        <v/>
      </c>
      <c r="Y64">
        <f>HYPERLINK("https://klasma.github.io/Logging_2034/tillsynsmail/A 18692-2026 tillsynsbegäran mail.docx", "A 18692-2026")</f>
        <v/>
      </c>
      <c r="Z64">
        <f>HYPERLINK("https://klasma.github.io/Logging_2034/fåglar/A 18692-2026 prioriterade fågelarter.docx", "A 18692-2026")</f>
        <v/>
      </c>
    </row>
    <row r="65" ht="15" customHeight="1">
      <c r="A65" t="inlineStr">
        <is>
          <t>A 37887-2023</t>
        </is>
      </c>
      <c r="B65" s="1" t="n">
        <v>45160</v>
      </c>
      <c r="C65" s="1" t="n">
        <v>46177</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51303-2023</t>
        </is>
      </c>
      <c r="B66" s="1" t="n">
        <v>45219.55793981482</v>
      </c>
      <c r="C66" s="1" t="n">
        <v>46177</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Mindre märgborre</t>
        </is>
      </c>
      <c r="S66">
        <f>HYPERLINK("https://klasma.github.io/Logging_2034/artfynd/A 51303-2023 artfynd.xlsx", "A 51303-2023")</f>
        <v/>
      </c>
      <c r="T66">
        <f>HYPERLINK("https://klasma.github.io/Logging_2034/kartor/A 51303-2023 karta.png", "A 51303-2023")</f>
        <v/>
      </c>
      <c r="V66">
        <f>HYPERLINK("https://klasma.github.io/Logging_2034/klagomål/A 51303-2023 FSC-klagomål.docx", "A 51303-2023")</f>
        <v/>
      </c>
      <c r="W66">
        <f>HYPERLINK("https://klasma.github.io/Logging_2034/klagomålsmail/A 51303-2023 FSC-klagomål mail.docx", "A 51303-2023")</f>
        <v/>
      </c>
      <c r="X66">
        <f>HYPERLINK("https://klasma.github.io/Logging_2034/tillsyn/A 51303-2023 tillsynsbegäran.docx", "A 51303-2023")</f>
        <v/>
      </c>
      <c r="Y66">
        <f>HYPERLINK("https://klasma.github.io/Logging_2034/tillsynsmail/A 51303-2023 tillsynsbegäran mail.docx", "A 51303-2023")</f>
        <v/>
      </c>
    </row>
    <row r="67" ht="15" customHeight="1">
      <c r="A67" t="inlineStr">
        <is>
          <t>A 41799-2025</t>
        </is>
      </c>
      <c r="B67" s="1" t="n">
        <v>45902.6065162037</v>
      </c>
      <c r="C67" s="1" t="n">
        <v>46177</v>
      </c>
      <c r="D67" t="inlineStr">
        <is>
          <t>DALARNAS LÄN</t>
        </is>
      </c>
      <c r="E67" t="inlineStr">
        <is>
          <t>ORSA</t>
        </is>
      </c>
      <c r="G67" t="n">
        <v>4</v>
      </c>
      <c r="H67" t="n">
        <v>0</v>
      </c>
      <c r="I67" t="n">
        <v>0</v>
      </c>
      <c r="J67" t="n">
        <v>1</v>
      </c>
      <c r="K67" t="n">
        <v>0</v>
      </c>
      <c r="L67" t="n">
        <v>0</v>
      </c>
      <c r="M67" t="n">
        <v>0</v>
      </c>
      <c r="N67" t="n">
        <v>0</v>
      </c>
      <c r="O67" t="n">
        <v>1</v>
      </c>
      <c r="P67" t="n">
        <v>0</v>
      </c>
      <c r="Q67" t="n">
        <v>1</v>
      </c>
      <c r="R67" s="2" t="inlineStr">
        <is>
          <t>Blå taggsvamp</t>
        </is>
      </c>
      <c r="S67">
        <f>HYPERLINK("https://klasma.github.io/Logging_2034/artfynd/A 41799-2025 artfynd.xlsx", "A 41799-2025")</f>
        <v/>
      </c>
      <c r="T67">
        <f>HYPERLINK("https://klasma.github.io/Logging_2034/kartor/A 41799-2025 karta.png", "A 41799-2025")</f>
        <v/>
      </c>
      <c r="V67">
        <f>HYPERLINK("https://klasma.github.io/Logging_2034/klagomål/A 41799-2025 FSC-klagomål.docx", "A 41799-2025")</f>
        <v/>
      </c>
      <c r="W67">
        <f>HYPERLINK("https://klasma.github.io/Logging_2034/klagomålsmail/A 41799-2025 FSC-klagomål mail.docx", "A 41799-2025")</f>
        <v/>
      </c>
      <c r="X67">
        <f>HYPERLINK("https://klasma.github.io/Logging_2034/tillsyn/A 41799-2025 tillsynsbegäran.docx", "A 41799-2025")</f>
        <v/>
      </c>
      <c r="Y67">
        <f>HYPERLINK("https://klasma.github.io/Logging_2034/tillsynsmail/A 41799-2025 tillsynsbegäran mail.docx", "A 41799-2025")</f>
        <v/>
      </c>
    </row>
    <row r="68" ht="15" customHeight="1">
      <c r="A68" t="inlineStr">
        <is>
          <t>A 41553-2025</t>
        </is>
      </c>
      <c r="B68" s="1" t="n">
        <v>45901.59108796297</v>
      </c>
      <c r="C68" s="1" t="n">
        <v>46177</v>
      </c>
      <c r="D68" t="inlineStr">
        <is>
          <t>DALARNAS LÄN</t>
        </is>
      </c>
      <c r="E68" t="inlineStr">
        <is>
          <t>ORSA</t>
        </is>
      </c>
      <c r="F68" t="inlineStr">
        <is>
          <t>Bergvik skog väst AB</t>
        </is>
      </c>
      <c r="G68" t="n">
        <v>2.2</v>
      </c>
      <c r="H68" t="n">
        <v>0</v>
      </c>
      <c r="I68" t="n">
        <v>0</v>
      </c>
      <c r="J68" t="n">
        <v>0</v>
      </c>
      <c r="K68" t="n">
        <v>1</v>
      </c>
      <c r="L68" t="n">
        <v>0</v>
      </c>
      <c r="M68" t="n">
        <v>0</v>
      </c>
      <c r="N68" t="n">
        <v>0</v>
      </c>
      <c r="O68" t="n">
        <v>1</v>
      </c>
      <c r="P68" t="n">
        <v>1</v>
      </c>
      <c r="Q68" t="n">
        <v>1</v>
      </c>
      <c r="R68" s="2" t="inlineStr">
        <is>
          <t>Honungsticka</t>
        </is>
      </c>
      <c r="S68">
        <f>HYPERLINK("https://klasma.github.io/Logging_2034/artfynd/A 41553-2025 artfynd.xlsx", "A 41553-2025")</f>
        <v/>
      </c>
      <c r="T68">
        <f>HYPERLINK("https://klasma.github.io/Logging_2034/kartor/A 41553-2025 karta.png", "A 41553-2025")</f>
        <v/>
      </c>
      <c r="V68">
        <f>HYPERLINK("https://klasma.github.io/Logging_2034/klagomål/A 41553-2025 FSC-klagomål.docx", "A 41553-2025")</f>
        <v/>
      </c>
      <c r="W68">
        <f>HYPERLINK("https://klasma.github.io/Logging_2034/klagomålsmail/A 41553-2025 FSC-klagomål mail.docx", "A 41553-2025")</f>
        <v/>
      </c>
      <c r="X68">
        <f>HYPERLINK("https://klasma.github.io/Logging_2034/tillsyn/A 41553-2025 tillsynsbegäran.docx", "A 41553-2025")</f>
        <v/>
      </c>
      <c r="Y68">
        <f>HYPERLINK("https://klasma.github.io/Logging_2034/tillsynsmail/A 41553-2025 tillsynsbegäran mail.docx", "A 41553-2025")</f>
        <v/>
      </c>
    </row>
    <row r="69" ht="15" customHeight="1">
      <c r="A69" t="inlineStr">
        <is>
          <t>A 42327-2025</t>
        </is>
      </c>
      <c r="B69" s="1" t="n">
        <v>45904.68600694444</v>
      </c>
      <c r="C69" s="1" t="n">
        <v>46177</v>
      </c>
      <c r="D69" t="inlineStr">
        <is>
          <t>DALARNAS LÄN</t>
        </is>
      </c>
      <c r="E69" t="inlineStr">
        <is>
          <t>ORSA</t>
        </is>
      </c>
      <c r="G69" t="n">
        <v>1.6</v>
      </c>
      <c r="H69" t="n">
        <v>1</v>
      </c>
      <c r="I69" t="n">
        <v>0</v>
      </c>
      <c r="J69" t="n">
        <v>1</v>
      </c>
      <c r="K69" t="n">
        <v>0</v>
      </c>
      <c r="L69" t="n">
        <v>0</v>
      </c>
      <c r="M69" t="n">
        <v>0</v>
      </c>
      <c r="N69" t="n">
        <v>0</v>
      </c>
      <c r="O69" t="n">
        <v>1</v>
      </c>
      <c r="P69" t="n">
        <v>0</v>
      </c>
      <c r="Q69" t="n">
        <v>1</v>
      </c>
      <c r="R69" s="2" t="inlineStr">
        <is>
          <t>Grönsångare</t>
        </is>
      </c>
      <c r="S69">
        <f>HYPERLINK("https://klasma.github.io/Logging_2034/artfynd/A 42327-2025 artfynd.xlsx", "A 42327-2025")</f>
        <v/>
      </c>
      <c r="T69">
        <f>HYPERLINK("https://klasma.github.io/Logging_2034/kartor/A 42327-2025 karta.png", "A 42327-2025")</f>
        <v/>
      </c>
      <c r="V69">
        <f>HYPERLINK("https://klasma.github.io/Logging_2034/klagomål/A 42327-2025 FSC-klagomål.docx", "A 42327-2025")</f>
        <v/>
      </c>
      <c r="W69">
        <f>HYPERLINK("https://klasma.github.io/Logging_2034/klagomålsmail/A 42327-2025 FSC-klagomål mail.docx", "A 42327-2025")</f>
        <v/>
      </c>
      <c r="X69">
        <f>HYPERLINK("https://klasma.github.io/Logging_2034/tillsyn/A 42327-2025 tillsynsbegäran.docx", "A 42327-2025")</f>
        <v/>
      </c>
      <c r="Y69">
        <f>HYPERLINK("https://klasma.github.io/Logging_2034/tillsynsmail/A 42327-2025 tillsynsbegäran mail.docx", "A 42327-2025")</f>
        <v/>
      </c>
      <c r="Z69">
        <f>HYPERLINK("https://klasma.github.io/Logging_2034/fåglar/A 42327-2025 prioriterade fågelarter.docx", "A 42327-2025")</f>
        <v/>
      </c>
    </row>
    <row r="70" ht="15" customHeight="1">
      <c r="A70" t="inlineStr">
        <is>
          <t>A 45029-2025</t>
        </is>
      </c>
      <c r="B70" s="1" t="n">
        <v>45918.69835648148</v>
      </c>
      <c r="C70" s="1" t="n">
        <v>46177</v>
      </c>
      <c r="D70" t="inlineStr">
        <is>
          <t>DALARNAS LÄN</t>
        </is>
      </c>
      <c r="E70" t="inlineStr">
        <is>
          <t>ORSA</t>
        </is>
      </c>
      <c r="G70" t="n">
        <v>1.4</v>
      </c>
      <c r="H70" t="n">
        <v>1</v>
      </c>
      <c r="I70" t="n">
        <v>0</v>
      </c>
      <c r="J70" t="n">
        <v>1</v>
      </c>
      <c r="K70" t="n">
        <v>0</v>
      </c>
      <c r="L70" t="n">
        <v>0</v>
      </c>
      <c r="M70" t="n">
        <v>0</v>
      </c>
      <c r="N70" t="n">
        <v>0</v>
      </c>
      <c r="O70" t="n">
        <v>1</v>
      </c>
      <c r="P70" t="n">
        <v>0</v>
      </c>
      <c r="Q70" t="n">
        <v>1</v>
      </c>
      <c r="R70" s="2" t="inlineStr">
        <is>
          <t>Spillkråka</t>
        </is>
      </c>
      <c r="S70">
        <f>HYPERLINK("https://klasma.github.io/Logging_2034/artfynd/A 45029-2025 artfynd.xlsx", "A 45029-2025")</f>
        <v/>
      </c>
      <c r="T70">
        <f>HYPERLINK("https://klasma.github.io/Logging_2034/kartor/A 45029-2025 karta.png", "A 45029-2025")</f>
        <v/>
      </c>
      <c r="V70">
        <f>HYPERLINK("https://klasma.github.io/Logging_2034/klagomål/A 45029-2025 FSC-klagomål.docx", "A 45029-2025")</f>
        <v/>
      </c>
      <c r="W70">
        <f>HYPERLINK("https://klasma.github.io/Logging_2034/klagomålsmail/A 45029-2025 FSC-klagomål mail.docx", "A 45029-2025")</f>
        <v/>
      </c>
      <c r="X70">
        <f>HYPERLINK("https://klasma.github.io/Logging_2034/tillsyn/A 45029-2025 tillsynsbegäran.docx", "A 45029-2025")</f>
        <v/>
      </c>
      <c r="Y70">
        <f>HYPERLINK("https://klasma.github.io/Logging_2034/tillsynsmail/A 45029-2025 tillsynsbegäran mail.docx", "A 45029-2025")</f>
        <v/>
      </c>
      <c r="Z70">
        <f>HYPERLINK("https://klasma.github.io/Logging_2034/fåglar/A 45029-2025 prioriterade fågelarter.docx", "A 45029-2025")</f>
        <v/>
      </c>
    </row>
    <row r="71" ht="15" customHeight="1">
      <c r="A71" t="inlineStr">
        <is>
          <t>A 30493-2024</t>
        </is>
      </c>
      <c r="B71" s="1" t="n">
        <v>45492.34811342593</v>
      </c>
      <c r="C71" s="1" t="n">
        <v>46177</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48973-2025</t>
        </is>
      </c>
      <c r="B72" s="1" t="n">
        <v>45937.5655787037</v>
      </c>
      <c r="C72" s="1" t="n">
        <v>46177</v>
      </c>
      <c r="D72" t="inlineStr">
        <is>
          <t>DALARNAS LÄN</t>
        </is>
      </c>
      <c r="E72" t="inlineStr">
        <is>
          <t>ORSA</t>
        </is>
      </c>
      <c r="F72" t="inlineStr">
        <is>
          <t>Bergvik skog öst AB</t>
        </is>
      </c>
      <c r="G72" t="n">
        <v>5</v>
      </c>
      <c r="H72" t="n">
        <v>1</v>
      </c>
      <c r="I72" t="n">
        <v>0</v>
      </c>
      <c r="J72" t="n">
        <v>1</v>
      </c>
      <c r="K72" t="n">
        <v>0</v>
      </c>
      <c r="L72" t="n">
        <v>0</v>
      </c>
      <c r="M72" t="n">
        <v>0</v>
      </c>
      <c r="N72" t="n">
        <v>0</v>
      </c>
      <c r="O72" t="n">
        <v>1</v>
      </c>
      <c r="P72" t="n">
        <v>0</v>
      </c>
      <c r="Q72" t="n">
        <v>1</v>
      </c>
      <c r="R72" s="2" t="inlineStr">
        <is>
          <t>Tretåig hackspett</t>
        </is>
      </c>
      <c r="S72">
        <f>HYPERLINK("https://klasma.github.io/Logging_2034/artfynd/A 48973-2025 artfynd.xlsx", "A 48973-2025")</f>
        <v/>
      </c>
      <c r="T72">
        <f>HYPERLINK("https://klasma.github.io/Logging_2034/kartor/A 48973-2025 karta.png", "A 48973-2025")</f>
        <v/>
      </c>
      <c r="V72">
        <f>HYPERLINK("https://klasma.github.io/Logging_2034/klagomål/A 48973-2025 FSC-klagomål.docx", "A 48973-2025")</f>
        <v/>
      </c>
      <c r="W72">
        <f>HYPERLINK("https://klasma.github.io/Logging_2034/klagomålsmail/A 48973-2025 FSC-klagomål mail.docx", "A 48973-2025")</f>
        <v/>
      </c>
      <c r="X72">
        <f>HYPERLINK("https://klasma.github.io/Logging_2034/tillsyn/A 48973-2025 tillsynsbegäran.docx", "A 48973-2025")</f>
        <v/>
      </c>
      <c r="Y72">
        <f>HYPERLINK("https://klasma.github.io/Logging_2034/tillsynsmail/A 48973-2025 tillsynsbegäran mail.docx", "A 48973-2025")</f>
        <v/>
      </c>
      <c r="Z72">
        <f>HYPERLINK("https://klasma.github.io/Logging_2034/fåglar/A 48973-2025 prioriterade fågelarter.docx", "A 48973-2025")</f>
        <v/>
      </c>
    </row>
    <row r="73" ht="15" customHeight="1">
      <c r="A73" t="inlineStr">
        <is>
          <t>A 53707-2025</t>
        </is>
      </c>
      <c r="B73" s="1" t="n">
        <v>45960.60822916667</v>
      </c>
      <c r="C73" s="1" t="n">
        <v>46177</v>
      </c>
      <c r="D73" t="inlineStr">
        <is>
          <t>DALARNAS LÄN</t>
        </is>
      </c>
      <c r="E73" t="inlineStr">
        <is>
          <t>ORSA</t>
        </is>
      </c>
      <c r="G73" t="n">
        <v>2.1</v>
      </c>
      <c r="H73" t="n">
        <v>0</v>
      </c>
      <c r="I73" t="n">
        <v>1</v>
      </c>
      <c r="J73" t="n">
        <v>0</v>
      </c>
      <c r="K73" t="n">
        <v>0</v>
      </c>
      <c r="L73" t="n">
        <v>0</v>
      </c>
      <c r="M73" t="n">
        <v>0</v>
      </c>
      <c r="N73" t="n">
        <v>0</v>
      </c>
      <c r="O73" t="n">
        <v>0</v>
      </c>
      <c r="P73" t="n">
        <v>0</v>
      </c>
      <c r="Q73" t="n">
        <v>1</v>
      </c>
      <c r="R73" s="2" t="inlineStr">
        <is>
          <t>Björksplintborre</t>
        </is>
      </c>
      <c r="S73">
        <f>HYPERLINK("https://klasma.github.io/Logging_2034/artfynd/A 53707-2025 artfynd.xlsx", "A 53707-2025")</f>
        <v/>
      </c>
      <c r="T73">
        <f>HYPERLINK("https://klasma.github.io/Logging_2034/kartor/A 53707-2025 karta.png", "A 53707-2025")</f>
        <v/>
      </c>
      <c r="V73">
        <f>HYPERLINK("https://klasma.github.io/Logging_2034/klagomål/A 53707-2025 FSC-klagomål.docx", "A 53707-2025")</f>
        <v/>
      </c>
      <c r="W73">
        <f>HYPERLINK("https://klasma.github.io/Logging_2034/klagomålsmail/A 53707-2025 FSC-klagomål mail.docx", "A 53707-2025")</f>
        <v/>
      </c>
      <c r="X73">
        <f>HYPERLINK("https://klasma.github.io/Logging_2034/tillsyn/A 53707-2025 tillsynsbegäran.docx", "A 53707-2025")</f>
        <v/>
      </c>
      <c r="Y73">
        <f>HYPERLINK("https://klasma.github.io/Logging_2034/tillsynsmail/A 53707-2025 tillsynsbegäran mail.docx", "A 53707-2025")</f>
        <v/>
      </c>
    </row>
    <row r="74" ht="15" customHeight="1">
      <c r="A74" t="inlineStr">
        <is>
          <t>A 54687-2025</t>
        </is>
      </c>
      <c r="B74" s="1" t="n">
        <v>45966.45024305556</v>
      </c>
      <c r="C74" s="1" t="n">
        <v>46177</v>
      </c>
      <c r="D74" t="inlineStr">
        <is>
          <t>DALARNAS LÄN</t>
        </is>
      </c>
      <c r="E74" t="inlineStr">
        <is>
          <t>ORSA</t>
        </is>
      </c>
      <c r="F74" t="inlineStr">
        <is>
          <t>Allmännings- och besparingsskogar</t>
        </is>
      </c>
      <c r="G74" t="n">
        <v>2</v>
      </c>
      <c r="H74" t="n">
        <v>0</v>
      </c>
      <c r="I74" t="n">
        <v>0</v>
      </c>
      <c r="J74" t="n">
        <v>1</v>
      </c>
      <c r="K74" t="n">
        <v>0</v>
      </c>
      <c r="L74" t="n">
        <v>0</v>
      </c>
      <c r="M74" t="n">
        <v>0</v>
      </c>
      <c r="N74" t="n">
        <v>0</v>
      </c>
      <c r="O74" t="n">
        <v>1</v>
      </c>
      <c r="P74" t="n">
        <v>0</v>
      </c>
      <c r="Q74" t="n">
        <v>1</v>
      </c>
      <c r="R74" s="2" t="inlineStr">
        <is>
          <t>Garnlav</t>
        </is>
      </c>
      <c r="S74">
        <f>HYPERLINK("https://klasma.github.io/Logging_2034/artfynd/A 54687-2025 artfynd.xlsx", "A 54687-2025")</f>
        <v/>
      </c>
      <c r="T74">
        <f>HYPERLINK("https://klasma.github.io/Logging_2034/kartor/A 54687-2025 karta.png", "A 54687-2025")</f>
        <v/>
      </c>
      <c r="V74">
        <f>HYPERLINK("https://klasma.github.io/Logging_2034/klagomål/A 54687-2025 FSC-klagomål.docx", "A 54687-2025")</f>
        <v/>
      </c>
      <c r="W74">
        <f>HYPERLINK("https://klasma.github.io/Logging_2034/klagomålsmail/A 54687-2025 FSC-klagomål mail.docx", "A 54687-2025")</f>
        <v/>
      </c>
      <c r="X74">
        <f>HYPERLINK("https://klasma.github.io/Logging_2034/tillsyn/A 54687-2025 tillsynsbegäran.docx", "A 54687-2025")</f>
        <v/>
      </c>
      <c r="Y74">
        <f>HYPERLINK("https://klasma.github.io/Logging_2034/tillsynsmail/A 54687-2025 tillsynsbegäran mail.docx", "A 54687-2025")</f>
        <v/>
      </c>
    </row>
    <row r="75" ht="15" customHeight="1">
      <c r="A75" t="inlineStr">
        <is>
          <t>A 54773-2025</t>
        </is>
      </c>
      <c r="B75" s="1" t="n">
        <v>45966.61081018519</v>
      </c>
      <c r="C75" s="1" t="n">
        <v>46177</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9466-2023</t>
        </is>
      </c>
      <c r="B76" s="1" t="n">
        <v>44981</v>
      </c>
      <c r="C76" s="1" t="n">
        <v>46177</v>
      </c>
      <c r="D76" t="inlineStr">
        <is>
          <t>DALARNAS LÄN</t>
        </is>
      </c>
      <c r="E76" t="inlineStr">
        <is>
          <t>ORSA</t>
        </is>
      </c>
      <c r="F76" t="inlineStr">
        <is>
          <t>Bergvik skog väst AB</t>
        </is>
      </c>
      <c r="G76" t="n">
        <v>3.8</v>
      </c>
      <c r="H76" t="n">
        <v>1</v>
      </c>
      <c r="I76" t="n">
        <v>0</v>
      </c>
      <c r="J76" t="n">
        <v>0</v>
      </c>
      <c r="K76" t="n">
        <v>0</v>
      </c>
      <c r="L76" t="n">
        <v>0</v>
      </c>
      <c r="M76" t="n">
        <v>0</v>
      </c>
      <c r="N76" t="n">
        <v>0</v>
      </c>
      <c r="O76" t="n">
        <v>0</v>
      </c>
      <c r="P76" t="n">
        <v>0</v>
      </c>
      <c r="Q76" t="n">
        <v>1</v>
      </c>
      <c r="R76" s="2" t="inlineStr">
        <is>
          <t>Tjäder</t>
        </is>
      </c>
      <c r="S76">
        <f>HYPERLINK("https://klasma.github.io/Logging_2034/artfynd/A 9466-2023 artfynd.xlsx", "A 9466-2023")</f>
        <v/>
      </c>
      <c r="T76">
        <f>HYPERLINK("https://klasma.github.io/Logging_2034/kartor/A 9466-2023 karta.png", "A 9466-2023")</f>
        <v/>
      </c>
      <c r="V76">
        <f>HYPERLINK("https://klasma.github.io/Logging_2034/klagomål/A 9466-2023 FSC-klagomål.docx", "A 9466-2023")</f>
        <v/>
      </c>
      <c r="W76">
        <f>HYPERLINK("https://klasma.github.io/Logging_2034/klagomålsmail/A 9466-2023 FSC-klagomål mail.docx", "A 9466-2023")</f>
        <v/>
      </c>
      <c r="X76">
        <f>HYPERLINK("https://klasma.github.io/Logging_2034/tillsyn/A 9466-2023 tillsynsbegäran.docx", "A 9466-2023")</f>
        <v/>
      </c>
      <c r="Y76">
        <f>HYPERLINK("https://klasma.github.io/Logging_2034/tillsynsmail/A 9466-2023 tillsynsbegäran mail.docx", "A 9466-2023")</f>
        <v/>
      </c>
      <c r="Z76">
        <f>HYPERLINK("https://klasma.github.io/Logging_2034/fåglar/A 9466-2023 prioriterade fågelarter.docx", "A 9466-2023")</f>
        <v/>
      </c>
    </row>
    <row r="77" ht="15" customHeight="1">
      <c r="A77" t="inlineStr">
        <is>
          <t>A 62009-2025</t>
        </is>
      </c>
      <c r="B77" s="1" t="n">
        <v>46003.67215277778</v>
      </c>
      <c r="C77" s="1" t="n">
        <v>46177</v>
      </c>
      <c r="D77" t="inlineStr">
        <is>
          <t>DALARNAS LÄN</t>
        </is>
      </c>
      <c r="E77" t="inlineStr">
        <is>
          <t>ORSA</t>
        </is>
      </c>
      <c r="G77" t="n">
        <v>7.6</v>
      </c>
      <c r="H77" t="n">
        <v>0</v>
      </c>
      <c r="I77" t="n">
        <v>0</v>
      </c>
      <c r="J77" t="n">
        <v>1</v>
      </c>
      <c r="K77" t="n">
        <v>0</v>
      </c>
      <c r="L77" t="n">
        <v>0</v>
      </c>
      <c r="M77" t="n">
        <v>0</v>
      </c>
      <c r="N77" t="n">
        <v>0</v>
      </c>
      <c r="O77" t="n">
        <v>1</v>
      </c>
      <c r="P77" t="n">
        <v>0</v>
      </c>
      <c r="Q77" t="n">
        <v>1</v>
      </c>
      <c r="R77" s="2" t="inlineStr">
        <is>
          <t>Garnlav</t>
        </is>
      </c>
      <c r="S77">
        <f>HYPERLINK("https://klasma.github.io/Logging_2034/artfynd/A 62009-2025 artfynd.xlsx", "A 62009-2025")</f>
        <v/>
      </c>
      <c r="T77">
        <f>HYPERLINK("https://klasma.github.io/Logging_2034/kartor/A 62009-2025 karta.png", "A 62009-2025")</f>
        <v/>
      </c>
      <c r="V77">
        <f>HYPERLINK("https://klasma.github.io/Logging_2034/klagomål/A 62009-2025 FSC-klagomål.docx", "A 62009-2025")</f>
        <v/>
      </c>
      <c r="W77">
        <f>HYPERLINK("https://klasma.github.io/Logging_2034/klagomålsmail/A 62009-2025 FSC-klagomål mail.docx", "A 62009-2025")</f>
        <v/>
      </c>
      <c r="X77">
        <f>HYPERLINK("https://klasma.github.io/Logging_2034/tillsyn/A 62009-2025 tillsynsbegäran.docx", "A 62009-2025")</f>
        <v/>
      </c>
      <c r="Y77">
        <f>HYPERLINK("https://klasma.github.io/Logging_2034/tillsynsmail/A 62009-2025 tillsynsbegäran mail.docx", "A 62009-2025")</f>
        <v/>
      </c>
    </row>
    <row r="78" ht="15" customHeight="1">
      <c r="A78" t="inlineStr">
        <is>
          <t>A 3143-2026</t>
        </is>
      </c>
      <c r="B78" s="1" t="n">
        <v>46041.40795138889</v>
      </c>
      <c r="C78" s="1" t="n">
        <v>46177</v>
      </c>
      <c r="D78" t="inlineStr">
        <is>
          <t>DALARNAS LÄN</t>
        </is>
      </c>
      <c r="E78" t="inlineStr">
        <is>
          <t>ORSA</t>
        </is>
      </c>
      <c r="G78" t="n">
        <v>1.5</v>
      </c>
      <c r="H78" t="n">
        <v>1</v>
      </c>
      <c r="I78" t="n">
        <v>1</v>
      </c>
      <c r="J78" t="n">
        <v>0</v>
      </c>
      <c r="K78" t="n">
        <v>0</v>
      </c>
      <c r="L78" t="n">
        <v>0</v>
      </c>
      <c r="M78" t="n">
        <v>0</v>
      </c>
      <c r="N78" t="n">
        <v>0</v>
      </c>
      <c r="O78" t="n">
        <v>0</v>
      </c>
      <c r="P78" t="n">
        <v>0</v>
      </c>
      <c r="Q78" t="n">
        <v>1</v>
      </c>
      <c r="R78" s="2" t="inlineStr">
        <is>
          <t>Guckusko</t>
        </is>
      </c>
      <c r="S78">
        <f>HYPERLINK("https://klasma.github.io/Logging_2034/artfynd/A 3143-2026 artfynd.xlsx", "A 3143-2026")</f>
        <v/>
      </c>
      <c r="T78">
        <f>HYPERLINK("https://klasma.github.io/Logging_2034/kartor/A 3143-2026 karta.png", "A 3143-2026")</f>
        <v/>
      </c>
      <c r="V78">
        <f>HYPERLINK("https://klasma.github.io/Logging_2034/klagomål/A 3143-2026 FSC-klagomål.docx", "A 3143-2026")</f>
        <v/>
      </c>
      <c r="W78">
        <f>HYPERLINK("https://klasma.github.io/Logging_2034/klagomålsmail/A 3143-2026 FSC-klagomål mail.docx", "A 3143-2026")</f>
        <v/>
      </c>
      <c r="X78">
        <f>HYPERLINK("https://klasma.github.io/Logging_2034/tillsyn/A 3143-2026 tillsynsbegäran.docx", "A 3143-2026")</f>
        <v/>
      </c>
      <c r="Y78">
        <f>HYPERLINK("https://klasma.github.io/Logging_2034/tillsynsmail/A 3143-2026 tillsynsbegäran mail.docx", "A 3143-2026")</f>
        <v/>
      </c>
    </row>
    <row r="79" ht="15" customHeight="1">
      <c r="A79" t="inlineStr">
        <is>
          <t>A 5988-2026</t>
        </is>
      </c>
      <c r="B79" s="1" t="n">
        <v>46052.56299768519</v>
      </c>
      <c r="C79" s="1" t="n">
        <v>46177</v>
      </c>
      <c r="D79" t="inlineStr">
        <is>
          <t>DALARNAS LÄN</t>
        </is>
      </c>
      <c r="E79" t="inlineStr">
        <is>
          <t>ORSA</t>
        </is>
      </c>
      <c r="G79" t="n">
        <v>2.5</v>
      </c>
      <c r="H79" t="n">
        <v>0</v>
      </c>
      <c r="I79" t="n">
        <v>0</v>
      </c>
      <c r="J79" t="n">
        <v>1</v>
      </c>
      <c r="K79" t="n">
        <v>0</v>
      </c>
      <c r="L79" t="n">
        <v>0</v>
      </c>
      <c r="M79" t="n">
        <v>0</v>
      </c>
      <c r="N79" t="n">
        <v>0</v>
      </c>
      <c r="O79" t="n">
        <v>1</v>
      </c>
      <c r="P79" t="n">
        <v>0</v>
      </c>
      <c r="Q79" t="n">
        <v>1</v>
      </c>
      <c r="R79" s="2" t="inlineStr">
        <is>
          <t>Dofttaggsvamp</t>
        </is>
      </c>
      <c r="S79">
        <f>HYPERLINK("https://klasma.github.io/Logging_2034/artfynd/A 5988-2026 artfynd.xlsx", "A 5988-2026")</f>
        <v/>
      </c>
      <c r="T79">
        <f>HYPERLINK("https://klasma.github.io/Logging_2034/kartor/A 5988-2026 karta.png", "A 5988-2026")</f>
        <v/>
      </c>
      <c r="V79">
        <f>HYPERLINK("https://klasma.github.io/Logging_2034/klagomål/A 5988-2026 FSC-klagomål.docx", "A 5988-2026")</f>
        <v/>
      </c>
      <c r="W79">
        <f>HYPERLINK("https://klasma.github.io/Logging_2034/klagomålsmail/A 5988-2026 FSC-klagomål mail.docx", "A 5988-2026")</f>
        <v/>
      </c>
      <c r="X79">
        <f>HYPERLINK("https://klasma.github.io/Logging_2034/tillsyn/A 5988-2026 tillsynsbegäran.docx", "A 5988-2026")</f>
        <v/>
      </c>
      <c r="Y79">
        <f>HYPERLINK("https://klasma.github.io/Logging_2034/tillsynsmail/A 5988-2026 tillsynsbegäran mail.docx", "A 5988-2026")</f>
        <v/>
      </c>
    </row>
    <row r="80" ht="15" customHeight="1">
      <c r="A80" t="inlineStr">
        <is>
          <t>A 11812-2026</t>
        </is>
      </c>
      <c r="B80" s="1" t="n">
        <v>46085.37966435185</v>
      </c>
      <c r="C80" s="1" t="n">
        <v>46177</v>
      </c>
      <c r="D80" t="inlineStr">
        <is>
          <t>DALARNAS LÄN</t>
        </is>
      </c>
      <c r="E80" t="inlineStr">
        <is>
          <t>ORSA</t>
        </is>
      </c>
      <c r="F80" t="inlineStr">
        <is>
          <t>Kyrkan</t>
        </is>
      </c>
      <c r="G80" t="n">
        <v>2</v>
      </c>
      <c r="H80" t="n">
        <v>1</v>
      </c>
      <c r="I80" t="n">
        <v>0</v>
      </c>
      <c r="J80" t="n">
        <v>0</v>
      </c>
      <c r="K80" t="n">
        <v>0</v>
      </c>
      <c r="L80" t="n">
        <v>0</v>
      </c>
      <c r="M80" t="n">
        <v>0</v>
      </c>
      <c r="N80" t="n">
        <v>0</v>
      </c>
      <c r="O80" t="n">
        <v>0</v>
      </c>
      <c r="P80" t="n">
        <v>0</v>
      </c>
      <c r="Q80" t="n">
        <v>1</v>
      </c>
      <c r="R80" s="2" t="inlineStr">
        <is>
          <t>Tjäder</t>
        </is>
      </c>
      <c r="S80">
        <f>HYPERLINK("https://klasma.github.io/Logging_2034/artfynd/A 11812-2026 artfynd.xlsx", "A 11812-2026")</f>
        <v/>
      </c>
      <c r="T80">
        <f>HYPERLINK("https://klasma.github.io/Logging_2034/kartor/A 11812-2026 karta.png", "A 11812-2026")</f>
        <v/>
      </c>
      <c r="V80">
        <f>HYPERLINK("https://klasma.github.io/Logging_2034/klagomål/A 11812-2026 FSC-klagomål.docx", "A 11812-2026")</f>
        <v/>
      </c>
      <c r="W80">
        <f>HYPERLINK("https://klasma.github.io/Logging_2034/klagomålsmail/A 11812-2026 FSC-klagomål mail.docx", "A 11812-2026")</f>
        <v/>
      </c>
      <c r="X80">
        <f>HYPERLINK("https://klasma.github.io/Logging_2034/tillsyn/A 11812-2026 tillsynsbegäran.docx", "A 11812-2026")</f>
        <v/>
      </c>
      <c r="Y80">
        <f>HYPERLINK("https://klasma.github.io/Logging_2034/tillsynsmail/A 11812-2026 tillsynsbegäran mail.docx", "A 11812-2026")</f>
        <v/>
      </c>
      <c r="Z80">
        <f>HYPERLINK("https://klasma.github.io/Logging_2034/fåglar/A 11812-2026 prioriterade fågelarter.docx", "A 11812-2026")</f>
        <v/>
      </c>
    </row>
    <row r="81" ht="15" customHeight="1">
      <c r="A81" t="inlineStr">
        <is>
          <t>A 21630-2026</t>
        </is>
      </c>
      <c r="B81" s="1" t="n">
        <v>46149.42052083334</v>
      </c>
      <c r="C81" s="1" t="n">
        <v>46177</v>
      </c>
      <c r="D81" t="inlineStr">
        <is>
          <t>DALARNAS LÄN</t>
        </is>
      </c>
      <c r="E81" t="inlineStr">
        <is>
          <t>ORSA</t>
        </is>
      </c>
      <c r="F81" t="inlineStr">
        <is>
          <t>Allmännings- och besparingsskogar</t>
        </is>
      </c>
      <c r="G81" t="n">
        <v>9.800000000000001</v>
      </c>
      <c r="H81" t="n">
        <v>0</v>
      </c>
      <c r="I81" t="n">
        <v>0</v>
      </c>
      <c r="J81" t="n">
        <v>1</v>
      </c>
      <c r="K81" t="n">
        <v>0</v>
      </c>
      <c r="L81" t="n">
        <v>0</v>
      </c>
      <c r="M81" t="n">
        <v>0</v>
      </c>
      <c r="N81" t="n">
        <v>0</v>
      </c>
      <c r="O81" t="n">
        <v>1</v>
      </c>
      <c r="P81" t="n">
        <v>0</v>
      </c>
      <c r="Q81" t="n">
        <v>1</v>
      </c>
      <c r="R81" s="2" t="inlineStr">
        <is>
          <t>Mörk kolflarnlav</t>
        </is>
      </c>
      <c r="S81">
        <f>HYPERLINK("https://klasma.github.io/Logging_2034/artfynd/A 21630-2026 artfynd.xlsx", "A 21630-2026")</f>
        <v/>
      </c>
      <c r="T81">
        <f>HYPERLINK("https://klasma.github.io/Logging_2034/kartor/A 21630-2026 karta.png", "A 21630-2026")</f>
        <v/>
      </c>
      <c r="V81">
        <f>HYPERLINK("https://klasma.github.io/Logging_2034/klagomål/A 21630-2026 FSC-klagomål.docx", "A 21630-2026")</f>
        <v/>
      </c>
      <c r="W81">
        <f>HYPERLINK("https://klasma.github.io/Logging_2034/klagomålsmail/A 21630-2026 FSC-klagomål mail.docx", "A 21630-2026")</f>
        <v/>
      </c>
      <c r="X81">
        <f>HYPERLINK("https://klasma.github.io/Logging_2034/tillsyn/A 21630-2026 tillsynsbegäran.docx", "A 21630-2026")</f>
        <v/>
      </c>
      <c r="Y81">
        <f>HYPERLINK("https://klasma.github.io/Logging_2034/tillsynsmail/A 21630-2026 tillsynsbegäran mail.docx", "A 21630-2026")</f>
        <v/>
      </c>
    </row>
    <row r="82" ht="15" customHeight="1">
      <c r="A82" t="inlineStr">
        <is>
          <t>A 16285-2026</t>
        </is>
      </c>
      <c r="B82" s="1" t="n">
        <v>46111.49975694445</v>
      </c>
      <c r="C82" s="1" t="n">
        <v>46177</v>
      </c>
      <c r="D82" t="inlineStr">
        <is>
          <t>DALARNAS LÄN</t>
        </is>
      </c>
      <c r="E82" t="inlineStr">
        <is>
          <t>ORSA</t>
        </is>
      </c>
      <c r="F82" t="inlineStr">
        <is>
          <t>Bergvik skog öst AB</t>
        </is>
      </c>
      <c r="G82" t="n">
        <v>6.2</v>
      </c>
      <c r="H82" t="n">
        <v>1</v>
      </c>
      <c r="I82" t="n">
        <v>0</v>
      </c>
      <c r="J82" t="n">
        <v>0</v>
      </c>
      <c r="K82" t="n">
        <v>0</v>
      </c>
      <c r="L82" t="n">
        <v>1</v>
      </c>
      <c r="M82" t="n">
        <v>0</v>
      </c>
      <c r="N82" t="n">
        <v>0</v>
      </c>
      <c r="O82" t="n">
        <v>1</v>
      </c>
      <c r="P82" t="n">
        <v>1</v>
      </c>
      <c r="Q82" t="n">
        <v>1</v>
      </c>
      <c r="R82" s="2" t="inlineStr">
        <is>
          <t>Mosippa</t>
        </is>
      </c>
      <c r="S82">
        <f>HYPERLINK("https://klasma.github.io/Logging_2034/artfynd/A 16285-2026 artfynd.xlsx", "A 16285-2026")</f>
        <v/>
      </c>
      <c r="T82">
        <f>HYPERLINK("https://klasma.github.io/Logging_2034/kartor/A 16285-2026 karta.png", "A 16285-2026")</f>
        <v/>
      </c>
      <c r="V82">
        <f>HYPERLINK("https://klasma.github.io/Logging_2034/klagomål/A 16285-2026 FSC-klagomål.docx", "A 16285-2026")</f>
        <v/>
      </c>
      <c r="W82">
        <f>HYPERLINK("https://klasma.github.io/Logging_2034/klagomålsmail/A 16285-2026 FSC-klagomål mail.docx", "A 16285-2026")</f>
        <v/>
      </c>
      <c r="X82">
        <f>HYPERLINK("https://klasma.github.io/Logging_2034/tillsyn/A 16285-2026 tillsynsbegäran.docx", "A 16285-2026")</f>
        <v/>
      </c>
      <c r="Y82">
        <f>HYPERLINK("https://klasma.github.io/Logging_2034/tillsynsmail/A 16285-2026 tillsynsbegäran mail.docx", "A 16285-2026")</f>
        <v/>
      </c>
    </row>
    <row r="83" ht="15" customHeight="1">
      <c r="A83" t="inlineStr">
        <is>
          <t>A 34713-2021</t>
        </is>
      </c>
      <c r="B83" s="1" t="n">
        <v>44382</v>
      </c>
      <c r="C83" s="1" t="n">
        <v>46177</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32931-2022</t>
        </is>
      </c>
      <c r="B84" s="1" t="n">
        <v>44784.65543981481</v>
      </c>
      <c r="C84" s="1" t="n">
        <v>46177</v>
      </c>
      <c r="D84" t="inlineStr">
        <is>
          <t>DALARNAS LÄN</t>
        </is>
      </c>
      <c r="E84" t="inlineStr">
        <is>
          <t>ORSA</t>
        </is>
      </c>
      <c r="F84" t="inlineStr">
        <is>
          <t>Bergvik skog öst AB</t>
        </is>
      </c>
      <c r="G84" t="n">
        <v>0.5</v>
      </c>
      <c r="H84" t="n">
        <v>0</v>
      </c>
      <c r="I84" t="n">
        <v>0</v>
      </c>
      <c r="J84" t="n">
        <v>0</v>
      </c>
      <c r="K84" t="n">
        <v>0</v>
      </c>
      <c r="L84" t="n">
        <v>0</v>
      </c>
      <c r="M84" t="n">
        <v>0</v>
      </c>
      <c r="N84" t="n">
        <v>0</v>
      </c>
      <c r="O84" t="n">
        <v>0</v>
      </c>
      <c r="P84" t="n">
        <v>0</v>
      </c>
      <c r="Q84" t="n">
        <v>0</v>
      </c>
      <c r="R84" s="2" t="inlineStr"/>
    </row>
    <row r="85" ht="15" customHeight="1">
      <c r="A85" t="inlineStr">
        <is>
          <t>A 10405-2022</t>
        </is>
      </c>
      <c r="B85" s="1" t="n">
        <v>44623</v>
      </c>
      <c r="C85" s="1" t="n">
        <v>46177</v>
      </c>
      <c r="D85" t="inlineStr">
        <is>
          <t>DALARNAS LÄN</t>
        </is>
      </c>
      <c r="E85" t="inlineStr">
        <is>
          <t>ORSA</t>
        </is>
      </c>
      <c r="G85" t="n">
        <v>1.4</v>
      </c>
      <c r="H85" t="n">
        <v>0</v>
      </c>
      <c r="I85" t="n">
        <v>0</v>
      </c>
      <c r="J85" t="n">
        <v>0</v>
      </c>
      <c r="K85" t="n">
        <v>0</v>
      </c>
      <c r="L85" t="n">
        <v>0</v>
      </c>
      <c r="M85" t="n">
        <v>0</v>
      </c>
      <c r="N85" t="n">
        <v>0</v>
      </c>
      <c r="O85" t="n">
        <v>0</v>
      </c>
      <c r="P85" t="n">
        <v>0</v>
      </c>
      <c r="Q85" t="n">
        <v>0</v>
      </c>
      <c r="R85" s="2" t="inlineStr"/>
    </row>
    <row r="86" ht="15" customHeight="1">
      <c r="A86" t="inlineStr">
        <is>
          <t>A 49004-2021</t>
        </is>
      </c>
      <c r="B86" s="1" t="n">
        <v>44453.46967592592</v>
      </c>
      <c r="C86" s="1" t="n">
        <v>46177</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28259-2021</t>
        </is>
      </c>
      <c r="B87" s="1" t="n">
        <v>44355</v>
      </c>
      <c r="C87" s="1" t="n">
        <v>46177</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39920-2021</t>
        </is>
      </c>
      <c r="B88" s="1" t="n">
        <v>44417</v>
      </c>
      <c r="C88" s="1" t="n">
        <v>46177</v>
      </c>
      <c r="D88" t="inlineStr">
        <is>
          <t>DALARNAS LÄN</t>
        </is>
      </c>
      <c r="E88" t="inlineStr">
        <is>
          <t>ORSA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29874-2021</t>
        </is>
      </c>
      <c r="B89" s="1" t="n">
        <v>44362.68665509259</v>
      </c>
      <c r="C89" s="1" t="n">
        <v>46177</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10262-2022</t>
        </is>
      </c>
      <c r="B90" s="1" t="n">
        <v>44622.6487037037</v>
      </c>
      <c r="C90" s="1" t="n">
        <v>46177</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27498-2022</t>
        </is>
      </c>
      <c r="B91" s="1" t="n">
        <v>44742.62271990741</v>
      </c>
      <c r="C91" s="1" t="n">
        <v>46177</v>
      </c>
      <c r="D91" t="inlineStr">
        <is>
          <t>DALARNAS LÄN</t>
        </is>
      </c>
      <c r="E91" t="inlineStr">
        <is>
          <t>ORSA</t>
        </is>
      </c>
      <c r="G91" t="n">
        <v>5.7</v>
      </c>
      <c r="H91" t="n">
        <v>0</v>
      </c>
      <c r="I91" t="n">
        <v>0</v>
      </c>
      <c r="J91" t="n">
        <v>0</v>
      </c>
      <c r="K91" t="n">
        <v>0</v>
      </c>
      <c r="L91" t="n">
        <v>0</v>
      </c>
      <c r="M91" t="n">
        <v>0</v>
      </c>
      <c r="N91" t="n">
        <v>0</v>
      </c>
      <c r="O91" t="n">
        <v>0</v>
      </c>
      <c r="P91" t="n">
        <v>0</v>
      </c>
      <c r="Q91" t="n">
        <v>0</v>
      </c>
      <c r="R91" s="2" t="inlineStr"/>
    </row>
    <row r="92" ht="15" customHeight="1">
      <c r="A92" t="inlineStr">
        <is>
          <t>A 50843-2021</t>
        </is>
      </c>
      <c r="B92" s="1" t="n">
        <v>44460.52704861111</v>
      </c>
      <c r="C92" s="1" t="n">
        <v>46177</v>
      </c>
      <c r="D92" t="inlineStr">
        <is>
          <t>DALARNAS LÄN</t>
        </is>
      </c>
      <c r="E92" t="inlineStr">
        <is>
          <t>ORSA</t>
        </is>
      </c>
      <c r="G92" t="n">
        <v>2.5</v>
      </c>
      <c r="H92" t="n">
        <v>0</v>
      </c>
      <c r="I92" t="n">
        <v>0</v>
      </c>
      <c r="J92" t="n">
        <v>0</v>
      </c>
      <c r="K92" t="n">
        <v>0</v>
      </c>
      <c r="L92" t="n">
        <v>0</v>
      </c>
      <c r="M92" t="n">
        <v>0</v>
      </c>
      <c r="N92" t="n">
        <v>0</v>
      </c>
      <c r="O92" t="n">
        <v>0</v>
      </c>
      <c r="P92" t="n">
        <v>0</v>
      </c>
      <c r="Q92" t="n">
        <v>0</v>
      </c>
      <c r="R92" s="2" t="inlineStr"/>
    </row>
    <row r="93" ht="15" customHeight="1">
      <c r="A93" t="inlineStr">
        <is>
          <t>A 11138-2022</t>
        </is>
      </c>
      <c r="B93" s="1" t="n">
        <v>44629.3184837963</v>
      </c>
      <c r="C93" s="1" t="n">
        <v>46177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33480-2021</t>
        </is>
      </c>
      <c r="B94" s="1" t="n">
        <v>44377</v>
      </c>
      <c r="C94" s="1" t="n">
        <v>46177</v>
      </c>
      <c r="D94" t="inlineStr">
        <is>
          <t>DALARNAS LÄN</t>
        </is>
      </c>
      <c r="E94" t="inlineStr">
        <is>
          <t>ORSA</t>
        </is>
      </c>
      <c r="F94" t="inlineStr">
        <is>
          <t>Bergvik skog öst AB</t>
        </is>
      </c>
      <c r="G94" t="n">
        <v>0.6</v>
      </c>
      <c r="H94" t="n">
        <v>0</v>
      </c>
      <c r="I94" t="n">
        <v>0</v>
      </c>
      <c r="J94" t="n">
        <v>0</v>
      </c>
      <c r="K94" t="n">
        <v>0</v>
      </c>
      <c r="L94" t="n">
        <v>0</v>
      </c>
      <c r="M94" t="n">
        <v>0</v>
      </c>
      <c r="N94" t="n">
        <v>0</v>
      </c>
      <c r="O94" t="n">
        <v>0</v>
      </c>
      <c r="P94" t="n">
        <v>0</v>
      </c>
      <c r="Q94" t="n">
        <v>0</v>
      </c>
      <c r="R94" s="2" t="inlineStr"/>
    </row>
    <row r="95" ht="15" customHeight="1">
      <c r="A95" t="inlineStr">
        <is>
          <t>A 54760-2021</t>
        </is>
      </c>
      <c r="B95" s="1" t="n">
        <v>44473.93685185185</v>
      </c>
      <c r="C95" s="1" t="n">
        <v>46177</v>
      </c>
      <c r="D95" t="inlineStr">
        <is>
          <t>DALARNAS LÄN</t>
        </is>
      </c>
      <c r="E95" t="inlineStr">
        <is>
          <t>ORSA</t>
        </is>
      </c>
      <c r="G95" t="n">
        <v>0.9</v>
      </c>
      <c r="H95" t="n">
        <v>0</v>
      </c>
      <c r="I95" t="n">
        <v>0</v>
      </c>
      <c r="J95" t="n">
        <v>0</v>
      </c>
      <c r="K95" t="n">
        <v>0</v>
      </c>
      <c r="L95" t="n">
        <v>0</v>
      </c>
      <c r="M95" t="n">
        <v>0</v>
      </c>
      <c r="N95" t="n">
        <v>0</v>
      </c>
      <c r="O95" t="n">
        <v>0</v>
      </c>
      <c r="P95" t="n">
        <v>0</v>
      </c>
      <c r="Q95" t="n">
        <v>0</v>
      </c>
      <c r="R95" s="2" t="inlineStr"/>
    </row>
    <row r="96" ht="15" customHeight="1">
      <c r="A96" t="inlineStr">
        <is>
          <t>A 60391-2021</t>
        </is>
      </c>
      <c r="B96" s="1" t="n">
        <v>44496</v>
      </c>
      <c r="C96" s="1" t="n">
        <v>46177</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24651-2022</t>
        </is>
      </c>
      <c r="B97" s="1" t="n">
        <v>44727</v>
      </c>
      <c r="C97" s="1" t="n">
        <v>46177</v>
      </c>
      <c r="D97" t="inlineStr">
        <is>
          <t>DALARNAS LÄN</t>
        </is>
      </c>
      <c r="E97" t="inlineStr">
        <is>
          <t>ORSA</t>
        </is>
      </c>
      <c r="F97" t="inlineStr">
        <is>
          <t>Allmännings- och besparingsskogar</t>
        </is>
      </c>
      <c r="G97" t="n">
        <v>0.6</v>
      </c>
      <c r="H97" t="n">
        <v>0</v>
      </c>
      <c r="I97" t="n">
        <v>0</v>
      </c>
      <c r="J97" t="n">
        <v>0</v>
      </c>
      <c r="K97" t="n">
        <v>0</v>
      </c>
      <c r="L97" t="n">
        <v>0</v>
      </c>
      <c r="M97" t="n">
        <v>0</v>
      </c>
      <c r="N97" t="n">
        <v>0</v>
      </c>
      <c r="O97" t="n">
        <v>0</v>
      </c>
      <c r="P97" t="n">
        <v>0</v>
      </c>
      <c r="Q97" t="n">
        <v>0</v>
      </c>
      <c r="R97" s="2" t="inlineStr"/>
    </row>
    <row r="98" ht="15" customHeight="1">
      <c r="A98" t="inlineStr">
        <is>
          <t>A 53745-2021</t>
        </is>
      </c>
      <c r="B98" s="1" t="n">
        <v>44469</v>
      </c>
      <c r="C98" s="1" t="n">
        <v>46177</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52542-2021</t>
        </is>
      </c>
      <c r="B99" s="1" t="n">
        <v>44466</v>
      </c>
      <c r="C99" s="1" t="n">
        <v>46177</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71744-2021</t>
        </is>
      </c>
      <c r="B100" s="1" t="n">
        <v>44543</v>
      </c>
      <c r="C100" s="1" t="n">
        <v>46177</v>
      </c>
      <c r="D100" t="inlineStr">
        <is>
          <t>DALARNAS LÄN</t>
        </is>
      </c>
      <c r="E100" t="inlineStr">
        <is>
          <t>ORSA</t>
        </is>
      </c>
      <c r="F100" t="inlineStr">
        <is>
          <t>Kyrkan</t>
        </is>
      </c>
      <c r="G100" t="n">
        <v>1.5</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46177</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160-2022</t>
        </is>
      </c>
      <c r="B102" s="1" t="n">
        <v>44564</v>
      </c>
      <c r="C102" s="1" t="n">
        <v>46177</v>
      </c>
      <c r="D102" t="inlineStr">
        <is>
          <t>DALARNAS LÄN</t>
        </is>
      </c>
      <c r="E102" t="inlineStr">
        <is>
          <t>ORSA</t>
        </is>
      </c>
      <c r="F102" t="inlineStr">
        <is>
          <t>Kommuner</t>
        </is>
      </c>
      <c r="G102" t="n">
        <v>0.1</v>
      </c>
      <c r="H102" t="n">
        <v>0</v>
      </c>
      <c r="I102" t="n">
        <v>0</v>
      </c>
      <c r="J102" t="n">
        <v>0</v>
      </c>
      <c r="K102" t="n">
        <v>0</v>
      </c>
      <c r="L102" t="n">
        <v>0</v>
      </c>
      <c r="M102" t="n">
        <v>0</v>
      </c>
      <c r="N102" t="n">
        <v>0</v>
      </c>
      <c r="O102" t="n">
        <v>0</v>
      </c>
      <c r="P102" t="n">
        <v>0</v>
      </c>
      <c r="Q102" t="n">
        <v>0</v>
      </c>
      <c r="R102" s="2" t="inlineStr"/>
    </row>
    <row r="103" ht="15" customHeight="1">
      <c r="A103" t="inlineStr">
        <is>
          <t>A 29366-2021</t>
        </is>
      </c>
      <c r="B103" s="1" t="n">
        <v>44361.46637731481</v>
      </c>
      <c r="C103" s="1" t="n">
        <v>46177</v>
      </c>
      <c r="D103" t="inlineStr">
        <is>
          <t>DALARNAS LÄN</t>
        </is>
      </c>
      <c r="E103" t="inlineStr">
        <is>
          <t>ORSA</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46177</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46177</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46177</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14535-2022</t>
        </is>
      </c>
      <c r="B107" s="1" t="n">
        <v>44655.44512731482</v>
      </c>
      <c r="C107" s="1" t="n">
        <v>46177</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46177</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46177</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56162-2021</t>
        </is>
      </c>
      <c r="B110" s="1" t="n">
        <v>44477</v>
      </c>
      <c r="C110" s="1" t="n">
        <v>46177</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22813-2022</t>
        </is>
      </c>
      <c r="B111" s="1" t="n">
        <v>44715</v>
      </c>
      <c r="C111" s="1" t="n">
        <v>46177</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23344-2022</t>
        </is>
      </c>
      <c r="B112" s="1" t="n">
        <v>44720.54599537037</v>
      </c>
      <c r="C112" s="1" t="n">
        <v>46177</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46177</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44033-2022</t>
        </is>
      </c>
      <c r="B114" s="1" t="n">
        <v>44838</v>
      </c>
      <c r="C114" s="1" t="n">
        <v>46177</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44035-2022</t>
        </is>
      </c>
      <c r="B115" s="1" t="n">
        <v>44838.94439814815</v>
      </c>
      <c r="C115" s="1" t="n">
        <v>46177</v>
      </c>
      <c r="D115" t="inlineStr">
        <is>
          <t>DALARNAS LÄN</t>
        </is>
      </c>
      <c r="E115" t="inlineStr">
        <is>
          <t>ORSA</t>
        </is>
      </c>
      <c r="G115" t="n">
        <v>5.8</v>
      </c>
      <c r="H115" t="n">
        <v>0</v>
      </c>
      <c r="I115" t="n">
        <v>0</v>
      </c>
      <c r="J115" t="n">
        <v>0</v>
      </c>
      <c r="K115" t="n">
        <v>0</v>
      </c>
      <c r="L115" t="n">
        <v>0</v>
      </c>
      <c r="M115" t="n">
        <v>0</v>
      </c>
      <c r="N115" t="n">
        <v>0</v>
      </c>
      <c r="O115" t="n">
        <v>0</v>
      </c>
      <c r="P115" t="n">
        <v>0</v>
      </c>
      <c r="Q115" t="n">
        <v>0</v>
      </c>
      <c r="R115" s="2" t="inlineStr"/>
    </row>
    <row r="116" ht="15" customHeight="1">
      <c r="A116" t="inlineStr">
        <is>
          <t>A 9807-2022</t>
        </is>
      </c>
      <c r="B116" s="1" t="n">
        <v>44620.40868055556</v>
      </c>
      <c r="C116" s="1" t="n">
        <v>46177</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51864-2022</t>
        </is>
      </c>
      <c r="B117" s="1" t="n">
        <v>44872</v>
      </c>
      <c r="C117" s="1" t="n">
        <v>46177</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46244-2022</t>
        </is>
      </c>
      <c r="B118" s="1" t="n">
        <v>44847.62055555556</v>
      </c>
      <c r="C118" s="1" t="n">
        <v>46177</v>
      </c>
      <c r="D118" t="inlineStr">
        <is>
          <t>DALARNAS LÄN</t>
        </is>
      </c>
      <c r="E118" t="inlineStr">
        <is>
          <t>ORSA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23725-2022</t>
        </is>
      </c>
      <c r="B119" s="1" t="n">
        <v>44722.33388888889</v>
      </c>
      <c r="C119" s="1" t="n">
        <v>46177</v>
      </c>
      <c r="D119" t="inlineStr">
        <is>
          <t>DALARNAS LÄN</t>
        </is>
      </c>
      <c r="E119" t="inlineStr">
        <is>
          <t>ORSA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47126-2021</t>
        </is>
      </c>
      <c r="B120" s="1" t="n">
        <v>44446.78168981482</v>
      </c>
      <c r="C120" s="1" t="n">
        <v>46177</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9561-2022</t>
        </is>
      </c>
      <c r="B121" s="1" t="n">
        <v>44617</v>
      </c>
      <c r="C121" s="1" t="n">
        <v>46177</v>
      </c>
      <c r="D121" t="inlineStr">
        <is>
          <t>DALARNAS LÄN</t>
        </is>
      </c>
      <c r="E121" t="inlineStr">
        <is>
          <t>ORSA</t>
        </is>
      </c>
      <c r="F121" t="inlineStr">
        <is>
          <t>Kyrkan</t>
        </is>
      </c>
      <c r="G121" t="n">
        <v>0.6</v>
      </c>
      <c r="H121" t="n">
        <v>0</v>
      </c>
      <c r="I121" t="n">
        <v>0</v>
      </c>
      <c r="J121" t="n">
        <v>0</v>
      </c>
      <c r="K121" t="n">
        <v>0</v>
      </c>
      <c r="L121" t="n">
        <v>0</v>
      </c>
      <c r="M121" t="n">
        <v>0</v>
      </c>
      <c r="N121" t="n">
        <v>0</v>
      </c>
      <c r="O121" t="n">
        <v>0</v>
      </c>
      <c r="P121" t="n">
        <v>0</v>
      </c>
      <c r="Q121" t="n">
        <v>0</v>
      </c>
      <c r="R121" s="2" t="inlineStr"/>
    </row>
    <row r="122" ht="15" customHeight="1">
      <c r="A122" t="inlineStr">
        <is>
          <t>A 52574-2021</t>
        </is>
      </c>
      <c r="B122" s="1" t="n">
        <v>44466.55795138889</v>
      </c>
      <c r="C122" s="1" t="n">
        <v>46177</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26215-2022</t>
        </is>
      </c>
      <c r="B123" s="1" t="n">
        <v>44735.4421412037</v>
      </c>
      <c r="C123" s="1" t="n">
        <v>46177</v>
      </c>
      <c r="D123" t="inlineStr">
        <is>
          <t>DALARNAS LÄN</t>
        </is>
      </c>
      <c r="E123" t="inlineStr">
        <is>
          <t>ORSA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30290-2024</t>
        </is>
      </c>
      <c r="B124" s="1" t="n">
        <v>45490.64681712963</v>
      </c>
      <c r="C124" s="1" t="n">
        <v>46177</v>
      </c>
      <c r="D124" t="inlineStr">
        <is>
          <t>DALARNAS LÄN</t>
        </is>
      </c>
      <c r="E124" t="inlineStr">
        <is>
          <t>ORSA</t>
        </is>
      </c>
      <c r="F124" t="inlineStr">
        <is>
          <t>Bergvik skog öst AB</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61000-2021</t>
        </is>
      </c>
      <c r="B125" s="1" t="n">
        <v>44497</v>
      </c>
      <c r="C125" s="1" t="n">
        <v>46177</v>
      </c>
      <c r="D125" t="inlineStr">
        <is>
          <t>DALARNAS LÄN</t>
        </is>
      </c>
      <c r="E125" t="inlineStr">
        <is>
          <t>ORSA</t>
        </is>
      </c>
      <c r="G125" t="n">
        <v>4.4</v>
      </c>
      <c r="H125" t="n">
        <v>0</v>
      </c>
      <c r="I125" t="n">
        <v>0</v>
      </c>
      <c r="J125" t="n">
        <v>0</v>
      </c>
      <c r="K125" t="n">
        <v>0</v>
      </c>
      <c r="L125" t="n">
        <v>0</v>
      </c>
      <c r="M125" t="n">
        <v>0</v>
      </c>
      <c r="N125" t="n">
        <v>0</v>
      </c>
      <c r="O125" t="n">
        <v>0</v>
      </c>
      <c r="P125" t="n">
        <v>0</v>
      </c>
      <c r="Q125" t="n">
        <v>0</v>
      </c>
      <c r="R125" s="2" t="inlineStr"/>
    </row>
    <row r="126" ht="15" customHeight="1">
      <c r="A126" t="inlineStr">
        <is>
          <t>A 61005-2021</t>
        </is>
      </c>
      <c r="B126" s="1" t="n">
        <v>44497</v>
      </c>
      <c r="C126" s="1" t="n">
        <v>46177</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55338-2022</t>
        </is>
      </c>
      <c r="B127" s="1" t="n">
        <v>44887.45185185185</v>
      </c>
      <c r="C127" s="1" t="n">
        <v>46177</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36682-2024</t>
        </is>
      </c>
      <c r="B128" s="1" t="n">
        <v>45537.65519675926</v>
      </c>
      <c r="C128" s="1" t="n">
        <v>46177</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56807-2024</t>
        </is>
      </c>
      <c r="B129" s="1" t="n">
        <v>45628.47519675926</v>
      </c>
      <c r="C129" s="1" t="n">
        <v>46177</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38611-2022</t>
        </is>
      </c>
      <c r="B130" s="1" t="n">
        <v>44813.60177083333</v>
      </c>
      <c r="C130" s="1" t="n">
        <v>46177</v>
      </c>
      <c r="D130" t="inlineStr">
        <is>
          <t>DALARNAS LÄN</t>
        </is>
      </c>
      <c r="E130" t="inlineStr">
        <is>
          <t>ORSA</t>
        </is>
      </c>
      <c r="G130" t="n">
        <v>3.6</v>
      </c>
      <c r="H130" t="n">
        <v>0</v>
      </c>
      <c r="I130" t="n">
        <v>0</v>
      </c>
      <c r="J130" t="n">
        <v>0</v>
      </c>
      <c r="K130" t="n">
        <v>0</v>
      </c>
      <c r="L130" t="n">
        <v>0</v>
      </c>
      <c r="M130" t="n">
        <v>0</v>
      </c>
      <c r="N130" t="n">
        <v>0</v>
      </c>
      <c r="O130" t="n">
        <v>0</v>
      </c>
      <c r="P130" t="n">
        <v>0</v>
      </c>
      <c r="Q130" t="n">
        <v>0</v>
      </c>
      <c r="R130" s="2" t="inlineStr"/>
    </row>
    <row r="131" ht="15" customHeight="1">
      <c r="A131" t="inlineStr">
        <is>
          <t>A 6476-2025</t>
        </is>
      </c>
      <c r="B131" s="1" t="n">
        <v>45699</v>
      </c>
      <c r="C131" s="1" t="n">
        <v>46177</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6479-2025</t>
        </is>
      </c>
      <c r="B132" s="1" t="n">
        <v>45699</v>
      </c>
      <c r="C132" s="1" t="n">
        <v>46177</v>
      </c>
      <c r="D132" t="inlineStr">
        <is>
          <t>DALARNAS LÄN</t>
        </is>
      </c>
      <c r="E132" t="inlineStr">
        <is>
          <t>ORSA</t>
        </is>
      </c>
      <c r="G132" t="n">
        <v>3.2</v>
      </c>
      <c r="H132" t="n">
        <v>0</v>
      </c>
      <c r="I132" t="n">
        <v>0</v>
      </c>
      <c r="J132" t="n">
        <v>0</v>
      </c>
      <c r="K132" t="n">
        <v>0</v>
      </c>
      <c r="L132" t="n">
        <v>0</v>
      </c>
      <c r="M132" t="n">
        <v>0</v>
      </c>
      <c r="N132" t="n">
        <v>0</v>
      </c>
      <c r="O132" t="n">
        <v>0</v>
      </c>
      <c r="P132" t="n">
        <v>0</v>
      </c>
      <c r="Q132" t="n">
        <v>0</v>
      </c>
      <c r="R132" s="2" t="inlineStr"/>
    </row>
    <row r="133" ht="15" customHeight="1">
      <c r="A133" t="inlineStr">
        <is>
          <t>A 2948-2025</t>
        </is>
      </c>
      <c r="B133" s="1" t="n">
        <v>45678.42868055555</v>
      </c>
      <c r="C133" s="1" t="n">
        <v>46177</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20588-2025</t>
        </is>
      </c>
      <c r="B134" s="1" t="n">
        <v>45775</v>
      </c>
      <c r="C134" s="1" t="n">
        <v>46177</v>
      </c>
      <c r="D134" t="inlineStr">
        <is>
          <t>DALARNAS LÄN</t>
        </is>
      </c>
      <c r="E134" t="inlineStr">
        <is>
          <t>ORSA</t>
        </is>
      </c>
      <c r="G134" t="n">
        <v>1.7</v>
      </c>
      <c r="H134" t="n">
        <v>0</v>
      </c>
      <c r="I134" t="n">
        <v>0</v>
      </c>
      <c r="J134" t="n">
        <v>0</v>
      </c>
      <c r="K134" t="n">
        <v>0</v>
      </c>
      <c r="L134" t="n">
        <v>0</v>
      </c>
      <c r="M134" t="n">
        <v>0</v>
      </c>
      <c r="N134" t="n">
        <v>0</v>
      </c>
      <c r="O134" t="n">
        <v>0</v>
      </c>
      <c r="P134" t="n">
        <v>0</v>
      </c>
      <c r="Q134" t="n">
        <v>0</v>
      </c>
      <c r="R134" s="2" t="inlineStr"/>
    </row>
    <row r="135" ht="15" customHeight="1">
      <c r="A135" t="inlineStr">
        <is>
          <t>A 36089-2023</t>
        </is>
      </c>
      <c r="B135" s="1" t="n">
        <v>45149.51068287037</v>
      </c>
      <c r="C135" s="1" t="n">
        <v>46177</v>
      </c>
      <c r="D135" t="inlineStr">
        <is>
          <t>DALARNAS LÄN</t>
        </is>
      </c>
      <c r="E135" t="inlineStr">
        <is>
          <t>ORSA</t>
        </is>
      </c>
      <c r="F135" t="inlineStr">
        <is>
          <t>Allmännings- och besparingsskogar</t>
        </is>
      </c>
      <c r="G135" t="n">
        <v>1.2</v>
      </c>
      <c r="H135" t="n">
        <v>0</v>
      </c>
      <c r="I135" t="n">
        <v>0</v>
      </c>
      <c r="J135" t="n">
        <v>0</v>
      </c>
      <c r="K135" t="n">
        <v>0</v>
      </c>
      <c r="L135" t="n">
        <v>0</v>
      </c>
      <c r="M135" t="n">
        <v>0</v>
      </c>
      <c r="N135" t="n">
        <v>0</v>
      </c>
      <c r="O135" t="n">
        <v>0</v>
      </c>
      <c r="P135" t="n">
        <v>0</v>
      </c>
      <c r="Q135" t="n">
        <v>0</v>
      </c>
      <c r="R135" s="2" t="inlineStr"/>
    </row>
    <row r="136" ht="15" customHeight="1">
      <c r="A136" t="inlineStr">
        <is>
          <t>A 12101-2025</t>
        </is>
      </c>
      <c r="B136" s="1" t="n">
        <v>45729.33743055556</v>
      </c>
      <c r="C136" s="1" t="n">
        <v>46177</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29499-2024</t>
        </is>
      </c>
      <c r="B137" s="1" t="n">
        <v>45484</v>
      </c>
      <c r="C137" s="1" t="n">
        <v>46177</v>
      </c>
      <c r="D137" t="inlineStr">
        <is>
          <t>DALARNAS LÄN</t>
        </is>
      </c>
      <c r="E137" t="inlineStr">
        <is>
          <t>ORSA</t>
        </is>
      </c>
      <c r="G137" t="n">
        <v>1.7</v>
      </c>
      <c r="H137" t="n">
        <v>0</v>
      </c>
      <c r="I137" t="n">
        <v>0</v>
      </c>
      <c r="J137" t="n">
        <v>0</v>
      </c>
      <c r="K137" t="n">
        <v>0</v>
      </c>
      <c r="L137" t="n">
        <v>0</v>
      </c>
      <c r="M137" t="n">
        <v>0</v>
      </c>
      <c r="N137" t="n">
        <v>0</v>
      </c>
      <c r="O137" t="n">
        <v>0</v>
      </c>
      <c r="P137" t="n">
        <v>0</v>
      </c>
      <c r="Q137" t="n">
        <v>0</v>
      </c>
      <c r="R137" s="2" t="inlineStr"/>
    </row>
    <row r="138" ht="15" customHeight="1">
      <c r="A138" t="inlineStr">
        <is>
          <t>A 62342-2023</t>
        </is>
      </c>
      <c r="B138" s="1" t="n">
        <v>45267.9268287037</v>
      </c>
      <c r="C138" s="1" t="n">
        <v>46177</v>
      </c>
      <c r="D138" t="inlineStr">
        <is>
          <t>DALARNAS LÄN</t>
        </is>
      </c>
      <c r="E138" t="inlineStr">
        <is>
          <t>ORSA</t>
        </is>
      </c>
      <c r="G138" t="n">
        <v>2.5</v>
      </c>
      <c r="H138" t="n">
        <v>0</v>
      </c>
      <c r="I138" t="n">
        <v>0</v>
      </c>
      <c r="J138" t="n">
        <v>0</v>
      </c>
      <c r="K138" t="n">
        <v>0</v>
      </c>
      <c r="L138" t="n">
        <v>0</v>
      </c>
      <c r="M138" t="n">
        <v>0</v>
      </c>
      <c r="N138" t="n">
        <v>0</v>
      </c>
      <c r="O138" t="n">
        <v>0</v>
      </c>
      <c r="P138" t="n">
        <v>0</v>
      </c>
      <c r="Q138" t="n">
        <v>0</v>
      </c>
      <c r="R138" s="2" t="inlineStr"/>
    </row>
    <row r="139" ht="15" customHeight="1">
      <c r="A139" t="inlineStr">
        <is>
          <t>A 30291-2024</t>
        </is>
      </c>
      <c r="B139" s="1" t="n">
        <v>45490.64978009259</v>
      </c>
      <c r="C139" s="1" t="n">
        <v>46177</v>
      </c>
      <c r="D139" t="inlineStr">
        <is>
          <t>DALARNAS LÄN</t>
        </is>
      </c>
      <c r="E139" t="inlineStr">
        <is>
          <t>ORSA</t>
        </is>
      </c>
      <c r="F139" t="inlineStr">
        <is>
          <t>Bergvik skog öst AB</t>
        </is>
      </c>
      <c r="G139" t="n">
        <v>7.5</v>
      </c>
      <c r="H139" t="n">
        <v>0</v>
      </c>
      <c r="I139" t="n">
        <v>0</v>
      </c>
      <c r="J139" t="n">
        <v>0</v>
      </c>
      <c r="K139" t="n">
        <v>0</v>
      </c>
      <c r="L139" t="n">
        <v>0</v>
      </c>
      <c r="M139" t="n">
        <v>0</v>
      </c>
      <c r="N139" t="n">
        <v>0</v>
      </c>
      <c r="O139" t="n">
        <v>0</v>
      </c>
      <c r="P139" t="n">
        <v>0</v>
      </c>
      <c r="Q139" t="n">
        <v>0</v>
      </c>
      <c r="R139" s="2" t="inlineStr"/>
    </row>
    <row r="140" ht="15" customHeight="1">
      <c r="A140" t="inlineStr">
        <is>
          <t>A 37836-2024</t>
        </is>
      </c>
      <c r="B140" s="1" t="n">
        <v>45544.35747685185</v>
      </c>
      <c r="C140" s="1" t="n">
        <v>46177</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6171-2025</t>
        </is>
      </c>
      <c r="B141" s="1" t="n">
        <v>45698.43287037037</v>
      </c>
      <c r="C141" s="1" t="n">
        <v>46177</v>
      </c>
      <c r="D141" t="inlineStr">
        <is>
          <t>DALARNAS LÄN</t>
        </is>
      </c>
      <c r="E141" t="inlineStr">
        <is>
          <t>ORSA</t>
        </is>
      </c>
      <c r="G141" t="n">
        <v>11.1</v>
      </c>
      <c r="H141" t="n">
        <v>0</v>
      </c>
      <c r="I141" t="n">
        <v>0</v>
      </c>
      <c r="J141" t="n">
        <v>0</v>
      </c>
      <c r="K141" t="n">
        <v>0</v>
      </c>
      <c r="L141" t="n">
        <v>0</v>
      </c>
      <c r="M141" t="n">
        <v>0</v>
      </c>
      <c r="N141" t="n">
        <v>0</v>
      </c>
      <c r="O141" t="n">
        <v>0</v>
      </c>
      <c r="P141" t="n">
        <v>0</v>
      </c>
      <c r="Q141" t="n">
        <v>0</v>
      </c>
      <c r="R141" s="2" t="inlineStr"/>
    </row>
    <row r="142" ht="15" customHeight="1">
      <c r="A142" t="inlineStr">
        <is>
          <t>A 52903-2024</t>
        </is>
      </c>
      <c r="B142" s="1" t="n">
        <v>45610.6875462963</v>
      </c>
      <c r="C142" s="1" t="n">
        <v>46177</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28974-2024</t>
        </is>
      </c>
      <c r="B143" s="1" t="n">
        <v>45481.45445601852</v>
      </c>
      <c r="C143" s="1" t="n">
        <v>46177</v>
      </c>
      <c r="D143" t="inlineStr">
        <is>
          <t>DALARNAS LÄN</t>
        </is>
      </c>
      <c r="E143" t="inlineStr">
        <is>
          <t>ORSA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18009-2023</t>
        </is>
      </c>
      <c r="B144" s="1" t="n">
        <v>45040.56190972222</v>
      </c>
      <c r="C144" s="1" t="n">
        <v>46177</v>
      </c>
      <c r="D144" t="inlineStr">
        <is>
          <t>DALARNAS LÄN</t>
        </is>
      </c>
      <c r="E144" t="inlineStr">
        <is>
          <t>ORSA</t>
        </is>
      </c>
      <c r="G144" t="n">
        <v>5.8</v>
      </c>
      <c r="H144" t="n">
        <v>0</v>
      </c>
      <c r="I144" t="n">
        <v>0</v>
      </c>
      <c r="J144" t="n">
        <v>0</v>
      </c>
      <c r="K144" t="n">
        <v>0</v>
      </c>
      <c r="L144" t="n">
        <v>0</v>
      </c>
      <c r="M144" t="n">
        <v>0</v>
      </c>
      <c r="N144" t="n">
        <v>0</v>
      </c>
      <c r="O144" t="n">
        <v>0</v>
      </c>
      <c r="P144" t="n">
        <v>0</v>
      </c>
      <c r="Q144" t="n">
        <v>0</v>
      </c>
      <c r="R144" s="2" t="inlineStr"/>
    </row>
    <row r="145" ht="15" customHeight="1">
      <c r="A145" t="inlineStr">
        <is>
          <t>A 21446-2024</t>
        </is>
      </c>
      <c r="B145" s="1" t="n">
        <v>45441.45840277777</v>
      </c>
      <c r="C145" s="1" t="n">
        <v>46177</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56706-2021</t>
        </is>
      </c>
      <c r="B146" s="1" t="n">
        <v>44481.4037962963</v>
      </c>
      <c r="C146" s="1" t="n">
        <v>46177</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5921-2025</t>
        </is>
      </c>
      <c r="B147" s="1" t="n">
        <v>45695</v>
      </c>
      <c r="C147" s="1" t="n">
        <v>46177</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7626-2025</t>
        </is>
      </c>
      <c r="B148" s="1" t="n">
        <v>45705.72799768519</v>
      </c>
      <c r="C148" s="1" t="n">
        <v>46177</v>
      </c>
      <c r="D148" t="inlineStr">
        <is>
          <t>DALARNAS LÄN</t>
        </is>
      </c>
      <c r="E148" t="inlineStr">
        <is>
          <t>ORSA</t>
        </is>
      </c>
      <c r="G148" t="n">
        <v>15.5</v>
      </c>
      <c r="H148" t="n">
        <v>0</v>
      </c>
      <c r="I148" t="n">
        <v>0</v>
      </c>
      <c r="J148" t="n">
        <v>0</v>
      </c>
      <c r="K148" t="n">
        <v>0</v>
      </c>
      <c r="L148" t="n">
        <v>0</v>
      </c>
      <c r="M148" t="n">
        <v>0</v>
      </c>
      <c r="N148" t="n">
        <v>0</v>
      </c>
      <c r="O148" t="n">
        <v>0</v>
      </c>
      <c r="P148" t="n">
        <v>0</v>
      </c>
      <c r="Q148" t="n">
        <v>0</v>
      </c>
      <c r="R148" s="2" t="inlineStr"/>
    </row>
    <row r="149" ht="15" customHeight="1">
      <c r="A149" t="inlineStr">
        <is>
          <t>A 59411-2024</t>
        </is>
      </c>
      <c r="B149" s="1" t="n">
        <v>45638.39675925926</v>
      </c>
      <c r="C149" s="1" t="n">
        <v>46177</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59414-2024</t>
        </is>
      </c>
      <c r="B150" s="1" t="n">
        <v>45638.39965277778</v>
      </c>
      <c r="C150" s="1" t="n">
        <v>46177</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41291-2021</t>
        </is>
      </c>
      <c r="B151" s="1" t="n">
        <v>44424</v>
      </c>
      <c r="C151" s="1" t="n">
        <v>46177</v>
      </c>
      <c r="D151" t="inlineStr">
        <is>
          <t>DALARNAS LÄN</t>
        </is>
      </c>
      <c r="E151" t="inlineStr">
        <is>
          <t>ORSA</t>
        </is>
      </c>
      <c r="G151" t="n">
        <v>2</v>
      </c>
      <c r="H151" t="n">
        <v>0</v>
      </c>
      <c r="I151" t="n">
        <v>0</v>
      </c>
      <c r="J151" t="n">
        <v>0</v>
      </c>
      <c r="K151" t="n">
        <v>0</v>
      </c>
      <c r="L151" t="n">
        <v>0</v>
      </c>
      <c r="M151" t="n">
        <v>0</v>
      </c>
      <c r="N151" t="n">
        <v>0</v>
      </c>
      <c r="O151" t="n">
        <v>0</v>
      </c>
      <c r="P151" t="n">
        <v>0</v>
      </c>
      <c r="Q151" t="n">
        <v>0</v>
      </c>
      <c r="R151" s="2" t="inlineStr"/>
    </row>
    <row r="152" ht="15" customHeight="1">
      <c r="A152" t="inlineStr">
        <is>
          <t>A 50999-2021</t>
        </is>
      </c>
      <c r="B152" s="1" t="n">
        <v>44460.85565972222</v>
      </c>
      <c r="C152" s="1" t="n">
        <v>46177</v>
      </c>
      <c r="D152" t="inlineStr">
        <is>
          <t>DALARNAS LÄN</t>
        </is>
      </c>
      <c r="E152" t="inlineStr">
        <is>
          <t>ORSA</t>
        </is>
      </c>
      <c r="G152" t="n">
        <v>3</v>
      </c>
      <c r="H152" t="n">
        <v>0</v>
      </c>
      <c r="I152" t="n">
        <v>0</v>
      </c>
      <c r="J152" t="n">
        <v>0</v>
      </c>
      <c r="K152" t="n">
        <v>0</v>
      </c>
      <c r="L152" t="n">
        <v>0</v>
      </c>
      <c r="M152" t="n">
        <v>0</v>
      </c>
      <c r="N152" t="n">
        <v>0</v>
      </c>
      <c r="O152" t="n">
        <v>0</v>
      </c>
      <c r="P152" t="n">
        <v>0</v>
      </c>
      <c r="Q152" t="n">
        <v>0</v>
      </c>
      <c r="R152" s="2" t="inlineStr"/>
    </row>
    <row r="153" ht="15" customHeight="1">
      <c r="A153" t="inlineStr">
        <is>
          <t>A 9836-2022</t>
        </is>
      </c>
      <c r="B153" s="1" t="n">
        <v>44620</v>
      </c>
      <c r="C153" s="1" t="n">
        <v>46177</v>
      </c>
      <c r="D153" t="inlineStr">
        <is>
          <t>DALARNAS LÄN</t>
        </is>
      </c>
      <c r="E153" t="inlineStr">
        <is>
          <t>ORSA</t>
        </is>
      </c>
      <c r="G153" t="n">
        <v>1</v>
      </c>
      <c r="H153" t="n">
        <v>0</v>
      </c>
      <c r="I153" t="n">
        <v>0</v>
      </c>
      <c r="J153" t="n">
        <v>0</v>
      </c>
      <c r="K153" t="n">
        <v>0</v>
      </c>
      <c r="L153" t="n">
        <v>0</v>
      </c>
      <c r="M153" t="n">
        <v>0</v>
      </c>
      <c r="N153" t="n">
        <v>0</v>
      </c>
      <c r="O153" t="n">
        <v>0</v>
      </c>
      <c r="P153" t="n">
        <v>0</v>
      </c>
      <c r="Q153" t="n">
        <v>0</v>
      </c>
      <c r="R153" s="2" t="inlineStr"/>
    </row>
    <row r="154" ht="15" customHeight="1">
      <c r="A154" t="inlineStr">
        <is>
          <t>A 28923-2024</t>
        </is>
      </c>
      <c r="B154" s="1" t="n">
        <v>45481</v>
      </c>
      <c r="C154" s="1" t="n">
        <v>46177</v>
      </c>
      <c r="D154" t="inlineStr">
        <is>
          <t>DALARNAS LÄN</t>
        </is>
      </c>
      <c r="E154" t="inlineStr">
        <is>
          <t>ORSA</t>
        </is>
      </c>
      <c r="F154" t="inlineStr">
        <is>
          <t>Allmännings- och besparingsskogar</t>
        </is>
      </c>
      <c r="G154" t="n">
        <v>13.9</v>
      </c>
      <c r="H154" t="n">
        <v>0</v>
      </c>
      <c r="I154" t="n">
        <v>0</v>
      </c>
      <c r="J154" t="n">
        <v>0</v>
      </c>
      <c r="K154" t="n">
        <v>0</v>
      </c>
      <c r="L154" t="n">
        <v>0</v>
      </c>
      <c r="M154" t="n">
        <v>0</v>
      </c>
      <c r="N154" t="n">
        <v>0</v>
      </c>
      <c r="O154" t="n">
        <v>0</v>
      </c>
      <c r="P154" t="n">
        <v>0</v>
      </c>
      <c r="Q154" t="n">
        <v>0</v>
      </c>
      <c r="R154" s="2" t="inlineStr"/>
    </row>
    <row r="155" ht="15" customHeight="1">
      <c r="A155" t="inlineStr">
        <is>
          <t>A 41295-2021</t>
        </is>
      </c>
      <c r="B155" s="1" t="n">
        <v>44424</v>
      </c>
      <c r="C155" s="1" t="n">
        <v>46177</v>
      </c>
      <c r="D155" t="inlineStr">
        <is>
          <t>DALARNAS LÄN</t>
        </is>
      </c>
      <c r="E155" t="inlineStr">
        <is>
          <t>ORSA</t>
        </is>
      </c>
      <c r="G155" t="n">
        <v>3.1</v>
      </c>
      <c r="H155" t="n">
        <v>0</v>
      </c>
      <c r="I155" t="n">
        <v>0</v>
      </c>
      <c r="J155" t="n">
        <v>0</v>
      </c>
      <c r="K155" t="n">
        <v>0</v>
      </c>
      <c r="L155" t="n">
        <v>0</v>
      </c>
      <c r="M155" t="n">
        <v>0</v>
      </c>
      <c r="N155" t="n">
        <v>0</v>
      </c>
      <c r="O155" t="n">
        <v>0</v>
      </c>
      <c r="P155" t="n">
        <v>0</v>
      </c>
      <c r="Q155" t="n">
        <v>0</v>
      </c>
      <c r="R155" s="2" t="inlineStr"/>
    </row>
    <row r="156" ht="15" customHeight="1">
      <c r="A156" t="inlineStr">
        <is>
          <t>A 17850-2025</t>
        </is>
      </c>
      <c r="B156" s="1" t="n">
        <v>45758.60162037037</v>
      </c>
      <c r="C156" s="1" t="n">
        <v>46177</v>
      </c>
      <c r="D156" t="inlineStr">
        <is>
          <t>DALARNAS LÄN</t>
        </is>
      </c>
      <c r="E156" t="inlineStr">
        <is>
          <t>ORSA</t>
        </is>
      </c>
      <c r="G156" t="n">
        <v>2</v>
      </c>
      <c r="H156" t="n">
        <v>0</v>
      </c>
      <c r="I156" t="n">
        <v>0</v>
      </c>
      <c r="J156" t="n">
        <v>0</v>
      </c>
      <c r="K156" t="n">
        <v>0</v>
      </c>
      <c r="L156" t="n">
        <v>0</v>
      </c>
      <c r="M156" t="n">
        <v>0</v>
      </c>
      <c r="N156" t="n">
        <v>0</v>
      </c>
      <c r="O156" t="n">
        <v>0</v>
      </c>
      <c r="P156" t="n">
        <v>0</v>
      </c>
      <c r="Q156" t="n">
        <v>0</v>
      </c>
      <c r="R156" s="2" t="inlineStr"/>
    </row>
    <row r="157" ht="15" customHeight="1">
      <c r="A157" t="inlineStr">
        <is>
          <t>A 27542-2021</t>
        </is>
      </c>
      <c r="B157" s="1" t="n">
        <v>44351</v>
      </c>
      <c r="C157" s="1" t="n">
        <v>46177</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48985-2023</t>
        </is>
      </c>
      <c r="B158" s="1" t="n">
        <v>45209.64077546296</v>
      </c>
      <c r="C158" s="1" t="n">
        <v>46177</v>
      </c>
      <c r="D158" t="inlineStr">
        <is>
          <t>DALARNAS LÄN</t>
        </is>
      </c>
      <c r="E158" t="inlineStr">
        <is>
          <t>ORSA</t>
        </is>
      </c>
      <c r="F158" t="inlineStr">
        <is>
          <t>Allmännings- och besparingsskogar</t>
        </is>
      </c>
      <c r="G158" t="n">
        <v>2.1</v>
      </c>
      <c r="H158" t="n">
        <v>0</v>
      </c>
      <c r="I158" t="n">
        <v>0</v>
      </c>
      <c r="J158" t="n">
        <v>0</v>
      </c>
      <c r="K158" t="n">
        <v>0</v>
      </c>
      <c r="L158" t="n">
        <v>0</v>
      </c>
      <c r="M158" t="n">
        <v>0</v>
      </c>
      <c r="N158" t="n">
        <v>0</v>
      </c>
      <c r="O158" t="n">
        <v>0</v>
      </c>
      <c r="P158" t="n">
        <v>0</v>
      </c>
      <c r="Q158" t="n">
        <v>0</v>
      </c>
      <c r="R158" s="2" t="inlineStr"/>
    </row>
    <row r="159" ht="15" customHeight="1">
      <c r="A159" t="inlineStr">
        <is>
          <t>A 51994-2023</t>
        </is>
      </c>
      <c r="B159" s="1" t="n">
        <v>45223.5884375</v>
      </c>
      <c r="C159" s="1" t="n">
        <v>46177</v>
      </c>
      <c r="D159" t="inlineStr">
        <is>
          <t>DALARNAS LÄN</t>
        </is>
      </c>
      <c r="E159" t="inlineStr">
        <is>
          <t>ORSA</t>
        </is>
      </c>
      <c r="G159" t="n">
        <v>10.7</v>
      </c>
      <c r="H159" t="n">
        <v>0</v>
      </c>
      <c r="I159" t="n">
        <v>0</v>
      </c>
      <c r="J159" t="n">
        <v>0</v>
      </c>
      <c r="K159" t="n">
        <v>0</v>
      </c>
      <c r="L159" t="n">
        <v>0</v>
      </c>
      <c r="M159" t="n">
        <v>0</v>
      </c>
      <c r="N159" t="n">
        <v>0</v>
      </c>
      <c r="O159" t="n">
        <v>0</v>
      </c>
      <c r="P159" t="n">
        <v>0</v>
      </c>
      <c r="Q159" t="n">
        <v>0</v>
      </c>
      <c r="R159" s="2" t="inlineStr"/>
    </row>
    <row r="160" ht="15" customHeight="1">
      <c r="A160" t="inlineStr">
        <is>
          <t>A 72284-2021</t>
        </is>
      </c>
      <c r="B160" s="1" t="n">
        <v>44545.36940972223</v>
      </c>
      <c r="C160" s="1" t="n">
        <v>46177</v>
      </c>
      <c r="D160" t="inlineStr">
        <is>
          <t>DALARNAS LÄN</t>
        </is>
      </c>
      <c r="E160" t="inlineStr">
        <is>
          <t>ORSA</t>
        </is>
      </c>
      <c r="G160" t="n">
        <v>0.5</v>
      </c>
      <c r="H160" t="n">
        <v>0</v>
      </c>
      <c r="I160" t="n">
        <v>0</v>
      </c>
      <c r="J160" t="n">
        <v>0</v>
      </c>
      <c r="K160" t="n">
        <v>0</v>
      </c>
      <c r="L160" t="n">
        <v>0</v>
      </c>
      <c r="M160" t="n">
        <v>0</v>
      </c>
      <c r="N160" t="n">
        <v>0</v>
      </c>
      <c r="O160" t="n">
        <v>0</v>
      </c>
      <c r="P160" t="n">
        <v>0</v>
      </c>
      <c r="Q160" t="n">
        <v>0</v>
      </c>
      <c r="R160" s="2" t="inlineStr"/>
    </row>
    <row r="161" ht="15" customHeight="1">
      <c r="A161" t="inlineStr">
        <is>
          <t>A 50392-2024</t>
        </is>
      </c>
      <c r="B161" s="1" t="n">
        <v>45601.33789351852</v>
      </c>
      <c r="C161" s="1" t="n">
        <v>46177</v>
      </c>
      <c r="D161" t="inlineStr">
        <is>
          <t>DALARNAS LÄN</t>
        </is>
      </c>
      <c r="E161" t="inlineStr">
        <is>
          <t>ORSA</t>
        </is>
      </c>
      <c r="G161" t="n">
        <v>0.5</v>
      </c>
      <c r="H161" t="n">
        <v>0</v>
      </c>
      <c r="I161" t="n">
        <v>0</v>
      </c>
      <c r="J161" t="n">
        <v>0</v>
      </c>
      <c r="K161" t="n">
        <v>0</v>
      </c>
      <c r="L161" t="n">
        <v>0</v>
      </c>
      <c r="M161" t="n">
        <v>0</v>
      </c>
      <c r="N161" t="n">
        <v>0</v>
      </c>
      <c r="O161" t="n">
        <v>0</v>
      </c>
      <c r="P161" t="n">
        <v>0</v>
      </c>
      <c r="Q161" t="n">
        <v>0</v>
      </c>
      <c r="R161" s="2" t="inlineStr"/>
    </row>
    <row r="162" ht="15" customHeight="1">
      <c r="A162" t="inlineStr">
        <is>
          <t>A 52776-2022</t>
        </is>
      </c>
      <c r="B162" s="1" t="n">
        <v>44875.36341435185</v>
      </c>
      <c r="C162" s="1" t="n">
        <v>46177</v>
      </c>
      <c r="D162" t="inlineStr">
        <is>
          <t>DALARNAS LÄN</t>
        </is>
      </c>
      <c r="E162" t="inlineStr">
        <is>
          <t>ORSA</t>
        </is>
      </c>
      <c r="F162" t="inlineStr">
        <is>
          <t>Allmännings- och besparingsskogar</t>
        </is>
      </c>
      <c r="G162" t="n">
        <v>4.4</v>
      </c>
      <c r="H162" t="n">
        <v>0</v>
      </c>
      <c r="I162" t="n">
        <v>0</v>
      </c>
      <c r="J162" t="n">
        <v>0</v>
      </c>
      <c r="K162" t="n">
        <v>0</v>
      </c>
      <c r="L162" t="n">
        <v>0</v>
      </c>
      <c r="M162" t="n">
        <v>0</v>
      </c>
      <c r="N162" t="n">
        <v>0</v>
      </c>
      <c r="O162" t="n">
        <v>0</v>
      </c>
      <c r="P162" t="n">
        <v>0</v>
      </c>
      <c r="Q162" t="n">
        <v>0</v>
      </c>
      <c r="R162" s="2" t="inlineStr"/>
    </row>
    <row r="163" ht="15" customHeight="1">
      <c r="A163" t="inlineStr">
        <is>
          <t>A 34169-2023</t>
        </is>
      </c>
      <c r="B163" s="1" t="n">
        <v>45138.3071412037</v>
      </c>
      <c r="C163" s="1" t="n">
        <v>46177</v>
      </c>
      <c r="D163" t="inlineStr">
        <is>
          <t>DALARNAS LÄN</t>
        </is>
      </c>
      <c r="E163" t="inlineStr">
        <is>
          <t>ORSA</t>
        </is>
      </c>
      <c r="F163" t="inlineStr">
        <is>
          <t>Allmännings- och besparingsskogar</t>
        </is>
      </c>
      <c r="G163" t="n">
        <v>0.7</v>
      </c>
      <c r="H163" t="n">
        <v>0</v>
      </c>
      <c r="I163" t="n">
        <v>0</v>
      </c>
      <c r="J163" t="n">
        <v>0</v>
      </c>
      <c r="K163" t="n">
        <v>0</v>
      </c>
      <c r="L163" t="n">
        <v>0</v>
      </c>
      <c r="M163" t="n">
        <v>0</v>
      </c>
      <c r="N163" t="n">
        <v>0</v>
      </c>
      <c r="O163" t="n">
        <v>0</v>
      </c>
      <c r="P163" t="n">
        <v>0</v>
      </c>
      <c r="Q163" t="n">
        <v>0</v>
      </c>
      <c r="R163" s="2" t="inlineStr"/>
    </row>
    <row r="164" ht="15" customHeight="1">
      <c r="A164" t="inlineStr">
        <is>
          <t>A 13185-2022</t>
        </is>
      </c>
      <c r="B164" s="1" t="n">
        <v>44644.48491898148</v>
      </c>
      <c r="C164" s="1" t="n">
        <v>46177</v>
      </c>
      <c r="D164" t="inlineStr">
        <is>
          <t>DALARNAS LÄN</t>
        </is>
      </c>
      <c r="E164" t="inlineStr">
        <is>
          <t>ORSA</t>
        </is>
      </c>
      <c r="G164" t="n">
        <v>0.6</v>
      </c>
      <c r="H164" t="n">
        <v>0</v>
      </c>
      <c r="I164" t="n">
        <v>0</v>
      </c>
      <c r="J164" t="n">
        <v>0</v>
      </c>
      <c r="K164" t="n">
        <v>0</v>
      </c>
      <c r="L164" t="n">
        <v>0</v>
      </c>
      <c r="M164" t="n">
        <v>0</v>
      </c>
      <c r="N164" t="n">
        <v>0</v>
      </c>
      <c r="O164" t="n">
        <v>0</v>
      </c>
      <c r="P164" t="n">
        <v>0</v>
      </c>
      <c r="Q164" t="n">
        <v>0</v>
      </c>
      <c r="R164" s="2" t="inlineStr"/>
    </row>
    <row r="165" ht="15" customHeight="1">
      <c r="A165" t="inlineStr">
        <is>
          <t>A 46454-2024</t>
        </is>
      </c>
      <c r="B165" s="1" t="n">
        <v>45582</v>
      </c>
      <c r="C165" s="1" t="n">
        <v>46177</v>
      </c>
      <c r="D165" t="inlineStr">
        <is>
          <t>DALARNAS LÄN</t>
        </is>
      </c>
      <c r="E165" t="inlineStr">
        <is>
          <t>ORSA</t>
        </is>
      </c>
      <c r="F165" t="inlineStr">
        <is>
          <t>Övriga statliga verk och myndigheter</t>
        </is>
      </c>
      <c r="G165" t="n">
        <v>1</v>
      </c>
      <c r="H165" t="n">
        <v>0</v>
      </c>
      <c r="I165" t="n">
        <v>0</v>
      </c>
      <c r="J165" t="n">
        <v>0</v>
      </c>
      <c r="K165" t="n">
        <v>0</v>
      </c>
      <c r="L165" t="n">
        <v>0</v>
      </c>
      <c r="M165" t="n">
        <v>0</v>
      </c>
      <c r="N165" t="n">
        <v>0</v>
      </c>
      <c r="O165" t="n">
        <v>0</v>
      </c>
      <c r="P165" t="n">
        <v>0</v>
      </c>
      <c r="Q165" t="n">
        <v>0</v>
      </c>
      <c r="R165" s="2" t="inlineStr"/>
    </row>
    <row r="166" ht="15" customHeight="1">
      <c r="A166" t="inlineStr">
        <is>
          <t>A 61685-2024</t>
        </is>
      </c>
      <c r="B166" s="1" t="n">
        <v>45647.56972222222</v>
      </c>
      <c r="C166" s="1" t="n">
        <v>46177</v>
      </c>
      <c r="D166" t="inlineStr">
        <is>
          <t>DALARNAS LÄN</t>
        </is>
      </c>
      <c r="E166" t="inlineStr">
        <is>
          <t>ORSA</t>
        </is>
      </c>
      <c r="G166" t="n">
        <v>0.8</v>
      </c>
      <c r="H166" t="n">
        <v>0</v>
      </c>
      <c r="I166" t="n">
        <v>0</v>
      </c>
      <c r="J166" t="n">
        <v>0</v>
      </c>
      <c r="K166" t="n">
        <v>0</v>
      </c>
      <c r="L166" t="n">
        <v>0</v>
      </c>
      <c r="M166" t="n">
        <v>0</v>
      </c>
      <c r="N166" t="n">
        <v>0</v>
      </c>
      <c r="O166" t="n">
        <v>0</v>
      </c>
      <c r="P166" t="n">
        <v>0</v>
      </c>
      <c r="Q166" t="n">
        <v>0</v>
      </c>
      <c r="R166" s="2" t="inlineStr"/>
    </row>
    <row r="167" ht="15" customHeight="1">
      <c r="A167" t="inlineStr">
        <is>
          <t>A 37981-2024</t>
        </is>
      </c>
      <c r="B167" s="1" t="n">
        <v>45544</v>
      </c>
      <c r="C167" s="1" t="n">
        <v>46177</v>
      </c>
      <c r="D167" t="inlineStr">
        <is>
          <t>DALARNAS LÄN</t>
        </is>
      </c>
      <c r="E167" t="inlineStr">
        <is>
          <t>ORSA</t>
        </is>
      </c>
      <c r="F167" t="inlineStr">
        <is>
          <t>Allmännings- och besparingsskogar</t>
        </is>
      </c>
      <c r="G167" t="n">
        <v>1.2</v>
      </c>
      <c r="H167" t="n">
        <v>0</v>
      </c>
      <c r="I167" t="n">
        <v>0</v>
      </c>
      <c r="J167" t="n">
        <v>0</v>
      </c>
      <c r="K167" t="n">
        <v>0</v>
      </c>
      <c r="L167" t="n">
        <v>0</v>
      </c>
      <c r="M167" t="n">
        <v>0</v>
      </c>
      <c r="N167" t="n">
        <v>0</v>
      </c>
      <c r="O167" t="n">
        <v>0</v>
      </c>
      <c r="P167" t="n">
        <v>0</v>
      </c>
      <c r="Q167" t="n">
        <v>0</v>
      </c>
      <c r="R167" s="2" t="inlineStr"/>
    </row>
    <row r="168" ht="15" customHeight="1">
      <c r="A168" t="inlineStr">
        <is>
          <t>A 52649-2024</t>
        </is>
      </c>
      <c r="B168" s="1" t="n">
        <v>45610.3468287037</v>
      </c>
      <c r="C168" s="1" t="n">
        <v>46177</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16392-2024</t>
        </is>
      </c>
      <c r="B169" s="1" t="n">
        <v>45407.62380787037</v>
      </c>
      <c r="C169" s="1" t="n">
        <v>46177</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18312-2024</t>
        </is>
      </c>
      <c r="B170" s="1" t="n">
        <v>45422.48225694444</v>
      </c>
      <c r="C170" s="1" t="n">
        <v>46177</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33488-2024</t>
        </is>
      </c>
      <c r="B171" s="1" t="n">
        <v>45519.61466435185</v>
      </c>
      <c r="C171" s="1" t="n">
        <v>46177</v>
      </c>
      <c r="D171" t="inlineStr">
        <is>
          <t>DALARNAS LÄN</t>
        </is>
      </c>
      <c r="E171" t="inlineStr">
        <is>
          <t>ORSA</t>
        </is>
      </c>
      <c r="F171" t="inlineStr">
        <is>
          <t>Övriga statliga verk och myndigheter</t>
        </is>
      </c>
      <c r="G171" t="n">
        <v>0.5</v>
      </c>
      <c r="H171" t="n">
        <v>0</v>
      </c>
      <c r="I171" t="n">
        <v>0</v>
      </c>
      <c r="J171" t="n">
        <v>0</v>
      </c>
      <c r="K171" t="n">
        <v>0</v>
      </c>
      <c r="L171" t="n">
        <v>0</v>
      </c>
      <c r="M171" t="n">
        <v>0</v>
      </c>
      <c r="N171" t="n">
        <v>0</v>
      </c>
      <c r="O171" t="n">
        <v>0</v>
      </c>
      <c r="P171" t="n">
        <v>0</v>
      </c>
      <c r="Q171" t="n">
        <v>0</v>
      </c>
      <c r="R171" s="2" t="inlineStr"/>
    </row>
    <row r="172" ht="15" customHeight="1">
      <c r="A172" t="inlineStr">
        <is>
          <t>A 58842-2024</t>
        </is>
      </c>
      <c r="B172" s="1" t="n">
        <v>45636.3859837963</v>
      </c>
      <c r="C172" s="1" t="n">
        <v>46177</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890-2024</t>
        </is>
      </c>
      <c r="B173" s="1" t="n">
        <v>45301.40552083333</v>
      </c>
      <c r="C173" s="1" t="n">
        <v>46177</v>
      </c>
      <c r="D173" t="inlineStr">
        <is>
          <t>DALARNAS LÄN</t>
        </is>
      </c>
      <c r="E173" t="inlineStr">
        <is>
          <t>ORSA</t>
        </is>
      </c>
      <c r="G173" t="n">
        <v>2.5</v>
      </c>
      <c r="H173" t="n">
        <v>0</v>
      </c>
      <c r="I173" t="n">
        <v>0</v>
      </c>
      <c r="J173" t="n">
        <v>0</v>
      </c>
      <c r="K173" t="n">
        <v>0</v>
      </c>
      <c r="L173" t="n">
        <v>0</v>
      </c>
      <c r="M173" t="n">
        <v>0</v>
      </c>
      <c r="N173" t="n">
        <v>0</v>
      </c>
      <c r="O173" t="n">
        <v>0</v>
      </c>
      <c r="P173" t="n">
        <v>0</v>
      </c>
      <c r="Q173" t="n">
        <v>0</v>
      </c>
      <c r="R173" s="2" t="inlineStr"/>
    </row>
    <row r="174" ht="15" customHeight="1">
      <c r="A174" t="inlineStr">
        <is>
          <t>A 61277-2023</t>
        </is>
      </c>
      <c r="B174" s="1" t="n">
        <v>45264.52465277778</v>
      </c>
      <c r="C174" s="1" t="n">
        <v>46177</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52044-2023</t>
        </is>
      </c>
      <c r="B175" s="1" t="n">
        <v>45223.6365625</v>
      </c>
      <c r="C175" s="1" t="n">
        <v>46177</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13209-2022</t>
        </is>
      </c>
      <c r="B176" s="1" t="n">
        <v>44644.56325231482</v>
      </c>
      <c r="C176" s="1" t="n">
        <v>46177</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20808-2025</t>
        </is>
      </c>
      <c r="B177" s="1" t="n">
        <v>45776</v>
      </c>
      <c r="C177" s="1" t="n">
        <v>46177</v>
      </c>
      <c r="D177" t="inlineStr">
        <is>
          <t>DALARNAS LÄN</t>
        </is>
      </c>
      <c r="E177" t="inlineStr">
        <is>
          <t>ORSA</t>
        </is>
      </c>
      <c r="F177" t="inlineStr">
        <is>
          <t>Bergvik skog väst AB</t>
        </is>
      </c>
      <c r="G177" t="n">
        <v>14.3</v>
      </c>
      <c r="H177" t="n">
        <v>0</v>
      </c>
      <c r="I177" t="n">
        <v>0</v>
      </c>
      <c r="J177" t="n">
        <v>0</v>
      </c>
      <c r="K177" t="n">
        <v>0</v>
      </c>
      <c r="L177" t="n">
        <v>0</v>
      </c>
      <c r="M177" t="n">
        <v>0</v>
      </c>
      <c r="N177" t="n">
        <v>0</v>
      </c>
      <c r="O177" t="n">
        <v>0</v>
      </c>
      <c r="P177" t="n">
        <v>0</v>
      </c>
      <c r="Q177" t="n">
        <v>0</v>
      </c>
      <c r="R177" s="2" t="inlineStr"/>
    </row>
    <row r="178" ht="15" customHeight="1">
      <c r="A178" t="inlineStr">
        <is>
          <t>A 12704-2022</t>
        </is>
      </c>
      <c r="B178" s="1" t="n">
        <v>44641</v>
      </c>
      <c r="C178" s="1" t="n">
        <v>46177</v>
      </c>
      <c r="D178" t="inlineStr">
        <is>
          <t>DALARNAS LÄN</t>
        </is>
      </c>
      <c r="E178" t="inlineStr">
        <is>
          <t>ORSA</t>
        </is>
      </c>
      <c r="G178" t="n">
        <v>2.4</v>
      </c>
      <c r="H178" t="n">
        <v>0</v>
      </c>
      <c r="I178" t="n">
        <v>0</v>
      </c>
      <c r="J178" t="n">
        <v>0</v>
      </c>
      <c r="K178" t="n">
        <v>0</v>
      </c>
      <c r="L178" t="n">
        <v>0</v>
      </c>
      <c r="M178" t="n">
        <v>0</v>
      </c>
      <c r="N178" t="n">
        <v>0</v>
      </c>
      <c r="O178" t="n">
        <v>0</v>
      </c>
      <c r="P178" t="n">
        <v>0</v>
      </c>
      <c r="Q178" t="n">
        <v>0</v>
      </c>
      <c r="R178" s="2" t="inlineStr"/>
    </row>
    <row r="179" ht="15" customHeight="1">
      <c r="A179" t="inlineStr">
        <is>
          <t>A 5435-2025</t>
        </is>
      </c>
      <c r="B179" s="1" t="n">
        <v>45692</v>
      </c>
      <c r="C179" s="1" t="n">
        <v>46177</v>
      </c>
      <c r="D179" t="inlineStr">
        <is>
          <t>DALARNAS LÄN</t>
        </is>
      </c>
      <c r="E179" t="inlineStr">
        <is>
          <t>ORSA</t>
        </is>
      </c>
      <c r="G179" t="n">
        <v>7.8</v>
      </c>
      <c r="H179" t="n">
        <v>0</v>
      </c>
      <c r="I179" t="n">
        <v>0</v>
      </c>
      <c r="J179" t="n">
        <v>0</v>
      </c>
      <c r="K179" t="n">
        <v>0</v>
      </c>
      <c r="L179" t="n">
        <v>0</v>
      </c>
      <c r="M179" t="n">
        <v>0</v>
      </c>
      <c r="N179" t="n">
        <v>0</v>
      </c>
      <c r="O179" t="n">
        <v>0</v>
      </c>
      <c r="P179" t="n">
        <v>0</v>
      </c>
      <c r="Q179" t="n">
        <v>0</v>
      </c>
      <c r="R179" s="2" t="inlineStr"/>
    </row>
    <row r="180" ht="15" customHeight="1">
      <c r="A180" t="inlineStr">
        <is>
          <t>A 4553-2025</t>
        </is>
      </c>
      <c r="B180" s="1" t="n">
        <v>45687.42143518518</v>
      </c>
      <c r="C180" s="1" t="n">
        <v>46177</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37770-2023</t>
        </is>
      </c>
      <c r="B181" s="1" t="n">
        <v>45159</v>
      </c>
      <c r="C181" s="1" t="n">
        <v>46177</v>
      </c>
      <c r="D181" t="inlineStr">
        <is>
          <t>DALARNAS LÄN</t>
        </is>
      </c>
      <c r="E181" t="inlineStr">
        <is>
          <t>ORSA</t>
        </is>
      </c>
      <c r="G181" t="n">
        <v>2.6</v>
      </c>
      <c r="H181" t="n">
        <v>0</v>
      </c>
      <c r="I181" t="n">
        <v>0</v>
      </c>
      <c r="J181" t="n">
        <v>0</v>
      </c>
      <c r="K181" t="n">
        <v>0</v>
      </c>
      <c r="L181" t="n">
        <v>0</v>
      </c>
      <c r="M181" t="n">
        <v>0</v>
      </c>
      <c r="N181" t="n">
        <v>0</v>
      </c>
      <c r="O181" t="n">
        <v>0</v>
      </c>
      <c r="P181" t="n">
        <v>0</v>
      </c>
      <c r="Q181" t="n">
        <v>0</v>
      </c>
      <c r="R181" s="2" t="inlineStr"/>
    </row>
    <row r="182" ht="15" customHeight="1">
      <c r="A182" t="inlineStr">
        <is>
          <t>A 23339-2024</t>
        </is>
      </c>
      <c r="B182" s="1" t="n">
        <v>45453.48988425926</v>
      </c>
      <c r="C182" s="1" t="n">
        <v>46177</v>
      </c>
      <c r="D182" t="inlineStr">
        <is>
          <t>DALARNAS LÄN</t>
        </is>
      </c>
      <c r="E182" t="inlineStr">
        <is>
          <t>ORSA</t>
        </is>
      </c>
      <c r="G182" t="n">
        <v>3.8</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44460.86221064815</v>
      </c>
      <c r="C183" s="1" t="n">
        <v>46177</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55280-2024</t>
        </is>
      </c>
      <c r="B184" s="1" t="n">
        <v>45621.62524305555</v>
      </c>
      <c r="C184" s="1" t="n">
        <v>46177</v>
      </c>
      <c r="D184" t="inlineStr">
        <is>
          <t>DALARNAS LÄN</t>
        </is>
      </c>
      <c r="E184" t="inlineStr">
        <is>
          <t>ORSA</t>
        </is>
      </c>
      <c r="G184" t="n">
        <v>2.3</v>
      </c>
      <c r="H184" t="n">
        <v>0</v>
      </c>
      <c r="I184" t="n">
        <v>0</v>
      </c>
      <c r="J184" t="n">
        <v>0</v>
      </c>
      <c r="K184" t="n">
        <v>0</v>
      </c>
      <c r="L184" t="n">
        <v>0</v>
      </c>
      <c r="M184" t="n">
        <v>0</v>
      </c>
      <c r="N184" t="n">
        <v>0</v>
      </c>
      <c r="O184" t="n">
        <v>0</v>
      </c>
      <c r="P184" t="n">
        <v>0</v>
      </c>
      <c r="Q184" t="n">
        <v>0</v>
      </c>
      <c r="R184" s="2" t="inlineStr"/>
    </row>
    <row r="185" ht="15" customHeight="1">
      <c r="A185" t="inlineStr">
        <is>
          <t>A 38672-2025</t>
        </is>
      </c>
      <c r="B185" s="1" t="n">
        <v>45884.63340277778</v>
      </c>
      <c r="C185" s="1" t="n">
        <v>46177</v>
      </c>
      <c r="D185" t="inlineStr">
        <is>
          <t>DALARNAS LÄN</t>
        </is>
      </c>
      <c r="E185" t="inlineStr">
        <is>
          <t>ORSA</t>
        </is>
      </c>
      <c r="G185" t="n">
        <v>4.6</v>
      </c>
      <c r="H185" t="n">
        <v>0</v>
      </c>
      <c r="I185" t="n">
        <v>0</v>
      </c>
      <c r="J185" t="n">
        <v>0</v>
      </c>
      <c r="K185" t="n">
        <v>0</v>
      </c>
      <c r="L185" t="n">
        <v>0</v>
      </c>
      <c r="M185" t="n">
        <v>0</v>
      </c>
      <c r="N185" t="n">
        <v>0</v>
      </c>
      <c r="O185" t="n">
        <v>0</v>
      </c>
      <c r="P185" t="n">
        <v>0</v>
      </c>
      <c r="Q185" t="n">
        <v>0</v>
      </c>
      <c r="R185" s="2" t="inlineStr"/>
    </row>
    <row r="186" ht="15" customHeight="1">
      <c r="A186" t="inlineStr">
        <is>
          <t>A 55580-2024</t>
        </is>
      </c>
      <c r="B186" s="1" t="n">
        <v>45622.56038194444</v>
      </c>
      <c r="C186" s="1" t="n">
        <v>46177</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61698-2022</t>
        </is>
      </c>
      <c r="B187" s="1" t="n">
        <v>44917.40038194445</v>
      </c>
      <c r="C187" s="1" t="n">
        <v>46177</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56975-2023</t>
        </is>
      </c>
      <c r="B188" s="1" t="n">
        <v>45244</v>
      </c>
      <c r="C188" s="1" t="n">
        <v>46177</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21376-2025</t>
        </is>
      </c>
      <c r="B189" s="1" t="n">
        <v>45782.45069444444</v>
      </c>
      <c r="C189" s="1" t="n">
        <v>46177</v>
      </c>
      <c r="D189" t="inlineStr">
        <is>
          <t>DALARNAS LÄN</t>
        </is>
      </c>
      <c r="E189" t="inlineStr">
        <is>
          <t>ORSA</t>
        </is>
      </c>
      <c r="G189" t="n">
        <v>4.6</v>
      </c>
      <c r="H189" t="n">
        <v>0</v>
      </c>
      <c r="I189" t="n">
        <v>0</v>
      </c>
      <c r="J189" t="n">
        <v>0</v>
      </c>
      <c r="K189" t="n">
        <v>0</v>
      </c>
      <c r="L189" t="n">
        <v>0</v>
      </c>
      <c r="M189" t="n">
        <v>0</v>
      </c>
      <c r="N189" t="n">
        <v>0</v>
      </c>
      <c r="O189" t="n">
        <v>0</v>
      </c>
      <c r="P189" t="n">
        <v>0</v>
      </c>
      <c r="Q189" t="n">
        <v>0</v>
      </c>
      <c r="R189" s="2" t="inlineStr"/>
    </row>
    <row r="190" ht="15" customHeight="1">
      <c r="A190" t="inlineStr">
        <is>
          <t>A 21335-2025</t>
        </is>
      </c>
      <c r="B190" s="1" t="n">
        <v>45782.37519675926</v>
      </c>
      <c r="C190" s="1" t="n">
        <v>46177</v>
      </c>
      <c r="D190" t="inlineStr">
        <is>
          <t>DALARNAS LÄN</t>
        </is>
      </c>
      <c r="E190" t="inlineStr">
        <is>
          <t>ORSA</t>
        </is>
      </c>
      <c r="F190" t="inlineStr">
        <is>
          <t>Bergvik skog väst AB</t>
        </is>
      </c>
      <c r="G190" t="n">
        <v>14.3</v>
      </c>
      <c r="H190" t="n">
        <v>0</v>
      </c>
      <c r="I190" t="n">
        <v>0</v>
      </c>
      <c r="J190" t="n">
        <v>0</v>
      </c>
      <c r="K190" t="n">
        <v>0</v>
      </c>
      <c r="L190" t="n">
        <v>0</v>
      </c>
      <c r="M190" t="n">
        <v>0</v>
      </c>
      <c r="N190" t="n">
        <v>0</v>
      </c>
      <c r="O190" t="n">
        <v>0</v>
      </c>
      <c r="P190" t="n">
        <v>0</v>
      </c>
      <c r="Q190" t="n">
        <v>0</v>
      </c>
      <c r="R190" s="2" t="inlineStr"/>
    </row>
    <row r="191" ht="15" customHeight="1">
      <c r="A191" t="inlineStr">
        <is>
          <t>A 3720-2023</t>
        </is>
      </c>
      <c r="B191" s="1" t="n">
        <v>44951.36688657408</v>
      </c>
      <c r="C191" s="1" t="n">
        <v>46177</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879-2024</t>
        </is>
      </c>
      <c r="B192" s="1" t="n">
        <v>45301.36821759259</v>
      </c>
      <c r="C192" s="1" t="n">
        <v>46177</v>
      </c>
      <c r="D192" t="inlineStr">
        <is>
          <t>DALARNAS LÄN</t>
        </is>
      </c>
      <c r="E192" t="inlineStr">
        <is>
          <t>ORSA</t>
        </is>
      </c>
      <c r="G192" t="n">
        <v>2.1</v>
      </c>
      <c r="H192" t="n">
        <v>0</v>
      </c>
      <c r="I192" t="n">
        <v>0</v>
      </c>
      <c r="J192" t="n">
        <v>0</v>
      </c>
      <c r="K192" t="n">
        <v>0</v>
      </c>
      <c r="L192" t="n">
        <v>0</v>
      </c>
      <c r="M192" t="n">
        <v>0</v>
      </c>
      <c r="N192" t="n">
        <v>0</v>
      </c>
      <c r="O192" t="n">
        <v>0</v>
      </c>
      <c r="P192" t="n">
        <v>0</v>
      </c>
      <c r="Q192" t="n">
        <v>0</v>
      </c>
      <c r="R192" s="2" t="inlineStr"/>
    </row>
    <row r="193" ht="15" customHeight="1">
      <c r="A193" t="inlineStr">
        <is>
          <t>A 56803-2024</t>
        </is>
      </c>
      <c r="B193" s="1" t="n">
        <v>45628.47212962963</v>
      </c>
      <c r="C193" s="1" t="n">
        <v>46177</v>
      </c>
      <c r="D193" t="inlineStr">
        <is>
          <t>DALARNAS LÄN</t>
        </is>
      </c>
      <c r="E193" t="inlineStr">
        <is>
          <t>ORSA</t>
        </is>
      </c>
      <c r="G193" t="n">
        <v>1.4</v>
      </c>
      <c r="H193" t="n">
        <v>0</v>
      </c>
      <c r="I193" t="n">
        <v>0</v>
      </c>
      <c r="J193" t="n">
        <v>0</v>
      </c>
      <c r="K193" t="n">
        <v>0</v>
      </c>
      <c r="L193" t="n">
        <v>0</v>
      </c>
      <c r="M193" t="n">
        <v>0</v>
      </c>
      <c r="N193" t="n">
        <v>0</v>
      </c>
      <c r="O193" t="n">
        <v>0</v>
      </c>
      <c r="P193" t="n">
        <v>0</v>
      </c>
      <c r="Q193" t="n">
        <v>0</v>
      </c>
      <c r="R193" s="2" t="inlineStr"/>
    </row>
    <row r="194" ht="15" customHeight="1">
      <c r="A194" t="inlineStr">
        <is>
          <t>A 38688-2025</t>
        </is>
      </c>
      <c r="B194" s="1" t="n">
        <v>45884.66097222222</v>
      </c>
      <c r="C194" s="1" t="n">
        <v>46177</v>
      </c>
      <c r="D194" t="inlineStr">
        <is>
          <t>DALARNAS LÄN</t>
        </is>
      </c>
      <c r="E194" t="inlineStr">
        <is>
          <t>ORSA</t>
        </is>
      </c>
      <c r="F194" t="inlineStr">
        <is>
          <t>Allmännings- och besparingsskogar</t>
        </is>
      </c>
      <c r="G194" t="n">
        <v>10.2</v>
      </c>
      <c r="H194" t="n">
        <v>0</v>
      </c>
      <c r="I194" t="n">
        <v>0</v>
      </c>
      <c r="J194" t="n">
        <v>0</v>
      </c>
      <c r="K194" t="n">
        <v>0</v>
      </c>
      <c r="L194" t="n">
        <v>0</v>
      </c>
      <c r="M194" t="n">
        <v>0</v>
      </c>
      <c r="N194" t="n">
        <v>0</v>
      </c>
      <c r="O194" t="n">
        <v>0</v>
      </c>
      <c r="P194" t="n">
        <v>0</v>
      </c>
      <c r="Q194" t="n">
        <v>0</v>
      </c>
      <c r="R194" s="2" t="inlineStr"/>
    </row>
    <row r="195" ht="15" customHeight="1">
      <c r="A195" t="inlineStr">
        <is>
          <t>A 21949-2025</t>
        </is>
      </c>
      <c r="B195" s="1" t="n">
        <v>45784.59369212963</v>
      </c>
      <c r="C195" s="1" t="n">
        <v>46177</v>
      </c>
      <c r="D195" t="inlineStr">
        <is>
          <t>DALARNAS LÄN</t>
        </is>
      </c>
      <c r="E195" t="inlineStr">
        <is>
          <t>ORSA</t>
        </is>
      </c>
      <c r="F195" t="inlineStr">
        <is>
          <t>Bergvik skog öst AB</t>
        </is>
      </c>
      <c r="G195" t="n">
        <v>11</v>
      </c>
      <c r="H195" t="n">
        <v>0</v>
      </c>
      <c r="I195" t="n">
        <v>0</v>
      </c>
      <c r="J195" t="n">
        <v>0</v>
      </c>
      <c r="K195" t="n">
        <v>0</v>
      </c>
      <c r="L195" t="n">
        <v>0</v>
      </c>
      <c r="M195" t="n">
        <v>0</v>
      </c>
      <c r="N195" t="n">
        <v>0</v>
      </c>
      <c r="O195" t="n">
        <v>0</v>
      </c>
      <c r="P195" t="n">
        <v>0</v>
      </c>
      <c r="Q195" t="n">
        <v>0</v>
      </c>
      <c r="R195" s="2" t="inlineStr"/>
    </row>
    <row r="196" ht="15" customHeight="1">
      <c r="A196" t="inlineStr">
        <is>
          <t>A 38588-2025</t>
        </is>
      </c>
      <c r="B196" s="1" t="n">
        <v>45884.47355324074</v>
      </c>
      <c r="C196" s="1" t="n">
        <v>46177</v>
      </c>
      <c r="D196" t="inlineStr">
        <is>
          <t>DALARNAS LÄN</t>
        </is>
      </c>
      <c r="E196" t="inlineStr">
        <is>
          <t>ORSA</t>
        </is>
      </c>
      <c r="F196" t="inlineStr">
        <is>
          <t>Bergvik skog öst AB</t>
        </is>
      </c>
      <c r="G196" t="n">
        <v>9.5</v>
      </c>
      <c r="H196" t="n">
        <v>0</v>
      </c>
      <c r="I196" t="n">
        <v>0</v>
      </c>
      <c r="J196" t="n">
        <v>0</v>
      </c>
      <c r="K196" t="n">
        <v>0</v>
      </c>
      <c r="L196" t="n">
        <v>0</v>
      </c>
      <c r="M196" t="n">
        <v>0</v>
      </c>
      <c r="N196" t="n">
        <v>0</v>
      </c>
      <c r="O196" t="n">
        <v>0</v>
      </c>
      <c r="P196" t="n">
        <v>0</v>
      </c>
      <c r="Q196" t="n">
        <v>0</v>
      </c>
      <c r="R196" s="2" t="inlineStr"/>
    </row>
    <row r="197" ht="15" customHeight="1">
      <c r="A197" t="inlineStr">
        <is>
          <t>A 21165-2024</t>
        </is>
      </c>
      <c r="B197" s="1" t="n">
        <v>45440.45225694445</v>
      </c>
      <c r="C197" s="1" t="n">
        <v>46177</v>
      </c>
      <c r="D197" t="inlineStr">
        <is>
          <t>DALARNAS LÄN</t>
        </is>
      </c>
      <c r="E197" t="inlineStr">
        <is>
          <t>ORSA</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41835-2024</t>
        </is>
      </c>
      <c r="B198" s="1" t="n">
        <v>45561.40888888889</v>
      </c>
      <c r="C198" s="1" t="n">
        <v>46177</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10004-2023</t>
        </is>
      </c>
      <c r="B199" s="1" t="n">
        <v>44985.60604166667</v>
      </c>
      <c r="C199" s="1" t="n">
        <v>46177</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37852-2024</t>
        </is>
      </c>
      <c r="B200" s="1" t="n">
        <v>45544.3786574074</v>
      </c>
      <c r="C200" s="1" t="n">
        <v>46177</v>
      </c>
      <c r="D200" t="inlineStr">
        <is>
          <t>DALARNAS LÄN</t>
        </is>
      </c>
      <c r="E200" t="inlineStr">
        <is>
          <t>ORSA</t>
        </is>
      </c>
      <c r="G200" t="n">
        <v>0.7</v>
      </c>
      <c r="H200" t="n">
        <v>0</v>
      </c>
      <c r="I200" t="n">
        <v>0</v>
      </c>
      <c r="J200" t="n">
        <v>0</v>
      </c>
      <c r="K200" t="n">
        <v>0</v>
      </c>
      <c r="L200" t="n">
        <v>0</v>
      </c>
      <c r="M200" t="n">
        <v>0</v>
      </c>
      <c r="N200" t="n">
        <v>0</v>
      </c>
      <c r="O200" t="n">
        <v>0</v>
      </c>
      <c r="P200" t="n">
        <v>0</v>
      </c>
      <c r="Q200" t="n">
        <v>0</v>
      </c>
      <c r="R200" s="2" t="inlineStr"/>
    </row>
    <row r="201" ht="15" customHeight="1">
      <c r="A201" t="inlineStr">
        <is>
          <t>A 53717-2024</t>
        </is>
      </c>
      <c r="B201" s="1" t="n">
        <v>45615.43141203704</v>
      </c>
      <c r="C201" s="1" t="n">
        <v>46177</v>
      </c>
      <c r="D201" t="inlineStr">
        <is>
          <t>DALARNAS LÄN</t>
        </is>
      </c>
      <c r="E201" t="inlineStr">
        <is>
          <t>ORSA</t>
        </is>
      </c>
      <c r="G201" t="n">
        <v>1.5</v>
      </c>
      <c r="H201" t="n">
        <v>0</v>
      </c>
      <c r="I201" t="n">
        <v>0</v>
      </c>
      <c r="J201" t="n">
        <v>0</v>
      </c>
      <c r="K201" t="n">
        <v>0</v>
      </c>
      <c r="L201" t="n">
        <v>0</v>
      </c>
      <c r="M201" t="n">
        <v>0</v>
      </c>
      <c r="N201" t="n">
        <v>0</v>
      </c>
      <c r="O201" t="n">
        <v>0</v>
      </c>
      <c r="P201" t="n">
        <v>0</v>
      </c>
      <c r="Q201" t="n">
        <v>0</v>
      </c>
      <c r="R201" s="2" t="inlineStr"/>
    </row>
    <row r="202" ht="15" customHeight="1">
      <c r="A202" t="inlineStr">
        <is>
          <t>A 612-2025</t>
        </is>
      </c>
      <c r="B202" s="1" t="n">
        <v>45660</v>
      </c>
      <c r="C202" s="1" t="n">
        <v>46177</v>
      </c>
      <c r="D202" t="inlineStr">
        <is>
          <t>DALARNAS LÄN</t>
        </is>
      </c>
      <c r="E202" t="inlineStr">
        <is>
          <t>ORSA</t>
        </is>
      </c>
      <c r="F202" t="inlineStr">
        <is>
          <t>Allmännings- och besparingsskogar</t>
        </is>
      </c>
      <c r="G202" t="n">
        <v>0.8</v>
      </c>
      <c r="H202" t="n">
        <v>0</v>
      </c>
      <c r="I202" t="n">
        <v>0</v>
      </c>
      <c r="J202" t="n">
        <v>0</v>
      </c>
      <c r="K202" t="n">
        <v>0</v>
      </c>
      <c r="L202" t="n">
        <v>0</v>
      </c>
      <c r="M202" t="n">
        <v>0</v>
      </c>
      <c r="N202" t="n">
        <v>0</v>
      </c>
      <c r="O202" t="n">
        <v>0</v>
      </c>
      <c r="P202" t="n">
        <v>0</v>
      </c>
      <c r="Q202" t="n">
        <v>0</v>
      </c>
      <c r="R202" s="2" t="inlineStr"/>
    </row>
    <row r="203" ht="15" customHeight="1">
      <c r="A203" t="inlineStr">
        <is>
          <t>A 25172-2022</t>
        </is>
      </c>
      <c r="B203" s="1" t="n">
        <v>44729.58356481481</v>
      </c>
      <c r="C203" s="1" t="n">
        <v>46177</v>
      </c>
      <c r="D203" t="inlineStr">
        <is>
          <t>DALARNAS LÄN</t>
        </is>
      </c>
      <c r="E203" t="inlineStr">
        <is>
          <t>ORSA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54519-2023</t>
        </is>
      </c>
      <c r="B204" s="1" t="n">
        <v>45233.58359953704</v>
      </c>
      <c r="C204" s="1" t="n">
        <v>46177</v>
      </c>
      <c r="D204" t="inlineStr">
        <is>
          <t>DALARNAS LÄN</t>
        </is>
      </c>
      <c r="E204" t="inlineStr">
        <is>
          <t>ORSA</t>
        </is>
      </c>
      <c r="F204" t="inlineStr">
        <is>
          <t>Allmännings- och besparingsskogar</t>
        </is>
      </c>
      <c r="G204" t="n">
        <v>0.5</v>
      </c>
      <c r="H204" t="n">
        <v>0</v>
      </c>
      <c r="I204" t="n">
        <v>0</v>
      </c>
      <c r="J204" t="n">
        <v>0</v>
      </c>
      <c r="K204" t="n">
        <v>0</v>
      </c>
      <c r="L204" t="n">
        <v>0</v>
      </c>
      <c r="M204" t="n">
        <v>0</v>
      </c>
      <c r="N204" t="n">
        <v>0</v>
      </c>
      <c r="O204" t="n">
        <v>0</v>
      </c>
      <c r="P204" t="n">
        <v>0</v>
      </c>
      <c r="Q204" t="n">
        <v>0</v>
      </c>
      <c r="R204" s="2" t="inlineStr"/>
    </row>
    <row r="205" ht="15" customHeight="1">
      <c r="A205" t="inlineStr">
        <is>
          <t>A 38844-2025</t>
        </is>
      </c>
      <c r="B205" s="1" t="n">
        <v>45887.54075231482</v>
      </c>
      <c r="C205" s="1" t="n">
        <v>46177</v>
      </c>
      <c r="D205" t="inlineStr">
        <is>
          <t>DALARNAS LÄN</t>
        </is>
      </c>
      <c r="E205" t="inlineStr">
        <is>
          <t>ORSA</t>
        </is>
      </c>
      <c r="G205" t="n">
        <v>1.6</v>
      </c>
      <c r="H205" t="n">
        <v>0</v>
      </c>
      <c r="I205" t="n">
        <v>0</v>
      </c>
      <c r="J205" t="n">
        <v>0</v>
      </c>
      <c r="K205" t="n">
        <v>0</v>
      </c>
      <c r="L205" t="n">
        <v>0</v>
      </c>
      <c r="M205" t="n">
        <v>0</v>
      </c>
      <c r="N205" t="n">
        <v>0</v>
      </c>
      <c r="O205" t="n">
        <v>0</v>
      </c>
      <c r="P205" t="n">
        <v>0</v>
      </c>
      <c r="Q205" t="n">
        <v>0</v>
      </c>
      <c r="R205" s="2" t="inlineStr"/>
    </row>
    <row r="206" ht="15" customHeight="1">
      <c r="A206" t="inlineStr">
        <is>
          <t>A 38840-2025</t>
        </is>
      </c>
      <c r="B206" s="1" t="n">
        <v>45887.5375</v>
      </c>
      <c r="C206" s="1" t="n">
        <v>46177</v>
      </c>
      <c r="D206" t="inlineStr">
        <is>
          <t>DALARNAS LÄN</t>
        </is>
      </c>
      <c r="E206" t="inlineStr">
        <is>
          <t>ORSA</t>
        </is>
      </c>
      <c r="G206" t="n">
        <v>1.5</v>
      </c>
      <c r="H206" t="n">
        <v>0</v>
      </c>
      <c r="I206" t="n">
        <v>0</v>
      </c>
      <c r="J206" t="n">
        <v>0</v>
      </c>
      <c r="K206" t="n">
        <v>0</v>
      </c>
      <c r="L206" t="n">
        <v>0</v>
      </c>
      <c r="M206" t="n">
        <v>0</v>
      </c>
      <c r="N206" t="n">
        <v>0</v>
      </c>
      <c r="O206" t="n">
        <v>0</v>
      </c>
      <c r="P206" t="n">
        <v>0</v>
      </c>
      <c r="Q206" t="n">
        <v>0</v>
      </c>
      <c r="R206" s="2" t="inlineStr"/>
    </row>
    <row r="207" ht="15" customHeight="1">
      <c r="A207" t="inlineStr">
        <is>
          <t>A 986-2025</t>
        </is>
      </c>
      <c r="B207" s="1" t="n">
        <v>45666.42952546296</v>
      </c>
      <c r="C207" s="1" t="n">
        <v>46177</v>
      </c>
      <c r="D207" t="inlineStr">
        <is>
          <t>DALARNAS LÄN</t>
        </is>
      </c>
      <c r="E207" t="inlineStr">
        <is>
          <t>ORSA</t>
        </is>
      </c>
      <c r="G207" t="n">
        <v>5.7</v>
      </c>
      <c r="H207" t="n">
        <v>0</v>
      </c>
      <c r="I207" t="n">
        <v>0</v>
      </c>
      <c r="J207" t="n">
        <v>0</v>
      </c>
      <c r="K207" t="n">
        <v>0</v>
      </c>
      <c r="L207" t="n">
        <v>0</v>
      </c>
      <c r="M207" t="n">
        <v>0</v>
      </c>
      <c r="N207" t="n">
        <v>0</v>
      </c>
      <c r="O207" t="n">
        <v>0</v>
      </c>
      <c r="P207" t="n">
        <v>0</v>
      </c>
      <c r="Q207" t="n">
        <v>0</v>
      </c>
      <c r="R207" s="2" t="inlineStr"/>
    </row>
    <row r="208" ht="15" customHeight="1">
      <c r="A208" t="inlineStr">
        <is>
          <t>A 10261-2022</t>
        </is>
      </c>
      <c r="B208" s="1" t="n">
        <v>44622.6445949074</v>
      </c>
      <c r="C208" s="1" t="n">
        <v>46177</v>
      </c>
      <c r="D208" t="inlineStr">
        <is>
          <t>DALARNAS LÄN</t>
        </is>
      </c>
      <c r="E208" t="inlineStr">
        <is>
          <t>ORSA</t>
        </is>
      </c>
      <c r="G208" t="n">
        <v>3.1</v>
      </c>
      <c r="H208" t="n">
        <v>0</v>
      </c>
      <c r="I208" t="n">
        <v>0</v>
      </c>
      <c r="J208" t="n">
        <v>0</v>
      </c>
      <c r="K208" t="n">
        <v>0</v>
      </c>
      <c r="L208" t="n">
        <v>0</v>
      </c>
      <c r="M208" t="n">
        <v>0</v>
      </c>
      <c r="N208" t="n">
        <v>0</v>
      </c>
      <c r="O208" t="n">
        <v>0</v>
      </c>
      <c r="P208" t="n">
        <v>0</v>
      </c>
      <c r="Q208" t="n">
        <v>0</v>
      </c>
      <c r="R208" s="2" t="inlineStr"/>
    </row>
    <row r="209" ht="15" customHeight="1">
      <c r="A209" t="inlineStr">
        <is>
          <t>A 30458-2023</t>
        </is>
      </c>
      <c r="B209" s="1" t="n">
        <v>45111</v>
      </c>
      <c r="C209" s="1" t="n">
        <v>46177</v>
      </c>
      <c r="D209" t="inlineStr">
        <is>
          <t>DALARNAS LÄN</t>
        </is>
      </c>
      <c r="E209" t="inlineStr">
        <is>
          <t>ORSA</t>
        </is>
      </c>
      <c r="F209" t="inlineStr">
        <is>
          <t>Bergvik skog öst AB</t>
        </is>
      </c>
      <c r="G209" t="n">
        <v>1.1</v>
      </c>
      <c r="H209" t="n">
        <v>0</v>
      </c>
      <c r="I209" t="n">
        <v>0</v>
      </c>
      <c r="J209" t="n">
        <v>0</v>
      </c>
      <c r="K209" t="n">
        <v>0</v>
      </c>
      <c r="L209" t="n">
        <v>0</v>
      </c>
      <c r="M209" t="n">
        <v>0</v>
      </c>
      <c r="N209" t="n">
        <v>0</v>
      </c>
      <c r="O209" t="n">
        <v>0</v>
      </c>
      <c r="P209" t="n">
        <v>0</v>
      </c>
      <c r="Q209" t="n">
        <v>0</v>
      </c>
      <c r="R209" s="2" t="inlineStr"/>
    </row>
    <row r="210" ht="15" customHeight="1">
      <c r="A210" t="inlineStr">
        <is>
          <t>A 4566-2025</t>
        </is>
      </c>
      <c r="B210" s="1" t="n">
        <v>45687.46100694445</v>
      </c>
      <c r="C210" s="1" t="n">
        <v>46177</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42238-2023</t>
        </is>
      </c>
      <c r="B211" s="1" t="n">
        <v>45180.34207175926</v>
      </c>
      <c r="C211" s="1" t="n">
        <v>46177</v>
      </c>
      <c r="D211" t="inlineStr">
        <is>
          <t>DALARNAS LÄN</t>
        </is>
      </c>
      <c r="E211" t="inlineStr">
        <is>
          <t>ORSA</t>
        </is>
      </c>
      <c r="F211" t="inlineStr">
        <is>
          <t>Allmännings- och besparingsskogar</t>
        </is>
      </c>
      <c r="G211" t="n">
        <v>0.5</v>
      </c>
      <c r="H211" t="n">
        <v>0</v>
      </c>
      <c r="I211" t="n">
        <v>0</v>
      </c>
      <c r="J211" t="n">
        <v>0</v>
      </c>
      <c r="K211" t="n">
        <v>0</v>
      </c>
      <c r="L211" t="n">
        <v>0</v>
      </c>
      <c r="M211" t="n">
        <v>0</v>
      </c>
      <c r="N211" t="n">
        <v>0</v>
      </c>
      <c r="O211" t="n">
        <v>0</v>
      </c>
      <c r="P211" t="n">
        <v>0</v>
      </c>
      <c r="Q211" t="n">
        <v>0</v>
      </c>
      <c r="R211" s="2" t="inlineStr"/>
    </row>
    <row r="212" ht="15" customHeight="1">
      <c r="A212" t="inlineStr">
        <is>
          <t>A 44904-2024</t>
        </is>
      </c>
      <c r="B212" s="1" t="n">
        <v>45575.38193287037</v>
      </c>
      <c r="C212" s="1" t="n">
        <v>46177</v>
      </c>
      <c r="D212" t="inlineStr">
        <is>
          <t>DALARNAS LÄN</t>
        </is>
      </c>
      <c r="E212" t="inlineStr">
        <is>
          <t>ORSA</t>
        </is>
      </c>
      <c r="F212" t="inlineStr">
        <is>
          <t>Bergvik skog öst AB</t>
        </is>
      </c>
      <c r="G212" t="n">
        <v>1.2</v>
      </c>
      <c r="H212" t="n">
        <v>0</v>
      </c>
      <c r="I212" t="n">
        <v>0</v>
      </c>
      <c r="J212" t="n">
        <v>0</v>
      </c>
      <c r="K212" t="n">
        <v>0</v>
      </c>
      <c r="L212" t="n">
        <v>0</v>
      </c>
      <c r="M212" t="n">
        <v>0</v>
      </c>
      <c r="N212" t="n">
        <v>0</v>
      </c>
      <c r="O212" t="n">
        <v>0</v>
      </c>
      <c r="P212" t="n">
        <v>0</v>
      </c>
      <c r="Q212" t="n">
        <v>0</v>
      </c>
      <c r="R212" s="2" t="inlineStr"/>
    </row>
    <row r="213" ht="15" customHeight="1">
      <c r="A213" t="inlineStr">
        <is>
          <t>A 4738-2025</t>
        </is>
      </c>
      <c r="B213" s="1" t="n">
        <v>45688</v>
      </c>
      <c r="C213" s="1" t="n">
        <v>46177</v>
      </c>
      <c r="D213" t="inlineStr">
        <is>
          <t>DALARNAS LÄN</t>
        </is>
      </c>
      <c r="E213" t="inlineStr">
        <is>
          <t>ORSA</t>
        </is>
      </c>
      <c r="G213" t="n">
        <v>3.7</v>
      </c>
      <c r="H213" t="n">
        <v>0</v>
      </c>
      <c r="I213" t="n">
        <v>0</v>
      </c>
      <c r="J213" t="n">
        <v>0</v>
      </c>
      <c r="K213" t="n">
        <v>0</v>
      </c>
      <c r="L213" t="n">
        <v>0</v>
      </c>
      <c r="M213" t="n">
        <v>0</v>
      </c>
      <c r="N213" t="n">
        <v>0</v>
      </c>
      <c r="O213" t="n">
        <v>0</v>
      </c>
      <c r="P213" t="n">
        <v>0</v>
      </c>
      <c r="Q213" t="n">
        <v>0</v>
      </c>
      <c r="R213" s="2" t="inlineStr"/>
    </row>
    <row r="214" ht="15" customHeight="1">
      <c r="A214" t="inlineStr">
        <is>
          <t>A 7534-2025</t>
        </is>
      </c>
      <c r="B214" s="1" t="n">
        <v>45705.56287037037</v>
      </c>
      <c r="C214" s="1" t="n">
        <v>46177</v>
      </c>
      <c r="D214" t="inlineStr">
        <is>
          <t>DALARNAS LÄN</t>
        </is>
      </c>
      <c r="E214" t="inlineStr">
        <is>
          <t>ORSA</t>
        </is>
      </c>
      <c r="G214" t="n">
        <v>1.1</v>
      </c>
      <c r="H214" t="n">
        <v>0</v>
      </c>
      <c r="I214" t="n">
        <v>0</v>
      </c>
      <c r="J214" t="n">
        <v>0</v>
      </c>
      <c r="K214" t="n">
        <v>0</v>
      </c>
      <c r="L214" t="n">
        <v>0</v>
      </c>
      <c r="M214" t="n">
        <v>0</v>
      </c>
      <c r="N214" t="n">
        <v>0</v>
      </c>
      <c r="O214" t="n">
        <v>0</v>
      </c>
      <c r="P214" t="n">
        <v>0</v>
      </c>
      <c r="Q214" t="n">
        <v>0</v>
      </c>
      <c r="R214" s="2" t="inlineStr"/>
    </row>
    <row r="215" ht="15" customHeight="1">
      <c r="A215" t="inlineStr">
        <is>
          <t>A 31026-2023</t>
        </is>
      </c>
      <c r="B215" s="1" t="n">
        <v>45113.5812962963</v>
      </c>
      <c r="C215" s="1" t="n">
        <v>46177</v>
      </c>
      <c r="D215" t="inlineStr">
        <is>
          <t>DALARNAS LÄN</t>
        </is>
      </c>
      <c r="E215" t="inlineStr">
        <is>
          <t>ORSA</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40111-2025</t>
        </is>
      </c>
      <c r="B216" s="1" t="n">
        <v>45894.49417824074</v>
      </c>
      <c r="C216" s="1" t="n">
        <v>46177</v>
      </c>
      <c r="D216" t="inlineStr">
        <is>
          <t>DALARNAS LÄN</t>
        </is>
      </c>
      <c r="E216" t="inlineStr">
        <is>
          <t>ORSA</t>
        </is>
      </c>
      <c r="F216" t="inlineStr">
        <is>
          <t>Allmännings- och besparingsskogar</t>
        </is>
      </c>
      <c r="G216" t="n">
        <v>18.6</v>
      </c>
      <c r="H216" t="n">
        <v>0</v>
      </c>
      <c r="I216" t="n">
        <v>0</v>
      </c>
      <c r="J216" t="n">
        <v>0</v>
      </c>
      <c r="K216" t="n">
        <v>0</v>
      </c>
      <c r="L216" t="n">
        <v>0</v>
      </c>
      <c r="M216" t="n">
        <v>0</v>
      </c>
      <c r="N216" t="n">
        <v>0</v>
      </c>
      <c r="O216" t="n">
        <v>0</v>
      </c>
      <c r="P216" t="n">
        <v>0</v>
      </c>
      <c r="Q216" t="n">
        <v>0</v>
      </c>
      <c r="R216" s="2" t="inlineStr"/>
    </row>
    <row r="217" ht="15" customHeight="1">
      <c r="A217" t="inlineStr">
        <is>
          <t>A 40070-2025</t>
        </is>
      </c>
      <c r="B217" s="1" t="n">
        <v>45894.44197916667</v>
      </c>
      <c r="C217" s="1" t="n">
        <v>46177</v>
      </c>
      <c r="D217" t="inlineStr">
        <is>
          <t>DALARNAS LÄN</t>
        </is>
      </c>
      <c r="E217" t="inlineStr">
        <is>
          <t>ORSA</t>
        </is>
      </c>
      <c r="F217" t="inlineStr">
        <is>
          <t>Allmännings- och besparingsskogar</t>
        </is>
      </c>
      <c r="G217" t="n">
        <v>22</v>
      </c>
      <c r="H217" t="n">
        <v>0</v>
      </c>
      <c r="I217" t="n">
        <v>0</v>
      </c>
      <c r="J217" t="n">
        <v>0</v>
      </c>
      <c r="K217" t="n">
        <v>0</v>
      </c>
      <c r="L217" t="n">
        <v>0</v>
      </c>
      <c r="M217" t="n">
        <v>0</v>
      </c>
      <c r="N217" t="n">
        <v>0</v>
      </c>
      <c r="O217" t="n">
        <v>0</v>
      </c>
      <c r="P217" t="n">
        <v>0</v>
      </c>
      <c r="Q217" t="n">
        <v>0</v>
      </c>
      <c r="R217" s="2" t="inlineStr"/>
    </row>
    <row r="218" ht="15" customHeight="1">
      <c r="A218" t="inlineStr">
        <is>
          <t>A 32125-2024</t>
        </is>
      </c>
      <c r="B218" s="1" t="n">
        <v>45511</v>
      </c>
      <c r="C218" s="1" t="n">
        <v>46177</v>
      </c>
      <c r="D218" t="inlineStr">
        <is>
          <t>DALARNAS LÄN</t>
        </is>
      </c>
      <c r="E218" t="inlineStr">
        <is>
          <t>ORSA</t>
        </is>
      </c>
      <c r="F218" t="inlineStr">
        <is>
          <t>Allmännings- och besparingsskogar</t>
        </is>
      </c>
      <c r="G218" t="n">
        <v>5.2</v>
      </c>
      <c r="H218" t="n">
        <v>0</v>
      </c>
      <c r="I218" t="n">
        <v>0</v>
      </c>
      <c r="J218" t="n">
        <v>0</v>
      </c>
      <c r="K218" t="n">
        <v>0</v>
      </c>
      <c r="L218" t="n">
        <v>0</v>
      </c>
      <c r="M218" t="n">
        <v>0</v>
      </c>
      <c r="N218" t="n">
        <v>0</v>
      </c>
      <c r="O218" t="n">
        <v>0</v>
      </c>
      <c r="P218" t="n">
        <v>0</v>
      </c>
      <c r="Q218" t="n">
        <v>0</v>
      </c>
      <c r="R218" s="2" t="inlineStr"/>
    </row>
    <row r="219" ht="15" customHeight="1">
      <c r="A219" t="inlineStr">
        <is>
          <t>A 40091-2025</t>
        </is>
      </c>
      <c r="B219" s="1" t="n">
        <v>45894.47822916666</v>
      </c>
      <c r="C219" s="1" t="n">
        <v>46177</v>
      </c>
      <c r="D219" t="inlineStr">
        <is>
          <t>DALARNAS LÄN</t>
        </is>
      </c>
      <c r="E219" t="inlineStr">
        <is>
          <t>ORSA</t>
        </is>
      </c>
      <c r="F219" t="inlineStr">
        <is>
          <t>Allmännings- och besparingsskogar</t>
        </is>
      </c>
      <c r="G219" t="n">
        <v>20.4</v>
      </c>
      <c r="H219" t="n">
        <v>0</v>
      </c>
      <c r="I219" t="n">
        <v>0</v>
      </c>
      <c r="J219" t="n">
        <v>0</v>
      </c>
      <c r="K219" t="n">
        <v>0</v>
      </c>
      <c r="L219" t="n">
        <v>0</v>
      </c>
      <c r="M219" t="n">
        <v>0</v>
      </c>
      <c r="N219" t="n">
        <v>0</v>
      </c>
      <c r="O219" t="n">
        <v>0</v>
      </c>
      <c r="P219" t="n">
        <v>0</v>
      </c>
      <c r="Q219" t="n">
        <v>0</v>
      </c>
      <c r="R219" s="2" t="inlineStr"/>
    </row>
    <row r="220" ht="15" customHeight="1">
      <c r="A220" t="inlineStr">
        <is>
          <t>A 40127-2025</t>
        </is>
      </c>
      <c r="B220" s="1" t="n">
        <v>45894.53300925926</v>
      </c>
      <c r="C220" s="1" t="n">
        <v>46177</v>
      </c>
      <c r="D220" t="inlineStr">
        <is>
          <t>DALARNAS LÄN</t>
        </is>
      </c>
      <c r="E220" t="inlineStr">
        <is>
          <t>ORSA</t>
        </is>
      </c>
      <c r="F220" t="inlineStr">
        <is>
          <t>Allmännings- och besparingsskogar</t>
        </is>
      </c>
      <c r="G220" t="n">
        <v>17.4</v>
      </c>
      <c r="H220" t="n">
        <v>0</v>
      </c>
      <c r="I220" t="n">
        <v>0</v>
      </c>
      <c r="J220" t="n">
        <v>0</v>
      </c>
      <c r="K220" t="n">
        <v>0</v>
      </c>
      <c r="L220" t="n">
        <v>0</v>
      </c>
      <c r="M220" t="n">
        <v>0</v>
      </c>
      <c r="N220" t="n">
        <v>0</v>
      </c>
      <c r="O220" t="n">
        <v>0</v>
      </c>
      <c r="P220" t="n">
        <v>0</v>
      </c>
      <c r="Q220" t="n">
        <v>0</v>
      </c>
      <c r="R220" s="2" t="inlineStr"/>
    </row>
    <row r="221" ht="15" customHeight="1">
      <c r="A221" t="inlineStr">
        <is>
          <t>A 63371-2023</t>
        </is>
      </c>
      <c r="B221" s="1" t="n">
        <v>45274.47642361111</v>
      </c>
      <c r="C221" s="1" t="n">
        <v>46177</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22022-2022</t>
        </is>
      </c>
      <c r="B222" s="1" t="n">
        <v>44711.60145833333</v>
      </c>
      <c r="C222" s="1" t="n">
        <v>46177</v>
      </c>
      <c r="D222" t="inlineStr">
        <is>
          <t>DALARNAS LÄN</t>
        </is>
      </c>
      <c r="E222" t="inlineStr">
        <is>
          <t>ORSA</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40577-2025</t>
        </is>
      </c>
      <c r="B223" s="1" t="n">
        <v>45896.51028935185</v>
      </c>
      <c r="C223" s="1" t="n">
        <v>46177</v>
      </c>
      <c r="D223" t="inlineStr">
        <is>
          <t>DALARNAS LÄN</t>
        </is>
      </c>
      <c r="E223" t="inlineStr">
        <is>
          <t>ORSA</t>
        </is>
      </c>
      <c r="F223" t="inlineStr">
        <is>
          <t>Allmännings- och besparingsskogar</t>
        </is>
      </c>
      <c r="G223" t="n">
        <v>13.8</v>
      </c>
      <c r="H223" t="n">
        <v>0</v>
      </c>
      <c r="I223" t="n">
        <v>0</v>
      </c>
      <c r="J223" t="n">
        <v>0</v>
      </c>
      <c r="K223" t="n">
        <v>0</v>
      </c>
      <c r="L223" t="n">
        <v>0</v>
      </c>
      <c r="M223" t="n">
        <v>0</v>
      </c>
      <c r="N223" t="n">
        <v>0</v>
      </c>
      <c r="O223" t="n">
        <v>0</v>
      </c>
      <c r="P223" t="n">
        <v>0</v>
      </c>
      <c r="Q223" t="n">
        <v>0</v>
      </c>
      <c r="R223" s="2" t="inlineStr"/>
    </row>
    <row r="224" ht="15" customHeight="1">
      <c r="A224" t="inlineStr">
        <is>
          <t>A 52816-2024</t>
        </is>
      </c>
      <c r="B224" s="1" t="n">
        <v>45610.58322916667</v>
      </c>
      <c r="C224" s="1" t="n">
        <v>46177</v>
      </c>
      <c r="D224" t="inlineStr">
        <is>
          <t>DALARNAS LÄN</t>
        </is>
      </c>
      <c r="E224" t="inlineStr">
        <is>
          <t>ORSA</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51563-2023</t>
        </is>
      </c>
      <c r="B225" s="1" t="n">
        <v>45222</v>
      </c>
      <c r="C225" s="1" t="n">
        <v>46177</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42517-2024</t>
        </is>
      </c>
      <c r="B226" s="1" t="n">
        <v>45565.54078703704</v>
      </c>
      <c r="C226" s="1" t="n">
        <v>46177</v>
      </c>
      <c r="D226" t="inlineStr">
        <is>
          <t>DALARNAS LÄN</t>
        </is>
      </c>
      <c r="E226" t="inlineStr">
        <is>
          <t>ORSA</t>
        </is>
      </c>
      <c r="G226" t="n">
        <v>3</v>
      </c>
      <c r="H226" t="n">
        <v>0</v>
      </c>
      <c r="I226" t="n">
        <v>0</v>
      </c>
      <c r="J226" t="n">
        <v>0</v>
      </c>
      <c r="K226" t="n">
        <v>0</v>
      </c>
      <c r="L226" t="n">
        <v>0</v>
      </c>
      <c r="M226" t="n">
        <v>0</v>
      </c>
      <c r="N226" t="n">
        <v>0</v>
      </c>
      <c r="O226" t="n">
        <v>0</v>
      </c>
      <c r="P226" t="n">
        <v>0</v>
      </c>
      <c r="Q226" t="n">
        <v>0</v>
      </c>
      <c r="R226" s="2" t="inlineStr"/>
    </row>
    <row r="227" ht="15" customHeight="1">
      <c r="A227" t="inlineStr">
        <is>
          <t>A 28082-2023</t>
        </is>
      </c>
      <c r="B227" s="1" t="n">
        <v>45099</v>
      </c>
      <c r="C227" s="1" t="n">
        <v>46177</v>
      </c>
      <c r="D227" t="inlineStr">
        <is>
          <t>DALARNAS LÄN</t>
        </is>
      </c>
      <c r="E227" t="inlineStr">
        <is>
          <t>ORSA</t>
        </is>
      </c>
      <c r="G227" t="n">
        <v>0.4</v>
      </c>
      <c r="H227" t="n">
        <v>0</v>
      </c>
      <c r="I227" t="n">
        <v>0</v>
      </c>
      <c r="J227" t="n">
        <v>0</v>
      </c>
      <c r="K227" t="n">
        <v>0</v>
      </c>
      <c r="L227" t="n">
        <v>0</v>
      </c>
      <c r="M227" t="n">
        <v>0</v>
      </c>
      <c r="N227" t="n">
        <v>0</v>
      </c>
      <c r="O227" t="n">
        <v>0</v>
      </c>
      <c r="P227" t="n">
        <v>0</v>
      </c>
      <c r="Q227" t="n">
        <v>0</v>
      </c>
      <c r="R227" s="2" t="inlineStr"/>
    </row>
    <row r="228" ht="15" customHeight="1">
      <c r="A228" t="inlineStr">
        <is>
          <t>A 2717-2024</t>
        </is>
      </c>
      <c r="B228" s="1" t="n">
        <v>45314.49222222222</v>
      </c>
      <c r="C228" s="1" t="n">
        <v>46177</v>
      </c>
      <c r="D228" t="inlineStr">
        <is>
          <t>DALARNAS LÄN</t>
        </is>
      </c>
      <c r="E228" t="inlineStr">
        <is>
          <t>ORSA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56887-2024</t>
        </is>
      </c>
      <c r="B229" s="1" t="n">
        <v>45628.57388888889</v>
      </c>
      <c r="C229" s="1" t="n">
        <v>46177</v>
      </c>
      <c r="D229" t="inlineStr">
        <is>
          <t>DALARNAS LÄN</t>
        </is>
      </c>
      <c r="E229" t="inlineStr">
        <is>
          <t>ORSA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42513-2024</t>
        </is>
      </c>
      <c r="B230" s="1" t="n">
        <v>45565.53810185185</v>
      </c>
      <c r="C230" s="1" t="n">
        <v>46177</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22491-2025</t>
        </is>
      </c>
      <c r="B231" s="1" t="n">
        <v>45786.65040509259</v>
      </c>
      <c r="C231" s="1" t="n">
        <v>46177</v>
      </c>
      <c r="D231" t="inlineStr">
        <is>
          <t>DALARNAS LÄN</t>
        </is>
      </c>
      <c r="E231" t="inlineStr">
        <is>
          <t>ORSA</t>
        </is>
      </c>
      <c r="F231" t="inlineStr">
        <is>
          <t>Bergvik skog öst AB</t>
        </is>
      </c>
      <c r="G231" t="n">
        <v>5.7</v>
      </c>
      <c r="H231" t="n">
        <v>0</v>
      </c>
      <c r="I231" t="n">
        <v>0</v>
      </c>
      <c r="J231" t="n">
        <v>0</v>
      </c>
      <c r="K231" t="n">
        <v>0</v>
      </c>
      <c r="L231" t="n">
        <v>0</v>
      </c>
      <c r="M231" t="n">
        <v>0</v>
      </c>
      <c r="N231" t="n">
        <v>0</v>
      </c>
      <c r="O231" t="n">
        <v>0</v>
      </c>
      <c r="P231" t="n">
        <v>0</v>
      </c>
      <c r="Q231" t="n">
        <v>0</v>
      </c>
      <c r="R231" s="2" t="inlineStr"/>
    </row>
    <row r="232" ht="15" customHeight="1">
      <c r="A232" t="inlineStr">
        <is>
          <t>A 47778-2021</t>
        </is>
      </c>
      <c r="B232" s="1" t="n">
        <v>44448</v>
      </c>
      <c r="C232" s="1" t="n">
        <v>46177</v>
      </c>
      <c r="D232" t="inlineStr">
        <is>
          <t>DALARNAS LÄN</t>
        </is>
      </c>
      <c r="E232" t="inlineStr">
        <is>
          <t>ORSA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47564-2023</t>
        </is>
      </c>
      <c r="B233" s="1" t="n">
        <v>45203.40004629629</v>
      </c>
      <c r="C233" s="1" t="n">
        <v>46177</v>
      </c>
      <c r="D233" t="inlineStr">
        <is>
          <t>DALARNAS LÄN</t>
        </is>
      </c>
      <c r="E233" t="inlineStr">
        <is>
          <t>ORSA</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23056-2025</t>
        </is>
      </c>
      <c r="B234" s="1" t="n">
        <v>45790.73627314815</v>
      </c>
      <c r="C234" s="1" t="n">
        <v>46177</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23055-2025</t>
        </is>
      </c>
      <c r="B235" s="1" t="n">
        <v>45790.73469907408</v>
      </c>
      <c r="C235" s="1" t="n">
        <v>46177</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23015-2025</t>
        </is>
      </c>
      <c r="B236" s="1" t="n">
        <v>45790.6377662037</v>
      </c>
      <c r="C236" s="1" t="n">
        <v>46177</v>
      </c>
      <c r="D236" t="inlineStr">
        <is>
          <t>DALARNAS LÄN</t>
        </is>
      </c>
      <c r="E236" t="inlineStr">
        <is>
          <t>ORSA</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41666-2025</t>
        </is>
      </c>
      <c r="B237" s="1" t="n">
        <v>45902.35822916667</v>
      </c>
      <c r="C237" s="1" t="n">
        <v>46177</v>
      </c>
      <c r="D237" t="inlineStr">
        <is>
          <t>DALARNAS LÄN</t>
        </is>
      </c>
      <c r="E237" t="inlineStr">
        <is>
          <t>ORSA</t>
        </is>
      </c>
      <c r="G237" t="n">
        <v>1.4</v>
      </c>
      <c r="H237" t="n">
        <v>0</v>
      </c>
      <c r="I237" t="n">
        <v>0</v>
      </c>
      <c r="J237" t="n">
        <v>0</v>
      </c>
      <c r="K237" t="n">
        <v>0</v>
      </c>
      <c r="L237" t="n">
        <v>0</v>
      </c>
      <c r="M237" t="n">
        <v>0</v>
      </c>
      <c r="N237" t="n">
        <v>0</v>
      </c>
      <c r="O237" t="n">
        <v>0</v>
      </c>
      <c r="P237" t="n">
        <v>0</v>
      </c>
      <c r="Q237" t="n">
        <v>0</v>
      </c>
      <c r="R237" s="2" t="inlineStr"/>
    </row>
    <row r="238" ht="15" customHeight="1">
      <c r="A238" t="inlineStr">
        <is>
          <t>A 23053-2025</t>
        </is>
      </c>
      <c r="B238" s="1" t="n">
        <v>45790.73072916667</v>
      </c>
      <c r="C238" s="1" t="n">
        <v>46177</v>
      </c>
      <c r="D238" t="inlineStr">
        <is>
          <t>DALARNAS LÄN</t>
        </is>
      </c>
      <c r="E238" t="inlineStr">
        <is>
          <t>ORSA</t>
        </is>
      </c>
      <c r="G238" t="n">
        <v>3.3</v>
      </c>
      <c r="H238" t="n">
        <v>0</v>
      </c>
      <c r="I238" t="n">
        <v>0</v>
      </c>
      <c r="J238" t="n">
        <v>0</v>
      </c>
      <c r="K238" t="n">
        <v>0</v>
      </c>
      <c r="L238" t="n">
        <v>0</v>
      </c>
      <c r="M238" t="n">
        <v>0</v>
      </c>
      <c r="N238" t="n">
        <v>0</v>
      </c>
      <c r="O238" t="n">
        <v>0</v>
      </c>
      <c r="P238" t="n">
        <v>0</v>
      </c>
      <c r="Q238" t="n">
        <v>0</v>
      </c>
      <c r="R238" s="2" t="inlineStr"/>
    </row>
    <row r="239" ht="15" customHeight="1">
      <c r="A239" t="inlineStr">
        <is>
          <t>A 62289-2023</t>
        </is>
      </c>
      <c r="B239" s="1" t="n">
        <v>45266</v>
      </c>
      <c r="C239" s="1" t="n">
        <v>46177</v>
      </c>
      <c r="D239" t="inlineStr">
        <is>
          <t>DALARNAS LÄN</t>
        </is>
      </c>
      <c r="E239" t="inlineStr">
        <is>
          <t>ORSA</t>
        </is>
      </c>
      <c r="G239" t="n">
        <v>1.9</v>
      </c>
      <c r="H239" t="n">
        <v>0</v>
      </c>
      <c r="I239" t="n">
        <v>0</v>
      </c>
      <c r="J239" t="n">
        <v>0</v>
      </c>
      <c r="K239" t="n">
        <v>0</v>
      </c>
      <c r="L239" t="n">
        <v>0</v>
      </c>
      <c r="M239" t="n">
        <v>0</v>
      </c>
      <c r="N239" t="n">
        <v>0</v>
      </c>
      <c r="O239" t="n">
        <v>0</v>
      </c>
      <c r="P239" t="n">
        <v>0</v>
      </c>
      <c r="Q239" t="n">
        <v>0</v>
      </c>
      <c r="R239" s="2" t="inlineStr"/>
    </row>
    <row r="240" ht="15" customHeight="1">
      <c r="A240" t="inlineStr">
        <is>
          <t>A 58549-2023</t>
        </is>
      </c>
      <c r="B240" s="1" t="n">
        <v>45251.42627314815</v>
      </c>
      <c r="C240" s="1" t="n">
        <v>46177</v>
      </c>
      <c r="D240" t="inlineStr">
        <is>
          <t>DALARNAS LÄN</t>
        </is>
      </c>
      <c r="E240" t="inlineStr">
        <is>
          <t>ORSA</t>
        </is>
      </c>
      <c r="G240" t="n">
        <v>0.9</v>
      </c>
      <c r="H240" t="n">
        <v>0</v>
      </c>
      <c r="I240" t="n">
        <v>0</v>
      </c>
      <c r="J240" t="n">
        <v>0</v>
      </c>
      <c r="K240" t="n">
        <v>0</v>
      </c>
      <c r="L240" t="n">
        <v>0</v>
      </c>
      <c r="M240" t="n">
        <v>0</v>
      </c>
      <c r="N240" t="n">
        <v>0</v>
      </c>
      <c r="O240" t="n">
        <v>0</v>
      </c>
      <c r="P240" t="n">
        <v>0</v>
      </c>
      <c r="Q240" t="n">
        <v>0</v>
      </c>
      <c r="R240" s="2" t="inlineStr"/>
    </row>
    <row r="241" ht="15" customHeight="1">
      <c r="A241" t="inlineStr">
        <is>
          <t>A 41919-2025</t>
        </is>
      </c>
      <c r="B241" s="1" t="n">
        <v>45903.42372685186</v>
      </c>
      <c r="C241" s="1" t="n">
        <v>46177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41927-2025</t>
        </is>
      </c>
      <c r="B242" s="1" t="n">
        <v>45903.4290625</v>
      </c>
      <c r="C242" s="1" t="n">
        <v>46177</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597-2024</t>
        </is>
      </c>
      <c r="B243" s="1" t="n">
        <v>45299.63410879629</v>
      </c>
      <c r="C243" s="1" t="n">
        <v>46177</v>
      </c>
      <c r="D243" t="inlineStr">
        <is>
          <t>DALARNAS LÄN</t>
        </is>
      </c>
      <c r="E243" t="inlineStr">
        <is>
          <t>ORSA</t>
        </is>
      </c>
      <c r="G243" t="n">
        <v>4.4</v>
      </c>
      <c r="H243" t="n">
        <v>0</v>
      </c>
      <c r="I243" t="n">
        <v>0</v>
      </c>
      <c r="J243" t="n">
        <v>0</v>
      </c>
      <c r="K243" t="n">
        <v>0</v>
      </c>
      <c r="L243" t="n">
        <v>0</v>
      </c>
      <c r="M243" t="n">
        <v>0</v>
      </c>
      <c r="N243" t="n">
        <v>0</v>
      </c>
      <c r="O243" t="n">
        <v>0</v>
      </c>
      <c r="P243" t="n">
        <v>0</v>
      </c>
      <c r="Q243" t="n">
        <v>0</v>
      </c>
      <c r="R243" s="2" t="inlineStr"/>
    </row>
    <row r="244" ht="15" customHeight="1">
      <c r="A244" t="inlineStr">
        <is>
          <t>A 15772-2025</t>
        </is>
      </c>
      <c r="B244" s="1" t="n">
        <v>45748.59069444444</v>
      </c>
      <c r="C244" s="1" t="n">
        <v>46177</v>
      </c>
      <c r="D244" t="inlineStr">
        <is>
          <t>DALARNAS LÄN</t>
        </is>
      </c>
      <c r="E244" t="inlineStr">
        <is>
          <t>ORSA</t>
        </is>
      </c>
      <c r="F244" t="inlineStr">
        <is>
          <t>Bergvik skog öst AB</t>
        </is>
      </c>
      <c r="G244" t="n">
        <v>3.8</v>
      </c>
      <c r="H244" t="n">
        <v>0</v>
      </c>
      <c r="I244" t="n">
        <v>0</v>
      </c>
      <c r="J244" t="n">
        <v>0</v>
      </c>
      <c r="K244" t="n">
        <v>0</v>
      </c>
      <c r="L244" t="n">
        <v>0</v>
      </c>
      <c r="M244" t="n">
        <v>0</v>
      </c>
      <c r="N244" t="n">
        <v>0</v>
      </c>
      <c r="O244" t="n">
        <v>0</v>
      </c>
      <c r="P244" t="n">
        <v>0</v>
      </c>
      <c r="Q244" t="n">
        <v>0</v>
      </c>
      <c r="R244" s="2" t="inlineStr"/>
    </row>
    <row r="245" ht="15" customHeight="1">
      <c r="A245" t="inlineStr">
        <is>
          <t>A 53229-2023</t>
        </is>
      </c>
      <c r="B245" s="1" t="n">
        <v>45229.48306712963</v>
      </c>
      <c r="C245" s="1" t="n">
        <v>46177</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55538-2023</t>
        </is>
      </c>
      <c r="B246" s="1" t="n">
        <v>45238.5996875</v>
      </c>
      <c r="C246" s="1" t="n">
        <v>46177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41991-2025</t>
        </is>
      </c>
      <c r="B247" s="1" t="n">
        <v>45903.54532407408</v>
      </c>
      <c r="C247" s="1" t="n">
        <v>46177</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42226-2025</t>
        </is>
      </c>
      <c r="B248" s="1" t="n">
        <v>45904.53831018518</v>
      </c>
      <c r="C248" s="1" t="n">
        <v>46177</v>
      </c>
      <c r="D248" t="inlineStr">
        <is>
          <t>DALARNAS LÄN</t>
        </is>
      </c>
      <c r="E248" t="inlineStr">
        <is>
          <t>ORSA</t>
        </is>
      </c>
      <c r="F248" t="inlineStr">
        <is>
          <t>Allmännings- och besparingsskogar</t>
        </is>
      </c>
      <c r="G248" t="n">
        <v>18</v>
      </c>
      <c r="H248" t="n">
        <v>0</v>
      </c>
      <c r="I248" t="n">
        <v>0</v>
      </c>
      <c r="J248" t="n">
        <v>0</v>
      </c>
      <c r="K248" t="n">
        <v>0</v>
      </c>
      <c r="L248" t="n">
        <v>0</v>
      </c>
      <c r="M248" t="n">
        <v>0</v>
      </c>
      <c r="N248" t="n">
        <v>0</v>
      </c>
      <c r="O248" t="n">
        <v>0</v>
      </c>
      <c r="P248" t="n">
        <v>0</v>
      </c>
      <c r="Q248" t="n">
        <v>0</v>
      </c>
      <c r="R248" s="2" t="inlineStr"/>
    </row>
    <row r="249" ht="15" customHeight="1">
      <c r="A249" t="inlineStr">
        <is>
          <t>A 5302-2024</t>
        </is>
      </c>
      <c r="B249" s="1" t="n">
        <v>45331.38175925926</v>
      </c>
      <c r="C249" s="1" t="n">
        <v>46177</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23740-2025</t>
        </is>
      </c>
      <c r="B250" s="1" t="n">
        <v>45793.43210648148</v>
      </c>
      <c r="C250" s="1" t="n">
        <v>46177</v>
      </c>
      <c r="D250" t="inlineStr">
        <is>
          <t>DALARNAS LÄN</t>
        </is>
      </c>
      <c r="E250" t="inlineStr">
        <is>
          <t>ORSA</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41971-2025</t>
        </is>
      </c>
      <c r="B251" s="1" t="n">
        <v>45903.48930555556</v>
      </c>
      <c r="C251" s="1" t="n">
        <v>46177</v>
      </c>
      <c r="D251" t="inlineStr">
        <is>
          <t>DALARNAS LÄN</t>
        </is>
      </c>
      <c r="E251" t="inlineStr">
        <is>
          <t>ORSA</t>
        </is>
      </c>
      <c r="G251" t="n">
        <v>15.8</v>
      </c>
      <c r="H251" t="n">
        <v>0</v>
      </c>
      <c r="I251" t="n">
        <v>0</v>
      </c>
      <c r="J251" t="n">
        <v>0</v>
      </c>
      <c r="K251" t="n">
        <v>0</v>
      </c>
      <c r="L251" t="n">
        <v>0</v>
      </c>
      <c r="M251" t="n">
        <v>0</v>
      </c>
      <c r="N251" t="n">
        <v>0</v>
      </c>
      <c r="O251" t="n">
        <v>0</v>
      </c>
      <c r="P251" t="n">
        <v>0</v>
      </c>
      <c r="Q251" t="n">
        <v>0</v>
      </c>
      <c r="R251" s="2" t="inlineStr"/>
    </row>
    <row r="252" ht="15" customHeight="1">
      <c r="A252" t="inlineStr">
        <is>
          <t>A 15113-2025</t>
        </is>
      </c>
      <c r="B252" s="1" t="n">
        <v>45744.36179398148</v>
      </c>
      <c r="C252" s="1" t="n">
        <v>46177</v>
      </c>
      <c r="D252" t="inlineStr">
        <is>
          <t>DALARNAS LÄN</t>
        </is>
      </c>
      <c r="E252" t="inlineStr">
        <is>
          <t>ORSA</t>
        </is>
      </c>
      <c r="F252" t="inlineStr">
        <is>
          <t>Allmännings- och besparingsskogar</t>
        </is>
      </c>
      <c r="G252" t="n">
        <v>3.3</v>
      </c>
      <c r="H252" t="n">
        <v>0</v>
      </c>
      <c r="I252" t="n">
        <v>0</v>
      </c>
      <c r="J252" t="n">
        <v>0</v>
      </c>
      <c r="K252" t="n">
        <v>0</v>
      </c>
      <c r="L252" t="n">
        <v>0</v>
      </c>
      <c r="M252" t="n">
        <v>0</v>
      </c>
      <c r="N252" t="n">
        <v>0</v>
      </c>
      <c r="O252" t="n">
        <v>0</v>
      </c>
      <c r="P252" t="n">
        <v>0</v>
      </c>
      <c r="Q252" t="n">
        <v>0</v>
      </c>
      <c r="R252" s="2" t="inlineStr"/>
    </row>
    <row r="253" ht="15" customHeight="1">
      <c r="A253" t="inlineStr">
        <is>
          <t>A 23875-2025</t>
        </is>
      </c>
      <c r="B253" s="1" t="n">
        <v>45793.68313657407</v>
      </c>
      <c r="C253" s="1" t="n">
        <v>46177</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70332-2021</t>
        </is>
      </c>
      <c r="B254" s="1" t="n">
        <v>44536</v>
      </c>
      <c r="C254" s="1" t="n">
        <v>46177</v>
      </c>
      <c r="D254" t="inlineStr">
        <is>
          <t>DALARNAS LÄN</t>
        </is>
      </c>
      <c r="E254" t="inlineStr">
        <is>
          <t>ORSA</t>
        </is>
      </c>
      <c r="G254" t="n">
        <v>7.2</v>
      </c>
      <c r="H254" t="n">
        <v>0</v>
      </c>
      <c r="I254" t="n">
        <v>0</v>
      </c>
      <c r="J254" t="n">
        <v>0</v>
      </c>
      <c r="K254" t="n">
        <v>0</v>
      </c>
      <c r="L254" t="n">
        <v>0</v>
      </c>
      <c r="M254" t="n">
        <v>0</v>
      </c>
      <c r="N254" t="n">
        <v>0</v>
      </c>
      <c r="O254" t="n">
        <v>0</v>
      </c>
      <c r="P254" t="n">
        <v>0</v>
      </c>
      <c r="Q254" t="n">
        <v>0</v>
      </c>
      <c r="R254" s="2" t="inlineStr"/>
    </row>
    <row r="255" ht="15" customHeight="1">
      <c r="A255" t="inlineStr">
        <is>
          <t>A 1785-2024</t>
        </is>
      </c>
      <c r="B255" s="1" t="n">
        <v>45307</v>
      </c>
      <c r="C255" s="1" t="n">
        <v>46177</v>
      </c>
      <c r="D255" t="inlineStr">
        <is>
          <t>DALARNAS LÄN</t>
        </is>
      </c>
      <c r="E255" t="inlineStr">
        <is>
          <t>ORSA</t>
        </is>
      </c>
      <c r="G255" t="n">
        <v>42.8</v>
      </c>
      <c r="H255" t="n">
        <v>0</v>
      </c>
      <c r="I255" t="n">
        <v>0</v>
      </c>
      <c r="J255" t="n">
        <v>0</v>
      </c>
      <c r="K255" t="n">
        <v>0</v>
      </c>
      <c r="L255" t="n">
        <v>0</v>
      </c>
      <c r="M255" t="n">
        <v>0</v>
      </c>
      <c r="N255" t="n">
        <v>0</v>
      </c>
      <c r="O255" t="n">
        <v>0</v>
      </c>
      <c r="P255" t="n">
        <v>0</v>
      </c>
      <c r="Q255" t="n">
        <v>0</v>
      </c>
      <c r="R255" s="2" t="inlineStr"/>
    </row>
    <row r="256" ht="15" customHeight="1">
      <c r="A256" t="inlineStr">
        <is>
          <t>A 42346-2022</t>
        </is>
      </c>
      <c r="B256" s="1" t="n">
        <v>44831.35561342593</v>
      </c>
      <c r="C256" s="1" t="n">
        <v>46177</v>
      </c>
      <c r="D256" t="inlineStr">
        <is>
          <t>DALARNAS LÄN</t>
        </is>
      </c>
      <c r="E256" t="inlineStr">
        <is>
          <t>ORSA</t>
        </is>
      </c>
      <c r="G256" t="n">
        <v>2.4</v>
      </c>
      <c r="H256" t="n">
        <v>0</v>
      </c>
      <c r="I256" t="n">
        <v>0</v>
      </c>
      <c r="J256" t="n">
        <v>0</v>
      </c>
      <c r="K256" t="n">
        <v>0</v>
      </c>
      <c r="L256" t="n">
        <v>0</v>
      </c>
      <c r="M256" t="n">
        <v>0</v>
      </c>
      <c r="N256" t="n">
        <v>0</v>
      </c>
      <c r="O256" t="n">
        <v>0</v>
      </c>
      <c r="P256" t="n">
        <v>0</v>
      </c>
      <c r="Q256" t="n">
        <v>0</v>
      </c>
      <c r="R256" s="2" t="inlineStr"/>
    </row>
    <row r="257" ht="15" customHeight="1">
      <c r="A257" t="inlineStr">
        <is>
          <t>A 1624-2024</t>
        </is>
      </c>
      <c r="B257" s="1" t="n">
        <v>45306</v>
      </c>
      <c r="C257" s="1" t="n">
        <v>46177</v>
      </c>
      <c r="D257" t="inlineStr">
        <is>
          <t>DALARNAS LÄN</t>
        </is>
      </c>
      <c r="E257" t="inlineStr">
        <is>
          <t>ORSA</t>
        </is>
      </c>
      <c r="G257" t="n">
        <v>1.9</v>
      </c>
      <c r="H257" t="n">
        <v>0</v>
      </c>
      <c r="I257" t="n">
        <v>0</v>
      </c>
      <c r="J257" t="n">
        <v>0</v>
      </c>
      <c r="K257" t="n">
        <v>0</v>
      </c>
      <c r="L257" t="n">
        <v>0</v>
      </c>
      <c r="M257" t="n">
        <v>0</v>
      </c>
      <c r="N257" t="n">
        <v>0</v>
      </c>
      <c r="O257" t="n">
        <v>0</v>
      </c>
      <c r="P257" t="n">
        <v>0</v>
      </c>
      <c r="Q257" t="n">
        <v>0</v>
      </c>
      <c r="R257" s="2" t="inlineStr"/>
    </row>
    <row r="258" ht="15" customHeight="1">
      <c r="A258" t="inlineStr">
        <is>
          <t>A 27240-2025</t>
        </is>
      </c>
      <c r="B258" s="1" t="n">
        <v>45812.45170138889</v>
      </c>
      <c r="C258" s="1" t="n">
        <v>46177</v>
      </c>
      <c r="D258" t="inlineStr">
        <is>
          <t>DALARNAS LÄN</t>
        </is>
      </c>
      <c r="E258" t="inlineStr">
        <is>
          <t>ORSA</t>
        </is>
      </c>
      <c r="F258" t="inlineStr">
        <is>
          <t>Bergvik skog öst AB</t>
        </is>
      </c>
      <c r="G258" t="n">
        <v>6.8</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46177</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53703-2024</t>
        </is>
      </c>
      <c r="B260" s="1" t="n">
        <v>45615.3990162037</v>
      </c>
      <c r="C260" s="1" t="n">
        <v>46177</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52925-2024</t>
        </is>
      </c>
      <c r="B261" s="1" t="n">
        <v>45610.73276620371</v>
      </c>
      <c r="C261" s="1" t="n">
        <v>46177</v>
      </c>
      <c r="D261" t="inlineStr">
        <is>
          <t>DALARNAS LÄN</t>
        </is>
      </c>
      <c r="E261" t="inlineStr">
        <is>
          <t>ORSA</t>
        </is>
      </c>
      <c r="F261" t="inlineStr">
        <is>
          <t>Allmännings- och besparingsskogar</t>
        </is>
      </c>
      <c r="G261" t="n">
        <v>2.5</v>
      </c>
      <c r="H261" t="n">
        <v>0</v>
      </c>
      <c r="I261" t="n">
        <v>0</v>
      </c>
      <c r="J261" t="n">
        <v>0</v>
      </c>
      <c r="K261" t="n">
        <v>0</v>
      </c>
      <c r="L261" t="n">
        <v>0</v>
      </c>
      <c r="M261" t="n">
        <v>0</v>
      </c>
      <c r="N261" t="n">
        <v>0</v>
      </c>
      <c r="O261" t="n">
        <v>0</v>
      </c>
      <c r="P261" t="n">
        <v>0</v>
      </c>
      <c r="Q261" t="n">
        <v>0</v>
      </c>
      <c r="R261" s="2" t="inlineStr"/>
    </row>
    <row r="262" ht="15" customHeight="1">
      <c r="A262" t="inlineStr">
        <is>
          <t>A 5434-2025</t>
        </is>
      </c>
      <c r="B262" s="1" t="n">
        <v>45692</v>
      </c>
      <c r="C262" s="1" t="n">
        <v>46177</v>
      </c>
      <c r="D262" t="inlineStr">
        <is>
          <t>DALARNAS LÄN</t>
        </is>
      </c>
      <c r="E262" t="inlineStr">
        <is>
          <t>ORSA</t>
        </is>
      </c>
      <c r="G262" t="n">
        <v>6.9</v>
      </c>
      <c r="H262" t="n">
        <v>0</v>
      </c>
      <c r="I262" t="n">
        <v>0</v>
      </c>
      <c r="J262" t="n">
        <v>0</v>
      </c>
      <c r="K262" t="n">
        <v>0</v>
      </c>
      <c r="L262" t="n">
        <v>0</v>
      </c>
      <c r="M262" t="n">
        <v>0</v>
      </c>
      <c r="N262" t="n">
        <v>0</v>
      </c>
      <c r="O262" t="n">
        <v>0</v>
      </c>
      <c r="P262" t="n">
        <v>0</v>
      </c>
      <c r="Q262" t="n">
        <v>0</v>
      </c>
      <c r="R262" s="2" t="inlineStr"/>
    </row>
    <row r="263" ht="15" customHeight="1">
      <c r="A263" t="inlineStr">
        <is>
          <t>A 6097-2025</t>
        </is>
      </c>
      <c r="B263" s="1" t="n">
        <v>45697</v>
      </c>
      <c r="C263" s="1" t="n">
        <v>46177</v>
      </c>
      <c r="D263" t="inlineStr">
        <is>
          <t>DALARNAS LÄN</t>
        </is>
      </c>
      <c r="E263" t="inlineStr">
        <is>
          <t>ORSA</t>
        </is>
      </c>
      <c r="G263" t="n">
        <v>11.1</v>
      </c>
      <c r="H263" t="n">
        <v>0</v>
      </c>
      <c r="I263" t="n">
        <v>0</v>
      </c>
      <c r="J263" t="n">
        <v>0</v>
      </c>
      <c r="K263" t="n">
        <v>0</v>
      </c>
      <c r="L263" t="n">
        <v>0</v>
      </c>
      <c r="M263" t="n">
        <v>0</v>
      </c>
      <c r="N263" t="n">
        <v>0</v>
      </c>
      <c r="O263" t="n">
        <v>0</v>
      </c>
      <c r="P263" t="n">
        <v>0</v>
      </c>
      <c r="Q263" t="n">
        <v>0</v>
      </c>
      <c r="R263" s="2" t="inlineStr"/>
    </row>
    <row r="264" ht="15" customHeight="1">
      <c r="A264" t="inlineStr">
        <is>
          <t>A 40101-2024</t>
        </is>
      </c>
      <c r="B264" s="1" t="n">
        <v>45554.42622685185</v>
      </c>
      <c r="C264" s="1" t="n">
        <v>46177</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19108-2025</t>
        </is>
      </c>
      <c r="B265" s="1" t="n">
        <v>45768</v>
      </c>
      <c r="C265" s="1" t="n">
        <v>46177</v>
      </c>
      <c r="D265" t="inlineStr">
        <is>
          <t>DALARNAS LÄN</t>
        </is>
      </c>
      <c r="E265" t="inlineStr">
        <is>
          <t>ORSA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24235-2025</t>
        </is>
      </c>
      <c r="B266" s="1" t="n">
        <v>45797.38252314815</v>
      </c>
      <c r="C266" s="1" t="n">
        <v>46177</v>
      </c>
      <c r="D266" t="inlineStr">
        <is>
          <t>DALARNAS LÄN</t>
        </is>
      </c>
      <c r="E266" t="inlineStr">
        <is>
          <t>ORSA</t>
        </is>
      </c>
      <c r="G266" t="n">
        <v>3.1</v>
      </c>
      <c r="H266" t="n">
        <v>0</v>
      </c>
      <c r="I266" t="n">
        <v>0</v>
      </c>
      <c r="J266" t="n">
        <v>0</v>
      </c>
      <c r="K266" t="n">
        <v>0</v>
      </c>
      <c r="L266" t="n">
        <v>0</v>
      </c>
      <c r="M266" t="n">
        <v>0</v>
      </c>
      <c r="N266" t="n">
        <v>0</v>
      </c>
      <c r="O266" t="n">
        <v>0</v>
      </c>
      <c r="P266" t="n">
        <v>0</v>
      </c>
      <c r="Q266" t="n">
        <v>0</v>
      </c>
      <c r="R266" s="2" t="inlineStr"/>
    </row>
    <row r="267" ht="15" customHeight="1">
      <c r="A267" t="inlineStr">
        <is>
          <t>A 593-2024</t>
        </is>
      </c>
      <c r="B267" s="1" t="n">
        <v>45299.63049768518</v>
      </c>
      <c r="C267" s="1" t="n">
        <v>46177</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43778-2025</t>
        </is>
      </c>
      <c r="B268" s="1" t="n">
        <v>45912.5147337963</v>
      </c>
      <c r="C268" s="1" t="n">
        <v>46177</v>
      </c>
      <c r="D268" t="inlineStr">
        <is>
          <t>DALARNAS LÄN</t>
        </is>
      </c>
      <c r="E268" t="inlineStr">
        <is>
          <t>ORSA</t>
        </is>
      </c>
      <c r="G268" t="n">
        <v>1.1</v>
      </c>
      <c r="H268" t="n">
        <v>0</v>
      </c>
      <c r="I268" t="n">
        <v>0</v>
      </c>
      <c r="J268" t="n">
        <v>0</v>
      </c>
      <c r="K268" t="n">
        <v>0</v>
      </c>
      <c r="L268" t="n">
        <v>0</v>
      </c>
      <c r="M268" t="n">
        <v>0</v>
      </c>
      <c r="N268" t="n">
        <v>0</v>
      </c>
      <c r="O268" t="n">
        <v>0</v>
      </c>
      <c r="P268" t="n">
        <v>0</v>
      </c>
      <c r="Q268" t="n">
        <v>0</v>
      </c>
      <c r="R268" s="2" t="inlineStr"/>
    </row>
    <row r="269" ht="15" customHeight="1">
      <c r="A269" t="inlineStr">
        <is>
          <t>A 44053-2025</t>
        </is>
      </c>
      <c r="B269" s="1" t="n">
        <v>45915.51239583334</v>
      </c>
      <c r="C269" s="1" t="n">
        <v>46177</v>
      </c>
      <c r="D269" t="inlineStr">
        <is>
          <t>DALARNAS LÄN</t>
        </is>
      </c>
      <c r="E269" t="inlineStr">
        <is>
          <t>ORSA</t>
        </is>
      </c>
      <c r="G269" t="n">
        <v>1.4</v>
      </c>
      <c r="H269" t="n">
        <v>0</v>
      </c>
      <c r="I269" t="n">
        <v>0</v>
      </c>
      <c r="J269" t="n">
        <v>0</v>
      </c>
      <c r="K269" t="n">
        <v>0</v>
      </c>
      <c r="L269" t="n">
        <v>0</v>
      </c>
      <c r="M269" t="n">
        <v>0</v>
      </c>
      <c r="N269" t="n">
        <v>0</v>
      </c>
      <c r="O269" t="n">
        <v>0</v>
      </c>
      <c r="P269" t="n">
        <v>0</v>
      </c>
      <c r="Q269" t="n">
        <v>0</v>
      </c>
      <c r="R269" s="2" t="inlineStr"/>
    </row>
    <row r="270" ht="15" customHeight="1">
      <c r="A270" t="inlineStr">
        <is>
          <t>A 44119-2025</t>
        </is>
      </c>
      <c r="B270" s="1" t="n">
        <v>45915.57738425926</v>
      </c>
      <c r="C270" s="1" t="n">
        <v>46177</v>
      </c>
      <c r="D270" t="inlineStr">
        <is>
          <t>DALARNAS LÄN</t>
        </is>
      </c>
      <c r="E270" t="inlineStr">
        <is>
          <t>ORSA</t>
        </is>
      </c>
      <c r="F270" t="inlineStr">
        <is>
          <t>Allmännings- och besparingsskogar</t>
        </is>
      </c>
      <c r="G270" t="n">
        <v>1.5</v>
      </c>
      <c r="H270" t="n">
        <v>0</v>
      </c>
      <c r="I270" t="n">
        <v>0</v>
      </c>
      <c r="J270" t="n">
        <v>0</v>
      </c>
      <c r="K270" t="n">
        <v>0</v>
      </c>
      <c r="L270" t="n">
        <v>0</v>
      </c>
      <c r="M270" t="n">
        <v>0</v>
      </c>
      <c r="N270" t="n">
        <v>0</v>
      </c>
      <c r="O270" t="n">
        <v>0</v>
      </c>
      <c r="P270" t="n">
        <v>0</v>
      </c>
      <c r="Q270" t="n">
        <v>0</v>
      </c>
      <c r="R270" s="2" t="inlineStr"/>
    </row>
    <row r="271" ht="15" customHeight="1">
      <c r="A271" t="inlineStr">
        <is>
          <t>A 44121-2025</t>
        </is>
      </c>
      <c r="B271" s="1" t="n">
        <v>45915.57792824074</v>
      </c>
      <c r="C271" s="1" t="n">
        <v>46177</v>
      </c>
      <c r="D271" t="inlineStr">
        <is>
          <t>DALARNAS LÄN</t>
        </is>
      </c>
      <c r="E271" t="inlineStr">
        <is>
          <t>ORSA</t>
        </is>
      </c>
      <c r="F271" t="inlineStr">
        <is>
          <t>Allmännings- och besparingsskogar</t>
        </is>
      </c>
      <c r="G271" t="n">
        <v>2.5</v>
      </c>
      <c r="H271" t="n">
        <v>0</v>
      </c>
      <c r="I271" t="n">
        <v>0</v>
      </c>
      <c r="J271" t="n">
        <v>0</v>
      </c>
      <c r="K271" t="n">
        <v>0</v>
      </c>
      <c r="L271" t="n">
        <v>0</v>
      </c>
      <c r="M271" t="n">
        <v>0</v>
      </c>
      <c r="N271" t="n">
        <v>0</v>
      </c>
      <c r="O271" t="n">
        <v>0</v>
      </c>
      <c r="P271" t="n">
        <v>0</v>
      </c>
      <c r="Q271" t="n">
        <v>0</v>
      </c>
      <c r="R271" s="2" t="inlineStr"/>
    </row>
    <row r="272" ht="15" customHeight="1">
      <c r="A272" t="inlineStr">
        <is>
          <t>A 24248-2025</t>
        </is>
      </c>
      <c r="B272" s="1" t="n">
        <v>45797.40101851852</v>
      </c>
      <c r="C272" s="1" t="n">
        <v>46177</v>
      </c>
      <c r="D272" t="inlineStr">
        <is>
          <t>DALARNAS LÄN</t>
        </is>
      </c>
      <c r="E272" t="inlineStr">
        <is>
          <t>ORSA</t>
        </is>
      </c>
      <c r="F272" t="inlineStr">
        <is>
          <t>Bergvik skog öst AB</t>
        </is>
      </c>
      <c r="G272" t="n">
        <v>4.3</v>
      </c>
      <c r="H272" t="n">
        <v>0</v>
      </c>
      <c r="I272" t="n">
        <v>0</v>
      </c>
      <c r="J272" t="n">
        <v>0</v>
      </c>
      <c r="K272" t="n">
        <v>0</v>
      </c>
      <c r="L272" t="n">
        <v>0</v>
      </c>
      <c r="M272" t="n">
        <v>0</v>
      </c>
      <c r="N272" t="n">
        <v>0</v>
      </c>
      <c r="O272" t="n">
        <v>0</v>
      </c>
      <c r="P272" t="n">
        <v>0</v>
      </c>
      <c r="Q272" t="n">
        <v>0</v>
      </c>
      <c r="R272" s="2" t="inlineStr"/>
    </row>
    <row r="273" ht="15" customHeight="1">
      <c r="A273" t="inlineStr">
        <is>
          <t>A 43967-2025</t>
        </is>
      </c>
      <c r="B273" s="1" t="n">
        <v>45915.40188657407</v>
      </c>
      <c r="C273" s="1" t="n">
        <v>46177</v>
      </c>
      <c r="D273" t="inlineStr">
        <is>
          <t>DALARNAS LÄN</t>
        </is>
      </c>
      <c r="E273" t="inlineStr">
        <is>
          <t>ORSA</t>
        </is>
      </c>
      <c r="F273" t="inlineStr">
        <is>
          <t>Allmännings- och besparingsskogar</t>
        </is>
      </c>
      <c r="G273" t="n">
        <v>8.4</v>
      </c>
      <c r="H273" t="n">
        <v>0</v>
      </c>
      <c r="I273" t="n">
        <v>0</v>
      </c>
      <c r="J273" t="n">
        <v>0</v>
      </c>
      <c r="K273" t="n">
        <v>0</v>
      </c>
      <c r="L273" t="n">
        <v>0</v>
      </c>
      <c r="M273" t="n">
        <v>0</v>
      </c>
      <c r="N273" t="n">
        <v>0</v>
      </c>
      <c r="O273" t="n">
        <v>0</v>
      </c>
      <c r="P273" t="n">
        <v>0</v>
      </c>
      <c r="Q273" t="n">
        <v>0</v>
      </c>
      <c r="R273" s="2" t="inlineStr"/>
    </row>
    <row r="274" ht="15" customHeight="1">
      <c r="A274" t="inlineStr">
        <is>
          <t>A 44117-2025</t>
        </is>
      </c>
      <c r="B274" s="1" t="n">
        <v>45915.57677083334</v>
      </c>
      <c r="C274" s="1" t="n">
        <v>46177</v>
      </c>
      <c r="D274" t="inlineStr">
        <is>
          <t>DALARNAS LÄN</t>
        </is>
      </c>
      <c r="E274" t="inlineStr">
        <is>
          <t>ORSA</t>
        </is>
      </c>
      <c r="F274" t="inlineStr">
        <is>
          <t>Allmännings- och besparingsskogar</t>
        </is>
      </c>
      <c r="G274" t="n">
        <v>2.7</v>
      </c>
      <c r="H274" t="n">
        <v>0</v>
      </c>
      <c r="I274" t="n">
        <v>0</v>
      </c>
      <c r="J274" t="n">
        <v>0</v>
      </c>
      <c r="K274" t="n">
        <v>0</v>
      </c>
      <c r="L274" t="n">
        <v>0</v>
      </c>
      <c r="M274" t="n">
        <v>0</v>
      </c>
      <c r="N274" t="n">
        <v>0</v>
      </c>
      <c r="O274" t="n">
        <v>0</v>
      </c>
      <c r="P274" t="n">
        <v>0</v>
      </c>
      <c r="Q274" t="n">
        <v>0</v>
      </c>
      <c r="R274" s="2" t="inlineStr"/>
    </row>
    <row r="275" ht="15" customHeight="1">
      <c r="A275" t="inlineStr">
        <is>
          <t>A 47732-2022</t>
        </is>
      </c>
      <c r="B275" s="1" t="n">
        <v>44854.63668981481</v>
      </c>
      <c r="C275" s="1" t="n">
        <v>46177</v>
      </c>
      <c r="D275" t="inlineStr">
        <is>
          <t>DALARNAS LÄN</t>
        </is>
      </c>
      <c r="E275" t="inlineStr">
        <is>
          <t>ORSA</t>
        </is>
      </c>
      <c r="F275" t="inlineStr">
        <is>
          <t>Bergvik skog öst AB</t>
        </is>
      </c>
      <c r="G275" t="n">
        <v>1.7</v>
      </c>
      <c r="H275" t="n">
        <v>0</v>
      </c>
      <c r="I275" t="n">
        <v>0</v>
      </c>
      <c r="J275" t="n">
        <v>0</v>
      </c>
      <c r="K275" t="n">
        <v>0</v>
      </c>
      <c r="L275" t="n">
        <v>0</v>
      </c>
      <c r="M275" t="n">
        <v>0</v>
      </c>
      <c r="N275" t="n">
        <v>0</v>
      </c>
      <c r="O275" t="n">
        <v>0</v>
      </c>
      <c r="P275" t="n">
        <v>0</v>
      </c>
      <c r="Q275" t="n">
        <v>0</v>
      </c>
      <c r="R275" s="2" t="inlineStr"/>
    </row>
    <row r="276" ht="15" customHeight="1">
      <c r="A276" t="inlineStr">
        <is>
          <t>A 43965-2025</t>
        </is>
      </c>
      <c r="B276" s="1" t="n">
        <v>45915.40027777778</v>
      </c>
      <c r="C276" s="1" t="n">
        <v>46177</v>
      </c>
      <c r="D276" t="inlineStr">
        <is>
          <t>DALARNAS LÄN</t>
        </is>
      </c>
      <c r="E276" t="inlineStr">
        <is>
          <t>ORSA</t>
        </is>
      </c>
      <c r="F276" t="inlineStr">
        <is>
          <t>Allmännings- och besparingsskogar</t>
        </is>
      </c>
      <c r="G276" t="n">
        <v>11.5</v>
      </c>
      <c r="H276" t="n">
        <v>0</v>
      </c>
      <c r="I276" t="n">
        <v>0</v>
      </c>
      <c r="J276" t="n">
        <v>0</v>
      </c>
      <c r="K276" t="n">
        <v>0</v>
      </c>
      <c r="L276" t="n">
        <v>0</v>
      </c>
      <c r="M276" t="n">
        <v>0</v>
      </c>
      <c r="N276" t="n">
        <v>0</v>
      </c>
      <c r="O276" t="n">
        <v>0</v>
      </c>
      <c r="P276" t="n">
        <v>0</v>
      </c>
      <c r="Q276" t="n">
        <v>0</v>
      </c>
      <c r="R276" s="2" t="inlineStr"/>
    </row>
    <row r="277" ht="15" customHeight="1">
      <c r="A277" t="inlineStr">
        <is>
          <t>A 44129-2025</t>
        </is>
      </c>
      <c r="B277" s="1" t="n">
        <v>45915.58392361111</v>
      </c>
      <c r="C277" s="1" t="n">
        <v>46177</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61279-2023</t>
        </is>
      </c>
      <c r="B278" s="1" t="n">
        <v>45264.5270949074</v>
      </c>
      <c r="C278" s="1" t="n">
        <v>46177</v>
      </c>
      <c r="D278" t="inlineStr">
        <is>
          <t>DALARNAS LÄN</t>
        </is>
      </c>
      <c r="E278" t="inlineStr">
        <is>
          <t>ORSA</t>
        </is>
      </c>
      <c r="G278" t="n">
        <v>0.2</v>
      </c>
      <c r="H278" t="n">
        <v>0</v>
      </c>
      <c r="I278" t="n">
        <v>0</v>
      </c>
      <c r="J278" t="n">
        <v>0</v>
      </c>
      <c r="K278" t="n">
        <v>0</v>
      </c>
      <c r="L278" t="n">
        <v>0</v>
      </c>
      <c r="M278" t="n">
        <v>0</v>
      </c>
      <c r="N278" t="n">
        <v>0</v>
      </c>
      <c r="O278" t="n">
        <v>0</v>
      </c>
      <c r="P278" t="n">
        <v>0</v>
      </c>
      <c r="Q278" t="n">
        <v>0</v>
      </c>
      <c r="R278" s="2" t="inlineStr"/>
    </row>
    <row r="279" ht="15" customHeight="1">
      <c r="A279" t="inlineStr">
        <is>
          <t>A 23461-2023</t>
        </is>
      </c>
      <c r="B279" s="1" t="n">
        <v>45076</v>
      </c>
      <c r="C279" s="1" t="n">
        <v>46177</v>
      </c>
      <c r="D279" t="inlineStr">
        <is>
          <t>DALARNAS LÄN</t>
        </is>
      </c>
      <c r="E279" t="inlineStr">
        <is>
          <t>ORSA</t>
        </is>
      </c>
      <c r="G279" t="n">
        <v>0.5</v>
      </c>
      <c r="H279" t="n">
        <v>0</v>
      </c>
      <c r="I279" t="n">
        <v>0</v>
      </c>
      <c r="J279" t="n">
        <v>0</v>
      </c>
      <c r="K279" t="n">
        <v>0</v>
      </c>
      <c r="L279" t="n">
        <v>0</v>
      </c>
      <c r="M279" t="n">
        <v>0</v>
      </c>
      <c r="N279" t="n">
        <v>0</v>
      </c>
      <c r="O279" t="n">
        <v>0</v>
      </c>
      <c r="P279" t="n">
        <v>0</v>
      </c>
      <c r="Q279" t="n">
        <v>0</v>
      </c>
      <c r="R279" s="2" t="inlineStr"/>
    </row>
    <row r="280" ht="15" customHeight="1">
      <c r="A280" t="inlineStr">
        <is>
          <t>A 18037-2023</t>
        </is>
      </c>
      <c r="B280" s="1" t="n">
        <v>45040</v>
      </c>
      <c r="C280" s="1" t="n">
        <v>46177</v>
      </c>
      <c r="D280" t="inlineStr">
        <is>
          <t>DALARNAS LÄN</t>
        </is>
      </c>
      <c r="E280" t="inlineStr">
        <is>
          <t>ORSA</t>
        </is>
      </c>
      <c r="G280" t="n">
        <v>6.6</v>
      </c>
      <c r="H280" t="n">
        <v>0</v>
      </c>
      <c r="I280" t="n">
        <v>0</v>
      </c>
      <c r="J280" t="n">
        <v>0</v>
      </c>
      <c r="K280" t="n">
        <v>0</v>
      </c>
      <c r="L280" t="n">
        <v>0</v>
      </c>
      <c r="M280" t="n">
        <v>0</v>
      </c>
      <c r="N280" t="n">
        <v>0</v>
      </c>
      <c r="O280" t="n">
        <v>0</v>
      </c>
      <c r="P280" t="n">
        <v>0</v>
      </c>
      <c r="Q280" t="n">
        <v>0</v>
      </c>
      <c r="R280" s="2" t="inlineStr"/>
    </row>
    <row r="281" ht="15" customHeight="1">
      <c r="A281" t="inlineStr">
        <is>
          <t>A 24969-2025</t>
        </is>
      </c>
      <c r="B281" s="1" t="n">
        <v>45799</v>
      </c>
      <c r="C281" s="1" t="n">
        <v>46177</v>
      </c>
      <c r="D281" t="inlineStr">
        <is>
          <t>DALARNAS LÄN</t>
        </is>
      </c>
      <c r="E281" t="inlineStr">
        <is>
          <t>ORSA</t>
        </is>
      </c>
      <c r="F281" t="inlineStr">
        <is>
          <t>Allmännings- och besparingsskogar</t>
        </is>
      </c>
      <c r="G281" t="n">
        <v>2.6</v>
      </c>
      <c r="H281" t="n">
        <v>0</v>
      </c>
      <c r="I281" t="n">
        <v>0</v>
      </c>
      <c r="J281" t="n">
        <v>0</v>
      </c>
      <c r="K281" t="n">
        <v>0</v>
      </c>
      <c r="L281" t="n">
        <v>0</v>
      </c>
      <c r="M281" t="n">
        <v>0</v>
      </c>
      <c r="N281" t="n">
        <v>0</v>
      </c>
      <c r="O281" t="n">
        <v>0</v>
      </c>
      <c r="P281" t="n">
        <v>0</v>
      </c>
      <c r="Q281" t="n">
        <v>0</v>
      </c>
      <c r="R281" s="2" t="inlineStr"/>
    </row>
    <row r="282" ht="15" customHeight="1">
      <c r="A282" t="inlineStr">
        <is>
          <t>A 44531-2025</t>
        </is>
      </c>
      <c r="B282" s="1" t="n">
        <v>45916.77120370371</v>
      </c>
      <c r="C282" s="1" t="n">
        <v>46177</v>
      </c>
      <c r="D282" t="inlineStr">
        <is>
          <t>DALARNAS LÄN</t>
        </is>
      </c>
      <c r="E282" t="inlineStr">
        <is>
          <t>ORSA</t>
        </is>
      </c>
      <c r="G282" t="n">
        <v>0.8</v>
      </c>
      <c r="H282" t="n">
        <v>0</v>
      </c>
      <c r="I282" t="n">
        <v>0</v>
      </c>
      <c r="J282" t="n">
        <v>0</v>
      </c>
      <c r="K282" t="n">
        <v>0</v>
      </c>
      <c r="L282" t="n">
        <v>0</v>
      </c>
      <c r="M282" t="n">
        <v>0</v>
      </c>
      <c r="N282" t="n">
        <v>0</v>
      </c>
      <c r="O282" t="n">
        <v>0</v>
      </c>
      <c r="P282" t="n">
        <v>0</v>
      </c>
      <c r="Q282" t="n">
        <v>0</v>
      </c>
      <c r="R282" s="2" t="inlineStr"/>
    </row>
    <row r="283" ht="15" customHeight="1">
      <c r="A283" t="inlineStr">
        <is>
          <t>A 45031-2025</t>
        </is>
      </c>
      <c r="B283" s="1" t="n">
        <v>45918.70020833334</v>
      </c>
      <c r="C283" s="1" t="n">
        <v>46177</v>
      </c>
      <c r="D283" t="inlineStr">
        <is>
          <t>DALARNAS LÄN</t>
        </is>
      </c>
      <c r="E283" t="inlineStr">
        <is>
          <t>ORSA</t>
        </is>
      </c>
      <c r="G283" t="n">
        <v>5</v>
      </c>
      <c r="H283" t="n">
        <v>0</v>
      </c>
      <c r="I283" t="n">
        <v>0</v>
      </c>
      <c r="J283" t="n">
        <v>0</v>
      </c>
      <c r="K283" t="n">
        <v>0</v>
      </c>
      <c r="L283" t="n">
        <v>0</v>
      </c>
      <c r="M283" t="n">
        <v>0</v>
      </c>
      <c r="N283" t="n">
        <v>0</v>
      </c>
      <c r="O283" t="n">
        <v>0</v>
      </c>
      <c r="P283" t="n">
        <v>0</v>
      </c>
      <c r="Q283" t="n">
        <v>0</v>
      </c>
      <c r="R283" s="2" t="inlineStr"/>
    </row>
    <row r="284" ht="15" customHeight="1">
      <c r="A284" t="inlineStr">
        <is>
          <t>A 15114-2025</t>
        </is>
      </c>
      <c r="B284" s="1" t="n">
        <v>45744.36232638889</v>
      </c>
      <c r="C284" s="1" t="n">
        <v>46177</v>
      </c>
      <c r="D284" t="inlineStr">
        <is>
          <t>DALARNAS LÄN</t>
        </is>
      </c>
      <c r="E284" t="inlineStr">
        <is>
          <t>ORSA</t>
        </is>
      </c>
      <c r="F284" t="inlineStr">
        <is>
          <t>Allmännings- och besparingsskogar</t>
        </is>
      </c>
      <c r="G284" t="n">
        <v>1.9</v>
      </c>
      <c r="H284" t="n">
        <v>0</v>
      </c>
      <c r="I284" t="n">
        <v>0</v>
      </c>
      <c r="J284" t="n">
        <v>0</v>
      </c>
      <c r="K284" t="n">
        <v>0</v>
      </c>
      <c r="L284" t="n">
        <v>0</v>
      </c>
      <c r="M284" t="n">
        <v>0</v>
      </c>
      <c r="N284" t="n">
        <v>0</v>
      </c>
      <c r="O284" t="n">
        <v>0</v>
      </c>
      <c r="P284" t="n">
        <v>0</v>
      </c>
      <c r="Q284" t="n">
        <v>0</v>
      </c>
      <c r="R284" s="2" t="inlineStr"/>
    </row>
    <row r="285" ht="15" customHeight="1">
      <c r="A285" t="inlineStr">
        <is>
          <t>A 10048-2023</t>
        </is>
      </c>
      <c r="B285" s="1" t="n">
        <v>44985.67237268519</v>
      </c>
      <c r="C285" s="1" t="n">
        <v>46177</v>
      </c>
      <c r="D285" t="inlineStr">
        <is>
          <t>DALARNAS LÄN</t>
        </is>
      </c>
      <c r="E285" t="inlineStr">
        <is>
          <t>ORSA</t>
        </is>
      </c>
      <c r="G285" t="n">
        <v>4.8</v>
      </c>
      <c r="H285" t="n">
        <v>0</v>
      </c>
      <c r="I285" t="n">
        <v>0</v>
      </c>
      <c r="J285" t="n">
        <v>0</v>
      </c>
      <c r="K285" t="n">
        <v>0</v>
      </c>
      <c r="L285" t="n">
        <v>0</v>
      </c>
      <c r="M285" t="n">
        <v>0</v>
      </c>
      <c r="N285" t="n">
        <v>0</v>
      </c>
      <c r="O285" t="n">
        <v>0</v>
      </c>
      <c r="P285" t="n">
        <v>0</v>
      </c>
      <c r="Q285" t="n">
        <v>0</v>
      </c>
      <c r="R285" s="2" t="inlineStr"/>
    </row>
    <row r="286" ht="15" customHeight="1">
      <c r="A286" t="inlineStr">
        <is>
          <t>A 33057-2025</t>
        </is>
      </c>
      <c r="B286" s="1" t="n">
        <v>45840</v>
      </c>
      <c r="C286" s="1" t="n">
        <v>46177</v>
      </c>
      <c r="D286" t="inlineStr">
        <is>
          <t>DALARNAS LÄN</t>
        </is>
      </c>
      <c r="E286" t="inlineStr">
        <is>
          <t>ORSA</t>
        </is>
      </c>
      <c r="F286" t="inlineStr">
        <is>
          <t>Bergvik skog öst AB</t>
        </is>
      </c>
      <c r="G286" t="n">
        <v>3.3</v>
      </c>
      <c r="H286" t="n">
        <v>0</v>
      </c>
      <c r="I286" t="n">
        <v>0</v>
      </c>
      <c r="J286" t="n">
        <v>0</v>
      </c>
      <c r="K286" t="n">
        <v>0</v>
      </c>
      <c r="L286" t="n">
        <v>0</v>
      </c>
      <c r="M286" t="n">
        <v>0</v>
      </c>
      <c r="N286" t="n">
        <v>0</v>
      </c>
      <c r="O286" t="n">
        <v>0</v>
      </c>
      <c r="P286" t="n">
        <v>0</v>
      </c>
      <c r="Q286" t="n">
        <v>0</v>
      </c>
      <c r="R286" s="2" t="inlineStr"/>
    </row>
    <row r="287" ht="15" customHeight="1">
      <c r="A287" t="inlineStr">
        <is>
          <t>A 31031-2023</t>
        </is>
      </c>
      <c r="B287" s="1" t="n">
        <v>45113</v>
      </c>
      <c r="C287" s="1" t="n">
        <v>46177</v>
      </c>
      <c r="D287" t="inlineStr">
        <is>
          <t>DALARNAS LÄN</t>
        </is>
      </c>
      <c r="E287" t="inlineStr">
        <is>
          <t>ORSA</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28388-2024</t>
        </is>
      </c>
      <c r="B288" s="1" t="n">
        <v>45477.59960648148</v>
      </c>
      <c r="C288" s="1" t="n">
        <v>46177</v>
      </c>
      <c r="D288" t="inlineStr">
        <is>
          <t>DALARNAS LÄN</t>
        </is>
      </c>
      <c r="E288" t="inlineStr">
        <is>
          <t>ORSA</t>
        </is>
      </c>
      <c r="F288" t="inlineStr">
        <is>
          <t>Bergvik skog öst AB</t>
        </is>
      </c>
      <c r="G288" t="n">
        <v>3.8</v>
      </c>
      <c r="H288" t="n">
        <v>0</v>
      </c>
      <c r="I288" t="n">
        <v>0</v>
      </c>
      <c r="J288" t="n">
        <v>0</v>
      </c>
      <c r="K288" t="n">
        <v>0</v>
      </c>
      <c r="L288" t="n">
        <v>0</v>
      </c>
      <c r="M288" t="n">
        <v>0</v>
      </c>
      <c r="N288" t="n">
        <v>0</v>
      </c>
      <c r="O288" t="n">
        <v>0</v>
      </c>
      <c r="P288" t="n">
        <v>0</v>
      </c>
      <c r="Q288" t="n">
        <v>0</v>
      </c>
      <c r="R288" s="2" t="inlineStr"/>
    </row>
    <row r="289" ht="15" customHeight="1">
      <c r="A289" t="inlineStr">
        <is>
          <t>A 17508-2025</t>
        </is>
      </c>
      <c r="B289" s="1" t="n">
        <v>45757.55929398148</v>
      </c>
      <c r="C289" s="1" t="n">
        <v>46177</v>
      </c>
      <c r="D289" t="inlineStr">
        <is>
          <t>DALARNAS LÄN</t>
        </is>
      </c>
      <c r="E289" t="inlineStr">
        <is>
          <t>ORSA</t>
        </is>
      </c>
      <c r="F289" t="inlineStr">
        <is>
          <t>Bergvik skog öst AB</t>
        </is>
      </c>
      <c r="G289" t="n">
        <v>9.4</v>
      </c>
      <c r="H289" t="n">
        <v>0</v>
      </c>
      <c r="I289" t="n">
        <v>0</v>
      </c>
      <c r="J289" t="n">
        <v>0</v>
      </c>
      <c r="K289" t="n">
        <v>0</v>
      </c>
      <c r="L289" t="n">
        <v>0</v>
      </c>
      <c r="M289" t="n">
        <v>0</v>
      </c>
      <c r="N289" t="n">
        <v>0</v>
      </c>
      <c r="O289" t="n">
        <v>0</v>
      </c>
      <c r="P289" t="n">
        <v>0</v>
      </c>
      <c r="Q289" t="n">
        <v>0</v>
      </c>
      <c r="R289" s="2" t="inlineStr"/>
    </row>
    <row r="290" ht="15" customHeight="1">
      <c r="A290" t="inlineStr">
        <is>
          <t>A 25211-2025</t>
        </is>
      </c>
      <c r="B290" s="1" t="n">
        <v>45800.46965277778</v>
      </c>
      <c r="C290" s="1" t="n">
        <v>46177</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45155-2025</t>
        </is>
      </c>
      <c r="B291" s="1" t="n">
        <v>45919.47872685185</v>
      </c>
      <c r="C291" s="1" t="n">
        <v>46177</v>
      </c>
      <c r="D291" t="inlineStr">
        <is>
          <t>DALARNAS LÄN</t>
        </is>
      </c>
      <c r="E291" t="inlineStr">
        <is>
          <t>ORSA</t>
        </is>
      </c>
      <c r="G291" t="n">
        <v>1.5</v>
      </c>
      <c r="H291" t="n">
        <v>0</v>
      </c>
      <c r="I291" t="n">
        <v>0</v>
      </c>
      <c r="J291" t="n">
        <v>0</v>
      </c>
      <c r="K291" t="n">
        <v>0</v>
      </c>
      <c r="L291" t="n">
        <v>0</v>
      </c>
      <c r="M291" t="n">
        <v>0</v>
      </c>
      <c r="N291" t="n">
        <v>0</v>
      </c>
      <c r="O291" t="n">
        <v>0</v>
      </c>
      <c r="P291" t="n">
        <v>0</v>
      </c>
      <c r="Q291" t="n">
        <v>0</v>
      </c>
      <c r="R291" s="2" t="inlineStr"/>
    </row>
    <row r="292" ht="15" customHeight="1">
      <c r="A292" t="inlineStr">
        <is>
          <t>A 63917-2023</t>
        </is>
      </c>
      <c r="B292" s="1" t="n">
        <v>45278</v>
      </c>
      <c r="C292" s="1" t="n">
        <v>46177</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52912-2023</t>
        </is>
      </c>
      <c r="B293" s="1" t="n">
        <v>45226.51766203704</v>
      </c>
      <c r="C293" s="1" t="n">
        <v>46177</v>
      </c>
      <c r="D293" t="inlineStr">
        <is>
          <t>DALARNAS LÄN</t>
        </is>
      </c>
      <c r="E293" t="inlineStr">
        <is>
          <t>ORSA</t>
        </is>
      </c>
      <c r="G293" t="n">
        <v>10.9</v>
      </c>
      <c r="H293" t="n">
        <v>0</v>
      </c>
      <c r="I293" t="n">
        <v>0</v>
      </c>
      <c r="J293" t="n">
        <v>0</v>
      </c>
      <c r="K293" t="n">
        <v>0</v>
      </c>
      <c r="L293" t="n">
        <v>0</v>
      </c>
      <c r="M293" t="n">
        <v>0</v>
      </c>
      <c r="N293" t="n">
        <v>0</v>
      </c>
      <c r="O293" t="n">
        <v>0</v>
      </c>
      <c r="P293" t="n">
        <v>0</v>
      </c>
      <c r="Q293" t="n">
        <v>0</v>
      </c>
      <c r="R293" s="2" t="inlineStr"/>
    </row>
    <row r="294" ht="15" customHeight="1">
      <c r="A294" t="inlineStr">
        <is>
          <t>A 45803-2025</t>
        </is>
      </c>
      <c r="B294" s="1" t="n">
        <v>45923.58125</v>
      </c>
      <c r="C294" s="1" t="n">
        <v>46177</v>
      </c>
      <c r="D294" t="inlineStr">
        <is>
          <t>DALARNAS LÄN</t>
        </is>
      </c>
      <c r="E294" t="inlineStr">
        <is>
          <t>ORSA</t>
        </is>
      </c>
      <c r="F294" t="inlineStr">
        <is>
          <t>Allmännings- och besparingsskogar</t>
        </is>
      </c>
      <c r="G294" t="n">
        <v>3.4</v>
      </c>
      <c r="H294" t="n">
        <v>0</v>
      </c>
      <c r="I294" t="n">
        <v>0</v>
      </c>
      <c r="J294" t="n">
        <v>0</v>
      </c>
      <c r="K294" t="n">
        <v>0</v>
      </c>
      <c r="L294" t="n">
        <v>0</v>
      </c>
      <c r="M294" t="n">
        <v>0</v>
      </c>
      <c r="N294" t="n">
        <v>0</v>
      </c>
      <c r="O294" t="n">
        <v>0</v>
      </c>
      <c r="P294" t="n">
        <v>0</v>
      </c>
      <c r="Q294" t="n">
        <v>0</v>
      </c>
      <c r="R294" s="2" t="inlineStr"/>
    </row>
    <row r="295" ht="15" customHeight="1">
      <c r="A295" t="inlineStr">
        <is>
          <t>A 10832-2022</t>
        </is>
      </c>
      <c r="B295" s="1" t="n">
        <v>44627</v>
      </c>
      <c r="C295" s="1" t="n">
        <v>46177</v>
      </c>
      <c r="D295" t="inlineStr">
        <is>
          <t>DALARNAS LÄN</t>
        </is>
      </c>
      <c r="E295" t="inlineStr">
        <is>
          <t>ORSA</t>
        </is>
      </c>
      <c r="G295" t="n">
        <v>1.4</v>
      </c>
      <c r="H295" t="n">
        <v>0</v>
      </c>
      <c r="I295" t="n">
        <v>0</v>
      </c>
      <c r="J295" t="n">
        <v>0</v>
      </c>
      <c r="K295" t="n">
        <v>0</v>
      </c>
      <c r="L295" t="n">
        <v>0</v>
      </c>
      <c r="M295" t="n">
        <v>0</v>
      </c>
      <c r="N295" t="n">
        <v>0</v>
      </c>
      <c r="O295" t="n">
        <v>0</v>
      </c>
      <c r="P295" t="n">
        <v>0</v>
      </c>
      <c r="Q295" t="n">
        <v>0</v>
      </c>
      <c r="R295" s="2" t="inlineStr"/>
    </row>
    <row r="296" ht="15" customHeight="1">
      <c r="A296" t="inlineStr">
        <is>
          <t>A 34708-2021</t>
        </is>
      </c>
      <c r="B296" s="1" t="n">
        <v>44382</v>
      </c>
      <c r="C296" s="1" t="n">
        <v>46177</v>
      </c>
      <c r="D296" t="inlineStr">
        <is>
          <t>DALARNAS LÄN</t>
        </is>
      </c>
      <c r="E296" t="inlineStr">
        <is>
          <t>ORSA</t>
        </is>
      </c>
      <c r="G296" t="n">
        <v>4.3</v>
      </c>
      <c r="H296" t="n">
        <v>0</v>
      </c>
      <c r="I296" t="n">
        <v>0</v>
      </c>
      <c r="J296" t="n">
        <v>0</v>
      </c>
      <c r="K296" t="n">
        <v>0</v>
      </c>
      <c r="L296" t="n">
        <v>0</v>
      </c>
      <c r="M296" t="n">
        <v>0</v>
      </c>
      <c r="N296" t="n">
        <v>0</v>
      </c>
      <c r="O296" t="n">
        <v>0</v>
      </c>
      <c r="P296" t="n">
        <v>0</v>
      </c>
      <c r="Q296" t="n">
        <v>0</v>
      </c>
      <c r="R296" s="2" t="inlineStr"/>
    </row>
    <row r="297" ht="15" customHeight="1">
      <c r="A297" t="inlineStr">
        <is>
          <t>A 18817-2023</t>
        </is>
      </c>
      <c r="B297" s="1" t="n">
        <v>45043</v>
      </c>
      <c r="C297" s="1" t="n">
        <v>46177</v>
      </c>
      <c r="D297" t="inlineStr">
        <is>
          <t>DALARNAS LÄN</t>
        </is>
      </c>
      <c r="E297" t="inlineStr">
        <is>
          <t>ORSA</t>
        </is>
      </c>
      <c r="G297" t="n">
        <v>4.4</v>
      </c>
      <c r="H297" t="n">
        <v>0</v>
      </c>
      <c r="I297" t="n">
        <v>0</v>
      </c>
      <c r="J297" t="n">
        <v>0</v>
      </c>
      <c r="K297" t="n">
        <v>0</v>
      </c>
      <c r="L297" t="n">
        <v>0</v>
      </c>
      <c r="M297" t="n">
        <v>0</v>
      </c>
      <c r="N297" t="n">
        <v>0</v>
      </c>
      <c r="O297" t="n">
        <v>0</v>
      </c>
      <c r="P297" t="n">
        <v>0</v>
      </c>
      <c r="Q297" t="n">
        <v>0</v>
      </c>
      <c r="R297" s="2" t="inlineStr"/>
    </row>
    <row r="298" ht="15" customHeight="1">
      <c r="A298" t="inlineStr">
        <is>
          <t>A 46279-2025</t>
        </is>
      </c>
      <c r="B298" s="1" t="n">
        <v>45925.37534722222</v>
      </c>
      <c r="C298" s="1" t="n">
        <v>46177</v>
      </c>
      <c r="D298" t="inlineStr">
        <is>
          <t>DALARNAS LÄN</t>
        </is>
      </c>
      <c r="E298" t="inlineStr">
        <is>
          <t>ORSA</t>
        </is>
      </c>
      <c r="G298" t="n">
        <v>2.2</v>
      </c>
      <c r="H298" t="n">
        <v>0</v>
      </c>
      <c r="I298" t="n">
        <v>0</v>
      </c>
      <c r="J298" t="n">
        <v>0</v>
      </c>
      <c r="K298" t="n">
        <v>0</v>
      </c>
      <c r="L298" t="n">
        <v>0</v>
      </c>
      <c r="M298" t="n">
        <v>0</v>
      </c>
      <c r="N298" t="n">
        <v>0</v>
      </c>
      <c r="O298" t="n">
        <v>0</v>
      </c>
      <c r="P298" t="n">
        <v>0</v>
      </c>
      <c r="Q298" t="n">
        <v>0</v>
      </c>
      <c r="R298" s="2" t="inlineStr"/>
    </row>
    <row r="299" ht="15" customHeight="1">
      <c r="A299" t="inlineStr">
        <is>
          <t>A 21364-2025</t>
        </is>
      </c>
      <c r="B299" s="1" t="n">
        <v>45782</v>
      </c>
      <c r="C299" s="1" t="n">
        <v>46177</v>
      </c>
      <c r="D299" t="inlineStr">
        <is>
          <t>DALARNAS LÄN</t>
        </is>
      </c>
      <c r="E299" t="inlineStr">
        <is>
          <t>ORSA</t>
        </is>
      </c>
      <c r="F299" t="inlineStr">
        <is>
          <t>Allmännings- och besparingsskogar</t>
        </is>
      </c>
      <c r="G299" t="n">
        <v>52.6</v>
      </c>
      <c r="H299" t="n">
        <v>0</v>
      </c>
      <c r="I299" t="n">
        <v>0</v>
      </c>
      <c r="J299" t="n">
        <v>0</v>
      </c>
      <c r="K299" t="n">
        <v>0</v>
      </c>
      <c r="L299" t="n">
        <v>0</v>
      </c>
      <c r="M299" t="n">
        <v>0</v>
      </c>
      <c r="N299" t="n">
        <v>0</v>
      </c>
      <c r="O299" t="n">
        <v>0</v>
      </c>
      <c r="P299" t="n">
        <v>0</v>
      </c>
      <c r="Q299" t="n">
        <v>0</v>
      </c>
      <c r="R299" s="2" t="inlineStr"/>
    </row>
    <row r="300" ht="15" customHeight="1">
      <c r="A300" t="inlineStr">
        <is>
          <t>A 37830-2024</t>
        </is>
      </c>
      <c r="B300" s="1" t="n">
        <v>45544.34504629629</v>
      </c>
      <c r="C300" s="1" t="n">
        <v>46177</v>
      </c>
      <c r="D300" t="inlineStr">
        <is>
          <t>DALARNAS LÄN</t>
        </is>
      </c>
      <c r="E300" t="inlineStr">
        <is>
          <t>ORSA</t>
        </is>
      </c>
      <c r="G300" t="n">
        <v>0.8</v>
      </c>
      <c r="H300" t="n">
        <v>0</v>
      </c>
      <c r="I300" t="n">
        <v>0</v>
      </c>
      <c r="J300" t="n">
        <v>0</v>
      </c>
      <c r="K300" t="n">
        <v>0</v>
      </c>
      <c r="L300" t="n">
        <v>0</v>
      </c>
      <c r="M300" t="n">
        <v>0</v>
      </c>
      <c r="N300" t="n">
        <v>0</v>
      </c>
      <c r="O300" t="n">
        <v>0</v>
      </c>
      <c r="P300" t="n">
        <v>0</v>
      </c>
      <c r="Q300" t="n">
        <v>0</v>
      </c>
      <c r="R300" s="2" t="inlineStr"/>
    </row>
    <row r="301" ht="15" customHeight="1">
      <c r="A301" t="inlineStr">
        <is>
          <t>A 20302-2023</t>
        </is>
      </c>
      <c r="B301" s="1" t="n">
        <v>45056</v>
      </c>
      <c r="C301" s="1" t="n">
        <v>46177</v>
      </c>
      <c r="D301" t="inlineStr">
        <is>
          <t>DALARNAS LÄN</t>
        </is>
      </c>
      <c r="E301" t="inlineStr">
        <is>
          <t>ORSA</t>
        </is>
      </c>
      <c r="G301" t="n">
        <v>2.1</v>
      </c>
      <c r="H301" t="n">
        <v>0</v>
      </c>
      <c r="I301" t="n">
        <v>0</v>
      </c>
      <c r="J301" t="n">
        <v>0</v>
      </c>
      <c r="K301" t="n">
        <v>0</v>
      </c>
      <c r="L301" t="n">
        <v>0</v>
      </c>
      <c r="M301" t="n">
        <v>0</v>
      </c>
      <c r="N301" t="n">
        <v>0</v>
      </c>
      <c r="O301" t="n">
        <v>0</v>
      </c>
      <c r="P301" t="n">
        <v>0</v>
      </c>
      <c r="Q301" t="n">
        <v>0</v>
      </c>
      <c r="R301" s="2" t="inlineStr"/>
    </row>
    <row r="302" ht="15" customHeight="1">
      <c r="A302" t="inlineStr">
        <is>
          <t>A 26741-2025</t>
        </is>
      </c>
      <c r="B302" s="1" t="n">
        <v>45810.52444444445</v>
      </c>
      <c r="C302" s="1" t="n">
        <v>46177</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46421-2025</t>
        </is>
      </c>
      <c r="B303" s="1" t="n">
        <v>45925.59936342593</v>
      </c>
      <c r="C303" s="1" t="n">
        <v>46177</v>
      </c>
      <c r="D303" t="inlineStr">
        <is>
          <t>DALARNAS LÄN</t>
        </is>
      </c>
      <c r="E303" t="inlineStr">
        <is>
          <t>ORSA</t>
        </is>
      </c>
      <c r="F303" t="inlineStr">
        <is>
          <t>Allmännings- och besparingsskogar</t>
        </is>
      </c>
      <c r="G303" t="n">
        <v>6.2</v>
      </c>
      <c r="H303" t="n">
        <v>0</v>
      </c>
      <c r="I303" t="n">
        <v>0</v>
      </c>
      <c r="J303" t="n">
        <v>0</v>
      </c>
      <c r="K303" t="n">
        <v>0</v>
      </c>
      <c r="L303" t="n">
        <v>0</v>
      </c>
      <c r="M303" t="n">
        <v>0</v>
      </c>
      <c r="N303" t="n">
        <v>0</v>
      </c>
      <c r="O303" t="n">
        <v>0</v>
      </c>
      <c r="P303" t="n">
        <v>0</v>
      </c>
      <c r="Q303" t="n">
        <v>0</v>
      </c>
      <c r="R303" s="2" t="inlineStr"/>
    </row>
    <row r="304" ht="15" customHeight="1">
      <c r="A304" t="inlineStr">
        <is>
          <t>A 6490-2025</t>
        </is>
      </c>
      <c r="B304" s="1" t="n">
        <v>45699</v>
      </c>
      <c r="C304" s="1" t="n">
        <v>46177</v>
      </c>
      <c r="D304" t="inlineStr">
        <is>
          <t>DALARNAS LÄN</t>
        </is>
      </c>
      <c r="E304" t="inlineStr">
        <is>
          <t>ORSA</t>
        </is>
      </c>
      <c r="G304" t="n">
        <v>7.5</v>
      </c>
      <c r="H304" t="n">
        <v>0</v>
      </c>
      <c r="I304" t="n">
        <v>0</v>
      </c>
      <c r="J304" t="n">
        <v>0</v>
      </c>
      <c r="K304" t="n">
        <v>0</v>
      </c>
      <c r="L304" t="n">
        <v>0</v>
      </c>
      <c r="M304" t="n">
        <v>0</v>
      </c>
      <c r="N304" t="n">
        <v>0</v>
      </c>
      <c r="O304" t="n">
        <v>0</v>
      </c>
      <c r="P304" t="n">
        <v>0</v>
      </c>
      <c r="Q304" t="n">
        <v>0</v>
      </c>
      <c r="R304" s="2" t="inlineStr"/>
    </row>
    <row r="305" ht="15" customHeight="1">
      <c r="A305" t="inlineStr">
        <is>
          <t>A 27221-2025</t>
        </is>
      </c>
      <c r="B305" s="1" t="n">
        <v>45812.42304398148</v>
      </c>
      <c r="C305" s="1" t="n">
        <v>46177</v>
      </c>
      <c r="D305" t="inlineStr">
        <is>
          <t>DALARNAS LÄN</t>
        </is>
      </c>
      <c r="E305" t="inlineStr">
        <is>
          <t>ORSA</t>
        </is>
      </c>
      <c r="F305" t="inlineStr">
        <is>
          <t>Bergvik skog öst AB</t>
        </is>
      </c>
      <c r="G305" t="n">
        <v>3.7</v>
      </c>
      <c r="H305" t="n">
        <v>0</v>
      </c>
      <c r="I305" t="n">
        <v>0</v>
      </c>
      <c r="J305" t="n">
        <v>0</v>
      </c>
      <c r="K305" t="n">
        <v>0</v>
      </c>
      <c r="L305" t="n">
        <v>0</v>
      </c>
      <c r="M305" t="n">
        <v>0</v>
      </c>
      <c r="N305" t="n">
        <v>0</v>
      </c>
      <c r="O305" t="n">
        <v>0</v>
      </c>
      <c r="P305" t="n">
        <v>0</v>
      </c>
      <c r="Q305" t="n">
        <v>0</v>
      </c>
      <c r="R305" s="2" t="inlineStr"/>
    </row>
    <row r="306" ht="15" customHeight="1">
      <c r="A306" t="inlineStr">
        <is>
          <t>A 27313-2025</t>
        </is>
      </c>
      <c r="B306" s="1" t="n">
        <v>45812.58365740741</v>
      </c>
      <c r="C306" s="1" t="n">
        <v>46177</v>
      </c>
      <c r="D306" t="inlineStr">
        <is>
          <t>DALARNAS LÄN</t>
        </is>
      </c>
      <c r="E306" t="inlineStr">
        <is>
          <t>ORSA</t>
        </is>
      </c>
      <c r="F306" t="inlineStr">
        <is>
          <t>Allmännings- och besparingsskogar</t>
        </is>
      </c>
      <c r="G306" t="n">
        <v>1.4</v>
      </c>
      <c r="H306" t="n">
        <v>0</v>
      </c>
      <c r="I306" t="n">
        <v>0</v>
      </c>
      <c r="J306" t="n">
        <v>0</v>
      </c>
      <c r="K306" t="n">
        <v>0</v>
      </c>
      <c r="L306" t="n">
        <v>0</v>
      </c>
      <c r="M306" t="n">
        <v>0</v>
      </c>
      <c r="N306" t="n">
        <v>0</v>
      </c>
      <c r="O306" t="n">
        <v>0</v>
      </c>
      <c r="P306" t="n">
        <v>0</v>
      </c>
      <c r="Q306" t="n">
        <v>0</v>
      </c>
      <c r="R306" s="2" t="inlineStr"/>
    </row>
    <row r="307" ht="15" customHeight="1">
      <c r="A307" t="inlineStr">
        <is>
          <t>A 10359-2023</t>
        </is>
      </c>
      <c r="B307" s="1" t="n">
        <v>44987.37292824074</v>
      </c>
      <c r="C307" s="1" t="n">
        <v>46177</v>
      </c>
      <c r="D307" t="inlineStr">
        <is>
          <t>DALARNAS LÄN</t>
        </is>
      </c>
      <c r="E307" t="inlineStr">
        <is>
          <t>ORSA</t>
        </is>
      </c>
      <c r="G307" t="n">
        <v>2.5</v>
      </c>
      <c r="H307" t="n">
        <v>0</v>
      </c>
      <c r="I307" t="n">
        <v>0</v>
      </c>
      <c r="J307" t="n">
        <v>0</v>
      </c>
      <c r="K307" t="n">
        <v>0</v>
      </c>
      <c r="L307" t="n">
        <v>0</v>
      </c>
      <c r="M307" t="n">
        <v>0</v>
      </c>
      <c r="N307" t="n">
        <v>0</v>
      </c>
      <c r="O307" t="n">
        <v>0</v>
      </c>
      <c r="P307" t="n">
        <v>0</v>
      </c>
      <c r="Q307" t="n">
        <v>0</v>
      </c>
      <c r="R307" s="2" t="inlineStr"/>
    </row>
    <row r="308" ht="15" customHeight="1">
      <c r="A308" t="inlineStr">
        <is>
          <t>A 27190-2025</t>
        </is>
      </c>
      <c r="B308" s="1" t="n">
        <v>45812.37025462963</v>
      </c>
      <c r="C308" s="1" t="n">
        <v>46177</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46272-2025</t>
        </is>
      </c>
      <c r="B309" s="1" t="n">
        <v>45925.36988425926</v>
      </c>
      <c r="C309" s="1" t="n">
        <v>46177</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46242-2025</t>
        </is>
      </c>
      <c r="B310" s="1" t="n">
        <v>45925.31876157408</v>
      </c>
      <c r="C310" s="1" t="n">
        <v>46177</v>
      </c>
      <c r="D310" t="inlineStr">
        <is>
          <t>DALARNAS LÄN</t>
        </is>
      </c>
      <c r="E310" t="inlineStr">
        <is>
          <t>ORSA</t>
        </is>
      </c>
      <c r="G310" t="n">
        <v>5.6</v>
      </c>
      <c r="H310" t="n">
        <v>0</v>
      </c>
      <c r="I310" t="n">
        <v>0</v>
      </c>
      <c r="J310" t="n">
        <v>0</v>
      </c>
      <c r="K310" t="n">
        <v>0</v>
      </c>
      <c r="L310" t="n">
        <v>0</v>
      </c>
      <c r="M310" t="n">
        <v>0</v>
      </c>
      <c r="N310" t="n">
        <v>0</v>
      </c>
      <c r="O310" t="n">
        <v>0</v>
      </c>
      <c r="P310" t="n">
        <v>0</v>
      </c>
      <c r="Q310" t="n">
        <v>0</v>
      </c>
      <c r="R310" s="2" t="inlineStr"/>
    </row>
    <row r="311" ht="15" customHeight="1">
      <c r="A311" t="inlineStr">
        <is>
          <t>A 45272-2022</t>
        </is>
      </c>
      <c r="B311" s="1" t="n">
        <v>44844</v>
      </c>
      <c r="C311" s="1" t="n">
        <v>46177</v>
      </c>
      <c r="D311" t="inlineStr">
        <is>
          <t>DALARNAS LÄN</t>
        </is>
      </c>
      <c r="E311" t="inlineStr">
        <is>
          <t>ORSA</t>
        </is>
      </c>
      <c r="G311" t="n">
        <v>0.3</v>
      </c>
      <c r="H311" t="n">
        <v>0</v>
      </c>
      <c r="I311" t="n">
        <v>0</v>
      </c>
      <c r="J311" t="n">
        <v>0</v>
      </c>
      <c r="K311" t="n">
        <v>0</v>
      </c>
      <c r="L311" t="n">
        <v>0</v>
      </c>
      <c r="M311" t="n">
        <v>0</v>
      </c>
      <c r="N311" t="n">
        <v>0</v>
      </c>
      <c r="O311" t="n">
        <v>0</v>
      </c>
      <c r="P311" t="n">
        <v>0</v>
      </c>
      <c r="Q311" t="n">
        <v>0</v>
      </c>
      <c r="R311" s="2" t="inlineStr"/>
    </row>
    <row r="312" ht="15" customHeight="1">
      <c r="A312" t="inlineStr">
        <is>
          <t>A 46402-2025</t>
        </is>
      </c>
      <c r="B312" s="1" t="n">
        <v>45925.56084490741</v>
      </c>
      <c r="C312" s="1" t="n">
        <v>46177</v>
      </c>
      <c r="D312" t="inlineStr">
        <is>
          <t>DALARNAS LÄN</t>
        </is>
      </c>
      <c r="E312" t="inlineStr">
        <is>
          <t>ORSA</t>
        </is>
      </c>
      <c r="F312" t="inlineStr">
        <is>
          <t>Allmännings- och besparingsskogar</t>
        </is>
      </c>
      <c r="G312" t="n">
        <v>0.7</v>
      </c>
      <c r="H312" t="n">
        <v>0</v>
      </c>
      <c r="I312" t="n">
        <v>0</v>
      </c>
      <c r="J312" t="n">
        <v>0</v>
      </c>
      <c r="K312" t="n">
        <v>0</v>
      </c>
      <c r="L312" t="n">
        <v>0</v>
      </c>
      <c r="M312" t="n">
        <v>0</v>
      </c>
      <c r="N312" t="n">
        <v>0</v>
      </c>
      <c r="O312" t="n">
        <v>0</v>
      </c>
      <c r="P312" t="n">
        <v>0</v>
      </c>
      <c r="Q312" t="n">
        <v>0</v>
      </c>
      <c r="R312" s="2" t="inlineStr"/>
    </row>
    <row r="313" ht="15" customHeight="1">
      <c r="A313" t="inlineStr">
        <is>
          <t>A 46277-2025</t>
        </is>
      </c>
      <c r="B313" s="1" t="n">
        <v>45925.37229166667</v>
      </c>
      <c r="C313" s="1" t="n">
        <v>46177</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4202-2025</t>
        </is>
      </c>
      <c r="B314" s="1" t="n">
        <v>45685.46236111111</v>
      </c>
      <c r="C314" s="1" t="n">
        <v>46177</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4204-2025</t>
        </is>
      </c>
      <c r="B315" s="1" t="n">
        <v>45685.46390046296</v>
      </c>
      <c r="C315" s="1" t="n">
        <v>46177</v>
      </c>
      <c r="D315" t="inlineStr">
        <is>
          <t>DALARNAS LÄN</t>
        </is>
      </c>
      <c r="E315" t="inlineStr">
        <is>
          <t>ORSA</t>
        </is>
      </c>
      <c r="G315" t="n">
        <v>1.8</v>
      </c>
      <c r="H315" t="n">
        <v>0</v>
      </c>
      <c r="I315" t="n">
        <v>0</v>
      </c>
      <c r="J315" t="n">
        <v>0</v>
      </c>
      <c r="K315" t="n">
        <v>0</v>
      </c>
      <c r="L315" t="n">
        <v>0</v>
      </c>
      <c r="M315" t="n">
        <v>0</v>
      </c>
      <c r="N315" t="n">
        <v>0</v>
      </c>
      <c r="O315" t="n">
        <v>0</v>
      </c>
      <c r="P315" t="n">
        <v>0</v>
      </c>
      <c r="Q315" t="n">
        <v>0</v>
      </c>
      <c r="R315" s="2" t="inlineStr"/>
    </row>
    <row r="316" ht="15" customHeight="1">
      <c r="A316" t="inlineStr">
        <is>
          <t>A 15769-2025</t>
        </is>
      </c>
      <c r="B316" s="1" t="n">
        <v>45748.58792824074</v>
      </c>
      <c r="C316" s="1" t="n">
        <v>46177</v>
      </c>
      <c r="D316" t="inlineStr">
        <is>
          <t>DALARNAS LÄN</t>
        </is>
      </c>
      <c r="E316" t="inlineStr">
        <is>
          <t>ORSA</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28207-2025</t>
        </is>
      </c>
      <c r="B317" s="1" t="n">
        <v>45818.44871527778</v>
      </c>
      <c r="C317" s="1" t="n">
        <v>46177</v>
      </c>
      <c r="D317" t="inlineStr">
        <is>
          <t>DALARNAS LÄN</t>
        </is>
      </c>
      <c r="E317" t="inlineStr">
        <is>
          <t>ORSA</t>
        </is>
      </c>
      <c r="F317" t="inlineStr">
        <is>
          <t>Bergvik skog öst AB</t>
        </is>
      </c>
      <c r="G317" t="n">
        <v>2.9</v>
      </c>
      <c r="H317" t="n">
        <v>0</v>
      </c>
      <c r="I317" t="n">
        <v>0</v>
      </c>
      <c r="J317" t="n">
        <v>0</v>
      </c>
      <c r="K317" t="n">
        <v>0</v>
      </c>
      <c r="L317" t="n">
        <v>0</v>
      </c>
      <c r="M317" t="n">
        <v>0</v>
      </c>
      <c r="N317" t="n">
        <v>0</v>
      </c>
      <c r="O317" t="n">
        <v>0</v>
      </c>
      <c r="P317" t="n">
        <v>0</v>
      </c>
      <c r="Q317" t="n">
        <v>0</v>
      </c>
      <c r="R317" s="2" t="inlineStr"/>
    </row>
    <row r="318" ht="15" customHeight="1">
      <c r="A318" t="inlineStr">
        <is>
          <t>A 49270-2024</t>
        </is>
      </c>
      <c r="B318" s="1" t="n">
        <v>45595.49896990741</v>
      </c>
      <c r="C318" s="1" t="n">
        <v>46177</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37931-2023</t>
        </is>
      </c>
      <c r="B319" s="1" t="n">
        <v>45160.51721064815</v>
      </c>
      <c r="C319" s="1" t="n">
        <v>46177</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50061-2024</t>
        </is>
      </c>
      <c r="B320" s="1" t="n">
        <v>45600.34721064815</v>
      </c>
      <c r="C320" s="1" t="n">
        <v>46177</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7628-2025</t>
        </is>
      </c>
      <c r="B321" s="1" t="n">
        <v>45705.73394675926</v>
      </c>
      <c r="C321" s="1" t="n">
        <v>46177</v>
      </c>
      <c r="D321" t="inlineStr">
        <is>
          <t>DALARNAS LÄN</t>
        </is>
      </c>
      <c r="E321" t="inlineStr">
        <is>
          <t>ORSA</t>
        </is>
      </c>
      <c r="G321" t="n">
        <v>1.8</v>
      </c>
      <c r="H321" t="n">
        <v>0</v>
      </c>
      <c r="I321" t="n">
        <v>0</v>
      </c>
      <c r="J321" t="n">
        <v>0</v>
      </c>
      <c r="K321" t="n">
        <v>0</v>
      </c>
      <c r="L321" t="n">
        <v>0</v>
      </c>
      <c r="M321" t="n">
        <v>0</v>
      </c>
      <c r="N321" t="n">
        <v>0</v>
      </c>
      <c r="O321" t="n">
        <v>0</v>
      </c>
      <c r="P321" t="n">
        <v>0</v>
      </c>
      <c r="Q321" t="n">
        <v>0</v>
      </c>
      <c r="R321" s="2" t="inlineStr"/>
    </row>
    <row r="322" ht="15" customHeight="1">
      <c r="A322" t="inlineStr">
        <is>
          <t>A 27866-2025</t>
        </is>
      </c>
      <c r="B322" s="1" t="n">
        <v>45817.4262962963</v>
      </c>
      <c r="C322" s="1" t="n">
        <v>46177</v>
      </c>
      <c r="D322" t="inlineStr">
        <is>
          <t>DALARNAS LÄN</t>
        </is>
      </c>
      <c r="E322" t="inlineStr">
        <is>
          <t>ORSA</t>
        </is>
      </c>
      <c r="F322" t="inlineStr">
        <is>
          <t>Allmännings- och besparingsskogar</t>
        </is>
      </c>
      <c r="G322" t="n">
        <v>6</v>
      </c>
      <c r="H322" t="n">
        <v>0</v>
      </c>
      <c r="I322" t="n">
        <v>0</v>
      </c>
      <c r="J322" t="n">
        <v>0</v>
      </c>
      <c r="K322" t="n">
        <v>0</v>
      </c>
      <c r="L322" t="n">
        <v>0</v>
      </c>
      <c r="M322" t="n">
        <v>0</v>
      </c>
      <c r="N322" t="n">
        <v>0</v>
      </c>
      <c r="O322" t="n">
        <v>0</v>
      </c>
      <c r="P322" t="n">
        <v>0</v>
      </c>
      <c r="Q322" t="n">
        <v>0</v>
      </c>
      <c r="R322" s="2" t="inlineStr"/>
    </row>
    <row r="323" ht="15" customHeight="1">
      <c r="A323" t="inlineStr">
        <is>
          <t>A 15766-2025</t>
        </is>
      </c>
      <c r="B323" s="1" t="n">
        <v>45748.58409722222</v>
      </c>
      <c r="C323" s="1" t="n">
        <v>46177</v>
      </c>
      <c r="D323" t="inlineStr">
        <is>
          <t>DALARNAS LÄN</t>
        </is>
      </c>
      <c r="E323" t="inlineStr">
        <is>
          <t>ORSA</t>
        </is>
      </c>
      <c r="F323" t="inlineStr">
        <is>
          <t>Bergvik skog öst AB</t>
        </is>
      </c>
      <c r="G323" t="n">
        <v>9</v>
      </c>
      <c r="H323" t="n">
        <v>0</v>
      </c>
      <c r="I323" t="n">
        <v>0</v>
      </c>
      <c r="J323" t="n">
        <v>0</v>
      </c>
      <c r="K323" t="n">
        <v>0</v>
      </c>
      <c r="L323" t="n">
        <v>0</v>
      </c>
      <c r="M323" t="n">
        <v>0</v>
      </c>
      <c r="N323" t="n">
        <v>0</v>
      </c>
      <c r="O323" t="n">
        <v>0</v>
      </c>
      <c r="P323" t="n">
        <v>0</v>
      </c>
      <c r="Q323" t="n">
        <v>0</v>
      </c>
      <c r="R323" s="2" t="inlineStr"/>
    </row>
    <row r="324" ht="15" customHeight="1">
      <c r="A324" t="inlineStr">
        <is>
          <t>A 8579-2025</t>
        </is>
      </c>
      <c r="B324" s="1" t="n">
        <v>45709</v>
      </c>
      <c r="C324" s="1" t="n">
        <v>46177</v>
      </c>
      <c r="D324" t="inlineStr">
        <is>
          <t>DALARNAS LÄN</t>
        </is>
      </c>
      <c r="E324" t="inlineStr">
        <is>
          <t>ORSA</t>
        </is>
      </c>
      <c r="G324" t="n">
        <v>1.2</v>
      </c>
      <c r="H324" t="n">
        <v>0</v>
      </c>
      <c r="I324" t="n">
        <v>0</v>
      </c>
      <c r="J324" t="n">
        <v>0</v>
      </c>
      <c r="K324" t="n">
        <v>0</v>
      </c>
      <c r="L324" t="n">
        <v>0</v>
      </c>
      <c r="M324" t="n">
        <v>0</v>
      </c>
      <c r="N324" t="n">
        <v>0</v>
      </c>
      <c r="O324" t="n">
        <v>0</v>
      </c>
      <c r="P324" t="n">
        <v>0</v>
      </c>
      <c r="Q324" t="n">
        <v>0</v>
      </c>
      <c r="R324" s="2" t="inlineStr"/>
    </row>
    <row r="325" ht="15" customHeight="1">
      <c r="A325" t="inlineStr">
        <is>
          <t>A 56810-2024</t>
        </is>
      </c>
      <c r="B325" s="1" t="n">
        <v>45628</v>
      </c>
      <c r="C325" s="1" t="n">
        <v>46177</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56811-2024</t>
        </is>
      </c>
      <c r="B326" s="1" t="n">
        <v>45628</v>
      </c>
      <c r="C326" s="1" t="n">
        <v>46177</v>
      </c>
      <c r="D326" t="inlineStr">
        <is>
          <t>DALARNAS LÄN</t>
        </is>
      </c>
      <c r="E326" t="inlineStr">
        <is>
          <t>ORSA</t>
        </is>
      </c>
      <c r="G326" t="n">
        <v>1.3</v>
      </c>
      <c r="H326" t="n">
        <v>0</v>
      </c>
      <c r="I326" t="n">
        <v>0</v>
      </c>
      <c r="J326" t="n">
        <v>0</v>
      </c>
      <c r="K326" t="n">
        <v>0</v>
      </c>
      <c r="L326" t="n">
        <v>0</v>
      </c>
      <c r="M326" t="n">
        <v>0</v>
      </c>
      <c r="N326" t="n">
        <v>0</v>
      </c>
      <c r="O326" t="n">
        <v>0</v>
      </c>
      <c r="P326" t="n">
        <v>0</v>
      </c>
      <c r="Q326" t="n">
        <v>0</v>
      </c>
      <c r="R326" s="2" t="inlineStr"/>
    </row>
    <row r="327" ht="15" customHeight="1">
      <c r="A327" t="inlineStr">
        <is>
          <t>A 27987-2025</t>
        </is>
      </c>
      <c r="B327" s="1" t="n">
        <v>45817.58361111111</v>
      </c>
      <c r="C327" s="1" t="n">
        <v>46177</v>
      </c>
      <c r="D327" t="inlineStr">
        <is>
          <t>DALARNAS LÄN</t>
        </is>
      </c>
      <c r="E327" t="inlineStr">
        <is>
          <t>ORSA</t>
        </is>
      </c>
      <c r="F327" t="inlineStr">
        <is>
          <t>Allmännings- och besparingsskogar</t>
        </is>
      </c>
      <c r="G327" t="n">
        <v>2.5</v>
      </c>
      <c r="H327" t="n">
        <v>0</v>
      </c>
      <c r="I327" t="n">
        <v>0</v>
      </c>
      <c r="J327" t="n">
        <v>0</v>
      </c>
      <c r="K327" t="n">
        <v>0</v>
      </c>
      <c r="L327" t="n">
        <v>0</v>
      </c>
      <c r="M327" t="n">
        <v>0</v>
      </c>
      <c r="N327" t="n">
        <v>0</v>
      </c>
      <c r="O327" t="n">
        <v>0</v>
      </c>
      <c r="P327" t="n">
        <v>0</v>
      </c>
      <c r="Q327" t="n">
        <v>0</v>
      </c>
      <c r="R327" s="2" t="inlineStr"/>
    </row>
    <row r="328" ht="15" customHeight="1">
      <c r="A328" t="inlineStr">
        <is>
          <t>A 26301-2023</t>
        </is>
      </c>
      <c r="B328" s="1" t="n">
        <v>45091</v>
      </c>
      <c r="C328" s="1" t="n">
        <v>46177</v>
      </c>
      <c r="D328" t="inlineStr">
        <is>
          <t>DALARNAS LÄN</t>
        </is>
      </c>
      <c r="E328" t="inlineStr">
        <is>
          <t>ORSA</t>
        </is>
      </c>
      <c r="G328" t="n">
        <v>1.7</v>
      </c>
      <c r="H328" t="n">
        <v>0</v>
      </c>
      <c r="I328" t="n">
        <v>0</v>
      </c>
      <c r="J328" t="n">
        <v>0</v>
      </c>
      <c r="K328" t="n">
        <v>0</v>
      </c>
      <c r="L328" t="n">
        <v>0</v>
      </c>
      <c r="M328" t="n">
        <v>0</v>
      </c>
      <c r="N328" t="n">
        <v>0</v>
      </c>
      <c r="O328" t="n">
        <v>0</v>
      </c>
      <c r="P328" t="n">
        <v>0</v>
      </c>
      <c r="Q328" t="n">
        <v>0</v>
      </c>
      <c r="R328" s="2" t="inlineStr"/>
    </row>
    <row r="329" ht="15" customHeight="1">
      <c r="A329" t="inlineStr">
        <is>
          <t>A 3168-2024</t>
        </is>
      </c>
      <c r="B329" s="1" t="n">
        <v>45316.62863425926</v>
      </c>
      <c r="C329" s="1" t="n">
        <v>46177</v>
      </c>
      <c r="D329" t="inlineStr">
        <is>
          <t>DALARNAS LÄN</t>
        </is>
      </c>
      <c r="E329" t="inlineStr">
        <is>
          <t>ORSA</t>
        </is>
      </c>
      <c r="G329" t="n">
        <v>0.7</v>
      </c>
      <c r="H329" t="n">
        <v>0</v>
      </c>
      <c r="I329" t="n">
        <v>0</v>
      </c>
      <c r="J329" t="n">
        <v>0</v>
      </c>
      <c r="K329" t="n">
        <v>0</v>
      </c>
      <c r="L329" t="n">
        <v>0</v>
      </c>
      <c r="M329" t="n">
        <v>0</v>
      </c>
      <c r="N329" t="n">
        <v>0</v>
      </c>
      <c r="O329" t="n">
        <v>0</v>
      </c>
      <c r="P329" t="n">
        <v>0</v>
      </c>
      <c r="Q329" t="n">
        <v>0</v>
      </c>
      <c r="R329" s="2" t="inlineStr"/>
    </row>
    <row r="330" ht="15" customHeight="1">
      <c r="A330" t="inlineStr">
        <is>
          <t>A 17421-2025</t>
        </is>
      </c>
      <c r="B330" s="1" t="n">
        <v>45757.38532407407</v>
      </c>
      <c r="C330" s="1" t="n">
        <v>46177</v>
      </c>
      <c r="D330" t="inlineStr">
        <is>
          <t>DALARNAS LÄN</t>
        </is>
      </c>
      <c r="E330" t="inlineStr">
        <is>
          <t>ORSA</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33265-2021</t>
        </is>
      </c>
      <c r="B331" s="1" t="n">
        <v>44377</v>
      </c>
      <c r="C331" s="1" t="n">
        <v>46177</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17518-2025</t>
        </is>
      </c>
      <c r="B332" s="1" t="n">
        <v>45757.57597222222</v>
      </c>
      <c r="C332" s="1" t="n">
        <v>46177</v>
      </c>
      <c r="D332" t="inlineStr">
        <is>
          <t>DALARNAS LÄN</t>
        </is>
      </c>
      <c r="E332" t="inlineStr">
        <is>
          <t>ORSA</t>
        </is>
      </c>
      <c r="F332" t="inlineStr">
        <is>
          <t>Bergvik skog öst AB</t>
        </is>
      </c>
      <c r="G332" t="n">
        <v>7.3</v>
      </c>
      <c r="H332" t="n">
        <v>0</v>
      </c>
      <c r="I332" t="n">
        <v>0</v>
      </c>
      <c r="J332" t="n">
        <v>0</v>
      </c>
      <c r="K332" t="n">
        <v>0</v>
      </c>
      <c r="L332" t="n">
        <v>0</v>
      </c>
      <c r="M332" t="n">
        <v>0</v>
      </c>
      <c r="N332" t="n">
        <v>0</v>
      </c>
      <c r="O332" t="n">
        <v>0</v>
      </c>
      <c r="P332" t="n">
        <v>0</v>
      </c>
      <c r="Q332" t="n">
        <v>0</v>
      </c>
      <c r="R332" s="2" t="inlineStr"/>
    </row>
    <row r="333" ht="15" customHeight="1">
      <c r="A333" t="inlineStr">
        <is>
          <t>A 47953-2025</t>
        </is>
      </c>
      <c r="B333" s="1" t="n">
        <v>45932.5853125</v>
      </c>
      <c r="C333" s="1" t="n">
        <v>46177</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49781-2023</t>
        </is>
      </c>
      <c r="B334" s="1" t="n">
        <v>45212.60275462963</v>
      </c>
      <c r="C334" s="1" t="n">
        <v>46177</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49814-2023</t>
        </is>
      </c>
      <c r="B335" s="1" t="n">
        <v>45212.67149305555</v>
      </c>
      <c r="C335" s="1" t="n">
        <v>46177</v>
      </c>
      <c r="D335" t="inlineStr">
        <is>
          <t>DALARNAS LÄN</t>
        </is>
      </c>
      <c r="E335" t="inlineStr">
        <is>
          <t>ORSA</t>
        </is>
      </c>
      <c r="G335" t="n">
        <v>0.7</v>
      </c>
      <c r="H335" t="n">
        <v>0</v>
      </c>
      <c r="I335" t="n">
        <v>0</v>
      </c>
      <c r="J335" t="n">
        <v>0</v>
      </c>
      <c r="K335" t="n">
        <v>0</v>
      </c>
      <c r="L335" t="n">
        <v>0</v>
      </c>
      <c r="M335" t="n">
        <v>0</v>
      </c>
      <c r="N335" t="n">
        <v>0</v>
      </c>
      <c r="O335" t="n">
        <v>0</v>
      </c>
      <c r="P335" t="n">
        <v>0</v>
      </c>
      <c r="Q335" t="n">
        <v>0</v>
      </c>
      <c r="R335" s="2" t="inlineStr"/>
    </row>
    <row r="336" ht="15" customHeight="1">
      <c r="A336" t="inlineStr">
        <is>
          <t>A 27885-2025</t>
        </is>
      </c>
      <c r="B336" s="1" t="n">
        <v>45817.45034722222</v>
      </c>
      <c r="C336" s="1" t="n">
        <v>46177</v>
      </c>
      <c r="D336" t="inlineStr">
        <is>
          <t>DALARNAS LÄN</t>
        </is>
      </c>
      <c r="E336" t="inlineStr">
        <is>
          <t>ORSA</t>
        </is>
      </c>
      <c r="F336" t="inlineStr">
        <is>
          <t>Allmännings- och besparingsskogar</t>
        </is>
      </c>
      <c r="G336" t="n">
        <v>3.4</v>
      </c>
      <c r="H336" t="n">
        <v>0</v>
      </c>
      <c r="I336" t="n">
        <v>0</v>
      </c>
      <c r="J336" t="n">
        <v>0</v>
      </c>
      <c r="K336" t="n">
        <v>0</v>
      </c>
      <c r="L336" t="n">
        <v>0</v>
      </c>
      <c r="M336" t="n">
        <v>0</v>
      </c>
      <c r="N336" t="n">
        <v>0</v>
      </c>
      <c r="O336" t="n">
        <v>0</v>
      </c>
      <c r="P336" t="n">
        <v>0</v>
      </c>
      <c r="Q336" t="n">
        <v>0</v>
      </c>
      <c r="R336" s="2" t="inlineStr"/>
    </row>
    <row r="337" ht="15" customHeight="1">
      <c r="A337" t="inlineStr">
        <is>
          <t>A 50905-2021</t>
        </is>
      </c>
      <c r="B337" s="1" t="n">
        <v>44460</v>
      </c>
      <c r="C337" s="1" t="n">
        <v>46177</v>
      </c>
      <c r="D337" t="inlineStr">
        <is>
          <t>DALARNAS LÄN</t>
        </is>
      </c>
      <c r="E337" t="inlineStr">
        <is>
          <t>ORSA</t>
        </is>
      </c>
      <c r="G337" t="n">
        <v>2.1</v>
      </c>
      <c r="H337" t="n">
        <v>0</v>
      </c>
      <c r="I337" t="n">
        <v>0</v>
      </c>
      <c r="J337" t="n">
        <v>0</v>
      </c>
      <c r="K337" t="n">
        <v>0</v>
      </c>
      <c r="L337" t="n">
        <v>0</v>
      </c>
      <c r="M337" t="n">
        <v>0</v>
      </c>
      <c r="N337" t="n">
        <v>0</v>
      </c>
      <c r="O337" t="n">
        <v>0</v>
      </c>
      <c r="P337" t="n">
        <v>0</v>
      </c>
      <c r="Q337" t="n">
        <v>0</v>
      </c>
      <c r="R337" s="2" t="inlineStr"/>
    </row>
    <row r="338" ht="15" customHeight="1">
      <c r="A338" t="inlineStr">
        <is>
          <t>A 72310-2021</t>
        </is>
      </c>
      <c r="B338" s="1" t="n">
        <v>44545</v>
      </c>
      <c r="C338" s="1" t="n">
        <v>46177</v>
      </c>
      <c r="D338" t="inlineStr">
        <is>
          <t>DALARNAS LÄN</t>
        </is>
      </c>
      <c r="E338" t="inlineStr">
        <is>
          <t>ORSA</t>
        </is>
      </c>
      <c r="G338" t="n">
        <v>0.5</v>
      </c>
      <c r="H338" t="n">
        <v>0</v>
      </c>
      <c r="I338" t="n">
        <v>0</v>
      </c>
      <c r="J338" t="n">
        <v>0</v>
      </c>
      <c r="K338" t="n">
        <v>0</v>
      </c>
      <c r="L338" t="n">
        <v>0</v>
      </c>
      <c r="M338" t="n">
        <v>0</v>
      </c>
      <c r="N338" t="n">
        <v>0</v>
      </c>
      <c r="O338" t="n">
        <v>0</v>
      </c>
      <c r="P338" t="n">
        <v>0</v>
      </c>
      <c r="Q338" t="n">
        <v>0</v>
      </c>
      <c r="R338" s="2" t="inlineStr"/>
    </row>
    <row r="339" ht="15" customHeight="1">
      <c r="A339" t="inlineStr">
        <is>
          <t>A 48546-2025</t>
        </is>
      </c>
      <c r="B339" s="1" t="n">
        <v>45936.42172453704</v>
      </c>
      <c r="C339" s="1" t="n">
        <v>46177</v>
      </c>
      <c r="D339" t="inlineStr">
        <is>
          <t>DALARNAS LÄN</t>
        </is>
      </c>
      <c r="E339" t="inlineStr">
        <is>
          <t>ORSA</t>
        </is>
      </c>
      <c r="F339" t="inlineStr">
        <is>
          <t>Allmännings- och besparingsskogar</t>
        </is>
      </c>
      <c r="G339" t="n">
        <v>6</v>
      </c>
      <c r="H339" t="n">
        <v>0</v>
      </c>
      <c r="I339" t="n">
        <v>0</v>
      </c>
      <c r="J339" t="n">
        <v>0</v>
      </c>
      <c r="K339" t="n">
        <v>0</v>
      </c>
      <c r="L339" t="n">
        <v>0</v>
      </c>
      <c r="M339" t="n">
        <v>0</v>
      </c>
      <c r="N339" t="n">
        <v>0</v>
      </c>
      <c r="O339" t="n">
        <v>0</v>
      </c>
      <c r="P339" t="n">
        <v>0</v>
      </c>
      <c r="Q339" t="n">
        <v>0</v>
      </c>
      <c r="R339" s="2" t="inlineStr"/>
    </row>
    <row r="340" ht="15" customHeight="1">
      <c r="A340" t="inlineStr">
        <is>
          <t>A 48504-2025</t>
        </is>
      </c>
      <c r="B340" s="1" t="n">
        <v>45936.38270833333</v>
      </c>
      <c r="C340" s="1" t="n">
        <v>46177</v>
      </c>
      <c r="D340" t="inlineStr">
        <is>
          <t>DALARNAS LÄN</t>
        </is>
      </c>
      <c r="E340" t="inlineStr">
        <is>
          <t>ORSA</t>
        </is>
      </c>
      <c r="F340" t="inlineStr">
        <is>
          <t>Allmännings- och besparingsskogar</t>
        </is>
      </c>
      <c r="G340" t="n">
        <v>6.1</v>
      </c>
      <c r="H340" t="n">
        <v>0</v>
      </c>
      <c r="I340" t="n">
        <v>0</v>
      </c>
      <c r="J340" t="n">
        <v>0</v>
      </c>
      <c r="K340" t="n">
        <v>0</v>
      </c>
      <c r="L340" t="n">
        <v>0</v>
      </c>
      <c r="M340" t="n">
        <v>0</v>
      </c>
      <c r="N340" t="n">
        <v>0</v>
      </c>
      <c r="O340" t="n">
        <v>0</v>
      </c>
      <c r="P340" t="n">
        <v>0</v>
      </c>
      <c r="Q340" t="n">
        <v>0</v>
      </c>
      <c r="R340" s="2" t="inlineStr"/>
    </row>
    <row r="341" ht="15" customHeight="1">
      <c r="A341" t="inlineStr">
        <is>
          <t>A 48584-2025</t>
        </is>
      </c>
      <c r="B341" s="1" t="n">
        <v>45936.45788194444</v>
      </c>
      <c r="C341" s="1" t="n">
        <v>46177</v>
      </c>
      <c r="D341" t="inlineStr">
        <is>
          <t>DALARNAS LÄN</t>
        </is>
      </c>
      <c r="E341" t="inlineStr">
        <is>
          <t>ORSA</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34374-2024</t>
        </is>
      </c>
      <c r="B342" s="1" t="n">
        <v>45525.40091435185</v>
      </c>
      <c r="C342" s="1" t="n">
        <v>46177</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49211-2025</t>
        </is>
      </c>
      <c r="B343" s="1" t="n">
        <v>45938.43825231482</v>
      </c>
      <c r="C343" s="1" t="n">
        <v>46177</v>
      </c>
      <c r="D343" t="inlineStr">
        <is>
          <t>DALARNAS LÄN</t>
        </is>
      </c>
      <c r="E343" t="inlineStr">
        <is>
          <t>ORSA</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49396-2025</t>
        </is>
      </c>
      <c r="B344" s="1" t="n">
        <v>45938.66181712963</v>
      </c>
      <c r="C344" s="1" t="n">
        <v>46177</v>
      </c>
      <c r="D344" t="inlineStr">
        <is>
          <t>DALARNAS LÄN</t>
        </is>
      </c>
      <c r="E344" t="inlineStr">
        <is>
          <t>ORSA</t>
        </is>
      </c>
      <c r="F344" t="inlineStr">
        <is>
          <t>Allmännings- och besparingsskogar</t>
        </is>
      </c>
      <c r="G344" t="n">
        <v>9.9</v>
      </c>
      <c r="H344" t="n">
        <v>0</v>
      </c>
      <c r="I344" t="n">
        <v>0</v>
      </c>
      <c r="J344" t="n">
        <v>0</v>
      </c>
      <c r="K344" t="n">
        <v>0</v>
      </c>
      <c r="L344" t="n">
        <v>0</v>
      </c>
      <c r="M344" t="n">
        <v>0</v>
      </c>
      <c r="N344" t="n">
        <v>0</v>
      </c>
      <c r="O344" t="n">
        <v>0</v>
      </c>
      <c r="P344" t="n">
        <v>0</v>
      </c>
      <c r="Q344" t="n">
        <v>0</v>
      </c>
      <c r="R344" s="2" t="inlineStr"/>
    </row>
    <row r="345" ht="15" customHeight="1">
      <c r="A345" t="inlineStr">
        <is>
          <t>A 47732-2021</t>
        </is>
      </c>
      <c r="B345" s="1" t="n">
        <v>44448.52815972222</v>
      </c>
      <c r="C345" s="1" t="n">
        <v>46177</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60189-2022</t>
        </is>
      </c>
      <c r="B346" s="1" t="n">
        <v>44910.36798611111</v>
      </c>
      <c r="C346" s="1" t="n">
        <v>46177</v>
      </c>
      <c r="D346" t="inlineStr">
        <is>
          <t>DALARNAS LÄN</t>
        </is>
      </c>
      <c r="E346" t="inlineStr">
        <is>
          <t>ORSA</t>
        </is>
      </c>
      <c r="F346" t="inlineStr">
        <is>
          <t>Bergvik skog öst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55534-2023</t>
        </is>
      </c>
      <c r="B347" s="1" t="n">
        <v>45238</v>
      </c>
      <c r="C347" s="1" t="n">
        <v>46177</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49517-2025</t>
        </is>
      </c>
      <c r="B348" s="1" t="n">
        <v>45939.38850694444</v>
      </c>
      <c r="C348" s="1" t="n">
        <v>46177</v>
      </c>
      <c r="D348" t="inlineStr">
        <is>
          <t>DALARNAS LÄN</t>
        </is>
      </c>
      <c r="E348" t="inlineStr">
        <is>
          <t>ORSA</t>
        </is>
      </c>
      <c r="F348" t="inlineStr">
        <is>
          <t>Bergvik skog öst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21216-2023</t>
        </is>
      </c>
      <c r="B349" s="1" t="n">
        <v>45062</v>
      </c>
      <c r="C349" s="1" t="n">
        <v>46177</v>
      </c>
      <c r="D349" t="inlineStr">
        <is>
          <t>DALARNAS LÄN</t>
        </is>
      </c>
      <c r="E349" t="inlineStr">
        <is>
          <t>ORSA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13575-2025</t>
        </is>
      </c>
      <c r="B350" s="1" t="n">
        <v>45736.57871527778</v>
      </c>
      <c r="C350" s="1" t="n">
        <v>46177</v>
      </c>
      <c r="D350" t="inlineStr">
        <is>
          <t>DALARNAS LÄN</t>
        </is>
      </c>
      <c r="E350" t="inlineStr">
        <is>
          <t>ORSA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16992-2025</t>
        </is>
      </c>
      <c r="B351" s="1" t="n">
        <v>45755.50215277778</v>
      </c>
      <c r="C351" s="1" t="n">
        <v>46177</v>
      </c>
      <c r="D351" t="inlineStr">
        <is>
          <t>DALARNAS LÄN</t>
        </is>
      </c>
      <c r="E351" t="inlineStr">
        <is>
          <t>ORSA</t>
        </is>
      </c>
      <c r="G351" t="n">
        <v>1.5</v>
      </c>
      <c r="H351" t="n">
        <v>0</v>
      </c>
      <c r="I351" t="n">
        <v>0</v>
      </c>
      <c r="J351" t="n">
        <v>0</v>
      </c>
      <c r="K351" t="n">
        <v>0</v>
      </c>
      <c r="L351" t="n">
        <v>0</v>
      </c>
      <c r="M351" t="n">
        <v>0</v>
      </c>
      <c r="N351" t="n">
        <v>0</v>
      </c>
      <c r="O351" t="n">
        <v>0</v>
      </c>
      <c r="P351" t="n">
        <v>0</v>
      </c>
      <c r="Q351" t="n">
        <v>0</v>
      </c>
      <c r="R351" s="2" t="inlineStr"/>
    </row>
    <row r="352" ht="15" customHeight="1">
      <c r="A352" t="inlineStr">
        <is>
          <t>A 30382-2023</t>
        </is>
      </c>
      <c r="B352" s="1" t="n">
        <v>45111</v>
      </c>
      <c r="C352" s="1" t="n">
        <v>46177</v>
      </c>
      <c r="D352" t="inlineStr">
        <is>
          <t>DALARNAS LÄN</t>
        </is>
      </c>
      <c r="E352" t="inlineStr">
        <is>
          <t>ORSA</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44987.41359953704</v>
      </c>
      <c r="C353" s="1" t="n">
        <v>46177</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20589-2025</t>
        </is>
      </c>
      <c r="B354" s="1" t="n">
        <v>45775</v>
      </c>
      <c r="C354" s="1" t="n">
        <v>46177</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55691-2022</t>
        </is>
      </c>
      <c r="B355" s="1" t="n">
        <v>44888</v>
      </c>
      <c r="C355" s="1" t="n">
        <v>46177</v>
      </c>
      <c r="D355" t="inlineStr">
        <is>
          <t>DALARNAS LÄN</t>
        </is>
      </c>
      <c r="E355" t="inlineStr">
        <is>
          <t>ORSA</t>
        </is>
      </c>
      <c r="G355" t="n">
        <v>0.4</v>
      </c>
      <c r="H355" t="n">
        <v>0</v>
      </c>
      <c r="I355" t="n">
        <v>0</v>
      </c>
      <c r="J355" t="n">
        <v>0</v>
      </c>
      <c r="K355" t="n">
        <v>0</v>
      </c>
      <c r="L355" t="n">
        <v>0</v>
      </c>
      <c r="M355" t="n">
        <v>0</v>
      </c>
      <c r="N355" t="n">
        <v>0</v>
      </c>
      <c r="O355" t="n">
        <v>0</v>
      </c>
      <c r="P355" t="n">
        <v>0</v>
      </c>
      <c r="Q355" t="n">
        <v>0</v>
      </c>
      <c r="R355" s="2" t="inlineStr"/>
    </row>
    <row r="356" ht="15" customHeight="1">
      <c r="A356" t="inlineStr">
        <is>
          <t>A 17503-2025</t>
        </is>
      </c>
      <c r="B356" s="1" t="n">
        <v>45757.55321759259</v>
      </c>
      <c r="C356" s="1" t="n">
        <v>46177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28317-2025</t>
        </is>
      </c>
      <c r="B357" s="1" t="n">
        <v>45818.6300462963</v>
      </c>
      <c r="C357" s="1" t="n">
        <v>46177</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3166-2024</t>
        </is>
      </c>
      <c r="B358" s="1" t="n">
        <v>45316.62592592592</v>
      </c>
      <c r="C358" s="1" t="n">
        <v>46177</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60803-2022</t>
        </is>
      </c>
      <c r="B359" s="1" t="n">
        <v>44914</v>
      </c>
      <c r="C359" s="1" t="n">
        <v>46177</v>
      </c>
      <c r="D359" t="inlineStr">
        <is>
          <t>DALARNAS LÄN</t>
        </is>
      </c>
      <c r="E359" t="inlineStr">
        <is>
          <t>ORSA</t>
        </is>
      </c>
      <c r="G359" t="n">
        <v>1.2</v>
      </c>
      <c r="H359" t="n">
        <v>0</v>
      </c>
      <c r="I359" t="n">
        <v>0</v>
      </c>
      <c r="J359" t="n">
        <v>0</v>
      </c>
      <c r="K359" t="n">
        <v>0</v>
      </c>
      <c r="L359" t="n">
        <v>0</v>
      </c>
      <c r="M359" t="n">
        <v>0</v>
      </c>
      <c r="N359" t="n">
        <v>0</v>
      </c>
      <c r="O359" t="n">
        <v>0</v>
      </c>
      <c r="P359" t="n">
        <v>0</v>
      </c>
      <c r="Q359" t="n">
        <v>0</v>
      </c>
      <c r="R359" s="2" t="inlineStr"/>
    </row>
    <row r="360" ht="15" customHeight="1">
      <c r="A360" t="inlineStr">
        <is>
          <t>A 51915-2022</t>
        </is>
      </c>
      <c r="B360" s="1" t="n">
        <v>44872.62795138889</v>
      </c>
      <c r="C360" s="1" t="n">
        <v>46177</v>
      </c>
      <c r="D360" t="inlineStr">
        <is>
          <t>DALARNAS LÄN</t>
        </is>
      </c>
      <c r="E360" t="inlineStr">
        <is>
          <t>ORSA</t>
        </is>
      </c>
      <c r="G360" t="n">
        <v>0.7</v>
      </c>
      <c r="H360" t="n">
        <v>0</v>
      </c>
      <c r="I360" t="n">
        <v>0</v>
      </c>
      <c r="J360" t="n">
        <v>0</v>
      </c>
      <c r="K360" t="n">
        <v>0</v>
      </c>
      <c r="L360" t="n">
        <v>0</v>
      </c>
      <c r="M360" t="n">
        <v>0</v>
      </c>
      <c r="N360" t="n">
        <v>0</v>
      </c>
      <c r="O360" t="n">
        <v>0</v>
      </c>
      <c r="P360" t="n">
        <v>0</v>
      </c>
      <c r="Q360" t="n">
        <v>0</v>
      </c>
      <c r="R360" s="2" t="inlineStr"/>
    </row>
    <row r="361" ht="15" customHeight="1">
      <c r="A361" t="inlineStr">
        <is>
          <t>A 28609-2025</t>
        </is>
      </c>
      <c r="B361" s="1" t="n">
        <v>45819.60303240741</v>
      </c>
      <c r="C361" s="1" t="n">
        <v>46177</v>
      </c>
      <c r="D361" t="inlineStr">
        <is>
          <t>DALARNAS LÄN</t>
        </is>
      </c>
      <c r="E361" t="inlineStr">
        <is>
          <t>ORSA</t>
        </is>
      </c>
      <c r="F361" t="inlineStr">
        <is>
          <t>Bergvik skog öst AB</t>
        </is>
      </c>
      <c r="G361" t="n">
        <v>9.1</v>
      </c>
      <c r="H361" t="n">
        <v>0</v>
      </c>
      <c r="I361" t="n">
        <v>0</v>
      </c>
      <c r="J361" t="n">
        <v>0</v>
      </c>
      <c r="K361" t="n">
        <v>0</v>
      </c>
      <c r="L361" t="n">
        <v>0</v>
      </c>
      <c r="M361" t="n">
        <v>0</v>
      </c>
      <c r="N361" t="n">
        <v>0</v>
      </c>
      <c r="O361" t="n">
        <v>0</v>
      </c>
      <c r="P361" t="n">
        <v>0</v>
      </c>
      <c r="Q361" t="n">
        <v>0</v>
      </c>
      <c r="R361" s="2" t="inlineStr"/>
    </row>
    <row r="362" ht="15" customHeight="1">
      <c r="A362" t="inlineStr">
        <is>
          <t>A 34125-2023</t>
        </is>
      </c>
      <c r="B362" s="1" t="n">
        <v>45135</v>
      </c>
      <c r="C362" s="1" t="n">
        <v>46177</v>
      </c>
      <c r="D362" t="inlineStr">
        <is>
          <t>DALARNAS LÄN</t>
        </is>
      </c>
      <c r="E362" t="inlineStr">
        <is>
          <t>ORSA</t>
        </is>
      </c>
      <c r="G362" t="n">
        <v>2.7</v>
      </c>
      <c r="H362" t="n">
        <v>0</v>
      </c>
      <c r="I362" t="n">
        <v>0</v>
      </c>
      <c r="J362" t="n">
        <v>0</v>
      </c>
      <c r="K362" t="n">
        <v>0</v>
      </c>
      <c r="L362" t="n">
        <v>0</v>
      </c>
      <c r="M362" t="n">
        <v>0</v>
      </c>
      <c r="N362" t="n">
        <v>0</v>
      </c>
      <c r="O362" t="n">
        <v>0</v>
      </c>
      <c r="P362" t="n">
        <v>0</v>
      </c>
      <c r="Q362" t="n">
        <v>0</v>
      </c>
      <c r="R362" s="2" t="inlineStr"/>
    </row>
    <row r="363" ht="15" customHeight="1">
      <c r="A363" t="inlineStr">
        <is>
          <t>A 25591-2022</t>
        </is>
      </c>
      <c r="B363" s="1" t="n">
        <v>44732.67958333333</v>
      </c>
      <c r="C363" s="1" t="n">
        <v>46177</v>
      </c>
      <c r="D363" t="inlineStr">
        <is>
          <t>DALARNAS LÄN</t>
        </is>
      </c>
      <c r="E363" t="inlineStr">
        <is>
          <t>ORSA</t>
        </is>
      </c>
      <c r="G363" t="n">
        <v>6</v>
      </c>
      <c r="H363" t="n">
        <v>0</v>
      </c>
      <c r="I363" t="n">
        <v>0</v>
      </c>
      <c r="J363" t="n">
        <v>0</v>
      </c>
      <c r="K363" t="n">
        <v>0</v>
      </c>
      <c r="L363" t="n">
        <v>0</v>
      </c>
      <c r="M363" t="n">
        <v>0</v>
      </c>
      <c r="N363" t="n">
        <v>0</v>
      </c>
      <c r="O363" t="n">
        <v>0</v>
      </c>
      <c r="P363" t="n">
        <v>0</v>
      </c>
      <c r="Q363" t="n">
        <v>0</v>
      </c>
      <c r="R363" s="2" t="inlineStr"/>
    </row>
    <row r="364" ht="15" customHeight="1">
      <c r="A364" t="inlineStr">
        <is>
          <t>A 29485-2022</t>
        </is>
      </c>
      <c r="B364" s="1" t="n">
        <v>44753</v>
      </c>
      <c r="C364" s="1" t="n">
        <v>46177</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13236-2022</t>
        </is>
      </c>
      <c r="B365" s="1" t="n">
        <v>44644.61106481482</v>
      </c>
      <c r="C365" s="1" t="n">
        <v>46177</v>
      </c>
      <c r="D365" t="inlineStr">
        <is>
          <t>DALARNAS LÄN</t>
        </is>
      </c>
      <c r="E365" t="inlineStr">
        <is>
          <t>ORSA</t>
        </is>
      </c>
      <c r="G365" t="n">
        <v>0.5</v>
      </c>
      <c r="H365" t="n">
        <v>0</v>
      </c>
      <c r="I365" t="n">
        <v>0</v>
      </c>
      <c r="J365" t="n">
        <v>0</v>
      </c>
      <c r="K365" t="n">
        <v>0</v>
      </c>
      <c r="L365" t="n">
        <v>0</v>
      </c>
      <c r="M365" t="n">
        <v>0</v>
      </c>
      <c r="N365" t="n">
        <v>0</v>
      </c>
      <c r="O365" t="n">
        <v>0</v>
      </c>
      <c r="P365" t="n">
        <v>0</v>
      </c>
      <c r="Q365" t="n">
        <v>0</v>
      </c>
      <c r="R365" s="2" t="inlineStr"/>
    </row>
    <row r="366" ht="15" customHeight="1">
      <c r="A366" t="inlineStr">
        <is>
          <t>A 28635-2025</t>
        </is>
      </c>
      <c r="B366" s="1" t="n">
        <v>45819.63112268518</v>
      </c>
      <c r="C366" s="1" t="n">
        <v>46177</v>
      </c>
      <c r="D366" t="inlineStr">
        <is>
          <t>DALARNAS LÄN</t>
        </is>
      </c>
      <c r="E366" t="inlineStr">
        <is>
          <t>ORSA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17500-2025</t>
        </is>
      </c>
      <c r="B367" s="1" t="n">
        <v>45757.54954861111</v>
      </c>
      <c r="C367" s="1" t="n">
        <v>46177</v>
      </c>
      <c r="D367" t="inlineStr">
        <is>
          <t>DALARNAS LÄN</t>
        </is>
      </c>
      <c r="E367" t="inlineStr">
        <is>
          <t>ORSA</t>
        </is>
      </c>
      <c r="G367" t="n">
        <v>1.9</v>
      </c>
      <c r="H367" t="n">
        <v>0</v>
      </c>
      <c r="I367" t="n">
        <v>0</v>
      </c>
      <c r="J367" t="n">
        <v>0</v>
      </c>
      <c r="K367" t="n">
        <v>0</v>
      </c>
      <c r="L367" t="n">
        <v>0</v>
      </c>
      <c r="M367" t="n">
        <v>0</v>
      </c>
      <c r="N367" t="n">
        <v>0</v>
      </c>
      <c r="O367" t="n">
        <v>0</v>
      </c>
      <c r="P367" t="n">
        <v>0</v>
      </c>
      <c r="Q367" t="n">
        <v>0</v>
      </c>
      <c r="R367" s="2" t="inlineStr"/>
    </row>
    <row r="368" ht="15" customHeight="1">
      <c r="A368" t="inlineStr">
        <is>
          <t>A 17521-2025</t>
        </is>
      </c>
      <c r="B368" s="1" t="n">
        <v>45757.57952546296</v>
      </c>
      <c r="C368" s="1" t="n">
        <v>46177</v>
      </c>
      <c r="D368" t="inlineStr">
        <is>
          <t>DALARNAS LÄN</t>
        </is>
      </c>
      <c r="E368" t="inlineStr">
        <is>
          <t>ORSA</t>
        </is>
      </c>
      <c r="F368" t="inlineStr">
        <is>
          <t>Bergvik skog öst AB</t>
        </is>
      </c>
      <c r="G368" t="n">
        <v>3.6</v>
      </c>
      <c r="H368" t="n">
        <v>0</v>
      </c>
      <c r="I368" t="n">
        <v>0</v>
      </c>
      <c r="J368" t="n">
        <v>0</v>
      </c>
      <c r="K368" t="n">
        <v>0</v>
      </c>
      <c r="L368" t="n">
        <v>0</v>
      </c>
      <c r="M368" t="n">
        <v>0</v>
      </c>
      <c r="N368" t="n">
        <v>0</v>
      </c>
      <c r="O368" t="n">
        <v>0</v>
      </c>
      <c r="P368" t="n">
        <v>0</v>
      </c>
      <c r="Q368" t="n">
        <v>0</v>
      </c>
      <c r="R368" s="2" t="inlineStr"/>
    </row>
    <row r="369" ht="15" customHeight="1">
      <c r="A369" t="inlineStr">
        <is>
          <t>A 51055-2025</t>
        </is>
      </c>
      <c r="B369" s="1" t="n">
        <v>45947.44309027777</v>
      </c>
      <c r="C369" s="1" t="n">
        <v>46177</v>
      </c>
      <c r="D369" t="inlineStr">
        <is>
          <t>DALARNAS LÄN</t>
        </is>
      </c>
      <c r="E369" t="inlineStr">
        <is>
          <t>ORSA</t>
        </is>
      </c>
      <c r="G369" t="n">
        <v>4.6</v>
      </c>
      <c r="H369" t="n">
        <v>0</v>
      </c>
      <c r="I369" t="n">
        <v>0</v>
      </c>
      <c r="J369" t="n">
        <v>0</v>
      </c>
      <c r="K369" t="n">
        <v>0</v>
      </c>
      <c r="L369" t="n">
        <v>0</v>
      </c>
      <c r="M369" t="n">
        <v>0</v>
      </c>
      <c r="N369" t="n">
        <v>0</v>
      </c>
      <c r="O369" t="n">
        <v>0</v>
      </c>
      <c r="P369" t="n">
        <v>0</v>
      </c>
      <c r="Q369" t="n">
        <v>0</v>
      </c>
      <c r="R369" s="2" t="inlineStr"/>
    </row>
    <row r="370" ht="15" customHeight="1">
      <c r="A370" t="inlineStr">
        <is>
          <t>A 28451-2023</t>
        </is>
      </c>
      <c r="B370" s="1" t="n">
        <v>45103.33896990741</v>
      </c>
      <c r="C370" s="1" t="n">
        <v>46177</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51049-2025</t>
        </is>
      </c>
      <c r="B371" s="1" t="n">
        <v>45947.43479166667</v>
      </c>
      <c r="C371" s="1" t="n">
        <v>46177</v>
      </c>
      <c r="D371" t="inlineStr">
        <is>
          <t>DALARNAS LÄN</t>
        </is>
      </c>
      <c r="E371" t="inlineStr">
        <is>
          <t>ORSA</t>
        </is>
      </c>
      <c r="G371" t="n">
        <v>2.3</v>
      </c>
      <c r="H371" t="n">
        <v>0</v>
      </c>
      <c r="I371" t="n">
        <v>0</v>
      </c>
      <c r="J371" t="n">
        <v>0</v>
      </c>
      <c r="K371" t="n">
        <v>0</v>
      </c>
      <c r="L371" t="n">
        <v>0</v>
      </c>
      <c r="M371" t="n">
        <v>0</v>
      </c>
      <c r="N371" t="n">
        <v>0</v>
      </c>
      <c r="O371" t="n">
        <v>0</v>
      </c>
      <c r="P371" t="n">
        <v>0</v>
      </c>
      <c r="Q371" t="n">
        <v>0</v>
      </c>
      <c r="R371" s="2" t="inlineStr"/>
    </row>
    <row r="372" ht="15" customHeight="1">
      <c r="A372" t="inlineStr">
        <is>
          <t>A 3951-2023</t>
        </is>
      </c>
      <c r="B372" s="1" t="n">
        <v>44952.38577546296</v>
      </c>
      <c r="C372" s="1" t="n">
        <v>46177</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51067-2025</t>
        </is>
      </c>
      <c r="B373" s="1" t="n">
        <v>45947.45381944445</v>
      </c>
      <c r="C373" s="1" t="n">
        <v>46177</v>
      </c>
      <c r="D373" t="inlineStr">
        <is>
          <t>DALARNAS LÄN</t>
        </is>
      </c>
      <c r="E373" t="inlineStr">
        <is>
          <t>ORSA</t>
        </is>
      </c>
      <c r="G373" t="n">
        <v>5.4</v>
      </c>
      <c r="H373" t="n">
        <v>0</v>
      </c>
      <c r="I373" t="n">
        <v>0</v>
      </c>
      <c r="J373" t="n">
        <v>0</v>
      </c>
      <c r="K373" t="n">
        <v>0</v>
      </c>
      <c r="L373" t="n">
        <v>0</v>
      </c>
      <c r="M373" t="n">
        <v>0</v>
      </c>
      <c r="N373" t="n">
        <v>0</v>
      </c>
      <c r="O373" t="n">
        <v>0</v>
      </c>
      <c r="P373" t="n">
        <v>0</v>
      </c>
      <c r="Q373" t="n">
        <v>0</v>
      </c>
      <c r="R373" s="2" t="inlineStr"/>
    </row>
    <row r="374" ht="15" customHeight="1">
      <c r="A374" t="inlineStr">
        <is>
          <t>A 8429-2024</t>
        </is>
      </c>
      <c r="B374" s="1" t="n">
        <v>45353.38880787037</v>
      </c>
      <c r="C374" s="1" t="n">
        <v>46177</v>
      </c>
      <c r="D374" t="inlineStr">
        <is>
          <t>DALARNAS LÄN</t>
        </is>
      </c>
      <c r="E374" t="inlineStr">
        <is>
          <t>ORSA</t>
        </is>
      </c>
      <c r="G374" t="n">
        <v>0.3</v>
      </c>
      <c r="H374" t="n">
        <v>0</v>
      </c>
      <c r="I374" t="n">
        <v>0</v>
      </c>
      <c r="J374" t="n">
        <v>0</v>
      </c>
      <c r="K374" t="n">
        <v>0</v>
      </c>
      <c r="L374" t="n">
        <v>0</v>
      </c>
      <c r="M374" t="n">
        <v>0</v>
      </c>
      <c r="N374" t="n">
        <v>0</v>
      </c>
      <c r="O374" t="n">
        <v>0</v>
      </c>
      <c r="P374" t="n">
        <v>0</v>
      </c>
      <c r="Q374" t="n">
        <v>0</v>
      </c>
      <c r="R374" s="2" t="inlineStr"/>
    </row>
    <row r="375" ht="15" customHeight="1">
      <c r="A375" t="inlineStr">
        <is>
          <t>A 51334-2025</t>
        </is>
      </c>
      <c r="B375" s="1" t="n">
        <v>45950.42378472222</v>
      </c>
      <c r="C375" s="1" t="n">
        <v>46177</v>
      </c>
      <c r="D375" t="inlineStr">
        <is>
          <t>DALARNAS LÄN</t>
        </is>
      </c>
      <c r="E375" t="inlineStr">
        <is>
          <t>ORSA</t>
        </is>
      </c>
      <c r="G375" t="n">
        <v>1.8</v>
      </c>
      <c r="H375" t="n">
        <v>0</v>
      </c>
      <c r="I375" t="n">
        <v>0</v>
      </c>
      <c r="J375" t="n">
        <v>0</v>
      </c>
      <c r="K375" t="n">
        <v>0</v>
      </c>
      <c r="L375" t="n">
        <v>0</v>
      </c>
      <c r="M375" t="n">
        <v>0</v>
      </c>
      <c r="N375" t="n">
        <v>0</v>
      </c>
      <c r="O375" t="n">
        <v>0</v>
      </c>
      <c r="P375" t="n">
        <v>0</v>
      </c>
      <c r="Q375" t="n">
        <v>0</v>
      </c>
      <c r="R375" s="2" t="inlineStr"/>
    </row>
    <row r="376" ht="15" customHeight="1">
      <c r="A376" t="inlineStr">
        <is>
          <t>A 51064-2025</t>
        </is>
      </c>
      <c r="B376" s="1" t="n">
        <v>45947.45197916667</v>
      </c>
      <c r="C376" s="1" t="n">
        <v>46177</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28155-2023</t>
        </is>
      </c>
      <c r="B377" s="1" t="n">
        <v>45099</v>
      </c>
      <c r="C377" s="1" t="n">
        <v>46177</v>
      </c>
      <c r="D377" t="inlineStr">
        <is>
          <t>DALARNAS LÄN</t>
        </is>
      </c>
      <c r="E377" t="inlineStr">
        <is>
          <t>ORSA</t>
        </is>
      </c>
      <c r="F377" t="inlineStr">
        <is>
          <t>Bergvik skog öst AB</t>
        </is>
      </c>
      <c r="G377" t="n">
        <v>7.8</v>
      </c>
      <c r="H377" t="n">
        <v>0</v>
      </c>
      <c r="I377" t="n">
        <v>0</v>
      </c>
      <c r="J377" t="n">
        <v>0</v>
      </c>
      <c r="K377" t="n">
        <v>0</v>
      </c>
      <c r="L377" t="n">
        <v>0</v>
      </c>
      <c r="M377" t="n">
        <v>0</v>
      </c>
      <c r="N377" t="n">
        <v>0</v>
      </c>
      <c r="O377" t="n">
        <v>0</v>
      </c>
      <c r="P377" t="n">
        <v>0</v>
      </c>
      <c r="Q377" t="n">
        <v>0</v>
      </c>
      <c r="R377" s="2" t="inlineStr"/>
    </row>
    <row r="378" ht="15" customHeight="1">
      <c r="A378" t="inlineStr">
        <is>
          <t>A 51567-2023</t>
        </is>
      </c>
      <c r="B378" s="1" t="n">
        <v>45222.44800925926</v>
      </c>
      <c r="C378" s="1" t="n">
        <v>46177</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51340-2025</t>
        </is>
      </c>
      <c r="B379" s="1" t="n">
        <v>45950.42725694444</v>
      </c>
      <c r="C379" s="1" t="n">
        <v>46177</v>
      </c>
      <c r="D379" t="inlineStr">
        <is>
          <t>DALARNAS LÄN</t>
        </is>
      </c>
      <c r="E379" t="inlineStr">
        <is>
          <t>ORSA</t>
        </is>
      </c>
      <c r="F379" t="inlineStr">
        <is>
          <t>Allmännings- och besparingsskogar</t>
        </is>
      </c>
      <c r="G379" t="n">
        <v>14.1</v>
      </c>
      <c r="H379" t="n">
        <v>0</v>
      </c>
      <c r="I379" t="n">
        <v>0</v>
      </c>
      <c r="J379" t="n">
        <v>0</v>
      </c>
      <c r="K379" t="n">
        <v>0</v>
      </c>
      <c r="L379" t="n">
        <v>0</v>
      </c>
      <c r="M379" t="n">
        <v>0</v>
      </c>
      <c r="N379" t="n">
        <v>0</v>
      </c>
      <c r="O379" t="n">
        <v>0</v>
      </c>
      <c r="P379" t="n">
        <v>0</v>
      </c>
      <c r="Q379" t="n">
        <v>0</v>
      </c>
      <c r="R379" s="2" t="inlineStr"/>
    </row>
    <row r="380" ht="15" customHeight="1">
      <c r="A380" t="inlineStr">
        <is>
          <t>A 56942-2024</t>
        </is>
      </c>
      <c r="B380" s="1" t="n">
        <v>45628.62292824074</v>
      </c>
      <c r="C380" s="1" t="n">
        <v>46177</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15870-2025</t>
        </is>
      </c>
      <c r="B381" s="1" t="n">
        <v>45749.37135416667</v>
      </c>
      <c r="C381" s="1" t="n">
        <v>46177</v>
      </c>
      <c r="D381" t="inlineStr">
        <is>
          <t>DALARNAS LÄN</t>
        </is>
      </c>
      <c r="E381" t="inlineStr">
        <is>
          <t>ORSA</t>
        </is>
      </c>
      <c r="F381" t="inlineStr">
        <is>
          <t>Bergvik skog öst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3107-2025</t>
        </is>
      </c>
      <c r="B382" s="1" t="n">
        <v>45678.68400462963</v>
      </c>
      <c r="C382" s="1" t="n">
        <v>46177</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6047-2023</t>
        </is>
      </c>
      <c r="B383" s="1" t="n">
        <v>44964</v>
      </c>
      <c r="C383" s="1" t="n">
        <v>46177</v>
      </c>
      <c r="D383" t="inlineStr">
        <is>
          <t>DALARNAS LÄN</t>
        </is>
      </c>
      <c r="E383" t="inlineStr">
        <is>
          <t>ORSA</t>
        </is>
      </c>
      <c r="F383" t="inlineStr">
        <is>
          <t>Bergvik skog öst AB</t>
        </is>
      </c>
      <c r="G383" t="n">
        <v>0.2</v>
      </c>
      <c r="H383" t="n">
        <v>0</v>
      </c>
      <c r="I383" t="n">
        <v>0</v>
      </c>
      <c r="J383" t="n">
        <v>0</v>
      </c>
      <c r="K383" t="n">
        <v>0</v>
      </c>
      <c r="L383" t="n">
        <v>0</v>
      </c>
      <c r="M383" t="n">
        <v>0</v>
      </c>
      <c r="N383" t="n">
        <v>0</v>
      </c>
      <c r="O383" t="n">
        <v>0</v>
      </c>
      <c r="P383" t="n">
        <v>0</v>
      </c>
      <c r="Q383" t="n">
        <v>0</v>
      </c>
      <c r="R383" s="2" t="inlineStr"/>
    </row>
    <row r="384" ht="15" customHeight="1">
      <c r="A384" t="inlineStr">
        <is>
          <t>A 33384-2022</t>
        </is>
      </c>
      <c r="B384" s="1" t="n">
        <v>44788</v>
      </c>
      <c r="C384" s="1" t="n">
        <v>46177</v>
      </c>
      <c r="D384" t="inlineStr">
        <is>
          <t>DALARNAS LÄN</t>
        </is>
      </c>
      <c r="E384" t="inlineStr">
        <is>
          <t>ORSA</t>
        </is>
      </c>
      <c r="F384" t="inlineStr">
        <is>
          <t>Bergvik skog öst AB</t>
        </is>
      </c>
      <c r="G384" t="n">
        <v>0.7</v>
      </c>
      <c r="H384" t="n">
        <v>0</v>
      </c>
      <c r="I384" t="n">
        <v>0</v>
      </c>
      <c r="J384" t="n">
        <v>0</v>
      </c>
      <c r="K384" t="n">
        <v>0</v>
      </c>
      <c r="L384" t="n">
        <v>0</v>
      </c>
      <c r="M384" t="n">
        <v>0</v>
      </c>
      <c r="N384" t="n">
        <v>0</v>
      </c>
      <c r="O384" t="n">
        <v>0</v>
      </c>
      <c r="P384" t="n">
        <v>0</v>
      </c>
      <c r="Q384" t="n">
        <v>0</v>
      </c>
      <c r="R384" s="2" t="inlineStr"/>
    </row>
    <row r="385" ht="15" customHeight="1">
      <c r="A385" t="inlineStr">
        <is>
          <t>A 21905-2022</t>
        </is>
      </c>
      <c r="B385" s="1" t="n">
        <v>44711</v>
      </c>
      <c r="C385" s="1" t="n">
        <v>46177</v>
      </c>
      <c r="D385" t="inlineStr">
        <is>
          <t>DALARNAS LÄN</t>
        </is>
      </c>
      <c r="E385" t="inlineStr">
        <is>
          <t>ORSA</t>
        </is>
      </c>
      <c r="F385" t="inlineStr">
        <is>
          <t>Allmännings- och besparingsskogar</t>
        </is>
      </c>
      <c r="G385" t="n">
        <v>3.1</v>
      </c>
      <c r="H385" t="n">
        <v>0</v>
      </c>
      <c r="I385" t="n">
        <v>0</v>
      </c>
      <c r="J385" t="n">
        <v>0</v>
      </c>
      <c r="K385" t="n">
        <v>0</v>
      </c>
      <c r="L385" t="n">
        <v>0</v>
      </c>
      <c r="M385" t="n">
        <v>0</v>
      </c>
      <c r="N385" t="n">
        <v>0</v>
      </c>
      <c r="O385" t="n">
        <v>0</v>
      </c>
      <c r="P385" t="n">
        <v>0</v>
      </c>
      <c r="Q385" t="n">
        <v>0</v>
      </c>
      <c r="R385" s="2" t="inlineStr"/>
    </row>
    <row r="386" ht="15" customHeight="1">
      <c r="A386" t="inlineStr">
        <is>
          <t>A 14680-2023</t>
        </is>
      </c>
      <c r="B386" s="1" t="n">
        <v>45014.30054398148</v>
      </c>
      <c r="C386" s="1" t="n">
        <v>46177</v>
      </c>
      <c r="D386" t="inlineStr">
        <is>
          <t>DALARNAS LÄN</t>
        </is>
      </c>
      <c r="E386" t="inlineStr">
        <is>
          <t>ORSA</t>
        </is>
      </c>
      <c r="G386" t="n">
        <v>4.2</v>
      </c>
      <c r="H386" t="n">
        <v>0</v>
      </c>
      <c r="I386" t="n">
        <v>0</v>
      </c>
      <c r="J386" t="n">
        <v>0</v>
      </c>
      <c r="K386" t="n">
        <v>0</v>
      </c>
      <c r="L386" t="n">
        <v>0</v>
      </c>
      <c r="M386" t="n">
        <v>0</v>
      </c>
      <c r="N386" t="n">
        <v>0</v>
      </c>
      <c r="O386" t="n">
        <v>0</v>
      </c>
      <c r="P386" t="n">
        <v>0</v>
      </c>
      <c r="Q386" t="n">
        <v>0</v>
      </c>
      <c r="R386" s="2" t="inlineStr"/>
    </row>
    <row r="387" ht="15" customHeight="1">
      <c r="A387" t="inlineStr">
        <is>
          <t>A 50742-2023</t>
        </is>
      </c>
      <c r="B387" s="1" t="n">
        <v>45217.58891203703</v>
      </c>
      <c r="C387" s="1" t="n">
        <v>46177</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27163-2023</t>
        </is>
      </c>
      <c r="B388" s="1" t="n">
        <v>45096.4878125</v>
      </c>
      <c r="C388" s="1" t="n">
        <v>46177</v>
      </c>
      <c r="D388" t="inlineStr">
        <is>
          <t>DALARNAS LÄN</t>
        </is>
      </c>
      <c r="E388" t="inlineStr">
        <is>
          <t>ORSA</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52949-2025</t>
        </is>
      </c>
      <c r="B389" s="1" t="n">
        <v>45954</v>
      </c>
      <c r="C389" s="1" t="n">
        <v>46177</v>
      </c>
      <c r="D389" t="inlineStr">
        <is>
          <t>DALARNAS LÄN</t>
        </is>
      </c>
      <c r="E389" t="inlineStr">
        <is>
          <t>ORSA</t>
        </is>
      </c>
      <c r="G389" t="n">
        <v>2.2</v>
      </c>
      <c r="H389" t="n">
        <v>0</v>
      </c>
      <c r="I389" t="n">
        <v>0</v>
      </c>
      <c r="J389" t="n">
        <v>0</v>
      </c>
      <c r="K389" t="n">
        <v>0</v>
      </c>
      <c r="L389" t="n">
        <v>0</v>
      </c>
      <c r="M389" t="n">
        <v>0</v>
      </c>
      <c r="N389" t="n">
        <v>0</v>
      </c>
      <c r="O389" t="n">
        <v>0</v>
      </c>
      <c r="P389" t="n">
        <v>0</v>
      </c>
      <c r="Q389" t="n">
        <v>0</v>
      </c>
      <c r="R389" s="2" t="inlineStr"/>
    </row>
    <row r="390" ht="15" customHeight="1">
      <c r="A390" t="inlineStr">
        <is>
          <t>A 52486-2025</t>
        </is>
      </c>
      <c r="B390" s="1" t="n">
        <v>45954.47844907407</v>
      </c>
      <c r="C390" s="1" t="n">
        <v>46177</v>
      </c>
      <c r="D390" t="inlineStr">
        <is>
          <t>DALARNAS LÄN</t>
        </is>
      </c>
      <c r="E390" t="inlineStr">
        <is>
          <t>ORSA</t>
        </is>
      </c>
      <c r="G390" t="n">
        <v>2.3</v>
      </c>
      <c r="H390" t="n">
        <v>0</v>
      </c>
      <c r="I390" t="n">
        <v>0</v>
      </c>
      <c r="J390" t="n">
        <v>0</v>
      </c>
      <c r="K390" t="n">
        <v>0</v>
      </c>
      <c r="L390" t="n">
        <v>0</v>
      </c>
      <c r="M390" t="n">
        <v>0</v>
      </c>
      <c r="N390" t="n">
        <v>0</v>
      </c>
      <c r="O390" t="n">
        <v>0</v>
      </c>
      <c r="P390" t="n">
        <v>0</v>
      </c>
      <c r="Q390" t="n">
        <v>0</v>
      </c>
      <c r="R390" s="2" t="inlineStr"/>
    </row>
    <row r="391" ht="15" customHeight="1">
      <c r="A391" t="inlineStr">
        <is>
          <t>A 31688-2024</t>
        </is>
      </c>
      <c r="B391" s="1" t="n">
        <v>45507.46103009259</v>
      </c>
      <c r="C391" s="1" t="n">
        <v>46177</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52702-2025</t>
        </is>
      </c>
      <c r="B392" s="1" t="n">
        <v>45956.86853009259</v>
      </c>
      <c r="C392" s="1" t="n">
        <v>46177</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52686-2025</t>
        </is>
      </c>
      <c r="B393" s="1" t="n">
        <v>45956.3562037037</v>
      </c>
      <c r="C393" s="1" t="n">
        <v>46177</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52485-2025</t>
        </is>
      </c>
      <c r="B394" s="1" t="n">
        <v>45954.47804398148</v>
      </c>
      <c r="C394" s="1" t="n">
        <v>46177</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57533-2022</t>
        </is>
      </c>
      <c r="B395" s="1" t="n">
        <v>44896.68393518519</v>
      </c>
      <c r="C395" s="1" t="n">
        <v>46177</v>
      </c>
      <c r="D395" t="inlineStr">
        <is>
          <t>DALARNAS LÄN</t>
        </is>
      </c>
      <c r="E395" t="inlineStr">
        <is>
          <t>ORSA</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53572-2025</t>
        </is>
      </c>
      <c r="B396" s="1" t="n">
        <v>45960.4140625</v>
      </c>
      <c r="C396" s="1" t="n">
        <v>46177</v>
      </c>
      <c r="D396" t="inlineStr">
        <is>
          <t>DALARNAS LÄN</t>
        </is>
      </c>
      <c r="E396" t="inlineStr">
        <is>
          <t>ORSA</t>
        </is>
      </c>
      <c r="F396" t="inlineStr">
        <is>
          <t>Bergvik skog öst AB</t>
        </is>
      </c>
      <c r="G396" t="n">
        <v>4.1</v>
      </c>
      <c r="H396" t="n">
        <v>0</v>
      </c>
      <c r="I396" t="n">
        <v>0</v>
      </c>
      <c r="J396" t="n">
        <v>0</v>
      </c>
      <c r="K396" t="n">
        <v>0</v>
      </c>
      <c r="L396" t="n">
        <v>0</v>
      </c>
      <c r="M396" t="n">
        <v>0</v>
      </c>
      <c r="N396" t="n">
        <v>0</v>
      </c>
      <c r="O396" t="n">
        <v>0</v>
      </c>
      <c r="P396" t="n">
        <v>0</v>
      </c>
      <c r="Q396" t="n">
        <v>0</v>
      </c>
      <c r="R396" s="2" t="inlineStr"/>
    </row>
    <row r="397" ht="15" customHeight="1">
      <c r="A397" t="inlineStr">
        <is>
          <t>A 8430-2024</t>
        </is>
      </c>
      <c r="B397" s="1" t="n">
        <v>45353.41157407407</v>
      </c>
      <c r="C397" s="1" t="n">
        <v>46177</v>
      </c>
      <c r="D397" t="inlineStr">
        <is>
          <t>DALARNAS LÄN</t>
        </is>
      </c>
      <c r="E397" t="inlineStr">
        <is>
          <t>ORSA</t>
        </is>
      </c>
      <c r="G397" t="n">
        <v>14.4</v>
      </c>
      <c r="H397" t="n">
        <v>0</v>
      </c>
      <c r="I397" t="n">
        <v>0</v>
      </c>
      <c r="J397" t="n">
        <v>0</v>
      </c>
      <c r="K397" t="n">
        <v>0</v>
      </c>
      <c r="L397" t="n">
        <v>0</v>
      </c>
      <c r="M397" t="n">
        <v>0</v>
      </c>
      <c r="N397" t="n">
        <v>0</v>
      </c>
      <c r="O397" t="n">
        <v>0</v>
      </c>
      <c r="P397" t="n">
        <v>0</v>
      </c>
      <c r="Q397" t="n">
        <v>0</v>
      </c>
      <c r="R397" s="2" t="inlineStr"/>
    </row>
    <row r="398" ht="15" customHeight="1">
      <c r="A398" t="inlineStr">
        <is>
          <t>A 41832-2024</t>
        </is>
      </c>
      <c r="B398" s="1" t="n">
        <v>45561.40730324074</v>
      </c>
      <c r="C398" s="1" t="n">
        <v>46177</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53501-2025</t>
        </is>
      </c>
      <c r="B399" s="1" t="n">
        <v>45960.34216435185</v>
      </c>
      <c r="C399" s="1" t="n">
        <v>46177</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53495-2025</t>
        </is>
      </c>
      <c r="B400" s="1" t="n">
        <v>45960.32577546296</v>
      </c>
      <c r="C400" s="1" t="n">
        <v>46177</v>
      </c>
      <c r="D400" t="inlineStr">
        <is>
          <t>DALARNAS LÄN</t>
        </is>
      </c>
      <c r="E400" t="inlineStr">
        <is>
          <t>ORSA</t>
        </is>
      </c>
      <c r="G400" t="n">
        <v>3.6</v>
      </c>
      <c r="H400" t="n">
        <v>0</v>
      </c>
      <c r="I400" t="n">
        <v>0</v>
      </c>
      <c r="J400" t="n">
        <v>0</v>
      </c>
      <c r="K400" t="n">
        <v>0</v>
      </c>
      <c r="L400" t="n">
        <v>0</v>
      </c>
      <c r="M400" t="n">
        <v>0</v>
      </c>
      <c r="N400" t="n">
        <v>0</v>
      </c>
      <c r="O400" t="n">
        <v>0</v>
      </c>
      <c r="P400" t="n">
        <v>0</v>
      </c>
      <c r="Q400" t="n">
        <v>0</v>
      </c>
      <c r="R400" s="2" t="inlineStr"/>
    </row>
    <row r="401" ht="15" customHeight="1">
      <c r="A401" t="inlineStr">
        <is>
          <t>A 53573-2025</t>
        </is>
      </c>
      <c r="B401" s="1" t="n">
        <v>45960.41716435185</v>
      </c>
      <c r="C401" s="1" t="n">
        <v>46177</v>
      </c>
      <c r="D401" t="inlineStr">
        <is>
          <t>DALARNAS LÄN</t>
        </is>
      </c>
      <c r="E401" t="inlineStr">
        <is>
          <t>ORSA</t>
        </is>
      </c>
      <c r="F401" t="inlineStr">
        <is>
          <t>Bergvik skog öst AB</t>
        </is>
      </c>
      <c r="G401" t="n">
        <v>2.3</v>
      </c>
      <c r="H401" t="n">
        <v>0</v>
      </c>
      <c r="I401" t="n">
        <v>0</v>
      </c>
      <c r="J401" t="n">
        <v>0</v>
      </c>
      <c r="K401" t="n">
        <v>0</v>
      </c>
      <c r="L401" t="n">
        <v>0</v>
      </c>
      <c r="M401" t="n">
        <v>0</v>
      </c>
      <c r="N401" t="n">
        <v>0</v>
      </c>
      <c r="O401" t="n">
        <v>0</v>
      </c>
      <c r="P401" t="n">
        <v>0</v>
      </c>
      <c r="Q401" t="n">
        <v>0</v>
      </c>
      <c r="R401" s="2" t="inlineStr"/>
    </row>
    <row r="402" ht="15" customHeight="1">
      <c r="A402" t="inlineStr">
        <is>
          <t>A 36427-2023</t>
        </is>
      </c>
      <c r="B402" s="1" t="n">
        <v>45152.60333333333</v>
      </c>
      <c r="C402" s="1" t="n">
        <v>46177</v>
      </c>
      <c r="D402" t="inlineStr">
        <is>
          <t>DALARNAS LÄN</t>
        </is>
      </c>
      <c r="E402" t="inlineStr">
        <is>
          <t>ORSA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37647-2023</t>
        </is>
      </c>
      <c r="B403" s="1" t="n">
        <v>45159</v>
      </c>
      <c r="C403" s="1" t="n">
        <v>46177</v>
      </c>
      <c r="D403" t="inlineStr">
        <is>
          <t>DALARNAS LÄN</t>
        </is>
      </c>
      <c r="E403" t="inlineStr">
        <is>
          <t>ORSA</t>
        </is>
      </c>
      <c r="F403" t="inlineStr">
        <is>
          <t>Allmännings- och besparingsskogar</t>
        </is>
      </c>
      <c r="G403" t="n">
        <v>2.1</v>
      </c>
      <c r="H403" t="n">
        <v>0</v>
      </c>
      <c r="I403" t="n">
        <v>0</v>
      </c>
      <c r="J403" t="n">
        <v>0</v>
      </c>
      <c r="K403" t="n">
        <v>0</v>
      </c>
      <c r="L403" t="n">
        <v>0</v>
      </c>
      <c r="M403" t="n">
        <v>0</v>
      </c>
      <c r="N403" t="n">
        <v>0</v>
      </c>
      <c r="O403" t="n">
        <v>0</v>
      </c>
      <c r="P403" t="n">
        <v>0</v>
      </c>
      <c r="Q403" t="n">
        <v>0</v>
      </c>
      <c r="R403" s="2" t="inlineStr"/>
    </row>
    <row r="404" ht="15" customHeight="1">
      <c r="A404" t="inlineStr">
        <is>
          <t>A 33945-2022</t>
        </is>
      </c>
      <c r="B404" s="1" t="n">
        <v>44790.66212962963</v>
      </c>
      <c r="C404" s="1" t="n">
        <v>46177</v>
      </c>
      <c r="D404" t="inlineStr">
        <is>
          <t>DALARNAS LÄN</t>
        </is>
      </c>
      <c r="E404" t="inlineStr">
        <is>
          <t>ORSA</t>
        </is>
      </c>
      <c r="F404" t="inlineStr">
        <is>
          <t>Bergvik skog öst AB</t>
        </is>
      </c>
      <c r="G404" t="n">
        <v>1.9</v>
      </c>
      <c r="H404" t="n">
        <v>0</v>
      </c>
      <c r="I404" t="n">
        <v>0</v>
      </c>
      <c r="J404" t="n">
        <v>0</v>
      </c>
      <c r="K404" t="n">
        <v>0</v>
      </c>
      <c r="L404" t="n">
        <v>0</v>
      </c>
      <c r="M404" t="n">
        <v>0</v>
      </c>
      <c r="N404" t="n">
        <v>0</v>
      </c>
      <c r="O404" t="n">
        <v>0</v>
      </c>
      <c r="P404" t="n">
        <v>0</v>
      </c>
      <c r="Q404" t="n">
        <v>0</v>
      </c>
      <c r="R404" s="2" t="inlineStr"/>
    </row>
    <row r="405" ht="15" customHeight="1">
      <c r="A405" t="inlineStr">
        <is>
          <t>A 16585-2023</t>
        </is>
      </c>
      <c r="B405" s="1" t="n">
        <v>45030</v>
      </c>
      <c r="C405" s="1" t="n">
        <v>46177</v>
      </c>
      <c r="D405" t="inlineStr">
        <is>
          <t>DALARNAS LÄN</t>
        </is>
      </c>
      <c r="E405" t="inlineStr">
        <is>
          <t>ORSA</t>
        </is>
      </c>
      <c r="G405" t="n">
        <v>1</v>
      </c>
      <c r="H405" t="n">
        <v>0</v>
      </c>
      <c r="I405" t="n">
        <v>0</v>
      </c>
      <c r="J405" t="n">
        <v>0</v>
      </c>
      <c r="K405" t="n">
        <v>0</v>
      </c>
      <c r="L405" t="n">
        <v>0</v>
      </c>
      <c r="M405" t="n">
        <v>0</v>
      </c>
      <c r="N405" t="n">
        <v>0</v>
      </c>
      <c r="O405" t="n">
        <v>0</v>
      </c>
      <c r="P405" t="n">
        <v>0</v>
      </c>
      <c r="Q405" t="n">
        <v>0</v>
      </c>
      <c r="R405" s="2" t="inlineStr"/>
    </row>
    <row r="406" ht="15" customHeight="1">
      <c r="A406" t="inlineStr">
        <is>
          <t>A 33673-2023</t>
        </is>
      </c>
      <c r="B406" s="1" t="n">
        <v>45132</v>
      </c>
      <c r="C406" s="1" t="n">
        <v>46177</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53855-2025</t>
        </is>
      </c>
      <c r="B407" s="1" t="n">
        <v>45961.37528935185</v>
      </c>
      <c r="C407" s="1" t="n">
        <v>46177</v>
      </c>
      <c r="D407" t="inlineStr">
        <is>
          <t>DALARNAS LÄN</t>
        </is>
      </c>
      <c r="E407" t="inlineStr">
        <is>
          <t>ORSA</t>
        </is>
      </c>
      <c r="G407" t="n">
        <v>11.1</v>
      </c>
      <c r="H407" t="n">
        <v>0</v>
      </c>
      <c r="I407" t="n">
        <v>0</v>
      </c>
      <c r="J407" t="n">
        <v>0</v>
      </c>
      <c r="K407" t="n">
        <v>0</v>
      </c>
      <c r="L407" t="n">
        <v>0</v>
      </c>
      <c r="M407" t="n">
        <v>0</v>
      </c>
      <c r="N407" t="n">
        <v>0</v>
      </c>
      <c r="O407" t="n">
        <v>0</v>
      </c>
      <c r="P407" t="n">
        <v>0</v>
      </c>
      <c r="Q407" t="n">
        <v>0</v>
      </c>
      <c r="R407" s="2" t="inlineStr"/>
    </row>
    <row r="408" ht="15" customHeight="1">
      <c r="A408" t="inlineStr">
        <is>
          <t>A 54176-2025</t>
        </is>
      </c>
      <c r="B408" s="1" t="n">
        <v>45964.5500925926</v>
      </c>
      <c r="C408" s="1" t="n">
        <v>46177</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54676-2025</t>
        </is>
      </c>
      <c r="B409" s="1" t="n">
        <v>45966.42188657408</v>
      </c>
      <c r="C409" s="1" t="n">
        <v>46177</v>
      </c>
      <c r="D409" t="inlineStr">
        <is>
          <t>DALARNAS LÄN</t>
        </is>
      </c>
      <c r="E409" t="inlineStr">
        <is>
          <t>ORSA</t>
        </is>
      </c>
      <c r="F409" t="inlineStr">
        <is>
          <t>Allmännings- och besparingsskogar</t>
        </is>
      </c>
      <c r="G409" t="n">
        <v>4.6</v>
      </c>
      <c r="H409" t="n">
        <v>0</v>
      </c>
      <c r="I409" t="n">
        <v>0</v>
      </c>
      <c r="J409" t="n">
        <v>0</v>
      </c>
      <c r="K409" t="n">
        <v>0</v>
      </c>
      <c r="L409" t="n">
        <v>0</v>
      </c>
      <c r="M409" t="n">
        <v>0</v>
      </c>
      <c r="N409" t="n">
        <v>0</v>
      </c>
      <c r="O409" t="n">
        <v>0</v>
      </c>
      <c r="P409" t="n">
        <v>0</v>
      </c>
      <c r="Q409" t="n">
        <v>0</v>
      </c>
      <c r="R409" s="2" t="inlineStr"/>
    </row>
    <row r="410" ht="15" customHeight="1">
      <c r="A410" t="inlineStr">
        <is>
          <t>A 54726-2025</t>
        </is>
      </c>
      <c r="B410" s="1" t="n">
        <v>45966.54658564815</v>
      </c>
      <c r="C410" s="1" t="n">
        <v>46177</v>
      </c>
      <c r="D410" t="inlineStr">
        <is>
          <t>DALARNAS LÄN</t>
        </is>
      </c>
      <c r="E410" t="inlineStr">
        <is>
          <t>ORSA</t>
        </is>
      </c>
      <c r="G410" t="n">
        <v>4.8</v>
      </c>
      <c r="H410" t="n">
        <v>0</v>
      </c>
      <c r="I410" t="n">
        <v>0</v>
      </c>
      <c r="J410" t="n">
        <v>0</v>
      </c>
      <c r="K410" t="n">
        <v>0</v>
      </c>
      <c r="L410" t="n">
        <v>0</v>
      </c>
      <c r="M410" t="n">
        <v>0</v>
      </c>
      <c r="N410" t="n">
        <v>0</v>
      </c>
      <c r="O410" t="n">
        <v>0</v>
      </c>
      <c r="P410" t="n">
        <v>0</v>
      </c>
      <c r="Q410" t="n">
        <v>0</v>
      </c>
      <c r="R410" s="2" t="inlineStr"/>
    </row>
    <row r="411" ht="15" customHeight="1">
      <c r="A411" t="inlineStr">
        <is>
          <t>A 30751-2025</t>
        </is>
      </c>
      <c r="B411" s="1" t="n">
        <v>45831.58921296296</v>
      </c>
      <c r="C411" s="1" t="n">
        <v>46177</v>
      </c>
      <c r="D411" t="inlineStr">
        <is>
          <t>DALARNAS LÄN</t>
        </is>
      </c>
      <c r="E411" t="inlineStr">
        <is>
          <t>ORSA</t>
        </is>
      </c>
      <c r="G411" t="n">
        <v>5.2</v>
      </c>
      <c r="H411" t="n">
        <v>0</v>
      </c>
      <c r="I411" t="n">
        <v>0</v>
      </c>
      <c r="J411" t="n">
        <v>0</v>
      </c>
      <c r="K411" t="n">
        <v>0</v>
      </c>
      <c r="L411" t="n">
        <v>0</v>
      </c>
      <c r="M411" t="n">
        <v>0</v>
      </c>
      <c r="N411" t="n">
        <v>0</v>
      </c>
      <c r="O411" t="n">
        <v>0</v>
      </c>
      <c r="P411" t="n">
        <v>0</v>
      </c>
      <c r="Q411" t="n">
        <v>0</v>
      </c>
      <c r="R411" s="2" t="inlineStr"/>
    </row>
    <row r="412" ht="15" customHeight="1">
      <c r="A412" t="inlineStr">
        <is>
          <t>A 54782-2025</t>
        </is>
      </c>
      <c r="B412" s="1" t="n">
        <v>45966.61878472222</v>
      </c>
      <c r="C412" s="1" t="n">
        <v>46177</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54776-2025</t>
        </is>
      </c>
      <c r="B413" s="1" t="n">
        <v>45966.61395833334</v>
      </c>
      <c r="C413" s="1" t="n">
        <v>46177</v>
      </c>
      <c r="D413" t="inlineStr">
        <is>
          <t>DALARNAS LÄN</t>
        </is>
      </c>
      <c r="E413" t="inlineStr">
        <is>
          <t>ORSA</t>
        </is>
      </c>
      <c r="G413" t="n">
        <v>4.8</v>
      </c>
      <c r="H413" t="n">
        <v>0</v>
      </c>
      <c r="I413" t="n">
        <v>0</v>
      </c>
      <c r="J413" t="n">
        <v>0</v>
      </c>
      <c r="K413" t="n">
        <v>0</v>
      </c>
      <c r="L413" t="n">
        <v>0</v>
      </c>
      <c r="M413" t="n">
        <v>0</v>
      </c>
      <c r="N413" t="n">
        <v>0</v>
      </c>
      <c r="O413" t="n">
        <v>0</v>
      </c>
      <c r="P413" t="n">
        <v>0</v>
      </c>
      <c r="Q413" t="n">
        <v>0</v>
      </c>
      <c r="R413" s="2" t="inlineStr"/>
    </row>
    <row r="414" ht="15" customHeight="1">
      <c r="A414" t="inlineStr">
        <is>
          <t>A 54527-2025</t>
        </is>
      </c>
      <c r="B414" s="1" t="n">
        <v>45965.63420138889</v>
      </c>
      <c r="C414" s="1" t="n">
        <v>46177</v>
      </c>
      <c r="D414" t="inlineStr">
        <is>
          <t>DALARNAS LÄN</t>
        </is>
      </c>
      <c r="E414" t="inlineStr">
        <is>
          <t>ORSA</t>
        </is>
      </c>
      <c r="G414" t="n">
        <v>1.9</v>
      </c>
      <c r="H414" t="n">
        <v>0</v>
      </c>
      <c r="I414" t="n">
        <v>0</v>
      </c>
      <c r="J414" t="n">
        <v>0</v>
      </c>
      <c r="K414" t="n">
        <v>0</v>
      </c>
      <c r="L414" t="n">
        <v>0</v>
      </c>
      <c r="M414" t="n">
        <v>0</v>
      </c>
      <c r="N414" t="n">
        <v>0</v>
      </c>
      <c r="O414" t="n">
        <v>0</v>
      </c>
      <c r="P414" t="n">
        <v>0</v>
      </c>
      <c r="Q414" t="n">
        <v>0</v>
      </c>
      <c r="R414" s="2" t="inlineStr"/>
    </row>
    <row r="415" ht="15" customHeight="1">
      <c r="A415" t="inlineStr">
        <is>
          <t>A 54509-2025</t>
        </is>
      </c>
      <c r="B415" s="1" t="n">
        <v>45965.61920138889</v>
      </c>
      <c r="C415" s="1" t="n">
        <v>46177</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37838-2024</t>
        </is>
      </c>
      <c r="B416" s="1" t="n">
        <v>45544.36310185185</v>
      </c>
      <c r="C416" s="1" t="n">
        <v>46177</v>
      </c>
      <c r="D416" t="inlineStr">
        <is>
          <t>DALARNAS LÄN</t>
        </is>
      </c>
      <c r="E416" t="inlineStr">
        <is>
          <t>ORSA</t>
        </is>
      </c>
      <c r="G416" t="n">
        <v>2.9</v>
      </c>
      <c r="H416" t="n">
        <v>0</v>
      </c>
      <c r="I416" t="n">
        <v>0</v>
      </c>
      <c r="J416" t="n">
        <v>0</v>
      </c>
      <c r="K416" t="n">
        <v>0</v>
      </c>
      <c r="L416" t="n">
        <v>0</v>
      </c>
      <c r="M416" t="n">
        <v>0</v>
      </c>
      <c r="N416" t="n">
        <v>0</v>
      </c>
      <c r="O416" t="n">
        <v>0</v>
      </c>
      <c r="P416" t="n">
        <v>0</v>
      </c>
      <c r="Q416" t="n">
        <v>0</v>
      </c>
      <c r="R416" s="2" t="inlineStr"/>
    </row>
    <row r="417" ht="15" customHeight="1">
      <c r="A417" t="inlineStr">
        <is>
          <t>A 58853-2022</t>
        </is>
      </c>
      <c r="B417" s="1" t="n">
        <v>44903</v>
      </c>
      <c r="C417" s="1" t="n">
        <v>46177</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53758-2024</t>
        </is>
      </c>
      <c r="B418" s="1" t="n">
        <v>45615.50483796297</v>
      </c>
      <c r="C418" s="1" t="n">
        <v>46177</v>
      </c>
      <c r="D418" t="inlineStr">
        <is>
          <t>DALARNAS LÄN</t>
        </is>
      </c>
      <c r="E418" t="inlineStr">
        <is>
          <t>ORSA</t>
        </is>
      </c>
      <c r="G418" t="n">
        <v>0.5</v>
      </c>
      <c r="H418" t="n">
        <v>0</v>
      </c>
      <c r="I418" t="n">
        <v>0</v>
      </c>
      <c r="J418" t="n">
        <v>0</v>
      </c>
      <c r="K418" t="n">
        <v>0</v>
      </c>
      <c r="L418" t="n">
        <v>0</v>
      </c>
      <c r="M418" t="n">
        <v>0</v>
      </c>
      <c r="N418" t="n">
        <v>0</v>
      </c>
      <c r="O418" t="n">
        <v>0</v>
      </c>
      <c r="P418" t="n">
        <v>0</v>
      </c>
      <c r="Q418" t="n">
        <v>0</v>
      </c>
      <c r="R418" s="2" t="inlineStr"/>
    </row>
    <row r="419" ht="15" customHeight="1">
      <c r="A419" t="inlineStr">
        <is>
          <t>A 53102-2021</t>
        </is>
      </c>
      <c r="B419" s="1" t="n">
        <v>44467</v>
      </c>
      <c r="C419" s="1" t="n">
        <v>46177</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54543-2025</t>
        </is>
      </c>
      <c r="B420" s="1" t="n">
        <v>45965.64862268518</v>
      </c>
      <c r="C420" s="1" t="n">
        <v>46177</v>
      </c>
      <c r="D420" t="inlineStr">
        <is>
          <t>DALARNAS LÄN</t>
        </is>
      </c>
      <c r="E420" t="inlineStr">
        <is>
          <t>ORSA</t>
        </is>
      </c>
      <c r="G420" t="n">
        <v>1.7</v>
      </c>
      <c r="H420" t="n">
        <v>0</v>
      </c>
      <c r="I420" t="n">
        <v>0</v>
      </c>
      <c r="J420" t="n">
        <v>0</v>
      </c>
      <c r="K420" t="n">
        <v>0</v>
      </c>
      <c r="L420" t="n">
        <v>0</v>
      </c>
      <c r="M420" t="n">
        <v>0</v>
      </c>
      <c r="N420" t="n">
        <v>0</v>
      </c>
      <c r="O420" t="n">
        <v>0</v>
      </c>
      <c r="P420" t="n">
        <v>0</v>
      </c>
      <c r="Q420" t="n">
        <v>0</v>
      </c>
      <c r="R420" s="2" t="inlineStr"/>
    </row>
    <row r="421" ht="15" customHeight="1">
      <c r="A421" t="inlineStr">
        <is>
          <t>A 1304-2024</t>
        </is>
      </c>
      <c r="B421" s="1" t="n">
        <v>45303</v>
      </c>
      <c r="C421" s="1" t="n">
        <v>46177</v>
      </c>
      <c r="D421" t="inlineStr">
        <is>
          <t>DALARNAS LÄN</t>
        </is>
      </c>
      <c r="E421" t="inlineStr">
        <is>
          <t>ORSA</t>
        </is>
      </c>
      <c r="G421" t="n">
        <v>3.8</v>
      </c>
      <c r="H421" t="n">
        <v>0</v>
      </c>
      <c r="I421" t="n">
        <v>0</v>
      </c>
      <c r="J421" t="n">
        <v>0</v>
      </c>
      <c r="K421" t="n">
        <v>0</v>
      </c>
      <c r="L421" t="n">
        <v>0</v>
      </c>
      <c r="M421" t="n">
        <v>0</v>
      </c>
      <c r="N421" t="n">
        <v>0</v>
      </c>
      <c r="O421" t="n">
        <v>0</v>
      </c>
      <c r="P421" t="n">
        <v>0</v>
      </c>
      <c r="Q421" t="n">
        <v>0</v>
      </c>
      <c r="R421" s="2" t="inlineStr"/>
    </row>
    <row r="422" ht="15" customHeight="1">
      <c r="A422" t="inlineStr">
        <is>
          <t>A 52033-2023</t>
        </is>
      </c>
      <c r="B422" s="1" t="n">
        <v>45223.62680555556</v>
      </c>
      <c r="C422" s="1" t="n">
        <v>46177</v>
      </c>
      <c r="D422" t="inlineStr">
        <is>
          <t>DALARNAS LÄN</t>
        </is>
      </c>
      <c r="E422" t="inlineStr">
        <is>
          <t>ORSA</t>
        </is>
      </c>
      <c r="G422" t="n">
        <v>11.5</v>
      </c>
      <c r="H422" t="n">
        <v>0</v>
      </c>
      <c r="I422" t="n">
        <v>0</v>
      </c>
      <c r="J422" t="n">
        <v>0</v>
      </c>
      <c r="K422" t="n">
        <v>0</v>
      </c>
      <c r="L422" t="n">
        <v>0</v>
      </c>
      <c r="M422" t="n">
        <v>0</v>
      </c>
      <c r="N422" t="n">
        <v>0</v>
      </c>
      <c r="O422" t="n">
        <v>0</v>
      </c>
      <c r="P422" t="n">
        <v>0</v>
      </c>
      <c r="Q422" t="n">
        <v>0</v>
      </c>
      <c r="R422" s="2" t="inlineStr"/>
    </row>
    <row r="423" ht="15" customHeight="1">
      <c r="A423" t="inlineStr">
        <is>
          <t>A 55105-2025</t>
        </is>
      </c>
      <c r="B423" s="1" t="n">
        <v>45968.36422453704</v>
      </c>
      <c r="C423" s="1" t="n">
        <v>46177</v>
      </c>
      <c r="D423" t="inlineStr">
        <is>
          <t>DALARNAS LÄN</t>
        </is>
      </c>
      <c r="E423" t="inlineStr">
        <is>
          <t>ORSA</t>
        </is>
      </c>
      <c r="F423" t="inlineStr">
        <is>
          <t>Allmännings- och besparingsskogar</t>
        </is>
      </c>
      <c r="G423" t="n">
        <v>31.5</v>
      </c>
      <c r="H423" t="n">
        <v>0</v>
      </c>
      <c r="I423" t="n">
        <v>0</v>
      </c>
      <c r="J423" t="n">
        <v>0</v>
      </c>
      <c r="K423" t="n">
        <v>0</v>
      </c>
      <c r="L423" t="n">
        <v>0</v>
      </c>
      <c r="M423" t="n">
        <v>0</v>
      </c>
      <c r="N423" t="n">
        <v>0</v>
      </c>
      <c r="O423" t="n">
        <v>0</v>
      </c>
      <c r="P423" t="n">
        <v>0</v>
      </c>
      <c r="Q423" t="n">
        <v>0</v>
      </c>
      <c r="R423" s="2" t="inlineStr"/>
    </row>
    <row r="424" ht="15" customHeight="1">
      <c r="A424" t="inlineStr">
        <is>
          <t>A 55405-2025</t>
        </is>
      </c>
      <c r="B424" s="1" t="n">
        <v>45971.45525462963</v>
      </c>
      <c r="C424" s="1" t="n">
        <v>46177</v>
      </c>
      <c r="D424" t="inlineStr">
        <is>
          <t>DALARNAS LÄN</t>
        </is>
      </c>
      <c r="E424" t="inlineStr">
        <is>
          <t>ORSA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29933-2025</t>
        </is>
      </c>
      <c r="B425" s="1" t="n">
        <v>45826.44121527778</v>
      </c>
      <c r="C425" s="1" t="n">
        <v>46177</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55369-2025</t>
        </is>
      </c>
      <c r="B426" s="1" t="n">
        <v>45971.41472222222</v>
      </c>
      <c r="C426" s="1" t="n">
        <v>46177</v>
      </c>
      <c r="D426" t="inlineStr">
        <is>
          <t>DALARNAS LÄN</t>
        </is>
      </c>
      <c r="E426" t="inlineStr">
        <is>
          <t>ORSA</t>
        </is>
      </c>
      <c r="F426" t="inlineStr">
        <is>
          <t>Bergvik skog öst AB</t>
        </is>
      </c>
      <c r="G426" t="n">
        <v>1.7</v>
      </c>
      <c r="H426" t="n">
        <v>0</v>
      </c>
      <c r="I426" t="n">
        <v>0</v>
      </c>
      <c r="J426" t="n">
        <v>0</v>
      </c>
      <c r="K426" t="n">
        <v>0</v>
      </c>
      <c r="L426" t="n">
        <v>0</v>
      </c>
      <c r="M426" t="n">
        <v>0</v>
      </c>
      <c r="N426" t="n">
        <v>0</v>
      </c>
      <c r="O426" t="n">
        <v>0</v>
      </c>
      <c r="P426" t="n">
        <v>0</v>
      </c>
      <c r="Q426" t="n">
        <v>0</v>
      </c>
      <c r="R426" s="2" t="inlineStr"/>
    </row>
    <row r="427" ht="15" customHeight="1">
      <c r="A427" t="inlineStr">
        <is>
          <t>A 56295-2025</t>
        </is>
      </c>
      <c r="B427" s="1" t="n">
        <v>45974.60144675926</v>
      </c>
      <c r="C427" s="1" t="n">
        <v>46177</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27877-2021</t>
        </is>
      </c>
      <c r="B428" s="1" t="n">
        <v>44354.6446875</v>
      </c>
      <c r="C428" s="1" t="n">
        <v>46177</v>
      </c>
      <c r="D428" t="inlineStr">
        <is>
          <t>DALARNAS LÄN</t>
        </is>
      </c>
      <c r="E428" t="inlineStr">
        <is>
          <t>ORSA</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56288-2025</t>
        </is>
      </c>
      <c r="B429" s="1" t="n">
        <v>45974.59688657407</v>
      </c>
      <c r="C429" s="1" t="n">
        <v>46177</v>
      </c>
      <c r="D429" t="inlineStr">
        <is>
          <t>DALARNAS LÄN</t>
        </is>
      </c>
      <c r="E429" t="inlineStr">
        <is>
          <t>ORSA</t>
        </is>
      </c>
      <c r="G429" t="n">
        <v>7.2</v>
      </c>
      <c r="H429" t="n">
        <v>0</v>
      </c>
      <c r="I429" t="n">
        <v>0</v>
      </c>
      <c r="J429" t="n">
        <v>0</v>
      </c>
      <c r="K429" t="n">
        <v>0</v>
      </c>
      <c r="L429" t="n">
        <v>0</v>
      </c>
      <c r="M429" t="n">
        <v>0</v>
      </c>
      <c r="N429" t="n">
        <v>0</v>
      </c>
      <c r="O429" t="n">
        <v>0</v>
      </c>
      <c r="P429" t="n">
        <v>0</v>
      </c>
      <c r="Q429" t="n">
        <v>0</v>
      </c>
      <c r="R429" s="2" t="inlineStr"/>
    </row>
    <row r="430" ht="15" customHeight="1">
      <c r="A430" t="inlineStr">
        <is>
          <t>A 56344-2025</t>
        </is>
      </c>
      <c r="B430" s="1" t="n">
        <v>45974.64894675926</v>
      </c>
      <c r="C430" s="1" t="n">
        <v>46177</v>
      </c>
      <c r="D430" t="inlineStr">
        <is>
          <t>DALARNAS LÄN</t>
        </is>
      </c>
      <c r="E430" t="inlineStr">
        <is>
          <t>ORSA</t>
        </is>
      </c>
      <c r="G430" t="n">
        <v>5.5</v>
      </c>
      <c r="H430" t="n">
        <v>0</v>
      </c>
      <c r="I430" t="n">
        <v>0</v>
      </c>
      <c r="J430" t="n">
        <v>0</v>
      </c>
      <c r="K430" t="n">
        <v>0</v>
      </c>
      <c r="L430" t="n">
        <v>0</v>
      </c>
      <c r="M430" t="n">
        <v>0</v>
      </c>
      <c r="N430" t="n">
        <v>0</v>
      </c>
      <c r="O430" t="n">
        <v>0</v>
      </c>
      <c r="P430" t="n">
        <v>0</v>
      </c>
      <c r="Q430" t="n">
        <v>0</v>
      </c>
      <c r="R430" s="2" t="inlineStr"/>
    </row>
    <row r="431" ht="15" customHeight="1">
      <c r="A431" t="inlineStr">
        <is>
          <t>A 17848-2025</t>
        </is>
      </c>
      <c r="B431" s="1" t="n">
        <v>45758.59981481481</v>
      </c>
      <c r="C431" s="1" t="n">
        <v>46177</v>
      </c>
      <c r="D431" t="inlineStr">
        <is>
          <t>DALARNAS LÄN</t>
        </is>
      </c>
      <c r="E431" t="inlineStr">
        <is>
          <t>ORSA</t>
        </is>
      </c>
      <c r="G431" t="n">
        <v>1.6</v>
      </c>
      <c r="H431" t="n">
        <v>0</v>
      </c>
      <c r="I431" t="n">
        <v>0</v>
      </c>
      <c r="J431" t="n">
        <v>0</v>
      </c>
      <c r="K431" t="n">
        <v>0</v>
      </c>
      <c r="L431" t="n">
        <v>0</v>
      </c>
      <c r="M431" t="n">
        <v>0</v>
      </c>
      <c r="N431" t="n">
        <v>0</v>
      </c>
      <c r="O431" t="n">
        <v>0</v>
      </c>
      <c r="P431" t="n">
        <v>0</v>
      </c>
      <c r="Q431" t="n">
        <v>0</v>
      </c>
      <c r="R431" s="2" t="inlineStr"/>
    </row>
    <row r="432" ht="15" customHeight="1">
      <c r="A432" t="inlineStr">
        <is>
          <t>A 56297-2025</t>
        </is>
      </c>
      <c r="B432" s="1" t="n">
        <v>45974.60431712963</v>
      </c>
      <c r="C432" s="1" t="n">
        <v>46177</v>
      </c>
      <c r="D432" t="inlineStr">
        <is>
          <t>DALARNAS LÄN</t>
        </is>
      </c>
      <c r="E432" t="inlineStr">
        <is>
          <t>ORSA</t>
        </is>
      </c>
      <c r="G432" t="n">
        <v>0.9</v>
      </c>
      <c r="H432" t="n">
        <v>0</v>
      </c>
      <c r="I432" t="n">
        <v>0</v>
      </c>
      <c r="J432" t="n">
        <v>0</v>
      </c>
      <c r="K432" t="n">
        <v>0</v>
      </c>
      <c r="L432" t="n">
        <v>0</v>
      </c>
      <c r="M432" t="n">
        <v>0</v>
      </c>
      <c r="N432" t="n">
        <v>0</v>
      </c>
      <c r="O432" t="n">
        <v>0</v>
      </c>
      <c r="P432" t="n">
        <v>0</v>
      </c>
      <c r="Q432" t="n">
        <v>0</v>
      </c>
      <c r="R432" s="2" t="inlineStr"/>
    </row>
    <row r="433" ht="15" customHeight="1">
      <c r="A433" t="inlineStr">
        <is>
          <t>A 892-2024</t>
        </is>
      </c>
      <c r="B433" s="1" t="n">
        <v>45301</v>
      </c>
      <c r="C433" s="1" t="n">
        <v>46177</v>
      </c>
      <c r="D433" t="inlineStr">
        <is>
          <t>DALARNAS LÄN</t>
        </is>
      </c>
      <c r="E433" t="inlineStr">
        <is>
          <t>ORSA</t>
        </is>
      </c>
      <c r="G433" t="n">
        <v>1.2</v>
      </c>
      <c r="H433" t="n">
        <v>0</v>
      </c>
      <c r="I433" t="n">
        <v>0</v>
      </c>
      <c r="J433" t="n">
        <v>0</v>
      </c>
      <c r="K433" t="n">
        <v>0</v>
      </c>
      <c r="L433" t="n">
        <v>0</v>
      </c>
      <c r="M433" t="n">
        <v>0</v>
      </c>
      <c r="N433" t="n">
        <v>0</v>
      </c>
      <c r="O433" t="n">
        <v>0</v>
      </c>
      <c r="P433" t="n">
        <v>0</v>
      </c>
      <c r="Q433" t="n">
        <v>0</v>
      </c>
      <c r="R433" s="2" t="inlineStr"/>
    </row>
    <row r="434" ht="15" customHeight="1">
      <c r="A434" t="inlineStr">
        <is>
          <t>A 56813-2025</t>
        </is>
      </c>
      <c r="B434" s="1" t="n">
        <v>45978.45585648148</v>
      </c>
      <c r="C434" s="1" t="n">
        <v>46177</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16777-2024</t>
        </is>
      </c>
      <c r="B435" s="1" t="n">
        <v>45411</v>
      </c>
      <c r="C435" s="1" t="n">
        <v>46177</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56471-2025</t>
        </is>
      </c>
      <c r="B436" s="1" t="n">
        <v>45975.37766203703</v>
      </c>
      <c r="C436" s="1" t="n">
        <v>46177</v>
      </c>
      <c r="D436" t="inlineStr">
        <is>
          <t>DALARNAS LÄN</t>
        </is>
      </c>
      <c r="E436" t="inlineStr">
        <is>
          <t>ORSA</t>
        </is>
      </c>
      <c r="G436" t="n">
        <v>5.2</v>
      </c>
      <c r="H436" t="n">
        <v>0</v>
      </c>
      <c r="I436" t="n">
        <v>0</v>
      </c>
      <c r="J436" t="n">
        <v>0</v>
      </c>
      <c r="K436" t="n">
        <v>0</v>
      </c>
      <c r="L436" t="n">
        <v>0</v>
      </c>
      <c r="M436" t="n">
        <v>0</v>
      </c>
      <c r="N436" t="n">
        <v>0</v>
      </c>
      <c r="O436" t="n">
        <v>0</v>
      </c>
      <c r="P436" t="n">
        <v>0</v>
      </c>
      <c r="Q436" t="n">
        <v>0</v>
      </c>
      <c r="R436" s="2" t="inlineStr"/>
    </row>
    <row r="437" ht="15" customHeight="1">
      <c r="A437" t="inlineStr">
        <is>
          <t>A 48521-2024</t>
        </is>
      </c>
      <c r="B437" s="1" t="n">
        <v>45593.32871527778</v>
      </c>
      <c r="C437" s="1" t="n">
        <v>46177</v>
      </c>
      <c r="D437" t="inlineStr">
        <is>
          <t>DALARNAS LÄN</t>
        </is>
      </c>
      <c r="E437" t="inlineStr">
        <is>
          <t>ORSA</t>
        </is>
      </c>
      <c r="G437" t="n">
        <v>1.6</v>
      </c>
      <c r="H437" t="n">
        <v>0</v>
      </c>
      <c r="I437" t="n">
        <v>0</v>
      </c>
      <c r="J437" t="n">
        <v>0</v>
      </c>
      <c r="K437" t="n">
        <v>0</v>
      </c>
      <c r="L437" t="n">
        <v>0</v>
      </c>
      <c r="M437" t="n">
        <v>0</v>
      </c>
      <c r="N437" t="n">
        <v>0</v>
      </c>
      <c r="O437" t="n">
        <v>0</v>
      </c>
      <c r="P437" t="n">
        <v>0</v>
      </c>
      <c r="Q437" t="n">
        <v>0</v>
      </c>
      <c r="R437" s="2" t="inlineStr"/>
    </row>
    <row r="438" ht="15" customHeight="1">
      <c r="A438" t="inlineStr">
        <is>
          <t>A 56459-2025</t>
        </is>
      </c>
      <c r="B438" s="1" t="n">
        <v>45975.36898148148</v>
      </c>
      <c r="C438" s="1" t="n">
        <v>46177</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56473-2025</t>
        </is>
      </c>
      <c r="B439" s="1" t="n">
        <v>45975.38001157407</v>
      </c>
      <c r="C439" s="1" t="n">
        <v>46177</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57681-2025</t>
        </is>
      </c>
      <c r="B440" s="1" t="n">
        <v>45980.30490740741</v>
      </c>
      <c r="C440" s="1" t="n">
        <v>46177</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52643-2024</t>
        </is>
      </c>
      <c r="B441" s="1" t="n">
        <v>45610.34175925926</v>
      </c>
      <c r="C441" s="1" t="n">
        <v>46177</v>
      </c>
      <c r="D441" t="inlineStr">
        <is>
          <t>DALARNAS LÄN</t>
        </is>
      </c>
      <c r="E441" t="inlineStr">
        <is>
          <t>ORSA</t>
        </is>
      </c>
      <c r="G441" t="n">
        <v>1.5</v>
      </c>
      <c r="H441" t="n">
        <v>0</v>
      </c>
      <c r="I441" t="n">
        <v>0</v>
      </c>
      <c r="J441" t="n">
        <v>0</v>
      </c>
      <c r="K441" t="n">
        <v>0</v>
      </c>
      <c r="L441" t="n">
        <v>0</v>
      </c>
      <c r="M441" t="n">
        <v>0</v>
      </c>
      <c r="N441" t="n">
        <v>0</v>
      </c>
      <c r="O441" t="n">
        <v>0</v>
      </c>
      <c r="P441" t="n">
        <v>0</v>
      </c>
      <c r="Q441" t="n">
        <v>0</v>
      </c>
      <c r="R441" s="2" t="inlineStr"/>
    </row>
    <row r="442" ht="15" customHeight="1">
      <c r="A442" t="inlineStr">
        <is>
          <t>A 57055-2025</t>
        </is>
      </c>
      <c r="B442" s="1" t="n">
        <v>45979.36299768519</v>
      </c>
      <c r="C442" s="1" t="n">
        <v>46177</v>
      </c>
      <c r="D442" t="inlineStr">
        <is>
          <t>DALARNAS LÄN</t>
        </is>
      </c>
      <c r="E442" t="inlineStr">
        <is>
          <t>ORSA</t>
        </is>
      </c>
      <c r="G442" t="n">
        <v>1.6</v>
      </c>
      <c r="H442" t="n">
        <v>0</v>
      </c>
      <c r="I442" t="n">
        <v>0</v>
      </c>
      <c r="J442" t="n">
        <v>0</v>
      </c>
      <c r="K442" t="n">
        <v>0</v>
      </c>
      <c r="L442" t="n">
        <v>0</v>
      </c>
      <c r="M442" t="n">
        <v>0</v>
      </c>
      <c r="N442" t="n">
        <v>0</v>
      </c>
      <c r="O442" t="n">
        <v>0</v>
      </c>
      <c r="P442" t="n">
        <v>0</v>
      </c>
      <c r="Q442" t="n">
        <v>0</v>
      </c>
      <c r="R442" s="2" t="inlineStr"/>
    </row>
    <row r="443" ht="15" customHeight="1">
      <c r="A443" t="inlineStr">
        <is>
          <t>A 31365-2025</t>
        </is>
      </c>
      <c r="B443" s="1" t="n">
        <v>45833.43884259259</v>
      </c>
      <c r="C443" s="1" t="n">
        <v>46177</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21301-2023</t>
        </is>
      </c>
      <c r="B444" s="1" t="n">
        <v>45062.66613425926</v>
      </c>
      <c r="C444" s="1" t="n">
        <v>46177</v>
      </c>
      <c r="D444" t="inlineStr">
        <is>
          <t>DALARNAS LÄN</t>
        </is>
      </c>
      <c r="E444" t="inlineStr">
        <is>
          <t>ORSA</t>
        </is>
      </c>
      <c r="G444" t="n">
        <v>2.2</v>
      </c>
      <c r="H444" t="n">
        <v>0</v>
      </c>
      <c r="I444" t="n">
        <v>0</v>
      </c>
      <c r="J444" t="n">
        <v>0</v>
      </c>
      <c r="K444" t="n">
        <v>0</v>
      </c>
      <c r="L444" t="n">
        <v>0</v>
      </c>
      <c r="M444" t="n">
        <v>0</v>
      </c>
      <c r="N444" t="n">
        <v>0</v>
      </c>
      <c r="O444" t="n">
        <v>0</v>
      </c>
      <c r="P444" t="n">
        <v>0</v>
      </c>
      <c r="Q444" t="n">
        <v>0</v>
      </c>
      <c r="R444" s="2" t="inlineStr"/>
    </row>
    <row r="445" ht="15" customHeight="1">
      <c r="A445" t="inlineStr">
        <is>
          <t>A 36569-2021</t>
        </is>
      </c>
      <c r="B445" s="1" t="n">
        <v>44391</v>
      </c>
      <c r="C445" s="1" t="n">
        <v>46177</v>
      </c>
      <c r="D445" t="inlineStr">
        <is>
          <t>DALARNAS LÄN</t>
        </is>
      </c>
      <c r="E445" t="inlineStr">
        <is>
          <t>ORSA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57383-2025</t>
        </is>
      </c>
      <c r="B446" s="1" t="n">
        <v>45980.40871527778</v>
      </c>
      <c r="C446" s="1" t="n">
        <v>46177</v>
      </c>
      <c r="D446" t="inlineStr">
        <is>
          <t>DALARNAS LÄN</t>
        </is>
      </c>
      <c r="E446" t="inlineStr">
        <is>
          <t>ORSA</t>
        </is>
      </c>
      <c r="F446" t="inlineStr">
        <is>
          <t>Kyrkan</t>
        </is>
      </c>
      <c r="G446" t="n">
        <v>3.5</v>
      </c>
      <c r="H446" t="n">
        <v>0</v>
      </c>
      <c r="I446" t="n">
        <v>0</v>
      </c>
      <c r="J446" t="n">
        <v>0</v>
      </c>
      <c r="K446" t="n">
        <v>0</v>
      </c>
      <c r="L446" t="n">
        <v>0</v>
      </c>
      <c r="M446" t="n">
        <v>0</v>
      </c>
      <c r="N446" t="n">
        <v>0</v>
      </c>
      <c r="O446" t="n">
        <v>0</v>
      </c>
      <c r="P446" t="n">
        <v>0</v>
      </c>
      <c r="Q446" t="n">
        <v>0</v>
      </c>
      <c r="R446" s="2" t="inlineStr"/>
    </row>
    <row r="447" ht="15" customHeight="1">
      <c r="A447" t="inlineStr">
        <is>
          <t>A 31659-2025</t>
        </is>
      </c>
      <c r="B447" s="1" t="n">
        <v>45834.35421296296</v>
      </c>
      <c r="C447" s="1" t="n">
        <v>46177</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32325-2025</t>
        </is>
      </c>
      <c r="B448" s="1" t="n">
        <v>45836</v>
      </c>
      <c r="C448" s="1" t="n">
        <v>46177</v>
      </c>
      <c r="D448" t="inlineStr">
        <is>
          <t>DALARNAS LÄN</t>
        </is>
      </c>
      <c r="E448" t="inlineStr">
        <is>
          <t>ORSA</t>
        </is>
      </c>
      <c r="G448" t="n">
        <v>3.8</v>
      </c>
      <c r="H448" t="n">
        <v>0</v>
      </c>
      <c r="I448" t="n">
        <v>0</v>
      </c>
      <c r="J448" t="n">
        <v>0</v>
      </c>
      <c r="K448" t="n">
        <v>0</v>
      </c>
      <c r="L448" t="n">
        <v>0</v>
      </c>
      <c r="M448" t="n">
        <v>0</v>
      </c>
      <c r="N448" t="n">
        <v>0</v>
      </c>
      <c r="O448" t="n">
        <v>0</v>
      </c>
      <c r="P448" t="n">
        <v>0</v>
      </c>
      <c r="Q448" t="n">
        <v>0</v>
      </c>
      <c r="R448" s="2" t="inlineStr"/>
    </row>
    <row r="449" ht="15" customHeight="1">
      <c r="A449" t="inlineStr">
        <is>
          <t>A 33214-2025</t>
        </is>
      </c>
      <c r="B449" s="1" t="n">
        <v>45840.6295949074</v>
      </c>
      <c r="C449" s="1" t="n">
        <v>46177</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56711-2021</t>
        </is>
      </c>
      <c r="B450" s="1" t="n">
        <v>44481.41222222222</v>
      </c>
      <c r="C450" s="1" t="n">
        <v>46177</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32985-2025</t>
        </is>
      </c>
      <c r="B451" s="1" t="n">
        <v>45839.93033564815</v>
      </c>
      <c r="C451" s="1" t="n">
        <v>46177</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33059-2025</t>
        </is>
      </c>
      <c r="B452" s="1" t="n">
        <v>45840.43072916667</v>
      </c>
      <c r="C452" s="1" t="n">
        <v>46177</v>
      </c>
      <c r="D452" t="inlineStr">
        <is>
          <t>DALARNAS LÄN</t>
        </is>
      </c>
      <c r="E452" t="inlineStr">
        <is>
          <t>ORSA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33209-2025</t>
        </is>
      </c>
      <c r="B453" s="1" t="n">
        <v>45840.62648148148</v>
      </c>
      <c r="C453" s="1" t="n">
        <v>46177</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33158-2025</t>
        </is>
      </c>
      <c r="B454" s="1" t="n">
        <v>45840</v>
      </c>
      <c r="C454" s="1" t="n">
        <v>46177</v>
      </c>
      <c r="D454" t="inlineStr">
        <is>
          <t>DALARNAS LÄN</t>
        </is>
      </c>
      <c r="E454" t="inlineStr">
        <is>
          <t>ORSA</t>
        </is>
      </c>
      <c r="F454" t="inlineStr">
        <is>
          <t>Bergvik skog öst AB</t>
        </is>
      </c>
      <c r="G454" t="n">
        <v>2.7</v>
      </c>
      <c r="H454" t="n">
        <v>0</v>
      </c>
      <c r="I454" t="n">
        <v>0</v>
      </c>
      <c r="J454" t="n">
        <v>0</v>
      </c>
      <c r="K454" t="n">
        <v>0</v>
      </c>
      <c r="L454" t="n">
        <v>0</v>
      </c>
      <c r="M454" t="n">
        <v>0</v>
      </c>
      <c r="N454" t="n">
        <v>0</v>
      </c>
      <c r="O454" t="n">
        <v>0</v>
      </c>
      <c r="P454" t="n">
        <v>0</v>
      </c>
      <c r="Q454" t="n">
        <v>0</v>
      </c>
      <c r="R454" s="2" t="inlineStr"/>
    </row>
    <row r="455" ht="15" customHeight="1">
      <c r="A455" t="inlineStr">
        <is>
          <t>A 32984-2025</t>
        </is>
      </c>
      <c r="B455" s="1" t="n">
        <v>45839.93006944445</v>
      </c>
      <c r="C455" s="1" t="n">
        <v>46177</v>
      </c>
      <c r="D455" t="inlineStr">
        <is>
          <t>DALARNAS LÄN</t>
        </is>
      </c>
      <c r="E455" t="inlineStr">
        <is>
          <t>ORSA</t>
        </is>
      </c>
      <c r="G455" t="n">
        <v>0.5</v>
      </c>
      <c r="H455" t="n">
        <v>0</v>
      </c>
      <c r="I455" t="n">
        <v>0</v>
      </c>
      <c r="J455" t="n">
        <v>0</v>
      </c>
      <c r="K455" t="n">
        <v>0</v>
      </c>
      <c r="L455" t="n">
        <v>0</v>
      </c>
      <c r="M455" t="n">
        <v>0</v>
      </c>
      <c r="N455" t="n">
        <v>0</v>
      </c>
      <c r="O455" t="n">
        <v>0</v>
      </c>
      <c r="P455" t="n">
        <v>0</v>
      </c>
      <c r="Q455" t="n">
        <v>0</v>
      </c>
      <c r="R455" s="2" t="inlineStr"/>
    </row>
    <row r="456" ht="15" customHeight="1">
      <c r="A456" t="inlineStr">
        <is>
          <t>A 58647-2025</t>
        </is>
      </c>
      <c r="B456" s="1" t="n">
        <v>45986.50476851852</v>
      </c>
      <c r="C456" s="1" t="n">
        <v>46177</v>
      </c>
      <c r="D456" t="inlineStr">
        <is>
          <t>DALARNAS LÄN</t>
        </is>
      </c>
      <c r="E456" t="inlineStr">
        <is>
          <t>ORSA</t>
        </is>
      </c>
      <c r="G456" t="n">
        <v>2.8</v>
      </c>
      <c r="H456" t="n">
        <v>0</v>
      </c>
      <c r="I456" t="n">
        <v>0</v>
      </c>
      <c r="J456" t="n">
        <v>0</v>
      </c>
      <c r="K456" t="n">
        <v>0</v>
      </c>
      <c r="L456" t="n">
        <v>0</v>
      </c>
      <c r="M456" t="n">
        <v>0</v>
      </c>
      <c r="N456" t="n">
        <v>0</v>
      </c>
      <c r="O456" t="n">
        <v>0</v>
      </c>
      <c r="P456" t="n">
        <v>0</v>
      </c>
      <c r="Q456" t="n">
        <v>0</v>
      </c>
      <c r="R456" s="2" t="inlineStr"/>
    </row>
    <row r="457" ht="15" customHeight="1">
      <c r="A457" t="inlineStr">
        <is>
          <t>A 58657-2025</t>
        </is>
      </c>
      <c r="B457" s="1" t="n">
        <v>45986.52584490741</v>
      </c>
      <c r="C457" s="1" t="n">
        <v>46177</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33374-2025</t>
        </is>
      </c>
      <c r="B458" s="1" t="n">
        <v>45841.39582175926</v>
      </c>
      <c r="C458" s="1" t="n">
        <v>46177</v>
      </c>
      <c r="D458" t="inlineStr">
        <is>
          <t>DALARNAS LÄN</t>
        </is>
      </c>
      <c r="E458" t="inlineStr">
        <is>
          <t>ORSA</t>
        </is>
      </c>
      <c r="G458" t="n">
        <v>1</v>
      </c>
      <c r="H458" t="n">
        <v>0</v>
      </c>
      <c r="I458" t="n">
        <v>0</v>
      </c>
      <c r="J458" t="n">
        <v>0</v>
      </c>
      <c r="K458" t="n">
        <v>0</v>
      </c>
      <c r="L458" t="n">
        <v>0</v>
      </c>
      <c r="M458" t="n">
        <v>0</v>
      </c>
      <c r="N458" t="n">
        <v>0</v>
      </c>
      <c r="O458" t="n">
        <v>0</v>
      </c>
      <c r="P458" t="n">
        <v>0</v>
      </c>
      <c r="Q458" t="n">
        <v>0</v>
      </c>
      <c r="R458" s="2" t="inlineStr"/>
    </row>
    <row r="459" ht="15" customHeight="1">
      <c r="A459" t="inlineStr">
        <is>
          <t>A 58683-2025</t>
        </is>
      </c>
      <c r="B459" s="1" t="n">
        <v>45986.56949074074</v>
      </c>
      <c r="C459" s="1" t="n">
        <v>46177</v>
      </c>
      <c r="D459" t="inlineStr">
        <is>
          <t>DALARNAS LÄN</t>
        </is>
      </c>
      <c r="E459" t="inlineStr">
        <is>
          <t>ORSA</t>
        </is>
      </c>
      <c r="G459" t="n">
        <v>0.6</v>
      </c>
      <c r="H459" t="n">
        <v>0</v>
      </c>
      <c r="I459" t="n">
        <v>0</v>
      </c>
      <c r="J459" t="n">
        <v>0</v>
      </c>
      <c r="K459" t="n">
        <v>0</v>
      </c>
      <c r="L459" t="n">
        <v>0</v>
      </c>
      <c r="M459" t="n">
        <v>0</v>
      </c>
      <c r="N459" t="n">
        <v>0</v>
      </c>
      <c r="O459" t="n">
        <v>0</v>
      </c>
      <c r="P459" t="n">
        <v>0</v>
      </c>
      <c r="Q459" t="n">
        <v>0</v>
      </c>
      <c r="R459" s="2" t="inlineStr"/>
    </row>
    <row r="460" ht="15" customHeight="1">
      <c r="A460" t="inlineStr">
        <is>
          <t>A 33394-2025</t>
        </is>
      </c>
      <c r="B460" s="1" t="n">
        <v>45841.41704861111</v>
      </c>
      <c r="C460" s="1" t="n">
        <v>46177</v>
      </c>
      <c r="D460" t="inlineStr">
        <is>
          <t>DALARNAS LÄN</t>
        </is>
      </c>
      <c r="E460" t="inlineStr">
        <is>
          <t>ORSA</t>
        </is>
      </c>
      <c r="G460" t="n">
        <v>0.8</v>
      </c>
      <c r="H460" t="n">
        <v>0</v>
      </c>
      <c r="I460" t="n">
        <v>0</v>
      </c>
      <c r="J460" t="n">
        <v>0</v>
      </c>
      <c r="K460" t="n">
        <v>0</v>
      </c>
      <c r="L460" t="n">
        <v>0</v>
      </c>
      <c r="M460" t="n">
        <v>0</v>
      </c>
      <c r="N460" t="n">
        <v>0</v>
      </c>
      <c r="O460" t="n">
        <v>0</v>
      </c>
      <c r="P460" t="n">
        <v>0</v>
      </c>
      <c r="Q460" t="n">
        <v>0</v>
      </c>
      <c r="R460" s="2" t="inlineStr"/>
    </row>
    <row r="461" ht="15" customHeight="1">
      <c r="A461" t="inlineStr">
        <is>
          <t>A 58691-2025</t>
        </is>
      </c>
      <c r="B461" s="1" t="n">
        <v>45986.58231481481</v>
      </c>
      <c r="C461" s="1" t="n">
        <v>46177</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58681-2025</t>
        </is>
      </c>
      <c r="B462" s="1" t="n">
        <v>45986.56822916667</v>
      </c>
      <c r="C462" s="1" t="n">
        <v>46177</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33835-2025</t>
        </is>
      </c>
      <c r="B463" s="1" t="n">
        <v>45842.47619212963</v>
      </c>
      <c r="C463" s="1" t="n">
        <v>46177</v>
      </c>
      <c r="D463" t="inlineStr">
        <is>
          <t>DALARNAS LÄN</t>
        </is>
      </c>
      <c r="E463" t="inlineStr">
        <is>
          <t>ORSA</t>
        </is>
      </c>
      <c r="G463" t="n">
        <v>15.2</v>
      </c>
      <c r="H463" t="n">
        <v>0</v>
      </c>
      <c r="I463" t="n">
        <v>0</v>
      </c>
      <c r="J463" t="n">
        <v>0</v>
      </c>
      <c r="K463" t="n">
        <v>0</v>
      </c>
      <c r="L463" t="n">
        <v>0</v>
      </c>
      <c r="M463" t="n">
        <v>0</v>
      </c>
      <c r="N463" t="n">
        <v>0</v>
      </c>
      <c r="O463" t="n">
        <v>0</v>
      </c>
      <c r="P463" t="n">
        <v>0</v>
      </c>
      <c r="Q463" t="n">
        <v>0</v>
      </c>
      <c r="R463" s="2" t="inlineStr"/>
    </row>
    <row r="464" ht="15" customHeight="1">
      <c r="A464" t="inlineStr">
        <is>
          <t>A 58686-2025</t>
        </is>
      </c>
      <c r="B464" s="1" t="n">
        <v>45986.57303240741</v>
      </c>
      <c r="C464" s="1" t="n">
        <v>46177</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33951-2025</t>
        </is>
      </c>
      <c r="B465" s="1" t="n">
        <v>45842.66791666667</v>
      </c>
      <c r="C465" s="1" t="n">
        <v>46177</v>
      </c>
      <c r="D465" t="inlineStr">
        <is>
          <t>DALARNAS LÄN</t>
        </is>
      </c>
      <c r="E465" t="inlineStr">
        <is>
          <t>ORSA</t>
        </is>
      </c>
      <c r="G465" t="n">
        <v>1.2</v>
      </c>
      <c r="H465" t="n">
        <v>0</v>
      </c>
      <c r="I465" t="n">
        <v>0</v>
      </c>
      <c r="J465" t="n">
        <v>0</v>
      </c>
      <c r="K465" t="n">
        <v>0</v>
      </c>
      <c r="L465" t="n">
        <v>0</v>
      </c>
      <c r="M465" t="n">
        <v>0</v>
      </c>
      <c r="N465" t="n">
        <v>0</v>
      </c>
      <c r="O465" t="n">
        <v>0</v>
      </c>
      <c r="P465" t="n">
        <v>0</v>
      </c>
      <c r="Q465" t="n">
        <v>0</v>
      </c>
      <c r="R465" s="2" t="inlineStr"/>
    </row>
    <row r="466" ht="15" customHeight="1">
      <c r="A466" t="inlineStr">
        <is>
          <t>A 33857-2025</t>
        </is>
      </c>
      <c r="B466" s="1" t="n">
        <v>45842.51953703703</v>
      </c>
      <c r="C466" s="1" t="n">
        <v>46177</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58910-2025</t>
        </is>
      </c>
      <c r="B467" s="1" t="n">
        <v>45987.51534722222</v>
      </c>
      <c r="C467" s="1" t="n">
        <v>46177</v>
      </c>
      <c r="D467" t="inlineStr">
        <is>
          <t>DALARNAS LÄN</t>
        </is>
      </c>
      <c r="E467" t="inlineStr">
        <is>
          <t>ORSA</t>
        </is>
      </c>
      <c r="G467" t="n">
        <v>2.1</v>
      </c>
      <c r="H467" t="n">
        <v>0</v>
      </c>
      <c r="I467" t="n">
        <v>0</v>
      </c>
      <c r="J467" t="n">
        <v>0</v>
      </c>
      <c r="K467" t="n">
        <v>0</v>
      </c>
      <c r="L467" t="n">
        <v>0</v>
      </c>
      <c r="M467" t="n">
        <v>0</v>
      </c>
      <c r="N467" t="n">
        <v>0</v>
      </c>
      <c r="O467" t="n">
        <v>0</v>
      </c>
      <c r="P467" t="n">
        <v>0</v>
      </c>
      <c r="Q467" t="n">
        <v>0</v>
      </c>
      <c r="R467" s="2" t="inlineStr"/>
    </row>
    <row r="468" ht="15" customHeight="1">
      <c r="A468" t="inlineStr">
        <is>
          <t>A 58886-2025</t>
        </is>
      </c>
      <c r="B468" s="1" t="n">
        <v>45987.48171296297</v>
      </c>
      <c r="C468" s="1" t="n">
        <v>46177</v>
      </c>
      <c r="D468" t="inlineStr">
        <is>
          <t>DALARNAS LÄN</t>
        </is>
      </c>
      <c r="E468" t="inlineStr">
        <is>
          <t>ORSA</t>
        </is>
      </c>
      <c r="G468" t="n">
        <v>2.7</v>
      </c>
      <c r="H468" t="n">
        <v>0</v>
      </c>
      <c r="I468" t="n">
        <v>0</v>
      </c>
      <c r="J468" t="n">
        <v>0</v>
      </c>
      <c r="K468" t="n">
        <v>0</v>
      </c>
      <c r="L468" t="n">
        <v>0</v>
      </c>
      <c r="M468" t="n">
        <v>0</v>
      </c>
      <c r="N468" t="n">
        <v>0</v>
      </c>
      <c r="O468" t="n">
        <v>0</v>
      </c>
      <c r="P468" t="n">
        <v>0</v>
      </c>
      <c r="Q468" t="n">
        <v>0</v>
      </c>
      <c r="R468" s="2" t="inlineStr"/>
    </row>
    <row r="469" ht="15" customHeight="1">
      <c r="A469" t="inlineStr">
        <is>
          <t>A 59124-2025</t>
        </is>
      </c>
      <c r="B469" s="1" t="n">
        <v>45988.4934375</v>
      </c>
      <c r="C469" s="1" t="n">
        <v>46177</v>
      </c>
      <c r="D469" t="inlineStr">
        <is>
          <t>DALARNAS LÄN</t>
        </is>
      </c>
      <c r="E469" t="inlineStr">
        <is>
          <t>ORSA</t>
        </is>
      </c>
      <c r="G469" t="n">
        <v>0.6</v>
      </c>
      <c r="H469" t="n">
        <v>0</v>
      </c>
      <c r="I469" t="n">
        <v>0</v>
      </c>
      <c r="J469" t="n">
        <v>0</v>
      </c>
      <c r="K469" t="n">
        <v>0</v>
      </c>
      <c r="L469" t="n">
        <v>0</v>
      </c>
      <c r="M469" t="n">
        <v>0</v>
      </c>
      <c r="N469" t="n">
        <v>0</v>
      </c>
      <c r="O469" t="n">
        <v>0</v>
      </c>
      <c r="P469" t="n">
        <v>0</v>
      </c>
      <c r="Q469" t="n">
        <v>0</v>
      </c>
      <c r="R469" s="2" t="inlineStr"/>
    </row>
    <row r="470" ht="15" customHeight="1">
      <c r="A470" t="inlineStr">
        <is>
          <t>A 34001-2025</t>
        </is>
      </c>
      <c r="B470" s="1" t="n">
        <v>45844</v>
      </c>
      <c r="C470" s="1" t="n">
        <v>46177</v>
      </c>
      <c r="D470" t="inlineStr">
        <is>
          <t>DALARNAS LÄN</t>
        </is>
      </c>
      <c r="E470" t="inlineStr">
        <is>
          <t>ORSA</t>
        </is>
      </c>
      <c r="F470" t="inlineStr">
        <is>
          <t>Bergvik skog öst AB</t>
        </is>
      </c>
      <c r="G470" t="n">
        <v>13.4</v>
      </c>
      <c r="H470" t="n">
        <v>0</v>
      </c>
      <c r="I470" t="n">
        <v>0</v>
      </c>
      <c r="J470" t="n">
        <v>0</v>
      </c>
      <c r="K470" t="n">
        <v>0</v>
      </c>
      <c r="L470" t="n">
        <v>0</v>
      </c>
      <c r="M470" t="n">
        <v>0</v>
      </c>
      <c r="N470" t="n">
        <v>0</v>
      </c>
      <c r="O470" t="n">
        <v>0</v>
      </c>
      <c r="P470" t="n">
        <v>0</v>
      </c>
      <c r="Q470" t="n">
        <v>0</v>
      </c>
      <c r="R470" s="2" t="inlineStr"/>
    </row>
    <row r="471" ht="15" customHeight="1">
      <c r="A471" t="inlineStr">
        <is>
          <t>A 58923-2025</t>
        </is>
      </c>
      <c r="B471" s="1" t="n">
        <v>45987.54099537037</v>
      </c>
      <c r="C471" s="1" t="n">
        <v>46177</v>
      </c>
      <c r="D471" t="inlineStr">
        <is>
          <t>DALARNAS LÄN</t>
        </is>
      </c>
      <c r="E471" t="inlineStr">
        <is>
          <t>ORSA</t>
        </is>
      </c>
      <c r="G471" t="n">
        <v>0.6</v>
      </c>
      <c r="H471" t="n">
        <v>0</v>
      </c>
      <c r="I471" t="n">
        <v>0</v>
      </c>
      <c r="J471" t="n">
        <v>0</v>
      </c>
      <c r="K471" t="n">
        <v>0</v>
      </c>
      <c r="L471" t="n">
        <v>0</v>
      </c>
      <c r="M471" t="n">
        <v>0</v>
      </c>
      <c r="N471" t="n">
        <v>0</v>
      </c>
      <c r="O471" t="n">
        <v>0</v>
      </c>
      <c r="P471" t="n">
        <v>0</v>
      </c>
      <c r="Q471" t="n">
        <v>0</v>
      </c>
      <c r="R471" s="2" t="inlineStr"/>
    </row>
    <row r="472" ht="15" customHeight="1">
      <c r="A472" t="inlineStr">
        <is>
          <t>A 59114-2025</t>
        </is>
      </c>
      <c r="B472" s="1" t="n">
        <v>45988.4884375</v>
      </c>
      <c r="C472" s="1" t="n">
        <v>46177</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58834-2025</t>
        </is>
      </c>
      <c r="B473" s="1" t="n">
        <v>45987.35487268519</v>
      </c>
      <c r="C473" s="1" t="n">
        <v>46177</v>
      </c>
      <c r="D473" t="inlineStr">
        <is>
          <t>DALARNAS LÄN</t>
        </is>
      </c>
      <c r="E473" t="inlineStr">
        <is>
          <t>ORSA</t>
        </is>
      </c>
      <c r="G473" t="n">
        <v>3.6</v>
      </c>
      <c r="H473" t="n">
        <v>0</v>
      </c>
      <c r="I473" t="n">
        <v>0</v>
      </c>
      <c r="J473" t="n">
        <v>0</v>
      </c>
      <c r="K473" t="n">
        <v>0</v>
      </c>
      <c r="L473" t="n">
        <v>0</v>
      </c>
      <c r="M473" t="n">
        <v>0</v>
      </c>
      <c r="N473" t="n">
        <v>0</v>
      </c>
      <c r="O473" t="n">
        <v>0</v>
      </c>
      <c r="P473" t="n">
        <v>0</v>
      </c>
      <c r="Q473" t="n">
        <v>0</v>
      </c>
      <c r="R473" s="2" t="inlineStr"/>
    </row>
    <row r="474" ht="15" customHeight="1">
      <c r="A474" t="inlineStr">
        <is>
          <t>A 58904-2025</t>
        </is>
      </c>
      <c r="B474" s="1" t="n">
        <v>45987.50958333333</v>
      </c>
      <c r="C474" s="1" t="n">
        <v>46177</v>
      </c>
      <c r="D474" t="inlineStr">
        <is>
          <t>DALARNAS LÄN</t>
        </is>
      </c>
      <c r="E474" t="inlineStr">
        <is>
          <t>ORSA</t>
        </is>
      </c>
      <c r="G474" t="n">
        <v>5.5</v>
      </c>
      <c r="H474" t="n">
        <v>0</v>
      </c>
      <c r="I474" t="n">
        <v>0</v>
      </c>
      <c r="J474" t="n">
        <v>0</v>
      </c>
      <c r="K474" t="n">
        <v>0</v>
      </c>
      <c r="L474" t="n">
        <v>0</v>
      </c>
      <c r="M474" t="n">
        <v>0</v>
      </c>
      <c r="N474" t="n">
        <v>0</v>
      </c>
      <c r="O474" t="n">
        <v>0</v>
      </c>
      <c r="P474" t="n">
        <v>0</v>
      </c>
      <c r="Q474" t="n">
        <v>0</v>
      </c>
      <c r="R474" s="2" t="inlineStr"/>
    </row>
    <row r="475" ht="15" customHeight="1">
      <c r="A475" t="inlineStr">
        <is>
          <t>A 59149-2025</t>
        </is>
      </c>
      <c r="B475" s="1" t="n">
        <v>45988.52844907407</v>
      </c>
      <c r="C475" s="1" t="n">
        <v>46177</v>
      </c>
      <c r="D475" t="inlineStr">
        <is>
          <t>DALARNAS LÄN</t>
        </is>
      </c>
      <c r="E475" t="inlineStr">
        <is>
          <t>ORSA</t>
        </is>
      </c>
      <c r="G475" t="n">
        <v>0.8</v>
      </c>
      <c r="H475" t="n">
        <v>0</v>
      </c>
      <c r="I475" t="n">
        <v>0</v>
      </c>
      <c r="J475" t="n">
        <v>0</v>
      </c>
      <c r="K475" t="n">
        <v>0</v>
      </c>
      <c r="L475" t="n">
        <v>0</v>
      </c>
      <c r="M475" t="n">
        <v>0</v>
      </c>
      <c r="N475" t="n">
        <v>0</v>
      </c>
      <c r="O475" t="n">
        <v>0</v>
      </c>
      <c r="P475" t="n">
        <v>0</v>
      </c>
      <c r="Q475" t="n">
        <v>0</v>
      </c>
      <c r="R475" s="2" t="inlineStr"/>
    </row>
    <row r="476" ht="15" customHeight="1">
      <c r="A476" t="inlineStr">
        <is>
          <t>A 48990-2023</t>
        </is>
      </c>
      <c r="B476" s="1" t="n">
        <v>45209.64740740741</v>
      </c>
      <c r="C476" s="1" t="n">
        <v>46177</v>
      </c>
      <c r="D476" t="inlineStr">
        <is>
          <t>DALARNAS LÄN</t>
        </is>
      </c>
      <c r="E476" t="inlineStr">
        <is>
          <t>ORSA</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61684-2024</t>
        </is>
      </c>
      <c r="B477" s="1" t="n">
        <v>45647.56491898148</v>
      </c>
      <c r="C477" s="1" t="n">
        <v>46177</v>
      </c>
      <c r="D477" t="inlineStr">
        <is>
          <t>DALARNAS LÄN</t>
        </is>
      </c>
      <c r="E477" t="inlineStr">
        <is>
          <t>ORSA</t>
        </is>
      </c>
      <c r="G477" t="n">
        <v>5.8</v>
      </c>
      <c r="H477" t="n">
        <v>0</v>
      </c>
      <c r="I477" t="n">
        <v>0</v>
      </c>
      <c r="J477" t="n">
        <v>0</v>
      </c>
      <c r="K477" t="n">
        <v>0</v>
      </c>
      <c r="L477" t="n">
        <v>0</v>
      </c>
      <c r="M477" t="n">
        <v>0</v>
      </c>
      <c r="N477" t="n">
        <v>0</v>
      </c>
      <c r="O477" t="n">
        <v>0</v>
      </c>
      <c r="P477" t="n">
        <v>0</v>
      </c>
      <c r="Q477" t="n">
        <v>0</v>
      </c>
      <c r="R477" s="2" t="inlineStr"/>
    </row>
    <row r="478" ht="15" customHeight="1">
      <c r="A478" t="inlineStr">
        <is>
          <t>A 34779-2025</t>
        </is>
      </c>
      <c r="B478" s="1" t="n">
        <v>45848.66987268518</v>
      </c>
      <c r="C478" s="1" t="n">
        <v>46177</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34753-2025</t>
        </is>
      </c>
      <c r="B479" s="1" t="n">
        <v>45848.62001157407</v>
      </c>
      <c r="C479" s="1" t="n">
        <v>46177</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34781-2025</t>
        </is>
      </c>
      <c r="B480" s="1" t="n">
        <v>45848.67424768519</v>
      </c>
      <c r="C480" s="1" t="n">
        <v>46177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34744-2025</t>
        </is>
      </c>
      <c r="B481" s="1" t="n">
        <v>45848.6125</v>
      </c>
      <c r="C481" s="1" t="n">
        <v>46177</v>
      </c>
      <c r="D481" t="inlineStr">
        <is>
          <t>DALARNAS LÄN</t>
        </is>
      </c>
      <c r="E481" t="inlineStr">
        <is>
          <t>ORSA</t>
        </is>
      </c>
      <c r="G481" t="n">
        <v>1.7</v>
      </c>
      <c r="H481" t="n">
        <v>0</v>
      </c>
      <c r="I481" t="n">
        <v>0</v>
      </c>
      <c r="J481" t="n">
        <v>0</v>
      </c>
      <c r="K481" t="n">
        <v>0</v>
      </c>
      <c r="L481" t="n">
        <v>0</v>
      </c>
      <c r="M481" t="n">
        <v>0</v>
      </c>
      <c r="N481" t="n">
        <v>0</v>
      </c>
      <c r="O481" t="n">
        <v>0</v>
      </c>
      <c r="P481" t="n">
        <v>0</v>
      </c>
      <c r="Q481" t="n">
        <v>0</v>
      </c>
      <c r="R481" s="2" t="inlineStr"/>
    </row>
    <row r="482" ht="15" customHeight="1">
      <c r="A482" t="inlineStr">
        <is>
          <t>A 6492-2025</t>
        </is>
      </c>
      <c r="B482" s="1" t="n">
        <v>45699</v>
      </c>
      <c r="C482" s="1" t="n">
        <v>46177</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60162-2025</t>
        </is>
      </c>
      <c r="B483" s="1" t="n">
        <v>45994.43018518519</v>
      </c>
      <c r="C483" s="1" t="n">
        <v>46177</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34769-2025</t>
        </is>
      </c>
      <c r="B484" s="1" t="n">
        <v>45848.6534837963</v>
      </c>
      <c r="C484" s="1" t="n">
        <v>46177</v>
      </c>
      <c r="D484" t="inlineStr">
        <is>
          <t>DALARNAS LÄN</t>
        </is>
      </c>
      <c r="E484" t="inlineStr">
        <is>
          <t>ORSA</t>
        </is>
      </c>
      <c r="G484" t="n">
        <v>0.4</v>
      </c>
      <c r="H484" t="n">
        <v>0</v>
      </c>
      <c r="I484" t="n">
        <v>0</v>
      </c>
      <c r="J484" t="n">
        <v>0</v>
      </c>
      <c r="K484" t="n">
        <v>0</v>
      </c>
      <c r="L484" t="n">
        <v>0</v>
      </c>
      <c r="M484" t="n">
        <v>0</v>
      </c>
      <c r="N484" t="n">
        <v>0</v>
      </c>
      <c r="O484" t="n">
        <v>0</v>
      </c>
      <c r="P484" t="n">
        <v>0</v>
      </c>
      <c r="Q484" t="n">
        <v>0</v>
      </c>
      <c r="R484" s="2" t="inlineStr"/>
    </row>
    <row r="485" ht="15" customHeight="1">
      <c r="A485" t="inlineStr">
        <is>
          <t>A 34777-2025</t>
        </is>
      </c>
      <c r="B485" s="1" t="n">
        <v>45848.66167824074</v>
      </c>
      <c r="C485" s="1" t="n">
        <v>46177</v>
      </c>
      <c r="D485" t="inlineStr">
        <is>
          <t>DALARNAS LÄN</t>
        </is>
      </c>
      <c r="E485" t="inlineStr">
        <is>
          <t>ORSA</t>
        </is>
      </c>
      <c r="G485" t="n">
        <v>0.4</v>
      </c>
      <c r="H485" t="n">
        <v>0</v>
      </c>
      <c r="I485" t="n">
        <v>0</v>
      </c>
      <c r="J485" t="n">
        <v>0</v>
      </c>
      <c r="K485" t="n">
        <v>0</v>
      </c>
      <c r="L485" t="n">
        <v>0</v>
      </c>
      <c r="M485" t="n">
        <v>0</v>
      </c>
      <c r="N485" t="n">
        <v>0</v>
      </c>
      <c r="O485" t="n">
        <v>0</v>
      </c>
      <c r="P485" t="n">
        <v>0</v>
      </c>
      <c r="Q485" t="n">
        <v>0</v>
      </c>
      <c r="R485" s="2" t="inlineStr"/>
    </row>
    <row r="486" ht="15" customHeight="1">
      <c r="A486" t="inlineStr">
        <is>
          <t>A 34794-2025</t>
        </is>
      </c>
      <c r="B486" s="1" t="n">
        <v>45848.73256944444</v>
      </c>
      <c r="C486" s="1" t="n">
        <v>46177</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13580-2025</t>
        </is>
      </c>
      <c r="B487" s="1" t="n">
        <v>45736.58362268518</v>
      </c>
      <c r="C487" s="1" t="n">
        <v>46177</v>
      </c>
      <c r="D487" t="inlineStr">
        <is>
          <t>DALARNAS LÄN</t>
        </is>
      </c>
      <c r="E487" t="inlineStr">
        <is>
          <t>ORSA</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51574-2023</t>
        </is>
      </c>
      <c r="B488" s="1" t="n">
        <v>45222.45090277777</v>
      </c>
      <c r="C488" s="1" t="n">
        <v>46177</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34764-2025</t>
        </is>
      </c>
      <c r="B489" s="1" t="n">
        <v>45848.64788194445</v>
      </c>
      <c r="C489" s="1" t="n">
        <v>46177</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34964-2025</t>
        </is>
      </c>
      <c r="B490" s="1" t="n">
        <v>45849.6330787037</v>
      </c>
      <c r="C490" s="1" t="n">
        <v>46177</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59909-2025</t>
        </is>
      </c>
      <c r="B491" s="1" t="n">
        <v>45993.35644675926</v>
      </c>
      <c r="C491" s="1" t="n">
        <v>46177</v>
      </c>
      <c r="D491" t="inlineStr">
        <is>
          <t>DALARNAS LÄN</t>
        </is>
      </c>
      <c r="E491" t="inlineStr">
        <is>
          <t>ORSA</t>
        </is>
      </c>
      <c r="G491" t="n">
        <v>3.5</v>
      </c>
      <c r="H491" t="n">
        <v>0</v>
      </c>
      <c r="I491" t="n">
        <v>0</v>
      </c>
      <c r="J491" t="n">
        <v>0</v>
      </c>
      <c r="K491" t="n">
        <v>0</v>
      </c>
      <c r="L491" t="n">
        <v>0</v>
      </c>
      <c r="M491" t="n">
        <v>0</v>
      </c>
      <c r="N491" t="n">
        <v>0</v>
      </c>
      <c r="O491" t="n">
        <v>0</v>
      </c>
      <c r="P491" t="n">
        <v>0</v>
      </c>
      <c r="Q491" t="n">
        <v>0</v>
      </c>
      <c r="R491" s="2" t="inlineStr"/>
    </row>
    <row r="492" ht="15" customHeight="1">
      <c r="A492" t="inlineStr">
        <is>
          <t>A 58007-2025</t>
        </is>
      </c>
      <c r="B492" s="1" t="n">
        <v>45982.44907407407</v>
      </c>
      <c r="C492" s="1" t="n">
        <v>46177</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48516-2024</t>
        </is>
      </c>
      <c r="B493" s="1" t="n">
        <v>45593.31292824074</v>
      </c>
      <c r="C493" s="1" t="n">
        <v>46177</v>
      </c>
      <c r="D493" t="inlineStr">
        <is>
          <t>DALARNAS LÄN</t>
        </is>
      </c>
      <c r="E493" t="inlineStr">
        <is>
          <t>ORSA</t>
        </is>
      </c>
      <c r="G493" t="n">
        <v>3.3</v>
      </c>
      <c r="H493" t="n">
        <v>0</v>
      </c>
      <c r="I493" t="n">
        <v>0</v>
      </c>
      <c r="J493" t="n">
        <v>0</v>
      </c>
      <c r="K493" t="n">
        <v>0</v>
      </c>
      <c r="L493" t="n">
        <v>0</v>
      </c>
      <c r="M493" t="n">
        <v>0</v>
      </c>
      <c r="N493" t="n">
        <v>0</v>
      </c>
      <c r="O493" t="n">
        <v>0</v>
      </c>
      <c r="P493" t="n">
        <v>0</v>
      </c>
      <c r="Q493" t="n">
        <v>0</v>
      </c>
      <c r="R493" s="2" t="inlineStr"/>
    </row>
    <row r="494" ht="15" customHeight="1">
      <c r="A494" t="inlineStr">
        <is>
          <t>A 31170-2023</t>
        </is>
      </c>
      <c r="B494" s="1" t="n">
        <v>45113.84923611111</v>
      </c>
      <c r="C494" s="1" t="n">
        <v>46177</v>
      </c>
      <c r="D494" t="inlineStr">
        <is>
          <t>DALARNAS LÄN</t>
        </is>
      </c>
      <c r="E494" t="inlineStr">
        <is>
          <t>ORSA</t>
        </is>
      </c>
      <c r="G494" t="n">
        <v>2.1</v>
      </c>
      <c r="H494" t="n">
        <v>0</v>
      </c>
      <c r="I494" t="n">
        <v>0</v>
      </c>
      <c r="J494" t="n">
        <v>0</v>
      </c>
      <c r="K494" t="n">
        <v>0</v>
      </c>
      <c r="L494" t="n">
        <v>0</v>
      </c>
      <c r="M494" t="n">
        <v>0</v>
      </c>
      <c r="N494" t="n">
        <v>0</v>
      </c>
      <c r="O494" t="n">
        <v>0</v>
      </c>
      <c r="P494" t="n">
        <v>0</v>
      </c>
      <c r="Q494" t="n">
        <v>0</v>
      </c>
      <c r="R494" s="2" t="inlineStr"/>
    </row>
    <row r="495" ht="15" customHeight="1">
      <c r="A495" t="inlineStr">
        <is>
          <t>A 31172-2023</t>
        </is>
      </c>
      <c r="B495" s="1" t="n">
        <v>45113.8637037037</v>
      </c>
      <c r="C495" s="1" t="n">
        <v>46177</v>
      </c>
      <c r="D495" t="inlineStr">
        <is>
          <t>DALARNAS LÄN</t>
        </is>
      </c>
      <c r="E495" t="inlineStr">
        <is>
          <t>ORSA</t>
        </is>
      </c>
      <c r="G495" t="n">
        <v>2.9</v>
      </c>
      <c r="H495" t="n">
        <v>0</v>
      </c>
      <c r="I495" t="n">
        <v>0</v>
      </c>
      <c r="J495" t="n">
        <v>0</v>
      </c>
      <c r="K495" t="n">
        <v>0</v>
      </c>
      <c r="L495" t="n">
        <v>0</v>
      </c>
      <c r="M495" t="n">
        <v>0</v>
      </c>
      <c r="N495" t="n">
        <v>0</v>
      </c>
      <c r="O495" t="n">
        <v>0</v>
      </c>
      <c r="P495" t="n">
        <v>0</v>
      </c>
      <c r="Q495" t="n">
        <v>0</v>
      </c>
      <c r="R495" s="2" t="inlineStr"/>
    </row>
    <row r="496" ht="15" customHeight="1">
      <c r="A496" t="inlineStr">
        <is>
          <t>A 47134-2024</t>
        </is>
      </c>
      <c r="B496" s="1" t="n">
        <v>45586.58081018519</v>
      </c>
      <c r="C496" s="1" t="n">
        <v>46177</v>
      </c>
      <c r="D496" t="inlineStr">
        <is>
          <t>DALARNAS LÄN</t>
        </is>
      </c>
      <c r="E496" t="inlineStr">
        <is>
          <t>ORSA</t>
        </is>
      </c>
      <c r="G496" t="n">
        <v>0.3</v>
      </c>
      <c r="H496" t="n">
        <v>0</v>
      </c>
      <c r="I496" t="n">
        <v>0</v>
      </c>
      <c r="J496" t="n">
        <v>0</v>
      </c>
      <c r="K496" t="n">
        <v>0</v>
      </c>
      <c r="L496" t="n">
        <v>0</v>
      </c>
      <c r="M496" t="n">
        <v>0</v>
      </c>
      <c r="N496" t="n">
        <v>0</v>
      </c>
      <c r="O496" t="n">
        <v>0</v>
      </c>
      <c r="P496" t="n">
        <v>0</v>
      </c>
      <c r="Q496" t="n">
        <v>0</v>
      </c>
      <c r="R496" s="2" t="inlineStr"/>
    </row>
    <row r="497" ht="15" customHeight="1">
      <c r="A497" t="inlineStr">
        <is>
          <t>A 51551-2025</t>
        </is>
      </c>
      <c r="B497" s="1" t="n">
        <v>45950.84275462963</v>
      </c>
      <c r="C497" s="1" t="n">
        <v>46177</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54546-2024</t>
        </is>
      </c>
      <c r="B498" s="1" t="n">
        <v>45617.61476851852</v>
      </c>
      <c r="C498" s="1" t="n">
        <v>46177</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61034-2024</t>
        </is>
      </c>
      <c r="B499" s="1" t="n">
        <v>45645.46608796297</v>
      </c>
      <c r="C499" s="1" t="n">
        <v>46177</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61053-2024</t>
        </is>
      </c>
      <c r="B500" s="1" t="n">
        <v>45645.48501157408</v>
      </c>
      <c r="C500" s="1" t="n">
        <v>46177</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58793-2023</t>
        </is>
      </c>
      <c r="B501" s="1" t="n">
        <v>45252.34607638889</v>
      </c>
      <c r="C501" s="1" t="n">
        <v>46177</v>
      </c>
      <c r="D501" t="inlineStr">
        <is>
          <t>DALARNAS LÄN</t>
        </is>
      </c>
      <c r="E501" t="inlineStr">
        <is>
          <t>ORSA</t>
        </is>
      </c>
      <c r="G501" t="n">
        <v>2.2</v>
      </c>
      <c r="H501" t="n">
        <v>0</v>
      </c>
      <c r="I501" t="n">
        <v>0</v>
      </c>
      <c r="J501" t="n">
        <v>0</v>
      </c>
      <c r="K501" t="n">
        <v>0</v>
      </c>
      <c r="L501" t="n">
        <v>0</v>
      </c>
      <c r="M501" t="n">
        <v>0</v>
      </c>
      <c r="N501" t="n">
        <v>0</v>
      </c>
      <c r="O501" t="n">
        <v>0</v>
      </c>
      <c r="P501" t="n">
        <v>0</v>
      </c>
      <c r="Q501" t="n">
        <v>0</v>
      </c>
      <c r="R501" s="2" t="inlineStr"/>
    </row>
    <row r="502" ht="15" customHeight="1">
      <c r="A502" t="inlineStr">
        <is>
          <t>A 60837-2025</t>
        </is>
      </c>
      <c r="B502" s="1" t="n">
        <v>45999.47630787037</v>
      </c>
      <c r="C502" s="1" t="n">
        <v>46177</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55701-2023</t>
        </is>
      </c>
      <c r="B503" s="1" t="n">
        <v>45239.37113425926</v>
      </c>
      <c r="C503" s="1" t="n">
        <v>46177</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54121-2025</t>
        </is>
      </c>
      <c r="B504" s="1" t="n">
        <v>45964.45186342593</v>
      </c>
      <c r="C504" s="1" t="n">
        <v>46177</v>
      </c>
      <c r="D504" t="inlineStr">
        <is>
          <t>DALARNAS LÄN</t>
        </is>
      </c>
      <c r="E504" t="inlineStr">
        <is>
          <t>ORSA</t>
        </is>
      </c>
      <c r="G504" t="n">
        <v>1.2</v>
      </c>
      <c r="H504" t="n">
        <v>0</v>
      </c>
      <c r="I504" t="n">
        <v>0</v>
      </c>
      <c r="J504" t="n">
        <v>0</v>
      </c>
      <c r="K504" t="n">
        <v>0</v>
      </c>
      <c r="L504" t="n">
        <v>0</v>
      </c>
      <c r="M504" t="n">
        <v>0</v>
      </c>
      <c r="N504" t="n">
        <v>0</v>
      </c>
      <c r="O504" t="n">
        <v>0</v>
      </c>
      <c r="P504" t="n">
        <v>0</v>
      </c>
      <c r="Q504" t="n">
        <v>0</v>
      </c>
      <c r="R504" s="2" t="inlineStr"/>
    </row>
    <row r="505" ht="15" customHeight="1">
      <c r="A505" t="inlineStr">
        <is>
          <t>A 31171-2023</t>
        </is>
      </c>
      <c r="B505" s="1" t="n">
        <v>45113.85704861111</v>
      </c>
      <c r="C505" s="1" t="n">
        <v>46177</v>
      </c>
      <c r="D505" t="inlineStr">
        <is>
          <t>DALARNAS LÄN</t>
        </is>
      </c>
      <c r="E505" t="inlineStr">
        <is>
          <t>ORSA</t>
        </is>
      </c>
      <c r="G505" t="n">
        <v>1.4</v>
      </c>
      <c r="H505" t="n">
        <v>0</v>
      </c>
      <c r="I505" t="n">
        <v>0</v>
      </c>
      <c r="J505" t="n">
        <v>0</v>
      </c>
      <c r="K505" t="n">
        <v>0</v>
      </c>
      <c r="L505" t="n">
        <v>0</v>
      </c>
      <c r="M505" t="n">
        <v>0</v>
      </c>
      <c r="N505" t="n">
        <v>0</v>
      </c>
      <c r="O505" t="n">
        <v>0</v>
      </c>
      <c r="P505" t="n">
        <v>0</v>
      </c>
      <c r="Q505" t="n">
        <v>0</v>
      </c>
      <c r="R505" s="2" t="inlineStr"/>
    </row>
    <row r="506" ht="15" customHeight="1">
      <c r="A506" t="inlineStr">
        <is>
          <t>A 2563-2025</t>
        </is>
      </c>
      <c r="B506" s="1" t="n">
        <v>45674.65692129629</v>
      </c>
      <c r="C506" s="1" t="n">
        <v>46177</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11784-2024</t>
        </is>
      </c>
      <c r="B507" s="1" t="n">
        <v>45374.67886574074</v>
      </c>
      <c r="C507" s="1" t="n">
        <v>46177</v>
      </c>
      <c r="D507" t="inlineStr">
        <is>
          <t>DALARNAS LÄN</t>
        </is>
      </c>
      <c r="E507" t="inlineStr">
        <is>
          <t>ORSA</t>
        </is>
      </c>
      <c r="G507" t="n">
        <v>1.7</v>
      </c>
      <c r="H507" t="n">
        <v>0</v>
      </c>
      <c r="I507" t="n">
        <v>0</v>
      </c>
      <c r="J507" t="n">
        <v>0</v>
      </c>
      <c r="K507" t="n">
        <v>0</v>
      </c>
      <c r="L507" t="n">
        <v>0</v>
      </c>
      <c r="M507" t="n">
        <v>0</v>
      </c>
      <c r="N507" t="n">
        <v>0</v>
      </c>
      <c r="O507" t="n">
        <v>0</v>
      </c>
      <c r="P507" t="n">
        <v>0</v>
      </c>
      <c r="Q507" t="n">
        <v>0</v>
      </c>
      <c r="R507" s="2" t="inlineStr"/>
    </row>
    <row r="508" ht="15" customHeight="1">
      <c r="A508" t="inlineStr">
        <is>
          <t>A 48819-2024</t>
        </is>
      </c>
      <c r="B508" s="1" t="n">
        <v>45593.67824074074</v>
      </c>
      <c r="C508" s="1" t="n">
        <v>46177</v>
      </c>
      <c r="D508" t="inlineStr">
        <is>
          <t>DALARNAS LÄN</t>
        </is>
      </c>
      <c r="E508" t="inlineStr">
        <is>
          <t>ORSA</t>
        </is>
      </c>
      <c r="G508" t="n">
        <v>5</v>
      </c>
      <c r="H508" t="n">
        <v>0</v>
      </c>
      <c r="I508" t="n">
        <v>0</v>
      </c>
      <c r="J508" t="n">
        <v>0</v>
      </c>
      <c r="K508" t="n">
        <v>0</v>
      </c>
      <c r="L508" t="n">
        <v>0</v>
      </c>
      <c r="M508" t="n">
        <v>0</v>
      </c>
      <c r="N508" t="n">
        <v>0</v>
      </c>
      <c r="O508" t="n">
        <v>0</v>
      </c>
      <c r="P508" t="n">
        <v>0</v>
      </c>
      <c r="Q508" t="n">
        <v>0</v>
      </c>
      <c r="R508" s="2" t="inlineStr"/>
    </row>
    <row r="509" ht="15" customHeight="1">
      <c r="A509" t="inlineStr">
        <is>
          <t>A 48525-2024</t>
        </is>
      </c>
      <c r="B509" s="1" t="n">
        <v>45593.33947916667</v>
      </c>
      <c r="C509" s="1" t="n">
        <v>46177</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22911-2023</t>
        </is>
      </c>
      <c r="B510" s="1" t="n">
        <v>45072</v>
      </c>
      <c r="C510" s="1" t="n">
        <v>46177</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47579-2023</t>
        </is>
      </c>
      <c r="B511" s="1" t="n">
        <v>45203.42181712963</v>
      </c>
      <c r="C511" s="1" t="n">
        <v>46177</v>
      </c>
      <c r="D511" t="inlineStr">
        <is>
          <t>DALARNAS LÄN</t>
        </is>
      </c>
      <c r="E511" t="inlineStr">
        <is>
          <t>ORSA</t>
        </is>
      </c>
      <c r="G511" t="n">
        <v>2.9</v>
      </c>
      <c r="H511" t="n">
        <v>0</v>
      </c>
      <c r="I511" t="n">
        <v>0</v>
      </c>
      <c r="J511" t="n">
        <v>0</v>
      </c>
      <c r="K511" t="n">
        <v>0</v>
      </c>
      <c r="L511" t="n">
        <v>0</v>
      </c>
      <c r="M511" t="n">
        <v>0</v>
      </c>
      <c r="N511" t="n">
        <v>0</v>
      </c>
      <c r="O511" t="n">
        <v>0</v>
      </c>
      <c r="P511" t="n">
        <v>0</v>
      </c>
      <c r="Q511" t="n">
        <v>0</v>
      </c>
      <c r="R511" s="2" t="inlineStr"/>
    </row>
    <row r="512" ht="15" customHeight="1">
      <c r="A512" t="inlineStr">
        <is>
          <t>A 48447-2023</t>
        </is>
      </c>
      <c r="B512" s="1" t="n">
        <v>45206.39274305556</v>
      </c>
      <c r="C512" s="1" t="n">
        <v>46177</v>
      </c>
      <c r="D512" t="inlineStr">
        <is>
          <t>DALARNAS LÄN</t>
        </is>
      </c>
      <c r="E512" t="inlineStr">
        <is>
          <t>ORSA</t>
        </is>
      </c>
      <c r="G512" t="n">
        <v>0.6</v>
      </c>
      <c r="H512" t="n">
        <v>0</v>
      </c>
      <c r="I512" t="n">
        <v>0</v>
      </c>
      <c r="J512" t="n">
        <v>0</v>
      </c>
      <c r="K512" t="n">
        <v>0</v>
      </c>
      <c r="L512" t="n">
        <v>0</v>
      </c>
      <c r="M512" t="n">
        <v>0</v>
      </c>
      <c r="N512" t="n">
        <v>0</v>
      </c>
      <c r="O512" t="n">
        <v>0</v>
      </c>
      <c r="P512" t="n">
        <v>0</v>
      </c>
      <c r="Q512" t="n">
        <v>0</v>
      </c>
      <c r="R512" s="2" t="inlineStr"/>
    </row>
    <row r="513" ht="15" customHeight="1">
      <c r="A513" t="inlineStr">
        <is>
          <t>A 35477-2023</t>
        </is>
      </c>
      <c r="B513" s="1" t="n">
        <v>45146</v>
      </c>
      <c r="C513" s="1" t="n">
        <v>46177</v>
      </c>
      <c r="D513" t="inlineStr">
        <is>
          <t>DALARNAS LÄN</t>
        </is>
      </c>
      <c r="E513" t="inlineStr">
        <is>
          <t>ORSA</t>
        </is>
      </c>
      <c r="G513" t="n">
        <v>7.7</v>
      </c>
      <c r="H513" t="n">
        <v>0</v>
      </c>
      <c r="I513" t="n">
        <v>0</v>
      </c>
      <c r="J513" t="n">
        <v>0</v>
      </c>
      <c r="K513" t="n">
        <v>0</v>
      </c>
      <c r="L513" t="n">
        <v>0</v>
      </c>
      <c r="M513" t="n">
        <v>0</v>
      </c>
      <c r="N513" t="n">
        <v>0</v>
      </c>
      <c r="O513" t="n">
        <v>0</v>
      </c>
      <c r="P513" t="n">
        <v>0</v>
      </c>
      <c r="Q513" t="n">
        <v>0</v>
      </c>
      <c r="R513" s="2" t="inlineStr"/>
    </row>
    <row r="514" ht="15" customHeight="1">
      <c r="A514" t="inlineStr">
        <is>
          <t>A 60844-2025</t>
        </is>
      </c>
      <c r="B514" s="1" t="n">
        <v>45999.4887037037</v>
      </c>
      <c r="C514" s="1" t="n">
        <v>46177</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60945-2025</t>
        </is>
      </c>
      <c r="B515" s="1" t="n">
        <v>45999.64672453704</v>
      </c>
      <c r="C515" s="1" t="n">
        <v>46177</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31634-2025</t>
        </is>
      </c>
      <c r="B516" s="1" t="n">
        <v>45834</v>
      </c>
      <c r="C516" s="1" t="n">
        <v>46177</v>
      </c>
      <c r="D516" t="inlineStr">
        <is>
          <t>DALARNAS LÄN</t>
        </is>
      </c>
      <c r="E516" t="inlineStr">
        <is>
          <t>ORSA</t>
        </is>
      </c>
      <c r="G516" t="n">
        <v>2</v>
      </c>
      <c r="H516" t="n">
        <v>0</v>
      </c>
      <c r="I516" t="n">
        <v>0</v>
      </c>
      <c r="J516" t="n">
        <v>0</v>
      </c>
      <c r="K516" t="n">
        <v>0</v>
      </c>
      <c r="L516" t="n">
        <v>0</v>
      </c>
      <c r="M516" t="n">
        <v>0</v>
      </c>
      <c r="N516" t="n">
        <v>0</v>
      </c>
      <c r="O516" t="n">
        <v>0</v>
      </c>
      <c r="P516" t="n">
        <v>0</v>
      </c>
      <c r="Q516" t="n">
        <v>0</v>
      </c>
      <c r="R516" s="2" t="inlineStr"/>
    </row>
    <row r="517" ht="15" customHeight="1">
      <c r="A517" t="inlineStr">
        <is>
          <t>A 23350-2024</t>
        </is>
      </c>
      <c r="B517" s="1" t="n">
        <v>45453</v>
      </c>
      <c r="C517" s="1" t="n">
        <v>46177</v>
      </c>
      <c r="D517" t="inlineStr">
        <is>
          <t>DALARNAS LÄN</t>
        </is>
      </c>
      <c r="E517" t="inlineStr">
        <is>
          <t>ORSA</t>
        </is>
      </c>
      <c r="G517" t="n">
        <v>18.7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46177</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48518-2024</t>
        </is>
      </c>
      <c r="B519" s="1" t="n">
        <v>45593.31915509259</v>
      </c>
      <c r="C519" s="1" t="n">
        <v>46177</v>
      </c>
      <c r="D519" t="inlineStr">
        <is>
          <t>DALARNAS LÄN</t>
        </is>
      </c>
      <c r="E519" t="inlineStr">
        <is>
          <t>ORSA</t>
        </is>
      </c>
      <c r="G519" t="n">
        <v>1.9</v>
      </c>
      <c r="H519" t="n">
        <v>0</v>
      </c>
      <c r="I519" t="n">
        <v>0</v>
      </c>
      <c r="J519" t="n">
        <v>0</v>
      </c>
      <c r="K519" t="n">
        <v>0</v>
      </c>
      <c r="L519" t="n">
        <v>0</v>
      </c>
      <c r="M519" t="n">
        <v>0</v>
      </c>
      <c r="N519" t="n">
        <v>0</v>
      </c>
      <c r="O519" t="n">
        <v>0</v>
      </c>
      <c r="P519" t="n">
        <v>0</v>
      </c>
      <c r="Q519" t="n">
        <v>0</v>
      </c>
      <c r="R519" s="2" t="inlineStr"/>
    </row>
    <row r="520" ht="15" customHeight="1">
      <c r="A520" t="inlineStr">
        <is>
          <t>A 29025-2023</t>
        </is>
      </c>
      <c r="B520" s="1" t="n">
        <v>45104.70399305555</v>
      </c>
      <c r="C520" s="1" t="n">
        <v>46177</v>
      </c>
      <c r="D520" t="inlineStr">
        <is>
          <t>DALARNAS LÄN</t>
        </is>
      </c>
      <c r="E520" t="inlineStr">
        <is>
          <t>ORSA</t>
        </is>
      </c>
      <c r="G520" t="n">
        <v>6.6</v>
      </c>
      <c r="H520" t="n">
        <v>0</v>
      </c>
      <c r="I520" t="n">
        <v>0</v>
      </c>
      <c r="J520" t="n">
        <v>0</v>
      </c>
      <c r="K520" t="n">
        <v>0</v>
      </c>
      <c r="L520" t="n">
        <v>0</v>
      </c>
      <c r="M520" t="n">
        <v>0</v>
      </c>
      <c r="N520" t="n">
        <v>0</v>
      </c>
      <c r="O520" t="n">
        <v>0</v>
      </c>
      <c r="P520" t="n">
        <v>0</v>
      </c>
      <c r="Q520" t="n">
        <v>0</v>
      </c>
      <c r="R520" s="2" t="inlineStr"/>
    </row>
    <row r="521" ht="15" customHeight="1">
      <c r="A521" t="inlineStr">
        <is>
          <t>A 35619-2025</t>
        </is>
      </c>
      <c r="B521" s="1" t="n">
        <v>45859</v>
      </c>
      <c r="C521" s="1" t="n">
        <v>46177</v>
      </c>
      <c r="D521" t="inlineStr">
        <is>
          <t>DALARNAS LÄN</t>
        </is>
      </c>
      <c r="E521" t="inlineStr">
        <is>
          <t>ORSA</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35939-2025</t>
        </is>
      </c>
      <c r="B522" s="1" t="n">
        <v>45862.64581018518</v>
      </c>
      <c r="C522" s="1" t="n">
        <v>46177</v>
      </c>
      <c r="D522" t="inlineStr">
        <is>
          <t>DALARNAS LÄN</t>
        </is>
      </c>
      <c r="E522" t="inlineStr">
        <is>
          <t>ORSA</t>
        </is>
      </c>
      <c r="G522" t="n">
        <v>5.6</v>
      </c>
      <c r="H522" t="n">
        <v>0</v>
      </c>
      <c r="I522" t="n">
        <v>0</v>
      </c>
      <c r="J522" t="n">
        <v>0</v>
      </c>
      <c r="K522" t="n">
        <v>0</v>
      </c>
      <c r="L522" t="n">
        <v>0</v>
      </c>
      <c r="M522" t="n">
        <v>0</v>
      </c>
      <c r="N522" t="n">
        <v>0</v>
      </c>
      <c r="O522" t="n">
        <v>0</v>
      </c>
      <c r="P522" t="n">
        <v>0</v>
      </c>
      <c r="Q522" t="n">
        <v>0</v>
      </c>
      <c r="R522" s="2" t="inlineStr"/>
    </row>
    <row r="523" ht="15" customHeight="1">
      <c r="A523" t="inlineStr">
        <is>
          <t>A 62773-2025</t>
        </is>
      </c>
      <c r="B523" s="1" t="n">
        <v>46008.60548611111</v>
      </c>
      <c r="C523" s="1" t="n">
        <v>46177</v>
      </c>
      <c r="D523" t="inlineStr">
        <is>
          <t>DALARNAS LÄN</t>
        </is>
      </c>
      <c r="E523" t="inlineStr">
        <is>
          <t>ORSA</t>
        </is>
      </c>
      <c r="G523" t="n">
        <v>3.9</v>
      </c>
      <c r="H523" t="n">
        <v>0</v>
      </c>
      <c r="I523" t="n">
        <v>0</v>
      </c>
      <c r="J523" t="n">
        <v>0</v>
      </c>
      <c r="K523" t="n">
        <v>0</v>
      </c>
      <c r="L523" t="n">
        <v>0</v>
      </c>
      <c r="M523" t="n">
        <v>0</v>
      </c>
      <c r="N523" t="n">
        <v>0</v>
      </c>
      <c r="O523" t="n">
        <v>0</v>
      </c>
      <c r="P523" t="n">
        <v>0</v>
      </c>
      <c r="Q523" t="n">
        <v>0</v>
      </c>
      <c r="R523" s="2" t="inlineStr"/>
    </row>
    <row r="524" ht="15" customHeight="1">
      <c r="A524" t="inlineStr">
        <is>
          <t>A 62808-2025</t>
        </is>
      </c>
      <c r="B524" s="1" t="n">
        <v>46008.64555555556</v>
      </c>
      <c r="C524" s="1" t="n">
        <v>46177</v>
      </c>
      <c r="D524" t="inlineStr">
        <is>
          <t>DALARNAS LÄN</t>
        </is>
      </c>
      <c r="E524" t="inlineStr">
        <is>
          <t>ORSA</t>
        </is>
      </c>
      <c r="G524" t="n">
        <v>4.4</v>
      </c>
      <c r="H524" t="n">
        <v>0</v>
      </c>
      <c r="I524" t="n">
        <v>0</v>
      </c>
      <c r="J524" t="n">
        <v>0</v>
      </c>
      <c r="K524" t="n">
        <v>0</v>
      </c>
      <c r="L524" t="n">
        <v>0</v>
      </c>
      <c r="M524" t="n">
        <v>0</v>
      </c>
      <c r="N524" t="n">
        <v>0</v>
      </c>
      <c r="O524" t="n">
        <v>0</v>
      </c>
      <c r="P524" t="n">
        <v>0</v>
      </c>
      <c r="Q524" t="n">
        <v>0</v>
      </c>
      <c r="R524" s="2" t="inlineStr"/>
    </row>
    <row r="525" ht="15" customHeight="1">
      <c r="A525" t="inlineStr">
        <is>
          <t>A 62830-2025</t>
        </is>
      </c>
      <c r="B525" s="1" t="n">
        <v>46008.67211805555</v>
      </c>
      <c r="C525" s="1" t="n">
        <v>46177</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35940-2025</t>
        </is>
      </c>
      <c r="B526" s="1" t="n">
        <v>45862.65081018519</v>
      </c>
      <c r="C526" s="1" t="n">
        <v>46177</v>
      </c>
      <c r="D526" t="inlineStr">
        <is>
          <t>DALARNAS LÄN</t>
        </is>
      </c>
      <c r="E526" t="inlineStr">
        <is>
          <t>ORSA</t>
        </is>
      </c>
      <c r="G526" t="n">
        <v>5.1</v>
      </c>
      <c r="H526" t="n">
        <v>0</v>
      </c>
      <c r="I526" t="n">
        <v>0</v>
      </c>
      <c r="J526" t="n">
        <v>0</v>
      </c>
      <c r="K526" t="n">
        <v>0</v>
      </c>
      <c r="L526" t="n">
        <v>0</v>
      </c>
      <c r="M526" t="n">
        <v>0</v>
      </c>
      <c r="N526" t="n">
        <v>0</v>
      </c>
      <c r="O526" t="n">
        <v>0</v>
      </c>
      <c r="P526" t="n">
        <v>0</v>
      </c>
      <c r="Q526" t="n">
        <v>0</v>
      </c>
      <c r="R526" s="2" t="inlineStr"/>
    </row>
    <row r="527" ht="15" customHeight="1">
      <c r="A527" t="inlineStr">
        <is>
          <t>A 35933-2025</t>
        </is>
      </c>
      <c r="B527" s="1" t="n">
        <v>45862.62653935186</v>
      </c>
      <c r="C527" s="1" t="n">
        <v>46177</v>
      </c>
      <c r="D527" t="inlineStr">
        <is>
          <t>DALARNAS LÄN</t>
        </is>
      </c>
      <c r="E527" t="inlineStr">
        <is>
          <t>ORSA</t>
        </is>
      </c>
      <c r="G527" t="n">
        <v>1.6</v>
      </c>
      <c r="H527" t="n">
        <v>0</v>
      </c>
      <c r="I527" t="n">
        <v>0</v>
      </c>
      <c r="J527" t="n">
        <v>0</v>
      </c>
      <c r="K527" t="n">
        <v>0</v>
      </c>
      <c r="L527" t="n">
        <v>0</v>
      </c>
      <c r="M527" t="n">
        <v>0</v>
      </c>
      <c r="N527" t="n">
        <v>0</v>
      </c>
      <c r="O527" t="n">
        <v>0</v>
      </c>
      <c r="P527" t="n">
        <v>0</v>
      </c>
      <c r="Q527" t="n">
        <v>0</v>
      </c>
      <c r="R527" s="2" t="inlineStr"/>
    </row>
    <row r="528" ht="15" customHeight="1">
      <c r="A528" t="inlineStr">
        <is>
          <t>A 35935-2025</t>
        </is>
      </c>
      <c r="B528" s="1" t="n">
        <v>45862.6353125</v>
      </c>
      <c r="C528" s="1" t="n">
        <v>46177</v>
      </c>
      <c r="D528" t="inlineStr">
        <is>
          <t>DALARNAS LÄN</t>
        </is>
      </c>
      <c r="E528" t="inlineStr">
        <is>
          <t>ORSA</t>
        </is>
      </c>
      <c r="G528" t="n">
        <v>0.6</v>
      </c>
      <c r="H528" t="n">
        <v>0</v>
      </c>
      <c r="I528" t="n">
        <v>0</v>
      </c>
      <c r="J528" t="n">
        <v>0</v>
      </c>
      <c r="K528" t="n">
        <v>0</v>
      </c>
      <c r="L528" t="n">
        <v>0</v>
      </c>
      <c r="M528" t="n">
        <v>0</v>
      </c>
      <c r="N528" t="n">
        <v>0</v>
      </c>
      <c r="O528" t="n">
        <v>0</v>
      </c>
      <c r="P528" t="n">
        <v>0</v>
      </c>
      <c r="Q528" t="n">
        <v>0</v>
      </c>
      <c r="R528" s="2" t="inlineStr"/>
    </row>
    <row r="529" ht="15" customHeight="1">
      <c r="A529" t="inlineStr">
        <is>
          <t>A 62832-2025</t>
        </is>
      </c>
      <c r="B529" s="1" t="n">
        <v>46008.67696759259</v>
      </c>
      <c r="C529" s="1" t="n">
        <v>46177</v>
      </c>
      <c r="D529" t="inlineStr">
        <is>
          <t>DALARNAS LÄN</t>
        </is>
      </c>
      <c r="E529" t="inlineStr">
        <is>
          <t>ORSA</t>
        </is>
      </c>
      <c r="G529" t="n">
        <v>1.9</v>
      </c>
      <c r="H529" t="n">
        <v>0</v>
      </c>
      <c r="I529" t="n">
        <v>0</v>
      </c>
      <c r="J529" t="n">
        <v>0</v>
      </c>
      <c r="K529" t="n">
        <v>0</v>
      </c>
      <c r="L529" t="n">
        <v>0</v>
      </c>
      <c r="M529" t="n">
        <v>0</v>
      </c>
      <c r="N529" t="n">
        <v>0</v>
      </c>
      <c r="O529" t="n">
        <v>0</v>
      </c>
      <c r="P529" t="n">
        <v>0</v>
      </c>
      <c r="Q529" t="n">
        <v>0</v>
      </c>
      <c r="R529" s="2" t="inlineStr"/>
    </row>
    <row r="530" ht="15" customHeight="1">
      <c r="A530" t="inlineStr">
        <is>
          <t>A 50714-2023</t>
        </is>
      </c>
      <c r="B530" s="1" t="n">
        <v>45217.56513888889</v>
      </c>
      <c r="C530" s="1" t="n">
        <v>46177</v>
      </c>
      <c r="D530" t="inlineStr">
        <is>
          <t>DALARNAS LÄN</t>
        </is>
      </c>
      <c r="E530" t="inlineStr">
        <is>
          <t>ORSA</t>
        </is>
      </c>
      <c r="G530" t="n">
        <v>1.1</v>
      </c>
      <c r="H530" t="n">
        <v>0</v>
      </c>
      <c r="I530" t="n">
        <v>0</v>
      </c>
      <c r="J530" t="n">
        <v>0</v>
      </c>
      <c r="K530" t="n">
        <v>0</v>
      </c>
      <c r="L530" t="n">
        <v>0</v>
      </c>
      <c r="M530" t="n">
        <v>0</v>
      </c>
      <c r="N530" t="n">
        <v>0</v>
      </c>
      <c r="O530" t="n">
        <v>0</v>
      </c>
      <c r="P530" t="n">
        <v>0</v>
      </c>
      <c r="Q530" t="n">
        <v>0</v>
      </c>
      <c r="R530" s="2" t="inlineStr"/>
    </row>
    <row r="531" ht="15" customHeight="1">
      <c r="A531" t="inlineStr">
        <is>
          <t>A 62778-2025</t>
        </is>
      </c>
      <c r="B531" s="1" t="n">
        <v>46008.61351851852</v>
      </c>
      <c r="C531" s="1" t="n">
        <v>46177</v>
      </c>
      <c r="D531" t="inlineStr">
        <is>
          <t>DALARNAS LÄN</t>
        </is>
      </c>
      <c r="E531" t="inlineStr">
        <is>
          <t>ORSA</t>
        </is>
      </c>
      <c r="G531" t="n">
        <v>4.2</v>
      </c>
      <c r="H531" t="n">
        <v>0</v>
      </c>
      <c r="I531" t="n">
        <v>0</v>
      </c>
      <c r="J531" t="n">
        <v>0</v>
      </c>
      <c r="K531" t="n">
        <v>0</v>
      </c>
      <c r="L531" t="n">
        <v>0</v>
      </c>
      <c r="M531" t="n">
        <v>0</v>
      </c>
      <c r="N531" t="n">
        <v>0</v>
      </c>
      <c r="O531" t="n">
        <v>0</v>
      </c>
      <c r="P531" t="n">
        <v>0</v>
      </c>
      <c r="Q531" t="n">
        <v>0</v>
      </c>
      <c r="R531" s="2" t="inlineStr"/>
    </row>
    <row r="532" ht="15" customHeight="1">
      <c r="A532" t="inlineStr">
        <is>
          <t>A 62810-2025</t>
        </is>
      </c>
      <c r="B532" s="1" t="n">
        <v>46008.64875</v>
      </c>
      <c r="C532" s="1" t="n">
        <v>46177</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62858-2025</t>
        </is>
      </c>
      <c r="B533" s="1" t="n">
        <v>46008.74334490741</v>
      </c>
      <c r="C533" s="1" t="n">
        <v>46177</v>
      </c>
      <c r="D533" t="inlineStr">
        <is>
          <t>DALARNAS LÄN</t>
        </is>
      </c>
      <c r="E533" t="inlineStr">
        <is>
          <t>ORSA</t>
        </is>
      </c>
      <c r="G533" t="n">
        <v>5</v>
      </c>
      <c r="H533" t="n">
        <v>0</v>
      </c>
      <c r="I533" t="n">
        <v>0</v>
      </c>
      <c r="J533" t="n">
        <v>0</v>
      </c>
      <c r="K533" t="n">
        <v>0</v>
      </c>
      <c r="L533" t="n">
        <v>0</v>
      </c>
      <c r="M533" t="n">
        <v>0</v>
      </c>
      <c r="N533" t="n">
        <v>0</v>
      </c>
      <c r="O533" t="n">
        <v>0</v>
      </c>
      <c r="P533" t="n">
        <v>0</v>
      </c>
      <c r="Q533" t="n">
        <v>0</v>
      </c>
      <c r="R533" s="2" t="inlineStr"/>
    </row>
    <row r="534" ht="15" customHeight="1">
      <c r="A534" t="inlineStr">
        <is>
          <t>A 62971-2025</t>
        </is>
      </c>
      <c r="B534" s="1" t="n">
        <v>46009.46511574074</v>
      </c>
      <c r="C534" s="1" t="n">
        <v>46177</v>
      </c>
      <c r="D534" t="inlineStr">
        <is>
          <t>DALARNAS LÄN</t>
        </is>
      </c>
      <c r="E534" t="inlineStr">
        <is>
          <t>ORSA</t>
        </is>
      </c>
      <c r="G534" t="n">
        <v>2.4</v>
      </c>
      <c r="H534" t="n">
        <v>0</v>
      </c>
      <c r="I534" t="n">
        <v>0</v>
      </c>
      <c r="J534" t="n">
        <v>0</v>
      </c>
      <c r="K534" t="n">
        <v>0</v>
      </c>
      <c r="L534" t="n">
        <v>0</v>
      </c>
      <c r="M534" t="n">
        <v>0</v>
      </c>
      <c r="N534" t="n">
        <v>0</v>
      </c>
      <c r="O534" t="n">
        <v>0</v>
      </c>
      <c r="P534" t="n">
        <v>0</v>
      </c>
      <c r="Q534" t="n">
        <v>0</v>
      </c>
      <c r="R534" s="2" t="inlineStr"/>
    </row>
    <row r="535" ht="15" customHeight="1">
      <c r="A535" t="inlineStr">
        <is>
          <t>A 63209-2025</t>
        </is>
      </c>
      <c r="B535" s="1" t="n">
        <v>46010.47516203704</v>
      </c>
      <c r="C535" s="1" t="n">
        <v>46177</v>
      </c>
      <c r="D535" t="inlineStr">
        <is>
          <t>DALARNAS LÄN</t>
        </is>
      </c>
      <c r="E535" t="inlineStr">
        <is>
          <t>ORSA</t>
        </is>
      </c>
      <c r="G535" t="n">
        <v>2.4</v>
      </c>
      <c r="H535" t="n">
        <v>0</v>
      </c>
      <c r="I535" t="n">
        <v>0</v>
      </c>
      <c r="J535" t="n">
        <v>0</v>
      </c>
      <c r="K535" t="n">
        <v>0</v>
      </c>
      <c r="L535" t="n">
        <v>0</v>
      </c>
      <c r="M535" t="n">
        <v>0</v>
      </c>
      <c r="N535" t="n">
        <v>0</v>
      </c>
      <c r="O535" t="n">
        <v>0</v>
      </c>
      <c r="P535" t="n">
        <v>0</v>
      </c>
      <c r="Q535" t="n">
        <v>0</v>
      </c>
      <c r="R535" s="2" t="inlineStr"/>
    </row>
    <row r="536" ht="15" customHeight="1">
      <c r="A536" t="inlineStr">
        <is>
          <t>A 63231-2025</t>
        </is>
      </c>
      <c r="B536" s="1" t="n">
        <v>46010.50851851852</v>
      </c>
      <c r="C536" s="1" t="n">
        <v>46177</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63118-2025</t>
        </is>
      </c>
      <c r="B537" s="1" t="n">
        <v>46009.85609953704</v>
      </c>
      <c r="C537" s="1" t="n">
        <v>46177</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63467-2025</t>
        </is>
      </c>
      <c r="B538" s="1" t="n">
        <v>46013.43195601852</v>
      </c>
      <c r="C538" s="1" t="n">
        <v>46177</v>
      </c>
      <c r="D538" t="inlineStr">
        <is>
          <t>DALARNAS LÄN</t>
        </is>
      </c>
      <c r="E538" t="inlineStr">
        <is>
          <t>ORSA</t>
        </is>
      </c>
      <c r="G538" t="n">
        <v>1.6</v>
      </c>
      <c r="H538" t="n">
        <v>0</v>
      </c>
      <c r="I538" t="n">
        <v>0</v>
      </c>
      <c r="J538" t="n">
        <v>0</v>
      </c>
      <c r="K538" t="n">
        <v>0</v>
      </c>
      <c r="L538" t="n">
        <v>0</v>
      </c>
      <c r="M538" t="n">
        <v>0</v>
      </c>
      <c r="N538" t="n">
        <v>0</v>
      </c>
      <c r="O538" t="n">
        <v>0</v>
      </c>
      <c r="P538" t="n">
        <v>0</v>
      </c>
      <c r="Q538" t="n">
        <v>0</v>
      </c>
      <c r="R538" s="2" t="inlineStr"/>
    </row>
    <row r="539" ht="15" customHeight="1">
      <c r="A539" t="inlineStr">
        <is>
          <t>A 36570-2025</t>
        </is>
      </c>
      <c r="B539" s="1" t="n">
        <v>45870.38728009259</v>
      </c>
      <c r="C539" s="1" t="n">
        <v>46177</v>
      </c>
      <c r="D539" t="inlineStr">
        <is>
          <t>DALARNAS LÄN</t>
        </is>
      </c>
      <c r="E539" t="inlineStr">
        <is>
          <t>ORSA</t>
        </is>
      </c>
      <c r="F539" t="inlineStr">
        <is>
          <t>Bergvik skog öst AB</t>
        </is>
      </c>
      <c r="G539" t="n">
        <v>2.2</v>
      </c>
      <c r="H539" t="n">
        <v>0</v>
      </c>
      <c r="I539" t="n">
        <v>0</v>
      </c>
      <c r="J539" t="n">
        <v>0</v>
      </c>
      <c r="K539" t="n">
        <v>0</v>
      </c>
      <c r="L539" t="n">
        <v>0</v>
      </c>
      <c r="M539" t="n">
        <v>0</v>
      </c>
      <c r="N539" t="n">
        <v>0</v>
      </c>
      <c r="O539" t="n">
        <v>0</v>
      </c>
      <c r="P539" t="n">
        <v>0</v>
      </c>
      <c r="Q539" t="n">
        <v>0</v>
      </c>
      <c r="R539" s="2" t="inlineStr"/>
    </row>
    <row r="540" ht="15" customHeight="1">
      <c r="A540" t="inlineStr">
        <is>
          <t>A 36633-2025</t>
        </is>
      </c>
      <c r="B540" s="1" t="n">
        <v>45870</v>
      </c>
      <c r="C540" s="1" t="n">
        <v>46177</v>
      </c>
      <c r="D540" t="inlineStr">
        <is>
          <t>DALARNAS LÄN</t>
        </is>
      </c>
      <c r="E540" t="inlineStr">
        <is>
          <t>ORSA</t>
        </is>
      </c>
      <c r="G540" t="n">
        <v>0.9</v>
      </c>
      <c r="H540" t="n">
        <v>0</v>
      </c>
      <c r="I540" t="n">
        <v>0</v>
      </c>
      <c r="J540" t="n">
        <v>0</v>
      </c>
      <c r="K540" t="n">
        <v>0</v>
      </c>
      <c r="L540" t="n">
        <v>0</v>
      </c>
      <c r="M540" t="n">
        <v>0</v>
      </c>
      <c r="N540" t="n">
        <v>0</v>
      </c>
      <c r="O540" t="n">
        <v>0</v>
      </c>
      <c r="P540" t="n">
        <v>0</v>
      </c>
      <c r="Q540" t="n">
        <v>0</v>
      </c>
      <c r="R540" s="2" t="inlineStr"/>
    </row>
    <row r="541" ht="15" customHeight="1">
      <c r="A541" t="inlineStr">
        <is>
          <t>A 63790-2025</t>
        </is>
      </c>
      <c r="B541" s="1" t="n">
        <v>46019</v>
      </c>
      <c r="C541" s="1" t="n">
        <v>46177</v>
      </c>
      <c r="D541" t="inlineStr">
        <is>
          <t>DALARNAS LÄN</t>
        </is>
      </c>
      <c r="E541" t="inlineStr">
        <is>
          <t>ORSA</t>
        </is>
      </c>
      <c r="G541" t="n">
        <v>3.7</v>
      </c>
      <c r="H541" t="n">
        <v>0</v>
      </c>
      <c r="I541" t="n">
        <v>0</v>
      </c>
      <c r="J541" t="n">
        <v>0</v>
      </c>
      <c r="K541" t="n">
        <v>0</v>
      </c>
      <c r="L541" t="n">
        <v>0</v>
      </c>
      <c r="M541" t="n">
        <v>0</v>
      </c>
      <c r="N541" t="n">
        <v>0</v>
      </c>
      <c r="O541" t="n">
        <v>0</v>
      </c>
      <c r="P541" t="n">
        <v>0</v>
      </c>
      <c r="Q541" t="n">
        <v>0</v>
      </c>
      <c r="R541" s="2" t="inlineStr"/>
    </row>
    <row r="542" ht="15" customHeight="1">
      <c r="A542" t="inlineStr">
        <is>
          <t>A 64152-2025</t>
        </is>
      </c>
      <c r="B542" s="1" t="n">
        <v>46022.60030092593</v>
      </c>
      <c r="C542" s="1" t="n">
        <v>46177</v>
      </c>
      <c r="D542" t="inlineStr">
        <is>
          <t>DALARNAS LÄN</t>
        </is>
      </c>
      <c r="E542" t="inlineStr">
        <is>
          <t>ORSA</t>
        </is>
      </c>
      <c r="G542" t="n">
        <v>5</v>
      </c>
      <c r="H542" t="n">
        <v>0</v>
      </c>
      <c r="I542" t="n">
        <v>0</v>
      </c>
      <c r="J542" t="n">
        <v>0</v>
      </c>
      <c r="K542" t="n">
        <v>0</v>
      </c>
      <c r="L542" t="n">
        <v>0</v>
      </c>
      <c r="M542" t="n">
        <v>0</v>
      </c>
      <c r="N542" t="n">
        <v>0</v>
      </c>
      <c r="O542" t="n">
        <v>0</v>
      </c>
      <c r="P542" t="n">
        <v>0</v>
      </c>
      <c r="Q542" t="n">
        <v>0</v>
      </c>
      <c r="R542" s="2" t="inlineStr"/>
    </row>
    <row r="543" ht="15" customHeight="1">
      <c r="A543" t="inlineStr">
        <is>
          <t>A 64155-2025</t>
        </is>
      </c>
      <c r="B543" s="1" t="n">
        <v>46022.6519675926</v>
      </c>
      <c r="C543" s="1" t="n">
        <v>46177</v>
      </c>
      <c r="D543" t="inlineStr">
        <is>
          <t>DALARNAS LÄN</t>
        </is>
      </c>
      <c r="E543" t="inlineStr">
        <is>
          <t>ORSA</t>
        </is>
      </c>
      <c r="G543" t="n">
        <v>7</v>
      </c>
      <c r="H543" t="n">
        <v>0</v>
      </c>
      <c r="I543" t="n">
        <v>0</v>
      </c>
      <c r="J543" t="n">
        <v>0</v>
      </c>
      <c r="K543" t="n">
        <v>0</v>
      </c>
      <c r="L543" t="n">
        <v>0</v>
      </c>
      <c r="M543" t="n">
        <v>0</v>
      </c>
      <c r="N543" t="n">
        <v>0</v>
      </c>
      <c r="O543" t="n">
        <v>0</v>
      </c>
      <c r="P543" t="n">
        <v>0</v>
      </c>
      <c r="Q543" t="n">
        <v>0</v>
      </c>
      <c r="R543" s="2" t="inlineStr"/>
    </row>
    <row r="544" ht="15" customHeight="1">
      <c r="A544" t="inlineStr">
        <is>
          <t>A 144-2026</t>
        </is>
      </c>
      <c r="B544" s="1" t="n">
        <v>46024.63174768518</v>
      </c>
      <c r="C544" s="1" t="n">
        <v>46177</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37-2026</t>
        </is>
      </c>
      <c r="B545" s="1" t="n">
        <v>46024</v>
      </c>
      <c r="C545" s="1" t="n">
        <v>46177</v>
      </c>
      <c r="D545" t="inlineStr">
        <is>
          <t>DALARNAS LÄN</t>
        </is>
      </c>
      <c r="E545" t="inlineStr">
        <is>
          <t>ORSA</t>
        </is>
      </c>
      <c r="G545" t="n">
        <v>4.8</v>
      </c>
      <c r="H545" t="n">
        <v>0</v>
      </c>
      <c r="I545" t="n">
        <v>0</v>
      </c>
      <c r="J545" t="n">
        <v>0</v>
      </c>
      <c r="K545" t="n">
        <v>0</v>
      </c>
      <c r="L545" t="n">
        <v>0</v>
      </c>
      <c r="M545" t="n">
        <v>0</v>
      </c>
      <c r="N545" t="n">
        <v>0</v>
      </c>
      <c r="O545" t="n">
        <v>0</v>
      </c>
      <c r="P545" t="n">
        <v>0</v>
      </c>
      <c r="Q545" t="n">
        <v>0</v>
      </c>
      <c r="R545" s="2" t="inlineStr"/>
    </row>
    <row r="546" ht="15" customHeight="1">
      <c r="A546" t="inlineStr">
        <is>
          <t>A 51-2026</t>
        </is>
      </c>
      <c r="B546" s="1" t="n">
        <v>46024</v>
      </c>
      <c r="C546" s="1" t="n">
        <v>46177</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101-2026</t>
        </is>
      </c>
      <c r="B547" s="1" t="n">
        <v>46024.51534722222</v>
      </c>
      <c r="C547" s="1" t="n">
        <v>46177</v>
      </c>
      <c r="D547" t="inlineStr">
        <is>
          <t>DALARNAS LÄN</t>
        </is>
      </c>
      <c r="E547" t="inlineStr">
        <is>
          <t>ORSA</t>
        </is>
      </c>
      <c r="G547" t="n">
        <v>1.1</v>
      </c>
      <c r="H547" t="n">
        <v>0</v>
      </c>
      <c r="I547" t="n">
        <v>0</v>
      </c>
      <c r="J547" t="n">
        <v>0</v>
      </c>
      <c r="K547" t="n">
        <v>0</v>
      </c>
      <c r="L547" t="n">
        <v>0</v>
      </c>
      <c r="M547" t="n">
        <v>0</v>
      </c>
      <c r="N547" t="n">
        <v>0</v>
      </c>
      <c r="O547" t="n">
        <v>0</v>
      </c>
      <c r="P547" t="n">
        <v>0</v>
      </c>
      <c r="Q547" t="n">
        <v>0</v>
      </c>
      <c r="R547" s="2" t="inlineStr"/>
    </row>
    <row r="548" ht="15" customHeight="1">
      <c r="A548" t="inlineStr">
        <is>
          <t>A 39-2026</t>
        </is>
      </c>
      <c r="B548" s="1" t="n">
        <v>46024</v>
      </c>
      <c r="C548" s="1" t="n">
        <v>46177</v>
      </c>
      <c r="D548" t="inlineStr">
        <is>
          <t>DALARNAS LÄN</t>
        </is>
      </c>
      <c r="E548" t="inlineStr">
        <is>
          <t>ORSA</t>
        </is>
      </c>
      <c r="G548" t="n">
        <v>2.8</v>
      </c>
      <c r="H548" t="n">
        <v>0</v>
      </c>
      <c r="I548" t="n">
        <v>0</v>
      </c>
      <c r="J548" t="n">
        <v>0</v>
      </c>
      <c r="K548" t="n">
        <v>0</v>
      </c>
      <c r="L548" t="n">
        <v>0</v>
      </c>
      <c r="M548" t="n">
        <v>0</v>
      </c>
      <c r="N548" t="n">
        <v>0</v>
      </c>
      <c r="O548" t="n">
        <v>0</v>
      </c>
      <c r="P548" t="n">
        <v>0</v>
      </c>
      <c r="Q548" t="n">
        <v>0</v>
      </c>
      <c r="R548" s="2" t="inlineStr"/>
    </row>
    <row r="549" ht="15" customHeight="1">
      <c r="A549" t="inlineStr">
        <is>
          <t>A 384-2026</t>
        </is>
      </c>
      <c r="B549" s="1" t="n">
        <v>46027.80430555555</v>
      </c>
      <c r="C549" s="1" t="n">
        <v>46177</v>
      </c>
      <c r="D549" t="inlineStr">
        <is>
          <t>DALARNAS LÄN</t>
        </is>
      </c>
      <c r="E549" t="inlineStr">
        <is>
          <t>ORSA</t>
        </is>
      </c>
      <c r="G549" t="n">
        <v>1</v>
      </c>
      <c r="H549" t="n">
        <v>0</v>
      </c>
      <c r="I549" t="n">
        <v>0</v>
      </c>
      <c r="J549" t="n">
        <v>0</v>
      </c>
      <c r="K549" t="n">
        <v>0</v>
      </c>
      <c r="L549" t="n">
        <v>0</v>
      </c>
      <c r="M549" t="n">
        <v>0</v>
      </c>
      <c r="N549" t="n">
        <v>0</v>
      </c>
      <c r="O549" t="n">
        <v>0</v>
      </c>
      <c r="P549" t="n">
        <v>0</v>
      </c>
      <c r="Q549" t="n">
        <v>0</v>
      </c>
      <c r="R549" s="2" t="inlineStr"/>
    </row>
    <row r="550" ht="15" customHeight="1">
      <c r="A550" t="inlineStr">
        <is>
          <t>A 976-2026</t>
        </is>
      </c>
      <c r="B550" s="1" t="n">
        <v>46030.57034722222</v>
      </c>
      <c r="C550" s="1" t="n">
        <v>46177</v>
      </c>
      <c r="D550" t="inlineStr">
        <is>
          <t>DALARNAS LÄN</t>
        </is>
      </c>
      <c r="E550" t="inlineStr">
        <is>
          <t>ORSA</t>
        </is>
      </c>
      <c r="G550" t="n">
        <v>2</v>
      </c>
      <c r="H550" t="n">
        <v>0</v>
      </c>
      <c r="I550" t="n">
        <v>0</v>
      </c>
      <c r="J550" t="n">
        <v>0</v>
      </c>
      <c r="K550" t="n">
        <v>0</v>
      </c>
      <c r="L550" t="n">
        <v>0</v>
      </c>
      <c r="M550" t="n">
        <v>0</v>
      </c>
      <c r="N550" t="n">
        <v>0</v>
      </c>
      <c r="O550" t="n">
        <v>0</v>
      </c>
      <c r="P550" t="n">
        <v>0</v>
      </c>
      <c r="Q550" t="n">
        <v>0</v>
      </c>
      <c r="R550" s="2" t="inlineStr"/>
    </row>
    <row r="551" ht="15" customHeight="1">
      <c r="A551" t="inlineStr">
        <is>
          <t>A 37181-2025</t>
        </is>
      </c>
      <c r="B551" s="1" t="n">
        <v>45875.62668981482</v>
      </c>
      <c r="C551" s="1" t="n">
        <v>46177</v>
      </c>
      <c r="D551" t="inlineStr">
        <is>
          <t>DALARNAS LÄN</t>
        </is>
      </c>
      <c r="E551" t="inlineStr">
        <is>
          <t>ORSA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37445-2025</t>
        </is>
      </c>
      <c r="B552" s="1" t="n">
        <v>45877.54615740741</v>
      </c>
      <c r="C552" s="1" t="n">
        <v>46177</v>
      </c>
      <c r="D552" t="inlineStr">
        <is>
          <t>DALARNAS LÄN</t>
        </is>
      </c>
      <c r="E552" t="inlineStr">
        <is>
          <t>ORSA</t>
        </is>
      </c>
      <c r="F552" t="inlineStr">
        <is>
          <t>Bergvik skog öst AB</t>
        </is>
      </c>
      <c r="G552" t="n">
        <v>13.4</v>
      </c>
      <c r="H552" t="n">
        <v>0</v>
      </c>
      <c r="I552" t="n">
        <v>0</v>
      </c>
      <c r="J552" t="n">
        <v>0</v>
      </c>
      <c r="K552" t="n">
        <v>0</v>
      </c>
      <c r="L552" t="n">
        <v>0</v>
      </c>
      <c r="M552" t="n">
        <v>0</v>
      </c>
      <c r="N552" t="n">
        <v>0</v>
      </c>
      <c r="O552" t="n">
        <v>0</v>
      </c>
      <c r="P552" t="n">
        <v>0</v>
      </c>
      <c r="Q552" t="n">
        <v>0</v>
      </c>
      <c r="R552" s="2" t="inlineStr"/>
    </row>
    <row r="553" ht="15" customHeight="1">
      <c r="A553" t="inlineStr">
        <is>
          <t>A 1650-2026</t>
        </is>
      </c>
      <c r="B553" s="1" t="n">
        <v>46034.52905092593</v>
      </c>
      <c r="C553" s="1" t="n">
        <v>46177</v>
      </c>
      <c r="D553" t="inlineStr">
        <is>
          <t>DALARNAS LÄN</t>
        </is>
      </c>
      <c r="E553" t="inlineStr">
        <is>
          <t>ORSA</t>
        </is>
      </c>
      <c r="G553" t="n">
        <v>6.8</v>
      </c>
      <c r="H553" t="n">
        <v>0</v>
      </c>
      <c r="I553" t="n">
        <v>0</v>
      </c>
      <c r="J553" t="n">
        <v>0</v>
      </c>
      <c r="K553" t="n">
        <v>0</v>
      </c>
      <c r="L553" t="n">
        <v>0</v>
      </c>
      <c r="M553" t="n">
        <v>0</v>
      </c>
      <c r="N553" t="n">
        <v>0</v>
      </c>
      <c r="O553" t="n">
        <v>0</v>
      </c>
      <c r="P553" t="n">
        <v>0</v>
      </c>
      <c r="Q553" t="n">
        <v>0</v>
      </c>
      <c r="R553" s="2" t="inlineStr"/>
    </row>
    <row r="554" ht="15" customHeight="1">
      <c r="A554" t="inlineStr">
        <is>
          <t>A 37439-2025</t>
        </is>
      </c>
      <c r="B554" s="1" t="n">
        <v>45877.53644675926</v>
      </c>
      <c r="C554" s="1" t="n">
        <v>46177</v>
      </c>
      <c r="D554" t="inlineStr">
        <is>
          <t>DALARNAS LÄN</t>
        </is>
      </c>
      <c r="E554" t="inlineStr">
        <is>
          <t>ORSA</t>
        </is>
      </c>
      <c r="F554" t="inlineStr">
        <is>
          <t>Allmännings- och besparingsskogar</t>
        </is>
      </c>
      <c r="G554" t="n">
        <v>7.9</v>
      </c>
      <c r="H554" t="n">
        <v>0</v>
      </c>
      <c r="I554" t="n">
        <v>0</v>
      </c>
      <c r="J554" t="n">
        <v>0</v>
      </c>
      <c r="K554" t="n">
        <v>0</v>
      </c>
      <c r="L554" t="n">
        <v>0</v>
      </c>
      <c r="M554" t="n">
        <v>0</v>
      </c>
      <c r="N554" t="n">
        <v>0</v>
      </c>
      <c r="O554" t="n">
        <v>0</v>
      </c>
      <c r="P554" t="n">
        <v>0</v>
      </c>
      <c r="Q554" t="n">
        <v>0</v>
      </c>
      <c r="R554" s="2" t="inlineStr"/>
    </row>
    <row r="555" ht="15" customHeight="1">
      <c r="A555" t="inlineStr">
        <is>
          <t>A 1735-2026</t>
        </is>
      </c>
      <c r="B555" s="1" t="n">
        <v>46034</v>
      </c>
      <c r="C555" s="1" t="n">
        <v>46177</v>
      </c>
      <c r="D555" t="inlineStr">
        <is>
          <t>DALARNAS LÄN</t>
        </is>
      </c>
      <c r="E555" t="inlineStr">
        <is>
          <t>ORSA</t>
        </is>
      </c>
      <c r="G555" t="n">
        <v>1.4</v>
      </c>
      <c r="H555" t="n">
        <v>0</v>
      </c>
      <c r="I555" t="n">
        <v>0</v>
      </c>
      <c r="J555" t="n">
        <v>0</v>
      </c>
      <c r="K555" t="n">
        <v>0</v>
      </c>
      <c r="L555" t="n">
        <v>0</v>
      </c>
      <c r="M555" t="n">
        <v>0</v>
      </c>
      <c r="N555" t="n">
        <v>0</v>
      </c>
      <c r="O555" t="n">
        <v>0</v>
      </c>
      <c r="P555" t="n">
        <v>0</v>
      </c>
      <c r="Q555" t="n">
        <v>0</v>
      </c>
      <c r="R555" s="2" t="inlineStr"/>
    </row>
    <row r="556" ht="15" customHeight="1">
      <c r="A556" t="inlineStr">
        <is>
          <t>A 1580-2026</t>
        </is>
      </c>
      <c r="B556" s="1" t="n">
        <v>46034.42577546297</v>
      </c>
      <c r="C556" s="1" t="n">
        <v>46177</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2090-2026</t>
        </is>
      </c>
      <c r="B557" s="1" t="n">
        <v>46036</v>
      </c>
      <c r="C557" s="1" t="n">
        <v>46177</v>
      </c>
      <c r="D557" t="inlineStr">
        <is>
          <t>DALARNAS LÄN</t>
        </is>
      </c>
      <c r="E557" t="inlineStr">
        <is>
          <t>ORSA</t>
        </is>
      </c>
      <c r="G557" t="n">
        <v>5.7</v>
      </c>
      <c r="H557" t="n">
        <v>0</v>
      </c>
      <c r="I557" t="n">
        <v>0</v>
      </c>
      <c r="J557" t="n">
        <v>0</v>
      </c>
      <c r="K557" t="n">
        <v>0</v>
      </c>
      <c r="L557" t="n">
        <v>0</v>
      </c>
      <c r="M557" t="n">
        <v>0</v>
      </c>
      <c r="N557" t="n">
        <v>0</v>
      </c>
      <c r="O557" t="n">
        <v>0</v>
      </c>
      <c r="P557" t="n">
        <v>0</v>
      </c>
      <c r="Q557" t="n">
        <v>0</v>
      </c>
      <c r="R557" s="2" t="inlineStr"/>
    </row>
    <row r="558" ht="15" customHeight="1">
      <c r="A558" t="inlineStr">
        <is>
          <t>A 37496-2025</t>
        </is>
      </c>
      <c r="B558" s="1" t="n">
        <v>45877.64424768519</v>
      </c>
      <c r="C558" s="1" t="n">
        <v>46177</v>
      </c>
      <c r="D558" t="inlineStr">
        <is>
          <t>DALARNAS LÄN</t>
        </is>
      </c>
      <c r="E558" t="inlineStr">
        <is>
          <t>ORSA</t>
        </is>
      </c>
      <c r="F558" t="inlineStr">
        <is>
          <t>Bergvik skog öst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37457-2025</t>
        </is>
      </c>
      <c r="B559" s="1" t="n">
        <v>45877.56829861111</v>
      </c>
      <c r="C559" s="1" t="n">
        <v>46177</v>
      </c>
      <c r="D559" t="inlineStr">
        <is>
          <t>DALARNAS LÄN</t>
        </is>
      </c>
      <c r="E559" t="inlineStr">
        <is>
          <t>ORSA</t>
        </is>
      </c>
      <c r="F559" t="inlineStr">
        <is>
          <t>Allmännings- och besparingsskogar</t>
        </is>
      </c>
      <c r="G559" t="n">
        <v>6.5</v>
      </c>
      <c r="H559" t="n">
        <v>0</v>
      </c>
      <c r="I559" t="n">
        <v>0</v>
      </c>
      <c r="J559" t="n">
        <v>0</v>
      </c>
      <c r="K559" t="n">
        <v>0</v>
      </c>
      <c r="L559" t="n">
        <v>0</v>
      </c>
      <c r="M559" t="n">
        <v>0</v>
      </c>
      <c r="N559" t="n">
        <v>0</v>
      </c>
      <c r="O559" t="n">
        <v>0</v>
      </c>
      <c r="P559" t="n">
        <v>0</v>
      </c>
      <c r="Q559" t="n">
        <v>0</v>
      </c>
      <c r="R559" s="2" t="inlineStr"/>
    </row>
    <row r="560" ht="15" customHeight="1">
      <c r="A560" t="inlineStr">
        <is>
          <t>A 37897-2025</t>
        </is>
      </c>
      <c r="B560" s="1" t="n">
        <v>45881.55274305555</v>
      </c>
      <c r="C560" s="1" t="n">
        <v>46177</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37899-2025</t>
        </is>
      </c>
      <c r="B561" s="1" t="n">
        <v>45881.56083333334</v>
      </c>
      <c r="C561" s="1" t="n">
        <v>46177</v>
      </c>
      <c r="D561" t="inlineStr">
        <is>
          <t>DALARNAS LÄN</t>
        </is>
      </c>
      <c r="E561" t="inlineStr">
        <is>
          <t>ORSA</t>
        </is>
      </c>
      <c r="G561" t="n">
        <v>0.8</v>
      </c>
      <c r="H561" t="n">
        <v>0</v>
      </c>
      <c r="I561" t="n">
        <v>0</v>
      </c>
      <c r="J561" t="n">
        <v>0</v>
      </c>
      <c r="K561" t="n">
        <v>0</v>
      </c>
      <c r="L561" t="n">
        <v>0</v>
      </c>
      <c r="M561" t="n">
        <v>0</v>
      </c>
      <c r="N561" t="n">
        <v>0</v>
      </c>
      <c r="O561" t="n">
        <v>0</v>
      </c>
      <c r="P561" t="n">
        <v>0</v>
      </c>
      <c r="Q561" t="n">
        <v>0</v>
      </c>
      <c r="R561" s="2" t="inlineStr"/>
    </row>
    <row r="562" ht="15" customHeight="1">
      <c r="A562" t="inlineStr">
        <is>
          <t>A 1967-2026</t>
        </is>
      </c>
      <c r="B562" s="1" t="n">
        <v>46035.63864583334</v>
      </c>
      <c r="C562" s="1" t="n">
        <v>46177</v>
      </c>
      <c r="D562" t="inlineStr">
        <is>
          <t>DALARNAS LÄN</t>
        </is>
      </c>
      <c r="E562" t="inlineStr">
        <is>
          <t>ORSA</t>
        </is>
      </c>
      <c r="G562" t="n">
        <v>6.3</v>
      </c>
      <c r="H562" t="n">
        <v>0</v>
      </c>
      <c r="I562" t="n">
        <v>0</v>
      </c>
      <c r="J562" t="n">
        <v>0</v>
      </c>
      <c r="K562" t="n">
        <v>0</v>
      </c>
      <c r="L562" t="n">
        <v>0</v>
      </c>
      <c r="M562" t="n">
        <v>0</v>
      </c>
      <c r="N562" t="n">
        <v>0</v>
      </c>
      <c r="O562" t="n">
        <v>0</v>
      </c>
      <c r="P562" t="n">
        <v>0</v>
      </c>
      <c r="Q562" t="n">
        <v>0</v>
      </c>
      <c r="R562" s="2" t="inlineStr"/>
    </row>
    <row r="563" ht="15" customHeight="1">
      <c r="A563" t="inlineStr">
        <is>
          <t>A 37893-2025</t>
        </is>
      </c>
      <c r="B563" s="1" t="n">
        <v>45881.54469907407</v>
      </c>
      <c r="C563" s="1" t="n">
        <v>46177</v>
      </c>
      <c r="D563" t="inlineStr">
        <is>
          <t>DALARNAS LÄN</t>
        </is>
      </c>
      <c r="E563" t="inlineStr">
        <is>
          <t>ORSA</t>
        </is>
      </c>
      <c r="G563" t="n">
        <v>4.4</v>
      </c>
      <c r="H563" t="n">
        <v>0</v>
      </c>
      <c r="I563" t="n">
        <v>0</v>
      </c>
      <c r="J563" t="n">
        <v>0</v>
      </c>
      <c r="K563" t="n">
        <v>0</v>
      </c>
      <c r="L563" t="n">
        <v>0</v>
      </c>
      <c r="M563" t="n">
        <v>0</v>
      </c>
      <c r="N563" t="n">
        <v>0</v>
      </c>
      <c r="O563" t="n">
        <v>0</v>
      </c>
      <c r="P563" t="n">
        <v>0</v>
      </c>
      <c r="Q563" t="n">
        <v>0</v>
      </c>
      <c r="R563" s="2" t="inlineStr"/>
    </row>
    <row r="564" ht="15" customHeight="1">
      <c r="A564" t="inlineStr">
        <is>
          <t>A 37906-2025</t>
        </is>
      </c>
      <c r="B564" s="1" t="n">
        <v>45881.56803240741</v>
      </c>
      <c r="C564" s="1" t="n">
        <v>46177</v>
      </c>
      <c r="D564" t="inlineStr">
        <is>
          <t>DALARNAS LÄN</t>
        </is>
      </c>
      <c r="E564" t="inlineStr">
        <is>
          <t>ORSA</t>
        </is>
      </c>
      <c r="G564" t="n">
        <v>1</v>
      </c>
      <c r="H564" t="n">
        <v>0</v>
      </c>
      <c r="I564" t="n">
        <v>0</v>
      </c>
      <c r="J564" t="n">
        <v>0</v>
      </c>
      <c r="K564" t="n">
        <v>0</v>
      </c>
      <c r="L564" t="n">
        <v>0</v>
      </c>
      <c r="M564" t="n">
        <v>0</v>
      </c>
      <c r="N564" t="n">
        <v>0</v>
      </c>
      <c r="O564" t="n">
        <v>0</v>
      </c>
      <c r="P564" t="n">
        <v>0</v>
      </c>
      <c r="Q564" t="n">
        <v>0</v>
      </c>
      <c r="R564" s="2" t="inlineStr"/>
    </row>
    <row r="565" ht="15" customHeight="1">
      <c r="A565" t="inlineStr">
        <is>
          <t>A 2551-2026</t>
        </is>
      </c>
      <c r="B565" s="1" t="n">
        <v>46037.47077546296</v>
      </c>
      <c r="C565" s="1" t="n">
        <v>46177</v>
      </c>
      <c r="D565" t="inlineStr">
        <is>
          <t>DALARNAS LÄN</t>
        </is>
      </c>
      <c r="E565" t="inlineStr">
        <is>
          <t>ORSA</t>
        </is>
      </c>
      <c r="G565" t="n">
        <v>2.6</v>
      </c>
      <c r="H565" t="n">
        <v>0</v>
      </c>
      <c r="I565" t="n">
        <v>0</v>
      </c>
      <c r="J565" t="n">
        <v>0</v>
      </c>
      <c r="K565" t="n">
        <v>0</v>
      </c>
      <c r="L565" t="n">
        <v>0</v>
      </c>
      <c r="M565" t="n">
        <v>0</v>
      </c>
      <c r="N565" t="n">
        <v>0</v>
      </c>
      <c r="O565" t="n">
        <v>0</v>
      </c>
      <c r="P565" t="n">
        <v>0</v>
      </c>
      <c r="Q565" t="n">
        <v>0</v>
      </c>
      <c r="R565" s="2" t="inlineStr"/>
    </row>
    <row r="566" ht="15" customHeight="1">
      <c r="A566" t="inlineStr">
        <is>
          <t>A 3000-2026</t>
        </is>
      </c>
      <c r="B566" s="1" t="n">
        <v>46038</v>
      </c>
      <c r="C566" s="1" t="n">
        <v>46177</v>
      </c>
      <c r="D566" t="inlineStr">
        <is>
          <t>DALARNAS LÄN</t>
        </is>
      </c>
      <c r="E566" t="inlineStr">
        <is>
          <t>ORSA</t>
        </is>
      </c>
      <c r="G566" t="n">
        <v>1.9</v>
      </c>
      <c r="H566" t="n">
        <v>0</v>
      </c>
      <c r="I566" t="n">
        <v>0</v>
      </c>
      <c r="J566" t="n">
        <v>0</v>
      </c>
      <c r="K566" t="n">
        <v>0</v>
      </c>
      <c r="L566" t="n">
        <v>0</v>
      </c>
      <c r="M566" t="n">
        <v>0</v>
      </c>
      <c r="N566" t="n">
        <v>0</v>
      </c>
      <c r="O566" t="n">
        <v>0</v>
      </c>
      <c r="P566" t="n">
        <v>0</v>
      </c>
      <c r="Q566" t="n">
        <v>0</v>
      </c>
      <c r="R566" s="2" t="inlineStr"/>
    </row>
    <row r="567" ht="15" customHeight="1">
      <c r="A567" t="inlineStr">
        <is>
          <t>A 60337-2025</t>
        </is>
      </c>
      <c r="B567" s="1" t="n">
        <v>45994</v>
      </c>
      <c r="C567" s="1" t="n">
        <v>46177</v>
      </c>
      <c r="D567" t="inlineStr">
        <is>
          <t>DALARNAS LÄN</t>
        </is>
      </c>
      <c r="E567" t="inlineStr">
        <is>
          <t>ORSA</t>
        </is>
      </c>
      <c r="G567" t="n">
        <v>6.8</v>
      </c>
      <c r="H567" t="n">
        <v>0</v>
      </c>
      <c r="I567" t="n">
        <v>0</v>
      </c>
      <c r="J567" t="n">
        <v>0</v>
      </c>
      <c r="K567" t="n">
        <v>0</v>
      </c>
      <c r="L567" t="n">
        <v>0</v>
      </c>
      <c r="M567" t="n">
        <v>0</v>
      </c>
      <c r="N567" t="n">
        <v>0</v>
      </c>
      <c r="O567" t="n">
        <v>0</v>
      </c>
      <c r="P567" t="n">
        <v>0</v>
      </c>
      <c r="Q567" t="n">
        <v>0</v>
      </c>
      <c r="R567" s="2" t="inlineStr"/>
    </row>
    <row r="568" ht="15" customHeight="1">
      <c r="A568" t="inlineStr">
        <is>
          <t>A 89-2026</t>
        </is>
      </c>
      <c r="B568" s="1" t="n">
        <v>46016</v>
      </c>
      <c r="C568" s="1" t="n">
        <v>46177</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3364-2026</t>
        </is>
      </c>
      <c r="B569" s="1" t="n">
        <v>46042</v>
      </c>
      <c r="C569" s="1" t="n">
        <v>46177</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3226-2026</t>
        </is>
      </c>
      <c r="B570" s="1" t="n">
        <v>46041.54016203704</v>
      </c>
      <c r="C570" s="1" t="n">
        <v>46177</v>
      </c>
      <c r="D570" t="inlineStr">
        <is>
          <t>DALARNAS LÄN</t>
        </is>
      </c>
      <c r="E570" t="inlineStr">
        <is>
          <t>ORSA</t>
        </is>
      </c>
      <c r="G570" t="n">
        <v>1.8</v>
      </c>
      <c r="H570" t="n">
        <v>0</v>
      </c>
      <c r="I570" t="n">
        <v>0</v>
      </c>
      <c r="J570" t="n">
        <v>0</v>
      </c>
      <c r="K570" t="n">
        <v>0</v>
      </c>
      <c r="L570" t="n">
        <v>0</v>
      </c>
      <c r="M570" t="n">
        <v>0</v>
      </c>
      <c r="N570" t="n">
        <v>0</v>
      </c>
      <c r="O570" t="n">
        <v>0</v>
      </c>
      <c r="P570" t="n">
        <v>0</v>
      </c>
      <c r="Q570" t="n">
        <v>0</v>
      </c>
      <c r="R570" s="2" t="inlineStr"/>
    </row>
    <row r="571" ht="15" customHeight="1">
      <c r="A571" t="inlineStr">
        <is>
          <t>A 3231-2026</t>
        </is>
      </c>
      <c r="B571" s="1" t="n">
        <v>46041</v>
      </c>
      <c r="C571" s="1" t="n">
        <v>46177</v>
      </c>
      <c r="D571" t="inlineStr">
        <is>
          <t>DALARNAS LÄN</t>
        </is>
      </c>
      <c r="E571" t="inlineStr">
        <is>
          <t>ORSA</t>
        </is>
      </c>
      <c r="G571" t="n">
        <v>1.8</v>
      </c>
      <c r="H571" t="n">
        <v>0</v>
      </c>
      <c r="I571" t="n">
        <v>0</v>
      </c>
      <c r="J571" t="n">
        <v>0</v>
      </c>
      <c r="K571" t="n">
        <v>0</v>
      </c>
      <c r="L571" t="n">
        <v>0</v>
      </c>
      <c r="M571" t="n">
        <v>0</v>
      </c>
      <c r="N571" t="n">
        <v>0</v>
      </c>
      <c r="O571" t="n">
        <v>0</v>
      </c>
      <c r="P571" t="n">
        <v>0</v>
      </c>
      <c r="Q571" t="n">
        <v>0</v>
      </c>
      <c r="R571" s="2" t="inlineStr"/>
    </row>
    <row r="572" ht="15" customHeight="1">
      <c r="A572" t="inlineStr">
        <is>
          <t>A 3988-2026</t>
        </is>
      </c>
      <c r="B572" s="1" t="n">
        <v>46044.37626157407</v>
      </c>
      <c r="C572" s="1" t="n">
        <v>46177</v>
      </c>
      <c r="D572" t="inlineStr">
        <is>
          <t>DALARNAS LÄN</t>
        </is>
      </c>
      <c r="E572" t="inlineStr">
        <is>
          <t>ORSA</t>
        </is>
      </c>
      <c r="G572" t="n">
        <v>0.7</v>
      </c>
      <c r="H572" t="n">
        <v>0</v>
      </c>
      <c r="I572" t="n">
        <v>0</v>
      </c>
      <c r="J572" t="n">
        <v>0</v>
      </c>
      <c r="K572" t="n">
        <v>0</v>
      </c>
      <c r="L572" t="n">
        <v>0</v>
      </c>
      <c r="M572" t="n">
        <v>0</v>
      </c>
      <c r="N572" t="n">
        <v>0</v>
      </c>
      <c r="O572" t="n">
        <v>0</v>
      </c>
      <c r="P572" t="n">
        <v>0</v>
      </c>
      <c r="Q572" t="n">
        <v>0</v>
      </c>
      <c r="R572" s="2" t="inlineStr"/>
    </row>
    <row r="573" ht="15" customHeight="1">
      <c r="A573" t="inlineStr">
        <is>
          <t>A 3683-2026</t>
        </is>
      </c>
      <c r="B573" s="1" t="n">
        <v>46043.43420138889</v>
      </c>
      <c r="C573" s="1" t="n">
        <v>46177</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3727-2026</t>
        </is>
      </c>
      <c r="B574" s="1" t="n">
        <v>46043</v>
      </c>
      <c r="C574" s="1" t="n">
        <v>46177</v>
      </c>
      <c r="D574" t="inlineStr">
        <is>
          <t>DALARNAS LÄN</t>
        </is>
      </c>
      <c r="E574" t="inlineStr">
        <is>
          <t>ORSA</t>
        </is>
      </c>
      <c r="G574" t="n">
        <v>2.2</v>
      </c>
      <c r="H574" t="n">
        <v>0</v>
      </c>
      <c r="I574" t="n">
        <v>0</v>
      </c>
      <c r="J574" t="n">
        <v>0</v>
      </c>
      <c r="K574" t="n">
        <v>0</v>
      </c>
      <c r="L574" t="n">
        <v>0</v>
      </c>
      <c r="M574" t="n">
        <v>0</v>
      </c>
      <c r="N574" t="n">
        <v>0</v>
      </c>
      <c r="O574" t="n">
        <v>0</v>
      </c>
      <c r="P574" t="n">
        <v>0</v>
      </c>
      <c r="Q574" t="n">
        <v>0</v>
      </c>
      <c r="R574" s="2" t="inlineStr"/>
    </row>
    <row r="575" ht="15" customHeight="1">
      <c r="A575" t="inlineStr">
        <is>
          <t>A 4183-2026</t>
        </is>
      </c>
      <c r="B575" s="1" t="n">
        <v>46044.68712962963</v>
      </c>
      <c r="C575" s="1" t="n">
        <v>46177</v>
      </c>
      <c r="D575" t="inlineStr">
        <is>
          <t>DALARNAS LÄN</t>
        </is>
      </c>
      <c r="E575" t="inlineStr">
        <is>
          <t>ORSA</t>
        </is>
      </c>
      <c r="G575" t="n">
        <v>3.7</v>
      </c>
      <c r="H575" t="n">
        <v>0</v>
      </c>
      <c r="I575" t="n">
        <v>0</v>
      </c>
      <c r="J575" t="n">
        <v>0</v>
      </c>
      <c r="K575" t="n">
        <v>0</v>
      </c>
      <c r="L575" t="n">
        <v>0</v>
      </c>
      <c r="M575" t="n">
        <v>0</v>
      </c>
      <c r="N575" t="n">
        <v>0</v>
      </c>
      <c r="O575" t="n">
        <v>0</v>
      </c>
      <c r="P575" t="n">
        <v>0</v>
      </c>
      <c r="Q575" t="n">
        <v>0</v>
      </c>
      <c r="R575" s="2" t="inlineStr"/>
    </row>
    <row r="576" ht="15" customHeight="1">
      <c r="A576" t="inlineStr">
        <is>
          <t>A 4011-2026</t>
        </is>
      </c>
      <c r="B576" s="1" t="n">
        <v>46044.41059027778</v>
      </c>
      <c r="C576" s="1" t="n">
        <v>46177</v>
      </c>
      <c r="D576" t="inlineStr">
        <is>
          <t>DALARNAS LÄN</t>
        </is>
      </c>
      <c r="E576" t="inlineStr">
        <is>
          <t>ORSA</t>
        </is>
      </c>
      <c r="G576" t="n">
        <v>3.6</v>
      </c>
      <c r="H576" t="n">
        <v>0</v>
      </c>
      <c r="I576" t="n">
        <v>0</v>
      </c>
      <c r="J576" t="n">
        <v>0</v>
      </c>
      <c r="K576" t="n">
        <v>0</v>
      </c>
      <c r="L576" t="n">
        <v>0</v>
      </c>
      <c r="M576" t="n">
        <v>0</v>
      </c>
      <c r="N576" t="n">
        <v>0</v>
      </c>
      <c r="O576" t="n">
        <v>0</v>
      </c>
      <c r="P576" t="n">
        <v>0</v>
      </c>
      <c r="Q576" t="n">
        <v>0</v>
      </c>
      <c r="R576" s="2" t="inlineStr"/>
    </row>
    <row r="577" ht="15" customHeight="1">
      <c r="A577" t="inlineStr">
        <is>
          <t>A 4456-2026</t>
        </is>
      </c>
      <c r="B577" s="1" t="n">
        <v>46044</v>
      </c>
      <c r="C577" s="1" t="n">
        <v>46177</v>
      </c>
      <c r="D577" t="inlineStr">
        <is>
          <t>DALARNAS LÄN</t>
        </is>
      </c>
      <c r="E577" t="inlineStr">
        <is>
          <t>ORSA</t>
        </is>
      </c>
      <c r="G577" t="n">
        <v>5.9</v>
      </c>
      <c r="H577" t="n">
        <v>0</v>
      </c>
      <c r="I577" t="n">
        <v>0</v>
      </c>
      <c r="J577" t="n">
        <v>0</v>
      </c>
      <c r="K577" t="n">
        <v>0</v>
      </c>
      <c r="L577" t="n">
        <v>0</v>
      </c>
      <c r="M577" t="n">
        <v>0</v>
      </c>
      <c r="N577" t="n">
        <v>0</v>
      </c>
      <c r="O577" t="n">
        <v>0</v>
      </c>
      <c r="P577" t="n">
        <v>0</v>
      </c>
      <c r="Q577" t="n">
        <v>0</v>
      </c>
      <c r="R577" s="2" t="inlineStr"/>
    </row>
    <row r="578" ht="15" customHeight="1">
      <c r="A578" t="inlineStr">
        <is>
          <t>A 4040-2026</t>
        </is>
      </c>
      <c r="B578" s="1" t="n">
        <v>46044</v>
      </c>
      <c r="C578" s="1" t="n">
        <v>46177</v>
      </c>
      <c r="D578" t="inlineStr">
        <is>
          <t>DALARNAS LÄN</t>
        </is>
      </c>
      <c r="E578" t="inlineStr">
        <is>
          <t>ORSA</t>
        </is>
      </c>
      <c r="G578" t="n">
        <v>4.3</v>
      </c>
      <c r="H578" t="n">
        <v>0</v>
      </c>
      <c r="I578" t="n">
        <v>0</v>
      </c>
      <c r="J578" t="n">
        <v>0</v>
      </c>
      <c r="K578" t="n">
        <v>0</v>
      </c>
      <c r="L578" t="n">
        <v>0</v>
      </c>
      <c r="M578" t="n">
        <v>0</v>
      </c>
      <c r="N578" t="n">
        <v>0</v>
      </c>
      <c r="O578" t="n">
        <v>0</v>
      </c>
      <c r="P578" t="n">
        <v>0</v>
      </c>
      <c r="Q578" t="n">
        <v>0</v>
      </c>
      <c r="R578" s="2" t="inlineStr"/>
    </row>
    <row r="579" ht="15" customHeight="1">
      <c r="A579" t="inlineStr">
        <is>
          <t>A 29984-2025</t>
        </is>
      </c>
      <c r="B579" s="1" t="n">
        <v>45826</v>
      </c>
      <c r="C579" s="1" t="n">
        <v>46177</v>
      </c>
      <c r="D579" t="inlineStr">
        <is>
          <t>DALARNAS LÄN</t>
        </is>
      </c>
      <c r="E579" t="inlineStr">
        <is>
          <t>ORSA</t>
        </is>
      </c>
      <c r="G579" t="n">
        <v>0.7</v>
      </c>
      <c r="H579" t="n">
        <v>0</v>
      </c>
      <c r="I579" t="n">
        <v>0</v>
      </c>
      <c r="J579" t="n">
        <v>0</v>
      </c>
      <c r="K579" t="n">
        <v>0</v>
      </c>
      <c r="L579" t="n">
        <v>0</v>
      </c>
      <c r="M579" t="n">
        <v>0</v>
      </c>
      <c r="N579" t="n">
        <v>0</v>
      </c>
      <c r="O579" t="n">
        <v>0</v>
      </c>
      <c r="P579" t="n">
        <v>0</v>
      </c>
      <c r="Q579" t="n">
        <v>0</v>
      </c>
      <c r="R579" s="2" t="inlineStr"/>
    </row>
    <row r="580" ht="15" customHeight="1">
      <c r="A580" t="inlineStr">
        <is>
          <t>A 4613-2026</t>
        </is>
      </c>
      <c r="B580" s="1" t="n">
        <v>46048</v>
      </c>
      <c r="C580" s="1" t="n">
        <v>46177</v>
      </c>
      <c r="D580" t="inlineStr">
        <is>
          <t>DALARNAS LÄN</t>
        </is>
      </c>
      <c r="E580" t="inlineStr">
        <is>
          <t>ORSA</t>
        </is>
      </c>
      <c r="F580" t="inlineStr">
        <is>
          <t>Kommuner</t>
        </is>
      </c>
      <c r="G580" t="n">
        <v>3</v>
      </c>
      <c r="H580" t="n">
        <v>0</v>
      </c>
      <c r="I580" t="n">
        <v>0</v>
      </c>
      <c r="J580" t="n">
        <v>0</v>
      </c>
      <c r="K580" t="n">
        <v>0</v>
      </c>
      <c r="L580" t="n">
        <v>0</v>
      </c>
      <c r="M580" t="n">
        <v>0</v>
      </c>
      <c r="N580" t="n">
        <v>0</v>
      </c>
      <c r="O580" t="n">
        <v>0</v>
      </c>
      <c r="P580" t="n">
        <v>0</v>
      </c>
      <c r="Q580" t="n">
        <v>0</v>
      </c>
      <c r="R580" s="2" t="inlineStr"/>
    </row>
    <row r="581" ht="15" customHeight="1">
      <c r="A581" t="inlineStr">
        <is>
          <t>A 4690-2026</t>
        </is>
      </c>
      <c r="B581" s="1" t="n">
        <v>46048</v>
      </c>
      <c r="C581" s="1" t="n">
        <v>46177</v>
      </c>
      <c r="D581" t="inlineStr">
        <is>
          <t>DALARNAS LÄN</t>
        </is>
      </c>
      <c r="E581" t="inlineStr">
        <is>
          <t>ORSA</t>
        </is>
      </c>
      <c r="G581" t="n">
        <v>14.2</v>
      </c>
      <c r="H581" t="n">
        <v>0</v>
      </c>
      <c r="I581" t="n">
        <v>0</v>
      </c>
      <c r="J581" t="n">
        <v>0</v>
      </c>
      <c r="K581" t="n">
        <v>0</v>
      </c>
      <c r="L581" t="n">
        <v>0</v>
      </c>
      <c r="M581" t="n">
        <v>0</v>
      </c>
      <c r="N581" t="n">
        <v>0</v>
      </c>
      <c r="O581" t="n">
        <v>0</v>
      </c>
      <c r="P581" t="n">
        <v>0</v>
      </c>
      <c r="Q581" t="n">
        <v>0</v>
      </c>
      <c r="R581" s="2" t="inlineStr"/>
    </row>
    <row r="582" ht="15" customHeight="1">
      <c r="A582" t="inlineStr">
        <is>
          <t>A 5064-2026</t>
        </is>
      </c>
      <c r="B582" s="1" t="n">
        <v>46049</v>
      </c>
      <c r="C582" s="1" t="n">
        <v>46177</v>
      </c>
      <c r="D582" t="inlineStr">
        <is>
          <t>DALARNAS LÄN</t>
        </is>
      </c>
      <c r="E582" t="inlineStr">
        <is>
          <t>ORSA</t>
        </is>
      </c>
      <c r="G582" t="n">
        <v>1.3</v>
      </c>
      <c r="H582" t="n">
        <v>0</v>
      </c>
      <c r="I582" t="n">
        <v>0</v>
      </c>
      <c r="J582" t="n">
        <v>0</v>
      </c>
      <c r="K582" t="n">
        <v>0</v>
      </c>
      <c r="L582" t="n">
        <v>0</v>
      </c>
      <c r="M582" t="n">
        <v>0</v>
      </c>
      <c r="N582" t="n">
        <v>0</v>
      </c>
      <c r="O582" t="n">
        <v>0</v>
      </c>
      <c r="P582" t="n">
        <v>0</v>
      </c>
      <c r="Q582" t="n">
        <v>0</v>
      </c>
      <c r="R582" s="2" t="inlineStr"/>
    </row>
    <row r="583" ht="15" customHeight="1">
      <c r="A583" t="inlineStr">
        <is>
          <t>A 5395-2026</t>
        </is>
      </c>
      <c r="B583" s="1" t="n">
        <v>46050.47840277778</v>
      </c>
      <c r="C583" s="1" t="n">
        <v>46177</v>
      </c>
      <c r="D583" t="inlineStr">
        <is>
          <t>DALARNAS LÄN</t>
        </is>
      </c>
      <c r="E583" t="inlineStr">
        <is>
          <t>ORSA</t>
        </is>
      </c>
      <c r="G583" t="n">
        <v>1.3</v>
      </c>
      <c r="H583" t="n">
        <v>0</v>
      </c>
      <c r="I583" t="n">
        <v>0</v>
      </c>
      <c r="J583" t="n">
        <v>0</v>
      </c>
      <c r="K583" t="n">
        <v>0</v>
      </c>
      <c r="L583" t="n">
        <v>0</v>
      </c>
      <c r="M583" t="n">
        <v>0</v>
      </c>
      <c r="N583" t="n">
        <v>0</v>
      </c>
      <c r="O583" t="n">
        <v>0</v>
      </c>
      <c r="P583" t="n">
        <v>0</v>
      </c>
      <c r="Q583" t="n">
        <v>0</v>
      </c>
      <c r="R583" s="2" t="inlineStr"/>
    </row>
    <row r="584" ht="15" customHeight="1">
      <c r="A584" t="inlineStr">
        <is>
          <t>A 5379-2026</t>
        </is>
      </c>
      <c r="B584" s="1" t="n">
        <v>46050</v>
      </c>
      <c r="C584" s="1" t="n">
        <v>46177</v>
      </c>
      <c r="D584" t="inlineStr">
        <is>
          <t>DALARNAS LÄN</t>
        </is>
      </c>
      <c r="E584" t="inlineStr">
        <is>
          <t>ORSA</t>
        </is>
      </c>
      <c r="F584" t="inlineStr">
        <is>
          <t>Bergvik skog öst AB</t>
        </is>
      </c>
      <c r="G584" t="n">
        <v>6.4</v>
      </c>
      <c r="H584" t="n">
        <v>0</v>
      </c>
      <c r="I584" t="n">
        <v>0</v>
      </c>
      <c r="J584" t="n">
        <v>0</v>
      </c>
      <c r="K584" t="n">
        <v>0</v>
      </c>
      <c r="L584" t="n">
        <v>0</v>
      </c>
      <c r="M584" t="n">
        <v>0</v>
      </c>
      <c r="N584" t="n">
        <v>0</v>
      </c>
      <c r="O584" t="n">
        <v>0</v>
      </c>
      <c r="P584" t="n">
        <v>0</v>
      </c>
      <c r="Q584" t="n">
        <v>0</v>
      </c>
      <c r="R584" s="2" t="inlineStr"/>
    </row>
    <row r="585" ht="15" customHeight="1">
      <c r="A585" t="inlineStr">
        <is>
          <t>A 5377-2026</t>
        </is>
      </c>
      <c r="B585" s="1" t="n">
        <v>46050.46118055555</v>
      </c>
      <c r="C585" s="1" t="n">
        <v>46177</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5460-2026</t>
        </is>
      </c>
      <c r="B586" s="1" t="n">
        <v>46050</v>
      </c>
      <c r="C586" s="1" t="n">
        <v>46177</v>
      </c>
      <c r="D586" t="inlineStr">
        <is>
          <t>DALARNAS LÄN</t>
        </is>
      </c>
      <c r="E586" t="inlineStr">
        <is>
          <t>ORSA</t>
        </is>
      </c>
      <c r="G586" t="n">
        <v>1.3</v>
      </c>
      <c r="H586" t="n">
        <v>0</v>
      </c>
      <c r="I586" t="n">
        <v>0</v>
      </c>
      <c r="J586" t="n">
        <v>0</v>
      </c>
      <c r="K586" t="n">
        <v>0</v>
      </c>
      <c r="L586" t="n">
        <v>0</v>
      </c>
      <c r="M586" t="n">
        <v>0</v>
      </c>
      <c r="N586" t="n">
        <v>0</v>
      </c>
      <c r="O586" t="n">
        <v>0</v>
      </c>
      <c r="P586" t="n">
        <v>0</v>
      </c>
      <c r="Q586" t="n">
        <v>0</v>
      </c>
      <c r="R586" s="2" t="inlineStr"/>
    </row>
    <row r="587" ht="15" customHeight="1">
      <c r="A587" t="inlineStr">
        <is>
          <t>A 5556-2026</t>
        </is>
      </c>
      <c r="B587" s="1" t="n">
        <v>46050</v>
      </c>
      <c r="C587" s="1" t="n">
        <v>46177</v>
      </c>
      <c r="D587" t="inlineStr">
        <is>
          <t>DALARNAS LÄN</t>
        </is>
      </c>
      <c r="E587" t="inlineStr">
        <is>
          <t>ORSA</t>
        </is>
      </c>
      <c r="G587" t="n">
        <v>4.5</v>
      </c>
      <c r="H587" t="n">
        <v>0</v>
      </c>
      <c r="I587" t="n">
        <v>0</v>
      </c>
      <c r="J587" t="n">
        <v>0</v>
      </c>
      <c r="K587" t="n">
        <v>0</v>
      </c>
      <c r="L587" t="n">
        <v>0</v>
      </c>
      <c r="M587" t="n">
        <v>0</v>
      </c>
      <c r="N587" t="n">
        <v>0</v>
      </c>
      <c r="O587" t="n">
        <v>0</v>
      </c>
      <c r="P587" t="n">
        <v>0</v>
      </c>
      <c r="Q587" t="n">
        <v>0</v>
      </c>
      <c r="R587" s="2" t="inlineStr"/>
    </row>
    <row r="588" ht="15" customHeight="1">
      <c r="A588" t="inlineStr">
        <is>
          <t>A 5212-2026</t>
        </is>
      </c>
      <c r="B588" s="1" t="n">
        <v>46049</v>
      </c>
      <c r="C588" s="1" t="n">
        <v>46177</v>
      </c>
      <c r="D588" t="inlineStr">
        <is>
          <t>DALARNAS LÄN</t>
        </is>
      </c>
      <c r="E588" t="inlineStr">
        <is>
          <t>ORSA</t>
        </is>
      </c>
      <c r="G588" t="n">
        <v>7</v>
      </c>
      <c r="H588" t="n">
        <v>0</v>
      </c>
      <c r="I588" t="n">
        <v>0</v>
      </c>
      <c r="J588" t="n">
        <v>0</v>
      </c>
      <c r="K588" t="n">
        <v>0</v>
      </c>
      <c r="L588" t="n">
        <v>0</v>
      </c>
      <c r="M588" t="n">
        <v>0</v>
      </c>
      <c r="N588" t="n">
        <v>0</v>
      </c>
      <c r="O588" t="n">
        <v>0</v>
      </c>
      <c r="P588" t="n">
        <v>0</v>
      </c>
      <c r="Q588" t="n">
        <v>0</v>
      </c>
      <c r="R588" s="2" t="inlineStr"/>
    </row>
    <row r="589" ht="15" customHeight="1">
      <c r="A589" t="inlineStr">
        <is>
          <t>A 5045-2026</t>
        </is>
      </c>
      <c r="B589" s="1" t="n">
        <v>46049</v>
      </c>
      <c r="C589" s="1" t="n">
        <v>46177</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5393-2026</t>
        </is>
      </c>
      <c r="B590" s="1" t="n">
        <v>46050.47733796296</v>
      </c>
      <c r="C590" s="1" t="n">
        <v>46177</v>
      </c>
      <c r="D590" t="inlineStr">
        <is>
          <t>DALARNAS LÄN</t>
        </is>
      </c>
      <c r="E590" t="inlineStr">
        <is>
          <t>ORSA</t>
        </is>
      </c>
      <c r="G590" t="n">
        <v>4.2</v>
      </c>
      <c r="H590" t="n">
        <v>0</v>
      </c>
      <c r="I590" t="n">
        <v>0</v>
      </c>
      <c r="J590" t="n">
        <v>0</v>
      </c>
      <c r="K590" t="n">
        <v>0</v>
      </c>
      <c r="L590" t="n">
        <v>0</v>
      </c>
      <c r="M590" t="n">
        <v>0</v>
      </c>
      <c r="N590" t="n">
        <v>0</v>
      </c>
      <c r="O590" t="n">
        <v>0</v>
      </c>
      <c r="P590" t="n">
        <v>0</v>
      </c>
      <c r="Q590" t="n">
        <v>0</v>
      </c>
      <c r="R590" s="2" t="inlineStr"/>
    </row>
    <row r="591" ht="15" customHeight="1">
      <c r="A591" t="inlineStr">
        <is>
          <t>A 5896-2026</t>
        </is>
      </c>
      <c r="B591" s="1" t="n">
        <v>46052.42724537037</v>
      </c>
      <c r="C591" s="1" t="n">
        <v>46177</v>
      </c>
      <c r="D591" t="inlineStr">
        <is>
          <t>DALARNAS LÄN</t>
        </is>
      </c>
      <c r="E591" t="inlineStr">
        <is>
          <t>ORSA</t>
        </is>
      </c>
      <c r="G591" t="n">
        <v>1.7</v>
      </c>
      <c r="H591" t="n">
        <v>0</v>
      </c>
      <c r="I591" t="n">
        <v>0</v>
      </c>
      <c r="J591" t="n">
        <v>0</v>
      </c>
      <c r="K591" t="n">
        <v>0</v>
      </c>
      <c r="L591" t="n">
        <v>0</v>
      </c>
      <c r="M591" t="n">
        <v>0</v>
      </c>
      <c r="N591" t="n">
        <v>0</v>
      </c>
      <c r="O591" t="n">
        <v>0</v>
      </c>
      <c r="P591" t="n">
        <v>0</v>
      </c>
      <c r="Q591" t="n">
        <v>0</v>
      </c>
      <c r="R591" s="2" t="inlineStr"/>
    </row>
    <row r="592" ht="15" customHeight="1">
      <c r="A592" t="inlineStr">
        <is>
          <t>A 6757-2026</t>
        </is>
      </c>
      <c r="B592" s="1" t="n">
        <v>46056</v>
      </c>
      <c r="C592" s="1" t="n">
        <v>46177</v>
      </c>
      <c r="D592" t="inlineStr">
        <is>
          <t>DALARNAS LÄN</t>
        </is>
      </c>
      <c r="E592" t="inlineStr">
        <is>
          <t>ORSA</t>
        </is>
      </c>
      <c r="G592" t="n">
        <v>5.5</v>
      </c>
      <c r="H592" t="n">
        <v>0</v>
      </c>
      <c r="I592" t="n">
        <v>0</v>
      </c>
      <c r="J592" t="n">
        <v>0</v>
      </c>
      <c r="K592" t="n">
        <v>0</v>
      </c>
      <c r="L592" t="n">
        <v>0</v>
      </c>
      <c r="M592" t="n">
        <v>0</v>
      </c>
      <c r="N592" t="n">
        <v>0</v>
      </c>
      <c r="O592" t="n">
        <v>0</v>
      </c>
      <c r="P592" t="n">
        <v>0</v>
      </c>
      <c r="Q592" t="n">
        <v>0</v>
      </c>
      <c r="R592" s="2" t="inlineStr"/>
    </row>
    <row r="593" ht="15" customHeight="1">
      <c r="A593" t="inlineStr">
        <is>
          <t>A 6848-2026</t>
        </is>
      </c>
      <c r="B593" s="1" t="n">
        <v>46056</v>
      </c>
      <c r="C593" s="1" t="n">
        <v>46177</v>
      </c>
      <c r="D593" t="inlineStr">
        <is>
          <t>DALARNAS LÄN</t>
        </is>
      </c>
      <c r="E593" t="inlineStr">
        <is>
          <t>ORSA</t>
        </is>
      </c>
      <c r="F593" t="inlineStr">
        <is>
          <t>Kommuner</t>
        </is>
      </c>
      <c r="G593" t="n">
        <v>1.3</v>
      </c>
      <c r="H593" t="n">
        <v>0</v>
      </c>
      <c r="I593" t="n">
        <v>0</v>
      </c>
      <c r="J593" t="n">
        <v>0</v>
      </c>
      <c r="K593" t="n">
        <v>0</v>
      </c>
      <c r="L593" t="n">
        <v>0</v>
      </c>
      <c r="M593" t="n">
        <v>0</v>
      </c>
      <c r="N593" t="n">
        <v>0</v>
      </c>
      <c r="O593" t="n">
        <v>0</v>
      </c>
      <c r="P593" t="n">
        <v>0</v>
      </c>
      <c r="Q593" t="n">
        <v>0</v>
      </c>
      <c r="R593" s="2" t="inlineStr"/>
    </row>
    <row r="594" ht="15" customHeight="1">
      <c r="A594" t="inlineStr">
        <is>
          <t>A 2999-2026</t>
        </is>
      </c>
      <c r="B594" s="1" t="n">
        <v>46038</v>
      </c>
      <c r="C594" s="1" t="n">
        <v>46177</v>
      </c>
      <c r="D594" t="inlineStr">
        <is>
          <t>DALARNAS LÄN</t>
        </is>
      </c>
      <c r="E594" t="inlineStr">
        <is>
          <t>ORSA</t>
        </is>
      </c>
      <c r="G594" t="n">
        <v>3.9</v>
      </c>
      <c r="H594" t="n">
        <v>0</v>
      </c>
      <c r="I594" t="n">
        <v>0</v>
      </c>
      <c r="J594" t="n">
        <v>0</v>
      </c>
      <c r="K594" t="n">
        <v>0</v>
      </c>
      <c r="L594" t="n">
        <v>0</v>
      </c>
      <c r="M594" t="n">
        <v>0</v>
      </c>
      <c r="N594" t="n">
        <v>0</v>
      </c>
      <c r="O594" t="n">
        <v>0</v>
      </c>
      <c r="P594" t="n">
        <v>0</v>
      </c>
      <c r="Q594" t="n">
        <v>0</v>
      </c>
      <c r="R594" s="2" t="inlineStr"/>
    </row>
    <row r="595" ht="15" customHeight="1">
      <c r="A595" t="inlineStr">
        <is>
          <t>A 7027-2026</t>
        </is>
      </c>
      <c r="B595" s="1" t="n">
        <v>46057.67493055556</v>
      </c>
      <c r="C595" s="1" t="n">
        <v>46177</v>
      </c>
      <c r="D595" t="inlineStr">
        <is>
          <t>DALARNAS LÄN</t>
        </is>
      </c>
      <c r="E595" t="inlineStr">
        <is>
          <t>ORSA</t>
        </is>
      </c>
      <c r="G595" t="n">
        <v>12.1</v>
      </c>
      <c r="H595" t="n">
        <v>0</v>
      </c>
      <c r="I595" t="n">
        <v>0</v>
      </c>
      <c r="J595" t="n">
        <v>0</v>
      </c>
      <c r="K595" t="n">
        <v>0</v>
      </c>
      <c r="L595" t="n">
        <v>0</v>
      </c>
      <c r="M595" t="n">
        <v>0</v>
      </c>
      <c r="N595" t="n">
        <v>0</v>
      </c>
      <c r="O595" t="n">
        <v>0</v>
      </c>
      <c r="P595" t="n">
        <v>0</v>
      </c>
      <c r="Q595" t="n">
        <v>0</v>
      </c>
      <c r="R595" s="2" t="inlineStr"/>
    </row>
    <row r="596" ht="15" customHeight="1">
      <c r="A596" t="inlineStr">
        <is>
          <t>A 6945-2026</t>
        </is>
      </c>
      <c r="B596" s="1" t="n">
        <v>46057.56788194444</v>
      </c>
      <c r="C596" s="1" t="n">
        <v>46177</v>
      </c>
      <c r="D596" t="inlineStr">
        <is>
          <t>DALARNAS LÄN</t>
        </is>
      </c>
      <c r="E596" t="inlineStr">
        <is>
          <t>ORSA</t>
        </is>
      </c>
      <c r="G596" t="n">
        <v>1.2</v>
      </c>
      <c r="H596" t="n">
        <v>0</v>
      </c>
      <c r="I596" t="n">
        <v>0</v>
      </c>
      <c r="J596" t="n">
        <v>0</v>
      </c>
      <c r="K596" t="n">
        <v>0</v>
      </c>
      <c r="L596" t="n">
        <v>0</v>
      </c>
      <c r="M596" t="n">
        <v>0</v>
      </c>
      <c r="N596" t="n">
        <v>0</v>
      </c>
      <c r="O596" t="n">
        <v>0</v>
      </c>
      <c r="P596" t="n">
        <v>0</v>
      </c>
      <c r="Q596" t="n">
        <v>0</v>
      </c>
      <c r="R596" s="2" t="inlineStr"/>
    </row>
    <row r="597" ht="15" customHeight="1">
      <c r="A597" t="inlineStr">
        <is>
          <t>A 7178-2026</t>
        </is>
      </c>
      <c r="B597" s="1" t="n">
        <v>46058.47203703703</v>
      </c>
      <c r="C597" s="1" t="n">
        <v>46177</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6993-2026</t>
        </is>
      </c>
      <c r="B598" s="1" t="n">
        <v>46057</v>
      </c>
      <c r="C598" s="1" t="n">
        <v>46177</v>
      </c>
      <c r="D598" t="inlineStr">
        <is>
          <t>DALARNAS LÄN</t>
        </is>
      </c>
      <c r="E598" t="inlineStr">
        <is>
          <t>ORSA</t>
        </is>
      </c>
      <c r="G598" t="n">
        <v>2.5</v>
      </c>
      <c r="H598" t="n">
        <v>0</v>
      </c>
      <c r="I598" t="n">
        <v>0</v>
      </c>
      <c r="J598" t="n">
        <v>0</v>
      </c>
      <c r="K598" t="n">
        <v>0</v>
      </c>
      <c r="L598" t="n">
        <v>0</v>
      </c>
      <c r="M598" t="n">
        <v>0</v>
      </c>
      <c r="N598" t="n">
        <v>0</v>
      </c>
      <c r="O598" t="n">
        <v>0</v>
      </c>
      <c r="P598" t="n">
        <v>0</v>
      </c>
      <c r="Q598" t="n">
        <v>0</v>
      </c>
      <c r="R598" s="2" t="inlineStr"/>
    </row>
    <row r="599" ht="15" customHeight="1">
      <c r="A599" t="inlineStr">
        <is>
          <t>A 7678-2026</t>
        </is>
      </c>
      <c r="B599" s="1" t="n">
        <v>46062</v>
      </c>
      <c r="C599" s="1" t="n">
        <v>46177</v>
      </c>
      <c r="D599" t="inlineStr">
        <is>
          <t>DALARNAS LÄN</t>
        </is>
      </c>
      <c r="E599" t="inlineStr">
        <is>
          <t>ORSA</t>
        </is>
      </c>
      <c r="G599" t="n">
        <v>2.2</v>
      </c>
      <c r="H599" t="n">
        <v>0</v>
      </c>
      <c r="I599" t="n">
        <v>0</v>
      </c>
      <c r="J599" t="n">
        <v>0</v>
      </c>
      <c r="K599" t="n">
        <v>0</v>
      </c>
      <c r="L599" t="n">
        <v>0</v>
      </c>
      <c r="M599" t="n">
        <v>0</v>
      </c>
      <c r="N599" t="n">
        <v>0</v>
      </c>
      <c r="O599" t="n">
        <v>0</v>
      </c>
      <c r="P599" t="n">
        <v>0</v>
      </c>
      <c r="Q599" t="n">
        <v>0</v>
      </c>
      <c r="R599" s="2" t="inlineStr"/>
    </row>
    <row r="600" ht="15" customHeight="1">
      <c r="A600" t="inlineStr">
        <is>
          <t>A 7775-2026</t>
        </is>
      </c>
      <c r="B600" s="1" t="n">
        <v>46062</v>
      </c>
      <c r="C600" s="1" t="n">
        <v>46177</v>
      </c>
      <c r="D600" t="inlineStr">
        <is>
          <t>DALARNAS LÄN</t>
        </is>
      </c>
      <c r="E600" t="inlineStr">
        <is>
          <t>ORSA</t>
        </is>
      </c>
      <c r="G600" t="n">
        <v>1.9</v>
      </c>
      <c r="H600" t="n">
        <v>0</v>
      </c>
      <c r="I600" t="n">
        <v>0</v>
      </c>
      <c r="J600" t="n">
        <v>0</v>
      </c>
      <c r="K600" t="n">
        <v>0</v>
      </c>
      <c r="L600" t="n">
        <v>0</v>
      </c>
      <c r="M600" t="n">
        <v>0</v>
      </c>
      <c r="N600" t="n">
        <v>0</v>
      </c>
      <c r="O600" t="n">
        <v>0</v>
      </c>
      <c r="P600" t="n">
        <v>0</v>
      </c>
      <c r="Q600" t="n">
        <v>0</v>
      </c>
      <c r="R600" s="2" t="inlineStr"/>
    </row>
    <row r="601" ht="15" customHeight="1">
      <c r="A601" t="inlineStr">
        <is>
          <t>A 7404-2026</t>
        </is>
      </c>
      <c r="B601" s="1" t="n">
        <v>46059.3959375</v>
      </c>
      <c r="C601" s="1" t="n">
        <v>46177</v>
      </c>
      <c r="D601" t="inlineStr">
        <is>
          <t>DALARNAS LÄN</t>
        </is>
      </c>
      <c r="E601" t="inlineStr">
        <is>
          <t>ORSA</t>
        </is>
      </c>
      <c r="G601" t="n">
        <v>3.8</v>
      </c>
      <c r="H601" t="n">
        <v>0</v>
      </c>
      <c r="I601" t="n">
        <v>0</v>
      </c>
      <c r="J601" t="n">
        <v>0</v>
      </c>
      <c r="K601" t="n">
        <v>0</v>
      </c>
      <c r="L601" t="n">
        <v>0</v>
      </c>
      <c r="M601" t="n">
        <v>0</v>
      </c>
      <c r="N601" t="n">
        <v>0</v>
      </c>
      <c r="O601" t="n">
        <v>0</v>
      </c>
      <c r="P601" t="n">
        <v>0</v>
      </c>
      <c r="Q601" t="n">
        <v>0</v>
      </c>
      <c r="R601" s="2" t="inlineStr"/>
    </row>
    <row r="602" ht="15" customHeight="1">
      <c r="A602" t="inlineStr">
        <is>
          <t>A 7964-2026</t>
        </is>
      </c>
      <c r="B602" s="1" t="n">
        <v>46063</v>
      </c>
      <c r="C602" s="1" t="n">
        <v>46177</v>
      </c>
      <c r="D602" t="inlineStr">
        <is>
          <t>DALARNAS LÄN</t>
        </is>
      </c>
      <c r="E602" t="inlineStr">
        <is>
          <t>ORSA</t>
        </is>
      </c>
      <c r="G602" t="n">
        <v>5.4</v>
      </c>
      <c r="H602" t="n">
        <v>0</v>
      </c>
      <c r="I602" t="n">
        <v>0</v>
      </c>
      <c r="J602" t="n">
        <v>0</v>
      </c>
      <c r="K602" t="n">
        <v>0</v>
      </c>
      <c r="L602" t="n">
        <v>0</v>
      </c>
      <c r="M602" t="n">
        <v>0</v>
      </c>
      <c r="N602" t="n">
        <v>0</v>
      </c>
      <c r="O602" t="n">
        <v>0</v>
      </c>
      <c r="P602" t="n">
        <v>0</v>
      </c>
      <c r="Q602" t="n">
        <v>0</v>
      </c>
      <c r="R602" s="2" t="inlineStr"/>
    </row>
    <row r="603" ht="15" customHeight="1">
      <c r="A603" t="inlineStr">
        <is>
          <t>A 7970-2026</t>
        </is>
      </c>
      <c r="B603" s="1" t="n">
        <v>46063</v>
      </c>
      <c r="C603" s="1" t="n">
        <v>46177</v>
      </c>
      <c r="D603" t="inlineStr">
        <is>
          <t>DALARNAS LÄN</t>
        </is>
      </c>
      <c r="E603" t="inlineStr">
        <is>
          <t>ORSA</t>
        </is>
      </c>
      <c r="G603" t="n">
        <v>0.7</v>
      </c>
      <c r="H603" t="n">
        <v>0</v>
      </c>
      <c r="I603" t="n">
        <v>0</v>
      </c>
      <c r="J603" t="n">
        <v>0</v>
      </c>
      <c r="K603" t="n">
        <v>0</v>
      </c>
      <c r="L603" t="n">
        <v>0</v>
      </c>
      <c r="M603" t="n">
        <v>0</v>
      </c>
      <c r="N603" t="n">
        <v>0</v>
      </c>
      <c r="O603" t="n">
        <v>0</v>
      </c>
      <c r="P603" t="n">
        <v>0</v>
      </c>
      <c r="Q603" t="n">
        <v>0</v>
      </c>
      <c r="R603" s="2" t="inlineStr"/>
    </row>
    <row r="604" ht="15" customHeight="1">
      <c r="A604" t="inlineStr">
        <is>
          <t>A 8725-2026</t>
        </is>
      </c>
      <c r="B604" s="1" t="n">
        <v>46066</v>
      </c>
      <c r="C604" s="1" t="n">
        <v>46177</v>
      </c>
      <c r="D604" t="inlineStr">
        <is>
          <t>DALARNAS LÄN</t>
        </is>
      </c>
      <c r="E604" t="inlineStr">
        <is>
          <t>ORSA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8807-2026</t>
        </is>
      </c>
      <c r="B605" s="1" t="n">
        <v>46066</v>
      </c>
      <c r="C605" s="1" t="n">
        <v>46177</v>
      </c>
      <c r="D605" t="inlineStr">
        <is>
          <t>DALARNAS LÄN</t>
        </is>
      </c>
      <c r="E605" t="inlineStr">
        <is>
          <t>ORSA</t>
        </is>
      </c>
      <c r="G605" t="n">
        <v>1.2</v>
      </c>
      <c r="H605" t="n">
        <v>0</v>
      </c>
      <c r="I605" t="n">
        <v>0</v>
      </c>
      <c r="J605" t="n">
        <v>0</v>
      </c>
      <c r="K605" t="n">
        <v>0</v>
      </c>
      <c r="L605" t="n">
        <v>0</v>
      </c>
      <c r="M605" t="n">
        <v>0</v>
      </c>
      <c r="N605" t="n">
        <v>0</v>
      </c>
      <c r="O605" t="n">
        <v>0</v>
      </c>
      <c r="P605" t="n">
        <v>0</v>
      </c>
      <c r="Q605" t="n">
        <v>0</v>
      </c>
      <c r="R605" s="2" t="inlineStr"/>
    </row>
    <row r="606" ht="15" customHeight="1">
      <c r="A606" t="inlineStr">
        <is>
          <t>A 9044-2026</t>
        </is>
      </c>
      <c r="B606" s="1" t="n">
        <v>46069</v>
      </c>
      <c r="C606" s="1" t="n">
        <v>46177</v>
      </c>
      <c r="D606" t="inlineStr">
        <is>
          <t>DALARNAS LÄN</t>
        </is>
      </c>
      <c r="E606" t="inlineStr">
        <is>
          <t>ORSA</t>
        </is>
      </c>
      <c r="G606" t="n">
        <v>2.5</v>
      </c>
      <c r="H606" t="n">
        <v>0</v>
      </c>
      <c r="I606" t="n">
        <v>0</v>
      </c>
      <c r="J606" t="n">
        <v>0</v>
      </c>
      <c r="K606" t="n">
        <v>0</v>
      </c>
      <c r="L606" t="n">
        <v>0</v>
      </c>
      <c r="M606" t="n">
        <v>0</v>
      </c>
      <c r="N606" t="n">
        <v>0</v>
      </c>
      <c r="O606" t="n">
        <v>0</v>
      </c>
      <c r="P606" t="n">
        <v>0</v>
      </c>
      <c r="Q606" t="n">
        <v>0</v>
      </c>
      <c r="R606" s="2" t="inlineStr"/>
    </row>
    <row r="607" ht="15" customHeight="1">
      <c r="A607" t="inlineStr">
        <is>
          <t>A 9116-2026</t>
        </is>
      </c>
      <c r="B607" s="1" t="n">
        <v>46069</v>
      </c>
      <c r="C607" s="1" t="n">
        <v>46177</v>
      </c>
      <c r="D607" t="inlineStr">
        <is>
          <t>DALARNAS LÄN</t>
        </is>
      </c>
      <c r="E607" t="inlineStr">
        <is>
          <t>ORSA</t>
        </is>
      </c>
      <c r="G607" t="n">
        <v>1</v>
      </c>
      <c r="H607" t="n">
        <v>0</v>
      </c>
      <c r="I607" t="n">
        <v>0</v>
      </c>
      <c r="J607" t="n">
        <v>0</v>
      </c>
      <c r="K607" t="n">
        <v>0</v>
      </c>
      <c r="L607" t="n">
        <v>0</v>
      </c>
      <c r="M607" t="n">
        <v>0</v>
      </c>
      <c r="N607" t="n">
        <v>0</v>
      </c>
      <c r="O607" t="n">
        <v>0</v>
      </c>
      <c r="P607" t="n">
        <v>0</v>
      </c>
      <c r="Q607" t="n">
        <v>0</v>
      </c>
      <c r="R607" s="2" t="inlineStr"/>
    </row>
    <row r="608" ht="15" customHeight="1">
      <c r="A608" t="inlineStr">
        <is>
          <t>A 9269-2026</t>
        </is>
      </c>
      <c r="B608" s="1" t="n">
        <v>46070.55048611111</v>
      </c>
      <c r="C608" s="1" t="n">
        <v>46177</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9503-2026</t>
        </is>
      </c>
      <c r="B609" s="1" t="n">
        <v>46071</v>
      </c>
      <c r="C609" s="1" t="n">
        <v>46177</v>
      </c>
      <c r="D609" t="inlineStr">
        <is>
          <t>DALARNAS LÄN</t>
        </is>
      </c>
      <c r="E609" t="inlineStr">
        <is>
          <t>ORSA</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9703-2026</t>
        </is>
      </c>
      <c r="B610" s="1" t="n">
        <v>46072</v>
      </c>
      <c r="C610" s="1" t="n">
        <v>46177</v>
      </c>
      <c r="D610" t="inlineStr">
        <is>
          <t>DALARNAS LÄN</t>
        </is>
      </c>
      <c r="E610" t="inlineStr">
        <is>
          <t>ORSA</t>
        </is>
      </c>
      <c r="F610" t="inlineStr">
        <is>
          <t>Bergvik skog öst AB</t>
        </is>
      </c>
      <c r="G610" t="n">
        <v>1.7</v>
      </c>
      <c r="H610" t="n">
        <v>0</v>
      </c>
      <c r="I610" t="n">
        <v>0</v>
      </c>
      <c r="J610" t="n">
        <v>0</v>
      </c>
      <c r="K610" t="n">
        <v>0</v>
      </c>
      <c r="L610" t="n">
        <v>0</v>
      </c>
      <c r="M610" t="n">
        <v>0</v>
      </c>
      <c r="N610" t="n">
        <v>0</v>
      </c>
      <c r="O610" t="n">
        <v>0</v>
      </c>
      <c r="P610" t="n">
        <v>0</v>
      </c>
      <c r="Q610" t="n">
        <v>0</v>
      </c>
      <c r="R610" s="2" t="inlineStr"/>
    </row>
    <row r="611" ht="15" customHeight="1">
      <c r="A611" t="inlineStr">
        <is>
          <t>A 9701-2026</t>
        </is>
      </c>
      <c r="B611" s="1" t="n">
        <v>46072</v>
      </c>
      <c r="C611" s="1" t="n">
        <v>46177</v>
      </c>
      <c r="D611" t="inlineStr">
        <is>
          <t>DALARNAS LÄN</t>
        </is>
      </c>
      <c r="E611" t="inlineStr">
        <is>
          <t>ORSA</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10195-2026</t>
        </is>
      </c>
      <c r="B612" s="1" t="n">
        <v>46076.4662962963</v>
      </c>
      <c r="C612" s="1" t="n">
        <v>46177</v>
      </c>
      <c r="D612" t="inlineStr">
        <is>
          <t>DALARNAS LÄN</t>
        </is>
      </c>
      <c r="E612" t="inlineStr">
        <is>
          <t>ORSA</t>
        </is>
      </c>
      <c r="G612" t="n">
        <v>2.1</v>
      </c>
      <c r="H612" t="n">
        <v>0</v>
      </c>
      <c r="I612" t="n">
        <v>0</v>
      </c>
      <c r="J612" t="n">
        <v>0</v>
      </c>
      <c r="K612" t="n">
        <v>0</v>
      </c>
      <c r="L612" t="n">
        <v>0</v>
      </c>
      <c r="M612" t="n">
        <v>0</v>
      </c>
      <c r="N612" t="n">
        <v>0</v>
      </c>
      <c r="O612" t="n">
        <v>0</v>
      </c>
      <c r="P612" t="n">
        <v>0</v>
      </c>
      <c r="Q612" t="n">
        <v>0</v>
      </c>
      <c r="R612" s="2" t="inlineStr"/>
    </row>
    <row r="613" ht="15" customHeight="1">
      <c r="A613" t="inlineStr">
        <is>
          <t>A 10205-2026</t>
        </is>
      </c>
      <c r="B613" s="1" t="n">
        <v>46076.47856481482</v>
      </c>
      <c r="C613" s="1" t="n">
        <v>46177</v>
      </c>
      <c r="D613" t="inlineStr">
        <is>
          <t>DALARNAS LÄN</t>
        </is>
      </c>
      <c r="E613" t="inlineStr">
        <is>
          <t>ORSA</t>
        </is>
      </c>
      <c r="G613" t="n">
        <v>0.8</v>
      </c>
      <c r="H613" t="n">
        <v>0</v>
      </c>
      <c r="I613" t="n">
        <v>0</v>
      </c>
      <c r="J613" t="n">
        <v>0</v>
      </c>
      <c r="K613" t="n">
        <v>0</v>
      </c>
      <c r="L613" t="n">
        <v>0</v>
      </c>
      <c r="M613" t="n">
        <v>0</v>
      </c>
      <c r="N613" t="n">
        <v>0</v>
      </c>
      <c r="O613" t="n">
        <v>0</v>
      </c>
      <c r="P613" t="n">
        <v>0</v>
      </c>
      <c r="Q613" t="n">
        <v>0</v>
      </c>
      <c r="R613" s="2" t="inlineStr"/>
    </row>
    <row r="614" ht="15" customHeight="1">
      <c r="A614" t="inlineStr">
        <is>
          <t>A 10210-2026</t>
        </is>
      </c>
      <c r="B614" s="1" t="n">
        <v>46076.48800925926</v>
      </c>
      <c r="C614" s="1" t="n">
        <v>46177</v>
      </c>
      <c r="D614" t="inlineStr">
        <is>
          <t>DALARNAS LÄN</t>
        </is>
      </c>
      <c r="E614" t="inlineStr">
        <is>
          <t>ORSA</t>
        </is>
      </c>
      <c r="G614" t="n">
        <v>0.7</v>
      </c>
      <c r="H614" t="n">
        <v>0</v>
      </c>
      <c r="I614" t="n">
        <v>0</v>
      </c>
      <c r="J614" t="n">
        <v>0</v>
      </c>
      <c r="K614" t="n">
        <v>0</v>
      </c>
      <c r="L614" t="n">
        <v>0</v>
      </c>
      <c r="M614" t="n">
        <v>0</v>
      </c>
      <c r="N614" t="n">
        <v>0</v>
      </c>
      <c r="O614" t="n">
        <v>0</v>
      </c>
      <c r="P614" t="n">
        <v>0</v>
      </c>
      <c r="Q614" t="n">
        <v>0</v>
      </c>
      <c r="R614" s="2" t="inlineStr"/>
    </row>
    <row r="615" ht="15" customHeight="1">
      <c r="A615" t="inlineStr">
        <is>
          <t>A 10442-2026</t>
        </is>
      </c>
      <c r="B615" s="1" t="n">
        <v>46077.41434027778</v>
      </c>
      <c r="C615" s="1" t="n">
        <v>46177</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10506-2026</t>
        </is>
      </c>
      <c r="B616" s="1" t="n">
        <v>46077.55996527777</v>
      </c>
      <c r="C616" s="1" t="n">
        <v>46177</v>
      </c>
      <c r="D616" t="inlineStr">
        <is>
          <t>DALARNAS LÄN</t>
        </is>
      </c>
      <c r="E616" t="inlineStr">
        <is>
          <t>ORSA</t>
        </is>
      </c>
      <c r="G616" t="n">
        <v>1.7</v>
      </c>
      <c r="H616" t="n">
        <v>0</v>
      </c>
      <c r="I616" t="n">
        <v>0</v>
      </c>
      <c r="J616" t="n">
        <v>0</v>
      </c>
      <c r="K616" t="n">
        <v>0</v>
      </c>
      <c r="L616" t="n">
        <v>0</v>
      </c>
      <c r="M616" t="n">
        <v>0</v>
      </c>
      <c r="N616" t="n">
        <v>0</v>
      </c>
      <c r="O616" t="n">
        <v>0</v>
      </c>
      <c r="P616" t="n">
        <v>0</v>
      </c>
      <c r="Q616" t="n">
        <v>0</v>
      </c>
      <c r="R616" s="2" t="inlineStr"/>
    </row>
    <row r="617" ht="15" customHeight="1">
      <c r="A617" t="inlineStr">
        <is>
          <t>A 10513-2026</t>
        </is>
      </c>
      <c r="B617" s="1" t="n">
        <v>46077.57217592592</v>
      </c>
      <c r="C617" s="1" t="n">
        <v>46177</v>
      </c>
      <c r="D617" t="inlineStr">
        <is>
          <t>DALARNAS LÄN</t>
        </is>
      </c>
      <c r="E617" t="inlineStr">
        <is>
          <t>ORSA</t>
        </is>
      </c>
      <c r="G617" t="n">
        <v>0.7</v>
      </c>
      <c r="H617" t="n">
        <v>0</v>
      </c>
      <c r="I617" t="n">
        <v>0</v>
      </c>
      <c r="J617" t="n">
        <v>0</v>
      </c>
      <c r="K617" t="n">
        <v>0</v>
      </c>
      <c r="L617" t="n">
        <v>0</v>
      </c>
      <c r="M617" t="n">
        <v>0</v>
      </c>
      <c r="N617" t="n">
        <v>0</v>
      </c>
      <c r="O617" t="n">
        <v>0</v>
      </c>
      <c r="P617" t="n">
        <v>0</v>
      </c>
      <c r="Q617" t="n">
        <v>0</v>
      </c>
      <c r="R617" s="2" t="inlineStr"/>
    </row>
    <row r="618" ht="15" customHeight="1">
      <c r="A618" t="inlineStr">
        <is>
          <t>A 10202-2026</t>
        </is>
      </c>
      <c r="B618" s="1" t="n">
        <v>46076.47400462963</v>
      </c>
      <c r="C618" s="1" t="n">
        <v>46177</v>
      </c>
      <c r="D618" t="inlineStr">
        <is>
          <t>DALARNAS LÄN</t>
        </is>
      </c>
      <c r="E618" t="inlineStr">
        <is>
          <t>ORSA</t>
        </is>
      </c>
      <c r="G618" t="n">
        <v>2.1</v>
      </c>
      <c r="H618" t="n">
        <v>0</v>
      </c>
      <c r="I618" t="n">
        <v>0</v>
      </c>
      <c r="J618" t="n">
        <v>0</v>
      </c>
      <c r="K618" t="n">
        <v>0</v>
      </c>
      <c r="L618" t="n">
        <v>0</v>
      </c>
      <c r="M618" t="n">
        <v>0</v>
      </c>
      <c r="N618" t="n">
        <v>0</v>
      </c>
      <c r="O618" t="n">
        <v>0</v>
      </c>
      <c r="P618" t="n">
        <v>0</v>
      </c>
      <c r="Q618" t="n">
        <v>0</v>
      </c>
      <c r="R618" s="2" t="inlineStr"/>
    </row>
    <row r="619" ht="15" customHeight="1">
      <c r="A619" t="inlineStr">
        <is>
          <t>A 10561-2026</t>
        </is>
      </c>
      <c r="B619" s="1" t="n">
        <v>46077</v>
      </c>
      <c r="C619" s="1" t="n">
        <v>46177</v>
      </c>
      <c r="D619" t="inlineStr">
        <is>
          <t>DALARNAS LÄN</t>
        </is>
      </c>
      <c r="E619" t="inlineStr">
        <is>
          <t>ORSA</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10564-2026</t>
        </is>
      </c>
      <c r="B620" s="1" t="n">
        <v>46077</v>
      </c>
      <c r="C620" s="1" t="n">
        <v>46177</v>
      </c>
      <c r="D620" t="inlineStr">
        <is>
          <t>DALARNAS LÄN</t>
        </is>
      </c>
      <c r="E620" t="inlineStr">
        <is>
          <t>ORSA</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10065-2026</t>
        </is>
      </c>
      <c r="B621" s="1" t="n">
        <v>46073</v>
      </c>
      <c r="C621" s="1" t="n">
        <v>46177</v>
      </c>
      <c r="D621" t="inlineStr">
        <is>
          <t>DALARNAS LÄN</t>
        </is>
      </c>
      <c r="E621" t="inlineStr">
        <is>
          <t>ORSA</t>
        </is>
      </c>
      <c r="G621" t="n">
        <v>1.1</v>
      </c>
      <c r="H621" t="n">
        <v>0</v>
      </c>
      <c r="I621" t="n">
        <v>0</v>
      </c>
      <c r="J621" t="n">
        <v>0</v>
      </c>
      <c r="K621" t="n">
        <v>0</v>
      </c>
      <c r="L621" t="n">
        <v>0</v>
      </c>
      <c r="M621" t="n">
        <v>0</v>
      </c>
      <c r="N621" t="n">
        <v>0</v>
      </c>
      <c r="O621" t="n">
        <v>0</v>
      </c>
      <c r="P621" t="n">
        <v>0</v>
      </c>
      <c r="Q621" t="n">
        <v>0</v>
      </c>
      <c r="R621" s="2" t="inlineStr"/>
    </row>
    <row r="622" ht="15" customHeight="1">
      <c r="A622" t="inlineStr">
        <is>
          <t>A 10574-2026</t>
        </is>
      </c>
      <c r="B622" s="1" t="n">
        <v>46077.66027777778</v>
      </c>
      <c r="C622" s="1" t="n">
        <v>46177</v>
      </c>
      <c r="D622" t="inlineStr">
        <is>
          <t>DALARNAS LÄN</t>
        </is>
      </c>
      <c r="E622" t="inlineStr">
        <is>
          <t>ORSA</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10206-2026</t>
        </is>
      </c>
      <c r="B623" s="1" t="n">
        <v>46076.48180555556</v>
      </c>
      <c r="C623" s="1" t="n">
        <v>46177</v>
      </c>
      <c r="D623" t="inlineStr">
        <is>
          <t>DALARNAS LÄN</t>
        </is>
      </c>
      <c r="E623" t="inlineStr">
        <is>
          <t>ORSA</t>
        </is>
      </c>
      <c r="G623" t="n">
        <v>1.1</v>
      </c>
      <c r="H623" t="n">
        <v>0</v>
      </c>
      <c r="I623" t="n">
        <v>0</v>
      </c>
      <c r="J623" t="n">
        <v>0</v>
      </c>
      <c r="K623" t="n">
        <v>0</v>
      </c>
      <c r="L623" t="n">
        <v>0</v>
      </c>
      <c r="M623" t="n">
        <v>0</v>
      </c>
      <c r="N623" t="n">
        <v>0</v>
      </c>
      <c r="O623" t="n">
        <v>0</v>
      </c>
      <c r="P623" t="n">
        <v>0</v>
      </c>
      <c r="Q623" t="n">
        <v>0</v>
      </c>
      <c r="R623" s="2" t="inlineStr"/>
    </row>
    <row r="624" ht="15" customHeight="1">
      <c r="A624" t="inlineStr">
        <is>
          <t>A 10209-2026</t>
        </is>
      </c>
      <c r="B624" s="1" t="n">
        <v>46076.48559027778</v>
      </c>
      <c r="C624" s="1" t="n">
        <v>46177</v>
      </c>
      <c r="D624" t="inlineStr">
        <is>
          <t>DALARNAS LÄN</t>
        </is>
      </c>
      <c r="E624" t="inlineStr">
        <is>
          <t>ORSA</t>
        </is>
      </c>
      <c r="G624" t="n">
        <v>0.6</v>
      </c>
      <c r="H624" t="n">
        <v>0</v>
      </c>
      <c r="I624" t="n">
        <v>0</v>
      </c>
      <c r="J624" t="n">
        <v>0</v>
      </c>
      <c r="K624" t="n">
        <v>0</v>
      </c>
      <c r="L624" t="n">
        <v>0</v>
      </c>
      <c r="M624" t="n">
        <v>0</v>
      </c>
      <c r="N624" t="n">
        <v>0</v>
      </c>
      <c r="O624" t="n">
        <v>0</v>
      </c>
      <c r="P624" t="n">
        <v>0</v>
      </c>
      <c r="Q624" t="n">
        <v>0</v>
      </c>
      <c r="R624" s="2" t="inlineStr"/>
    </row>
    <row r="625" ht="15" customHeight="1">
      <c r="A625" t="inlineStr">
        <is>
          <t>A 10525-2026</t>
        </is>
      </c>
      <c r="B625" s="1" t="n">
        <v>46077.58356481481</v>
      </c>
      <c r="C625" s="1" t="n">
        <v>46177</v>
      </c>
      <c r="D625" t="inlineStr">
        <is>
          <t>DALARNAS LÄN</t>
        </is>
      </c>
      <c r="E625" t="inlineStr">
        <is>
          <t>ORSA</t>
        </is>
      </c>
      <c r="G625" t="n">
        <v>1</v>
      </c>
      <c r="H625" t="n">
        <v>0</v>
      </c>
      <c r="I625" t="n">
        <v>0</v>
      </c>
      <c r="J625" t="n">
        <v>0</v>
      </c>
      <c r="K625" t="n">
        <v>0</v>
      </c>
      <c r="L625" t="n">
        <v>0</v>
      </c>
      <c r="M625" t="n">
        <v>0</v>
      </c>
      <c r="N625" t="n">
        <v>0</v>
      </c>
      <c r="O625" t="n">
        <v>0</v>
      </c>
      <c r="P625" t="n">
        <v>0</v>
      </c>
      <c r="Q625" t="n">
        <v>0</v>
      </c>
      <c r="R625" s="2" t="inlineStr"/>
    </row>
    <row r="626" ht="15" customHeight="1">
      <c r="A626" t="inlineStr">
        <is>
          <t>A 10579-2026</t>
        </is>
      </c>
      <c r="B626" s="1" t="n">
        <v>46077</v>
      </c>
      <c r="C626" s="1" t="n">
        <v>46177</v>
      </c>
      <c r="D626" t="inlineStr">
        <is>
          <t>DALARNAS LÄN</t>
        </is>
      </c>
      <c r="E626" t="inlineStr">
        <is>
          <t>ORSA</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9977-2026</t>
        </is>
      </c>
      <c r="B627" s="1" t="n">
        <v>46073</v>
      </c>
      <c r="C627" s="1" t="n">
        <v>46177</v>
      </c>
      <c r="D627" t="inlineStr">
        <is>
          <t>DALARNAS LÄN</t>
        </is>
      </c>
      <c r="E627" t="inlineStr">
        <is>
          <t>ORSA</t>
        </is>
      </c>
      <c r="F627" t="inlineStr">
        <is>
          <t>Bergvik skog öst AB</t>
        </is>
      </c>
      <c r="G627" t="n">
        <v>1.5</v>
      </c>
      <c r="H627" t="n">
        <v>0</v>
      </c>
      <c r="I627" t="n">
        <v>0</v>
      </c>
      <c r="J627" t="n">
        <v>0</v>
      </c>
      <c r="K627" t="n">
        <v>0</v>
      </c>
      <c r="L627" t="n">
        <v>0</v>
      </c>
      <c r="M627" t="n">
        <v>0</v>
      </c>
      <c r="N627" t="n">
        <v>0</v>
      </c>
      <c r="O627" t="n">
        <v>0</v>
      </c>
      <c r="P627" t="n">
        <v>0</v>
      </c>
      <c r="Q627" t="n">
        <v>0</v>
      </c>
      <c r="R627" s="2" t="inlineStr"/>
    </row>
    <row r="628" ht="15" customHeight="1">
      <c r="A628" t="inlineStr">
        <is>
          <t>A 10035-2026</t>
        </is>
      </c>
      <c r="B628" s="1" t="n">
        <v>46073</v>
      </c>
      <c r="C628" s="1" t="n">
        <v>46177</v>
      </c>
      <c r="D628" t="inlineStr">
        <is>
          <t>DALARNAS LÄN</t>
        </is>
      </c>
      <c r="E628" t="inlineStr">
        <is>
          <t>ORSA</t>
        </is>
      </c>
      <c r="F628" t="inlineStr">
        <is>
          <t>Bergvik skog öst AB</t>
        </is>
      </c>
      <c r="G628" t="n">
        <v>19.6</v>
      </c>
      <c r="H628" t="n">
        <v>0</v>
      </c>
      <c r="I628" t="n">
        <v>0</v>
      </c>
      <c r="J628" t="n">
        <v>0</v>
      </c>
      <c r="K628" t="n">
        <v>0</v>
      </c>
      <c r="L628" t="n">
        <v>0</v>
      </c>
      <c r="M628" t="n">
        <v>0</v>
      </c>
      <c r="N628" t="n">
        <v>0</v>
      </c>
      <c r="O628" t="n">
        <v>0</v>
      </c>
      <c r="P628" t="n">
        <v>0</v>
      </c>
      <c r="Q628" t="n">
        <v>0</v>
      </c>
      <c r="R628" s="2" t="inlineStr"/>
    </row>
    <row r="629" ht="15" customHeight="1">
      <c r="A629" t="inlineStr">
        <is>
          <t>A 10653-2026</t>
        </is>
      </c>
      <c r="B629" s="1" t="n">
        <v>46078</v>
      </c>
      <c r="C629" s="1" t="n">
        <v>46177</v>
      </c>
      <c r="D629" t="inlineStr">
        <is>
          <t>DALARNAS LÄN</t>
        </is>
      </c>
      <c r="E629" t="inlineStr">
        <is>
          <t>ORSA</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10784-2026</t>
        </is>
      </c>
      <c r="B630" s="1" t="n">
        <v>46078.57954861111</v>
      </c>
      <c r="C630" s="1" t="n">
        <v>46177</v>
      </c>
      <c r="D630" t="inlineStr">
        <is>
          <t>DALARNAS LÄN</t>
        </is>
      </c>
      <c r="E630" t="inlineStr">
        <is>
          <t>ORSA</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10768-2026</t>
        </is>
      </c>
      <c r="B631" s="1" t="n">
        <v>46078.56763888889</v>
      </c>
      <c r="C631" s="1" t="n">
        <v>46177</v>
      </c>
      <c r="D631" t="inlineStr">
        <is>
          <t>DALARNAS LÄN</t>
        </is>
      </c>
      <c r="E631" t="inlineStr">
        <is>
          <t>ORSA</t>
        </is>
      </c>
      <c r="F631" t="inlineStr">
        <is>
          <t>Övriga Aktiebolag</t>
        </is>
      </c>
      <c r="G631" t="n">
        <v>1</v>
      </c>
      <c r="H631" t="n">
        <v>0</v>
      </c>
      <c r="I631" t="n">
        <v>0</v>
      </c>
      <c r="J631" t="n">
        <v>0</v>
      </c>
      <c r="K631" t="n">
        <v>0</v>
      </c>
      <c r="L631" t="n">
        <v>0</v>
      </c>
      <c r="M631" t="n">
        <v>0</v>
      </c>
      <c r="N631" t="n">
        <v>0</v>
      </c>
      <c r="O631" t="n">
        <v>0</v>
      </c>
      <c r="P631" t="n">
        <v>0</v>
      </c>
      <c r="Q631" t="n">
        <v>0</v>
      </c>
      <c r="R631" s="2" t="inlineStr"/>
    </row>
    <row r="632" ht="15" customHeight="1">
      <c r="A632" t="inlineStr">
        <is>
          <t>A 64133-2025</t>
        </is>
      </c>
      <c r="B632" s="1" t="n">
        <v>46022</v>
      </c>
      <c r="C632" s="1" t="n">
        <v>46177</v>
      </c>
      <c r="D632" t="inlineStr">
        <is>
          <t>DALARNAS LÄN</t>
        </is>
      </c>
      <c r="E632" t="inlineStr">
        <is>
          <t>ORSA</t>
        </is>
      </c>
      <c r="G632" t="n">
        <v>3.8</v>
      </c>
      <c r="H632" t="n">
        <v>0</v>
      </c>
      <c r="I632" t="n">
        <v>0</v>
      </c>
      <c r="J632" t="n">
        <v>0</v>
      </c>
      <c r="K632" t="n">
        <v>0</v>
      </c>
      <c r="L632" t="n">
        <v>0</v>
      </c>
      <c r="M632" t="n">
        <v>0</v>
      </c>
      <c r="N632" t="n">
        <v>0</v>
      </c>
      <c r="O632" t="n">
        <v>0</v>
      </c>
      <c r="P632" t="n">
        <v>0</v>
      </c>
      <c r="Q632" t="n">
        <v>0</v>
      </c>
      <c r="R632" s="2" t="inlineStr"/>
    </row>
    <row r="633" ht="15" customHeight="1">
      <c r="A633" t="inlineStr">
        <is>
          <t>A 10481-2026</t>
        </is>
      </c>
      <c r="B633" s="1" t="n">
        <v>46077</v>
      </c>
      <c r="C633" s="1" t="n">
        <v>46177</v>
      </c>
      <c r="D633" t="inlineStr">
        <is>
          <t>DALARNAS LÄN</t>
        </is>
      </c>
      <c r="E633" t="inlineStr">
        <is>
          <t>ORSA</t>
        </is>
      </c>
      <c r="F633" t="inlineStr">
        <is>
          <t>Bergvik skog öst AB</t>
        </is>
      </c>
      <c r="G633" t="n">
        <v>11.1</v>
      </c>
      <c r="H633" t="n">
        <v>0</v>
      </c>
      <c r="I633" t="n">
        <v>0</v>
      </c>
      <c r="J633" t="n">
        <v>0</v>
      </c>
      <c r="K633" t="n">
        <v>0</v>
      </c>
      <c r="L633" t="n">
        <v>0</v>
      </c>
      <c r="M633" t="n">
        <v>0</v>
      </c>
      <c r="N633" t="n">
        <v>0</v>
      </c>
      <c r="O633" t="n">
        <v>0</v>
      </c>
      <c r="P633" t="n">
        <v>0</v>
      </c>
      <c r="Q633" t="n">
        <v>0</v>
      </c>
      <c r="R633" s="2" t="inlineStr"/>
    </row>
    <row r="634" ht="15" customHeight="1">
      <c r="A634" t="inlineStr">
        <is>
          <t>A 18846-2026</t>
        </is>
      </c>
      <c r="B634" s="1" t="n">
        <v>46129</v>
      </c>
      <c r="C634" s="1" t="n">
        <v>46177</v>
      </c>
      <c r="D634" t="inlineStr">
        <is>
          <t>DALARNAS LÄN</t>
        </is>
      </c>
      <c r="E634" t="inlineStr">
        <is>
          <t>ORSA</t>
        </is>
      </c>
      <c r="F634" t="inlineStr">
        <is>
          <t>Bergvik skog öst AB</t>
        </is>
      </c>
      <c r="G634" t="n">
        <v>11.7</v>
      </c>
      <c r="H634" t="n">
        <v>0</v>
      </c>
      <c r="I634" t="n">
        <v>0</v>
      </c>
      <c r="J634" t="n">
        <v>0</v>
      </c>
      <c r="K634" t="n">
        <v>0</v>
      </c>
      <c r="L634" t="n">
        <v>0</v>
      </c>
      <c r="M634" t="n">
        <v>0</v>
      </c>
      <c r="N634" t="n">
        <v>0</v>
      </c>
      <c r="O634" t="n">
        <v>0</v>
      </c>
      <c r="P634" t="n">
        <v>0</v>
      </c>
      <c r="Q634" t="n">
        <v>0</v>
      </c>
      <c r="R634" s="2" t="inlineStr"/>
    </row>
    <row r="635" ht="15" customHeight="1">
      <c r="A635" t="inlineStr">
        <is>
          <t>A 12678-2026</t>
        </is>
      </c>
      <c r="B635" s="1" t="n">
        <v>46091.54976851852</v>
      </c>
      <c r="C635" s="1" t="n">
        <v>46177</v>
      </c>
      <c r="D635" t="inlineStr">
        <is>
          <t>DALARNAS LÄN</t>
        </is>
      </c>
      <c r="E635" t="inlineStr">
        <is>
          <t>ORSA</t>
        </is>
      </c>
      <c r="F635" t="inlineStr">
        <is>
          <t>Allmännings- och besparingsskogar</t>
        </is>
      </c>
      <c r="G635" t="n">
        <v>0.6</v>
      </c>
      <c r="H635" t="n">
        <v>0</v>
      </c>
      <c r="I635" t="n">
        <v>0</v>
      </c>
      <c r="J635" t="n">
        <v>0</v>
      </c>
      <c r="K635" t="n">
        <v>0</v>
      </c>
      <c r="L635" t="n">
        <v>0</v>
      </c>
      <c r="M635" t="n">
        <v>0</v>
      </c>
      <c r="N635" t="n">
        <v>0</v>
      </c>
      <c r="O635" t="n">
        <v>0</v>
      </c>
      <c r="P635" t="n">
        <v>0</v>
      </c>
      <c r="Q635" t="n">
        <v>0</v>
      </c>
      <c r="R635" s="2" t="inlineStr"/>
    </row>
    <row r="636" ht="15" customHeight="1">
      <c r="A636" t="inlineStr">
        <is>
          <t>A 12404-2026</t>
        </is>
      </c>
      <c r="B636" s="1" t="n">
        <v>46090.40299768518</v>
      </c>
      <c r="C636" s="1" t="n">
        <v>46177</v>
      </c>
      <c r="D636" t="inlineStr">
        <is>
          <t>DALARNAS LÄN</t>
        </is>
      </c>
      <c r="E636" t="inlineStr">
        <is>
          <t>ORSA</t>
        </is>
      </c>
      <c r="G636" t="n">
        <v>1.3</v>
      </c>
      <c r="H636" t="n">
        <v>0</v>
      </c>
      <c r="I636" t="n">
        <v>0</v>
      </c>
      <c r="J636" t="n">
        <v>0</v>
      </c>
      <c r="K636" t="n">
        <v>0</v>
      </c>
      <c r="L636" t="n">
        <v>0</v>
      </c>
      <c r="M636" t="n">
        <v>0</v>
      </c>
      <c r="N636" t="n">
        <v>0</v>
      </c>
      <c r="O636" t="n">
        <v>0</v>
      </c>
      <c r="P636" t="n">
        <v>0</v>
      </c>
      <c r="Q636" t="n">
        <v>0</v>
      </c>
      <c r="R636" s="2" t="inlineStr"/>
    </row>
    <row r="637" ht="15" customHeight="1">
      <c r="A637" t="inlineStr">
        <is>
          <t>A 12677-2026</t>
        </is>
      </c>
      <c r="B637" s="1" t="n">
        <v>46091.54840277778</v>
      </c>
      <c r="C637" s="1" t="n">
        <v>46177</v>
      </c>
      <c r="D637" t="inlineStr">
        <is>
          <t>DALARNAS LÄN</t>
        </is>
      </c>
      <c r="E637" t="inlineStr">
        <is>
          <t>ORSA</t>
        </is>
      </c>
      <c r="F637" t="inlineStr">
        <is>
          <t>Allmännings- och besparingsskogar</t>
        </is>
      </c>
      <c r="G637" t="n">
        <v>0.8</v>
      </c>
      <c r="H637" t="n">
        <v>0</v>
      </c>
      <c r="I637" t="n">
        <v>0</v>
      </c>
      <c r="J637" t="n">
        <v>0</v>
      </c>
      <c r="K637" t="n">
        <v>0</v>
      </c>
      <c r="L637" t="n">
        <v>0</v>
      </c>
      <c r="M637" t="n">
        <v>0</v>
      </c>
      <c r="N637" t="n">
        <v>0</v>
      </c>
      <c r="O637" t="n">
        <v>0</v>
      </c>
      <c r="P637" t="n">
        <v>0</v>
      </c>
      <c r="Q637" t="n">
        <v>0</v>
      </c>
      <c r="R637" s="2" t="inlineStr"/>
    </row>
    <row r="638" ht="15" customHeight="1">
      <c r="A638" t="inlineStr">
        <is>
          <t>A 12805-2026</t>
        </is>
      </c>
      <c r="B638" s="1" t="n">
        <v>46092</v>
      </c>
      <c r="C638" s="1" t="n">
        <v>46177</v>
      </c>
      <c r="D638" t="inlineStr">
        <is>
          <t>DALARNAS LÄN</t>
        </is>
      </c>
      <c r="E638" t="inlineStr">
        <is>
          <t>ORSA</t>
        </is>
      </c>
      <c r="G638" t="n">
        <v>0.6</v>
      </c>
      <c r="H638" t="n">
        <v>0</v>
      </c>
      <c r="I638" t="n">
        <v>0</v>
      </c>
      <c r="J638" t="n">
        <v>0</v>
      </c>
      <c r="K638" t="n">
        <v>0</v>
      </c>
      <c r="L638" t="n">
        <v>0</v>
      </c>
      <c r="M638" t="n">
        <v>0</v>
      </c>
      <c r="N638" t="n">
        <v>0</v>
      </c>
      <c r="O638" t="n">
        <v>0</v>
      </c>
      <c r="P638" t="n">
        <v>0</v>
      </c>
      <c r="Q638" t="n">
        <v>0</v>
      </c>
      <c r="R638" s="2" t="inlineStr"/>
    </row>
    <row r="639" ht="15" customHeight="1">
      <c r="A639" t="inlineStr">
        <is>
          <t>A 12800-2026</t>
        </is>
      </c>
      <c r="B639" s="1" t="n">
        <v>46092</v>
      </c>
      <c r="C639" s="1" t="n">
        <v>46177</v>
      </c>
      <c r="D639" t="inlineStr">
        <is>
          <t>DALARNAS LÄN</t>
        </is>
      </c>
      <c r="E639" t="inlineStr">
        <is>
          <t>ORSA</t>
        </is>
      </c>
      <c r="G639" t="n">
        <v>1.6</v>
      </c>
      <c r="H639" t="n">
        <v>0</v>
      </c>
      <c r="I639" t="n">
        <v>0</v>
      </c>
      <c r="J639" t="n">
        <v>0</v>
      </c>
      <c r="K639" t="n">
        <v>0</v>
      </c>
      <c r="L639" t="n">
        <v>0</v>
      </c>
      <c r="M639" t="n">
        <v>0</v>
      </c>
      <c r="N639" t="n">
        <v>0</v>
      </c>
      <c r="O639" t="n">
        <v>0</v>
      </c>
      <c r="P639" t="n">
        <v>0</v>
      </c>
      <c r="Q639" t="n">
        <v>0</v>
      </c>
      <c r="R639" s="2" t="inlineStr"/>
    </row>
    <row r="640" ht="15" customHeight="1">
      <c r="A640" t="inlineStr">
        <is>
          <t>A 19891-2026</t>
        </is>
      </c>
      <c r="B640" s="1" t="n">
        <v>46135.70008101852</v>
      </c>
      <c r="C640" s="1" t="n">
        <v>46177</v>
      </c>
      <c r="D640" t="inlineStr">
        <is>
          <t>DALARNAS LÄN</t>
        </is>
      </c>
      <c r="E640" t="inlineStr">
        <is>
          <t>ORSA</t>
        </is>
      </c>
      <c r="F640" t="inlineStr">
        <is>
          <t>Bergvik skog öst AB</t>
        </is>
      </c>
      <c r="G640" t="n">
        <v>10</v>
      </c>
      <c r="H640" t="n">
        <v>0</v>
      </c>
      <c r="I640" t="n">
        <v>0</v>
      </c>
      <c r="J640" t="n">
        <v>0</v>
      </c>
      <c r="K640" t="n">
        <v>0</v>
      </c>
      <c r="L640" t="n">
        <v>0</v>
      </c>
      <c r="M640" t="n">
        <v>0</v>
      </c>
      <c r="N640" t="n">
        <v>0</v>
      </c>
      <c r="O640" t="n">
        <v>0</v>
      </c>
      <c r="P640" t="n">
        <v>0</v>
      </c>
      <c r="Q640" t="n">
        <v>0</v>
      </c>
      <c r="R640" s="2" t="inlineStr"/>
    </row>
    <row r="641" ht="15" customHeight="1">
      <c r="A641" t="inlineStr">
        <is>
          <t>A 10045-2026</t>
        </is>
      </c>
      <c r="B641" s="1" t="n">
        <v>46073</v>
      </c>
      <c r="C641" s="1" t="n">
        <v>46177</v>
      </c>
      <c r="D641" t="inlineStr">
        <is>
          <t>DALARNAS LÄN</t>
        </is>
      </c>
      <c r="E641" t="inlineStr">
        <is>
          <t>ORSA</t>
        </is>
      </c>
      <c r="F641" t="inlineStr">
        <is>
          <t>Bergvik skog öst AB</t>
        </is>
      </c>
      <c r="G641" t="n">
        <v>3.1</v>
      </c>
      <c r="H641" t="n">
        <v>0</v>
      </c>
      <c r="I641" t="n">
        <v>0</v>
      </c>
      <c r="J641" t="n">
        <v>0</v>
      </c>
      <c r="K641" t="n">
        <v>0</v>
      </c>
      <c r="L641" t="n">
        <v>0</v>
      </c>
      <c r="M641" t="n">
        <v>0</v>
      </c>
      <c r="N641" t="n">
        <v>0</v>
      </c>
      <c r="O641" t="n">
        <v>0</v>
      </c>
      <c r="P641" t="n">
        <v>0</v>
      </c>
      <c r="Q641" t="n">
        <v>0</v>
      </c>
      <c r="R641" s="2" t="inlineStr"/>
    </row>
    <row r="642" ht="15" customHeight="1">
      <c r="A642" t="inlineStr">
        <is>
          <t>A 13257-2026</t>
        </is>
      </c>
      <c r="B642" s="1" t="n">
        <v>46093</v>
      </c>
      <c r="C642" s="1" t="n">
        <v>46177</v>
      </c>
      <c r="D642" t="inlineStr">
        <is>
          <t>DALARNAS LÄN</t>
        </is>
      </c>
      <c r="E642" t="inlineStr">
        <is>
          <t>ORSA</t>
        </is>
      </c>
      <c r="G642" t="n">
        <v>1.3</v>
      </c>
      <c r="H642" t="n">
        <v>0</v>
      </c>
      <c r="I642" t="n">
        <v>0</v>
      </c>
      <c r="J642" t="n">
        <v>0</v>
      </c>
      <c r="K642" t="n">
        <v>0</v>
      </c>
      <c r="L642" t="n">
        <v>0</v>
      </c>
      <c r="M642" t="n">
        <v>0</v>
      </c>
      <c r="N642" t="n">
        <v>0</v>
      </c>
      <c r="O642" t="n">
        <v>0</v>
      </c>
      <c r="P642" t="n">
        <v>0</v>
      </c>
      <c r="Q642" t="n">
        <v>0</v>
      </c>
      <c r="R642" s="2" t="inlineStr"/>
    </row>
    <row r="643" ht="15" customHeight="1">
      <c r="A643" t="inlineStr">
        <is>
          <t>A 10019-2026</t>
        </is>
      </c>
      <c r="B643" s="1" t="n">
        <v>46073</v>
      </c>
      <c r="C643" s="1" t="n">
        <v>46177</v>
      </c>
      <c r="D643" t="inlineStr">
        <is>
          <t>DALARNAS LÄN</t>
        </is>
      </c>
      <c r="E643" t="inlineStr">
        <is>
          <t>ORSA</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9963-2026</t>
        </is>
      </c>
      <c r="B644" s="1" t="n">
        <v>46073</v>
      </c>
      <c r="C644" s="1" t="n">
        <v>46177</v>
      </c>
      <c r="D644" t="inlineStr">
        <is>
          <t>DALARNAS LÄN</t>
        </is>
      </c>
      <c r="E644" t="inlineStr">
        <is>
          <t>ORSA</t>
        </is>
      </c>
      <c r="F644" t="inlineStr">
        <is>
          <t>Bergvik skog öst AB</t>
        </is>
      </c>
      <c r="G644" t="n">
        <v>17</v>
      </c>
      <c r="H644" t="n">
        <v>0</v>
      </c>
      <c r="I644" t="n">
        <v>0</v>
      </c>
      <c r="J644" t="n">
        <v>0</v>
      </c>
      <c r="K644" t="n">
        <v>0</v>
      </c>
      <c r="L644" t="n">
        <v>0</v>
      </c>
      <c r="M644" t="n">
        <v>0</v>
      </c>
      <c r="N644" t="n">
        <v>0</v>
      </c>
      <c r="O644" t="n">
        <v>0</v>
      </c>
      <c r="P644" t="n">
        <v>0</v>
      </c>
      <c r="Q644" t="n">
        <v>0</v>
      </c>
      <c r="R644" s="2" t="inlineStr"/>
    </row>
    <row r="645" ht="15" customHeight="1">
      <c r="A645" t="inlineStr">
        <is>
          <t>A 13242-2026</t>
        </is>
      </c>
      <c r="B645" s="1" t="n">
        <v>46093.65078703704</v>
      </c>
      <c r="C645" s="1" t="n">
        <v>46177</v>
      </c>
      <c r="D645" t="inlineStr">
        <is>
          <t>DALARNAS LÄN</t>
        </is>
      </c>
      <c r="E645" t="inlineStr">
        <is>
          <t>ORSA</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20254-2026</t>
        </is>
      </c>
      <c r="B646" s="1" t="n">
        <v>46139.48541666667</v>
      </c>
      <c r="C646" s="1" t="n">
        <v>46177</v>
      </c>
      <c r="D646" t="inlineStr">
        <is>
          <t>DALARNAS LÄN</t>
        </is>
      </c>
      <c r="E646" t="inlineStr">
        <is>
          <t>ORSA</t>
        </is>
      </c>
      <c r="F646" t="inlineStr">
        <is>
          <t>Bergvik skog öst AB</t>
        </is>
      </c>
      <c r="G646" t="n">
        <v>18.5</v>
      </c>
      <c r="H646" t="n">
        <v>0</v>
      </c>
      <c r="I646" t="n">
        <v>0</v>
      </c>
      <c r="J646" t="n">
        <v>0</v>
      </c>
      <c r="K646" t="n">
        <v>0</v>
      </c>
      <c r="L646" t="n">
        <v>0</v>
      </c>
      <c r="M646" t="n">
        <v>0</v>
      </c>
      <c r="N646" t="n">
        <v>0</v>
      </c>
      <c r="O646" t="n">
        <v>0</v>
      </c>
      <c r="P646" t="n">
        <v>0</v>
      </c>
      <c r="Q646" t="n">
        <v>0</v>
      </c>
      <c r="R646" s="2" t="inlineStr"/>
    </row>
    <row r="647" ht="15" customHeight="1">
      <c r="A647" t="inlineStr">
        <is>
          <t>A 20165-2026</t>
        </is>
      </c>
      <c r="B647" s="1" t="n">
        <v>46139.31881944444</v>
      </c>
      <c r="C647" s="1" t="n">
        <v>46177</v>
      </c>
      <c r="D647" t="inlineStr">
        <is>
          <t>DALARNAS LÄN</t>
        </is>
      </c>
      <c r="E647" t="inlineStr">
        <is>
          <t>ORSA</t>
        </is>
      </c>
      <c r="F647" t="inlineStr">
        <is>
          <t>Bergvik skog öst AB</t>
        </is>
      </c>
      <c r="G647" t="n">
        <v>10.3</v>
      </c>
      <c r="H647" t="n">
        <v>0</v>
      </c>
      <c r="I647" t="n">
        <v>0</v>
      </c>
      <c r="J647" t="n">
        <v>0</v>
      </c>
      <c r="K647" t="n">
        <v>0</v>
      </c>
      <c r="L647" t="n">
        <v>0</v>
      </c>
      <c r="M647" t="n">
        <v>0</v>
      </c>
      <c r="N647" t="n">
        <v>0</v>
      </c>
      <c r="O647" t="n">
        <v>0</v>
      </c>
      <c r="P647" t="n">
        <v>0</v>
      </c>
      <c r="Q647" t="n">
        <v>0</v>
      </c>
      <c r="R647" s="2" t="inlineStr"/>
    </row>
    <row r="648" ht="15" customHeight="1">
      <c r="A648" t="inlineStr">
        <is>
          <t>A 14128-2026</t>
        </is>
      </c>
      <c r="B648" s="1" t="n">
        <v>46099.446875</v>
      </c>
      <c r="C648" s="1" t="n">
        <v>46177</v>
      </c>
      <c r="D648" t="inlineStr">
        <is>
          <t>DALARNAS LÄN</t>
        </is>
      </c>
      <c r="E648" t="inlineStr">
        <is>
          <t>ORSA</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13995-2026</t>
        </is>
      </c>
      <c r="B649" s="1" t="n">
        <v>46098</v>
      </c>
      <c r="C649" s="1" t="n">
        <v>46177</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14509-2026</t>
        </is>
      </c>
      <c r="B650" s="1" t="n">
        <v>46100.63200231481</v>
      </c>
      <c r="C650" s="1" t="n">
        <v>46177</v>
      </c>
      <c r="D650" t="inlineStr">
        <is>
          <t>DALARNAS LÄN</t>
        </is>
      </c>
      <c r="E650" t="inlineStr">
        <is>
          <t>ORSA</t>
        </is>
      </c>
      <c r="G650" t="n">
        <v>1.4</v>
      </c>
      <c r="H650" t="n">
        <v>0</v>
      </c>
      <c r="I650" t="n">
        <v>0</v>
      </c>
      <c r="J650" t="n">
        <v>0</v>
      </c>
      <c r="K650" t="n">
        <v>0</v>
      </c>
      <c r="L650" t="n">
        <v>0</v>
      </c>
      <c r="M650" t="n">
        <v>0</v>
      </c>
      <c r="N650" t="n">
        <v>0</v>
      </c>
      <c r="O650" t="n">
        <v>0</v>
      </c>
      <c r="P650" t="n">
        <v>0</v>
      </c>
      <c r="Q650" t="n">
        <v>0</v>
      </c>
      <c r="R650" s="2" t="inlineStr"/>
    </row>
    <row r="651" ht="15" customHeight="1">
      <c r="A651" t="inlineStr">
        <is>
          <t>A 10522-2026</t>
        </is>
      </c>
      <c r="B651" s="1" t="n">
        <v>46077</v>
      </c>
      <c r="C651" s="1" t="n">
        <v>46177</v>
      </c>
      <c r="D651" t="inlineStr">
        <is>
          <t>DALARNAS LÄN</t>
        </is>
      </c>
      <c r="E651" t="inlineStr">
        <is>
          <t>ORSA</t>
        </is>
      </c>
      <c r="F651" t="inlineStr">
        <is>
          <t>Bergvik skog öst AB</t>
        </is>
      </c>
      <c r="G651" t="n">
        <v>13.7</v>
      </c>
      <c r="H651" t="n">
        <v>0</v>
      </c>
      <c r="I651" t="n">
        <v>0</v>
      </c>
      <c r="J651" t="n">
        <v>0</v>
      </c>
      <c r="K651" t="n">
        <v>0</v>
      </c>
      <c r="L651" t="n">
        <v>0</v>
      </c>
      <c r="M651" t="n">
        <v>0</v>
      </c>
      <c r="N651" t="n">
        <v>0</v>
      </c>
      <c r="O651" t="n">
        <v>0</v>
      </c>
      <c r="P651" t="n">
        <v>0</v>
      </c>
      <c r="Q651" t="n">
        <v>0</v>
      </c>
      <c r="R651" s="2" t="inlineStr"/>
    </row>
    <row r="652" ht="15" customHeight="1">
      <c r="A652" t="inlineStr">
        <is>
          <t>A 20615-2026</t>
        </is>
      </c>
      <c r="B652" s="1" t="n">
        <v>46140</v>
      </c>
      <c r="C652" s="1" t="n">
        <v>46177</v>
      </c>
      <c r="D652" t="inlineStr">
        <is>
          <t>DALARNAS LÄN</t>
        </is>
      </c>
      <c r="E652" t="inlineStr">
        <is>
          <t>ORSA</t>
        </is>
      </c>
      <c r="G652" t="n">
        <v>1.1</v>
      </c>
      <c r="H652" t="n">
        <v>0</v>
      </c>
      <c r="I652" t="n">
        <v>0</v>
      </c>
      <c r="J652" t="n">
        <v>0</v>
      </c>
      <c r="K652" t="n">
        <v>0</v>
      </c>
      <c r="L652" t="n">
        <v>0</v>
      </c>
      <c r="M652" t="n">
        <v>0</v>
      </c>
      <c r="N652" t="n">
        <v>0</v>
      </c>
      <c r="O652" t="n">
        <v>0</v>
      </c>
      <c r="P652" t="n">
        <v>0</v>
      </c>
      <c r="Q652" t="n">
        <v>0</v>
      </c>
      <c r="R652" s="2" t="inlineStr"/>
    </row>
    <row r="653" ht="15" customHeight="1">
      <c r="A653" t="inlineStr">
        <is>
          <t>A 21379-2026</t>
        </is>
      </c>
      <c r="B653" s="1" t="n">
        <v>46147.66445601852</v>
      </c>
      <c r="C653" s="1" t="n">
        <v>46177</v>
      </c>
      <c r="D653" t="inlineStr">
        <is>
          <t>DALARNAS LÄN</t>
        </is>
      </c>
      <c r="E653" t="inlineStr">
        <is>
          <t>ORSA</t>
        </is>
      </c>
      <c r="G653" t="n">
        <v>1.7</v>
      </c>
      <c r="H653" t="n">
        <v>0</v>
      </c>
      <c r="I653" t="n">
        <v>0</v>
      </c>
      <c r="J653" t="n">
        <v>0</v>
      </c>
      <c r="K653" t="n">
        <v>0</v>
      </c>
      <c r="L653" t="n">
        <v>0</v>
      </c>
      <c r="M653" t="n">
        <v>0</v>
      </c>
      <c r="N653" t="n">
        <v>0</v>
      </c>
      <c r="O653" t="n">
        <v>0</v>
      </c>
      <c r="P653" t="n">
        <v>0</v>
      </c>
      <c r="Q653" t="n">
        <v>0</v>
      </c>
      <c r="R653" s="2" t="inlineStr"/>
    </row>
    <row r="654" ht="15" customHeight="1">
      <c r="A654" t="inlineStr">
        <is>
          <t>A 21225-2026</t>
        </is>
      </c>
      <c r="B654" s="1" t="n">
        <v>46146</v>
      </c>
      <c r="C654" s="1" t="n">
        <v>46177</v>
      </c>
      <c r="D654" t="inlineStr">
        <is>
          <t>DALARNAS LÄN</t>
        </is>
      </c>
      <c r="E654" t="inlineStr">
        <is>
          <t>ORSA</t>
        </is>
      </c>
      <c r="G654" t="n">
        <v>4.6</v>
      </c>
      <c r="H654" t="n">
        <v>0</v>
      </c>
      <c r="I654" t="n">
        <v>0</v>
      </c>
      <c r="J654" t="n">
        <v>0</v>
      </c>
      <c r="K654" t="n">
        <v>0</v>
      </c>
      <c r="L654" t="n">
        <v>0</v>
      </c>
      <c r="M654" t="n">
        <v>0</v>
      </c>
      <c r="N654" t="n">
        <v>0</v>
      </c>
      <c r="O654" t="n">
        <v>0</v>
      </c>
      <c r="P654" t="n">
        <v>0</v>
      </c>
      <c r="Q654" t="n">
        <v>0</v>
      </c>
      <c r="R654" s="2" t="inlineStr"/>
    </row>
    <row r="655" ht="15" customHeight="1">
      <c r="A655" t="inlineStr">
        <is>
          <t>A 14814-2026</t>
        </is>
      </c>
      <c r="B655" s="1" t="n">
        <v>46104</v>
      </c>
      <c r="C655" s="1" t="n">
        <v>46177</v>
      </c>
      <c r="D655" t="inlineStr">
        <is>
          <t>DALARNAS LÄN</t>
        </is>
      </c>
      <c r="E655" t="inlineStr">
        <is>
          <t>ORSA</t>
        </is>
      </c>
      <c r="G655" t="n">
        <v>14.2</v>
      </c>
      <c r="H655" t="n">
        <v>0</v>
      </c>
      <c r="I655" t="n">
        <v>0</v>
      </c>
      <c r="J655" t="n">
        <v>0</v>
      </c>
      <c r="K655" t="n">
        <v>0</v>
      </c>
      <c r="L655" t="n">
        <v>0</v>
      </c>
      <c r="M655" t="n">
        <v>0</v>
      </c>
      <c r="N655" t="n">
        <v>0</v>
      </c>
      <c r="O655" t="n">
        <v>0</v>
      </c>
      <c r="P655" t="n">
        <v>0</v>
      </c>
      <c r="Q655" t="n">
        <v>0</v>
      </c>
      <c r="R655" s="2" t="inlineStr"/>
    </row>
    <row r="656" ht="15" customHeight="1">
      <c r="A656" t="inlineStr">
        <is>
          <t>A 15657-2026</t>
        </is>
      </c>
      <c r="B656" s="1" t="n">
        <v>46106.66402777778</v>
      </c>
      <c r="C656" s="1" t="n">
        <v>46177</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10355-2026</t>
        </is>
      </c>
      <c r="B657" s="1" t="n">
        <v>46076</v>
      </c>
      <c r="C657" s="1" t="n">
        <v>46177</v>
      </c>
      <c r="D657" t="inlineStr">
        <is>
          <t>DALARNAS LÄN</t>
        </is>
      </c>
      <c r="E657" t="inlineStr">
        <is>
          <t>ORSA</t>
        </is>
      </c>
      <c r="G657" t="n">
        <v>7.7</v>
      </c>
      <c r="H657" t="n">
        <v>0</v>
      </c>
      <c r="I657" t="n">
        <v>0</v>
      </c>
      <c r="J657" t="n">
        <v>0</v>
      </c>
      <c r="K657" t="n">
        <v>0</v>
      </c>
      <c r="L657" t="n">
        <v>0</v>
      </c>
      <c r="M657" t="n">
        <v>0</v>
      </c>
      <c r="N657" t="n">
        <v>0</v>
      </c>
      <c r="O657" t="n">
        <v>0</v>
      </c>
      <c r="P657" t="n">
        <v>0</v>
      </c>
      <c r="Q657" t="n">
        <v>0</v>
      </c>
      <c r="R657" s="2" t="inlineStr"/>
    </row>
    <row r="658" ht="15" customHeight="1">
      <c r="A658" t="inlineStr">
        <is>
          <t>A 11510-2026</t>
        </is>
      </c>
      <c r="B658" s="1" t="n">
        <v>46083</v>
      </c>
      <c r="C658" s="1" t="n">
        <v>46177</v>
      </c>
      <c r="D658" t="inlineStr">
        <is>
          <t>DALARNAS LÄN</t>
        </is>
      </c>
      <c r="E658" t="inlineStr">
        <is>
          <t>ORSA</t>
        </is>
      </c>
      <c r="F658" t="inlineStr">
        <is>
          <t>Bergvik skog öst AB</t>
        </is>
      </c>
      <c r="G658" t="n">
        <v>2.7</v>
      </c>
      <c r="H658" t="n">
        <v>0</v>
      </c>
      <c r="I658" t="n">
        <v>0</v>
      </c>
      <c r="J658" t="n">
        <v>0</v>
      </c>
      <c r="K658" t="n">
        <v>0</v>
      </c>
      <c r="L658" t="n">
        <v>0</v>
      </c>
      <c r="M658" t="n">
        <v>0</v>
      </c>
      <c r="N658" t="n">
        <v>0</v>
      </c>
      <c r="O658" t="n">
        <v>0</v>
      </c>
      <c r="P658" t="n">
        <v>0</v>
      </c>
      <c r="Q658" t="n">
        <v>0</v>
      </c>
      <c r="R658" s="2" t="inlineStr"/>
    </row>
    <row r="659" ht="15" customHeight="1">
      <c r="A659" t="inlineStr">
        <is>
          <t>A 15628-2026</t>
        </is>
      </c>
      <c r="B659" s="1" t="n">
        <v>46106.61641203704</v>
      </c>
      <c r="C659" s="1" t="n">
        <v>46177</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21530-2026</t>
        </is>
      </c>
      <c r="B660" s="1" t="n">
        <v>46148.6219212963</v>
      </c>
      <c r="C660" s="1" t="n">
        <v>46177</v>
      </c>
      <c r="D660" t="inlineStr">
        <is>
          <t>DALARNAS LÄN</t>
        </is>
      </c>
      <c r="E660" t="inlineStr">
        <is>
          <t>ORSA</t>
        </is>
      </c>
      <c r="F660" t="inlineStr">
        <is>
          <t>Bergvik skog öst AB</t>
        </is>
      </c>
      <c r="G660" t="n">
        <v>1.1</v>
      </c>
      <c r="H660" t="n">
        <v>0</v>
      </c>
      <c r="I660" t="n">
        <v>0</v>
      </c>
      <c r="J660" t="n">
        <v>0</v>
      </c>
      <c r="K660" t="n">
        <v>0</v>
      </c>
      <c r="L660" t="n">
        <v>0</v>
      </c>
      <c r="M660" t="n">
        <v>0</v>
      </c>
      <c r="N660" t="n">
        <v>0</v>
      </c>
      <c r="O660" t="n">
        <v>0</v>
      </c>
      <c r="P660" t="n">
        <v>0</v>
      </c>
      <c r="Q660" t="n">
        <v>0</v>
      </c>
      <c r="R660" s="2" t="inlineStr"/>
    </row>
    <row r="661" ht="15" customHeight="1">
      <c r="A661" t="inlineStr">
        <is>
          <t>A 21511-2026</t>
        </is>
      </c>
      <c r="B661" s="1" t="n">
        <v>46146</v>
      </c>
      <c r="C661" s="1" t="n">
        <v>46177</v>
      </c>
      <c r="D661" t="inlineStr">
        <is>
          <t>DALARNAS LÄN</t>
        </is>
      </c>
      <c r="E661" t="inlineStr">
        <is>
          <t>ORSA</t>
        </is>
      </c>
      <c r="G661" t="n">
        <v>1.7</v>
      </c>
      <c r="H661" t="n">
        <v>0</v>
      </c>
      <c r="I661" t="n">
        <v>0</v>
      </c>
      <c r="J661" t="n">
        <v>0</v>
      </c>
      <c r="K661" t="n">
        <v>0</v>
      </c>
      <c r="L661" t="n">
        <v>0</v>
      </c>
      <c r="M661" t="n">
        <v>0</v>
      </c>
      <c r="N661" t="n">
        <v>0</v>
      </c>
      <c r="O661" t="n">
        <v>0</v>
      </c>
      <c r="P661" t="n">
        <v>0</v>
      </c>
      <c r="Q661" t="n">
        <v>0</v>
      </c>
      <c r="R661" s="2" t="inlineStr"/>
    </row>
    <row r="662" ht="15" customHeight="1">
      <c r="A662" t="inlineStr">
        <is>
          <t>A 5100-2026</t>
        </is>
      </c>
      <c r="B662" s="1" t="n">
        <v>46049</v>
      </c>
      <c r="C662" s="1" t="n">
        <v>46177</v>
      </c>
      <c r="D662" t="inlineStr">
        <is>
          <t>DALARNAS LÄN</t>
        </is>
      </c>
      <c r="E662" t="inlineStr">
        <is>
          <t>ORSA</t>
        </is>
      </c>
      <c r="G662" t="n">
        <v>0.8</v>
      </c>
      <c r="H662" t="n">
        <v>0</v>
      </c>
      <c r="I662" t="n">
        <v>0</v>
      </c>
      <c r="J662" t="n">
        <v>0</v>
      </c>
      <c r="K662" t="n">
        <v>0</v>
      </c>
      <c r="L662" t="n">
        <v>0</v>
      </c>
      <c r="M662" t="n">
        <v>0</v>
      </c>
      <c r="N662" t="n">
        <v>0</v>
      </c>
      <c r="O662" t="n">
        <v>0</v>
      </c>
      <c r="P662" t="n">
        <v>0</v>
      </c>
      <c r="Q662" t="n">
        <v>0</v>
      </c>
      <c r="R662" s="2" t="inlineStr"/>
    </row>
    <row r="663" ht="15" customHeight="1">
      <c r="A663" t="inlineStr">
        <is>
          <t>A 15414-2026</t>
        </is>
      </c>
      <c r="B663" s="1" t="n">
        <v>46106.37048611111</v>
      </c>
      <c r="C663" s="1" t="n">
        <v>46177</v>
      </c>
      <c r="D663" t="inlineStr">
        <is>
          <t>DALARNAS LÄN</t>
        </is>
      </c>
      <c r="E663" t="inlineStr">
        <is>
          <t>ORSA</t>
        </is>
      </c>
      <c r="G663" t="n">
        <v>2.3</v>
      </c>
      <c r="H663" t="n">
        <v>0</v>
      </c>
      <c r="I663" t="n">
        <v>0</v>
      </c>
      <c r="J663" t="n">
        <v>0</v>
      </c>
      <c r="K663" t="n">
        <v>0</v>
      </c>
      <c r="L663" t="n">
        <v>0</v>
      </c>
      <c r="M663" t="n">
        <v>0</v>
      </c>
      <c r="N663" t="n">
        <v>0</v>
      </c>
      <c r="O663" t="n">
        <v>0</v>
      </c>
      <c r="P663" t="n">
        <v>0</v>
      </c>
      <c r="Q663" t="n">
        <v>0</v>
      </c>
      <c r="R663" s="2" t="inlineStr"/>
    </row>
    <row r="664" ht="15" customHeight="1">
      <c r="A664" t="inlineStr">
        <is>
          <t>A 11454-2026</t>
        </is>
      </c>
      <c r="B664" s="1" t="n">
        <v>46083</v>
      </c>
      <c r="C664" s="1" t="n">
        <v>46177</v>
      </c>
      <c r="D664" t="inlineStr">
        <is>
          <t>DALARNAS LÄN</t>
        </is>
      </c>
      <c r="E664" t="inlineStr">
        <is>
          <t>ORSA</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21900-2026</t>
        </is>
      </c>
      <c r="B665" s="1" t="n">
        <v>46150.61177083333</v>
      </c>
      <c r="C665" s="1" t="n">
        <v>46177</v>
      </c>
      <c r="D665" t="inlineStr">
        <is>
          <t>DALARNAS LÄN</t>
        </is>
      </c>
      <c r="E665" t="inlineStr">
        <is>
          <t>ORSA</t>
        </is>
      </c>
      <c r="F665" t="inlineStr">
        <is>
          <t>Allmännings- och besparingsskogar</t>
        </is>
      </c>
      <c r="G665" t="n">
        <v>11.8</v>
      </c>
      <c r="H665" t="n">
        <v>0</v>
      </c>
      <c r="I665" t="n">
        <v>0</v>
      </c>
      <c r="J665" t="n">
        <v>0</v>
      </c>
      <c r="K665" t="n">
        <v>0</v>
      </c>
      <c r="L665" t="n">
        <v>0</v>
      </c>
      <c r="M665" t="n">
        <v>0</v>
      </c>
      <c r="N665" t="n">
        <v>0</v>
      </c>
      <c r="O665" t="n">
        <v>0</v>
      </c>
      <c r="P665" t="n">
        <v>0</v>
      </c>
      <c r="Q665" t="n">
        <v>0</v>
      </c>
      <c r="R665" s="2" t="inlineStr"/>
    </row>
    <row r="666" ht="15" customHeight="1">
      <c r="A666" t="inlineStr">
        <is>
          <t>A 16326-2026</t>
        </is>
      </c>
      <c r="B666" s="1" t="n">
        <v>46111</v>
      </c>
      <c r="C666" s="1" t="n">
        <v>46177</v>
      </c>
      <c r="D666" t="inlineStr">
        <is>
          <t>DALARNAS LÄN</t>
        </is>
      </c>
      <c r="E666" t="inlineStr">
        <is>
          <t>ORSA</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10049-2026</t>
        </is>
      </c>
      <c r="B667" s="1" t="n">
        <v>46073</v>
      </c>
      <c r="C667" s="1" t="n">
        <v>46177</v>
      </c>
      <c r="D667" t="inlineStr">
        <is>
          <t>DALARNAS LÄN</t>
        </is>
      </c>
      <c r="E667" t="inlineStr">
        <is>
          <t>ORSA</t>
        </is>
      </c>
      <c r="F667" t="inlineStr">
        <is>
          <t>Bergvik skog öst AB</t>
        </is>
      </c>
      <c r="G667" t="n">
        <v>4.4</v>
      </c>
      <c r="H667" t="n">
        <v>0</v>
      </c>
      <c r="I667" t="n">
        <v>0</v>
      </c>
      <c r="J667" t="n">
        <v>0</v>
      </c>
      <c r="K667" t="n">
        <v>0</v>
      </c>
      <c r="L667" t="n">
        <v>0</v>
      </c>
      <c r="M667" t="n">
        <v>0</v>
      </c>
      <c r="N667" t="n">
        <v>0</v>
      </c>
      <c r="O667" t="n">
        <v>0</v>
      </c>
      <c r="P667" t="n">
        <v>0</v>
      </c>
      <c r="Q667" t="n">
        <v>0</v>
      </c>
      <c r="R667" s="2" t="inlineStr"/>
    </row>
    <row r="668" ht="15" customHeight="1">
      <c r="A668" t="inlineStr">
        <is>
          <t>A 10151-2026</t>
        </is>
      </c>
      <c r="B668" s="1" t="n">
        <v>46076</v>
      </c>
      <c r="C668" s="1" t="n">
        <v>46177</v>
      </c>
      <c r="D668" t="inlineStr">
        <is>
          <t>DALARNAS LÄN</t>
        </is>
      </c>
      <c r="E668" t="inlineStr">
        <is>
          <t>ORSA</t>
        </is>
      </c>
      <c r="F668" t="inlineStr">
        <is>
          <t>Bergvik skog öst AB</t>
        </is>
      </c>
      <c r="G668" t="n">
        <v>1.8</v>
      </c>
      <c r="H668" t="n">
        <v>0</v>
      </c>
      <c r="I668" t="n">
        <v>0</v>
      </c>
      <c r="J668" t="n">
        <v>0</v>
      </c>
      <c r="K668" t="n">
        <v>0</v>
      </c>
      <c r="L668" t="n">
        <v>0</v>
      </c>
      <c r="M668" t="n">
        <v>0</v>
      </c>
      <c r="N668" t="n">
        <v>0</v>
      </c>
      <c r="O668" t="n">
        <v>0</v>
      </c>
      <c r="P668" t="n">
        <v>0</v>
      </c>
      <c r="Q668" t="n">
        <v>0</v>
      </c>
      <c r="R668" s="2" t="inlineStr"/>
    </row>
    <row r="669" ht="15" customHeight="1">
      <c r="A669" t="inlineStr">
        <is>
          <t>A 9962-2026</t>
        </is>
      </c>
      <c r="B669" s="1" t="n">
        <v>46073</v>
      </c>
      <c r="C669" s="1" t="n">
        <v>46177</v>
      </c>
      <c r="D669" t="inlineStr">
        <is>
          <t>DALARNAS LÄN</t>
        </is>
      </c>
      <c r="E669" t="inlineStr">
        <is>
          <t>ORSA</t>
        </is>
      </c>
      <c r="F669" t="inlineStr">
        <is>
          <t>Bergvik skog öst AB</t>
        </is>
      </c>
      <c r="G669" t="n">
        <v>2.5</v>
      </c>
      <c r="H669" t="n">
        <v>0</v>
      </c>
      <c r="I669" t="n">
        <v>0</v>
      </c>
      <c r="J669" t="n">
        <v>0</v>
      </c>
      <c r="K669" t="n">
        <v>0</v>
      </c>
      <c r="L669" t="n">
        <v>0</v>
      </c>
      <c r="M669" t="n">
        <v>0</v>
      </c>
      <c r="N669" t="n">
        <v>0</v>
      </c>
      <c r="O669" t="n">
        <v>0</v>
      </c>
      <c r="P669" t="n">
        <v>0</v>
      </c>
      <c r="Q669" t="n">
        <v>0</v>
      </c>
      <c r="R669" s="2" t="inlineStr"/>
    </row>
    <row r="670" ht="15" customHeight="1">
      <c r="A670" t="inlineStr">
        <is>
          <t>A 16302-2026</t>
        </is>
      </c>
      <c r="B670" s="1" t="n">
        <v>46111.53943287037</v>
      </c>
      <c r="C670" s="1" t="n">
        <v>46177</v>
      </c>
      <c r="D670" t="inlineStr">
        <is>
          <t>DALARNAS LÄN</t>
        </is>
      </c>
      <c r="E670" t="inlineStr">
        <is>
          <t>ORSA</t>
        </is>
      </c>
      <c r="F670" t="inlineStr">
        <is>
          <t>Bergvik skog öst AB</t>
        </is>
      </c>
      <c r="G670" t="n">
        <v>21</v>
      </c>
      <c r="H670" t="n">
        <v>0</v>
      </c>
      <c r="I670" t="n">
        <v>0</v>
      </c>
      <c r="J670" t="n">
        <v>0</v>
      </c>
      <c r="K670" t="n">
        <v>0</v>
      </c>
      <c r="L670" t="n">
        <v>0</v>
      </c>
      <c r="M670" t="n">
        <v>0</v>
      </c>
      <c r="N670" t="n">
        <v>0</v>
      </c>
      <c r="O670" t="n">
        <v>0</v>
      </c>
      <c r="P670" t="n">
        <v>0</v>
      </c>
      <c r="Q670" t="n">
        <v>0</v>
      </c>
      <c r="R670" s="2" t="inlineStr"/>
    </row>
    <row r="671" ht="15" customHeight="1">
      <c r="A671" t="inlineStr">
        <is>
          <t>A 16034-2026</t>
        </is>
      </c>
      <c r="B671" s="1" t="n">
        <v>46108</v>
      </c>
      <c r="C671" s="1" t="n">
        <v>46177</v>
      </c>
      <c r="D671" t="inlineStr">
        <is>
          <t>DALARNAS LÄN</t>
        </is>
      </c>
      <c r="E671" t="inlineStr">
        <is>
          <t>ORSA</t>
        </is>
      </c>
      <c r="G671" t="n">
        <v>5.1</v>
      </c>
      <c r="H671" t="n">
        <v>0</v>
      </c>
      <c r="I671" t="n">
        <v>0</v>
      </c>
      <c r="J671" t="n">
        <v>0</v>
      </c>
      <c r="K671" t="n">
        <v>0</v>
      </c>
      <c r="L671" t="n">
        <v>0</v>
      </c>
      <c r="M671" t="n">
        <v>0</v>
      </c>
      <c r="N671" t="n">
        <v>0</v>
      </c>
      <c r="O671" t="n">
        <v>0</v>
      </c>
      <c r="P671" t="n">
        <v>0</v>
      </c>
      <c r="Q671" t="n">
        <v>0</v>
      </c>
      <c r="R671" s="2" t="inlineStr"/>
    </row>
    <row r="672" ht="15" customHeight="1">
      <c r="A672" t="inlineStr">
        <is>
          <t>A 22228-2026</t>
        </is>
      </c>
      <c r="B672" s="1" t="n">
        <v>46153.76313657407</v>
      </c>
      <c r="C672" s="1" t="n">
        <v>46177</v>
      </c>
      <c r="D672" t="inlineStr">
        <is>
          <t>DALARNAS LÄN</t>
        </is>
      </c>
      <c r="E672" t="inlineStr">
        <is>
          <t>ORSA</t>
        </is>
      </c>
      <c r="G672" t="n">
        <v>3.5</v>
      </c>
      <c r="H672" t="n">
        <v>0</v>
      </c>
      <c r="I672" t="n">
        <v>0</v>
      </c>
      <c r="J672" t="n">
        <v>0</v>
      </c>
      <c r="K672" t="n">
        <v>0</v>
      </c>
      <c r="L672" t="n">
        <v>0</v>
      </c>
      <c r="M672" t="n">
        <v>0</v>
      </c>
      <c r="N672" t="n">
        <v>0</v>
      </c>
      <c r="O672" t="n">
        <v>0</v>
      </c>
      <c r="P672" t="n">
        <v>0</v>
      </c>
      <c r="Q672" t="n">
        <v>0</v>
      </c>
      <c r="R672" s="2" t="inlineStr"/>
    </row>
    <row r="673" ht="15" customHeight="1">
      <c r="A673" t="inlineStr">
        <is>
          <t>A 12440-2026</t>
        </is>
      </c>
      <c r="B673" s="1" t="n">
        <v>46090</v>
      </c>
      <c r="C673" s="1" t="n">
        <v>46177</v>
      </c>
      <c r="D673" t="inlineStr">
        <is>
          <t>DALARNAS LÄN</t>
        </is>
      </c>
      <c r="E673" t="inlineStr">
        <is>
          <t>ORSA</t>
        </is>
      </c>
      <c r="F673" t="inlineStr">
        <is>
          <t>Bergvik skog öst AB</t>
        </is>
      </c>
      <c r="G673" t="n">
        <v>2.8</v>
      </c>
      <c r="H673" t="n">
        <v>0</v>
      </c>
      <c r="I673" t="n">
        <v>0</v>
      </c>
      <c r="J673" t="n">
        <v>0</v>
      </c>
      <c r="K673" t="n">
        <v>0</v>
      </c>
      <c r="L673" t="n">
        <v>0</v>
      </c>
      <c r="M673" t="n">
        <v>0</v>
      </c>
      <c r="N673" t="n">
        <v>0</v>
      </c>
      <c r="O673" t="n">
        <v>0</v>
      </c>
      <c r="P673" t="n">
        <v>0</v>
      </c>
      <c r="Q673" t="n">
        <v>0</v>
      </c>
      <c r="R673" s="2" t="inlineStr"/>
    </row>
    <row r="674" ht="15" customHeight="1">
      <c r="A674" t="inlineStr">
        <is>
          <t>A 13316-2026</t>
        </is>
      </c>
      <c r="B674" s="1" t="n">
        <v>46094</v>
      </c>
      <c r="C674" s="1" t="n">
        <v>46177</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16224-2026</t>
        </is>
      </c>
      <c r="B675" s="1" t="n">
        <v>46111.4474537037</v>
      </c>
      <c r="C675" s="1" t="n">
        <v>46177</v>
      </c>
      <c r="D675" t="inlineStr">
        <is>
          <t>DALARNAS LÄN</t>
        </is>
      </c>
      <c r="E675" t="inlineStr">
        <is>
          <t>ORSA</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16393-2026</t>
        </is>
      </c>
      <c r="B676" s="1" t="n">
        <v>46111</v>
      </c>
      <c r="C676" s="1" t="n">
        <v>46177</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22590-2026</t>
        </is>
      </c>
      <c r="B677" s="1" t="n">
        <v>46155.58239583333</v>
      </c>
      <c r="C677" s="1" t="n">
        <v>46177</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16900-2026</t>
        </is>
      </c>
      <c r="B678" s="1" t="n">
        <v>46113.6306712963</v>
      </c>
      <c r="C678" s="1" t="n">
        <v>46177</v>
      </c>
      <c r="D678" t="inlineStr">
        <is>
          <t>DALARNAS LÄN</t>
        </is>
      </c>
      <c r="E678" t="inlineStr">
        <is>
          <t>ORSA</t>
        </is>
      </c>
      <c r="G678" t="n">
        <v>0.6</v>
      </c>
      <c r="H678" t="n">
        <v>0</v>
      </c>
      <c r="I678" t="n">
        <v>0</v>
      </c>
      <c r="J678" t="n">
        <v>0</v>
      </c>
      <c r="K678" t="n">
        <v>0</v>
      </c>
      <c r="L678" t="n">
        <v>0</v>
      </c>
      <c r="M678" t="n">
        <v>0</v>
      </c>
      <c r="N678" t="n">
        <v>0</v>
      </c>
      <c r="O678" t="n">
        <v>0</v>
      </c>
      <c r="P678" t="n">
        <v>0</v>
      </c>
      <c r="Q678" t="n">
        <v>0</v>
      </c>
      <c r="R678" s="2" t="inlineStr"/>
    </row>
    <row r="679" ht="15" customHeight="1">
      <c r="A679" t="inlineStr">
        <is>
          <t>A 22267-2026</t>
        </is>
      </c>
      <c r="B679" s="1" t="n">
        <v>46154.39655092593</v>
      </c>
      <c r="C679" s="1" t="n">
        <v>46177</v>
      </c>
      <c r="D679" t="inlineStr">
        <is>
          <t>DALARNAS LÄN</t>
        </is>
      </c>
      <c r="E679" t="inlineStr">
        <is>
          <t>ORSA</t>
        </is>
      </c>
      <c r="F679" t="inlineStr">
        <is>
          <t>Allmännings- och besparingsskogar</t>
        </is>
      </c>
      <c r="G679" t="n">
        <v>4.4</v>
      </c>
      <c r="H679" t="n">
        <v>0</v>
      </c>
      <c r="I679" t="n">
        <v>0</v>
      </c>
      <c r="J679" t="n">
        <v>0</v>
      </c>
      <c r="K679" t="n">
        <v>0</v>
      </c>
      <c r="L679" t="n">
        <v>0</v>
      </c>
      <c r="M679" t="n">
        <v>0</v>
      </c>
      <c r="N679" t="n">
        <v>0</v>
      </c>
      <c r="O679" t="n">
        <v>0</v>
      </c>
      <c r="P679" t="n">
        <v>0</v>
      </c>
      <c r="Q679" t="n">
        <v>0</v>
      </c>
      <c r="R679" s="2" t="inlineStr"/>
    </row>
    <row r="680" ht="15" customHeight="1">
      <c r="A680" t="inlineStr">
        <is>
          <t>A 16907-2026</t>
        </is>
      </c>
      <c r="B680" s="1" t="n">
        <v>46113.63842592593</v>
      </c>
      <c r="C680" s="1" t="n">
        <v>46177</v>
      </c>
      <c r="D680" t="inlineStr">
        <is>
          <t>DALARNAS LÄN</t>
        </is>
      </c>
      <c r="E680" t="inlineStr">
        <is>
          <t>ORSA</t>
        </is>
      </c>
      <c r="G680" t="n">
        <v>3.6</v>
      </c>
      <c r="H680" t="n">
        <v>0</v>
      </c>
      <c r="I680" t="n">
        <v>0</v>
      </c>
      <c r="J680" t="n">
        <v>0</v>
      </c>
      <c r="K680" t="n">
        <v>0</v>
      </c>
      <c r="L680" t="n">
        <v>0</v>
      </c>
      <c r="M680" t="n">
        <v>0</v>
      </c>
      <c r="N680" t="n">
        <v>0</v>
      </c>
      <c r="O680" t="n">
        <v>0</v>
      </c>
      <c r="P680" t="n">
        <v>0</v>
      </c>
      <c r="Q680" t="n">
        <v>0</v>
      </c>
      <c r="R680" s="2" t="inlineStr"/>
    </row>
    <row r="681" ht="15" customHeight="1">
      <c r="A681" t="inlineStr">
        <is>
          <t>A 22615-2026</t>
        </is>
      </c>
      <c r="B681" s="1" t="n">
        <v>46155.60784722222</v>
      </c>
      <c r="C681" s="1" t="n">
        <v>46177</v>
      </c>
      <c r="D681" t="inlineStr">
        <is>
          <t>DALARNAS LÄN</t>
        </is>
      </c>
      <c r="E681" t="inlineStr">
        <is>
          <t>ORSA</t>
        </is>
      </c>
      <c r="F681" t="inlineStr">
        <is>
          <t>Bergvik skog öst AB</t>
        </is>
      </c>
      <c r="G681" t="n">
        <v>5.5</v>
      </c>
      <c r="H681" t="n">
        <v>0</v>
      </c>
      <c r="I681" t="n">
        <v>0</v>
      </c>
      <c r="J681" t="n">
        <v>0</v>
      </c>
      <c r="K681" t="n">
        <v>0</v>
      </c>
      <c r="L681" t="n">
        <v>0</v>
      </c>
      <c r="M681" t="n">
        <v>0</v>
      </c>
      <c r="N681" t="n">
        <v>0</v>
      </c>
      <c r="O681" t="n">
        <v>0</v>
      </c>
      <c r="P681" t="n">
        <v>0</v>
      </c>
      <c r="Q681" t="n">
        <v>0</v>
      </c>
      <c r="R681" s="2" t="inlineStr"/>
    </row>
    <row r="682" ht="15" customHeight="1">
      <c r="A682" t="inlineStr">
        <is>
          <t>A 22515-2026</t>
        </is>
      </c>
      <c r="B682" s="1" t="n">
        <v>46155.45591435185</v>
      </c>
      <c r="C682" s="1" t="n">
        <v>46177</v>
      </c>
      <c r="D682" t="inlineStr">
        <is>
          <t>DALARNAS LÄN</t>
        </is>
      </c>
      <c r="E682" t="inlineStr">
        <is>
          <t>ORSA</t>
        </is>
      </c>
      <c r="F682" t="inlineStr">
        <is>
          <t>Bergvik skog öst AB</t>
        </is>
      </c>
      <c r="G682" t="n">
        <v>1.7</v>
      </c>
      <c r="H682" t="n">
        <v>0</v>
      </c>
      <c r="I682" t="n">
        <v>0</v>
      </c>
      <c r="J682" t="n">
        <v>0</v>
      </c>
      <c r="K682" t="n">
        <v>0</v>
      </c>
      <c r="L682" t="n">
        <v>0</v>
      </c>
      <c r="M682" t="n">
        <v>0</v>
      </c>
      <c r="N682" t="n">
        <v>0</v>
      </c>
      <c r="O682" t="n">
        <v>0</v>
      </c>
      <c r="P682" t="n">
        <v>0</v>
      </c>
      <c r="Q682" t="n">
        <v>0</v>
      </c>
      <c r="R682" s="2" t="inlineStr"/>
    </row>
    <row r="683" ht="15" customHeight="1">
      <c r="A683" t="inlineStr">
        <is>
          <t>A 22728-2026</t>
        </is>
      </c>
      <c r="B683" s="1" t="n">
        <v>46157.35543981481</v>
      </c>
      <c r="C683" s="1" t="n">
        <v>46177</v>
      </c>
      <c r="D683" t="inlineStr">
        <is>
          <t>DALARNAS LÄN</t>
        </is>
      </c>
      <c r="E683" t="inlineStr">
        <is>
          <t>ORSA</t>
        </is>
      </c>
      <c r="F683" t="inlineStr">
        <is>
          <t>Allmännings- och besparingsskogar</t>
        </is>
      </c>
      <c r="G683" t="n">
        <v>4</v>
      </c>
      <c r="H683" t="n">
        <v>0</v>
      </c>
      <c r="I683" t="n">
        <v>0</v>
      </c>
      <c r="J683" t="n">
        <v>0</v>
      </c>
      <c r="K683" t="n">
        <v>0</v>
      </c>
      <c r="L683" t="n">
        <v>0</v>
      </c>
      <c r="M683" t="n">
        <v>0</v>
      </c>
      <c r="N683" t="n">
        <v>0</v>
      </c>
      <c r="O683" t="n">
        <v>0</v>
      </c>
      <c r="P683" t="n">
        <v>0</v>
      </c>
      <c r="Q683" t="n">
        <v>0</v>
      </c>
      <c r="R683" s="2" t="inlineStr"/>
    </row>
    <row r="684" ht="15" customHeight="1">
      <c r="A684" t="inlineStr">
        <is>
          <t>A 17094-2026</t>
        </is>
      </c>
      <c r="B684" s="1" t="n">
        <v>46114.58635416667</v>
      </c>
      <c r="C684" s="1" t="n">
        <v>46177</v>
      </c>
      <c r="D684" t="inlineStr">
        <is>
          <t>DALARNAS LÄN</t>
        </is>
      </c>
      <c r="E684" t="inlineStr">
        <is>
          <t>ORSA</t>
        </is>
      </c>
      <c r="G684" t="n">
        <v>1.4</v>
      </c>
      <c r="H684" t="n">
        <v>0</v>
      </c>
      <c r="I684" t="n">
        <v>0</v>
      </c>
      <c r="J684" t="n">
        <v>0</v>
      </c>
      <c r="K684" t="n">
        <v>0</v>
      </c>
      <c r="L684" t="n">
        <v>0</v>
      </c>
      <c r="M684" t="n">
        <v>0</v>
      </c>
      <c r="N684" t="n">
        <v>0</v>
      </c>
      <c r="O684" t="n">
        <v>0</v>
      </c>
      <c r="P684" t="n">
        <v>0</v>
      </c>
      <c r="Q684" t="n">
        <v>0</v>
      </c>
      <c r="R684" s="2" t="inlineStr"/>
    </row>
    <row r="685" ht="15" customHeight="1">
      <c r="A685" t="inlineStr">
        <is>
          <t>A 22829-2026</t>
        </is>
      </c>
      <c r="B685" s="1" t="n">
        <v>46160.36649305555</v>
      </c>
      <c r="C685" s="1" t="n">
        <v>46177</v>
      </c>
      <c r="D685" t="inlineStr">
        <is>
          <t>DALARNAS LÄN</t>
        </is>
      </c>
      <c r="E685" t="inlineStr">
        <is>
          <t>ORSA</t>
        </is>
      </c>
      <c r="G685" t="n">
        <v>2.1</v>
      </c>
      <c r="H685" t="n">
        <v>0</v>
      </c>
      <c r="I685" t="n">
        <v>0</v>
      </c>
      <c r="J685" t="n">
        <v>0</v>
      </c>
      <c r="K685" t="n">
        <v>0</v>
      </c>
      <c r="L685" t="n">
        <v>0</v>
      </c>
      <c r="M685" t="n">
        <v>0</v>
      </c>
      <c r="N685" t="n">
        <v>0</v>
      </c>
      <c r="O685" t="n">
        <v>0</v>
      </c>
      <c r="P685" t="n">
        <v>0</v>
      </c>
      <c r="Q685" t="n">
        <v>0</v>
      </c>
      <c r="R685" s="2" t="inlineStr"/>
    </row>
    <row r="686" ht="15" customHeight="1">
      <c r="A686" t="inlineStr">
        <is>
          <t>A 23058-2026</t>
        </is>
      </c>
      <c r="B686" s="1" t="n">
        <v>46161.45857638889</v>
      </c>
      <c r="C686" s="1" t="n">
        <v>46177</v>
      </c>
      <c r="D686" t="inlineStr">
        <is>
          <t>DALARNAS LÄN</t>
        </is>
      </c>
      <c r="E686" t="inlineStr">
        <is>
          <t>ORSA</t>
        </is>
      </c>
      <c r="G686" t="n">
        <v>0.9</v>
      </c>
      <c r="H686" t="n">
        <v>0</v>
      </c>
      <c r="I686" t="n">
        <v>0</v>
      </c>
      <c r="J686" t="n">
        <v>0</v>
      </c>
      <c r="K686" t="n">
        <v>0</v>
      </c>
      <c r="L686" t="n">
        <v>0</v>
      </c>
      <c r="M686" t="n">
        <v>0</v>
      </c>
      <c r="N686" t="n">
        <v>0</v>
      </c>
      <c r="O686" t="n">
        <v>0</v>
      </c>
      <c r="P686" t="n">
        <v>0</v>
      </c>
      <c r="Q686" t="n">
        <v>0</v>
      </c>
      <c r="R686" s="2" t="inlineStr"/>
    </row>
    <row r="687" ht="15" customHeight="1">
      <c r="A687" t="inlineStr">
        <is>
          <t>A 23583-2026</t>
        </is>
      </c>
      <c r="B687" s="1" t="n">
        <v>46163.62005787037</v>
      </c>
      <c r="C687" s="1" t="n">
        <v>46177</v>
      </c>
      <c r="D687" t="inlineStr">
        <is>
          <t>DALARNAS LÄN</t>
        </is>
      </c>
      <c r="E687" t="inlineStr">
        <is>
          <t>ORSA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23235-2026</t>
        </is>
      </c>
      <c r="B688" s="1" t="n">
        <v>46162.39581018518</v>
      </c>
      <c r="C688" s="1" t="n">
        <v>46177</v>
      </c>
      <c r="D688" t="inlineStr">
        <is>
          <t>DALARNAS LÄN</t>
        </is>
      </c>
      <c r="E688" t="inlineStr">
        <is>
          <t>ORSA</t>
        </is>
      </c>
      <c r="F688" t="inlineStr">
        <is>
          <t>Allmännings- och besparingsskogar</t>
        </is>
      </c>
      <c r="G688" t="n">
        <v>3.5</v>
      </c>
      <c r="H688" t="n">
        <v>0</v>
      </c>
      <c r="I688" t="n">
        <v>0</v>
      </c>
      <c r="J688" t="n">
        <v>0</v>
      </c>
      <c r="K688" t="n">
        <v>0</v>
      </c>
      <c r="L688" t="n">
        <v>0</v>
      </c>
      <c r="M688" t="n">
        <v>0</v>
      </c>
      <c r="N688" t="n">
        <v>0</v>
      </c>
      <c r="O688" t="n">
        <v>0</v>
      </c>
      <c r="P688" t="n">
        <v>0</v>
      </c>
      <c r="Q688" t="n">
        <v>0</v>
      </c>
      <c r="R688" s="2" t="inlineStr"/>
    </row>
    <row r="689" ht="15" customHeight="1">
      <c r="A689" t="inlineStr">
        <is>
          <t>A 21477-2026</t>
        </is>
      </c>
      <c r="B689" s="1" t="n">
        <v>46148</v>
      </c>
      <c r="C689" s="1" t="n">
        <v>46177</v>
      </c>
      <c r="D689" t="inlineStr">
        <is>
          <t>DALARNAS LÄN</t>
        </is>
      </c>
      <c r="E689" t="inlineStr">
        <is>
          <t>ORSA</t>
        </is>
      </c>
      <c r="G689" t="n">
        <v>17.1</v>
      </c>
      <c r="H689" t="n">
        <v>0</v>
      </c>
      <c r="I689" t="n">
        <v>0</v>
      </c>
      <c r="J689" t="n">
        <v>0</v>
      </c>
      <c r="K689" t="n">
        <v>0</v>
      </c>
      <c r="L689" t="n">
        <v>0</v>
      </c>
      <c r="M689" t="n">
        <v>0</v>
      </c>
      <c r="N689" t="n">
        <v>0</v>
      </c>
      <c r="O689" t="n">
        <v>0</v>
      </c>
      <c r="P689" t="n">
        <v>0</v>
      </c>
      <c r="Q689" t="n">
        <v>0</v>
      </c>
      <c r="R689" s="2" t="inlineStr"/>
    </row>
    <row r="690" ht="15" customHeight="1">
      <c r="A690" t="inlineStr">
        <is>
          <t>A 23582-2026</t>
        </is>
      </c>
      <c r="B690" s="1" t="n">
        <v>46163.61466435185</v>
      </c>
      <c r="C690" s="1" t="n">
        <v>46177</v>
      </c>
      <c r="D690" t="inlineStr">
        <is>
          <t>DALARNAS LÄN</t>
        </is>
      </c>
      <c r="E690" t="inlineStr">
        <is>
          <t>ORSA</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23746-2026</t>
        </is>
      </c>
      <c r="B691" s="1" t="n">
        <v>46164.51518518518</v>
      </c>
      <c r="C691" s="1" t="n">
        <v>46177</v>
      </c>
      <c r="D691" t="inlineStr">
        <is>
          <t>DALARNAS LÄN</t>
        </is>
      </c>
      <c r="E691" t="inlineStr">
        <is>
          <t>ORSA</t>
        </is>
      </c>
      <c r="F691" t="inlineStr">
        <is>
          <t>Bergvik skog öst AB</t>
        </is>
      </c>
      <c r="G691" t="n">
        <v>4.3</v>
      </c>
      <c r="H691" t="n">
        <v>0</v>
      </c>
      <c r="I691" t="n">
        <v>0</v>
      </c>
      <c r="J691" t="n">
        <v>0</v>
      </c>
      <c r="K691" t="n">
        <v>0</v>
      </c>
      <c r="L691" t="n">
        <v>0</v>
      </c>
      <c r="M691" t="n">
        <v>0</v>
      </c>
      <c r="N691" t="n">
        <v>0</v>
      </c>
      <c r="O691" t="n">
        <v>0</v>
      </c>
      <c r="P691" t="n">
        <v>0</v>
      </c>
      <c r="Q691" t="n">
        <v>0</v>
      </c>
      <c r="R691" s="2" t="inlineStr"/>
    </row>
    <row r="692" ht="15" customHeight="1">
      <c r="A692" t="inlineStr">
        <is>
          <t>A 23981-2026</t>
        </is>
      </c>
      <c r="B692" s="1" t="n">
        <v>46167.59725694444</v>
      </c>
      <c r="C692" s="1" t="n">
        <v>46177</v>
      </c>
      <c r="D692" t="inlineStr">
        <is>
          <t>DALARNAS LÄN</t>
        </is>
      </c>
      <c r="E692" t="inlineStr">
        <is>
          <t>ORSA</t>
        </is>
      </c>
      <c r="F692" t="inlineStr">
        <is>
          <t>Bergvik skog öst AB</t>
        </is>
      </c>
      <c r="G692" t="n">
        <v>4.6</v>
      </c>
      <c r="H692" t="n">
        <v>0</v>
      </c>
      <c r="I692" t="n">
        <v>0</v>
      </c>
      <c r="J692" t="n">
        <v>0</v>
      </c>
      <c r="K692" t="n">
        <v>0</v>
      </c>
      <c r="L692" t="n">
        <v>0</v>
      </c>
      <c r="M692" t="n">
        <v>0</v>
      </c>
      <c r="N692" t="n">
        <v>0</v>
      </c>
      <c r="O692" t="n">
        <v>0</v>
      </c>
      <c r="P692" t="n">
        <v>0</v>
      </c>
      <c r="Q692" t="n">
        <v>0</v>
      </c>
      <c r="R692" s="2" t="inlineStr"/>
    </row>
    <row r="693" ht="15" customHeight="1">
      <c r="A693" t="inlineStr">
        <is>
          <t>A 23985-2026</t>
        </is>
      </c>
      <c r="B693" s="1" t="n">
        <v>46167.60168981482</v>
      </c>
      <c r="C693" s="1" t="n">
        <v>46177</v>
      </c>
      <c r="D693" t="inlineStr">
        <is>
          <t>DALARNAS LÄN</t>
        </is>
      </c>
      <c r="E693" t="inlineStr">
        <is>
          <t>ORSA</t>
        </is>
      </c>
      <c r="F693" t="inlineStr">
        <is>
          <t>Bergvik skog öst AB</t>
        </is>
      </c>
      <c r="G693" t="n">
        <v>1.8</v>
      </c>
      <c r="H693" t="n">
        <v>0</v>
      </c>
      <c r="I693" t="n">
        <v>0</v>
      </c>
      <c r="J693" t="n">
        <v>0</v>
      </c>
      <c r="K693" t="n">
        <v>0</v>
      </c>
      <c r="L693" t="n">
        <v>0</v>
      </c>
      <c r="M693" t="n">
        <v>0</v>
      </c>
      <c r="N693" t="n">
        <v>0</v>
      </c>
      <c r="O693" t="n">
        <v>0</v>
      </c>
      <c r="P693" t="n">
        <v>0</v>
      </c>
      <c r="Q693" t="n">
        <v>0</v>
      </c>
      <c r="R693" s="2" t="inlineStr"/>
    </row>
    <row r="694" ht="15" customHeight="1">
      <c r="A694" t="inlineStr">
        <is>
          <t>A 18013-2026</t>
        </is>
      </c>
      <c r="B694" s="1" t="n">
        <v>46125.34071759259</v>
      </c>
      <c r="C694" s="1" t="n">
        <v>46177</v>
      </c>
      <c r="D694" t="inlineStr">
        <is>
          <t>DALARNAS LÄN</t>
        </is>
      </c>
      <c r="E694" t="inlineStr">
        <is>
          <t>ORSA</t>
        </is>
      </c>
      <c r="F694" t="inlineStr">
        <is>
          <t>Allmännings- och besparingsskogar</t>
        </is>
      </c>
      <c r="G694" t="n">
        <v>2.7</v>
      </c>
      <c r="H694" t="n">
        <v>0</v>
      </c>
      <c r="I694" t="n">
        <v>0</v>
      </c>
      <c r="J694" t="n">
        <v>0</v>
      </c>
      <c r="K694" t="n">
        <v>0</v>
      </c>
      <c r="L694" t="n">
        <v>0</v>
      </c>
      <c r="M694" t="n">
        <v>0</v>
      </c>
      <c r="N694" t="n">
        <v>0</v>
      </c>
      <c r="O694" t="n">
        <v>0</v>
      </c>
      <c r="P694" t="n">
        <v>0</v>
      </c>
      <c r="Q694" t="n">
        <v>0</v>
      </c>
      <c r="R694" s="2" t="inlineStr"/>
    </row>
    <row r="695" ht="15" customHeight="1">
      <c r="A695" t="inlineStr">
        <is>
          <t>A 23712-2026</t>
        </is>
      </c>
      <c r="B695" s="1" t="n">
        <v>46164.46298611111</v>
      </c>
      <c r="C695" s="1" t="n">
        <v>46177</v>
      </c>
      <c r="D695" t="inlineStr">
        <is>
          <t>DALARNAS LÄN</t>
        </is>
      </c>
      <c r="E695" t="inlineStr">
        <is>
          <t>ORSA</t>
        </is>
      </c>
      <c r="F695" t="inlineStr">
        <is>
          <t>Bergvik skog öst AB</t>
        </is>
      </c>
      <c r="G695" t="n">
        <v>1.4</v>
      </c>
      <c r="H695" t="n">
        <v>0</v>
      </c>
      <c r="I695" t="n">
        <v>0</v>
      </c>
      <c r="J695" t="n">
        <v>0</v>
      </c>
      <c r="K695" t="n">
        <v>0</v>
      </c>
      <c r="L695" t="n">
        <v>0</v>
      </c>
      <c r="M695" t="n">
        <v>0</v>
      </c>
      <c r="N695" t="n">
        <v>0</v>
      </c>
      <c r="O695" t="n">
        <v>0</v>
      </c>
      <c r="P695" t="n">
        <v>0</v>
      </c>
      <c r="Q695" t="n">
        <v>0</v>
      </c>
      <c r="R695" s="2" t="inlineStr"/>
    </row>
    <row r="696" ht="15" customHeight="1">
      <c r="A696" t="inlineStr">
        <is>
          <t>A 23924-2026</t>
        </is>
      </c>
      <c r="B696" s="1" t="n">
        <v>46167.5275462963</v>
      </c>
      <c r="C696" s="1" t="n">
        <v>46177</v>
      </c>
      <c r="D696" t="inlineStr">
        <is>
          <t>DALARNAS LÄN</t>
        </is>
      </c>
      <c r="E696" t="inlineStr">
        <is>
          <t>ORSA</t>
        </is>
      </c>
      <c r="F696" t="inlineStr">
        <is>
          <t>Allmännings- och besparingsskogar</t>
        </is>
      </c>
      <c r="G696" t="n">
        <v>26.5</v>
      </c>
      <c r="H696" t="n">
        <v>0</v>
      </c>
      <c r="I696" t="n">
        <v>0</v>
      </c>
      <c r="J696" t="n">
        <v>0</v>
      </c>
      <c r="K696" t="n">
        <v>0</v>
      </c>
      <c r="L696" t="n">
        <v>0</v>
      </c>
      <c r="M696" t="n">
        <v>0</v>
      </c>
      <c r="N696" t="n">
        <v>0</v>
      </c>
      <c r="O696" t="n">
        <v>0</v>
      </c>
      <c r="P696" t="n">
        <v>0</v>
      </c>
      <c r="Q696" t="n">
        <v>0</v>
      </c>
      <c r="R696" s="2" t="inlineStr"/>
    </row>
    <row r="697" ht="15" customHeight="1">
      <c r="A697" t="inlineStr">
        <is>
          <t>A 18187-2026</t>
        </is>
      </c>
      <c r="B697" s="1" t="n">
        <v>46125.68689814815</v>
      </c>
      <c r="C697" s="1" t="n">
        <v>46177</v>
      </c>
      <c r="D697" t="inlineStr">
        <is>
          <t>DALARNAS LÄN</t>
        </is>
      </c>
      <c r="E697" t="inlineStr">
        <is>
          <t>ORSA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22039-2026</t>
        </is>
      </c>
      <c r="B698" s="1" t="n">
        <v>46153.45459490741</v>
      </c>
      <c r="C698" s="1" t="n">
        <v>46177</v>
      </c>
      <c r="D698" t="inlineStr">
        <is>
          <t>DALARNAS LÄN</t>
        </is>
      </c>
      <c r="E698" t="inlineStr">
        <is>
          <t>ORSA</t>
        </is>
      </c>
      <c r="F698" t="inlineStr">
        <is>
          <t>Bergvik skog öst AB</t>
        </is>
      </c>
      <c r="G698" t="n">
        <v>13.1</v>
      </c>
      <c r="H698" t="n">
        <v>0</v>
      </c>
      <c r="I698" t="n">
        <v>0</v>
      </c>
      <c r="J698" t="n">
        <v>0</v>
      </c>
      <c r="K698" t="n">
        <v>0</v>
      </c>
      <c r="L698" t="n">
        <v>0</v>
      </c>
      <c r="M698" t="n">
        <v>0</v>
      </c>
      <c r="N698" t="n">
        <v>0</v>
      </c>
      <c r="O698" t="n">
        <v>0</v>
      </c>
      <c r="P698" t="n">
        <v>0</v>
      </c>
      <c r="Q698" t="n">
        <v>0</v>
      </c>
      <c r="R698" s="2" t="inlineStr"/>
    </row>
    <row r="699" ht="15" customHeight="1">
      <c r="A699" t="inlineStr">
        <is>
          <t>A 23709-2026</t>
        </is>
      </c>
      <c r="B699" s="1" t="n">
        <v>46164.46054398148</v>
      </c>
      <c r="C699" s="1" t="n">
        <v>46177</v>
      </c>
      <c r="D699" t="inlineStr">
        <is>
          <t>DALARNAS LÄN</t>
        </is>
      </c>
      <c r="E699" t="inlineStr">
        <is>
          <t>ORSA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23940-2026</t>
        </is>
      </c>
      <c r="B700" s="1" t="n">
        <v>46167.55766203703</v>
      </c>
      <c r="C700" s="1" t="n">
        <v>46177</v>
      </c>
      <c r="D700" t="inlineStr">
        <is>
          <t>DALARNAS LÄN</t>
        </is>
      </c>
      <c r="E700" t="inlineStr">
        <is>
          <t>ORSA</t>
        </is>
      </c>
      <c r="F700" t="inlineStr">
        <is>
          <t>Bergvik skog öst AB</t>
        </is>
      </c>
      <c r="G700" t="n">
        <v>12.8</v>
      </c>
      <c r="H700" t="n">
        <v>0</v>
      </c>
      <c r="I700" t="n">
        <v>0</v>
      </c>
      <c r="J700" t="n">
        <v>0</v>
      </c>
      <c r="K700" t="n">
        <v>0</v>
      </c>
      <c r="L700" t="n">
        <v>0</v>
      </c>
      <c r="M700" t="n">
        <v>0</v>
      </c>
      <c r="N700" t="n">
        <v>0</v>
      </c>
      <c r="O700" t="n">
        <v>0</v>
      </c>
      <c r="P700" t="n">
        <v>0</v>
      </c>
      <c r="Q700" t="n">
        <v>0</v>
      </c>
      <c r="R700" s="2" t="inlineStr"/>
    </row>
    <row r="701" ht="15" customHeight="1">
      <c r="A701" t="inlineStr">
        <is>
          <t>A 18185-2026</t>
        </is>
      </c>
      <c r="B701" s="1" t="n">
        <v>46125.68391203704</v>
      </c>
      <c r="C701" s="1" t="n">
        <v>46177</v>
      </c>
      <c r="D701" t="inlineStr">
        <is>
          <t>DALARNAS LÄN</t>
        </is>
      </c>
      <c r="E701" t="inlineStr">
        <is>
          <t>ORSA</t>
        </is>
      </c>
      <c r="F701" t="inlineStr">
        <is>
          <t>Bergvik skog öst AB</t>
        </is>
      </c>
      <c r="G701" t="n">
        <v>0.7</v>
      </c>
      <c r="H701" t="n">
        <v>0</v>
      </c>
      <c r="I701" t="n">
        <v>0</v>
      </c>
      <c r="J701" t="n">
        <v>0</v>
      </c>
      <c r="K701" t="n">
        <v>0</v>
      </c>
      <c r="L701" t="n">
        <v>0</v>
      </c>
      <c r="M701" t="n">
        <v>0</v>
      </c>
      <c r="N701" t="n">
        <v>0</v>
      </c>
      <c r="O701" t="n">
        <v>0</v>
      </c>
      <c r="P701" t="n">
        <v>0</v>
      </c>
      <c r="Q701" t="n">
        <v>0</v>
      </c>
      <c r="R701" s="2" t="inlineStr"/>
    </row>
    <row r="702" ht="15" customHeight="1">
      <c r="A702" t="inlineStr">
        <is>
          <t>A 18348-2026</t>
        </is>
      </c>
      <c r="B702" s="1" t="n">
        <v>46126</v>
      </c>
      <c r="C702" s="1" t="n">
        <v>46177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22497-2026</t>
        </is>
      </c>
      <c r="B703" s="1" t="n">
        <v>46154</v>
      </c>
      <c r="C703" s="1" t="n">
        <v>46177</v>
      </c>
      <c r="D703" t="inlineStr">
        <is>
          <t>DALARNAS LÄN</t>
        </is>
      </c>
      <c r="E703" t="inlineStr">
        <is>
          <t>ORSA</t>
        </is>
      </c>
      <c r="G703" t="n">
        <v>0.8</v>
      </c>
      <c r="H703" t="n">
        <v>0</v>
      </c>
      <c r="I703" t="n">
        <v>0</v>
      </c>
      <c r="J703" t="n">
        <v>0</v>
      </c>
      <c r="K703" t="n">
        <v>0</v>
      </c>
      <c r="L703" t="n">
        <v>0</v>
      </c>
      <c r="M703" t="n">
        <v>0</v>
      </c>
      <c r="N703" t="n">
        <v>0</v>
      </c>
      <c r="O703" t="n">
        <v>0</v>
      </c>
      <c r="P703" t="n">
        <v>0</v>
      </c>
      <c r="Q703" t="n">
        <v>0</v>
      </c>
      <c r="R703" s="2" t="inlineStr"/>
    </row>
    <row r="704" ht="15" customHeight="1">
      <c r="A704" t="inlineStr">
        <is>
          <t>A 18847-2026</t>
        </is>
      </c>
      <c r="B704" s="1" t="n">
        <v>46129</v>
      </c>
      <c r="C704" s="1" t="n">
        <v>46177</v>
      </c>
      <c r="D704" t="inlineStr">
        <is>
          <t>DALARNAS LÄN</t>
        </is>
      </c>
      <c r="E704" t="inlineStr">
        <is>
          <t>ORSA</t>
        </is>
      </c>
      <c r="F704" t="inlineStr">
        <is>
          <t>Bergvik skog öst AB</t>
        </is>
      </c>
      <c r="G704" t="n">
        <v>11.7</v>
      </c>
      <c r="H704" t="n">
        <v>0</v>
      </c>
      <c r="I704" t="n">
        <v>0</v>
      </c>
      <c r="J704" t="n">
        <v>0</v>
      </c>
      <c r="K704" t="n">
        <v>0</v>
      </c>
      <c r="L704" t="n">
        <v>0</v>
      </c>
      <c r="M704" t="n">
        <v>0</v>
      </c>
      <c r="N704" t="n">
        <v>0</v>
      </c>
      <c r="O704" t="n">
        <v>0</v>
      </c>
      <c r="P704" t="n">
        <v>0</v>
      </c>
      <c r="Q704" t="n">
        <v>0</v>
      </c>
      <c r="R704" s="2" t="inlineStr"/>
    </row>
    <row r="705" ht="15" customHeight="1">
      <c r="A705" t="inlineStr">
        <is>
          <t>A 19024-2026</t>
        </is>
      </c>
      <c r="B705" s="1" t="n">
        <v>46131.61427083334</v>
      </c>
      <c r="C705" s="1" t="n">
        <v>46177</v>
      </c>
      <c r="D705" t="inlineStr">
        <is>
          <t>DALARNAS LÄN</t>
        </is>
      </c>
      <c r="E705" t="inlineStr">
        <is>
          <t>ORSA</t>
        </is>
      </c>
      <c r="G705" t="n">
        <v>0.8</v>
      </c>
      <c r="H705" t="n">
        <v>0</v>
      </c>
      <c r="I705" t="n">
        <v>0</v>
      </c>
      <c r="J705" t="n">
        <v>0</v>
      </c>
      <c r="K705" t="n">
        <v>0</v>
      </c>
      <c r="L705" t="n">
        <v>0</v>
      </c>
      <c r="M705" t="n">
        <v>0</v>
      </c>
      <c r="N705" t="n">
        <v>0</v>
      </c>
      <c r="O705" t="n">
        <v>0</v>
      </c>
      <c r="P705" t="n">
        <v>0</v>
      </c>
      <c r="Q705" t="n">
        <v>0</v>
      </c>
      <c r="R705" s="2" t="inlineStr"/>
    </row>
    <row r="706" ht="15" customHeight="1">
      <c r="A706" t="inlineStr">
        <is>
          <t>A 24858-2026</t>
        </is>
      </c>
      <c r="B706" s="1" t="n">
        <v>46174.39219907407</v>
      </c>
      <c r="C706" s="1" t="n">
        <v>46177</v>
      </c>
      <c r="D706" t="inlineStr">
        <is>
          <t>DALARNAS LÄN</t>
        </is>
      </c>
      <c r="E706" t="inlineStr">
        <is>
          <t>ORSA</t>
        </is>
      </c>
      <c r="G706" t="n">
        <v>0.8</v>
      </c>
      <c r="H706" t="n">
        <v>0</v>
      </c>
      <c r="I706" t="n">
        <v>0</v>
      </c>
      <c r="J706" t="n">
        <v>0</v>
      </c>
      <c r="K706" t="n">
        <v>0</v>
      </c>
      <c r="L706" t="n">
        <v>0</v>
      </c>
      <c r="M706" t="n">
        <v>0</v>
      </c>
      <c r="N706" t="n">
        <v>0</v>
      </c>
      <c r="O706" t="n">
        <v>0</v>
      </c>
      <c r="P706" t="n">
        <v>0</v>
      </c>
      <c r="Q706" t="n">
        <v>0</v>
      </c>
      <c r="R706" s="2" t="inlineStr"/>
    </row>
    <row r="707" ht="15" customHeight="1">
      <c r="A707" t="inlineStr">
        <is>
          <t>A 24895-2026</t>
        </is>
      </c>
      <c r="B707" s="1" t="n">
        <v>46174.46524305556</v>
      </c>
      <c r="C707" s="1" t="n">
        <v>46177</v>
      </c>
      <c r="D707" t="inlineStr">
        <is>
          <t>DALARNAS LÄN</t>
        </is>
      </c>
      <c r="E707" t="inlineStr">
        <is>
          <t>ORSA</t>
        </is>
      </c>
      <c r="F707" t="inlineStr">
        <is>
          <t>Allmännings- och besparingsskogar</t>
        </is>
      </c>
      <c r="G707" t="n">
        <v>14.7</v>
      </c>
      <c r="H707" t="n">
        <v>0</v>
      </c>
      <c r="I707" t="n">
        <v>0</v>
      </c>
      <c r="J707" t="n">
        <v>0</v>
      </c>
      <c r="K707" t="n">
        <v>0</v>
      </c>
      <c r="L707" t="n">
        <v>0</v>
      </c>
      <c r="M707" t="n">
        <v>0</v>
      </c>
      <c r="N707" t="n">
        <v>0</v>
      </c>
      <c r="O707" t="n">
        <v>0</v>
      </c>
      <c r="P707" t="n">
        <v>0</v>
      </c>
      <c r="Q707" t="n">
        <v>0</v>
      </c>
      <c r="R707" s="2" t="inlineStr"/>
    </row>
    <row r="708" ht="15" customHeight="1">
      <c r="A708" t="inlineStr">
        <is>
          <t>A 18694-2026</t>
        </is>
      </c>
      <c r="B708" s="1" t="n">
        <v>46128.40887731482</v>
      </c>
      <c r="C708" s="1" t="n">
        <v>46177</v>
      </c>
      <c r="D708" t="inlineStr">
        <is>
          <t>DALARNAS LÄN</t>
        </is>
      </c>
      <c r="E708" t="inlineStr">
        <is>
          <t>ORSA</t>
        </is>
      </c>
      <c r="G708" t="n">
        <v>1.4</v>
      </c>
      <c r="H708" t="n">
        <v>0</v>
      </c>
      <c r="I708" t="n">
        <v>0</v>
      </c>
      <c r="J708" t="n">
        <v>0</v>
      </c>
      <c r="K708" t="n">
        <v>0</v>
      </c>
      <c r="L708" t="n">
        <v>0</v>
      </c>
      <c r="M708" t="n">
        <v>0</v>
      </c>
      <c r="N708" t="n">
        <v>0</v>
      </c>
      <c r="O708" t="n">
        <v>0</v>
      </c>
      <c r="P708" t="n">
        <v>0</v>
      </c>
      <c r="Q708" t="n">
        <v>0</v>
      </c>
      <c r="R708" s="2" t="inlineStr"/>
    </row>
    <row r="709" ht="15" customHeight="1">
      <c r="A709" t="inlineStr">
        <is>
          <t>A 19089-2026</t>
        </is>
      </c>
      <c r="B709" s="1" t="n">
        <v>46132.40895833333</v>
      </c>
      <c r="C709" s="1" t="n">
        <v>46177</v>
      </c>
      <c r="D709" t="inlineStr">
        <is>
          <t>DALARNAS LÄN</t>
        </is>
      </c>
      <c r="E709" t="inlineStr">
        <is>
          <t>ORSA</t>
        </is>
      </c>
      <c r="G709" t="n">
        <v>1</v>
      </c>
      <c r="H709" t="n">
        <v>0</v>
      </c>
      <c r="I709" t="n">
        <v>0</v>
      </c>
      <c r="J709" t="n">
        <v>0</v>
      </c>
      <c r="K709" t="n">
        <v>0</v>
      </c>
      <c r="L709" t="n">
        <v>0</v>
      </c>
      <c r="M709" t="n">
        <v>0</v>
      </c>
      <c r="N709" t="n">
        <v>0</v>
      </c>
      <c r="O709" t="n">
        <v>0</v>
      </c>
      <c r="P709" t="n">
        <v>0</v>
      </c>
      <c r="Q709" t="n">
        <v>0</v>
      </c>
      <c r="R709" s="2" t="inlineStr"/>
    </row>
    <row r="710" ht="15" customHeight="1">
      <c r="A710" t="inlineStr">
        <is>
          <t>A 18698-2026</t>
        </is>
      </c>
      <c r="B710" s="1" t="n">
        <v>46128.41168981481</v>
      </c>
      <c r="C710" s="1" t="n">
        <v>46177</v>
      </c>
      <c r="D710" t="inlineStr">
        <is>
          <t>DALARNAS LÄN</t>
        </is>
      </c>
      <c r="E710" t="inlineStr">
        <is>
          <t>ORSA</t>
        </is>
      </c>
      <c r="G710" t="n">
        <v>0.7</v>
      </c>
      <c r="H710" t="n">
        <v>0</v>
      </c>
      <c r="I710" t="n">
        <v>0</v>
      </c>
      <c r="J710" t="n">
        <v>0</v>
      </c>
      <c r="K710" t="n">
        <v>0</v>
      </c>
      <c r="L710" t="n">
        <v>0</v>
      </c>
      <c r="M710" t="n">
        <v>0</v>
      </c>
      <c r="N710" t="n">
        <v>0</v>
      </c>
      <c r="O710" t="n">
        <v>0</v>
      </c>
      <c r="P710" t="n">
        <v>0</v>
      </c>
      <c r="Q710" t="n">
        <v>0</v>
      </c>
      <c r="R710" s="2" t="inlineStr"/>
    </row>
    <row r="711" ht="15" customHeight="1">
      <c r="A711" t="inlineStr">
        <is>
          <t>A 24994-2026</t>
        </is>
      </c>
      <c r="B711" s="1" t="n">
        <v>46174.60793981481</v>
      </c>
      <c r="C711" s="1" t="n">
        <v>46177</v>
      </c>
      <c r="D711" t="inlineStr">
        <is>
          <t>DALARNAS LÄN</t>
        </is>
      </c>
      <c r="E711" t="inlineStr">
        <is>
          <t>ORSA</t>
        </is>
      </c>
      <c r="G711" t="n">
        <v>2.8</v>
      </c>
      <c r="H711" t="n">
        <v>0</v>
      </c>
      <c r="I711" t="n">
        <v>0</v>
      </c>
      <c r="J711" t="n">
        <v>0</v>
      </c>
      <c r="K711" t="n">
        <v>0</v>
      </c>
      <c r="L711" t="n">
        <v>0</v>
      </c>
      <c r="M711" t="n">
        <v>0</v>
      </c>
      <c r="N711" t="n">
        <v>0</v>
      </c>
      <c r="O711" t="n">
        <v>0</v>
      </c>
      <c r="P711" t="n">
        <v>0</v>
      </c>
      <c r="Q711" t="n">
        <v>0</v>
      </c>
      <c r="R711" s="2" t="inlineStr"/>
    </row>
    <row r="712" ht="15" customHeight="1">
      <c r="A712" t="inlineStr">
        <is>
          <t>A 16220-2026</t>
        </is>
      </c>
      <c r="B712" s="1" t="n">
        <v>46111</v>
      </c>
      <c r="C712" s="1" t="n">
        <v>46177</v>
      </c>
      <c r="D712" t="inlineStr">
        <is>
          <t>DALARNAS LÄN</t>
        </is>
      </c>
      <c r="E712" t="inlineStr">
        <is>
          <t>ORSA</t>
        </is>
      </c>
      <c r="F712" t="inlineStr">
        <is>
          <t>Bergvik skog öst AB</t>
        </is>
      </c>
      <c r="G712" t="n">
        <v>7.7</v>
      </c>
      <c r="H712" t="n">
        <v>0</v>
      </c>
      <c r="I712" t="n">
        <v>0</v>
      </c>
      <c r="J712" t="n">
        <v>0</v>
      </c>
      <c r="K712" t="n">
        <v>0</v>
      </c>
      <c r="L712" t="n">
        <v>0</v>
      </c>
      <c r="M712" t="n">
        <v>0</v>
      </c>
      <c r="N712" t="n">
        <v>0</v>
      </c>
      <c r="O712" t="n">
        <v>0</v>
      </c>
      <c r="P712" t="n">
        <v>0</v>
      </c>
      <c r="Q712" t="n">
        <v>0</v>
      </c>
      <c r="R712" s="2" t="inlineStr"/>
    </row>
    <row r="713" ht="15" customHeight="1">
      <c r="A713" t="inlineStr">
        <is>
          <t>A 19026-2026</t>
        </is>
      </c>
      <c r="B713" s="1" t="n">
        <v>46131.62427083333</v>
      </c>
      <c r="C713" s="1" t="n">
        <v>46177</v>
      </c>
      <c r="D713" t="inlineStr">
        <is>
          <t>DALARNAS LÄN</t>
        </is>
      </c>
      <c r="E713" t="inlineStr">
        <is>
          <t>ORSA</t>
        </is>
      </c>
      <c r="G713" t="n">
        <v>3.9</v>
      </c>
      <c r="H713" t="n">
        <v>0</v>
      </c>
      <c r="I713" t="n">
        <v>0</v>
      </c>
      <c r="J713" t="n">
        <v>0</v>
      </c>
      <c r="K713" t="n">
        <v>0</v>
      </c>
      <c r="L713" t="n">
        <v>0</v>
      </c>
      <c r="M713" t="n">
        <v>0</v>
      </c>
      <c r="N713" t="n">
        <v>0</v>
      </c>
      <c r="O713" t="n">
        <v>0</v>
      </c>
      <c r="P713" t="n">
        <v>0</v>
      </c>
      <c r="Q713" t="n">
        <v>0</v>
      </c>
      <c r="R713" s="2" t="inlineStr"/>
    </row>
    <row r="714" ht="15" customHeight="1">
      <c r="A714" t="inlineStr">
        <is>
          <t>A 24722-2026</t>
        </is>
      </c>
      <c r="B714" s="1" t="n">
        <v>46171.54648148148</v>
      </c>
      <c r="C714" s="1" t="n">
        <v>46177</v>
      </c>
      <c r="D714" t="inlineStr">
        <is>
          <t>DALARNAS LÄN</t>
        </is>
      </c>
      <c r="E714" t="inlineStr">
        <is>
          <t>ORSA</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8526-2026</t>
        </is>
      </c>
      <c r="B715" s="1" t="n">
        <v>46065</v>
      </c>
      <c r="C715" s="1" t="n">
        <v>46177</v>
      </c>
      <c r="D715" t="inlineStr">
        <is>
          <t>DALARNAS LÄN</t>
        </is>
      </c>
      <c r="E715" t="inlineStr">
        <is>
          <t>ORSA</t>
        </is>
      </c>
      <c r="G715" t="n">
        <v>0.7</v>
      </c>
      <c r="H715" t="n">
        <v>0</v>
      </c>
      <c r="I715" t="n">
        <v>0</v>
      </c>
      <c r="J715" t="n">
        <v>0</v>
      </c>
      <c r="K715" t="n">
        <v>0</v>
      </c>
      <c r="L715" t="n">
        <v>0</v>
      </c>
      <c r="M715" t="n">
        <v>0</v>
      </c>
      <c r="N715" t="n">
        <v>0</v>
      </c>
      <c r="O715" t="n">
        <v>0</v>
      </c>
      <c r="P715" t="n">
        <v>0</v>
      </c>
      <c r="Q715" t="n">
        <v>0</v>
      </c>
      <c r="R715" s="2" t="inlineStr"/>
    </row>
    <row r="716">
      <c r="A716" t="inlineStr">
        <is>
          <t>A 18615-2026</t>
        </is>
      </c>
      <c r="B716" s="1" t="n">
        <v>46127</v>
      </c>
      <c r="C716" s="1" t="n">
        <v>46177</v>
      </c>
      <c r="D716" t="inlineStr">
        <is>
          <t>DALARNAS LÄN</t>
        </is>
      </c>
      <c r="E716" t="inlineStr">
        <is>
          <t>ORSA</t>
        </is>
      </c>
      <c r="F716" t="inlineStr">
        <is>
          <t>Bergvik skog öst AB</t>
        </is>
      </c>
      <c r="G716" t="n">
        <v>19.1</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2026-06-04T11:06:49Z</dcterms:created>
  <dcterms:modified xmlns:dcterms="http://purl.org/dc/terms/" xmlns:xsi="http://www.w3.org/2001/XMLSchema-instance" xsi:type="dcterms:W3CDTF">2026-06-04T11:06:50Z</dcterms:modified>
</cp:coreProperties>
</file>