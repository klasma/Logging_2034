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46013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46013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46013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46013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46013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46013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46013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46013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46013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46013</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46013</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46013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46013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46013</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46013</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46013</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46013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46013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46013</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46013</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46013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46013</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46013</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46013</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46013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46013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46013</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46013</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46013</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v>
      </c>
      <c r="C31" s="1" t="n">
        <v>46013</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33841-2023</t>
        </is>
      </c>
      <c r="B32" s="1" t="n">
        <v>45133.66758101852</v>
      </c>
      <c r="C32" s="1" t="n">
        <v>46013</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46013</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46013</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46013</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46013</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62761-2025</t>
        </is>
      </c>
      <c r="B37" s="1" t="n">
        <v>46008.59363425926</v>
      </c>
      <c r="C37" s="1" t="n">
        <v>46013</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35570-2024</t>
        </is>
      </c>
      <c r="B38" s="1" t="n">
        <v>45531</v>
      </c>
      <c r="C38" s="1" t="n">
        <v>46013</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3421-2021</t>
        </is>
      </c>
      <c r="B39" s="1" t="n">
        <v>44218</v>
      </c>
      <c r="C39" s="1" t="n">
        <v>46013</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46013</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29844-2025</t>
        </is>
      </c>
      <c r="B41" s="1" t="n">
        <v>45826</v>
      </c>
      <c r="C41" s="1" t="n">
        <v>46013</v>
      </c>
      <c r="D41" t="inlineStr">
        <is>
          <t>DALARNAS LÄN</t>
        </is>
      </c>
      <c r="E41" t="inlineStr">
        <is>
          <t>ORSA</t>
        </is>
      </c>
      <c r="F41" t="inlineStr">
        <is>
          <t>Allmännings- och besparingsskogar</t>
        </is>
      </c>
      <c r="G41" t="n">
        <v>53.9</v>
      </c>
      <c r="H41" t="n">
        <v>1</v>
      </c>
      <c r="I41" t="n">
        <v>1</v>
      </c>
      <c r="J41" t="n">
        <v>2</v>
      </c>
      <c r="K41" t="n">
        <v>0</v>
      </c>
      <c r="L41" t="n">
        <v>0</v>
      </c>
      <c r="M41" t="n">
        <v>0</v>
      </c>
      <c r="N41" t="n">
        <v>0</v>
      </c>
      <c r="O41" t="n">
        <v>2</v>
      </c>
      <c r="P41" t="n">
        <v>0</v>
      </c>
      <c r="Q41" t="n">
        <v>3</v>
      </c>
      <c r="R41" s="2" t="inlineStr">
        <is>
          <t>Garnlav
Spillkråka
Bronshjon</t>
        </is>
      </c>
      <c r="S41">
        <f>HYPERLINK("https://klasma.github.io/Logging_2034/artfynd/A 29844-2025 artfynd.xlsx", "A 29844-2025")</f>
        <v/>
      </c>
      <c r="T41">
        <f>HYPERLINK("https://klasma.github.io/Logging_2034/kartor/A 29844-2025 karta.png", "A 29844-2025")</f>
        <v/>
      </c>
      <c r="V41">
        <f>HYPERLINK("https://klasma.github.io/Logging_2034/klagomål/A 29844-2025 FSC-klagomål.docx", "A 29844-2025")</f>
        <v/>
      </c>
      <c r="W41">
        <f>HYPERLINK("https://klasma.github.io/Logging_2034/klagomålsmail/A 29844-2025 FSC-klagomål mail.docx", "A 29844-2025")</f>
        <v/>
      </c>
      <c r="X41">
        <f>HYPERLINK("https://klasma.github.io/Logging_2034/tillsyn/A 29844-2025 tillsynsbegäran.docx", "A 29844-2025")</f>
        <v/>
      </c>
      <c r="Y41">
        <f>HYPERLINK("https://klasma.github.io/Logging_2034/tillsynsmail/A 29844-2025 tillsynsbegäran mail.docx", "A 29844-2025")</f>
        <v/>
      </c>
      <c r="Z41">
        <f>HYPERLINK("https://klasma.github.io/Logging_2034/fåglar/A 29844-2025 prioriterade fågelarter.docx", "A 29844-2025")</f>
        <v/>
      </c>
    </row>
    <row r="42" ht="15" customHeight="1">
      <c r="A42" t="inlineStr">
        <is>
          <t>A 31336-2025</t>
        </is>
      </c>
      <c r="B42" s="1" t="n">
        <v>45833</v>
      </c>
      <c r="C42" s="1" t="n">
        <v>46013</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48985-2025</t>
        </is>
      </c>
      <c r="B43" s="1" t="n">
        <v>45937.57505787037</v>
      </c>
      <c r="C43" s="1" t="n">
        <v>46013</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31161-2025</t>
        </is>
      </c>
      <c r="B44" s="1" t="n">
        <v>45832</v>
      </c>
      <c r="C44" s="1" t="n">
        <v>46013</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61163-2025</t>
        </is>
      </c>
      <c r="B45" s="1" t="n">
        <v>46000.55846064815</v>
      </c>
      <c r="C45" s="1" t="n">
        <v>46013</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46013</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63810-2021</t>
        </is>
      </c>
      <c r="B47" s="1" t="n">
        <v>44509</v>
      </c>
      <c r="C47" s="1" t="n">
        <v>46013</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31164-2025</t>
        </is>
      </c>
      <c r="B48" s="1" t="n">
        <v>45832</v>
      </c>
      <c r="C48" s="1" t="n">
        <v>46013</v>
      </c>
      <c r="D48" t="inlineStr">
        <is>
          <t>DALARNAS LÄN</t>
        </is>
      </c>
      <c r="E48" t="inlineStr">
        <is>
          <t>ORSA</t>
        </is>
      </c>
      <c r="G48" t="n">
        <v>0.9</v>
      </c>
      <c r="H48" t="n">
        <v>1</v>
      </c>
      <c r="I48" t="n">
        <v>0</v>
      </c>
      <c r="J48" t="n">
        <v>2</v>
      </c>
      <c r="K48" t="n">
        <v>0</v>
      </c>
      <c r="L48" t="n">
        <v>0</v>
      </c>
      <c r="M48" t="n">
        <v>0</v>
      </c>
      <c r="N48" t="n">
        <v>0</v>
      </c>
      <c r="O48" t="n">
        <v>2</v>
      </c>
      <c r="P48" t="n">
        <v>0</v>
      </c>
      <c r="Q48" t="n">
        <v>2</v>
      </c>
      <c r="R48" s="2" t="inlineStr">
        <is>
          <t>Garnlav
Tretåig hackspett</t>
        </is>
      </c>
      <c r="S48">
        <f>HYPERLINK("https://klasma.github.io/Logging_2034/artfynd/A 31164-2025 artfynd.xlsx", "A 31164-2025")</f>
        <v/>
      </c>
      <c r="T48">
        <f>HYPERLINK("https://klasma.github.io/Logging_2034/kartor/A 31164-2025 karta.png", "A 31164-2025")</f>
        <v/>
      </c>
      <c r="V48">
        <f>HYPERLINK("https://klasma.github.io/Logging_2034/klagomål/A 31164-2025 FSC-klagomål.docx", "A 31164-2025")</f>
        <v/>
      </c>
      <c r="W48">
        <f>HYPERLINK("https://klasma.github.io/Logging_2034/klagomålsmail/A 31164-2025 FSC-klagomål mail.docx", "A 31164-2025")</f>
        <v/>
      </c>
      <c r="X48">
        <f>HYPERLINK("https://klasma.github.io/Logging_2034/tillsyn/A 31164-2025 tillsynsbegäran.docx", "A 31164-2025")</f>
        <v/>
      </c>
      <c r="Y48">
        <f>HYPERLINK("https://klasma.github.io/Logging_2034/tillsynsmail/A 31164-2025 tillsynsbegäran mail.docx", "A 31164-2025")</f>
        <v/>
      </c>
      <c r="Z48">
        <f>HYPERLINK("https://klasma.github.io/Logging_2034/fåglar/A 31164-2025 prioriterade fågelarter.docx", "A 31164-2025")</f>
        <v/>
      </c>
    </row>
    <row r="49" ht="15" customHeight="1">
      <c r="A49" t="inlineStr">
        <is>
          <t>A 6029-2024</t>
        </is>
      </c>
      <c r="B49" s="1" t="n">
        <v>45336</v>
      </c>
      <c r="C49" s="1" t="n">
        <v>46013</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48343-2022</t>
        </is>
      </c>
      <c r="B50" s="1" t="n">
        <v>44858</v>
      </c>
      <c r="C50" s="1" t="n">
        <v>46013</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41799-2025</t>
        </is>
      </c>
      <c r="B51" s="1" t="n">
        <v>45902.6065162037</v>
      </c>
      <c r="C51" s="1" t="n">
        <v>46013</v>
      </c>
      <c r="D51" t="inlineStr">
        <is>
          <t>DALARNAS LÄN</t>
        </is>
      </c>
      <c r="E51" t="inlineStr">
        <is>
          <t>ORSA</t>
        </is>
      </c>
      <c r="G51" t="n">
        <v>4</v>
      </c>
      <c r="H51" t="n">
        <v>0</v>
      </c>
      <c r="I51" t="n">
        <v>0</v>
      </c>
      <c r="J51" t="n">
        <v>1</v>
      </c>
      <c r="K51" t="n">
        <v>0</v>
      </c>
      <c r="L51" t="n">
        <v>0</v>
      </c>
      <c r="M51" t="n">
        <v>0</v>
      </c>
      <c r="N51" t="n">
        <v>0</v>
      </c>
      <c r="O51" t="n">
        <v>1</v>
      </c>
      <c r="P51" t="n">
        <v>0</v>
      </c>
      <c r="Q51" t="n">
        <v>1</v>
      </c>
      <c r="R51" s="2" t="inlineStr">
        <is>
          <t>Blå taggsvamp</t>
        </is>
      </c>
      <c r="S51">
        <f>HYPERLINK("https://klasma.github.io/Logging_2034/artfynd/A 41799-2025 artfynd.xlsx", "A 41799-2025")</f>
        <v/>
      </c>
      <c r="T51">
        <f>HYPERLINK("https://klasma.github.io/Logging_2034/kartor/A 41799-2025 karta.png", "A 41799-2025")</f>
        <v/>
      </c>
      <c r="V51">
        <f>HYPERLINK("https://klasma.github.io/Logging_2034/klagomål/A 41799-2025 FSC-klagomål.docx", "A 41799-2025")</f>
        <v/>
      </c>
      <c r="W51">
        <f>HYPERLINK("https://klasma.github.io/Logging_2034/klagomålsmail/A 41799-2025 FSC-klagomål mail.docx", "A 41799-2025")</f>
        <v/>
      </c>
      <c r="X51">
        <f>HYPERLINK("https://klasma.github.io/Logging_2034/tillsyn/A 41799-2025 tillsynsbegäran.docx", "A 41799-2025")</f>
        <v/>
      </c>
      <c r="Y51">
        <f>HYPERLINK("https://klasma.github.io/Logging_2034/tillsynsmail/A 41799-2025 tillsynsbegäran mail.docx", "A 41799-2025")</f>
        <v/>
      </c>
    </row>
    <row r="52" ht="15" customHeight="1">
      <c r="A52" t="inlineStr">
        <is>
          <t>A 41553-2025</t>
        </is>
      </c>
      <c r="B52" s="1" t="n">
        <v>45901.59108796297</v>
      </c>
      <c r="C52" s="1" t="n">
        <v>46013</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42327-2025</t>
        </is>
      </c>
      <c r="B53" s="1" t="n">
        <v>45904.68600694444</v>
      </c>
      <c r="C53" s="1" t="n">
        <v>46013</v>
      </c>
      <c r="D53" t="inlineStr">
        <is>
          <t>DALARNAS LÄN</t>
        </is>
      </c>
      <c r="E53" t="inlineStr">
        <is>
          <t>ORSA</t>
        </is>
      </c>
      <c r="G53" t="n">
        <v>1.6</v>
      </c>
      <c r="H53" t="n">
        <v>1</v>
      </c>
      <c r="I53" t="n">
        <v>0</v>
      </c>
      <c r="J53" t="n">
        <v>1</v>
      </c>
      <c r="K53" t="n">
        <v>0</v>
      </c>
      <c r="L53" t="n">
        <v>0</v>
      </c>
      <c r="M53" t="n">
        <v>0</v>
      </c>
      <c r="N53" t="n">
        <v>0</v>
      </c>
      <c r="O53" t="n">
        <v>1</v>
      </c>
      <c r="P53" t="n">
        <v>0</v>
      </c>
      <c r="Q53" t="n">
        <v>1</v>
      </c>
      <c r="R53" s="2" t="inlineStr">
        <is>
          <t>Grönsångare</t>
        </is>
      </c>
      <c r="S53">
        <f>HYPERLINK("https://klasma.github.io/Logging_2034/artfynd/A 42327-2025 artfynd.xlsx", "A 42327-2025")</f>
        <v/>
      </c>
      <c r="T53">
        <f>HYPERLINK("https://klasma.github.io/Logging_2034/kartor/A 42327-2025 karta.png", "A 42327-2025")</f>
        <v/>
      </c>
      <c r="V53">
        <f>HYPERLINK("https://klasma.github.io/Logging_2034/klagomål/A 42327-2025 FSC-klagomål.docx", "A 42327-2025")</f>
        <v/>
      </c>
      <c r="W53">
        <f>HYPERLINK("https://klasma.github.io/Logging_2034/klagomålsmail/A 42327-2025 FSC-klagomål mail.docx", "A 42327-2025")</f>
        <v/>
      </c>
      <c r="X53">
        <f>HYPERLINK("https://klasma.github.io/Logging_2034/tillsyn/A 42327-2025 tillsynsbegäran.docx", "A 42327-2025")</f>
        <v/>
      </c>
      <c r="Y53">
        <f>HYPERLINK("https://klasma.github.io/Logging_2034/tillsynsmail/A 42327-2025 tillsynsbegäran mail.docx", "A 42327-2025")</f>
        <v/>
      </c>
      <c r="Z53">
        <f>HYPERLINK("https://klasma.github.io/Logging_2034/fåglar/A 42327-2025 prioriterade fågelarter.docx", "A 42327-2025")</f>
        <v/>
      </c>
    </row>
    <row r="54" ht="15" customHeight="1">
      <c r="A54" t="inlineStr">
        <is>
          <t>A 45029-2025</t>
        </is>
      </c>
      <c r="B54" s="1" t="n">
        <v>45918.69835648148</v>
      </c>
      <c r="C54" s="1" t="n">
        <v>46013</v>
      </c>
      <c r="D54" t="inlineStr">
        <is>
          <t>DALARNAS LÄN</t>
        </is>
      </c>
      <c r="E54" t="inlineStr">
        <is>
          <t>ORSA</t>
        </is>
      </c>
      <c r="G54" t="n">
        <v>1.4</v>
      </c>
      <c r="H54" t="n">
        <v>1</v>
      </c>
      <c r="I54" t="n">
        <v>0</v>
      </c>
      <c r="J54" t="n">
        <v>1</v>
      </c>
      <c r="K54" t="n">
        <v>0</v>
      </c>
      <c r="L54" t="n">
        <v>0</v>
      </c>
      <c r="M54" t="n">
        <v>0</v>
      </c>
      <c r="N54" t="n">
        <v>0</v>
      </c>
      <c r="O54" t="n">
        <v>1</v>
      </c>
      <c r="P54" t="n">
        <v>0</v>
      </c>
      <c r="Q54" t="n">
        <v>1</v>
      </c>
      <c r="R54" s="2" t="inlineStr">
        <is>
          <t>Spillkråka</t>
        </is>
      </c>
      <c r="S54">
        <f>HYPERLINK("https://klasma.github.io/Logging_2034/artfynd/A 45029-2025 artfynd.xlsx", "A 45029-2025")</f>
        <v/>
      </c>
      <c r="T54">
        <f>HYPERLINK("https://klasma.github.io/Logging_2034/kartor/A 45029-2025 karta.png", "A 45029-2025")</f>
        <v/>
      </c>
      <c r="V54">
        <f>HYPERLINK("https://klasma.github.io/Logging_2034/klagomål/A 45029-2025 FSC-klagomål.docx", "A 45029-2025")</f>
        <v/>
      </c>
      <c r="W54">
        <f>HYPERLINK("https://klasma.github.io/Logging_2034/klagomålsmail/A 45029-2025 FSC-klagomål mail.docx", "A 45029-2025")</f>
        <v/>
      </c>
      <c r="X54">
        <f>HYPERLINK("https://klasma.github.io/Logging_2034/tillsyn/A 45029-2025 tillsynsbegäran.docx", "A 45029-2025")</f>
        <v/>
      </c>
      <c r="Y54">
        <f>HYPERLINK("https://klasma.github.io/Logging_2034/tillsynsmail/A 45029-2025 tillsynsbegäran mail.docx", "A 45029-2025")</f>
        <v/>
      </c>
      <c r="Z54">
        <f>HYPERLINK("https://klasma.github.io/Logging_2034/fåglar/A 45029-2025 prioriterade fågelarter.docx", "A 45029-2025")</f>
        <v/>
      </c>
    </row>
    <row r="55" ht="15" customHeight="1">
      <c r="A55" t="inlineStr">
        <is>
          <t>A 48973-2025</t>
        </is>
      </c>
      <c r="B55" s="1" t="n">
        <v>45937.5655787037</v>
      </c>
      <c r="C55" s="1" t="n">
        <v>46013</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53707-2025</t>
        </is>
      </c>
      <c r="B56" s="1" t="n">
        <v>45960.60822916667</v>
      </c>
      <c r="C56" s="1" t="n">
        <v>46013</v>
      </c>
      <c r="D56" t="inlineStr">
        <is>
          <t>DALARNAS LÄN</t>
        </is>
      </c>
      <c r="E56" t="inlineStr">
        <is>
          <t>ORSA</t>
        </is>
      </c>
      <c r="G56" t="n">
        <v>2.1</v>
      </c>
      <c r="H56" t="n">
        <v>0</v>
      </c>
      <c r="I56" t="n">
        <v>1</v>
      </c>
      <c r="J56" t="n">
        <v>0</v>
      </c>
      <c r="K56" t="n">
        <v>0</v>
      </c>
      <c r="L56" t="n">
        <v>0</v>
      </c>
      <c r="M56" t="n">
        <v>0</v>
      </c>
      <c r="N56" t="n">
        <v>0</v>
      </c>
      <c r="O56" t="n">
        <v>0</v>
      </c>
      <c r="P56" t="n">
        <v>0</v>
      </c>
      <c r="Q56" t="n">
        <v>1</v>
      </c>
      <c r="R56" s="2" t="inlineStr">
        <is>
          <t>Björksplintborre</t>
        </is>
      </c>
      <c r="S56">
        <f>HYPERLINK("https://klasma.github.io/Logging_2034/artfynd/A 53707-2025 artfynd.xlsx", "A 53707-2025")</f>
        <v/>
      </c>
      <c r="T56">
        <f>HYPERLINK("https://klasma.github.io/Logging_2034/kartor/A 53707-2025 karta.png", "A 53707-2025")</f>
        <v/>
      </c>
      <c r="V56">
        <f>HYPERLINK("https://klasma.github.io/Logging_2034/klagomål/A 53707-2025 FSC-klagomål.docx", "A 53707-2025")</f>
        <v/>
      </c>
      <c r="W56">
        <f>HYPERLINK("https://klasma.github.io/Logging_2034/klagomålsmail/A 53707-2025 FSC-klagomål mail.docx", "A 53707-2025")</f>
        <v/>
      </c>
      <c r="X56">
        <f>HYPERLINK("https://klasma.github.io/Logging_2034/tillsyn/A 53707-2025 tillsynsbegäran.docx", "A 53707-2025")</f>
        <v/>
      </c>
      <c r="Y56">
        <f>HYPERLINK("https://klasma.github.io/Logging_2034/tillsynsmail/A 53707-2025 tillsynsbegäran mail.docx", "A 53707-2025")</f>
        <v/>
      </c>
    </row>
    <row r="57" ht="15" customHeight="1">
      <c r="A57" t="inlineStr">
        <is>
          <t>A 62009-2025</t>
        </is>
      </c>
      <c r="B57" s="1" t="n">
        <v>46003.67215277778</v>
      </c>
      <c r="C57" s="1" t="n">
        <v>46013</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62837-2025</t>
        </is>
      </c>
      <c r="B58" s="1" t="n">
        <v>46008.68391203704</v>
      </c>
      <c r="C58" s="1" t="n">
        <v>46013</v>
      </c>
      <c r="D58" t="inlineStr">
        <is>
          <t>DALARNAS LÄN</t>
        </is>
      </c>
      <c r="E58" t="inlineStr">
        <is>
          <t>ORSA</t>
        </is>
      </c>
      <c r="G58" t="n">
        <v>6.8</v>
      </c>
      <c r="H58" t="n">
        <v>1</v>
      </c>
      <c r="I58" t="n">
        <v>0</v>
      </c>
      <c r="J58" t="n">
        <v>1</v>
      </c>
      <c r="K58" t="n">
        <v>0</v>
      </c>
      <c r="L58" t="n">
        <v>0</v>
      </c>
      <c r="M58" t="n">
        <v>0</v>
      </c>
      <c r="N58" t="n">
        <v>0</v>
      </c>
      <c r="O58" t="n">
        <v>1</v>
      </c>
      <c r="P58" t="n">
        <v>0</v>
      </c>
      <c r="Q58" t="n">
        <v>1</v>
      </c>
      <c r="R58" s="2" t="inlineStr">
        <is>
          <t>Järpe</t>
        </is>
      </c>
      <c r="S58">
        <f>HYPERLINK("https://klasma.github.io/Logging_2034/artfynd/A 62837-2025 artfynd.xlsx", "A 62837-2025")</f>
        <v/>
      </c>
      <c r="T58">
        <f>HYPERLINK("https://klasma.github.io/Logging_2034/kartor/A 62837-2025 karta.png", "A 62837-2025")</f>
        <v/>
      </c>
      <c r="V58">
        <f>HYPERLINK("https://klasma.github.io/Logging_2034/klagomål/A 62837-2025 FSC-klagomål.docx", "A 62837-2025")</f>
        <v/>
      </c>
      <c r="W58">
        <f>HYPERLINK("https://klasma.github.io/Logging_2034/klagomålsmail/A 62837-2025 FSC-klagomål mail.docx", "A 62837-2025")</f>
        <v/>
      </c>
      <c r="X58">
        <f>HYPERLINK("https://klasma.github.io/Logging_2034/tillsyn/A 62837-2025 tillsynsbegäran.docx", "A 62837-2025")</f>
        <v/>
      </c>
      <c r="Y58">
        <f>HYPERLINK("https://klasma.github.io/Logging_2034/tillsynsmail/A 62837-2025 tillsynsbegäran mail.docx", "A 62837-2025")</f>
        <v/>
      </c>
      <c r="Z58">
        <f>HYPERLINK("https://klasma.github.io/Logging_2034/fåglar/A 62837-2025 prioriterade fågelarter.docx", "A 62837-2025")</f>
        <v/>
      </c>
    </row>
    <row r="59" ht="15" customHeight="1">
      <c r="A59" t="inlineStr">
        <is>
          <t>A 54687-2025</t>
        </is>
      </c>
      <c r="B59" s="1" t="n">
        <v>45966.45024305556</v>
      </c>
      <c r="C59" s="1" t="n">
        <v>46013</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37887-2023</t>
        </is>
      </c>
      <c r="B60" s="1" t="n">
        <v>45160</v>
      </c>
      <c r="C60" s="1" t="n">
        <v>46013</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30493-2024</t>
        </is>
      </c>
      <c r="B61" s="1" t="n">
        <v>45492.34811342593</v>
      </c>
      <c r="C61" s="1" t="n">
        <v>46013</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34713-2021</t>
        </is>
      </c>
      <c r="B62" s="1" t="n">
        <v>44382</v>
      </c>
      <c r="C62" s="1" t="n">
        <v>46013</v>
      </c>
      <c r="D62" t="inlineStr">
        <is>
          <t>DALARNAS LÄN</t>
        </is>
      </c>
      <c r="E62" t="inlineStr">
        <is>
          <t>ORSA</t>
        </is>
      </c>
      <c r="G62" t="n">
        <v>0.7</v>
      </c>
      <c r="H62" t="n">
        <v>0</v>
      </c>
      <c r="I62" t="n">
        <v>0</v>
      </c>
      <c r="J62" t="n">
        <v>0</v>
      </c>
      <c r="K62" t="n">
        <v>0</v>
      </c>
      <c r="L62" t="n">
        <v>0</v>
      </c>
      <c r="M62" t="n">
        <v>0</v>
      </c>
      <c r="N62" t="n">
        <v>0</v>
      </c>
      <c r="O62" t="n">
        <v>0</v>
      </c>
      <c r="P62" t="n">
        <v>0</v>
      </c>
      <c r="Q62" t="n">
        <v>0</v>
      </c>
      <c r="R62" s="2" t="inlineStr"/>
    </row>
    <row r="63" ht="15" customHeight="1">
      <c r="A63" t="inlineStr">
        <is>
          <t>A 32931-2022</t>
        </is>
      </c>
      <c r="B63" s="1" t="n">
        <v>44784.65543981481</v>
      </c>
      <c r="C63" s="1" t="n">
        <v>46013</v>
      </c>
      <c r="D63" t="inlineStr">
        <is>
          <t>DALARNAS LÄN</t>
        </is>
      </c>
      <c r="E63" t="inlineStr">
        <is>
          <t>ORSA</t>
        </is>
      </c>
      <c r="F63" t="inlineStr">
        <is>
          <t>Bergvik skog öst AB</t>
        </is>
      </c>
      <c r="G63" t="n">
        <v>0.5</v>
      </c>
      <c r="H63" t="n">
        <v>0</v>
      </c>
      <c r="I63" t="n">
        <v>0</v>
      </c>
      <c r="J63" t="n">
        <v>0</v>
      </c>
      <c r="K63" t="n">
        <v>0</v>
      </c>
      <c r="L63" t="n">
        <v>0</v>
      </c>
      <c r="M63" t="n">
        <v>0</v>
      </c>
      <c r="N63" t="n">
        <v>0</v>
      </c>
      <c r="O63" t="n">
        <v>0</v>
      </c>
      <c r="P63" t="n">
        <v>0</v>
      </c>
      <c r="Q63" t="n">
        <v>0</v>
      </c>
      <c r="R63" s="2" t="inlineStr"/>
    </row>
    <row r="64" ht="15" customHeight="1">
      <c r="A64" t="inlineStr">
        <is>
          <t>A 10405-2022</t>
        </is>
      </c>
      <c r="B64" s="1" t="n">
        <v>44623</v>
      </c>
      <c r="C64" s="1" t="n">
        <v>46013</v>
      </c>
      <c r="D64" t="inlineStr">
        <is>
          <t>DALARNAS LÄN</t>
        </is>
      </c>
      <c r="E64" t="inlineStr">
        <is>
          <t>ORSA</t>
        </is>
      </c>
      <c r="G64" t="n">
        <v>1.4</v>
      </c>
      <c r="H64" t="n">
        <v>0</v>
      </c>
      <c r="I64" t="n">
        <v>0</v>
      </c>
      <c r="J64" t="n">
        <v>0</v>
      </c>
      <c r="K64" t="n">
        <v>0</v>
      </c>
      <c r="L64" t="n">
        <v>0</v>
      </c>
      <c r="M64" t="n">
        <v>0</v>
      </c>
      <c r="N64" t="n">
        <v>0</v>
      </c>
      <c r="O64" t="n">
        <v>0</v>
      </c>
      <c r="P64" t="n">
        <v>0</v>
      </c>
      <c r="Q64" t="n">
        <v>0</v>
      </c>
      <c r="R64" s="2" t="inlineStr"/>
    </row>
    <row r="65" ht="15" customHeight="1">
      <c r="A65" t="inlineStr">
        <is>
          <t>A 49004-2021</t>
        </is>
      </c>
      <c r="B65" s="1" t="n">
        <v>44453.46967592592</v>
      </c>
      <c r="C65" s="1" t="n">
        <v>46013</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4108-2021</t>
        </is>
      </c>
      <c r="B66" s="1" t="n">
        <v>44222</v>
      </c>
      <c r="C66" s="1" t="n">
        <v>46013</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28259-2021</t>
        </is>
      </c>
      <c r="B67" s="1" t="n">
        <v>44355</v>
      </c>
      <c r="C67" s="1" t="n">
        <v>46013</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39920-2021</t>
        </is>
      </c>
      <c r="B68" s="1" t="n">
        <v>44417</v>
      </c>
      <c r="C68" s="1" t="n">
        <v>46013</v>
      </c>
      <c r="D68" t="inlineStr">
        <is>
          <t>DALARNAS LÄN</t>
        </is>
      </c>
      <c r="E68" t="inlineStr">
        <is>
          <t>ORSA</t>
        </is>
      </c>
      <c r="F68" t="inlineStr">
        <is>
          <t>Kyrkan</t>
        </is>
      </c>
      <c r="G68" t="n">
        <v>2.2</v>
      </c>
      <c r="H68" t="n">
        <v>0</v>
      </c>
      <c r="I68" t="n">
        <v>0</v>
      </c>
      <c r="J68" t="n">
        <v>0</v>
      </c>
      <c r="K68" t="n">
        <v>0</v>
      </c>
      <c r="L68" t="n">
        <v>0</v>
      </c>
      <c r="M68" t="n">
        <v>0</v>
      </c>
      <c r="N68" t="n">
        <v>0</v>
      </c>
      <c r="O68" t="n">
        <v>0</v>
      </c>
      <c r="P68" t="n">
        <v>0</v>
      </c>
      <c r="Q68" t="n">
        <v>0</v>
      </c>
      <c r="R68" s="2" t="inlineStr"/>
    </row>
    <row r="69" ht="15" customHeight="1">
      <c r="A69" t="inlineStr">
        <is>
          <t>A 68436-2020</t>
        </is>
      </c>
      <c r="B69" s="1" t="n">
        <v>44186</v>
      </c>
      <c r="C69" s="1" t="n">
        <v>46013</v>
      </c>
      <c r="D69" t="inlineStr">
        <is>
          <t>DALARNAS LÄN</t>
        </is>
      </c>
      <c r="E69" t="inlineStr">
        <is>
          <t>ORSA</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29874-2021</t>
        </is>
      </c>
      <c r="B70" s="1" t="n">
        <v>44362.68665509259</v>
      </c>
      <c r="C70" s="1" t="n">
        <v>46013</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10262-2022</t>
        </is>
      </c>
      <c r="B71" s="1" t="n">
        <v>44622.6487037037</v>
      </c>
      <c r="C71" s="1" t="n">
        <v>46013</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27498-2022</t>
        </is>
      </c>
      <c r="B72" s="1" t="n">
        <v>44742.62271990741</v>
      </c>
      <c r="C72" s="1" t="n">
        <v>46013</v>
      </c>
      <c r="D72" t="inlineStr">
        <is>
          <t>DALARNAS LÄN</t>
        </is>
      </c>
      <c r="E72" t="inlineStr">
        <is>
          <t>ORSA</t>
        </is>
      </c>
      <c r="G72" t="n">
        <v>5.7</v>
      </c>
      <c r="H72" t="n">
        <v>0</v>
      </c>
      <c r="I72" t="n">
        <v>0</v>
      </c>
      <c r="J72" t="n">
        <v>0</v>
      </c>
      <c r="K72" t="n">
        <v>0</v>
      </c>
      <c r="L72" t="n">
        <v>0</v>
      </c>
      <c r="M72" t="n">
        <v>0</v>
      </c>
      <c r="N72" t="n">
        <v>0</v>
      </c>
      <c r="O72" t="n">
        <v>0</v>
      </c>
      <c r="P72" t="n">
        <v>0</v>
      </c>
      <c r="Q72" t="n">
        <v>0</v>
      </c>
      <c r="R72" s="2" t="inlineStr"/>
    </row>
    <row r="73" ht="15" customHeight="1">
      <c r="A73" t="inlineStr">
        <is>
          <t>A 12622-2021</t>
        </is>
      </c>
      <c r="B73" s="1" t="n">
        <v>44270.45215277778</v>
      </c>
      <c r="C73" s="1" t="n">
        <v>46013</v>
      </c>
      <c r="D73" t="inlineStr">
        <is>
          <t>DALARNAS LÄN</t>
        </is>
      </c>
      <c r="E73" t="inlineStr">
        <is>
          <t>ORSA</t>
        </is>
      </c>
      <c r="G73" t="n">
        <v>5.1</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46013</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11138-2022</t>
        </is>
      </c>
      <c r="B75" s="1" t="n">
        <v>44629.3184837963</v>
      </c>
      <c r="C75" s="1" t="n">
        <v>46013</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33480-2021</t>
        </is>
      </c>
      <c r="B76" s="1" t="n">
        <v>44377</v>
      </c>
      <c r="C76" s="1" t="n">
        <v>46013</v>
      </c>
      <c r="D76" t="inlineStr">
        <is>
          <t>DALARNAS LÄN</t>
        </is>
      </c>
      <c r="E76" t="inlineStr">
        <is>
          <t>ORSA</t>
        </is>
      </c>
      <c r="F76" t="inlineStr">
        <is>
          <t>Bergvik skog öst AB</t>
        </is>
      </c>
      <c r="G76" t="n">
        <v>0.6</v>
      </c>
      <c r="H76" t="n">
        <v>0</v>
      </c>
      <c r="I76" t="n">
        <v>0</v>
      </c>
      <c r="J76" t="n">
        <v>0</v>
      </c>
      <c r="K76" t="n">
        <v>0</v>
      </c>
      <c r="L76" t="n">
        <v>0</v>
      </c>
      <c r="M76" t="n">
        <v>0</v>
      </c>
      <c r="N76" t="n">
        <v>0</v>
      </c>
      <c r="O76" t="n">
        <v>0</v>
      </c>
      <c r="P76" t="n">
        <v>0</v>
      </c>
      <c r="Q76" t="n">
        <v>0</v>
      </c>
      <c r="R76" s="2" t="inlineStr"/>
    </row>
    <row r="77" ht="15" customHeight="1">
      <c r="A77" t="inlineStr">
        <is>
          <t>A 54760-2021</t>
        </is>
      </c>
      <c r="B77" s="1" t="n">
        <v>44473.93685185185</v>
      </c>
      <c r="C77" s="1" t="n">
        <v>46013</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60391-2021</t>
        </is>
      </c>
      <c r="B78" s="1" t="n">
        <v>44496</v>
      </c>
      <c r="C78" s="1" t="n">
        <v>46013</v>
      </c>
      <c r="D78" t="inlineStr">
        <is>
          <t>DALARNAS LÄN</t>
        </is>
      </c>
      <c r="E78" t="inlineStr">
        <is>
          <t>ORSA</t>
        </is>
      </c>
      <c r="G78" t="n">
        <v>1.3</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46013</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46013</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46013</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46013</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46013</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46013</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46013</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46013</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46013</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46013</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46013</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46013</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46013</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46013</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46013</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29366-2021</t>
        </is>
      </c>
      <c r="B94" s="1" t="n">
        <v>44361.46637731481</v>
      </c>
      <c r="C94" s="1" t="n">
        <v>46013</v>
      </c>
      <c r="D94" t="inlineStr">
        <is>
          <t>DALARNAS LÄN</t>
        </is>
      </c>
      <c r="E94" t="inlineStr">
        <is>
          <t>ORSA</t>
        </is>
      </c>
      <c r="F94" t="inlineStr">
        <is>
          <t>Bergvik skog öst AB</t>
        </is>
      </c>
      <c r="G94" t="n">
        <v>0.5</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46013</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46013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46013</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46013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46013</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46013</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46013</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46013</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46013</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46013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46013</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46013</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46013</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46013</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46013</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46013</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46013</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46013</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46013</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2948-2025</t>
        </is>
      </c>
      <c r="B114" s="1" t="n">
        <v>45678.42868055555</v>
      </c>
      <c r="C114" s="1" t="n">
        <v>46013</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46013</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19932-2021</t>
        </is>
      </c>
      <c r="B116" s="1" t="n">
        <v>44313.60207175926</v>
      </c>
      <c r="C116" s="1" t="n">
        <v>46013</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11784-2024</t>
        </is>
      </c>
      <c r="B117" s="1" t="n">
        <v>45374.67886574074</v>
      </c>
      <c r="C117" s="1" t="n">
        <v>46013</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27542-2021</t>
        </is>
      </c>
      <c r="B118" s="1" t="n">
        <v>44351</v>
      </c>
      <c r="C118" s="1" t="n">
        <v>46013</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48985-2023</t>
        </is>
      </c>
      <c r="B119" s="1" t="n">
        <v>45209.64077546296</v>
      </c>
      <c r="C119" s="1" t="n">
        <v>46013</v>
      </c>
      <c r="D119" t="inlineStr">
        <is>
          <t>DALARNAS LÄN</t>
        </is>
      </c>
      <c r="E119" t="inlineStr">
        <is>
          <t>ORSA</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46013</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16392-2024</t>
        </is>
      </c>
      <c r="B121" s="1" t="n">
        <v>45407.62380787037</v>
      </c>
      <c r="C121" s="1" t="n">
        <v>46013</v>
      </c>
      <c r="D121" t="inlineStr">
        <is>
          <t>DALARNAS LÄN</t>
        </is>
      </c>
      <c r="E121" t="inlineStr">
        <is>
          <t>ORSA</t>
        </is>
      </c>
      <c r="G121" t="n">
        <v>3.4</v>
      </c>
      <c r="H121" t="n">
        <v>0</v>
      </c>
      <c r="I121" t="n">
        <v>0</v>
      </c>
      <c r="J121" t="n">
        <v>0</v>
      </c>
      <c r="K121" t="n">
        <v>0</v>
      </c>
      <c r="L121" t="n">
        <v>0</v>
      </c>
      <c r="M121" t="n">
        <v>0</v>
      </c>
      <c r="N121" t="n">
        <v>0</v>
      </c>
      <c r="O121" t="n">
        <v>0</v>
      </c>
      <c r="P121" t="n">
        <v>0</v>
      </c>
      <c r="Q121" t="n">
        <v>0</v>
      </c>
      <c r="R121" s="2" t="inlineStr"/>
    </row>
    <row r="122" ht="15" customHeight="1">
      <c r="A122" t="inlineStr">
        <is>
          <t>A 18312-2024</t>
        </is>
      </c>
      <c r="B122" s="1" t="n">
        <v>45422.48225694444</v>
      </c>
      <c r="C122" s="1" t="n">
        <v>46013</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52044-2023</t>
        </is>
      </c>
      <c r="B123" s="1" t="n">
        <v>45223.6365625</v>
      </c>
      <c r="C123" s="1" t="n">
        <v>46013</v>
      </c>
      <c r="D123" t="inlineStr">
        <is>
          <t>DALARNAS LÄN</t>
        </is>
      </c>
      <c r="E123" t="inlineStr">
        <is>
          <t>ORSA</t>
        </is>
      </c>
      <c r="G123" t="n">
        <v>2.6</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44446.78168981482</v>
      </c>
      <c r="C124" s="1" t="n">
        <v>46013</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30290-2024</t>
        </is>
      </c>
      <c r="B125" s="1" t="n">
        <v>45490.64681712963</v>
      </c>
      <c r="C125" s="1" t="n">
        <v>46013</v>
      </c>
      <c r="D125" t="inlineStr">
        <is>
          <t>DALARNAS LÄN</t>
        </is>
      </c>
      <c r="E125" t="inlineStr">
        <is>
          <t>ORSA</t>
        </is>
      </c>
      <c r="F125" t="inlineStr">
        <is>
          <t>Bergvik skog öst AB</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23740-2025</t>
        </is>
      </c>
      <c r="B126" s="1" t="n">
        <v>45793.43210648148</v>
      </c>
      <c r="C126" s="1" t="n">
        <v>46013</v>
      </c>
      <c r="D126" t="inlineStr">
        <is>
          <t>DALARNAS LÄN</t>
        </is>
      </c>
      <c r="E126" t="inlineStr">
        <is>
          <t>ORSA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55338-2022</t>
        </is>
      </c>
      <c r="B127" s="1" t="n">
        <v>44887.45185185185</v>
      </c>
      <c r="C127" s="1" t="n">
        <v>46013</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36682-2024</t>
        </is>
      </c>
      <c r="B128" s="1" t="n">
        <v>45537.65519675926</v>
      </c>
      <c r="C128" s="1" t="n">
        <v>46013</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70332-2021</t>
        </is>
      </c>
      <c r="B129" s="1" t="n">
        <v>44536</v>
      </c>
      <c r="C129" s="1" t="n">
        <v>46013</v>
      </c>
      <c r="D129" t="inlineStr">
        <is>
          <t>DALARNAS LÄN</t>
        </is>
      </c>
      <c r="E129" t="inlineStr">
        <is>
          <t>ORSA</t>
        </is>
      </c>
      <c r="G129" t="n">
        <v>7.2</v>
      </c>
      <c r="H129" t="n">
        <v>0</v>
      </c>
      <c r="I129" t="n">
        <v>0</v>
      </c>
      <c r="J129" t="n">
        <v>0</v>
      </c>
      <c r="K129" t="n">
        <v>0</v>
      </c>
      <c r="L129" t="n">
        <v>0</v>
      </c>
      <c r="M129" t="n">
        <v>0</v>
      </c>
      <c r="N129" t="n">
        <v>0</v>
      </c>
      <c r="O129" t="n">
        <v>0</v>
      </c>
      <c r="P129" t="n">
        <v>0</v>
      </c>
      <c r="Q129" t="n">
        <v>0</v>
      </c>
      <c r="R129" s="2" t="inlineStr"/>
    </row>
    <row r="130" ht="15" customHeight="1">
      <c r="A130" t="inlineStr">
        <is>
          <t>A 38688-2025</t>
        </is>
      </c>
      <c r="B130" s="1" t="n">
        <v>45884.66097222222</v>
      </c>
      <c r="C130" s="1" t="n">
        <v>46013</v>
      </c>
      <c r="D130" t="inlineStr">
        <is>
          <t>DALARNAS LÄN</t>
        </is>
      </c>
      <c r="E130" t="inlineStr">
        <is>
          <t>ORSA</t>
        </is>
      </c>
      <c r="F130" t="inlineStr">
        <is>
          <t>Allmännings- och besparingsskogar</t>
        </is>
      </c>
      <c r="G130" t="n">
        <v>10.2</v>
      </c>
      <c r="H130" t="n">
        <v>0</v>
      </c>
      <c r="I130" t="n">
        <v>0</v>
      </c>
      <c r="J130" t="n">
        <v>0</v>
      </c>
      <c r="K130" t="n">
        <v>0</v>
      </c>
      <c r="L130" t="n">
        <v>0</v>
      </c>
      <c r="M130" t="n">
        <v>0</v>
      </c>
      <c r="N130" t="n">
        <v>0</v>
      </c>
      <c r="O130" t="n">
        <v>0</v>
      </c>
      <c r="P130" t="n">
        <v>0</v>
      </c>
      <c r="Q130" t="n">
        <v>0</v>
      </c>
      <c r="R130" s="2" t="inlineStr"/>
    </row>
    <row r="131" ht="15" customHeight="1">
      <c r="A131" t="inlineStr">
        <is>
          <t>A 1785-2024</t>
        </is>
      </c>
      <c r="B131" s="1" t="n">
        <v>45307</v>
      </c>
      <c r="C131" s="1" t="n">
        <v>46013</v>
      </c>
      <c r="D131" t="inlineStr">
        <is>
          <t>DALARNAS LÄN</t>
        </is>
      </c>
      <c r="E131" t="inlineStr">
        <is>
          <t>ORSA</t>
        </is>
      </c>
      <c r="G131" t="n">
        <v>42.8</v>
      </c>
      <c r="H131" t="n">
        <v>0</v>
      </c>
      <c r="I131" t="n">
        <v>0</v>
      </c>
      <c r="J131" t="n">
        <v>0</v>
      </c>
      <c r="K131" t="n">
        <v>0</v>
      </c>
      <c r="L131" t="n">
        <v>0</v>
      </c>
      <c r="M131" t="n">
        <v>0</v>
      </c>
      <c r="N131" t="n">
        <v>0</v>
      </c>
      <c r="O131" t="n">
        <v>0</v>
      </c>
      <c r="P131" t="n">
        <v>0</v>
      </c>
      <c r="Q131" t="n">
        <v>0</v>
      </c>
      <c r="R131" s="2" t="inlineStr"/>
    </row>
    <row r="132" ht="15" customHeight="1">
      <c r="A132" t="inlineStr">
        <is>
          <t>A 53703-2024</t>
        </is>
      </c>
      <c r="B132" s="1" t="n">
        <v>45615.3990162037</v>
      </c>
      <c r="C132" s="1" t="n">
        <v>46013</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5434-2025</t>
        </is>
      </c>
      <c r="B133" s="1" t="n">
        <v>45692</v>
      </c>
      <c r="C133" s="1" t="n">
        <v>46013</v>
      </c>
      <c r="D133" t="inlineStr">
        <is>
          <t>DALARNAS LÄN</t>
        </is>
      </c>
      <c r="E133" t="inlineStr">
        <is>
          <t>ORSA</t>
        </is>
      </c>
      <c r="G133" t="n">
        <v>6.9</v>
      </c>
      <c r="H133" t="n">
        <v>0</v>
      </c>
      <c r="I133" t="n">
        <v>0</v>
      </c>
      <c r="J133" t="n">
        <v>0</v>
      </c>
      <c r="K133" t="n">
        <v>0</v>
      </c>
      <c r="L133" t="n">
        <v>0</v>
      </c>
      <c r="M133" t="n">
        <v>0</v>
      </c>
      <c r="N133" t="n">
        <v>0</v>
      </c>
      <c r="O133" t="n">
        <v>0</v>
      </c>
      <c r="P133" t="n">
        <v>0</v>
      </c>
      <c r="Q133" t="n">
        <v>0</v>
      </c>
      <c r="R133" s="2" t="inlineStr"/>
    </row>
    <row r="134" ht="15" customHeight="1">
      <c r="A134" t="inlineStr">
        <is>
          <t>A 24235-2025</t>
        </is>
      </c>
      <c r="B134" s="1" t="n">
        <v>45797.38252314815</v>
      </c>
      <c r="C134" s="1" t="n">
        <v>46013</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30291-2024</t>
        </is>
      </c>
      <c r="B135" s="1" t="n">
        <v>45490.64978009259</v>
      </c>
      <c r="C135" s="1" t="n">
        <v>46013</v>
      </c>
      <c r="D135" t="inlineStr">
        <is>
          <t>DALARNAS LÄN</t>
        </is>
      </c>
      <c r="E135" t="inlineStr">
        <is>
          <t>ORSA</t>
        </is>
      </c>
      <c r="F135" t="inlineStr">
        <is>
          <t>Bergvik skog öst AB</t>
        </is>
      </c>
      <c r="G135" t="n">
        <v>7.5</v>
      </c>
      <c r="H135" t="n">
        <v>0</v>
      </c>
      <c r="I135" t="n">
        <v>0</v>
      </c>
      <c r="J135" t="n">
        <v>0</v>
      </c>
      <c r="K135" t="n">
        <v>0</v>
      </c>
      <c r="L135" t="n">
        <v>0</v>
      </c>
      <c r="M135" t="n">
        <v>0</v>
      </c>
      <c r="N135" t="n">
        <v>0</v>
      </c>
      <c r="O135" t="n">
        <v>0</v>
      </c>
      <c r="P135" t="n">
        <v>0</v>
      </c>
      <c r="Q135" t="n">
        <v>0</v>
      </c>
      <c r="R135" s="2" t="inlineStr"/>
    </row>
    <row r="136" ht="15" customHeight="1">
      <c r="A136" t="inlineStr">
        <is>
          <t>A 38588-2025</t>
        </is>
      </c>
      <c r="B136" s="1" t="n">
        <v>45884.47355324074</v>
      </c>
      <c r="C136" s="1" t="n">
        <v>46013</v>
      </c>
      <c r="D136" t="inlineStr">
        <is>
          <t>DALARNAS LÄN</t>
        </is>
      </c>
      <c r="E136" t="inlineStr">
        <is>
          <t>ORSA</t>
        </is>
      </c>
      <c r="F136" t="inlineStr">
        <is>
          <t>Bergvik skog öst AB</t>
        </is>
      </c>
      <c r="G136" t="n">
        <v>9.5</v>
      </c>
      <c r="H136" t="n">
        <v>0</v>
      </c>
      <c r="I136" t="n">
        <v>0</v>
      </c>
      <c r="J136" t="n">
        <v>0</v>
      </c>
      <c r="K136" t="n">
        <v>0</v>
      </c>
      <c r="L136" t="n">
        <v>0</v>
      </c>
      <c r="M136" t="n">
        <v>0</v>
      </c>
      <c r="N136" t="n">
        <v>0</v>
      </c>
      <c r="O136" t="n">
        <v>0</v>
      </c>
      <c r="P136" t="n">
        <v>0</v>
      </c>
      <c r="Q136" t="n">
        <v>0</v>
      </c>
      <c r="R136" s="2" t="inlineStr"/>
    </row>
    <row r="137" ht="15" customHeight="1">
      <c r="A137" t="inlineStr">
        <is>
          <t>A 37836-2024</t>
        </is>
      </c>
      <c r="B137" s="1" t="n">
        <v>45544.35747685185</v>
      </c>
      <c r="C137" s="1" t="n">
        <v>46013</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28974-2024</t>
        </is>
      </c>
      <c r="B138" s="1" t="n">
        <v>45481.45445601852</v>
      </c>
      <c r="C138" s="1" t="n">
        <v>46013</v>
      </c>
      <c r="D138" t="inlineStr">
        <is>
          <t>DALARNAS LÄN</t>
        </is>
      </c>
      <c r="E138" t="inlineStr">
        <is>
          <t>ORSA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24248-2025</t>
        </is>
      </c>
      <c r="B139" s="1" t="n">
        <v>45797.40101851852</v>
      </c>
      <c r="C139" s="1" t="n">
        <v>46013</v>
      </c>
      <c r="D139" t="inlineStr">
        <is>
          <t>DALARNAS LÄN</t>
        </is>
      </c>
      <c r="E139" t="inlineStr">
        <is>
          <t>ORSA</t>
        </is>
      </c>
      <c r="F139" t="inlineStr">
        <is>
          <t>Bergvik skog öst AB</t>
        </is>
      </c>
      <c r="G139" t="n">
        <v>4.3</v>
      </c>
      <c r="H139" t="n">
        <v>0</v>
      </c>
      <c r="I139" t="n">
        <v>0</v>
      </c>
      <c r="J139" t="n">
        <v>0</v>
      </c>
      <c r="K139" t="n">
        <v>0</v>
      </c>
      <c r="L139" t="n">
        <v>0</v>
      </c>
      <c r="M139" t="n">
        <v>0</v>
      </c>
      <c r="N139" t="n">
        <v>0</v>
      </c>
      <c r="O139" t="n">
        <v>0</v>
      </c>
      <c r="P139" t="n">
        <v>0</v>
      </c>
      <c r="Q139" t="n">
        <v>0</v>
      </c>
      <c r="R139" s="2" t="inlineStr"/>
    </row>
    <row r="140" ht="15" customHeight="1">
      <c r="A140" t="inlineStr">
        <is>
          <t>A 21446-2024</t>
        </is>
      </c>
      <c r="B140" s="1" t="n">
        <v>45441.45840277777</v>
      </c>
      <c r="C140" s="1" t="n">
        <v>46013</v>
      </c>
      <c r="D140" t="inlineStr">
        <is>
          <t>DALARNAS LÄN</t>
        </is>
      </c>
      <c r="E140" t="inlineStr">
        <is>
          <t>ORSA</t>
        </is>
      </c>
      <c r="G140" t="n">
        <v>1.6</v>
      </c>
      <c r="H140" t="n">
        <v>0</v>
      </c>
      <c r="I140" t="n">
        <v>0</v>
      </c>
      <c r="J140" t="n">
        <v>0</v>
      </c>
      <c r="K140" t="n">
        <v>0</v>
      </c>
      <c r="L140" t="n">
        <v>0</v>
      </c>
      <c r="M140" t="n">
        <v>0</v>
      </c>
      <c r="N140" t="n">
        <v>0</v>
      </c>
      <c r="O140" t="n">
        <v>0</v>
      </c>
      <c r="P140" t="n">
        <v>0</v>
      </c>
      <c r="Q140" t="n">
        <v>0</v>
      </c>
      <c r="R140" s="2" t="inlineStr"/>
    </row>
    <row r="141" ht="15" customHeight="1">
      <c r="A141" t="inlineStr">
        <is>
          <t>A 24969-2025</t>
        </is>
      </c>
      <c r="B141" s="1" t="n">
        <v>45799</v>
      </c>
      <c r="C141" s="1" t="n">
        <v>46013</v>
      </c>
      <c r="D141" t="inlineStr">
        <is>
          <t>DALARNAS LÄN</t>
        </is>
      </c>
      <c r="E141" t="inlineStr">
        <is>
          <t>ORSA</t>
        </is>
      </c>
      <c r="F141" t="inlineStr">
        <is>
          <t>Allmännings- och besparingsskogar</t>
        </is>
      </c>
      <c r="G141" t="n">
        <v>2.6</v>
      </c>
      <c r="H141" t="n">
        <v>0</v>
      </c>
      <c r="I141" t="n">
        <v>0</v>
      </c>
      <c r="J141" t="n">
        <v>0</v>
      </c>
      <c r="K141" t="n">
        <v>0</v>
      </c>
      <c r="L141" t="n">
        <v>0</v>
      </c>
      <c r="M141" t="n">
        <v>0</v>
      </c>
      <c r="N141" t="n">
        <v>0</v>
      </c>
      <c r="O141" t="n">
        <v>0</v>
      </c>
      <c r="P141" t="n">
        <v>0</v>
      </c>
      <c r="Q141" t="n">
        <v>0</v>
      </c>
      <c r="R141" s="2" t="inlineStr"/>
    </row>
    <row r="142" ht="15" customHeight="1">
      <c r="A142" t="inlineStr">
        <is>
          <t>A 25211-2025</t>
        </is>
      </c>
      <c r="B142" s="1" t="n">
        <v>45800.46965277778</v>
      </c>
      <c r="C142" s="1" t="n">
        <v>46013</v>
      </c>
      <c r="D142" t="inlineStr">
        <is>
          <t>DALARNAS LÄN</t>
        </is>
      </c>
      <c r="E142" t="inlineStr">
        <is>
          <t>ORSA</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38844-2025</t>
        </is>
      </c>
      <c r="B143" s="1" t="n">
        <v>45887.54075231482</v>
      </c>
      <c r="C143" s="1" t="n">
        <v>46013</v>
      </c>
      <c r="D143" t="inlineStr">
        <is>
          <t>DALARNAS LÄN</t>
        </is>
      </c>
      <c r="E143" t="inlineStr">
        <is>
          <t>ORSA</t>
        </is>
      </c>
      <c r="G143" t="n">
        <v>1.6</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46013</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41291-2021</t>
        </is>
      </c>
      <c r="B145" s="1" t="n">
        <v>44424</v>
      </c>
      <c r="C145" s="1" t="n">
        <v>46013</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50999-2021</t>
        </is>
      </c>
      <c r="B146" s="1" t="n">
        <v>44460.85565972222</v>
      </c>
      <c r="C146" s="1" t="n">
        <v>46013</v>
      </c>
      <c r="D146" t="inlineStr">
        <is>
          <t>DALARNAS LÄN</t>
        </is>
      </c>
      <c r="E146" t="inlineStr">
        <is>
          <t>ORSA</t>
        </is>
      </c>
      <c r="G146" t="n">
        <v>3</v>
      </c>
      <c r="H146" t="n">
        <v>0</v>
      </c>
      <c r="I146" t="n">
        <v>0</v>
      </c>
      <c r="J146" t="n">
        <v>0</v>
      </c>
      <c r="K146" t="n">
        <v>0</v>
      </c>
      <c r="L146" t="n">
        <v>0</v>
      </c>
      <c r="M146" t="n">
        <v>0</v>
      </c>
      <c r="N146" t="n">
        <v>0</v>
      </c>
      <c r="O146" t="n">
        <v>0</v>
      </c>
      <c r="P146" t="n">
        <v>0</v>
      </c>
      <c r="Q146" t="n">
        <v>0</v>
      </c>
      <c r="R146" s="2" t="inlineStr"/>
    </row>
    <row r="147" ht="15" customHeight="1">
      <c r="A147" t="inlineStr">
        <is>
          <t>A 18817-2023</t>
        </is>
      </c>
      <c r="B147" s="1" t="n">
        <v>45043</v>
      </c>
      <c r="C147" s="1" t="n">
        <v>46013</v>
      </c>
      <c r="D147" t="inlineStr">
        <is>
          <t>DALARNAS LÄN</t>
        </is>
      </c>
      <c r="E147" t="inlineStr">
        <is>
          <t>ORSA</t>
        </is>
      </c>
      <c r="G147" t="n">
        <v>4.4</v>
      </c>
      <c r="H147" t="n">
        <v>0</v>
      </c>
      <c r="I147" t="n">
        <v>0</v>
      </c>
      <c r="J147" t="n">
        <v>0</v>
      </c>
      <c r="K147" t="n">
        <v>0</v>
      </c>
      <c r="L147" t="n">
        <v>0</v>
      </c>
      <c r="M147" t="n">
        <v>0</v>
      </c>
      <c r="N147" t="n">
        <v>0</v>
      </c>
      <c r="O147" t="n">
        <v>0</v>
      </c>
      <c r="P147" t="n">
        <v>0</v>
      </c>
      <c r="Q147" t="n">
        <v>0</v>
      </c>
      <c r="R147" s="2" t="inlineStr"/>
    </row>
    <row r="148" ht="15" customHeight="1">
      <c r="A148" t="inlineStr">
        <is>
          <t>A 41295-2021</t>
        </is>
      </c>
      <c r="B148" s="1" t="n">
        <v>44424</v>
      </c>
      <c r="C148" s="1" t="n">
        <v>46013</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21364-2025</t>
        </is>
      </c>
      <c r="B149" s="1" t="n">
        <v>45782</v>
      </c>
      <c r="C149" s="1" t="n">
        <v>46013</v>
      </c>
      <c r="D149" t="inlineStr">
        <is>
          <t>DALARNAS LÄN</t>
        </is>
      </c>
      <c r="E149" t="inlineStr">
        <is>
          <t>ORSA</t>
        </is>
      </c>
      <c r="F149" t="inlineStr">
        <is>
          <t>Allmännings- och besparingsskogar</t>
        </is>
      </c>
      <c r="G149" t="n">
        <v>52.6</v>
      </c>
      <c r="H149" t="n">
        <v>0</v>
      </c>
      <c r="I149" t="n">
        <v>0</v>
      </c>
      <c r="J149" t="n">
        <v>0</v>
      </c>
      <c r="K149" t="n">
        <v>0</v>
      </c>
      <c r="L149" t="n">
        <v>0</v>
      </c>
      <c r="M149" t="n">
        <v>0</v>
      </c>
      <c r="N149" t="n">
        <v>0</v>
      </c>
      <c r="O149" t="n">
        <v>0</v>
      </c>
      <c r="P149" t="n">
        <v>0</v>
      </c>
      <c r="Q149" t="n">
        <v>0</v>
      </c>
      <c r="R149" s="2" t="inlineStr"/>
    </row>
    <row r="150" ht="15" customHeight="1">
      <c r="A150" t="inlineStr">
        <is>
          <t>A 40111-2025</t>
        </is>
      </c>
      <c r="B150" s="1" t="n">
        <v>45894.49417824074</v>
      </c>
      <c r="C150" s="1" t="n">
        <v>46013</v>
      </c>
      <c r="D150" t="inlineStr">
        <is>
          <t>DALARNAS LÄN</t>
        </is>
      </c>
      <c r="E150" t="inlineStr">
        <is>
          <t>ORSA</t>
        </is>
      </c>
      <c r="F150" t="inlineStr">
        <is>
          <t>Allmännings- och besparingsskogar</t>
        </is>
      </c>
      <c r="G150" t="n">
        <v>18.6</v>
      </c>
      <c r="H150" t="n">
        <v>0</v>
      </c>
      <c r="I150" t="n">
        <v>0</v>
      </c>
      <c r="J150" t="n">
        <v>0</v>
      </c>
      <c r="K150" t="n">
        <v>0</v>
      </c>
      <c r="L150" t="n">
        <v>0</v>
      </c>
      <c r="M150" t="n">
        <v>0</v>
      </c>
      <c r="N150" t="n">
        <v>0</v>
      </c>
      <c r="O150" t="n">
        <v>0</v>
      </c>
      <c r="P150" t="n">
        <v>0</v>
      </c>
      <c r="Q150" t="n">
        <v>0</v>
      </c>
      <c r="R150" s="2" t="inlineStr"/>
    </row>
    <row r="151" ht="15" customHeight="1">
      <c r="A151" t="inlineStr">
        <is>
          <t>A 40070-2025</t>
        </is>
      </c>
      <c r="B151" s="1" t="n">
        <v>45894.44197916667</v>
      </c>
      <c r="C151" s="1" t="n">
        <v>46013</v>
      </c>
      <c r="D151" t="inlineStr">
        <is>
          <t>DALARNAS LÄN</t>
        </is>
      </c>
      <c r="E151" t="inlineStr">
        <is>
          <t>ORSA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20302-2023</t>
        </is>
      </c>
      <c r="B152" s="1" t="n">
        <v>45056</v>
      </c>
      <c r="C152" s="1" t="n">
        <v>46013</v>
      </c>
      <c r="D152" t="inlineStr">
        <is>
          <t>DALARNAS LÄN</t>
        </is>
      </c>
      <c r="E152" t="inlineStr">
        <is>
          <t>ORSA</t>
        </is>
      </c>
      <c r="G152" t="n">
        <v>2.1</v>
      </c>
      <c r="H152" t="n">
        <v>0</v>
      </c>
      <c r="I152" t="n">
        <v>0</v>
      </c>
      <c r="J152" t="n">
        <v>0</v>
      </c>
      <c r="K152" t="n">
        <v>0</v>
      </c>
      <c r="L152" t="n">
        <v>0</v>
      </c>
      <c r="M152" t="n">
        <v>0</v>
      </c>
      <c r="N152" t="n">
        <v>0</v>
      </c>
      <c r="O152" t="n">
        <v>0</v>
      </c>
      <c r="P152" t="n">
        <v>0</v>
      </c>
      <c r="Q152" t="n">
        <v>0</v>
      </c>
      <c r="R152" s="2" t="inlineStr"/>
    </row>
    <row r="153" ht="15" customHeight="1">
      <c r="A153" t="inlineStr">
        <is>
          <t>A 26741-2025</t>
        </is>
      </c>
      <c r="B153" s="1" t="n">
        <v>45810.52444444445</v>
      </c>
      <c r="C153" s="1" t="n">
        <v>46013</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40091-2025</t>
        </is>
      </c>
      <c r="B154" s="1" t="n">
        <v>45894.47822916666</v>
      </c>
      <c r="C154" s="1" t="n">
        <v>46013</v>
      </c>
      <c r="D154" t="inlineStr">
        <is>
          <t>DALARNAS LÄN</t>
        </is>
      </c>
      <c r="E154" t="inlineStr">
        <is>
          <t>ORSA</t>
        </is>
      </c>
      <c r="F154" t="inlineStr">
        <is>
          <t>Allmännings- och besparingsskogar</t>
        </is>
      </c>
      <c r="G154" t="n">
        <v>20.4</v>
      </c>
      <c r="H154" t="n">
        <v>0</v>
      </c>
      <c r="I154" t="n">
        <v>0</v>
      </c>
      <c r="J154" t="n">
        <v>0</v>
      </c>
      <c r="K154" t="n">
        <v>0</v>
      </c>
      <c r="L154" t="n">
        <v>0</v>
      </c>
      <c r="M154" t="n">
        <v>0</v>
      </c>
      <c r="N154" t="n">
        <v>0</v>
      </c>
      <c r="O154" t="n">
        <v>0</v>
      </c>
      <c r="P154" t="n">
        <v>0</v>
      </c>
      <c r="Q154" t="n">
        <v>0</v>
      </c>
      <c r="R154" s="2" t="inlineStr"/>
    </row>
    <row r="155" ht="15" customHeight="1">
      <c r="A155" t="inlineStr">
        <is>
          <t>A 34169-2023</t>
        </is>
      </c>
      <c r="B155" s="1" t="n">
        <v>45138.3071412037</v>
      </c>
      <c r="C155" s="1" t="n">
        <v>46013</v>
      </c>
      <c r="D155" t="inlineStr">
        <is>
          <t>DALARNAS LÄN</t>
        </is>
      </c>
      <c r="E155" t="inlineStr">
        <is>
          <t>ORSA</t>
        </is>
      </c>
      <c r="F155" t="inlineStr">
        <is>
          <t>Allmännings- och besparingsskogar</t>
        </is>
      </c>
      <c r="G155" t="n">
        <v>0.7</v>
      </c>
      <c r="H155" t="n">
        <v>0</v>
      </c>
      <c r="I155" t="n">
        <v>0</v>
      </c>
      <c r="J155" t="n">
        <v>0</v>
      </c>
      <c r="K155" t="n">
        <v>0</v>
      </c>
      <c r="L155" t="n">
        <v>0</v>
      </c>
      <c r="M155" t="n">
        <v>0</v>
      </c>
      <c r="N155" t="n">
        <v>0</v>
      </c>
      <c r="O155" t="n">
        <v>0</v>
      </c>
      <c r="P155" t="n">
        <v>0</v>
      </c>
      <c r="Q155" t="n">
        <v>0</v>
      </c>
      <c r="R155" s="2" t="inlineStr"/>
    </row>
    <row r="156" ht="15" customHeight="1">
      <c r="A156" t="inlineStr">
        <is>
          <t>A 40127-2025</t>
        </is>
      </c>
      <c r="B156" s="1" t="n">
        <v>45894.53300925926</v>
      </c>
      <c r="C156" s="1" t="n">
        <v>46013</v>
      </c>
      <c r="D156" t="inlineStr">
        <is>
          <t>DALARNAS LÄN</t>
        </is>
      </c>
      <c r="E156" t="inlineStr">
        <is>
          <t>ORSA</t>
        </is>
      </c>
      <c r="F156" t="inlineStr">
        <is>
          <t>Allmännings- och besparingsskogar</t>
        </is>
      </c>
      <c r="G156" t="n">
        <v>17.4</v>
      </c>
      <c r="H156" t="n">
        <v>0</v>
      </c>
      <c r="I156" t="n">
        <v>0</v>
      </c>
      <c r="J156" t="n">
        <v>0</v>
      </c>
      <c r="K156" t="n">
        <v>0</v>
      </c>
      <c r="L156" t="n">
        <v>0</v>
      </c>
      <c r="M156" t="n">
        <v>0</v>
      </c>
      <c r="N156" t="n">
        <v>0</v>
      </c>
      <c r="O156" t="n">
        <v>0</v>
      </c>
      <c r="P156" t="n">
        <v>0</v>
      </c>
      <c r="Q156" t="n">
        <v>0</v>
      </c>
      <c r="R156" s="2" t="inlineStr"/>
    </row>
    <row r="157" ht="15" customHeight="1">
      <c r="A157" t="inlineStr">
        <is>
          <t>A 61685-2024</t>
        </is>
      </c>
      <c r="B157" s="1" t="n">
        <v>45647.56972222222</v>
      </c>
      <c r="C157" s="1" t="n">
        <v>46013</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6490-2025</t>
        </is>
      </c>
      <c r="B158" s="1" t="n">
        <v>45699</v>
      </c>
      <c r="C158" s="1" t="n">
        <v>46013</v>
      </c>
      <c r="D158" t="inlineStr">
        <is>
          <t>DALARNAS LÄN</t>
        </is>
      </c>
      <c r="E158" t="inlineStr">
        <is>
          <t>ORSA</t>
        </is>
      </c>
      <c r="G158" t="n">
        <v>7.5</v>
      </c>
      <c r="H158" t="n">
        <v>0</v>
      </c>
      <c r="I158" t="n">
        <v>0</v>
      </c>
      <c r="J158" t="n">
        <v>0</v>
      </c>
      <c r="K158" t="n">
        <v>0</v>
      </c>
      <c r="L158" t="n">
        <v>0</v>
      </c>
      <c r="M158" t="n">
        <v>0</v>
      </c>
      <c r="N158" t="n">
        <v>0</v>
      </c>
      <c r="O158" t="n">
        <v>0</v>
      </c>
      <c r="P158" t="n">
        <v>0</v>
      </c>
      <c r="Q158" t="n">
        <v>0</v>
      </c>
      <c r="R158" s="2" t="inlineStr"/>
    </row>
    <row r="159" ht="15" customHeight="1">
      <c r="A159" t="inlineStr">
        <is>
          <t>A 37981-2024</t>
        </is>
      </c>
      <c r="B159" s="1" t="n">
        <v>45544</v>
      </c>
      <c r="C159" s="1" t="n">
        <v>46013</v>
      </c>
      <c r="D159" t="inlineStr">
        <is>
          <t>DALARNAS LÄN</t>
        </is>
      </c>
      <c r="E159" t="inlineStr">
        <is>
          <t>ORSA</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27221-2025</t>
        </is>
      </c>
      <c r="B160" s="1" t="n">
        <v>45812.42304398148</v>
      </c>
      <c r="C160" s="1" t="n">
        <v>46013</v>
      </c>
      <c r="D160" t="inlineStr">
        <is>
          <t>DALARNAS LÄN</t>
        </is>
      </c>
      <c r="E160" t="inlineStr">
        <is>
          <t>ORSA</t>
        </is>
      </c>
      <c r="F160" t="inlineStr">
        <is>
          <t>Bergvik skog öst AB</t>
        </is>
      </c>
      <c r="G160" t="n">
        <v>3.7</v>
      </c>
      <c r="H160" t="n">
        <v>0</v>
      </c>
      <c r="I160" t="n">
        <v>0</v>
      </c>
      <c r="J160" t="n">
        <v>0</v>
      </c>
      <c r="K160" t="n">
        <v>0</v>
      </c>
      <c r="L160" t="n">
        <v>0</v>
      </c>
      <c r="M160" t="n">
        <v>0</v>
      </c>
      <c r="N160" t="n">
        <v>0</v>
      </c>
      <c r="O160" t="n">
        <v>0</v>
      </c>
      <c r="P160" t="n">
        <v>0</v>
      </c>
      <c r="Q160" t="n">
        <v>0</v>
      </c>
      <c r="R160" s="2" t="inlineStr"/>
    </row>
    <row r="161" ht="15" customHeight="1">
      <c r="A161" t="inlineStr">
        <is>
          <t>A 40577-2025</t>
        </is>
      </c>
      <c r="B161" s="1" t="n">
        <v>45896.51028935185</v>
      </c>
      <c r="C161" s="1" t="n">
        <v>46013</v>
      </c>
      <c r="D161" t="inlineStr">
        <is>
          <t>DALARNAS LÄN</t>
        </is>
      </c>
      <c r="E161" t="inlineStr">
        <is>
          <t>ORSA</t>
        </is>
      </c>
      <c r="F161" t="inlineStr">
        <is>
          <t>Allmännings- och besparingsskogar</t>
        </is>
      </c>
      <c r="G161" t="n">
        <v>13.8</v>
      </c>
      <c r="H161" t="n">
        <v>0</v>
      </c>
      <c r="I161" t="n">
        <v>0</v>
      </c>
      <c r="J161" t="n">
        <v>0</v>
      </c>
      <c r="K161" t="n">
        <v>0</v>
      </c>
      <c r="L161" t="n">
        <v>0</v>
      </c>
      <c r="M161" t="n">
        <v>0</v>
      </c>
      <c r="N161" t="n">
        <v>0</v>
      </c>
      <c r="O161" t="n">
        <v>0</v>
      </c>
      <c r="P161" t="n">
        <v>0</v>
      </c>
      <c r="Q161" t="n">
        <v>0</v>
      </c>
      <c r="R161" s="2" t="inlineStr"/>
    </row>
    <row r="162" ht="15" customHeight="1">
      <c r="A162" t="inlineStr">
        <is>
          <t>A 27313-2025</t>
        </is>
      </c>
      <c r="B162" s="1" t="n">
        <v>45812.58365740741</v>
      </c>
      <c r="C162" s="1" t="n">
        <v>46013</v>
      </c>
      <c r="D162" t="inlineStr">
        <is>
          <t>DALARNAS LÄN</t>
        </is>
      </c>
      <c r="E162" t="inlineStr">
        <is>
          <t>ORSA</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27190-2025</t>
        </is>
      </c>
      <c r="B163" s="1" t="n">
        <v>45812.37025462963</v>
      </c>
      <c r="C163" s="1" t="n">
        <v>46013</v>
      </c>
      <c r="D163" t="inlineStr">
        <is>
          <t>DALARNAS LÄN</t>
        </is>
      </c>
      <c r="E163" t="inlineStr">
        <is>
          <t>ORSA</t>
        </is>
      </c>
      <c r="F163" t="inlineStr">
        <is>
          <t>Bergvik skog öst AB</t>
        </is>
      </c>
      <c r="G163" t="n">
        <v>4.9</v>
      </c>
      <c r="H163" t="n">
        <v>0</v>
      </c>
      <c r="I163" t="n">
        <v>0</v>
      </c>
      <c r="J163" t="n">
        <v>0</v>
      </c>
      <c r="K163" t="n">
        <v>0</v>
      </c>
      <c r="L163" t="n">
        <v>0</v>
      </c>
      <c r="M163" t="n">
        <v>0</v>
      </c>
      <c r="N163" t="n">
        <v>0</v>
      </c>
      <c r="O163" t="n">
        <v>0</v>
      </c>
      <c r="P163" t="n">
        <v>0</v>
      </c>
      <c r="Q163" t="n">
        <v>0</v>
      </c>
      <c r="R163" s="2" t="inlineStr"/>
    </row>
    <row r="164" ht="15" customHeight="1">
      <c r="A164" t="inlineStr">
        <is>
          <t>A 33488-2024</t>
        </is>
      </c>
      <c r="B164" s="1" t="n">
        <v>45519.61466435185</v>
      </c>
      <c r="C164" s="1" t="n">
        <v>46013</v>
      </c>
      <c r="D164" t="inlineStr">
        <is>
          <t>DALARNAS LÄN</t>
        </is>
      </c>
      <c r="E164" t="inlineStr">
        <is>
          <t>ORSA</t>
        </is>
      </c>
      <c r="F164" t="inlineStr">
        <is>
          <t>Övriga statliga verk och myndigheter</t>
        </is>
      </c>
      <c r="G164" t="n">
        <v>0.5</v>
      </c>
      <c r="H164" t="n">
        <v>0</v>
      </c>
      <c r="I164" t="n">
        <v>0</v>
      </c>
      <c r="J164" t="n">
        <v>0</v>
      </c>
      <c r="K164" t="n">
        <v>0</v>
      </c>
      <c r="L164" t="n">
        <v>0</v>
      </c>
      <c r="M164" t="n">
        <v>0</v>
      </c>
      <c r="N164" t="n">
        <v>0</v>
      </c>
      <c r="O164" t="n">
        <v>0</v>
      </c>
      <c r="P164" t="n">
        <v>0</v>
      </c>
      <c r="Q164" t="n">
        <v>0</v>
      </c>
      <c r="R164" s="2" t="inlineStr"/>
    </row>
    <row r="165" ht="15" customHeight="1">
      <c r="A165" t="inlineStr">
        <is>
          <t>A 890-2024</t>
        </is>
      </c>
      <c r="B165" s="1" t="n">
        <v>45301.40552083333</v>
      </c>
      <c r="C165" s="1" t="n">
        <v>46013</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28207-2025</t>
        </is>
      </c>
      <c r="B166" s="1" t="n">
        <v>45818.44871527778</v>
      </c>
      <c r="C166" s="1" t="n">
        <v>46013</v>
      </c>
      <c r="D166" t="inlineStr">
        <is>
          <t>DALARNAS LÄN</t>
        </is>
      </c>
      <c r="E166" t="inlineStr">
        <is>
          <t>ORSA</t>
        </is>
      </c>
      <c r="F166" t="inlineStr">
        <is>
          <t>Bergvik skog öst AB</t>
        </is>
      </c>
      <c r="G166" t="n">
        <v>2.9</v>
      </c>
      <c r="H166" t="n">
        <v>0</v>
      </c>
      <c r="I166" t="n">
        <v>0</v>
      </c>
      <c r="J166" t="n">
        <v>0</v>
      </c>
      <c r="K166" t="n">
        <v>0</v>
      </c>
      <c r="L166" t="n">
        <v>0</v>
      </c>
      <c r="M166" t="n">
        <v>0</v>
      </c>
      <c r="N166" t="n">
        <v>0</v>
      </c>
      <c r="O166" t="n">
        <v>0</v>
      </c>
      <c r="P166" t="n">
        <v>0</v>
      </c>
      <c r="Q166" t="n">
        <v>0</v>
      </c>
      <c r="R166" s="2" t="inlineStr"/>
    </row>
    <row r="167" ht="15" customHeight="1">
      <c r="A167" t="inlineStr">
        <is>
          <t>A 27866-2025</t>
        </is>
      </c>
      <c r="B167" s="1" t="n">
        <v>45817.4262962963</v>
      </c>
      <c r="C167" s="1" t="n">
        <v>46013</v>
      </c>
      <c r="D167" t="inlineStr">
        <is>
          <t>DALARNAS LÄN</t>
        </is>
      </c>
      <c r="E167" t="inlineStr">
        <is>
          <t>ORSA</t>
        </is>
      </c>
      <c r="F167" t="inlineStr">
        <is>
          <t>Allmännings- och besparingsskogar</t>
        </is>
      </c>
      <c r="G167" t="n">
        <v>6</v>
      </c>
      <c r="H167" t="n">
        <v>0</v>
      </c>
      <c r="I167" t="n">
        <v>0</v>
      </c>
      <c r="J167" t="n">
        <v>0</v>
      </c>
      <c r="K167" t="n">
        <v>0</v>
      </c>
      <c r="L167" t="n">
        <v>0</v>
      </c>
      <c r="M167" t="n">
        <v>0</v>
      </c>
      <c r="N167" t="n">
        <v>0</v>
      </c>
      <c r="O167" t="n">
        <v>0</v>
      </c>
      <c r="P167" t="n">
        <v>0</v>
      </c>
      <c r="Q167" t="n">
        <v>0</v>
      </c>
      <c r="R167" s="2" t="inlineStr"/>
    </row>
    <row r="168" ht="15" customHeight="1">
      <c r="A168" t="inlineStr">
        <is>
          <t>A 22491-2025</t>
        </is>
      </c>
      <c r="B168" s="1" t="n">
        <v>45786.65040509259</v>
      </c>
      <c r="C168" s="1" t="n">
        <v>46013</v>
      </c>
      <c r="D168" t="inlineStr">
        <is>
          <t>DALARNAS LÄN</t>
        </is>
      </c>
      <c r="E168" t="inlineStr">
        <is>
          <t>ORSA</t>
        </is>
      </c>
      <c r="F168" t="inlineStr">
        <is>
          <t>Bergvik skog öst AB</t>
        </is>
      </c>
      <c r="G168" t="n">
        <v>5.7</v>
      </c>
      <c r="H168" t="n">
        <v>0</v>
      </c>
      <c r="I168" t="n">
        <v>0</v>
      </c>
      <c r="J168" t="n">
        <v>0</v>
      </c>
      <c r="K168" t="n">
        <v>0</v>
      </c>
      <c r="L168" t="n">
        <v>0</v>
      </c>
      <c r="M168" t="n">
        <v>0</v>
      </c>
      <c r="N168" t="n">
        <v>0</v>
      </c>
      <c r="O168" t="n">
        <v>0</v>
      </c>
      <c r="P168" t="n">
        <v>0</v>
      </c>
      <c r="Q168" t="n">
        <v>0</v>
      </c>
      <c r="R168" s="2" t="inlineStr"/>
    </row>
    <row r="169" ht="15" customHeight="1">
      <c r="A169" t="inlineStr">
        <is>
          <t>A 27987-2025</t>
        </is>
      </c>
      <c r="B169" s="1" t="n">
        <v>45817.58361111111</v>
      </c>
      <c r="C169" s="1" t="n">
        <v>46013</v>
      </c>
      <c r="D169" t="inlineStr">
        <is>
          <t>DALARNAS LÄN</t>
        </is>
      </c>
      <c r="E169" t="inlineStr">
        <is>
          <t>ORSA</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46013</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28317-2025</t>
        </is>
      </c>
      <c r="B171" s="1" t="n">
        <v>45818.6300462963</v>
      </c>
      <c r="C171" s="1" t="n">
        <v>46013</v>
      </c>
      <c r="D171" t="inlineStr">
        <is>
          <t>DALARNAS LÄN</t>
        </is>
      </c>
      <c r="E171" t="inlineStr">
        <is>
          <t>ORSA</t>
        </is>
      </c>
      <c r="F171" t="inlineStr">
        <is>
          <t>Bergvik skog öst AB</t>
        </is>
      </c>
      <c r="G171" t="n">
        <v>1</v>
      </c>
      <c r="H171" t="n">
        <v>0</v>
      </c>
      <c r="I171" t="n">
        <v>0</v>
      </c>
      <c r="J171" t="n">
        <v>0</v>
      </c>
      <c r="K171" t="n">
        <v>0</v>
      </c>
      <c r="L171" t="n">
        <v>0</v>
      </c>
      <c r="M171" t="n">
        <v>0</v>
      </c>
      <c r="N171" t="n">
        <v>0</v>
      </c>
      <c r="O171" t="n">
        <v>0</v>
      </c>
      <c r="P171" t="n">
        <v>0</v>
      </c>
      <c r="Q171" t="n">
        <v>0</v>
      </c>
      <c r="R171" s="2" t="inlineStr"/>
    </row>
    <row r="172" ht="15" customHeight="1">
      <c r="A172" t="inlineStr">
        <is>
          <t>A 28609-2025</t>
        </is>
      </c>
      <c r="B172" s="1" t="n">
        <v>45819.60303240741</v>
      </c>
      <c r="C172" s="1" t="n">
        <v>46013</v>
      </c>
      <c r="D172" t="inlineStr">
        <is>
          <t>DALARNAS LÄN</t>
        </is>
      </c>
      <c r="E172" t="inlineStr">
        <is>
          <t>ORSA</t>
        </is>
      </c>
      <c r="F172" t="inlineStr">
        <is>
          <t>Bergvik skog öst AB</t>
        </is>
      </c>
      <c r="G172" t="n">
        <v>9.1</v>
      </c>
      <c r="H172" t="n">
        <v>0</v>
      </c>
      <c r="I172" t="n">
        <v>0</v>
      </c>
      <c r="J172" t="n">
        <v>0</v>
      </c>
      <c r="K172" t="n">
        <v>0</v>
      </c>
      <c r="L172" t="n">
        <v>0</v>
      </c>
      <c r="M172" t="n">
        <v>0</v>
      </c>
      <c r="N172" t="n">
        <v>0</v>
      </c>
      <c r="O172" t="n">
        <v>0</v>
      </c>
      <c r="P172" t="n">
        <v>0</v>
      </c>
      <c r="Q172" t="n">
        <v>0</v>
      </c>
      <c r="R172" s="2" t="inlineStr"/>
    </row>
    <row r="173" ht="15" customHeight="1">
      <c r="A173" t="inlineStr">
        <is>
          <t>A 41666-2025</t>
        </is>
      </c>
      <c r="B173" s="1" t="n">
        <v>45902.35822916667</v>
      </c>
      <c r="C173" s="1" t="n">
        <v>46013</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28635-2025</t>
        </is>
      </c>
      <c r="B174" s="1" t="n">
        <v>45819.63112268518</v>
      </c>
      <c r="C174" s="1" t="n">
        <v>46013</v>
      </c>
      <c r="D174" t="inlineStr">
        <is>
          <t>DALARNAS LÄN</t>
        </is>
      </c>
      <c r="E174" t="inlineStr">
        <is>
          <t>ORSA</t>
        </is>
      </c>
      <c r="F174" t="inlineStr">
        <is>
          <t>Bergvik skog öst AB</t>
        </is>
      </c>
      <c r="G174" t="n">
        <v>1.6</v>
      </c>
      <c r="H174" t="n">
        <v>0</v>
      </c>
      <c r="I174" t="n">
        <v>0</v>
      </c>
      <c r="J174" t="n">
        <v>0</v>
      </c>
      <c r="K174" t="n">
        <v>0</v>
      </c>
      <c r="L174" t="n">
        <v>0</v>
      </c>
      <c r="M174" t="n">
        <v>0</v>
      </c>
      <c r="N174" t="n">
        <v>0</v>
      </c>
      <c r="O174" t="n">
        <v>0</v>
      </c>
      <c r="P174" t="n">
        <v>0</v>
      </c>
      <c r="Q174" t="n">
        <v>0</v>
      </c>
      <c r="R174" s="2" t="inlineStr"/>
    </row>
    <row r="175" ht="15" customHeight="1">
      <c r="A175" t="inlineStr">
        <is>
          <t>A 5435-2025</t>
        </is>
      </c>
      <c r="B175" s="1" t="n">
        <v>45692</v>
      </c>
      <c r="C175" s="1" t="n">
        <v>46013</v>
      </c>
      <c r="D175" t="inlineStr">
        <is>
          <t>DALARNAS LÄN</t>
        </is>
      </c>
      <c r="E175" t="inlineStr">
        <is>
          <t>ORSA</t>
        </is>
      </c>
      <c r="G175" t="n">
        <v>7.8</v>
      </c>
      <c r="H175" t="n">
        <v>0</v>
      </c>
      <c r="I175" t="n">
        <v>0</v>
      </c>
      <c r="J175" t="n">
        <v>0</v>
      </c>
      <c r="K175" t="n">
        <v>0</v>
      </c>
      <c r="L175" t="n">
        <v>0</v>
      </c>
      <c r="M175" t="n">
        <v>0</v>
      </c>
      <c r="N175" t="n">
        <v>0</v>
      </c>
      <c r="O175" t="n">
        <v>0</v>
      </c>
      <c r="P175" t="n">
        <v>0</v>
      </c>
      <c r="Q175" t="n">
        <v>0</v>
      </c>
      <c r="R175" s="2" t="inlineStr"/>
    </row>
    <row r="176" ht="15" customHeight="1">
      <c r="A176" t="inlineStr">
        <is>
          <t>A 41919-2025</t>
        </is>
      </c>
      <c r="B176" s="1" t="n">
        <v>45903.42372685186</v>
      </c>
      <c r="C176" s="1" t="n">
        <v>46013</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41927-2025</t>
        </is>
      </c>
      <c r="B177" s="1" t="n">
        <v>45903.4290625</v>
      </c>
      <c r="C177" s="1" t="n">
        <v>46013</v>
      </c>
      <c r="D177" t="inlineStr">
        <is>
          <t>DALARNAS LÄN</t>
        </is>
      </c>
      <c r="E177" t="inlineStr">
        <is>
          <t>ORSA</t>
        </is>
      </c>
      <c r="G177" t="n">
        <v>2.4</v>
      </c>
      <c r="H177" t="n">
        <v>0</v>
      </c>
      <c r="I177" t="n">
        <v>0</v>
      </c>
      <c r="J177" t="n">
        <v>0</v>
      </c>
      <c r="K177" t="n">
        <v>0</v>
      </c>
      <c r="L177" t="n">
        <v>0</v>
      </c>
      <c r="M177" t="n">
        <v>0</v>
      </c>
      <c r="N177" t="n">
        <v>0</v>
      </c>
      <c r="O177" t="n">
        <v>0</v>
      </c>
      <c r="P177" t="n">
        <v>0</v>
      </c>
      <c r="Q177" t="n">
        <v>0</v>
      </c>
      <c r="R177" s="2" t="inlineStr"/>
    </row>
    <row r="178" ht="15" customHeight="1">
      <c r="A178" t="inlineStr">
        <is>
          <t>A 4553-2025</t>
        </is>
      </c>
      <c r="B178" s="1" t="n">
        <v>45687.42143518518</v>
      </c>
      <c r="C178" s="1" t="n">
        <v>46013</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29025-2023</t>
        </is>
      </c>
      <c r="B179" s="1" t="n">
        <v>45104.70399305555</v>
      </c>
      <c r="C179" s="1" t="n">
        <v>46013</v>
      </c>
      <c r="D179" t="inlineStr">
        <is>
          <t>DALARNAS LÄN</t>
        </is>
      </c>
      <c r="E179" t="inlineStr">
        <is>
          <t>ORSA</t>
        </is>
      </c>
      <c r="G179" t="n">
        <v>6.6</v>
      </c>
      <c r="H179" t="n">
        <v>0</v>
      </c>
      <c r="I179" t="n">
        <v>0</v>
      </c>
      <c r="J179" t="n">
        <v>0</v>
      </c>
      <c r="K179" t="n">
        <v>0</v>
      </c>
      <c r="L179" t="n">
        <v>0</v>
      </c>
      <c r="M179" t="n">
        <v>0</v>
      </c>
      <c r="N179" t="n">
        <v>0</v>
      </c>
      <c r="O179" t="n">
        <v>0</v>
      </c>
      <c r="P179" t="n">
        <v>0</v>
      </c>
      <c r="Q179" t="n">
        <v>0</v>
      </c>
      <c r="R179" s="2" t="inlineStr"/>
    </row>
    <row r="180" ht="15" customHeight="1">
      <c r="A180" t="inlineStr">
        <is>
          <t>A 41991-2025</t>
        </is>
      </c>
      <c r="B180" s="1" t="n">
        <v>45903.54532407408</v>
      </c>
      <c r="C180" s="1" t="n">
        <v>46013</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112-2021</t>
        </is>
      </c>
      <c r="B181" s="1" t="n">
        <v>44200</v>
      </c>
      <c r="C181" s="1" t="n">
        <v>46013</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42226-2025</t>
        </is>
      </c>
      <c r="B182" s="1" t="n">
        <v>45904.53831018518</v>
      </c>
      <c r="C182" s="1" t="n">
        <v>46013</v>
      </c>
      <c r="D182" t="inlineStr">
        <is>
          <t>DALARNAS LÄN</t>
        </is>
      </c>
      <c r="E182" t="inlineStr">
        <is>
          <t>ORSA</t>
        </is>
      </c>
      <c r="F182" t="inlineStr">
        <is>
          <t>Allmännings- och besparingsskogar</t>
        </is>
      </c>
      <c r="G182" t="n">
        <v>18</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46013</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23875-2025</t>
        </is>
      </c>
      <c r="B184" s="1" t="n">
        <v>45793.68313657407</v>
      </c>
      <c r="C184" s="1" t="n">
        <v>46013</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29933-2025</t>
        </is>
      </c>
      <c r="B185" s="1" t="n">
        <v>45826.44121527778</v>
      </c>
      <c r="C185" s="1" t="n">
        <v>46013</v>
      </c>
      <c r="D185" t="inlineStr">
        <is>
          <t>DALARNAS LÄN</t>
        </is>
      </c>
      <c r="E185" t="inlineStr">
        <is>
          <t>ORSA</t>
        </is>
      </c>
      <c r="G185" t="n">
        <v>1.8</v>
      </c>
      <c r="H185" t="n">
        <v>0</v>
      </c>
      <c r="I185" t="n">
        <v>0</v>
      </c>
      <c r="J185" t="n">
        <v>0</v>
      </c>
      <c r="K185" t="n">
        <v>0</v>
      </c>
      <c r="L185" t="n">
        <v>0</v>
      </c>
      <c r="M185" t="n">
        <v>0</v>
      </c>
      <c r="N185" t="n">
        <v>0</v>
      </c>
      <c r="O185" t="n">
        <v>0</v>
      </c>
      <c r="P185" t="n">
        <v>0</v>
      </c>
      <c r="Q185" t="n">
        <v>0</v>
      </c>
      <c r="R185" s="2" t="inlineStr"/>
    </row>
    <row r="186" ht="15" customHeight="1">
      <c r="A186" t="inlineStr">
        <is>
          <t>A 51001-2021</t>
        </is>
      </c>
      <c r="B186" s="1" t="n">
        <v>44460.86221064815</v>
      </c>
      <c r="C186" s="1" t="n">
        <v>46013</v>
      </c>
      <c r="D186" t="inlineStr">
        <is>
          <t>DALARNAS LÄN</t>
        </is>
      </c>
      <c r="E186" t="inlineStr">
        <is>
          <t>ORSA</t>
        </is>
      </c>
      <c r="G186" t="n">
        <v>2.6</v>
      </c>
      <c r="H186" t="n">
        <v>0</v>
      </c>
      <c r="I186" t="n">
        <v>0</v>
      </c>
      <c r="J186" t="n">
        <v>0</v>
      </c>
      <c r="K186" t="n">
        <v>0</v>
      </c>
      <c r="L186" t="n">
        <v>0</v>
      </c>
      <c r="M186" t="n">
        <v>0</v>
      </c>
      <c r="N186" t="n">
        <v>0</v>
      </c>
      <c r="O186" t="n">
        <v>0</v>
      </c>
      <c r="P186" t="n">
        <v>0</v>
      </c>
      <c r="Q186" t="n">
        <v>0</v>
      </c>
      <c r="R186" s="2" t="inlineStr"/>
    </row>
    <row r="187" ht="15" customHeight="1">
      <c r="A187" t="inlineStr">
        <is>
          <t>A 27240-2025</t>
        </is>
      </c>
      <c r="B187" s="1" t="n">
        <v>45812.45170138889</v>
      </c>
      <c r="C187" s="1" t="n">
        <v>46013</v>
      </c>
      <c r="D187" t="inlineStr">
        <is>
          <t>DALARNAS LÄN</t>
        </is>
      </c>
      <c r="E187" t="inlineStr">
        <is>
          <t>ORSA</t>
        </is>
      </c>
      <c r="F187" t="inlineStr">
        <is>
          <t>Bergvik skog öst AB</t>
        </is>
      </c>
      <c r="G187" t="n">
        <v>6.8</v>
      </c>
      <c r="H187" t="n">
        <v>0</v>
      </c>
      <c r="I187" t="n">
        <v>0</v>
      </c>
      <c r="J187" t="n">
        <v>0</v>
      </c>
      <c r="K187" t="n">
        <v>0</v>
      </c>
      <c r="L187" t="n">
        <v>0</v>
      </c>
      <c r="M187" t="n">
        <v>0</v>
      </c>
      <c r="N187" t="n">
        <v>0</v>
      </c>
      <c r="O187" t="n">
        <v>0</v>
      </c>
      <c r="P187" t="n">
        <v>0</v>
      </c>
      <c r="Q187" t="n">
        <v>0</v>
      </c>
      <c r="R187" s="2" t="inlineStr"/>
    </row>
    <row r="188" ht="15" customHeight="1">
      <c r="A188" t="inlineStr">
        <is>
          <t>A 61698-2022</t>
        </is>
      </c>
      <c r="B188" s="1" t="n">
        <v>44917.40038194445</v>
      </c>
      <c r="C188" s="1" t="n">
        <v>46013</v>
      </c>
      <c r="D188" t="inlineStr">
        <is>
          <t>DALARNAS LÄN</t>
        </is>
      </c>
      <c r="E188" t="inlineStr">
        <is>
          <t>ORSA</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56975-2023</t>
        </is>
      </c>
      <c r="B189" s="1" t="n">
        <v>45244</v>
      </c>
      <c r="C189" s="1" t="n">
        <v>46013</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3720-2023</t>
        </is>
      </c>
      <c r="B190" s="1" t="n">
        <v>44951.36688657408</v>
      </c>
      <c r="C190" s="1" t="n">
        <v>46013</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43778-2025</t>
        </is>
      </c>
      <c r="B191" s="1" t="n">
        <v>45912.5147337963</v>
      </c>
      <c r="C191" s="1" t="n">
        <v>46013</v>
      </c>
      <c r="D191" t="inlineStr">
        <is>
          <t>DALARNAS LÄN</t>
        </is>
      </c>
      <c r="E191" t="inlineStr">
        <is>
          <t>ORSA</t>
        </is>
      </c>
      <c r="G191" t="n">
        <v>1.1</v>
      </c>
      <c r="H191" t="n">
        <v>0</v>
      </c>
      <c r="I191" t="n">
        <v>0</v>
      </c>
      <c r="J191" t="n">
        <v>0</v>
      </c>
      <c r="K191" t="n">
        <v>0</v>
      </c>
      <c r="L191" t="n">
        <v>0</v>
      </c>
      <c r="M191" t="n">
        <v>0</v>
      </c>
      <c r="N191" t="n">
        <v>0</v>
      </c>
      <c r="O191" t="n">
        <v>0</v>
      </c>
      <c r="P191" t="n">
        <v>0</v>
      </c>
      <c r="Q191" t="n">
        <v>0</v>
      </c>
      <c r="R191" s="2" t="inlineStr"/>
    </row>
    <row r="192" ht="15" customHeight="1">
      <c r="A192" t="inlineStr">
        <is>
          <t>A 44053-2025</t>
        </is>
      </c>
      <c r="B192" s="1" t="n">
        <v>45915.51239583334</v>
      </c>
      <c r="C192" s="1" t="n">
        <v>46013</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31365-2025</t>
        </is>
      </c>
      <c r="B193" s="1" t="n">
        <v>45833.43884259259</v>
      </c>
      <c r="C193" s="1" t="n">
        <v>46013</v>
      </c>
      <c r="D193" t="inlineStr">
        <is>
          <t>DALARNAS LÄN</t>
        </is>
      </c>
      <c r="E193" t="inlineStr">
        <is>
          <t>ORSA</t>
        </is>
      </c>
      <c r="G193" t="n">
        <v>1.6</v>
      </c>
      <c r="H193" t="n">
        <v>0</v>
      </c>
      <c r="I193" t="n">
        <v>0</v>
      </c>
      <c r="J193" t="n">
        <v>0</v>
      </c>
      <c r="K193" t="n">
        <v>0</v>
      </c>
      <c r="L193" t="n">
        <v>0</v>
      </c>
      <c r="M193" t="n">
        <v>0</v>
      </c>
      <c r="N193" t="n">
        <v>0</v>
      </c>
      <c r="O193" t="n">
        <v>0</v>
      </c>
      <c r="P193" t="n">
        <v>0</v>
      </c>
      <c r="Q193" t="n">
        <v>0</v>
      </c>
      <c r="R193" s="2" t="inlineStr"/>
    </row>
    <row r="194" ht="15" customHeight="1">
      <c r="A194" t="inlineStr">
        <is>
          <t>A 44119-2025</t>
        </is>
      </c>
      <c r="B194" s="1" t="n">
        <v>45915.57738425926</v>
      </c>
      <c r="C194" s="1" t="n">
        <v>46013</v>
      </c>
      <c r="D194" t="inlineStr">
        <is>
          <t>DALARNAS LÄN</t>
        </is>
      </c>
      <c r="E194" t="inlineStr">
        <is>
          <t>ORSA</t>
        </is>
      </c>
      <c r="F194" t="inlineStr">
        <is>
          <t>Allmännings- och besparingsskogar</t>
        </is>
      </c>
      <c r="G194" t="n">
        <v>1.5</v>
      </c>
      <c r="H194" t="n">
        <v>0</v>
      </c>
      <c r="I194" t="n">
        <v>0</v>
      </c>
      <c r="J194" t="n">
        <v>0</v>
      </c>
      <c r="K194" t="n">
        <v>0</v>
      </c>
      <c r="L194" t="n">
        <v>0</v>
      </c>
      <c r="M194" t="n">
        <v>0</v>
      </c>
      <c r="N194" t="n">
        <v>0</v>
      </c>
      <c r="O194" t="n">
        <v>0</v>
      </c>
      <c r="P194" t="n">
        <v>0</v>
      </c>
      <c r="Q194" t="n">
        <v>0</v>
      </c>
      <c r="R194" s="2" t="inlineStr"/>
    </row>
    <row r="195" ht="15" customHeight="1">
      <c r="A195" t="inlineStr">
        <is>
          <t>A 44121-2025</t>
        </is>
      </c>
      <c r="B195" s="1" t="n">
        <v>45915.57792824074</v>
      </c>
      <c r="C195" s="1" t="n">
        <v>46013</v>
      </c>
      <c r="D195" t="inlineStr">
        <is>
          <t>DALARNAS LÄN</t>
        </is>
      </c>
      <c r="E195" t="inlineStr">
        <is>
          <t>ORSA</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31634-2025</t>
        </is>
      </c>
      <c r="B196" s="1" t="n">
        <v>45834</v>
      </c>
      <c r="C196" s="1" t="n">
        <v>46013</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55701-2023</t>
        </is>
      </c>
      <c r="B197" s="1" t="n">
        <v>45239.37113425926</v>
      </c>
      <c r="C197" s="1" t="n">
        <v>46013</v>
      </c>
      <c r="D197" t="inlineStr">
        <is>
          <t>DALARNAS LÄN</t>
        </is>
      </c>
      <c r="E197" t="inlineStr">
        <is>
          <t>ORSA</t>
        </is>
      </c>
      <c r="G197" t="n">
        <v>1.7</v>
      </c>
      <c r="H197" t="n">
        <v>0</v>
      </c>
      <c r="I197" t="n">
        <v>0</v>
      </c>
      <c r="J197" t="n">
        <v>0</v>
      </c>
      <c r="K197" t="n">
        <v>0</v>
      </c>
      <c r="L197" t="n">
        <v>0</v>
      </c>
      <c r="M197" t="n">
        <v>0</v>
      </c>
      <c r="N197" t="n">
        <v>0</v>
      </c>
      <c r="O197" t="n">
        <v>0</v>
      </c>
      <c r="P197" t="n">
        <v>0</v>
      </c>
      <c r="Q197" t="n">
        <v>0</v>
      </c>
      <c r="R197" s="2" t="inlineStr"/>
    </row>
    <row r="198" ht="15" customHeight="1">
      <c r="A198" t="inlineStr">
        <is>
          <t>A 31659-2025</t>
        </is>
      </c>
      <c r="B198" s="1" t="n">
        <v>45834.35421296296</v>
      </c>
      <c r="C198" s="1" t="n">
        <v>46013</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43967-2025</t>
        </is>
      </c>
      <c r="B199" s="1" t="n">
        <v>45915.40188657407</v>
      </c>
      <c r="C199" s="1" t="n">
        <v>46013</v>
      </c>
      <c r="D199" t="inlineStr">
        <is>
          <t>DALARNAS LÄN</t>
        </is>
      </c>
      <c r="E199" t="inlineStr">
        <is>
          <t>ORSA</t>
        </is>
      </c>
      <c r="F199" t="inlineStr">
        <is>
          <t>Allmännings- och besparingsskogar</t>
        </is>
      </c>
      <c r="G199" t="n">
        <v>8.4</v>
      </c>
      <c r="H199" t="n">
        <v>0</v>
      </c>
      <c r="I199" t="n">
        <v>0</v>
      </c>
      <c r="J199" t="n">
        <v>0</v>
      </c>
      <c r="K199" t="n">
        <v>0</v>
      </c>
      <c r="L199" t="n">
        <v>0</v>
      </c>
      <c r="M199" t="n">
        <v>0</v>
      </c>
      <c r="N199" t="n">
        <v>0</v>
      </c>
      <c r="O199" t="n">
        <v>0</v>
      </c>
      <c r="P199" t="n">
        <v>0</v>
      </c>
      <c r="Q199" t="n">
        <v>0</v>
      </c>
      <c r="R199" s="2" t="inlineStr"/>
    </row>
    <row r="200" ht="15" customHeight="1">
      <c r="A200" t="inlineStr">
        <is>
          <t>A 44117-2025</t>
        </is>
      </c>
      <c r="B200" s="1" t="n">
        <v>45915.57677083334</v>
      </c>
      <c r="C200" s="1" t="n">
        <v>46013</v>
      </c>
      <c r="D200" t="inlineStr">
        <is>
          <t>DALARNAS LÄN</t>
        </is>
      </c>
      <c r="E200" t="inlineStr">
        <is>
          <t>ORSA</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43965-2025</t>
        </is>
      </c>
      <c r="B201" s="1" t="n">
        <v>45915.40027777778</v>
      </c>
      <c r="C201" s="1" t="n">
        <v>46013</v>
      </c>
      <c r="D201" t="inlineStr">
        <is>
          <t>DALARNAS LÄN</t>
        </is>
      </c>
      <c r="E201" t="inlineStr">
        <is>
          <t>ORSA</t>
        </is>
      </c>
      <c r="F201" t="inlineStr">
        <is>
          <t>Allmännings- och besparingsskogar</t>
        </is>
      </c>
      <c r="G201" t="n">
        <v>11.5</v>
      </c>
      <c r="H201" t="n">
        <v>0</v>
      </c>
      <c r="I201" t="n">
        <v>0</v>
      </c>
      <c r="J201" t="n">
        <v>0</v>
      </c>
      <c r="K201" t="n">
        <v>0</v>
      </c>
      <c r="L201" t="n">
        <v>0</v>
      </c>
      <c r="M201" t="n">
        <v>0</v>
      </c>
      <c r="N201" t="n">
        <v>0</v>
      </c>
      <c r="O201" t="n">
        <v>0</v>
      </c>
      <c r="P201" t="n">
        <v>0</v>
      </c>
      <c r="Q201" t="n">
        <v>0</v>
      </c>
      <c r="R201" s="2" t="inlineStr"/>
    </row>
    <row r="202" ht="15" customHeight="1">
      <c r="A202" t="inlineStr">
        <is>
          <t>A 44129-2025</t>
        </is>
      </c>
      <c r="B202" s="1" t="n">
        <v>45915.58392361111</v>
      </c>
      <c r="C202" s="1" t="n">
        <v>46013</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37852-2024</t>
        </is>
      </c>
      <c r="B203" s="1" t="n">
        <v>45544.3786574074</v>
      </c>
      <c r="C203" s="1" t="n">
        <v>46013</v>
      </c>
      <c r="D203" t="inlineStr">
        <is>
          <t>DALARNAS LÄN</t>
        </is>
      </c>
      <c r="E203" t="inlineStr">
        <is>
          <t>ORSA</t>
        </is>
      </c>
      <c r="G203" t="n">
        <v>0.7</v>
      </c>
      <c r="H203" t="n">
        <v>0</v>
      </c>
      <c r="I203" t="n">
        <v>0</v>
      </c>
      <c r="J203" t="n">
        <v>0</v>
      </c>
      <c r="K203" t="n">
        <v>0</v>
      </c>
      <c r="L203" t="n">
        <v>0</v>
      </c>
      <c r="M203" t="n">
        <v>0</v>
      </c>
      <c r="N203" t="n">
        <v>0</v>
      </c>
      <c r="O203" t="n">
        <v>0</v>
      </c>
      <c r="P203" t="n">
        <v>0</v>
      </c>
      <c r="Q203" t="n">
        <v>0</v>
      </c>
      <c r="R203" s="2" t="inlineStr"/>
    </row>
    <row r="204" ht="15" customHeight="1">
      <c r="A204" t="inlineStr">
        <is>
          <t>A 23350-2024</t>
        </is>
      </c>
      <c r="B204" s="1" t="n">
        <v>45453</v>
      </c>
      <c r="C204" s="1" t="n">
        <v>46013</v>
      </c>
      <c r="D204" t="inlineStr">
        <is>
          <t>DALARNAS LÄN</t>
        </is>
      </c>
      <c r="E204" t="inlineStr">
        <is>
          <t>ORSA</t>
        </is>
      </c>
      <c r="G204" t="n">
        <v>18.7</v>
      </c>
      <c r="H204" t="n">
        <v>0</v>
      </c>
      <c r="I204" t="n">
        <v>0</v>
      </c>
      <c r="J204" t="n">
        <v>0</v>
      </c>
      <c r="K204" t="n">
        <v>0</v>
      </c>
      <c r="L204" t="n">
        <v>0</v>
      </c>
      <c r="M204" t="n">
        <v>0</v>
      </c>
      <c r="N204" t="n">
        <v>0</v>
      </c>
      <c r="O204" t="n">
        <v>0</v>
      </c>
      <c r="P204" t="n">
        <v>0</v>
      </c>
      <c r="Q204" t="n">
        <v>0</v>
      </c>
      <c r="R204" s="2" t="inlineStr"/>
    </row>
    <row r="205" ht="15" customHeight="1">
      <c r="A205" t="inlineStr">
        <is>
          <t>A 32325-2025</t>
        </is>
      </c>
      <c r="B205" s="1" t="n">
        <v>45836</v>
      </c>
      <c r="C205" s="1" t="n">
        <v>46013</v>
      </c>
      <c r="D205" t="inlineStr">
        <is>
          <t>DALARNAS LÄN</t>
        </is>
      </c>
      <c r="E205" t="inlineStr">
        <is>
          <t>ORSA</t>
        </is>
      </c>
      <c r="G205" t="n">
        <v>3.8</v>
      </c>
      <c r="H205" t="n">
        <v>0</v>
      </c>
      <c r="I205" t="n">
        <v>0</v>
      </c>
      <c r="J205" t="n">
        <v>0</v>
      </c>
      <c r="K205" t="n">
        <v>0</v>
      </c>
      <c r="L205" t="n">
        <v>0</v>
      </c>
      <c r="M205" t="n">
        <v>0</v>
      </c>
      <c r="N205" t="n">
        <v>0</v>
      </c>
      <c r="O205" t="n">
        <v>0</v>
      </c>
      <c r="P205" t="n">
        <v>0</v>
      </c>
      <c r="Q205" t="n">
        <v>0</v>
      </c>
      <c r="R205" s="2" t="inlineStr"/>
    </row>
    <row r="206" ht="15" customHeight="1">
      <c r="A206" t="inlineStr">
        <is>
          <t>A 44531-2025</t>
        </is>
      </c>
      <c r="B206" s="1" t="n">
        <v>45916.77120370371</v>
      </c>
      <c r="C206" s="1" t="n">
        <v>46013</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45031-2025</t>
        </is>
      </c>
      <c r="B207" s="1" t="n">
        <v>45918.70020833334</v>
      </c>
      <c r="C207" s="1" t="n">
        <v>46013</v>
      </c>
      <c r="D207" t="inlineStr">
        <is>
          <t>DALARNAS LÄN</t>
        </is>
      </c>
      <c r="E207" t="inlineStr">
        <is>
          <t>ORSA</t>
        </is>
      </c>
      <c r="G207" t="n">
        <v>5</v>
      </c>
      <c r="H207" t="n">
        <v>0</v>
      </c>
      <c r="I207" t="n">
        <v>0</v>
      </c>
      <c r="J207" t="n">
        <v>0</v>
      </c>
      <c r="K207" t="n">
        <v>0</v>
      </c>
      <c r="L207" t="n">
        <v>0</v>
      </c>
      <c r="M207" t="n">
        <v>0</v>
      </c>
      <c r="N207" t="n">
        <v>0</v>
      </c>
      <c r="O207" t="n">
        <v>0</v>
      </c>
      <c r="P207" t="n">
        <v>0</v>
      </c>
      <c r="Q207" t="n">
        <v>0</v>
      </c>
      <c r="R207" s="2" t="inlineStr"/>
    </row>
    <row r="208" ht="15" customHeight="1">
      <c r="A208" t="inlineStr">
        <is>
          <t>A 33057-2025</t>
        </is>
      </c>
      <c r="B208" s="1" t="n">
        <v>45840</v>
      </c>
      <c r="C208" s="1" t="n">
        <v>46013</v>
      </c>
      <c r="D208" t="inlineStr">
        <is>
          <t>DALARNAS LÄN</t>
        </is>
      </c>
      <c r="E208" t="inlineStr">
        <is>
          <t>ORSA</t>
        </is>
      </c>
      <c r="F208" t="inlineStr">
        <is>
          <t>Bergvik skog öst AB</t>
        </is>
      </c>
      <c r="G208" t="n">
        <v>3.3</v>
      </c>
      <c r="H208" t="n">
        <v>0</v>
      </c>
      <c r="I208" t="n">
        <v>0</v>
      </c>
      <c r="J208" t="n">
        <v>0</v>
      </c>
      <c r="K208" t="n">
        <v>0</v>
      </c>
      <c r="L208" t="n">
        <v>0</v>
      </c>
      <c r="M208" t="n">
        <v>0</v>
      </c>
      <c r="N208" t="n">
        <v>0</v>
      </c>
      <c r="O208" t="n">
        <v>0</v>
      </c>
      <c r="P208" t="n">
        <v>0</v>
      </c>
      <c r="Q208" t="n">
        <v>0</v>
      </c>
      <c r="R208" s="2" t="inlineStr"/>
    </row>
    <row r="209" ht="15" customHeight="1">
      <c r="A209" t="inlineStr">
        <is>
          <t>A 54519-2023</t>
        </is>
      </c>
      <c r="B209" s="1" t="n">
        <v>45233.58359953704</v>
      </c>
      <c r="C209" s="1" t="n">
        <v>46013</v>
      </c>
      <c r="D209" t="inlineStr">
        <is>
          <t>DALARNAS LÄN</t>
        </is>
      </c>
      <c r="E209" t="inlineStr">
        <is>
          <t>ORSA</t>
        </is>
      </c>
      <c r="F209" t="inlineStr">
        <is>
          <t>Allmännings- och besparingsskogar</t>
        </is>
      </c>
      <c r="G209" t="n">
        <v>0.5</v>
      </c>
      <c r="H209" t="n">
        <v>0</v>
      </c>
      <c r="I209" t="n">
        <v>0</v>
      </c>
      <c r="J209" t="n">
        <v>0</v>
      </c>
      <c r="K209" t="n">
        <v>0</v>
      </c>
      <c r="L209" t="n">
        <v>0</v>
      </c>
      <c r="M209" t="n">
        <v>0</v>
      </c>
      <c r="N209" t="n">
        <v>0</v>
      </c>
      <c r="O209" t="n">
        <v>0</v>
      </c>
      <c r="P209" t="n">
        <v>0</v>
      </c>
      <c r="Q209" t="n">
        <v>0</v>
      </c>
      <c r="R209" s="2" t="inlineStr"/>
    </row>
    <row r="210" ht="15" customHeight="1">
      <c r="A210" t="inlineStr">
        <is>
          <t>A 33214-2025</t>
        </is>
      </c>
      <c r="B210" s="1" t="n">
        <v>45840.6295949074</v>
      </c>
      <c r="C210" s="1" t="n">
        <v>46013</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22911-2023</t>
        </is>
      </c>
      <c r="B211" s="1" t="n">
        <v>45072</v>
      </c>
      <c r="C211" s="1" t="n">
        <v>46013</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32985-2025</t>
        </is>
      </c>
      <c r="B212" s="1" t="n">
        <v>45839.93033564815</v>
      </c>
      <c r="C212" s="1" t="n">
        <v>46013</v>
      </c>
      <c r="D212" t="inlineStr">
        <is>
          <t>DALARNAS LÄN</t>
        </is>
      </c>
      <c r="E212" t="inlineStr">
        <is>
          <t>ORSA</t>
        </is>
      </c>
      <c r="G212" t="n">
        <v>1.6</v>
      </c>
      <c r="H212" t="n">
        <v>0</v>
      </c>
      <c r="I212" t="n">
        <v>0</v>
      </c>
      <c r="J212" t="n">
        <v>0</v>
      </c>
      <c r="K212" t="n">
        <v>0</v>
      </c>
      <c r="L212" t="n">
        <v>0</v>
      </c>
      <c r="M212" t="n">
        <v>0</v>
      </c>
      <c r="N212" t="n">
        <v>0</v>
      </c>
      <c r="O212" t="n">
        <v>0</v>
      </c>
      <c r="P212" t="n">
        <v>0</v>
      </c>
      <c r="Q212" t="n">
        <v>0</v>
      </c>
      <c r="R212" s="2" t="inlineStr"/>
    </row>
    <row r="213" ht="15" customHeight="1">
      <c r="A213" t="inlineStr">
        <is>
          <t>A 33059-2025</t>
        </is>
      </c>
      <c r="B213" s="1" t="n">
        <v>45840.43072916667</v>
      </c>
      <c r="C213" s="1" t="n">
        <v>46013</v>
      </c>
      <c r="D213" t="inlineStr">
        <is>
          <t>DALARNAS LÄN</t>
        </is>
      </c>
      <c r="E213" t="inlineStr">
        <is>
          <t>ORSA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33209-2025</t>
        </is>
      </c>
      <c r="B214" s="1" t="n">
        <v>45840.62648148148</v>
      </c>
      <c r="C214" s="1" t="n">
        <v>46013</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10261-2022</t>
        </is>
      </c>
      <c r="B215" s="1" t="n">
        <v>44622.6445949074</v>
      </c>
      <c r="C215" s="1" t="n">
        <v>46013</v>
      </c>
      <c r="D215" t="inlineStr">
        <is>
          <t>DALARNAS LÄN</t>
        </is>
      </c>
      <c r="E215" t="inlineStr">
        <is>
          <t>ORSA</t>
        </is>
      </c>
      <c r="G215" t="n">
        <v>3.1</v>
      </c>
      <c r="H215" t="n">
        <v>0</v>
      </c>
      <c r="I215" t="n">
        <v>0</v>
      </c>
      <c r="J215" t="n">
        <v>0</v>
      </c>
      <c r="K215" t="n">
        <v>0</v>
      </c>
      <c r="L215" t="n">
        <v>0</v>
      </c>
      <c r="M215" t="n">
        <v>0</v>
      </c>
      <c r="N215" t="n">
        <v>0</v>
      </c>
      <c r="O215" t="n">
        <v>0</v>
      </c>
      <c r="P215" t="n">
        <v>0</v>
      </c>
      <c r="Q215" t="n">
        <v>0</v>
      </c>
      <c r="R215" s="2" t="inlineStr"/>
    </row>
    <row r="216" ht="15" customHeight="1">
      <c r="A216" t="inlineStr">
        <is>
          <t>A 33158-2025</t>
        </is>
      </c>
      <c r="B216" s="1" t="n">
        <v>45840</v>
      </c>
      <c r="C216" s="1" t="n">
        <v>46013</v>
      </c>
      <c r="D216" t="inlineStr">
        <is>
          <t>DALARNAS LÄN</t>
        </is>
      </c>
      <c r="E216" t="inlineStr">
        <is>
          <t>ORSA</t>
        </is>
      </c>
      <c r="F216" t="inlineStr">
        <is>
          <t>Bergvik skog öst AB</t>
        </is>
      </c>
      <c r="G216" t="n">
        <v>2.7</v>
      </c>
      <c r="H216" t="n">
        <v>0</v>
      </c>
      <c r="I216" t="n">
        <v>0</v>
      </c>
      <c r="J216" t="n">
        <v>0</v>
      </c>
      <c r="K216" t="n">
        <v>0</v>
      </c>
      <c r="L216" t="n">
        <v>0</v>
      </c>
      <c r="M216" t="n">
        <v>0</v>
      </c>
      <c r="N216" t="n">
        <v>0</v>
      </c>
      <c r="O216" t="n">
        <v>0</v>
      </c>
      <c r="P216" t="n">
        <v>0</v>
      </c>
      <c r="Q216" t="n">
        <v>0</v>
      </c>
      <c r="R216" s="2" t="inlineStr"/>
    </row>
    <row r="217" ht="15" customHeight="1">
      <c r="A217" t="inlineStr">
        <is>
          <t>A 32984-2025</t>
        </is>
      </c>
      <c r="B217" s="1" t="n">
        <v>45839.93006944445</v>
      </c>
      <c r="C217" s="1" t="n">
        <v>46013</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45155-2025</t>
        </is>
      </c>
      <c r="B218" s="1" t="n">
        <v>45919.47872685185</v>
      </c>
      <c r="C218" s="1" t="n">
        <v>46013</v>
      </c>
      <c r="D218" t="inlineStr">
        <is>
          <t>DALARNAS LÄN</t>
        </is>
      </c>
      <c r="E218" t="inlineStr">
        <is>
          <t>ORSA</t>
        </is>
      </c>
      <c r="G218" t="n">
        <v>1.5</v>
      </c>
      <c r="H218" t="n">
        <v>0</v>
      </c>
      <c r="I218" t="n">
        <v>0</v>
      </c>
      <c r="J218" t="n">
        <v>0</v>
      </c>
      <c r="K218" t="n">
        <v>0</v>
      </c>
      <c r="L218" t="n">
        <v>0</v>
      </c>
      <c r="M218" t="n">
        <v>0</v>
      </c>
      <c r="N218" t="n">
        <v>0</v>
      </c>
      <c r="O218" t="n">
        <v>0</v>
      </c>
      <c r="P218" t="n">
        <v>0</v>
      </c>
      <c r="Q218" t="n">
        <v>0</v>
      </c>
      <c r="R218" s="2" t="inlineStr"/>
    </row>
    <row r="219" ht="15" customHeight="1">
      <c r="A219" t="inlineStr">
        <is>
          <t>A 45803-2025</t>
        </is>
      </c>
      <c r="B219" s="1" t="n">
        <v>45923.58125</v>
      </c>
      <c r="C219" s="1" t="n">
        <v>46013</v>
      </c>
      <c r="D219" t="inlineStr">
        <is>
          <t>DALARNAS LÄN</t>
        </is>
      </c>
      <c r="E219" t="inlineStr">
        <is>
          <t>ORSA</t>
        </is>
      </c>
      <c r="F219" t="inlineStr">
        <is>
          <t>Allmännings- och besparingsskogar</t>
        </is>
      </c>
      <c r="G219" t="n">
        <v>3.4</v>
      </c>
      <c r="H219" t="n">
        <v>0</v>
      </c>
      <c r="I219" t="n">
        <v>0</v>
      </c>
      <c r="J219" t="n">
        <v>0</v>
      </c>
      <c r="K219" t="n">
        <v>0</v>
      </c>
      <c r="L219" t="n">
        <v>0</v>
      </c>
      <c r="M219" t="n">
        <v>0</v>
      </c>
      <c r="N219" t="n">
        <v>0</v>
      </c>
      <c r="O219" t="n">
        <v>0</v>
      </c>
      <c r="P219" t="n">
        <v>0</v>
      </c>
      <c r="Q219" t="n">
        <v>0</v>
      </c>
      <c r="R219" s="2" t="inlineStr"/>
    </row>
    <row r="220" ht="15" customHeight="1">
      <c r="A220" t="inlineStr">
        <is>
          <t>A 33374-2025</t>
        </is>
      </c>
      <c r="B220" s="1" t="n">
        <v>45841.39582175926</v>
      </c>
      <c r="C220" s="1" t="n">
        <v>46013</v>
      </c>
      <c r="D220" t="inlineStr">
        <is>
          <t>DALARNAS LÄN</t>
        </is>
      </c>
      <c r="E220" t="inlineStr">
        <is>
          <t>ORSA</t>
        </is>
      </c>
      <c r="G220" t="n">
        <v>1</v>
      </c>
      <c r="H220" t="n">
        <v>0</v>
      </c>
      <c r="I220" t="n">
        <v>0</v>
      </c>
      <c r="J220" t="n">
        <v>0</v>
      </c>
      <c r="K220" t="n">
        <v>0</v>
      </c>
      <c r="L220" t="n">
        <v>0</v>
      </c>
      <c r="M220" t="n">
        <v>0</v>
      </c>
      <c r="N220" t="n">
        <v>0</v>
      </c>
      <c r="O220" t="n">
        <v>0</v>
      </c>
      <c r="P220" t="n">
        <v>0</v>
      </c>
      <c r="Q220" t="n">
        <v>0</v>
      </c>
      <c r="R220" s="2" t="inlineStr"/>
    </row>
    <row r="221" ht="15" customHeight="1">
      <c r="A221" t="inlineStr">
        <is>
          <t>A 33884-2025</t>
        </is>
      </c>
      <c r="B221" s="1" t="n">
        <v>45842.57081018519</v>
      </c>
      <c r="C221" s="1" t="n">
        <v>46013</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33394-2025</t>
        </is>
      </c>
      <c r="B222" s="1" t="n">
        <v>45841.41704861111</v>
      </c>
      <c r="C222" s="1" t="n">
        <v>46013</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33835-2025</t>
        </is>
      </c>
      <c r="B223" s="1" t="n">
        <v>45842.47619212963</v>
      </c>
      <c r="C223" s="1" t="n">
        <v>46013</v>
      </c>
      <c r="D223" t="inlineStr">
        <is>
          <t>DALARNAS LÄN</t>
        </is>
      </c>
      <c r="E223" t="inlineStr">
        <is>
          <t>ORSA</t>
        </is>
      </c>
      <c r="G223" t="n">
        <v>15.2</v>
      </c>
      <c r="H223" t="n">
        <v>0</v>
      </c>
      <c r="I223" t="n">
        <v>0</v>
      </c>
      <c r="J223" t="n">
        <v>0</v>
      </c>
      <c r="K223" t="n">
        <v>0</v>
      </c>
      <c r="L223" t="n">
        <v>0</v>
      </c>
      <c r="M223" t="n">
        <v>0</v>
      </c>
      <c r="N223" t="n">
        <v>0</v>
      </c>
      <c r="O223" t="n">
        <v>0</v>
      </c>
      <c r="P223" t="n">
        <v>0</v>
      </c>
      <c r="Q223" t="n">
        <v>0</v>
      </c>
      <c r="R223" s="2" t="inlineStr"/>
    </row>
    <row r="224" ht="15" customHeight="1">
      <c r="A224" t="inlineStr">
        <is>
          <t>A 33951-2025</t>
        </is>
      </c>
      <c r="B224" s="1" t="n">
        <v>45842.66791666667</v>
      </c>
      <c r="C224" s="1" t="n">
        <v>46013</v>
      </c>
      <c r="D224" t="inlineStr">
        <is>
          <t>DALARNAS LÄN</t>
        </is>
      </c>
      <c r="E224" t="inlineStr">
        <is>
          <t>ORSA</t>
        </is>
      </c>
      <c r="G224" t="n">
        <v>1.2</v>
      </c>
      <c r="H224" t="n">
        <v>0</v>
      </c>
      <c r="I224" t="n">
        <v>0</v>
      </c>
      <c r="J224" t="n">
        <v>0</v>
      </c>
      <c r="K224" t="n">
        <v>0</v>
      </c>
      <c r="L224" t="n">
        <v>0</v>
      </c>
      <c r="M224" t="n">
        <v>0</v>
      </c>
      <c r="N224" t="n">
        <v>0</v>
      </c>
      <c r="O224" t="n">
        <v>0</v>
      </c>
      <c r="P224" t="n">
        <v>0</v>
      </c>
      <c r="Q224" t="n">
        <v>0</v>
      </c>
      <c r="R224" s="2" t="inlineStr"/>
    </row>
    <row r="225" ht="15" customHeight="1">
      <c r="A225" t="inlineStr">
        <is>
          <t>A 33857-2025</t>
        </is>
      </c>
      <c r="B225" s="1" t="n">
        <v>45842.51953703703</v>
      </c>
      <c r="C225" s="1" t="n">
        <v>46013</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46279-2025</t>
        </is>
      </c>
      <c r="B226" s="1" t="n">
        <v>45925.37534722222</v>
      </c>
      <c r="C226" s="1" t="n">
        <v>46013</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34001-2025</t>
        </is>
      </c>
      <c r="B227" s="1" t="n">
        <v>45844</v>
      </c>
      <c r="C227" s="1" t="n">
        <v>46013</v>
      </c>
      <c r="D227" t="inlineStr">
        <is>
          <t>DALARNAS LÄN</t>
        </is>
      </c>
      <c r="E227" t="inlineStr">
        <is>
          <t>ORSA</t>
        </is>
      </c>
      <c r="F227" t="inlineStr">
        <is>
          <t>Bergvik skog öst AB</t>
        </is>
      </c>
      <c r="G227" t="n">
        <v>13.4</v>
      </c>
      <c r="H227" t="n">
        <v>0</v>
      </c>
      <c r="I227" t="n">
        <v>0</v>
      </c>
      <c r="J227" t="n">
        <v>0</v>
      </c>
      <c r="K227" t="n">
        <v>0</v>
      </c>
      <c r="L227" t="n">
        <v>0</v>
      </c>
      <c r="M227" t="n">
        <v>0</v>
      </c>
      <c r="N227" t="n">
        <v>0</v>
      </c>
      <c r="O227" t="n">
        <v>0</v>
      </c>
      <c r="P227" t="n">
        <v>0</v>
      </c>
      <c r="Q227" t="n">
        <v>0</v>
      </c>
      <c r="R227" s="2" t="inlineStr"/>
    </row>
    <row r="228" ht="15" customHeight="1">
      <c r="A228" t="inlineStr">
        <is>
          <t>A 46421-2025</t>
        </is>
      </c>
      <c r="B228" s="1" t="n">
        <v>45925.59936342593</v>
      </c>
      <c r="C228" s="1" t="n">
        <v>46013</v>
      </c>
      <c r="D228" t="inlineStr">
        <is>
          <t>DALARNAS LÄN</t>
        </is>
      </c>
      <c r="E228" t="inlineStr">
        <is>
          <t>ORSA</t>
        </is>
      </c>
      <c r="F228" t="inlineStr">
        <is>
          <t>Allmännings- och besparingsskogar</t>
        </is>
      </c>
      <c r="G228" t="n">
        <v>6.2</v>
      </c>
      <c r="H228" t="n">
        <v>0</v>
      </c>
      <c r="I228" t="n">
        <v>0</v>
      </c>
      <c r="J228" t="n">
        <v>0</v>
      </c>
      <c r="K228" t="n">
        <v>0</v>
      </c>
      <c r="L228" t="n">
        <v>0</v>
      </c>
      <c r="M228" t="n">
        <v>0</v>
      </c>
      <c r="N228" t="n">
        <v>0</v>
      </c>
      <c r="O228" t="n">
        <v>0</v>
      </c>
      <c r="P228" t="n">
        <v>0</v>
      </c>
      <c r="Q228" t="n">
        <v>0</v>
      </c>
      <c r="R228" s="2" t="inlineStr"/>
    </row>
    <row r="229" ht="15" customHeight="1">
      <c r="A229" t="inlineStr">
        <is>
          <t>A 46272-2025</t>
        </is>
      </c>
      <c r="B229" s="1" t="n">
        <v>45925.36988425926</v>
      </c>
      <c r="C229" s="1" t="n">
        <v>46013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46242-2025</t>
        </is>
      </c>
      <c r="B230" s="1" t="n">
        <v>45925.31876157408</v>
      </c>
      <c r="C230" s="1" t="n">
        <v>46013</v>
      </c>
      <c r="D230" t="inlineStr">
        <is>
          <t>DALARNAS LÄN</t>
        </is>
      </c>
      <c r="E230" t="inlineStr">
        <is>
          <t>ORSA</t>
        </is>
      </c>
      <c r="G230" t="n">
        <v>5.6</v>
      </c>
      <c r="H230" t="n">
        <v>0</v>
      </c>
      <c r="I230" t="n">
        <v>0</v>
      </c>
      <c r="J230" t="n">
        <v>0</v>
      </c>
      <c r="K230" t="n">
        <v>0</v>
      </c>
      <c r="L230" t="n">
        <v>0</v>
      </c>
      <c r="M230" t="n">
        <v>0</v>
      </c>
      <c r="N230" t="n">
        <v>0</v>
      </c>
      <c r="O230" t="n">
        <v>0</v>
      </c>
      <c r="P230" t="n">
        <v>0</v>
      </c>
      <c r="Q230" t="n">
        <v>0</v>
      </c>
      <c r="R230" s="2" t="inlineStr"/>
    </row>
    <row r="231" ht="15" customHeight="1">
      <c r="A231" t="inlineStr">
        <is>
          <t>A 46402-2025</t>
        </is>
      </c>
      <c r="B231" s="1" t="n">
        <v>45925.56084490741</v>
      </c>
      <c r="C231" s="1" t="n">
        <v>46013</v>
      </c>
      <c r="D231" t="inlineStr">
        <is>
          <t>DALARNAS LÄN</t>
        </is>
      </c>
      <c r="E231" t="inlineStr">
        <is>
          <t>ORSA</t>
        </is>
      </c>
      <c r="F231" t="inlineStr">
        <is>
          <t>Allmännings- och besparingsskogar</t>
        </is>
      </c>
      <c r="G231" t="n">
        <v>0.7</v>
      </c>
      <c r="H231" t="n">
        <v>0</v>
      </c>
      <c r="I231" t="n">
        <v>0</v>
      </c>
      <c r="J231" t="n">
        <v>0</v>
      </c>
      <c r="K231" t="n">
        <v>0</v>
      </c>
      <c r="L231" t="n">
        <v>0</v>
      </c>
      <c r="M231" t="n">
        <v>0</v>
      </c>
      <c r="N231" t="n">
        <v>0</v>
      </c>
      <c r="O231" t="n">
        <v>0</v>
      </c>
      <c r="P231" t="n">
        <v>0</v>
      </c>
      <c r="Q231" t="n">
        <v>0</v>
      </c>
      <c r="R231" s="2" t="inlineStr"/>
    </row>
    <row r="232" ht="15" customHeight="1">
      <c r="A232" t="inlineStr">
        <is>
          <t>A 46277-2025</t>
        </is>
      </c>
      <c r="B232" s="1" t="n">
        <v>45925.37229166667</v>
      </c>
      <c r="C232" s="1" t="n">
        <v>46013</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34779-2025</t>
        </is>
      </c>
      <c r="B233" s="1" t="n">
        <v>45848.66987268518</v>
      </c>
      <c r="C233" s="1" t="n">
        <v>46013</v>
      </c>
      <c r="D233" t="inlineStr">
        <is>
          <t>DALARNAS LÄN</t>
        </is>
      </c>
      <c r="E233" t="inlineStr">
        <is>
          <t>ORSA</t>
        </is>
      </c>
      <c r="G233" t="n">
        <v>0.6</v>
      </c>
      <c r="H233" t="n">
        <v>0</v>
      </c>
      <c r="I233" t="n">
        <v>0</v>
      </c>
      <c r="J233" t="n">
        <v>0</v>
      </c>
      <c r="K233" t="n">
        <v>0</v>
      </c>
      <c r="L233" t="n">
        <v>0</v>
      </c>
      <c r="M233" t="n">
        <v>0</v>
      </c>
      <c r="N233" t="n">
        <v>0</v>
      </c>
      <c r="O233" t="n">
        <v>0</v>
      </c>
      <c r="P233" t="n">
        <v>0</v>
      </c>
      <c r="Q233" t="n">
        <v>0</v>
      </c>
      <c r="R233" s="2" t="inlineStr"/>
    </row>
    <row r="234" ht="15" customHeight="1">
      <c r="A234" t="inlineStr">
        <is>
          <t>A 34753-2025</t>
        </is>
      </c>
      <c r="B234" s="1" t="n">
        <v>45848.62001157407</v>
      </c>
      <c r="C234" s="1" t="n">
        <v>46013</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34781-2025</t>
        </is>
      </c>
      <c r="B235" s="1" t="n">
        <v>45848.67424768519</v>
      </c>
      <c r="C235" s="1" t="n">
        <v>46013</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34744-2025</t>
        </is>
      </c>
      <c r="B236" s="1" t="n">
        <v>45848.6125</v>
      </c>
      <c r="C236" s="1" t="n">
        <v>46013</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34769-2025</t>
        </is>
      </c>
      <c r="B237" s="1" t="n">
        <v>45848.6534837963</v>
      </c>
      <c r="C237" s="1" t="n">
        <v>46013</v>
      </c>
      <c r="D237" t="inlineStr">
        <is>
          <t>DALARNAS LÄN</t>
        </is>
      </c>
      <c r="E237" t="inlineStr">
        <is>
          <t>ORSA</t>
        </is>
      </c>
      <c r="G237" t="n">
        <v>0.4</v>
      </c>
      <c r="H237" t="n">
        <v>0</v>
      </c>
      <c r="I237" t="n">
        <v>0</v>
      </c>
      <c r="J237" t="n">
        <v>0</v>
      </c>
      <c r="K237" t="n">
        <v>0</v>
      </c>
      <c r="L237" t="n">
        <v>0</v>
      </c>
      <c r="M237" t="n">
        <v>0</v>
      </c>
      <c r="N237" t="n">
        <v>0</v>
      </c>
      <c r="O237" t="n">
        <v>0</v>
      </c>
      <c r="P237" t="n">
        <v>0</v>
      </c>
      <c r="Q237" t="n">
        <v>0</v>
      </c>
      <c r="R237" s="2" t="inlineStr"/>
    </row>
    <row r="238" ht="15" customHeight="1">
      <c r="A238" t="inlineStr">
        <is>
          <t>A 34777-2025</t>
        </is>
      </c>
      <c r="B238" s="1" t="n">
        <v>45848.66167824074</v>
      </c>
      <c r="C238" s="1" t="n">
        <v>46013</v>
      </c>
      <c r="D238" t="inlineStr">
        <is>
          <t>DALARNAS LÄN</t>
        </is>
      </c>
      <c r="E238" t="inlineStr">
        <is>
          <t>ORSA</t>
        </is>
      </c>
      <c r="G238" t="n">
        <v>0.4</v>
      </c>
      <c r="H238" t="n">
        <v>0</v>
      </c>
      <c r="I238" t="n">
        <v>0</v>
      </c>
      <c r="J238" t="n">
        <v>0</v>
      </c>
      <c r="K238" t="n">
        <v>0</v>
      </c>
      <c r="L238" t="n">
        <v>0</v>
      </c>
      <c r="M238" t="n">
        <v>0</v>
      </c>
      <c r="N238" t="n">
        <v>0</v>
      </c>
      <c r="O238" t="n">
        <v>0</v>
      </c>
      <c r="P238" t="n">
        <v>0</v>
      </c>
      <c r="Q238" t="n">
        <v>0</v>
      </c>
      <c r="R238" s="2" t="inlineStr"/>
    </row>
    <row r="239" ht="15" customHeight="1">
      <c r="A239" t="inlineStr">
        <is>
          <t>A 34794-2025</t>
        </is>
      </c>
      <c r="B239" s="1" t="n">
        <v>45848.73256944444</v>
      </c>
      <c r="C239" s="1" t="n">
        <v>46013</v>
      </c>
      <c r="D239" t="inlineStr">
        <is>
          <t>DALARNAS LÄN</t>
        </is>
      </c>
      <c r="E239" t="inlineStr">
        <is>
          <t>ORSA</t>
        </is>
      </c>
      <c r="G239" t="n">
        <v>2.3</v>
      </c>
      <c r="H239" t="n">
        <v>0</v>
      </c>
      <c r="I239" t="n">
        <v>0</v>
      </c>
      <c r="J239" t="n">
        <v>0</v>
      </c>
      <c r="K239" t="n">
        <v>0</v>
      </c>
      <c r="L239" t="n">
        <v>0</v>
      </c>
      <c r="M239" t="n">
        <v>0</v>
      </c>
      <c r="N239" t="n">
        <v>0</v>
      </c>
      <c r="O239" t="n">
        <v>0</v>
      </c>
      <c r="P239" t="n">
        <v>0</v>
      </c>
      <c r="Q239" t="n">
        <v>0</v>
      </c>
      <c r="R239" s="2" t="inlineStr"/>
    </row>
    <row r="240" ht="15" customHeight="1">
      <c r="A240" t="inlineStr">
        <is>
          <t>A 55405-2025</t>
        </is>
      </c>
      <c r="B240" s="1" t="n">
        <v>45971.45525462963</v>
      </c>
      <c r="C240" s="1" t="n">
        <v>46013</v>
      </c>
      <c r="D240" t="inlineStr">
        <is>
          <t>DALARNAS LÄN</t>
        </is>
      </c>
      <c r="E240" t="inlineStr">
        <is>
          <t>ORSA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34764-2025</t>
        </is>
      </c>
      <c r="B241" s="1" t="n">
        <v>45848.64788194445</v>
      </c>
      <c r="C241" s="1" t="n">
        <v>46013</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55369-2025</t>
        </is>
      </c>
      <c r="B242" s="1" t="n">
        <v>45971.41472222222</v>
      </c>
      <c r="C242" s="1" t="n">
        <v>46013</v>
      </c>
      <c r="D242" t="inlineStr">
        <is>
          <t>DALARNAS LÄN</t>
        </is>
      </c>
      <c r="E242" t="inlineStr">
        <is>
          <t>ORSA</t>
        </is>
      </c>
      <c r="F242" t="inlineStr">
        <is>
          <t>Bergvik skog öst AB</t>
        </is>
      </c>
      <c r="G242" t="n">
        <v>1.7</v>
      </c>
      <c r="H242" t="n">
        <v>0</v>
      </c>
      <c r="I242" t="n">
        <v>0</v>
      </c>
      <c r="J242" t="n">
        <v>0</v>
      </c>
      <c r="K242" t="n">
        <v>0</v>
      </c>
      <c r="L242" t="n">
        <v>0</v>
      </c>
      <c r="M242" t="n">
        <v>0</v>
      </c>
      <c r="N242" t="n">
        <v>0</v>
      </c>
      <c r="O242" t="n">
        <v>0</v>
      </c>
      <c r="P242" t="n">
        <v>0</v>
      </c>
      <c r="Q242" t="n">
        <v>0</v>
      </c>
      <c r="R242" s="2" t="inlineStr"/>
    </row>
    <row r="243" ht="15" customHeight="1">
      <c r="A243" t="inlineStr">
        <is>
          <t>A 34964-2025</t>
        </is>
      </c>
      <c r="B243" s="1" t="n">
        <v>45849.6330787037</v>
      </c>
      <c r="C243" s="1" t="n">
        <v>46013</v>
      </c>
      <c r="D243" t="inlineStr">
        <is>
          <t>DALARNAS LÄN</t>
        </is>
      </c>
      <c r="E243" t="inlineStr">
        <is>
          <t>ORSA</t>
        </is>
      </c>
      <c r="G243" t="n">
        <v>2.1</v>
      </c>
      <c r="H243" t="n">
        <v>0</v>
      </c>
      <c r="I243" t="n">
        <v>0</v>
      </c>
      <c r="J243" t="n">
        <v>0</v>
      </c>
      <c r="K243" t="n">
        <v>0</v>
      </c>
      <c r="L243" t="n">
        <v>0</v>
      </c>
      <c r="M243" t="n">
        <v>0</v>
      </c>
      <c r="N243" t="n">
        <v>0</v>
      </c>
      <c r="O243" t="n">
        <v>0</v>
      </c>
      <c r="P243" t="n">
        <v>0</v>
      </c>
      <c r="Q243" t="n">
        <v>0</v>
      </c>
      <c r="R243" s="2" t="inlineStr"/>
    </row>
    <row r="244" ht="15" customHeight="1">
      <c r="A244" t="inlineStr">
        <is>
          <t>A 52816-2024</t>
        </is>
      </c>
      <c r="B244" s="1" t="n">
        <v>45610.58322916667</v>
      </c>
      <c r="C244" s="1" t="n">
        <v>46013</v>
      </c>
      <c r="D244" t="inlineStr">
        <is>
          <t>DALARNAS LÄN</t>
        </is>
      </c>
      <c r="E244" t="inlineStr">
        <is>
          <t>ORSA</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42517-2024</t>
        </is>
      </c>
      <c r="B245" s="1" t="n">
        <v>45565.54078703704</v>
      </c>
      <c r="C245" s="1" t="n">
        <v>46013</v>
      </c>
      <c r="D245" t="inlineStr">
        <is>
          <t>DALARNAS LÄN</t>
        </is>
      </c>
      <c r="E245" t="inlineStr">
        <is>
          <t>ORSA</t>
        </is>
      </c>
      <c r="G245" t="n">
        <v>3</v>
      </c>
      <c r="H245" t="n">
        <v>0</v>
      </c>
      <c r="I245" t="n">
        <v>0</v>
      </c>
      <c r="J245" t="n">
        <v>0</v>
      </c>
      <c r="K245" t="n">
        <v>0</v>
      </c>
      <c r="L245" t="n">
        <v>0</v>
      </c>
      <c r="M245" t="n">
        <v>0</v>
      </c>
      <c r="N245" t="n">
        <v>0</v>
      </c>
      <c r="O245" t="n">
        <v>0</v>
      </c>
      <c r="P245" t="n">
        <v>0</v>
      </c>
      <c r="Q245" t="n">
        <v>0</v>
      </c>
      <c r="R245" s="2" t="inlineStr"/>
    </row>
    <row r="246" ht="15" customHeight="1">
      <c r="A246" t="inlineStr">
        <is>
          <t>A 28082-2023</t>
        </is>
      </c>
      <c r="B246" s="1" t="n">
        <v>45099</v>
      </c>
      <c r="C246" s="1" t="n">
        <v>46013</v>
      </c>
      <c r="D246" t="inlineStr">
        <is>
          <t>DALARNAS LÄN</t>
        </is>
      </c>
      <c r="E246" t="inlineStr">
        <is>
          <t>ORSA</t>
        </is>
      </c>
      <c r="G246" t="n">
        <v>0.4</v>
      </c>
      <c r="H246" t="n">
        <v>0</v>
      </c>
      <c r="I246" t="n">
        <v>0</v>
      </c>
      <c r="J246" t="n">
        <v>0</v>
      </c>
      <c r="K246" t="n">
        <v>0</v>
      </c>
      <c r="L246" t="n">
        <v>0</v>
      </c>
      <c r="M246" t="n">
        <v>0</v>
      </c>
      <c r="N246" t="n">
        <v>0</v>
      </c>
      <c r="O246" t="n">
        <v>0</v>
      </c>
      <c r="P246" t="n">
        <v>0</v>
      </c>
      <c r="Q246" t="n">
        <v>0</v>
      </c>
      <c r="R246" s="2" t="inlineStr"/>
    </row>
    <row r="247" ht="15" customHeight="1">
      <c r="A247" t="inlineStr">
        <is>
          <t>A 2717-2024</t>
        </is>
      </c>
      <c r="B247" s="1" t="n">
        <v>45314.49222222222</v>
      </c>
      <c r="C247" s="1" t="n">
        <v>46013</v>
      </c>
      <c r="D247" t="inlineStr">
        <is>
          <t>DALARNAS LÄN</t>
        </is>
      </c>
      <c r="E247" t="inlineStr">
        <is>
          <t>ORSA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56887-2024</t>
        </is>
      </c>
      <c r="B248" s="1" t="n">
        <v>45628.57388888889</v>
      </c>
      <c r="C248" s="1" t="n">
        <v>46013</v>
      </c>
      <c r="D248" t="inlineStr">
        <is>
          <t>DALARNAS LÄN</t>
        </is>
      </c>
      <c r="E248" t="inlineStr">
        <is>
          <t>ORSA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56295-2025</t>
        </is>
      </c>
      <c r="B249" s="1" t="n">
        <v>45974.60144675926</v>
      </c>
      <c r="C249" s="1" t="n">
        <v>46013</v>
      </c>
      <c r="D249" t="inlineStr">
        <is>
          <t>DALARNAS LÄN</t>
        </is>
      </c>
      <c r="E249" t="inlineStr">
        <is>
          <t>ORSA</t>
        </is>
      </c>
      <c r="G249" t="n">
        <v>2.1</v>
      </c>
      <c r="H249" t="n">
        <v>0</v>
      </c>
      <c r="I249" t="n">
        <v>0</v>
      </c>
      <c r="J249" t="n">
        <v>0</v>
      </c>
      <c r="K249" t="n">
        <v>0</v>
      </c>
      <c r="L249" t="n">
        <v>0</v>
      </c>
      <c r="M249" t="n">
        <v>0</v>
      </c>
      <c r="N249" t="n">
        <v>0</v>
      </c>
      <c r="O249" t="n">
        <v>0</v>
      </c>
      <c r="P249" t="n">
        <v>0</v>
      </c>
      <c r="Q249" t="n">
        <v>0</v>
      </c>
      <c r="R249" s="2" t="inlineStr"/>
    </row>
    <row r="250" ht="15" customHeight="1">
      <c r="A250" t="inlineStr">
        <is>
          <t>A 56297-2025</t>
        </is>
      </c>
      <c r="B250" s="1" t="n">
        <v>45974.60431712963</v>
      </c>
      <c r="C250" s="1" t="n">
        <v>46013</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42513-2024</t>
        </is>
      </c>
      <c r="B251" s="1" t="n">
        <v>45565.53810185185</v>
      </c>
      <c r="C251" s="1" t="n">
        <v>46013</v>
      </c>
      <c r="D251" t="inlineStr">
        <is>
          <t>DALARNAS LÄN</t>
        </is>
      </c>
      <c r="E251" t="inlineStr">
        <is>
          <t>ORSA</t>
        </is>
      </c>
      <c r="G251" t="n">
        <v>1.6</v>
      </c>
      <c r="H251" t="n">
        <v>0</v>
      </c>
      <c r="I251" t="n">
        <v>0</v>
      </c>
      <c r="J251" t="n">
        <v>0</v>
      </c>
      <c r="K251" t="n">
        <v>0</v>
      </c>
      <c r="L251" t="n">
        <v>0</v>
      </c>
      <c r="M251" t="n">
        <v>0</v>
      </c>
      <c r="N251" t="n">
        <v>0</v>
      </c>
      <c r="O251" t="n">
        <v>0</v>
      </c>
      <c r="P251" t="n">
        <v>0</v>
      </c>
      <c r="Q251" t="n">
        <v>0</v>
      </c>
      <c r="R251" s="2" t="inlineStr"/>
    </row>
    <row r="252" ht="15" customHeight="1">
      <c r="A252" t="inlineStr">
        <is>
          <t>A 47953-2025</t>
        </is>
      </c>
      <c r="B252" s="1" t="n">
        <v>45932.5853125</v>
      </c>
      <c r="C252" s="1" t="n">
        <v>46013</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35619-2025</t>
        </is>
      </c>
      <c r="B253" s="1" t="n">
        <v>45859</v>
      </c>
      <c r="C253" s="1" t="n">
        <v>46013</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35939-2025</t>
        </is>
      </c>
      <c r="B254" s="1" t="n">
        <v>45862.64581018518</v>
      </c>
      <c r="C254" s="1" t="n">
        <v>46013</v>
      </c>
      <c r="D254" t="inlineStr">
        <is>
          <t>DALARNAS LÄN</t>
        </is>
      </c>
      <c r="E254" t="inlineStr">
        <is>
          <t>ORSA</t>
        </is>
      </c>
      <c r="G254" t="n">
        <v>5.6</v>
      </c>
      <c r="H254" t="n">
        <v>0</v>
      </c>
      <c r="I254" t="n">
        <v>0</v>
      </c>
      <c r="J254" t="n">
        <v>0</v>
      </c>
      <c r="K254" t="n">
        <v>0</v>
      </c>
      <c r="L254" t="n">
        <v>0</v>
      </c>
      <c r="M254" t="n">
        <v>0</v>
      </c>
      <c r="N254" t="n">
        <v>0</v>
      </c>
      <c r="O254" t="n">
        <v>0</v>
      </c>
      <c r="P254" t="n">
        <v>0</v>
      </c>
      <c r="Q254" t="n">
        <v>0</v>
      </c>
      <c r="R254" s="2" t="inlineStr"/>
    </row>
    <row r="255" ht="15" customHeight="1">
      <c r="A255" t="inlineStr">
        <is>
          <t>A 56288-2025</t>
        </is>
      </c>
      <c r="B255" s="1" t="n">
        <v>45974.59688657407</v>
      </c>
      <c r="C255" s="1" t="n">
        <v>46013</v>
      </c>
      <c r="D255" t="inlineStr">
        <is>
          <t>DALARNAS LÄN</t>
        </is>
      </c>
      <c r="E255" t="inlineStr">
        <is>
          <t>ORSA</t>
        </is>
      </c>
      <c r="G255" t="n">
        <v>7.2</v>
      </c>
      <c r="H255" t="n">
        <v>0</v>
      </c>
      <c r="I255" t="n">
        <v>0</v>
      </c>
      <c r="J255" t="n">
        <v>0</v>
      </c>
      <c r="K255" t="n">
        <v>0</v>
      </c>
      <c r="L255" t="n">
        <v>0</v>
      </c>
      <c r="M255" t="n">
        <v>0</v>
      </c>
      <c r="N255" t="n">
        <v>0</v>
      </c>
      <c r="O255" t="n">
        <v>0</v>
      </c>
      <c r="P255" t="n">
        <v>0</v>
      </c>
      <c r="Q255" t="n">
        <v>0</v>
      </c>
      <c r="R255" s="2" t="inlineStr"/>
    </row>
    <row r="256" ht="15" customHeight="1">
      <c r="A256" t="inlineStr">
        <is>
          <t>A 56344-2025</t>
        </is>
      </c>
      <c r="B256" s="1" t="n">
        <v>45974.64894675926</v>
      </c>
      <c r="C256" s="1" t="n">
        <v>46013</v>
      </c>
      <c r="D256" t="inlineStr">
        <is>
          <t>DALARNAS LÄN</t>
        </is>
      </c>
      <c r="E256" t="inlineStr">
        <is>
          <t>ORSA</t>
        </is>
      </c>
      <c r="G256" t="n">
        <v>5.5</v>
      </c>
      <c r="H256" t="n">
        <v>0</v>
      </c>
      <c r="I256" t="n">
        <v>0</v>
      </c>
      <c r="J256" t="n">
        <v>0</v>
      </c>
      <c r="K256" t="n">
        <v>0</v>
      </c>
      <c r="L256" t="n">
        <v>0</v>
      </c>
      <c r="M256" t="n">
        <v>0</v>
      </c>
      <c r="N256" t="n">
        <v>0</v>
      </c>
      <c r="O256" t="n">
        <v>0</v>
      </c>
      <c r="P256" t="n">
        <v>0</v>
      </c>
      <c r="Q256" t="n">
        <v>0</v>
      </c>
      <c r="R256" s="2" t="inlineStr"/>
    </row>
    <row r="257" ht="15" customHeight="1">
      <c r="A257" t="inlineStr">
        <is>
          <t>A 35940-2025</t>
        </is>
      </c>
      <c r="B257" s="1" t="n">
        <v>45862.65081018519</v>
      </c>
      <c r="C257" s="1" t="n">
        <v>46013</v>
      </c>
      <c r="D257" t="inlineStr">
        <is>
          <t>DALARNAS LÄN</t>
        </is>
      </c>
      <c r="E257" t="inlineStr">
        <is>
          <t>ORSA</t>
        </is>
      </c>
      <c r="G257" t="n">
        <v>5.1</v>
      </c>
      <c r="H257" t="n">
        <v>0</v>
      </c>
      <c r="I257" t="n">
        <v>0</v>
      </c>
      <c r="J257" t="n">
        <v>0</v>
      </c>
      <c r="K257" t="n">
        <v>0</v>
      </c>
      <c r="L257" t="n">
        <v>0</v>
      </c>
      <c r="M257" t="n">
        <v>0</v>
      </c>
      <c r="N257" t="n">
        <v>0</v>
      </c>
      <c r="O257" t="n">
        <v>0</v>
      </c>
      <c r="P257" t="n">
        <v>0</v>
      </c>
      <c r="Q257" t="n">
        <v>0</v>
      </c>
      <c r="R257" s="2" t="inlineStr"/>
    </row>
    <row r="258" ht="15" customHeight="1">
      <c r="A258" t="inlineStr">
        <is>
          <t>A 35933-2025</t>
        </is>
      </c>
      <c r="B258" s="1" t="n">
        <v>45862.62653935186</v>
      </c>
      <c r="C258" s="1" t="n">
        <v>46013</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35935-2025</t>
        </is>
      </c>
      <c r="B259" s="1" t="n">
        <v>45862.6353125</v>
      </c>
      <c r="C259" s="1" t="n">
        <v>46013</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50714-2023</t>
        </is>
      </c>
      <c r="B260" s="1" t="n">
        <v>45217.56513888889</v>
      </c>
      <c r="C260" s="1" t="n">
        <v>46013</v>
      </c>
      <c r="D260" t="inlineStr">
        <is>
          <t>DALARNAS LÄN</t>
        </is>
      </c>
      <c r="E260" t="inlineStr">
        <is>
          <t>ORSA</t>
        </is>
      </c>
      <c r="G260" t="n">
        <v>1.1</v>
      </c>
      <c r="H260" t="n">
        <v>0</v>
      </c>
      <c r="I260" t="n">
        <v>0</v>
      </c>
      <c r="J260" t="n">
        <v>0</v>
      </c>
      <c r="K260" t="n">
        <v>0</v>
      </c>
      <c r="L260" t="n">
        <v>0</v>
      </c>
      <c r="M260" t="n">
        <v>0</v>
      </c>
      <c r="N260" t="n">
        <v>0</v>
      </c>
      <c r="O260" t="n">
        <v>0</v>
      </c>
      <c r="P260" t="n">
        <v>0</v>
      </c>
      <c r="Q260" t="n">
        <v>0</v>
      </c>
      <c r="R260" s="2" t="inlineStr"/>
    </row>
    <row r="261" ht="15" customHeight="1">
      <c r="A261" t="inlineStr">
        <is>
          <t>A 56459-2025</t>
        </is>
      </c>
      <c r="B261" s="1" t="n">
        <v>45975.36898148148</v>
      </c>
      <c r="C261" s="1" t="n">
        <v>46013</v>
      </c>
      <c r="D261" t="inlineStr">
        <is>
          <t>DALARNAS LÄN</t>
        </is>
      </c>
      <c r="E261" t="inlineStr">
        <is>
          <t>ORSA</t>
        </is>
      </c>
      <c r="G261" t="n">
        <v>3.8</v>
      </c>
      <c r="H261" t="n">
        <v>0</v>
      </c>
      <c r="I261" t="n">
        <v>0</v>
      </c>
      <c r="J261" t="n">
        <v>0</v>
      </c>
      <c r="K261" t="n">
        <v>0</v>
      </c>
      <c r="L261" t="n">
        <v>0</v>
      </c>
      <c r="M261" t="n">
        <v>0</v>
      </c>
      <c r="N261" t="n">
        <v>0</v>
      </c>
      <c r="O261" t="n">
        <v>0</v>
      </c>
      <c r="P261" t="n">
        <v>0</v>
      </c>
      <c r="Q261" t="n">
        <v>0</v>
      </c>
      <c r="R261" s="2" t="inlineStr"/>
    </row>
    <row r="262" ht="15" customHeight="1">
      <c r="A262" t="inlineStr">
        <is>
          <t>A 56813-2025</t>
        </is>
      </c>
      <c r="B262" s="1" t="n">
        <v>45978.45585648148</v>
      </c>
      <c r="C262" s="1" t="n">
        <v>46013</v>
      </c>
      <c r="D262" t="inlineStr">
        <is>
          <t>DALARNAS LÄN</t>
        </is>
      </c>
      <c r="E262" t="inlineStr">
        <is>
          <t>ORSA</t>
        </is>
      </c>
      <c r="G262" t="n">
        <v>2</v>
      </c>
      <c r="H262" t="n">
        <v>0</v>
      </c>
      <c r="I262" t="n">
        <v>0</v>
      </c>
      <c r="J262" t="n">
        <v>0</v>
      </c>
      <c r="K262" t="n">
        <v>0</v>
      </c>
      <c r="L262" t="n">
        <v>0</v>
      </c>
      <c r="M262" t="n">
        <v>0</v>
      </c>
      <c r="N262" t="n">
        <v>0</v>
      </c>
      <c r="O262" t="n">
        <v>0</v>
      </c>
      <c r="P262" t="n">
        <v>0</v>
      </c>
      <c r="Q262" t="n">
        <v>0</v>
      </c>
      <c r="R262" s="2" t="inlineStr"/>
    </row>
    <row r="263" ht="15" customHeight="1">
      <c r="A263" t="inlineStr">
        <is>
          <t>A 48546-2025</t>
        </is>
      </c>
      <c r="B263" s="1" t="n">
        <v>45936.42172453704</v>
      </c>
      <c r="C263" s="1" t="n">
        <v>46013</v>
      </c>
      <c r="D263" t="inlineStr">
        <is>
          <t>DALARNAS LÄN</t>
        </is>
      </c>
      <c r="E263" t="inlineStr">
        <is>
          <t>ORSA</t>
        </is>
      </c>
      <c r="F263" t="inlineStr">
        <is>
          <t>Allmännings- och besparingsskogar</t>
        </is>
      </c>
      <c r="G263" t="n">
        <v>6</v>
      </c>
      <c r="H263" t="n">
        <v>0</v>
      </c>
      <c r="I263" t="n">
        <v>0</v>
      </c>
      <c r="J263" t="n">
        <v>0</v>
      </c>
      <c r="K263" t="n">
        <v>0</v>
      </c>
      <c r="L263" t="n">
        <v>0</v>
      </c>
      <c r="M263" t="n">
        <v>0</v>
      </c>
      <c r="N263" t="n">
        <v>0</v>
      </c>
      <c r="O263" t="n">
        <v>0</v>
      </c>
      <c r="P263" t="n">
        <v>0</v>
      </c>
      <c r="Q263" t="n">
        <v>0</v>
      </c>
      <c r="R263" s="2" t="inlineStr"/>
    </row>
    <row r="264" ht="15" customHeight="1">
      <c r="A264" t="inlineStr">
        <is>
          <t>A 48504-2025</t>
        </is>
      </c>
      <c r="B264" s="1" t="n">
        <v>45936.38270833333</v>
      </c>
      <c r="C264" s="1" t="n">
        <v>46013</v>
      </c>
      <c r="D264" t="inlineStr">
        <is>
          <t>DALARNAS LÄN</t>
        </is>
      </c>
      <c r="E264" t="inlineStr">
        <is>
          <t>ORSA</t>
        </is>
      </c>
      <c r="F264" t="inlineStr">
        <is>
          <t>Allmännings- och besparingsskogar</t>
        </is>
      </c>
      <c r="G264" t="n">
        <v>6.1</v>
      </c>
      <c r="H264" t="n">
        <v>0</v>
      </c>
      <c r="I264" t="n">
        <v>0</v>
      </c>
      <c r="J264" t="n">
        <v>0</v>
      </c>
      <c r="K264" t="n">
        <v>0</v>
      </c>
      <c r="L264" t="n">
        <v>0</v>
      </c>
      <c r="M264" t="n">
        <v>0</v>
      </c>
      <c r="N264" t="n">
        <v>0</v>
      </c>
      <c r="O264" t="n">
        <v>0</v>
      </c>
      <c r="P264" t="n">
        <v>0</v>
      </c>
      <c r="Q264" t="n">
        <v>0</v>
      </c>
      <c r="R264" s="2" t="inlineStr"/>
    </row>
    <row r="265" ht="15" customHeight="1">
      <c r="A265" t="inlineStr">
        <is>
          <t>A 36570-2025</t>
        </is>
      </c>
      <c r="B265" s="1" t="n">
        <v>45870.38728009259</v>
      </c>
      <c r="C265" s="1" t="n">
        <v>46013</v>
      </c>
      <c r="D265" t="inlineStr">
        <is>
          <t>DALARNAS LÄN</t>
        </is>
      </c>
      <c r="E265" t="inlineStr">
        <is>
          <t>ORSA</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56471-2025</t>
        </is>
      </c>
      <c r="B266" s="1" t="n">
        <v>45975.37766203703</v>
      </c>
      <c r="C266" s="1" t="n">
        <v>46013</v>
      </c>
      <c r="D266" t="inlineStr">
        <is>
          <t>DALARNAS LÄN</t>
        </is>
      </c>
      <c r="E266" t="inlineStr">
        <is>
          <t>ORSA</t>
        </is>
      </c>
      <c r="G266" t="n">
        <v>5.2</v>
      </c>
      <c r="H266" t="n">
        <v>0</v>
      </c>
      <c r="I266" t="n">
        <v>0</v>
      </c>
      <c r="J266" t="n">
        <v>0</v>
      </c>
      <c r="K266" t="n">
        <v>0</v>
      </c>
      <c r="L266" t="n">
        <v>0</v>
      </c>
      <c r="M266" t="n">
        <v>0</v>
      </c>
      <c r="N266" t="n">
        <v>0</v>
      </c>
      <c r="O266" t="n">
        <v>0</v>
      </c>
      <c r="P266" t="n">
        <v>0</v>
      </c>
      <c r="Q266" t="n">
        <v>0</v>
      </c>
      <c r="R266" s="2" t="inlineStr"/>
    </row>
    <row r="267" ht="15" customHeight="1">
      <c r="A267" t="inlineStr">
        <is>
          <t>A 36633-2025</t>
        </is>
      </c>
      <c r="B267" s="1" t="n">
        <v>45870</v>
      </c>
      <c r="C267" s="1" t="n">
        <v>46013</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61034-2024</t>
        </is>
      </c>
      <c r="B268" s="1" t="n">
        <v>45645.46608796297</v>
      </c>
      <c r="C268" s="1" t="n">
        <v>46013</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42346-2022</t>
        </is>
      </c>
      <c r="B269" s="1" t="n">
        <v>44831.35561342593</v>
      </c>
      <c r="C269" s="1" t="n">
        <v>46013</v>
      </c>
      <c r="D269" t="inlineStr">
        <is>
          <t>DALARNAS LÄN</t>
        </is>
      </c>
      <c r="E269" t="inlineStr">
        <is>
          <t>ORSA</t>
        </is>
      </c>
      <c r="G269" t="n">
        <v>2.4</v>
      </c>
      <c r="H269" t="n">
        <v>0</v>
      </c>
      <c r="I269" t="n">
        <v>0</v>
      </c>
      <c r="J269" t="n">
        <v>0</v>
      </c>
      <c r="K269" t="n">
        <v>0</v>
      </c>
      <c r="L269" t="n">
        <v>0</v>
      </c>
      <c r="M269" t="n">
        <v>0</v>
      </c>
      <c r="N269" t="n">
        <v>0</v>
      </c>
      <c r="O269" t="n">
        <v>0</v>
      </c>
      <c r="P269" t="n">
        <v>0</v>
      </c>
      <c r="Q269" t="n">
        <v>0</v>
      </c>
      <c r="R269" s="2" t="inlineStr"/>
    </row>
    <row r="270" ht="15" customHeight="1">
      <c r="A270" t="inlineStr">
        <is>
          <t>A 52925-2024</t>
        </is>
      </c>
      <c r="B270" s="1" t="n">
        <v>45610.73276620371</v>
      </c>
      <c r="C270" s="1" t="n">
        <v>46013</v>
      </c>
      <c r="D270" t="inlineStr">
        <is>
          <t>DALARNAS LÄN</t>
        </is>
      </c>
      <c r="E270" t="inlineStr">
        <is>
          <t>ORSA</t>
        </is>
      </c>
      <c r="F270" t="inlineStr">
        <is>
          <t>Allmännings- och besparingsskogar</t>
        </is>
      </c>
      <c r="G270" t="n">
        <v>2.5</v>
      </c>
      <c r="H270" t="n">
        <v>0</v>
      </c>
      <c r="I270" t="n">
        <v>0</v>
      </c>
      <c r="J270" t="n">
        <v>0</v>
      </c>
      <c r="K270" t="n">
        <v>0</v>
      </c>
      <c r="L270" t="n">
        <v>0</v>
      </c>
      <c r="M270" t="n">
        <v>0</v>
      </c>
      <c r="N270" t="n">
        <v>0</v>
      </c>
      <c r="O270" t="n">
        <v>0</v>
      </c>
      <c r="P270" t="n">
        <v>0</v>
      </c>
      <c r="Q270" t="n">
        <v>0</v>
      </c>
      <c r="R270" s="2" t="inlineStr"/>
    </row>
    <row r="271" ht="15" customHeight="1">
      <c r="A271" t="inlineStr">
        <is>
          <t>A 56473-2025</t>
        </is>
      </c>
      <c r="B271" s="1" t="n">
        <v>45975.38001157407</v>
      </c>
      <c r="C271" s="1" t="n">
        <v>46013</v>
      </c>
      <c r="D271" t="inlineStr">
        <is>
          <t>DALARNAS LÄN</t>
        </is>
      </c>
      <c r="E271" t="inlineStr">
        <is>
          <t>ORSA</t>
        </is>
      </c>
      <c r="G271" t="n">
        <v>1.1</v>
      </c>
      <c r="H271" t="n">
        <v>0</v>
      </c>
      <c r="I271" t="n">
        <v>0</v>
      </c>
      <c r="J271" t="n">
        <v>0</v>
      </c>
      <c r="K271" t="n">
        <v>0</v>
      </c>
      <c r="L271" t="n">
        <v>0</v>
      </c>
      <c r="M271" t="n">
        <v>0</v>
      </c>
      <c r="N271" t="n">
        <v>0</v>
      </c>
      <c r="O271" t="n">
        <v>0</v>
      </c>
      <c r="P271" t="n">
        <v>0</v>
      </c>
      <c r="Q271" t="n">
        <v>0</v>
      </c>
      <c r="R271" s="2" t="inlineStr"/>
    </row>
    <row r="272" ht="15" customHeight="1">
      <c r="A272" t="inlineStr">
        <is>
          <t>A 48584-2025</t>
        </is>
      </c>
      <c r="B272" s="1" t="n">
        <v>45936.45788194444</v>
      </c>
      <c r="C272" s="1" t="n">
        <v>46013</v>
      </c>
      <c r="D272" t="inlineStr">
        <is>
          <t>DALARNAS LÄN</t>
        </is>
      </c>
      <c r="E272" t="inlineStr">
        <is>
          <t>ORSA</t>
        </is>
      </c>
      <c r="F272" t="inlineStr">
        <is>
          <t>Allmännings- och besparingsskogar</t>
        </is>
      </c>
      <c r="G272" t="n">
        <v>10.3</v>
      </c>
      <c r="H272" t="n">
        <v>0</v>
      </c>
      <c r="I272" t="n">
        <v>0</v>
      </c>
      <c r="J272" t="n">
        <v>0</v>
      </c>
      <c r="K272" t="n">
        <v>0</v>
      </c>
      <c r="L272" t="n">
        <v>0</v>
      </c>
      <c r="M272" t="n">
        <v>0</v>
      </c>
      <c r="N272" t="n">
        <v>0</v>
      </c>
      <c r="O272" t="n">
        <v>0</v>
      </c>
      <c r="P272" t="n">
        <v>0</v>
      </c>
      <c r="Q272" t="n">
        <v>0</v>
      </c>
      <c r="R272" s="2" t="inlineStr"/>
    </row>
    <row r="273" ht="15" customHeight="1">
      <c r="A273" t="inlineStr">
        <is>
          <t>A 6097-2025</t>
        </is>
      </c>
      <c r="B273" s="1" t="n">
        <v>45697</v>
      </c>
      <c r="C273" s="1" t="n">
        <v>46013</v>
      </c>
      <c r="D273" t="inlineStr">
        <is>
          <t>DALARNAS LÄN</t>
        </is>
      </c>
      <c r="E273" t="inlineStr">
        <is>
          <t>ORSA</t>
        </is>
      </c>
      <c r="G273" t="n">
        <v>11.1</v>
      </c>
      <c r="H273" t="n">
        <v>0</v>
      </c>
      <c r="I273" t="n">
        <v>0</v>
      </c>
      <c r="J273" t="n">
        <v>0</v>
      </c>
      <c r="K273" t="n">
        <v>0</v>
      </c>
      <c r="L273" t="n">
        <v>0</v>
      </c>
      <c r="M273" t="n">
        <v>0</v>
      </c>
      <c r="N273" t="n">
        <v>0</v>
      </c>
      <c r="O273" t="n">
        <v>0</v>
      </c>
      <c r="P273" t="n">
        <v>0</v>
      </c>
      <c r="Q273" t="n">
        <v>0</v>
      </c>
      <c r="R273" s="2" t="inlineStr"/>
    </row>
    <row r="274" ht="15" customHeight="1">
      <c r="A274" t="inlineStr">
        <is>
          <t>A 40101-2024</t>
        </is>
      </c>
      <c r="B274" s="1" t="n">
        <v>45554.42622685185</v>
      </c>
      <c r="C274" s="1" t="n">
        <v>46013</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49211-2025</t>
        </is>
      </c>
      <c r="B275" s="1" t="n">
        <v>45938.43825231482</v>
      </c>
      <c r="C275" s="1" t="n">
        <v>46013</v>
      </c>
      <c r="D275" t="inlineStr">
        <is>
          <t>DALARNAS LÄN</t>
        </is>
      </c>
      <c r="E275" t="inlineStr">
        <is>
          <t>ORSA</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37181-2025</t>
        </is>
      </c>
      <c r="B276" s="1" t="n">
        <v>45875.62668981482</v>
      </c>
      <c r="C276" s="1" t="n">
        <v>46013</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49396-2025</t>
        </is>
      </c>
      <c r="B277" s="1" t="n">
        <v>45938.66181712963</v>
      </c>
      <c r="C277" s="1" t="n">
        <v>46013</v>
      </c>
      <c r="D277" t="inlineStr">
        <is>
          <t>DALARNAS LÄN</t>
        </is>
      </c>
      <c r="E277" t="inlineStr">
        <is>
          <t>ORSA</t>
        </is>
      </c>
      <c r="F277" t="inlineStr">
        <is>
          <t>Allmännings- och besparingsskogar</t>
        </is>
      </c>
      <c r="G277" t="n">
        <v>9.9</v>
      </c>
      <c r="H277" t="n">
        <v>0</v>
      </c>
      <c r="I277" t="n">
        <v>0</v>
      </c>
      <c r="J277" t="n">
        <v>0</v>
      </c>
      <c r="K277" t="n">
        <v>0</v>
      </c>
      <c r="L277" t="n">
        <v>0</v>
      </c>
      <c r="M277" t="n">
        <v>0</v>
      </c>
      <c r="N277" t="n">
        <v>0</v>
      </c>
      <c r="O277" t="n">
        <v>0</v>
      </c>
      <c r="P277" t="n">
        <v>0</v>
      </c>
      <c r="Q277" t="n">
        <v>0</v>
      </c>
      <c r="R277" s="2" t="inlineStr"/>
    </row>
    <row r="278" ht="15" customHeight="1">
      <c r="A278" t="inlineStr">
        <is>
          <t>A 57383-2025</t>
        </is>
      </c>
      <c r="B278" s="1" t="n">
        <v>45980.40871527778</v>
      </c>
      <c r="C278" s="1" t="n">
        <v>46013</v>
      </c>
      <c r="D278" t="inlineStr">
        <is>
          <t>DALARNAS LÄN</t>
        </is>
      </c>
      <c r="E278" t="inlineStr">
        <is>
          <t>ORSA</t>
        </is>
      </c>
      <c r="F278" t="inlineStr">
        <is>
          <t>Kyrkan</t>
        </is>
      </c>
      <c r="G278" t="n">
        <v>3.5</v>
      </c>
      <c r="H278" t="n">
        <v>0</v>
      </c>
      <c r="I278" t="n">
        <v>0</v>
      </c>
      <c r="J278" t="n">
        <v>0</v>
      </c>
      <c r="K278" t="n">
        <v>0</v>
      </c>
      <c r="L278" t="n">
        <v>0</v>
      </c>
      <c r="M278" t="n">
        <v>0</v>
      </c>
      <c r="N278" t="n">
        <v>0</v>
      </c>
      <c r="O278" t="n">
        <v>0</v>
      </c>
      <c r="P278" t="n">
        <v>0</v>
      </c>
      <c r="Q278" t="n">
        <v>0</v>
      </c>
      <c r="R278" s="2" t="inlineStr"/>
    </row>
    <row r="279" ht="15" customHeight="1">
      <c r="A279" t="inlineStr">
        <is>
          <t>A 61053-2024</t>
        </is>
      </c>
      <c r="B279" s="1" t="n">
        <v>45645.48501157408</v>
      </c>
      <c r="C279" s="1" t="n">
        <v>46013</v>
      </c>
      <c r="D279" t="inlineStr">
        <is>
          <t>DALARNAS LÄN</t>
        </is>
      </c>
      <c r="E279" t="inlineStr">
        <is>
          <t>ORSA</t>
        </is>
      </c>
      <c r="G279" t="n">
        <v>2.6</v>
      </c>
      <c r="H279" t="n">
        <v>0</v>
      </c>
      <c r="I279" t="n">
        <v>0</v>
      </c>
      <c r="J279" t="n">
        <v>0</v>
      </c>
      <c r="K279" t="n">
        <v>0</v>
      </c>
      <c r="L279" t="n">
        <v>0</v>
      </c>
      <c r="M279" t="n">
        <v>0</v>
      </c>
      <c r="N279" t="n">
        <v>0</v>
      </c>
      <c r="O279" t="n">
        <v>0</v>
      </c>
      <c r="P279" t="n">
        <v>0</v>
      </c>
      <c r="Q279" t="n">
        <v>0</v>
      </c>
      <c r="R279" s="2" t="inlineStr"/>
    </row>
    <row r="280" ht="15" customHeight="1">
      <c r="A280" t="inlineStr">
        <is>
          <t>A 37445-2025</t>
        </is>
      </c>
      <c r="B280" s="1" t="n">
        <v>45877.54615740741</v>
      </c>
      <c r="C280" s="1" t="n">
        <v>46013</v>
      </c>
      <c r="D280" t="inlineStr">
        <is>
          <t>DALARNAS LÄN</t>
        </is>
      </c>
      <c r="E280" t="inlineStr">
        <is>
          <t>ORSA</t>
        </is>
      </c>
      <c r="F280" t="inlineStr">
        <is>
          <t>Bergvik skog öst AB</t>
        </is>
      </c>
      <c r="G280" t="n">
        <v>13.4</v>
      </c>
      <c r="H280" t="n">
        <v>0</v>
      </c>
      <c r="I280" t="n">
        <v>0</v>
      </c>
      <c r="J280" t="n">
        <v>0</v>
      </c>
      <c r="K280" t="n">
        <v>0</v>
      </c>
      <c r="L280" t="n">
        <v>0</v>
      </c>
      <c r="M280" t="n">
        <v>0</v>
      </c>
      <c r="N280" t="n">
        <v>0</v>
      </c>
      <c r="O280" t="n">
        <v>0</v>
      </c>
      <c r="P280" t="n">
        <v>0</v>
      </c>
      <c r="Q280" t="n">
        <v>0</v>
      </c>
      <c r="R280" s="2" t="inlineStr"/>
    </row>
    <row r="281" ht="15" customHeight="1">
      <c r="A281" t="inlineStr">
        <is>
          <t>A 20349-2021</t>
        </is>
      </c>
      <c r="B281" s="1" t="n">
        <v>44315.41582175926</v>
      </c>
      <c r="C281" s="1" t="n">
        <v>46013</v>
      </c>
      <c r="D281" t="inlineStr">
        <is>
          <t>DALARNAS LÄN</t>
        </is>
      </c>
      <c r="E281" t="inlineStr">
        <is>
          <t>ORSA</t>
        </is>
      </c>
      <c r="G281" t="n">
        <v>2.3</v>
      </c>
      <c r="H281" t="n">
        <v>0</v>
      </c>
      <c r="I281" t="n">
        <v>0</v>
      </c>
      <c r="J281" t="n">
        <v>0</v>
      </c>
      <c r="K281" t="n">
        <v>0</v>
      </c>
      <c r="L281" t="n">
        <v>0</v>
      </c>
      <c r="M281" t="n">
        <v>0</v>
      </c>
      <c r="N281" t="n">
        <v>0</v>
      </c>
      <c r="O281" t="n">
        <v>0</v>
      </c>
      <c r="P281" t="n">
        <v>0</v>
      </c>
      <c r="Q281" t="n">
        <v>0</v>
      </c>
      <c r="R281" s="2" t="inlineStr"/>
    </row>
    <row r="282" ht="15" customHeight="1">
      <c r="A282" t="inlineStr">
        <is>
          <t>A 37439-2025</t>
        </is>
      </c>
      <c r="B282" s="1" t="n">
        <v>45877.53644675926</v>
      </c>
      <c r="C282" s="1" t="n">
        <v>46013</v>
      </c>
      <c r="D282" t="inlineStr">
        <is>
          <t>DALARNAS LÄN</t>
        </is>
      </c>
      <c r="E282" t="inlineStr">
        <is>
          <t>ORSA</t>
        </is>
      </c>
      <c r="F282" t="inlineStr">
        <is>
          <t>Allmännings- och besparingsskogar</t>
        </is>
      </c>
      <c r="G282" t="n">
        <v>7.9</v>
      </c>
      <c r="H282" t="n">
        <v>0</v>
      </c>
      <c r="I282" t="n">
        <v>0</v>
      </c>
      <c r="J282" t="n">
        <v>0</v>
      </c>
      <c r="K282" t="n">
        <v>0</v>
      </c>
      <c r="L282" t="n">
        <v>0</v>
      </c>
      <c r="M282" t="n">
        <v>0</v>
      </c>
      <c r="N282" t="n">
        <v>0</v>
      </c>
      <c r="O282" t="n">
        <v>0</v>
      </c>
      <c r="P282" t="n">
        <v>0</v>
      </c>
      <c r="Q282" t="n">
        <v>0</v>
      </c>
      <c r="R282" s="2" t="inlineStr"/>
    </row>
    <row r="283" ht="15" customHeight="1">
      <c r="A283" t="inlineStr">
        <is>
          <t>A 57055-2025</t>
        </is>
      </c>
      <c r="B283" s="1" t="n">
        <v>45979.36299768519</v>
      </c>
      <c r="C283" s="1" t="n">
        <v>46013</v>
      </c>
      <c r="D283" t="inlineStr">
        <is>
          <t>DALARNAS LÄN</t>
        </is>
      </c>
      <c r="E283" t="inlineStr">
        <is>
          <t>ORSA</t>
        </is>
      </c>
      <c r="G283" t="n">
        <v>1.6</v>
      </c>
      <c r="H283" t="n">
        <v>0</v>
      </c>
      <c r="I283" t="n">
        <v>0</v>
      </c>
      <c r="J283" t="n">
        <v>0</v>
      </c>
      <c r="K283" t="n">
        <v>0</v>
      </c>
      <c r="L283" t="n">
        <v>0</v>
      </c>
      <c r="M283" t="n">
        <v>0</v>
      </c>
      <c r="N283" t="n">
        <v>0</v>
      </c>
      <c r="O283" t="n">
        <v>0</v>
      </c>
      <c r="P283" t="n">
        <v>0</v>
      </c>
      <c r="Q283" t="n">
        <v>0</v>
      </c>
      <c r="R283" s="2" t="inlineStr"/>
    </row>
    <row r="284" ht="15" customHeight="1">
      <c r="A284" t="inlineStr">
        <is>
          <t>A 37496-2025</t>
        </is>
      </c>
      <c r="B284" s="1" t="n">
        <v>45877.64424768519</v>
      </c>
      <c r="C284" s="1" t="n">
        <v>46013</v>
      </c>
      <c r="D284" t="inlineStr">
        <is>
          <t>DALARNAS LÄN</t>
        </is>
      </c>
      <c r="E284" t="inlineStr">
        <is>
          <t>ORSA</t>
        </is>
      </c>
      <c r="F284" t="inlineStr">
        <is>
          <t>Bergvik skog öst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37457-2025</t>
        </is>
      </c>
      <c r="B285" s="1" t="n">
        <v>45877.56829861111</v>
      </c>
      <c r="C285" s="1" t="n">
        <v>46013</v>
      </c>
      <c r="D285" t="inlineStr">
        <is>
          <t>DALARNAS LÄN</t>
        </is>
      </c>
      <c r="E285" t="inlineStr">
        <is>
          <t>ORSA</t>
        </is>
      </c>
      <c r="F285" t="inlineStr">
        <is>
          <t>Allmännings- och besparingsskogar</t>
        </is>
      </c>
      <c r="G285" t="n">
        <v>6.5</v>
      </c>
      <c r="H285" t="n">
        <v>0</v>
      </c>
      <c r="I285" t="n">
        <v>0</v>
      </c>
      <c r="J285" t="n">
        <v>0</v>
      </c>
      <c r="K285" t="n">
        <v>0</v>
      </c>
      <c r="L285" t="n">
        <v>0</v>
      </c>
      <c r="M285" t="n">
        <v>0</v>
      </c>
      <c r="N285" t="n">
        <v>0</v>
      </c>
      <c r="O285" t="n">
        <v>0</v>
      </c>
      <c r="P285" t="n">
        <v>0</v>
      </c>
      <c r="Q285" t="n">
        <v>0</v>
      </c>
      <c r="R285" s="2" t="inlineStr"/>
    </row>
    <row r="286" ht="15" customHeight="1">
      <c r="A286" t="inlineStr">
        <is>
          <t>A 37897-2025</t>
        </is>
      </c>
      <c r="B286" s="1" t="n">
        <v>45881.55274305555</v>
      </c>
      <c r="C286" s="1" t="n">
        <v>46013</v>
      </c>
      <c r="D286" t="inlineStr">
        <is>
          <t>DALARNAS LÄN</t>
        </is>
      </c>
      <c r="E286" t="inlineStr">
        <is>
          <t>ORSA</t>
        </is>
      </c>
      <c r="G286" t="n">
        <v>1.9</v>
      </c>
      <c r="H286" t="n">
        <v>0</v>
      </c>
      <c r="I286" t="n">
        <v>0</v>
      </c>
      <c r="J286" t="n">
        <v>0</v>
      </c>
      <c r="K286" t="n">
        <v>0</v>
      </c>
      <c r="L286" t="n">
        <v>0</v>
      </c>
      <c r="M286" t="n">
        <v>0</v>
      </c>
      <c r="N286" t="n">
        <v>0</v>
      </c>
      <c r="O286" t="n">
        <v>0</v>
      </c>
      <c r="P286" t="n">
        <v>0</v>
      </c>
      <c r="Q286" t="n">
        <v>0</v>
      </c>
      <c r="R286" s="2" t="inlineStr"/>
    </row>
    <row r="287" ht="15" customHeight="1">
      <c r="A287" t="inlineStr">
        <is>
          <t>A 37899-2025</t>
        </is>
      </c>
      <c r="B287" s="1" t="n">
        <v>45881.56083333334</v>
      </c>
      <c r="C287" s="1" t="n">
        <v>46013</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58007-2025</t>
        </is>
      </c>
      <c r="B288" s="1" t="n">
        <v>45982.44907407407</v>
      </c>
      <c r="C288" s="1" t="n">
        <v>46013</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37893-2025</t>
        </is>
      </c>
      <c r="B289" s="1" t="n">
        <v>45881.54469907407</v>
      </c>
      <c r="C289" s="1" t="n">
        <v>46013</v>
      </c>
      <c r="D289" t="inlineStr">
        <is>
          <t>DALARNAS LÄN</t>
        </is>
      </c>
      <c r="E289" t="inlineStr">
        <is>
          <t>ORSA</t>
        </is>
      </c>
      <c r="G289" t="n">
        <v>4.4</v>
      </c>
      <c r="H289" t="n">
        <v>0</v>
      </c>
      <c r="I289" t="n">
        <v>0</v>
      </c>
      <c r="J289" t="n">
        <v>0</v>
      </c>
      <c r="K289" t="n">
        <v>0</v>
      </c>
      <c r="L289" t="n">
        <v>0</v>
      </c>
      <c r="M289" t="n">
        <v>0</v>
      </c>
      <c r="N289" t="n">
        <v>0</v>
      </c>
      <c r="O289" t="n">
        <v>0</v>
      </c>
      <c r="P289" t="n">
        <v>0</v>
      </c>
      <c r="Q289" t="n">
        <v>0</v>
      </c>
      <c r="R289" s="2" t="inlineStr"/>
    </row>
    <row r="290" ht="15" customHeight="1">
      <c r="A290" t="inlineStr">
        <is>
          <t>A 37906-2025</t>
        </is>
      </c>
      <c r="B290" s="1" t="n">
        <v>45881.56803240741</v>
      </c>
      <c r="C290" s="1" t="n">
        <v>46013</v>
      </c>
      <c r="D290" t="inlineStr">
        <is>
          <t>DALARNAS LÄN</t>
        </is>
      </c>
      <c r="E290" t="inlineStr">
        <is>
          <t>ORSA</t>
        </is>
      </c>
      <c r="G290" t="n">
        <v>1</v>
      </c>
      <c r="H290" t="n">
        <v>0</v>
      </c>
      <c r="I290" t="n">
        <v>0</v>
      </c>
      <c r="J290" t="n">
        <v>0</v>
      </c>
      <c r="K290" t="n">
        <v>0</v>
      </c>
      <c r="L290" t="n">
        <v>0</v>
      </c>
      <c r="M290" t="n">
        <v>0</v>
      </c>
      <c r="N290" t="n">
        <v>0</v>
      </c>
      <c r="O290" t="n">
        <v>0</v>
      </c>
      <c r="P290" t="n">
        <v>0</v>
      </c>
      <c r="Q290" t="n">
        <v>0</v>
      </c>
      <c r="R290" s="2" t="inlineStr"/>
    </row>
    <row r="291" ht="15" customHeight="1">
      <c r="A291" t="inlineStr">
        <is>
          <t>A 49517-2025</t>
        </is>
      </c>
      <c r="B291" s="1" t="n">
        <v>45939.38850694444</v>
      </c>
      <c r="C291" s="1" t="n">
        <v>46013</v>
      </c>
      <c r="D291" t="inlineStr">
        <is>
          <t>DALARNAS LÄN</t>
        </is>
      </c>
      <c r="E291" t="inlineStr">
        <is>
          <t>ORSA</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19024-2021</t>
        </is>
      </c>
      <c r="B292" s="1" t="n">
        <v>44308.5053587963</v>
      </c>
      <c r="C292" s="1" t="n">
        <v>46013</v>
      </c>
      <c r="D292" t="inlineStr">
        <is>
          <t>DALARNAS LÄN</t>
        </is>
      </c>
      <c r="E292" t="inlineStr">
        <is>
          <t>ORSA</t>
        </is>
      </c>
      <c r="G292" t="n">
        <v>1.7</v>
      </c>
      <c r="H292" t="n">
        <v>0</v>
      </c>
      <c r="I292" t="n">
        <v>0</v>
      </c>
      <c r="J292" t="n">
        <v>0</v>
      </c>
      <c r="K292" t="n">
        <v>0</v>
      </c>
      <c r="L292" t="n">
        <v>0</v>
      </c>
      <c r="M292" t="n">
        <v>0</v>
      </c>
      <c r="N292" t="n">
        <v>0</v>
      </c>
      <c r="O292" t="n">
        <v>0</v>
      </c>
      <c r="P292" t="n">
        <v>0</v>
      </c>
      <c r="Q292" t="n">
        <v>0</v>
      </c>
      <c r="R292" s="2" t="inlineStr"/>
    </row>
    <row r="293" ht="15" customHeight="1">
      <c r="A293" t="inlineStr">
        <is>
          <t>A 10048-2023</t>
        </is>
      </c>
      <c r="B293" s="1" t="n">
        <v>44985.67237268519</v>
      </c>
      <c r="C293" s="1" t="n">
        <v>46013</v>
      </c>
      <c r="D293" t="inlineStr">
        <is>
          <t>DALARNAS LÄN</t>
        </is>
      </c>
      <c r="E293" t="inlineStr">
        <is>
          <t>ORSA</t>
        </is>
      </c>
      <c r="G293" t="n">
        <v>4.8</v>
      </c>
      <c r="H293" t="n">
        <v>0</v>
      </c>
      <c r="I293" t="n">
        <v>0</v>
      </c>
      <c r="J293" t="n">
        <v>0</v>
      </c>
      <c r="K293" t="n">
        <v>0</v>
      </c>
      <c r="L293" t="n">
        <v>0</v>
      </c>
      <c r="M293" t="n">
        <v>0</v>
      </c>
      <c r="N293" t="n">
        <v>0</v>
      </c>
      <c r="O293" t="n">
        <v>0</v>
      </c>
      <c r="P293" t="n">
        <v>0</v>
      </c>
      <c r="Q293" t="n">
        <v>0</v>
      </c>
      <c r="R293" s="2" t="inlineStr"/>
    </row>
    <row r="294" ht="15" customHeight="1">
      <c r="A294" t="inlineStr">
        <is>
          <t>A 31031-2023</t>
        </is>
      </c>
      <c r="B294" s="1" t="n">
        <v>45113</v>
      </c>
      <c r="C294" s="1" t="n">
        <v>46013</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28388-2024</t>
        </is>
      </c>
      <c r="B295" s="1" t="n">
        <v>45477.59960648148</v>
      </c>
      <c r="C295" s="1" t="n">
        <v>46013</v>
      </c>
      <c r="D295" t="inlineStr">
        <is>
          <t>DALARNAS LÄN</t>
        </is>
      </c>
      <c r="E295" t="inlineStr">
        <is>
          <t>ORSA</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57681-2025</t>
        </is>
      </c>
      <c r="B296" s="1" t="n">
        <v>45980.30490740741</v>
      </c>
      <c r="C296" s="1" t="n">
        <v>46013</v>
      </c>
      <c r="D296" t="inlineStr">
        <is>
          <t>DALARNAS LÄN</t>
        </is>
      </c>
      <c r="E296" t="inlineStr">
        <is>
          <t>ORSA</t>
        </is>
      </c>
      <c r="G296" t="n">
        <v>1.7</v>
      </c>
      <c r="H296" t="n">
        <v>0</v>
      </c>
      <c r="I296" t="n">
        <v>0</v>
      </c>
      <c r="J296" t="n">
        <v>0</v>
      </c>
      <c r="K296" t="n">
        <v>0</v>
      </c>
      <c r="L296" t="n">
        <v>0</v>
      </c>
      <c r="M296" t="n">
        <v>0</v>
      </c>
      <c r="N296" t="n">
        <v>0</v>
      </c>
      <c r="O296" t="n">
        <v>0</v>
      </c>
      <c r="P296" t="n">
        <v>0</v>
      </c>
      <c r="Q296" t="n">
        <v>0</v>
      </c>
      <c r="R296" s="2" t="inlineStr"/>
    </row>
    <row r="297" ht="15" customHeight="1">
      <c r="A297" t="inlineStr">
        <is>
          <t>A 38672-2025</t>
        </is>
      </c>
      <c r="B297" s="1" t="n">
        <v>45884.63340277778</v>
      </c>
      <c r="C297" s="1" t="n">
        <v>46013</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58683-2025</t>
        </is>
      </c>
      <c r="B298" s="1" t="n">
        <v>45986.56949074074</v>
      </c>
      <c r="C298" s="1" t="n">
        <v>46013</v>
      </c>
      <c r="D298" t="inlineStr">
        <is>
          <t>DALARNAS LÄN</t>
        </is>
      </c>
      <c r="E298" t="inlineStr">
        <is>
          <t>ORSA</t>
        </is>
      </c>
      <c r="G298" t="n">
        <v>0.6</v>
      </c>
      <c r="H298" t="n">
        <v>0</v>
      </c>
      <c r="I298" t="n">
        <v>0</v>
      </c>
      <c r="J298" t="n">
        <v>0</v>
      </c>
      <c r="K298" t="n">
        <v>0</v>
      </c>
      <c r="L298" t="n">
        <v>0</v>
      </c>
      <c r="M298" t="n">
        <v>0</v>
      </c>
      <c r="N298" t="n">
        <v>0</v>
      </c>
      <c r="O298" t="n">
        <v>0</v>
      </c>
      <c r="P298" t="n">
        <v>0</v>
      </c>
      <c r="Q298" t="n">
        <v>0</v>
      </c>
      <c r="R298" s="2" t="inlineStr"/>
    </row>
    <row r="299" ht="15" customHeight="1">
      <c r="A299" t="inlineStr">
        <is>
          <t>A 58691-2025</t>
        </is>
      </c>
      <c r="B299" s="1" t="n">
        <v>45986.58231481481</v>
      </c>
      <c r="C299" s="1" t="n">
        <v>46013</v>
      </c>
      <c r="D299" t="inlineStr">
        <is>
          <t>DALARNAS LÄN</t>
        </is>
      </c>
      <c r="E299" t="inlineStr">
        <is>
          <t>ORSA</t>
        </is>
      </c>
      <c r="G299" t="n">
        <v>1.4</v>
      </c>
      <c r="H299" t="n">
        <v>0</v>
      </c>
      <c r="I299" t="n">
        <v>0</v>
      </c>
      <c r="J299" t="n">
        <v>0</v>
      </c>
      <c r="K299" t="n">
        <v>0</v>
      </c>
      <c r="L299" t="n">
        <v>0</v>
      </c>
      <c r="M299" t="n">
        <v>0</v>
      </c>
      <c r="N299" t="n">
        <v>0</v>
      </c>
      <c r="O299" t="n">
        <v>0</v>
      </c>
      <c r="P299" t="n">
        <v>0</v>
      </c>
      <c r="Q299" t="n">
        <v>0</v>
      </c>
      <c r="R299" s="2" t="inlineStr"/>
    </row>
    <row r="300" ht="15" customHeight="1">
      <c r="A300" t="inlineStr">
        <is>
          <t>A 58681-2025</t>
        </is>
      </c>
      <c r="B300" s="1" t="n">
        <v>45986.56822916667</v>
      </c>
      <c r="C300" s="1" t="n">
        <v>46013</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58657-2025</t>
        </is>
      </c>
      <c r="B301" s="1" t="n">
        <v>45986.52584490741</v>
      </c>
      <c r="C301" s="1" t="n">
        <v>46013</v>
      </c>
      <c r="D301" t="inlineStr">
        <is>
          <t>DALARNAS LÄN</t>
        </is>
      </c>
      <c r="E301" t="inlineStr">
        <is>
          <t>ORSA</t>
        </is>
      </c>
      <c r="G301" t="n">
        <v>1.6</v>
      </c>
      <c r="H301" t="n">
        <v>0</v>
      </c>
      <c r="I301" t="n">
        <v>0</v>
      </c>
      <c r="J301" t="n">
        <v>0</v>
      </c>
      <c r="K301" t="n">
        <v>0</v>
      </c>
      <c r="L301" t="n">
        <v>0</v>
      </c>
      <c r="M301" t="n">
        <v>0</v>
      </c>
      <c r="N301" t="n">
        <v>0</v>
      </c>
      <c r="O301" t="n">
        <v>0</v>
      </c>
      <c r="P301" t="n">
        <v>0</v>
      </c>
      <c r="Q301" t="n">
        <v>0</v>
      </c>
      <c r="R301" s="2" t="inlineStr"/>
    </row>
    <row r="302" ht="15" customHeight="1">
      <c r="A302" t="inlineStr">
        <is>
          <t>A 58686-2025</t>
        </is>
      </c>
      <c r="B302" s="1" t="n">
        <v>45986.57303240741</v>
      </c>
      <c r="C302" s="1" t="n">
        <v>46013</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58647-2025</t>
        </is>
      </c>
      <c r="B303" s="1" t="n">
        <v>45986.50476851852</v>
      </c>
      <c r="C303" s="1" t="n">
        <v>46013</v>
      </c>
      <c r="D303" t="inlineStr">
        <is>
          <t>DALARNAS LÄN</t>
        </is>
      </c>
      <c r="E303" t="inlineStr">
        <is>
          <t>ORSA</t>
        </is>
      </c>
      <c r="G303" t="n">
        <v>2.8</v>
      </c>
      <c r="H303" t="n">
        <v>0</v>
      </c>
      <c r="I303" t="n">
        <v>0</v>
      </c>
      <c r="J303" t="n">
        <v>0</v>
      </c>
      <c r="K303" t="n">
        <v>0</v>
      </c>
      <c r="L303" t="n">
        <v>0</v>
      </c>
      <c r="M303" t="n">
        <v>0</v>
      </c>
      <c r="N303" t="n">
        <v>0</v>
      </c>
      <c r="O303" t="n">
        <v>0</v>
      </c>
      <c r="P303" t="n">
        <v>0</v>
      </c>
      <c r="Q303" t="n">
        <v>0</v>
      </c>
      <c r="R303" s="2" t="inlineStr"/>
    </row>
    <row r="304" ht="15" customHeight="1">
      <c r="A304" t="inlineStr">
        <is>
          <t>A 59149-2025</t>
        </is>
      </c>
      <c r="B304" s="1" t="n">
        <v>45988.52844907407</v>
      </c>
      <c r="C304" s="1" t="n">
        <v>46013</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34708-2021</t>
        </is>
      </c>
      <c r="B305" s="1" t="n">
        <v>44382</v>
      </c>
      <c r="C305" s="1" t="n">
        <v>46013</v>
      </c>
      <c r="D305" t="inlineStr">
        <is>
          <t>DALARNAS LÄN</t>
        </is>
      </c>
      <c r="E305" t="inlineStr">
        <is>
          <t>ORSA</t>
        </is>
      </c>
      <c r="G305" t="n">
        <v>4.3</v>
      </c>
      <c r="H305" t="n">
        <v>0</v>
      </c>
      <c r="I305" t="n">
        <v>0</v>
      </c>
      <c r="J305" t="n">
        <v>0</v>
      </c>
      <c r="K305" t="n">
        <v>0</v>
      </c>
      <c r="L305" t="n">
        <v>0</v>
      </c>
      <c r="M305" t="n">
        <v>0</v>
      </c>
      <c r="N305" t="n">
        <v>0</v>
      </c>
      <c r="O305" t="n">
        <v>0</v>
      </c>
      <c r="P305" t="n">
        <v>0</v>
      </c>
      <c r="Q305" t="n">
        <v>0</v>
      </c>
      <c r="R305" s="2" t="inlineStr"/>
    </row>
    <row r="306" ht="15" customHeight="1">
      <c r="A306" t="inlineStr">
        <is>
          <t>A 58834-2025</t>
        </is>
      </c>
      <c r="B306" s="1" t="n">
        <v>45987.35487268519</v>
      </c>
      <c r="C306" s="1" t="n">
        <v>46013</v>
      </c>
      <c r="D306" t="inlineStr">
        <is>
          <t>DALARNAS LÄN</t>
        </is>
      </c>
      <c r="E306" t="inlineStr">
        <is>
          <t>ORSA</t>
        </is>
      </c>
      <c r="G306" t="n">
        <v>3.6</v>
      </c>
      <c r="H306" t="n">
        <v>0</v>
      </c>
      <c r="I306" t="n">
        <v>0</v>
      </c>
      <c r="J306" t="n">
        <v>0</v>
      </c>
      <c r="K306" t="n">
        <v>0</v>
      </c>
      <c r="L306" t="n">
        <v>0</v>
      </c>
      <c r="M306" t="n">
        <v>0</v>
      </c>
      <c r="N306" t="n">
        <v>0</v>
      </c>
      <c r="O306" t="n">
        <v>0</v>
      </c>
      <c r="P306" t="n">
        <v>0</v>
      </c>
      <c r="Q306" t="n">
        <v>0</v>
      </c>
      <c r="R306" s="2" t="inlineStr"/>
    </row>
    <row r="307" ht="15" customHeight="1">
      <c r="A307" t="inlineStr">
        <is>
          <t>A 37830-2024</t>
        </is>
      </c>
      <c r="B307" s="1" t="n">
        <v>45544.34504629629</v>
      </c>
      <c r="C307" s="1" t="n">
        <v>46013</v>
      </c>
      <c r="D307" t="inlineStr">
        <is>
          <t>DALARNAS LÄN</t>
        </is>
      </c>
      <c r="E307" t="inlineStr">
        <is>
          <t>ORSA</t>
        </is>
      </c>
      <c r="G307" t="n">
        <v>0.8</v>
      </c>
      <c r="H307" t="n">
        <v>0</v>
      </c>
      <c r="I307" t="n">
        <v>0</v>
      </c>
      <c r="J307" t="n">
        <v>0</v>
      </c>
      <c r="K307" t="n">
        <v>0</v>
      </c>
      <c r="L307" t="n">
        <v>0</v>
      </c>
      <c r="M307" t="n">
        <v>0</v>
      </c>
      <c r="N307" t="n">
        <v>0</v>
      </c>
      <c r="O307" t="n">
        <v>0</v>
      </c>
      <c r="P307" t="n">
        <v>0</v>
      </c>
      <c r="Q307" t="n">
        <v>0</v>
      </c>
      <c r="R307" s="2" t="inlineStr"/>
    </row>
    <row r="308" ht="15" customHeight="1">
      <c r="A308" t="inlineStr">
        <is>
          <t>A 59114-2025</t>
        </is>
      </c>
      <c r="B308" s="1" t="n">
        <v>45988.4884375</v>
      </c>
      <c r="C308" s="1" t="n">
        <v>46013</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58904-2025</t>
        </is>
      </c>
      <c r="B309" s="1" t="n">
        <v>45987.50958333333</v>
      </c>
      <c r="C309" s="1" t="n">
        <v>46013</v>
      </c>
      <c r="D309" t="inlineStr">
        <is>
          <t>DALARNAS LÄN</t>
        </is>
      </c>
      <c r="E309" t="inlineStr">
        <is>
          <t>ORSA</t>
        </is>
      </c>
      <c r="G309" t="n">
        <v>5.5</v>
      </c>
      <c r="H309" t="n">
        <v>0</v>
      </c>
      <c r="I309" t="n">
        <v>0</v>
      </c>
      <c r="J309" t="n">
        <v>0</v>
      </c>
      <c r="K309" t="n">
        <v>0</v>
      </c>
      <c r="L309" t="n">
        <v>0</v>
      </c>
      <c r="M309" t="n">
        <v>0</v>
      </c>
      <c r="N309" t="n">
        <v>0</v>
      </c>
      <c r="O309" t="n">
        <v>0</v>
      </c>
      <c r="P309" t="n">
        <v>0</v>
      </c>
      <c r="Q309" t="n">
        <v>0</v>
      </c>
      <c r="R309" s="2" t="inlineStr"/>
    </row>
    <row r="310" ht="15" customHeight="1">
      <c r="A310" t="inlineStr">
        <is>
          <t>A 45272-2022</t>
        </is>
      </c>
      <c r="B310" s="1" t="n">
        <v>44844</v>
      </c>
      <c r="C310" s="1" t="n">
        <v>46013</v>
      </c>
      <c r="D310" t="inlineStr">
        <is>
          <t>DALARNAS LÄN</t>
        </is>
      </c>
      <c r="E310" t="inlineStr">
        <is>
          <t>ORSA</t>
        </is>
      </c>
      <c r="G310" t="n">
        <v>0.3</v>
      </c>
      <c r="H310" t="n">
        <v>0</v>
      </c>
      <c r="I310" t="n">
        <v>0</v>
      </c>
      <c r="J310" t="n">
        <v>0</v>
      </c>
      <c r="K310" t="n">
        <v>0</v>
      </c>
      <c r="L310" t="n">
        <v>0</v>
      </c>
      <c r="M310" t="n">
        <v>0</v>
      </c>
      <c r="N310" t="n">
        <v>0</v>
      </c>
      <c r="O310" t="n">
        <v>0</v>
      </c>
      <c r="P310" t="n">
        <v>0</v>
      </c>
      <c r="Q310" t="n">
        <v>0</v>
      </c>
      <c r="R310" s="2" t="inlineStr"/>
    </row>
    <row r="311" ht="15" customHeight="1">
      <c r="A311" t="inlineStr">
        <is>
          <t>A 59124-2025</t>
        </is>
      </c>
      <c r="B311" s="1" t="n">
        <v>45988.4934375</v>
      </c>
      <c r="C311" s="1" t="n">
        <v>46013</v>
      </c>
      <c r="D311" t="inlineStr">
        <is>
          <t>DALARNAS LÄN</t>
        </is>
      </c>
      <c r="E311" t="inlineStr">
        <is>
          <t>ORSA</t>
        </is>
      </c>
      <c r="G311" t="n">
        <v>0.6</v>
      </c>
      <c r="H311" t="n">
        <v>0</v>
      </c>
      <c r="I311" t="n">
        <v>0</v>
      </c>
      <c r="J311" t="n">
        <v>0</v>
      </c>
      <c r="K311" t="n">
        <v>0</v>
      </c>
      <c r="L311" t="n">
        <v>0</v>
      </c>
      <c r="M311" t="n">
        <v>0</v>
      </c>
      <c r="N311" t="n">
        <v>0</v>
      </c>
      <c r="O311" t="n">
        <v>0</v>
      </c>
      <c r="P311" t="n">
        <v>0</v>
      </c>
      <c r="Q311" t="n">
        <v>0</v>
      </c>
      <c r="R311" s="2" t="inlineStr"/>
    </row>
    <row r="312" ht="15" customHeight="1">
      <c r="A312" t="inlineStr">
        <is>
          <t>A 4202-2025</t>
        </is>
      </c>
      <c r="B312" s="1" t="n">
        <v>45685.46236111111</v>
      </c>
      <c r="C312" s="1" t="n">
        <v>46013</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4204-2025</t>
        </is>
      </c>
      <c r="B313" s="1" t="n">
        <v>45685.46390046296</v>
      </c>
      <c r="C313" s="1" t="n">
        <v>46013</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15769-2025</t>
        </is>
      </c>
      <c r="B314" s="1" t="n">
        <v>45748.58792824074</v>
      </c>
      <c r="C314" s="1" t="n">
        <v>46013</v>
      </c>
      <c r="D314" t="inlineStr">
        <is>
          <t>DALARNAS LÄN</t>
        </is>
      </c>
      <c r="E314" t="inlineStr">
        <is>
          <t>ORSA</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58886-2025</t>
        </is>
      </c>
      <c r="B315" s="1" t="n">
        <v>45987.48171296297</v>
      </c>
      <c r="C315" s="1" t="n">
        <v>46013</v>
      </c>
      <c r="D315" t="inlineStr">
        <is>
          <t>DALARNAS LÄN</t>
        </is>
      </c>
      <c r="E315" t="inlineStr">
        <is>
          <t>ORSA</t>
        </is>
      </c>
      <c r="G315" t="n">
        <v>2.7</v>
      </c>
      <c r="H315" t="n">
        <v>0</v>
      </c>
      <c r="I315" t="n">
        <v>0</v>
      </c>
      <c r="J315" t="n">
        <v>0</v>
      </c>
      <c r="K315" t="n">
        <v>0</v>
      </c>
      <c r="L315" t="n">
        <v>0</v>
      </c>
      <c r="M315" t="n">
        <v>0</v>
      </c>
      <c r="N315" t="n">
        <v>0</v>
      </c>
      <c r="O315" t="n">
        <v>0</v>
      </c>
      <c r="P315" t="n">
        <v>0</v>
      </c>
      <c r="Q315" t="n">
        <v>0</v>
      </c>
      <c r="R315" s="2" t="inlineStr"/>
    </row>
    <row r="316" ht="15" customHeight="1">
      <c r="A316" t="inlineStr">
        <is>
          <t>A 58910-2025</t>
        </is>
      </c>
      <c r="B316" s="1" t="n">
        <v>45987.51534722222</v>
      </c>
      <c r="C316" s="1" t="n">
        <v>46013</v>
      </c>
      <c r="D316" t="inlineStr">
        <is>
          <t>DALARNAS LÄN</t>
        </is>
      </c>
      <c r="E316" t="inlineStr">
        <is>
          <t>ORSA</t>
        </is>
      </c>
      <c r="G316" t="n">
        <v>2.1</v>
      </c>
      <c r="H316" t="n">
        <v>0</v>
      </c>
      <c r="I316" t="n">
        <v>0</v>
      </c>
      <c r="J316" t="n">
        <v>0</v>
      </c>
      <c r="K316" t="n">
        <v>0</v>
      </c>
      <c r="L316" t="n">
        <v>0</v>
      </c>
      <c r="M316" t="n">
        <v>0</v>
      </c>
      <c r="N316" t="n">
        <v>0</v>
      </c>
      <c r="O316" t="n">
        <v>0</v>
      </c>
      <c r="P316" t="n">
        <v>0</v>
      </c>
      <c r="Q316" t="n">
        <v>0</v>
      </c>
      <c r="R316" s="2" t="inlineStr"/>
    </row>
    <row r="317" ht="15" customHeight="1">
      <c r="A317" t="inlineStr">
        <is>
          <t>A 58923-2025</t>
        </is>
      </c>
      <c r="B317" s="1" t="n">
        <v>45987.54099537037</v>
      </c>
      <c r="C317" s="1" t="n">
        <v>46013</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37931-2023</t>
        </is>
      </c>
      <c r="B318" s="1" t="n">
        <v>45160.51721064815</v>
      </c>
      <c r="C318" s="1" t="n">
        <v>46013</v>
      </c>
      <c r="D318" t="inlineStr">
        <is>
          <t>DALARNAS LÄN</t>
        </is>
      </c>
      <c r="E318" t="inlineStr">
        <is>
          <t>ORSA</t>
        </is>
      </c>
      <c r="G318" t="n">
        <v>2.6</v>
      </c>
      <c r="H318" t="n">
        <v>0</v>
      </c>
      <c r="I318" t="n">
        <v>0</v>
      </c>
      <c r="J318" t="n">
        <v>0</v>
      </c>
      <c r="K318" t="n">
        <v>0</v>
      </c>
      <c r="L318" t="n">
        <v>0</v>
      </c>
      <c r="M318" t="n">
        <v>0</v>
      </c>
      <c r="N318" t="n">
        <v>0</v>
      </c>
      <c r="O318" t="n">
        <v>0</v>
      </c>
      <c r="P318" t="n">
        <v>0</v>
      </c>
      <c r="Q318" t="n">
        <v>0</v>
      </c>
      <c r="R318" s="2" t="inlineStr"/>
    </row>
    <row r="319" ht="15" customHeight="1">
      <c r="A319" t="inlineStr">
        <is>
          <t>A 7628-2025</t>
        </is>
      </c>
      <c r="B319" s="1" t="n">
        <v>45705.73394675926</v>
      </c>
      <c r="C319" s="1" t="n">
        <v>46013</v>
      </c>
      <c r="D319" t="inlineStr">
        <is>
          <t>DALARNAS LÄN</t>
        </is>
      </c>
      <c r="E319" t="inlineStr">
        <is>
          <t>ORSA</t>
        </is>
      </c>
      <c r="G319" t="n">
        <v>1.8</v>
      </c>
      <c r="H319" t="n">
        <v>0</v>
      </c>
      <c r="I319" t="n">
        <v>0</v>
      </c>
      <c r="J319" t="n">
        <v>0</v>
      </c>
      <c r="K319" t="n">
        <v>0</v>
      </c>
      <c r="L319" t="n">
        <v>0</v>
      </c>
      <c r="M319" t="n">
        <v>0</v>
      </c>
      <c r="N319" t="n">
        <v>0</v>
      </c>
      <c r="O319" t="n">
        <v>0</v>
      </c>
      <c r="P319" t="n">
        <v>0</v>
      </c>
      <c r="Q319" t="n">
        <v>0</v>
      </c>
      <c r="R319" s="2" t="inlineStr"/>
    </row>
    <row r="320" ht="15" customHeight="1">
      <c r="A320" t="inlineStr">
        <is>
          <t>A 51055-2025</t>
        </is>
      </c>
      <c r="B320" s="1" t="n">
        <v>45947.44309027777</v>
      </c>
      <c r="C320" s="1" t="n">
        <v>46013</v>
      </c>
      <c r="D320" t="inlineStr">
        <is>
          <t>DALARNAS LÄN</t>
        </is>
      </c>
      <c r="E320" t="inlineStr">
        <is>
          <t>ORSA</t>
        </is>
      </c>
      <c r="G320" t="n">
        <v>4.6</v>
      </c>
      <c r="H320" t="n">
        <v>0</v>
      </c>
      <c r="I320" t="n">
        <v>0</v>
      </c>
      <c r="J320" t="n">
        <v>0</v>
      </c>
      <c r="K320" t="n">
        <v>0</v>
      </c>
      <c r="L320" t="n">
        <v>0</v>
      </c>
      <c r="M320" t="n">
        <v>0</v>
      </c>
      <c r="N320" t="n">
        <v>0</v>
      </c>
      <c r="O320" t="n">
        <v>0</v>
      </c>
      <c r="P320" t="n">
        <v>0</v>
      </c>
      <c r="Q320" t="n">
        <v>0</v>
      </c>
      <c r="R320" s="2" t="inlineStr"/>
    </row>
    <row r="321" ht="15" customHeight="1">
      <c r="A321" t="inlineStr">
        <is>
          <t>A 15766-2025</t>
        </is>
      </c>
      <c r="B321" s="1" t="n">
        <v>45748.58409722222</v>
      </c>
      <c r="C321" s="1" t="n">
        <v>46013</v>
      </c>
      <c r="D321" t="inlineStr">
        <is>
          <t>DALARNAS LÄN</t>
        </is>
      </c>
      <c r="E321" t="inlineStr">
        <is>
          <t>ORSA</t>
        </is>
      </c>
      <c r="F321" t="inlineStr">
        <is>
          <t>Bergvik skog öst AB</t>
        </is>
      </c>
      <c r="G321" t="n">
        <v>9</v>
      </c>
      <c r="H321" t="n">
        <v>0</v>
      </c>
      <c r="I321" t="n">
        <v>0</v>
      </c>
      <c r="J321" t="n">
        <v>0</v>
      </c>
      <c r="K321" t="n">
        <v>0</v>
      </c>
      <c r="L321" t="n">
        <v>0</v>
      </c>
      <c r="M321" t="n">
        <v>0</v>
      </c>
      <c r="N321" t="n">
        <v>0</v>
      </c>
      <c r="O321" t="n">
        <v>0</v>
      </c>
      <c r="P321" t="n">
        <v>0</v>
      </c>
      <c r="Q321" t="n">
        <v>0</v>
      </c>
      <c r="R321" s="2" t="inlineStr"/>
    </row>
    <row r="322" ht="15" customHeight="1">
      <c r="A322" t="inlineStr">
        <is>
          <t>A 51049-2025</t>
        </is>
      </c>
      <c r="B322" s="1" t="n">
        <v>45947.43479166667</v>
      </c>
      <c r="C322" s="1" t="n">
        <v>46013</v>
      </c>
      <c r="D322" t="inlineStr">
        <is>
          <t>DALARNAS LÄN</t>
        </is>
      </c>
      <c r="E322" t="inlineStr">
        <is>
          <t>ORSA</t>
        </is>
      </c>
      <c r="G322" t="n">
        <v>2.3</v>
      </c>
      <c r="H322" t="n">
        <v>0</v>
      </c>
      <c r="I322" t="n">
        <v>0</v>
      </c>
      <c r="J322" t="n">
        <v>0</v>
      </c>
      <c r="K322" t="n">
        <v>0</v>
      </c>
      <c r="L322" t="n">
        <v>0</v>
      </c>
      <c r="M322" t="n">
        <v>0</v>
      </c>
      <c r="N322" t="n">
        <v>0</v>
      </c>
      <c r="O322" t="n">
        <v>0</v>
      </c>
      <c r="P322" t="n">
        <v>0</v>
      </c>
      <c r="Q322" t="n">
        <v>0</v>
      </c>
      <c r="R322" s="2" t="inlineStr"/>
    </row>
    <row r="323" ht="15" customHeight="1">
      <c r="A323" t="inlineStr">
        <is>
          <t>A 8579-2025</t>
        </is>
      </c>
      <c r="B323" s="1" t="n">
        <v>45709</v>
      </c>
      <c r="C323" s="1" t="n">
        <v>46013</v>
      </c>
      <c r="D323" t="inlineStr">
        <is>
          <t>DALARNAS LÄN</t>
        </is>
      </c>
      <c r="E323" t="inlineStr">
        <is>
          <t>ORSA</t>
        </is>
      </c>
      <c r="G323" t="n">
        <v>1.2</v>
      </c>
      <c r="H323" t="n">
        <v>0</v>
      </c>
      <c r="I323" t="n">
        <v>0</v>
      </c>
      <c r="J323" t="n">
        <v>0</v>
      </c>
      <c r="K323" t="n">
        <v>0</v>
      </c>
      <c r="L323" t="n">
        <v>0</v>
      </c>
      <c r="M323" t="n">
        <v>0</v>
      </c>
      <c r="N323" t="n">
        <v>0</v>
      </c>
      <c r="O323" t="n">
        <v>0</v>
      </c>
      <c r="P323" t="n">
        <v>0</v>
      </c>
      <c r="Q323" t="n">
        <v>0</v>
      </c>
      <c r="R323" s="2" t="inlineStr"/>
    </row>
    <row r="324" ht="15" customHeight="1">
      <c r="A324" t="inlineStr">
        <is>
          <t>A 51067-2025</t>
        </is>
      </c>
      <c r="B324" s="1" t="n">
        <v>45947.45381944445</v>
      </c>
      <c r="C324" s="1" t="n">
        <v>46013</v>
      </c>
      <c r="D324" t="inlineStr">
        <is>
          <t>DALARNAS LÄN</t>
        </is>
      </c>
      <c r="E324" t="inlineStr">
        <is>
          <t>ORSA</t>
        </is>
      </c>
      <c r="G324" t="n">
        <v>5.4</v>
      </c>
      <c r="H324" t="n">
        <v>0</v>
      </c>
      <c r="I324" t="n">
        <v>0</v>
      </c>
      <c r="J324" t="n">
        <v>0</v>
      </c>
      <c r="K324" t="n">
        <v>0</v>
      </c>
      <c r="L324" t="n">
        <v>0</v>
      </c>
      <c r="M324" t="n">
        <v>0</v>
      </c>
      <c r="N324" t="n">
        <v>0</v>
      </c>
      <c r="O324" t="n">
        <v>0</v>
      </c>
      <c r="P324" t="n">
        <v>0</v>
      </c>
      <c r="Q324" t="n">
        <v>0</v>
      </c>
      <c r="R324" s="2" t="inlineStr"/>
    </row>
    <row r="325" ht="15" customHeight="1">
      <c r="A325" t="inlineStr">
        <is>
          <t>A 26301-2023</t>
        </is>
      </c>
      <c r="B325" s="1" t="n">
        <v>45091</v>
      </c>
      <c r="C325" s="1" t="n">
        <v>46013</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51334-2025</t>
        </is>
      </c>
      <c r="B326" s="1" t="n">
        <v>45950.42378472222</v>
      </c>
      <c r="C326" s="1" t="n">
        <v>46013</v>
      </c>
      <c r="D326" t="inlineStr">
        <is>
          <t>DALARNAS LÄN</t>
        </is>
      </c>
      <c r="E326" t="inlineStr">
        <is>
          <t>ORSA</t>
        </is>
      </c>
      <c r="G326" t="n">
        <v>1.8</v>
      </c>
      <c r="H326" t="n">
        <v>0</v>
      </c>
      <c r="I326" t="n">
        <v>0</v>
      </c>
      <c r="J326" t="n">
        <v>0</v>
      </c>
      <c r="K326" t="n">
        <v>0</v>
      </c>
      <c r="L326" t="n">
        <v>0</v>
      </c>
      <c r="M326" t="n">
        <v>0</v>
      </c>
      <c r="N326" t="n">
        <v>0</v>
      </c>
      <c r="O326" t="n">
        <v>0</v>
      </c>
      <c r="P326" t="n">
        <v>0</v>
      </c>
      <c r="Q326" t="n">
        <v>0</v>
      </c>
      <c r="R326" s="2" t="inlineStr"/>
    </row>
    <row r="327" ht="15" customHeight="1">
      <c r="A327" t="inlineStr">
        <is>
          <t>A 33265-2021</t>
        </is>
      </c>
      <c r="B327" s="1" t="n">
        <v>44377</v>
      </c>
      <c r="C327" s="1" t="n">
        <v>46013</v>
      </c>
      <c r="D327" t="inlineStr">
        <is>
          <t>DALARNAS LÄN</t>
        </is>
      </c>
      <c r="E327" t="inlineStr">
        <is>
          <t>ORSA</t>
        </is>
      </c>
      <c r="G327" t="n">
        <v>1.9</v>
      </c>
      <c r="H327" t="n">
        <v>0</v>
      </c>
      <c r="I327" t="n">
        <v>0</v>
      </c>
      <c r="J327" t="n">
        <v>0</v>
      </c>
      <c r="K327" t="n">
        <v>0</v>
      </c>
      <c r="L327" t="n">
        <v>0</v>
      </c>
      <c r="M327" t="n">
        <v>0</v>
      </c>
      <c r="N327" t="n">
        <v>0</v>
      </c>
      <c r="O327" t="n">
        <v>0</v>
      </c>
      <c r="P327" t="n">
        <v>0</v>
      </c>
      <c r="Q327" t="n">
        <v>0</v>
      </c>
      <c r="R327" s="2" t="inlineStr"/>
    </row>
    <row r="328" ht="15" customHeight="1">
      <c r="A328" t="inlineStr">
        <is>
          <t>A 17518-2025</t>
        </is>
      </c>
      <c r="B328" s="1" t="n">
        <v>45757.57597222222</v>
      </c>
      <c r="C328" s="1" t="n">
        <v>46013</v>
      </c>
      <c r="D328" t="inlineStr">
        <is>
          <t>DALARNAS LÄN</t>
        </is>
      </c>
      <c r="E328" t="inlineStr">
        <is>
          <t>ORSA</t>
        </is>
      </c>
      <c r="F328" t="inlineStr">
        <is>
          <t>Bergvik skog öst AB</t>
        </is>
      </c>
      <c r="G328" t="n">
        <v>7.3</v>
      </c>
      <c r="H328" t="n">
        <v>0</v>
      </c>
      <c r="I328" t="n">
        <v>0</v>
      </c>
      <c r="J328" t="n">
        <v>0</v>
      </c>
      <c r="K328" t="n">
        <v>0</v>
      </c>
      <c r="L328" t="n">
        <v>0</v>
      </c>
      <c r="M328" t="n">
        <v>0</v>
      </c>
      <c r="N328" t="n">
        <v>0</v>
      </c>
      <c r="O328" t="n">
        <v>0</v>
      </c>
      <c r="P328" t="n">
        <v>0</v>
      </c>
      <c r="Q328" t="n">
        <v>0</v>
      </c>
      <c r="R328" s="2" t="inlineStr"/>
    </row>
    <row r="329" ht="15" customHeight="1">
      <c r="A329" t="inlineStr">
        <is>
          <t>A 51064-2025</t>
        </is>
      </c>
      <c r="B329" s="1" t="n">
        <v>45947.45197916667</v>
      </c>
      <c r="C329" s="1" t="n">
        <v>46013</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49781-2023</t>
        </is>
      </c>
      <c r="B330" s="1" t="n">
        <v>45212.60275462963</v>
      </c>
      <c r="C330" s="1" t="n">
        <v>46013</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49814-2023</t>
        </is>
      </c>
      <c r="B331" s="1" t="n">
        <v>45212.67149305555</v>
      </c>
      <c r="C331" s="1" t="n">
        <v>46013</v>
      </c>
      <c r="D331" t="inlineStr">
        <is>
          <t>DALARNAS LÄN</t>
        </is>
      </c>
      <c r="E331" t="inlineStr">
        <is>
          <t>ORSA</t>
        </is>
      </c>
      <c r="G331" t="n">
        <v>0.7</v>
      </c>
      <c r="H331" t="n">
        <v>0</v>
      </c>
      <c r="I331" t="n">
        <v>0</v>
      </c>
      <c r="J331" t="n">
        <v>0</v>
      </c>
      <c r="K331" t="n">
        <v>0</v>
      </c>
      <c r="L331" t="n">
        <v>0</v>
      </c>
      <c r="M331" t="n">
        <v>0</v>
      </c>
      <c r="N331" t="n">
        <v>0</v>
      </c>
      <c r="O331" t="n">
        <v>0</v>
      </c>
      <c r="P331" t="n">
        <v>0</v>
      </c>
      <c r="Q331" t="n">
        <v>0</v>
      </c>
      <c r="R331" s="2" t="inlineStr"/>
    </row>
    <row r="332" ht="15" customHeight="1">
      <c r="A332" t="inlineStr">
        <is>
          <t>A 51340-2025</t>
        </is>
      </c>
      <c r="B332" s="1" t="n">
        <v>45950.42725694444</v>
      </c>
      <c r="C332" s="1" t="n">
        <v>46013</v>
      </c>
      <c r="D332" t="inlineStr">
        <is>
          <t>DALARNAS LÄN</t>
        </is>
      </c>
      <c r="E332" t="inlineStr">
        <is>
          <t>ORSA</t>
        </is>
      </c>
      <c r="F332" t="inlineStr">
        <is>
          <t>Allmännings- och besparingsskogar</t>
        </is>
      </c>
      <c r="G332" t="n">
        <v>14.1</v>
      </c>
      <c r="H332" t="n">
        <v>0</v>
      </c>
      <c r="I332" t="n">
        <v>0</v>
      </c>
      <c r="J332" t="n">
        <v>0</v>
      </c>
      <c r="K332" t="n">
        <v>0</v>
      </c>
      <c r="L332" t="n">
        <v>0</v>
      </c>
      <c r="M332" t="n">
        <v>0</v>
      </c>
      <c r="N332" t="n">
        <v>0</v>
      </c>
      <c r="O332" t="n">
        <v>0</v>
      </c>
      <c r="P332" t="n">
        <v>0</v>
      </c>
      <c r="Q332" t="n">
        <v>0</v>
      </c>
      <c r="R332" s="2" t="inlineStr"/>
    </row>
    <row r="333" ht="15" customHeight="1">
      <c r="A333" t="inlineStr">
        <is>
          <t>A 47579-2023</t>
        </is>
      </c>
      <c r="B333" s="1" t="n">
        <v>45203.42181712963</v>
      </c>
      <c r="C333" s="1" t="n">
        <v>46013</v>
      </c>
      <c r="D333" t="inlineStr">
        <is>
          <t>DALARNAS LÄN</t>
        </is>
      </c>
      <c r="E333" t="inlineStr">
        <is>
          <t>ORSA</t>
        </is>
      </c>
      <c r="G333" t="n">
        <v>2.9</v>
      </c>
      <c r="H333" t="n">
        <v>0</v>
      </c>
      <c r="I333" t="n">
        <v>0</v>
      </c>
      <c r="J333" t="n">
        <v>0</v>
      </c>
      <c r="K333" t="n">
        <v>0</v>
      </c>
      <c r="L333" t="n">
        <v>0</v>
      </c>
      <c r="M333" t="n">
        <v>0</v>
      </c>
      <c r="N333" t="n">
        <v>0</v>
      </c>
      <c r="O333" t="n">
        <v>0</v>
      </c>
      <c r="P333" t="n">
        <v>0</v>
      </c>
      <c r="Q333" t="n">
        <v>0</v>
      </c>
      <c r="R333" s="2" t="inlineStr"/>
    </row>
    <row r="334" ht="15" customHeight="1">
      <c r="A334" t="inlineStr">
        <is>
          <t>A 60337-2025</t>
        </is>
      </c>
      <c r="B334" s="1" t="n">
        <v>45994.79024305556</v>
      </c>
      <c r="C334" s="1" t="n">
        <v>46013</v>
      </c>
      <c r="D334" t="inlineStr">
        <is>
          <t>DALARNAS LÄN</t>
        </is>
      </c>
      <c r="E334" t="inlineStr">
        <is>
          <t>ORSA</t>
        </is>
      </c>
      <c r="G334" t="n">
        <v>6.8</v>
      </c>
      <c r="H334" t="n">
        <v>0</v>
      </c>
      <c r="I334" t="n">
        <v>0</v>
      </c>
      <c r="J334" t="n">
        <v>0</v>
      </c>
      <c r="K334" t="n">
        <v>0</v>
      </c>
      <c r="L334" t="n">
        <v>0</v>
      </c>
      <c r="M334" t="n">
        <v>0</v>
      </c>
      <c r="N334" t="n">
        <v>0</v>
      </c>
      <c r="O334" t="n">
        <v>0</v>
      </c>
      <c r="P334" t="n">
        <v>0</v>
      </c>
      <c r="Q334" t="n">
        <v>0</v>
      </c>
      <c r="R334" s="2" t="inlineStr"/>
    </row>
    <row r="335" ht="15" customHeight="1">
      <c r="A335" t="inlineStr">
        <is>
          <t>A 59909-2025</t>
        </is>
      </c>
      <c r="B335" s="1" t="n">
        <v>45993.35644675926</v>
      </c>
      <c r="C335" s="1" t="n">
        <v>46013</v>
      </c>
      <c r="D335" t="inlineStr">
        <is>
          <t>DALARNAS LÄN</t>
        </is>
      </c>
      <c r="E335" t="inlineStr">
        <is>
          <t>ORSA</t>
        </is>
      </c>
      <c r="G335" t="n">
        <v>3.5</v>
      </c>
      <c r="H335" t="n">
        <v>0</v>
      </c>
      <c r="I335" t="n">
        <v>0</v>
      </c>
      <c r="J335" t="n">
        <v>0</v>
      </c>
      <c r="K335" t="n">
        <v>0</v>
      </c>
      <c r="L335" t="n">
        <v>0</v>
      </c>
      <c r="M335" t="n">
        <v>0</v>
      </c>
      <c r="N335" t="n">
        <v>0</v>
      </c>
      <c r="O335" t="n">
        <v>0</v>
      </c>
      <c r="P335" t="n">
        <v>0</v>
      </c>
      <c r="Q335" t="n">
        <v>0</v>
      </c>
      <c r="R335" s="2" t="inlineStr"/>
    </row>
    <row r="336" ht="15" customHeight="1">
      <c r="A336" t="inlineStr">
        <is>
          <t>A 51551-2025</t>
        </is>
      </c>
      <c r="B336" s="1" t="n">
        <v>45950.84275462963</v>
      </c>
      <c r="C336" s="1" t="n">
        <v>46013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60162-2025</t>
        </is>
      </c>
      <c r="B337" s="1" t="n">
        <v>45994.43018518519</v>
      </c>
      <c r="C337" s="1" t="n">
        <v>46013</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47732-2021</t>
        </is>
      </c>
      <c r="B338" s="1" t="n">
        <v>44448.52815972222</v>
      </c>
      <c r="C338" s="1" t="n">
        <v>46013</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60189-2022</t>
        </is>
      </c>
      <c r="B339" s="1" t="n">
        <v>44910.36798611111</v>
      </c>
      <c r="C339" s="1" t="n">
        <v>46013</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55534-2023</t>
        </is>
      </c>
      <c r="B340" s="1" t="n">
        <v>45238</v>
      </c>
      <c r="C340" s="1" t="n">
        <v>46013</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13575-2025</t>
        </is>
      </c>
      <c r="B341" s="1" t="n">
        <v>45736.57871527778</v>
      </c>
      <c r="C341" s="1" t="n">
        <v>46013</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16992-2025</t>
        </is>
      </c>
      <c r="B342" s="1" t="n">
        <v>45755.50215277778</v>
      </c>
      <c r="C342" s="1" t="n">
        <v>46013</v>
      </c>
      <c r="D342" t="inlineStr">
        <is>
          <t>DALARNAS LÄN</t>
        </is>
      </c>
      <c r="E342" t="inlineStr">
        <is>
          <t>ORSA</t>
        </is>
      </c>
      <c r="G342" t="n">
        <v>1.5</v>
      </c>
      <c r="H342" t="n">
        <v>0</v>
      </c>
      <c r="I342" t="n">
        <v>0</v>
      </c>
      <c r="J342" t="n">
        <v>0</v>
      </c>
      <c r="K342" t="n">
        <v>0</v>
      </c>
      <c r="L342" t="n">
        <v>0</v>
      </c>
      <c r="M342" t="n">
        <v>0</v>
      </c>
      <c r="N342" t="n">
        <v>0</v>
      </c>
      <c r="O342" t="n">
        <v>0</v>
      </c>
      <c r="P342" t="n">
        <v>0</v>
      </c>
      <c r="Q342" t="n">
        <v>0</v>
      </c>
      <c r="R342" s="2" t="inlineStr"/>
    </row>
    <row r="343" ht="15" customHeight="1">
      <c r="A343" t="inlineStr">
        <is>
          <t>A 30382-2023</t>
        </is>
      </c>
      <c r="B343" s="1" t="n">
        <v>45111</v>
      </c>
      <c r="C343" s="1" t="n">
        <v>46013</v>
      </c>
      <c r="D343" t="inlineStr">
        <is>
          <t>DALARNAS LÄN</t>
        </is>
      </c>
      <c r="E343" t="inlineStr">
        <is>
          <t>ORSA</t>
        </is>
      </c>
      <c r="F343" t="inlineStr">
        <is>
          <t>Bergvik skog öst AB</t>
        </is>
      </c>
      <c r="G343" t="n">
        <v>1.4</v>
      </c>
      <c r="H343" t="n">
        <v>0</v>
      </c>
      <c r="I343" t="n">
        <v>0</v>
      </c>
      <c r="J343" t="n">
        <v>0</v>
      </c>
      <c r="K343" t="n">
        <v>0</v>
      </c>
      <c r="L343" t="n">
        <v>0</v>
      </c>
      <c r="M343" t="n">
        <v>0</v>
      </c>
      <c r="N343" t="n">
        <v>0</v>
      </c>
      <c r="O343" t="n">
        <v>0</v>
      </c>
      <c r="P343" t="n">
        <v>0</v>
      </c>
      <c r="Q343" t="n">
        <v>0</v>
      </c>
      <c r="R343" s="2" t="inlineStr"/>
    </row>
    <row r="344" ht="15" customHeight="1">
      <c r="A344" t="inlineStr">
        <is>
          <t>A 52949-2025</t>
        </is>
      </c>
      <c r="B344" s="1" t="n">
        <v>45954</v>
      </c>
      <c r="C344" s="1" t="n">
        <v>46013</v>
      </c>
      <c r="D344" t="inlineStr">
        <is>
          <t>DALARNAS LÄN</t>
        </is>
      </c>
      <c r="E344" t="inlineStr">
        <is>
          <t>ORSA</t>
        </is>
      </c>
      <c r="G344" t="n">
        <v>2.2</v>
      </c>
      <c r="H344" t="n">
        <v>0</v>
      </c>
      <c r="I344" t="n">
        <v>0</v>
      </c>
      <c r="J344" t="n">
        <v>0</v>
      </c>
      <c r="K344" t="n">
        <v>0</v>
      </c>
      <c r="L344" t="n">
        <v>0</v>
      </c>
      <c r="M344" t="n">
        <v>0</v>
      </c>
      <c r="N344" t="n">
        <v>0</v>
      </c>
      <c r="O344" t="n">
        <v>0</v>
      </c>
      <c r="P344" t="n">
        <v>0</v>
      </c>
      <c r="Q344" t="n">
        <v>0</v>
      </c>
      <c r="R344" s="2" t="inlineStr"/>
    </row>
    <row r="345" ht="15" customHeight="1">
      <c r="A345" t="inlineStr">
        <is>
          <t>A 20589-2025</t>
        </is>
      </c>
      <c r="B345" s="1" t="n">
        <v>45775</v>
      </c>
      <c r="C345" s="1" t="n">
        <v>46013</v>
      </c>
      <c r="D345" t="inlineStr">
        <is>
          <t>DALARNAS LÄN</t>
        </is>
      </c>
      <c r="E345" t="inlineStr">
        <is>
          <t>ORSA</t>
        </is>
      </c>
      <c r="G345" t="n">
        <v>2</v>
      </c>
      <c r="H345" t="n">
        <v>0</v>
      </c>
      <c r="I345" t="n">
        <v>0</v>
      </c>
      <c r="J345" t="n">
        <v>0</v>
      </c>
      <c r="K345" t="n">
        <v>0</v>
      </c>
      <c r="L345" t="n">
        <v>0</v>
      </c>
      <c r="M345" t="n">
        <v>0</v>
      </c>
      <c r="N345" t="n">
        <v>0</v>
      </c>
      <c r="O345" t="n">
        <v>0</v>
      </c>
      <c r="P345" t="n">
        <v>0</v>
      </c>
      <c r="Q345" t="n">
        <v>0</v>
      </c>
      <c r="R345" s="2" t="inlineStr"/>
    </row>
    <row r="346" ht="15" customHeight="1">
      <c r="A346" t="inlineStr">
        <is>
          <t>A 17503-2025</t>
        </is>
      </c>
      <c r="B346" s="1" t="n">
        <v>45757.55321759259</v>
      </c>
      <c r="C346" s="1" t="n">
        <v>46013</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52486-2025</t>
        </is>
      </c>
      <c r="B347" s="1" t="n">
        <v>45954.47844907407</v>
      </c>
      <c r="C347" s="1" t="n">
        <v>46013</v>
      </c>
      <c r="D347" t="inlineStr">
        <is>
          <t>DALARNAS LÄN</t>
        </is>
      </c>
      <c r="E347" t="inlineStr">
        <is>
          <t>ORSA</t>
        </is>
      </c>
      <c r="G347" t="n">
        <v>2.3</v>
      </c>
      <c r="H347" t="n">
        <v>0</v>
      </c>
      <c r="I347" t="n">
        <v>0</v>
      </c>
      <c r="J347" t="n">
        <v>0</v>
      </c>
      <c r="K347" t="n">
        <v>0</v>
      </c>
      <c r="L347" t="n">
        <v>0</v>
      </c>
      <c r="M347" t="n">
        <v>0</v>
      </c>
      <c r="N347" t="n">
        <v>0</v>
      </c>
      <c r="O347" t="n">
        <v>0</v>
      </c>
      <c r="P347" t="n">
        <v>0</v>
      </c>
      <c r="Q347" t="n">
        <v>0</v>
      </c>
      <c r="R347" s="2" t="inlineStr"/>
    </row>
    <row r="348" ht="15" customHeight="1">
      <c r="A348" t="inlineStr">
        <is>
          <t>A 60844-2025</t>
        </is>
      </c>
      <c r="B348" s="1" t="n">
        <v>45999.4887037037</v>
      </c>
      <c r="C348" s="1" t="n">
        <v>46013</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60803-2022</t>
        </is>
      </c>
      <c r="B349" s="1" t="n">
        <v>44914</v>
      </c>
      <c r="C349" s="1" t="n">
        <v>46013</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60837-2025</t>
        </is>
      </c>
      <c r="B350" s="1" t="n">
        <v>45999.47630787037</v>
      </c>
      <c r="C350" s="1" t="n">
        <v>46013</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51915-2022</t>
        </is>
      </c>
      <c r="B351" s="1" t="n">
        <v>44872.62795138889</v>
      </c>
      <c r="C351" s="1" t="n">
        <v>46013</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52702-2025</t>
        </is>
      </c>
      <c r="B352" s="1" t="n">
        <v>45956.86853009259</v>
      </c>
      <c r="C352" s="1" t="n">
        <v>46013</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52686-2025</t>
        </is>
      </c>
      <c r="B353" s="1" t="n">
        <v>45956.3562037037</v>
      </c>
      <c r="C353" s="1" t="n">
        <v>46013</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52485-2025</t>
        </is>
      </c>
      <c r="B354" s="1" t="n">
        <v>45954.47804398148</v>
      </c>
      <c r="C354" s="1" t="n">
        <v>46013</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34125-2023</t>
        </is>
      </c>
      <c r="B355" s="1" t="n">
        <v>45135</v>
      </c>
      <c r="C355" s="1" t="n">
        <v>46013</v>
      </c>
      <c r="D355" t="inlineStr">
        <is>
          <t>DALARNAS LÄN</t>
        </is>
      </c>
      <c r="E355" t="inlineStr">
        <is>
          <t>ORSA</t>
        </is>
      </c>
      <c r="G355" t="n">
        <v>2.7</v>
      </c>
      <c r="H355" t="n">
        <v>0</v>
      </c>
      <c r="I355" t="n">
        <v>0</v>
      </c>
      <c r="J355" t="n">
        <v>0</v>
      </c>
      <c r="K355" t="n">
        <v>0</v>
      </c>
      <c r="L355" t="n">
        <v>0</v>
      </c>
      <c r="M355" t="n">
        <v>0</v>
      </c>
      <c r="N355" t="n">
        <v>0</v>
      </c>
      <c r="O355" t="n">
        <v>0</v>
      </c>
      <c r="P355" t="n">
        <v>0</v>
      </c>
      <c r="Q355" t="n">
        <v>0</v>
      </c>
      <c r="R355" s="2" t="inlineStr"/>
    </row>
    <row r="356" ht="15" customHeight="1">
      <c r="A356" t="inlineStr">
        <is>
          <t>A 29485-2022</t>
        </is>
      </c>
      <c r="B356" s="1" t="n">
        <v>44753</v>
      </c>
      <c r="C356" s="1" t="n">
        <v>46013</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60945-2025</t>
        </is>
      </c>
      <c r="B357" s="1" t="n">
        <v>45999.64672453704</v>
      </c>
      <c r="C357" s="1" t="n">
        <v>46013</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13236-2022</t>
        </is>
      </c>
      <c r="B358" s="1" t="n">
        <v>44644.61106481482</v>
      </c>
      <c r="C358" s="1" t="n">
        <v>46013</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17500-2025</t>
        </is>
      </c>
      <c r="B359" s="1" t="n">
        <v>45757.54954861111</v>
      </c>
      <c r="C359" s="1" t="n">
        <v>46013</v>
      </c>
      <c r="D359" t="inlineStr">
        <is>
          <t>DALARNAS LÄN</t>
        </is>
      </c>
      <c r="E359" t="inlineStr">
        <is>
          <t>ORSA</t>
        </is>
      </c>
      <c r="G359" t="n">
        <v>1.9</v>
      </c>
      <c r="H359" t="n">
        <v>0</v>
      </c>
      <c r="I359" t="n">
        <v>0</v>
      </c>
      <c r="J359" t="n">
        <v>0</v>
      </c>
      <c r="K359" t="n">
        <v>0</v>
      </c>
      <c r="L359" t="n">
        <v>0</v>
      </c>
      <c r="M359" t="n">
        <v>0</v>
      </c>
      <c r="N359" t="n">
        <v>0</v>
      </c>
      <c r="O359" t="n">
        <v>0</v>
      </c>
      <c r="P359" t="n">
        <v>0</v>
      </c>
      <c r="Q359" t="n">
        <v>0</v>
      </c>
      <c r="R359" s="2" t="inlineStr"/>
    </row>
    <row r="360" ht="15" customHeight="1">
      <c r="A360" t="inlineStr">
        <is>
          <t>A 17521-2025</t>
        </is>
      </c>
      <c r="B360" s="1" t="n">
        <v>45757.57952546296</v>
      </c>
      <c r="C360" s="1" t="n">
        <v>46013</v>
      </c>
      <c r="D360" t="inlineStr">
        <is>
          <t>DALARNAS LÄN</t>
        </is>
      </c>
      <c r="E360" t="inlineStr">
        <is>
          <t>ORSA</t>
        </is>
      </c>
      <c r="F360" t="inlineStr">
        <is>
          <t>Bergvik skog öst AB</t>
        </is>
      </c>
      <c r="G360" t="n">
        <v>3.6</v>
      </c>
      <c r="H360" t="n">
        <v>0</v>
      </c>
      <c r="I360" t="n">
        <v>0</v>
      </c>
      <c r="J360" t="n">
        <v>0</v>
      </c>
      <c r="K360" t="n">
        <v>0</v>
      </c>
      <c r="L360" t="n">
        <v>0</v>
      </c>
      <c r="M360" t="n">
        <v>0</v>
      </c>
      <c r="N360" t="n">
        <v>0</v>
      </c>
      <c r="O360" t="n">
        <v>0</v>
      </c>
      <c r="P360" t="n">
        <v>0</v>
      </c>
      <c r="Q360" t="n">
        <v>0</v>
      </c>
      <c r="R360" s="2" t="inlineStr"/>
    </row>
    <row r="361" ht="15" customHeight="1">
      <c r="A361" t="inlineStr">
        <is>
          <t>A 28451-2023</t>
        </is>
      </c>
      <c r="B361" s="1" t="n">
        <v>45103.33896990741</v>
      </c>
      <c r="C361" s="1" t="n">
        <v>46013</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46013</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53572-2025</t>
        </is>
      </c>
      <c r="B363" s="1" t="n">
        <v>45960.4140625</v>
      </c>
      <c r="C363" s="1" t="n">
        <v>46013</v>
      </c>
      <c r="D363" t="inlineStr">
        <is>
          <t>DALARNAS LÄN</t>
        </is>
      </c>
      <c r="E363" t="inlineStr">
        <is>
          <t>ORSA</t>
        </is>
      </c>
      <c r="F363" t="inlineStr">
        <is>
          <t>Bergvik skog öst AB</t>
        </is>
      </c>
      <c r="G363" t="n">
        <v>4.1</v>
      </c>
      <c r="H363" t="n">
        <v>0</v>
      </c>
      <c r="I363" t="n">
        <v>0</v>
      </c>
      <c r="J363" t="n">
        <v>0</v>
      </c>
      <c r="K363" t="n">
        <v>0</v>
      </c>
      <c r="L363" t="n">
        <v>0</v>
      </c>
      <c r="M363" t="n">
        <v>0</v>
      </c>
      <c r="N363" t="n">
        <v>0</v>
      </c>
      <c r="O363" t="n">
        <v>0</v>
      </c>
      <c r="P363" t="n">
        <v>0</v>
      </c>
      <c r="Q363" t="n">
        <v>0</v>
      </c>
      <c r="R363" s="2" t="inlineStr"/>
    </row>
    <row r="364" ht="15" customHeight="1">
      <c r="A364" t="inlineStr">
        <is>
          <t>A 53501-2025</t>
        </is>
      </c>
      <c r="B364" s="1" t="n">
        <v>45960.34216435185</v>
      </c>
      <c r="C364" s="1" t="n">
        <v>46013</v>
      </c>
      <c r="D364" t="inlineStr">
        <is>
          <t>DALARNAS LÄN</t>
        </is>
      </c>
      <c r="E364" t="inlineStr">
        <is>
          <t>ORSA</t>
        </is>
      </c>
      <c r="G364" t="n">
        <v>0.6</v>
      </c>
      <c r="H364" t="n">
        <v>0</v>
      </c>
      <c r="I364" t="n">
        <v>0</v>
      </c>
      <c r="J364" t="n">
        <v>0</v>
      </c>
      <c r="K364" t="n">
        <v>0</v>
      </c>
      <c r="L364" t="n">
        <v>0</v>
      </c>
      <c r="M364" t="n">
        <v>0</v>
      </c>
      <c r="N364" t="n">
        <v>0</v>
      </c>
      <c r="O364" t="n">
        <v>0</v>
      </c>
      <c r="P364" t="n">
        <v>0</v>
      </c>
      <c r="Q364" t="n">
        <v>0</v>
      </c>
      <c r="R364" s="2" t="inlineStr"/>
    </row>
    <row r="365" ht="15" customHeight="1">
      <c r="A365" t="inlineStr">
        <is>
          <t>A 53495-2025</t>
        </is>
      </c>
      <c r="B365" s="1" t="n">
        <v>45960.32577546296</v>
      </c>
      <c r="C365" s="1" t="n">
        <v>46013</v>
      </c>
      <c r="D365" t="inlineStr">
        <is>
          <t>DALARNAS LÄN</t>
        </is>
      </c>
      <c r="E365" t="inlineStr">
        <is>
          <t>ORSA</t>
        </is>
      </c>
      <c r="G365" t="n">
        <v>3.6</v>
      </c>
      <c r="H365" t="n">
        <v>0</v>
      </c>
      <c r="I365" t="n">
        <v>0</v>
      </c>
      <c r="J365" t="n">
        <v>0</v>
      </c>
      <c r="K365" t="n">
        <v>0</v>
      </c>
      <c r="L365" t="n">
        <v>0</v>
      </c>
      <c r="M365" t="n">
        <v>0</v>
      </c>
      <c r="N365" t="n">
        <v>0</v>
      </c>
      <c r="O365" t="n">
        <v>0</v>
      </c>
      <c r="P365" t="n">
        <v>0</v>
      </c>
      <c r="Q365" t="n">
        <v>0</v>
      </c>
      <c r="R365" s="2" t="inlineStr"/>
    </row>
    <row r="366" ht="15" customHeight="1">
      <c r="A366" t="inlineStr">
        <is>
          <t>A 28155-2023</t>
        </is>
      </c>
      <c r="B366" s="1" t="n">
        <v>45099</v>
      </c>
      <c r="C366" s="1" t="n">
        <v>46013</v>
      </c>
      <c r="D366" t="inlineStr">
        <is>
          <t>DALARNAS LÄN</t>
        </is>
      </c>
      <c r="E366" t="inlineStr">
        <is>
          <t>ORSA</t>
        </is>
      </c>
      <c r="F366" t="inlineStr">
        <is>
          <t>Bergvik skog öst AB</t>
        </is>
      </c>
      <c r="G366" t="n">
        <v>7.8</v>
      </c>
      <c r="H366" t="n">
        <v>0</v>
      </c>
      <c r="I366" t="n">
        <v>0</v>
      </c>
      <c r="J366" t="n">
        <v>0</v>
      </c>
      <c r="K366" t="n">
        <v>0</v>
      </c>
      <c r="L366" t="n">
        <v>0</v>
      </c>
      <c r="M366" t="n">
        <v>0</v>
      </c>
      <c r="N366" t="n">
        <v>0</v>
      </c>
      <c r="O366" t="n">
        <v>0</v>
      </c>
      <c r="P366" t="n">
        <v>0</v>
      </c>
      <c r="Q366" t="n">
        <v>0</v>
      </c>
      <c r="R366" s="2" t="inlineStr"/>
    </row>
    <row r="367" ht="15" customHeight="1">
      <c r="A367" t="inlineStr">
        <is>
          <t>A 53573-2025</t>
        </is>
      </c>
      <c r="B367" s="1" t="n">
        <v>45960.41716435185</v>
      </c>
      <c r="C367" s="1" t="n">
        <v>46013</v>
      </c>
      <c r="D367" t="inlineStr">
        <is>
          <t>DALARNAS LÄN</t>
        </is>
      </c>
      <c r="E367" t="inlineStr">
        <is>
          <t>ORSA</t>
        </is>
      </c>
      <c r="F367" t="inlineStr">
        <is>
          <t>Bergvik skog öst AB</t>
        </is>
      </c>
      <c r="G367" t="n">
        <v>2.3</v>
      </c>
      <c r="H367" t="n">
        <v>0</v>
      </c>
      <c r="I367" t="n">
        <v>0</v>
      </c>
      <c r="J367" t="n">
        <v>0</v>
      </c>
      <c r="K367" t="n">
        <v>0</v>
      </c>
      <c r="L367" t="n">
        <v>0</v>
      </c>
      <c r="M367" t="n">
        <v>0</v>
      </c>
      <c r="N367" t="n">
        <v>0</v>
      </c>
      <c r="O367" t="n">
        <v>0</v>
      </c>
      <c r="P367" t="n">
        <v>0</v>
      </c>
      <c r="Q367" t="n">
        <v>0</v>
      </c>
      <c r="R367" s="2" t="inlineStr"/>
    </row>
    <row r="368" ht="15" customHeight="1">
      <c r="A368" t="inlineStr">
        <is>
          <t>A 51567-2023</t>
        </is>
      </c>
      <c r="B368" s="1" t="n">
        <v>45222.44800925926</v>
      </c>
      <c r="C368" s="1" t="n">
        <v>46013</v>
      </c>
      <c r="D368" t="inlineStr">
        <is>
          <t>DALARNAS LÄN</t>
        </is>
      </c>
      <c r="E368" t="inlineStr">
        <is>
          <t>ORSA</t>
        </is>
      </c>
      <c r="G368" t="n">
        <v>0.7</v>
      </c>
      <c r="H368" t="n">
        <v>0</v>
      </c>
      <c r="I368" t="n">
        <v>0</v>
      </c>
      <c r="J368" t="n">
        <v>0</v>
      </c>
      <c r="K368" t="n">
        <v>0</v>
      </c>
      <c r="L368" t="n">
        <v>0</v>
      </c>
      <c r="M368" t="n">
        <v>0</v>
      </c>
      <c r="N368" t="n">
        <v>0</v>
      </c>
      <c r="O368" t="n">
        <v>0</v>
      </c>
      <c r="P368" t="n">
        <v>0</v>
      </c>
      <c r="Q368" t="n">
        <v>0</v>
      </c>
      <c r="R368" s="2" t="inlineStr"/>
    </row>
    <row r="369" ht="15" customHeight="1">
      <c r="A369" t="inlineStr">
        <is>
          <t>A 15870-2025</t>
        </is>
      </c>
      <c r="B369" s="1" t="n">
        <v>45749.37135416667</v>
      </c>
      <c r="C369" s="1" t="n">
        <v>46013</v>
      </c>
      <c r="D369" t="inlineStr">
        <is>
          <t>DALARNAS LÄN</t>
        </is>
      </c>
      <c r="E369" t="inlineStr">
        <is>
          <t>ORSA</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6047-2023</t>
        </is>
      </c>
      <c r="B370" s="1" t="n">
        <v>44964</v>
      </c>
      <c r="C370" s="1" t="n">
        <v>46013</v>
      </c>
      <c r="D370" t="inlineStr">
        <is>
          <t>DALARNAS LÄN</t>
        </is>
      </c>
      <c r="E370" t="inlineStr">
        <is>
          <t>ORSA</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33384-2022</t>
        </is>
      </c>
      <c r="B371" s="1" t="n">
        <v>44788</v>
      </c>
      <c r="C371" s="1" t="n">
        <v>46013</v>
      </c>
      <c r="D371" t="inlineStr">
        <is>
          <t>DALARNAS LÄN</t>
        </is>
      </c>
      <c r="E371" t="inlineStr">
        <is>
          <t>ORSA</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14680-2023</t>
        </is>
      </c>
      <c r="B372" s="1" t="n">
        <v>45014.30054398148</v>
      </c>
      <c r="C372" s="1" t="n">
        <v>46013</v>
      </c>
      <c r="D372" t="inlineStr">
        <is>
          <t>DALARNAS LÄN</t>
        </is>
      </c>
      <c r="E372" t="inlineStr">
        <is>
          <t>ORSA</t>
        </is>
      </c>
      <c r="G372" t="n">
        <v>4.2</v>
      </c>
      <c r="H372" t="n">
        <v>0</v>
      </c>
      <c r="I372" t="n">
        <v>0</v>
      </c>
      <c r="J372" t="n">
        <v>0</v>
      </c>
      <c r="K372" t="n">
        <v>0</v>
      </c>
      <c r="L372" t="n">
        <v>0</v>
      </c>
      <c r="M372" t="n">
        <v>0</v>
      </c>
      <c r="N372" t="n">
        <v>0</v>
      </c>
      <c r="O372" t="n">
        <v>0</v>
      </c>
      <c r="P372" t="n">
        <v>0</v>
      </c>
      <c r="Q372" t="n">
        <v>0</v>
      </c>
      <c r="R372" s="2" t="inlineStr"/>
    </row>
    <row r="373" ht="15" customHeight="1">
      <c r="A373" t="inlineStr">
        <is>
          <t>A 54121-2025</t>
        </is>
      </c>
      <c r="B373" s="1" t="n">
        <v>45964.45186342593</v>
      </c>
      <c r="C373" s="1" t="n">
        <v>46013</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31172-2023</t>
        </is>
      </c>
      <c r="B374" s="1" t="n">
        <v>45113.8637037037</v>
      </c>
      <c r="C374" s="1" t="n">
        <v>46013</v>
      </c>
      <c r="D374" t="inlineStr">
        <is>
          <t>DALARNAS LÄN</t>
        </is>
      </c>
      <c r="E374" t="inlineStr">
        <is>
          <t>ORSA</t>
        </is>
      </c>
      <c r="G374" t="n">
        <v>2.9</v>
      </c>
      <c r="H374" t="n">
        <v>0</v>
      </c>
      <c r="I374" t="n">
        <v>0</v>
      </c>
      <c r="J374" t="n">
        <v>0</v>
      </c>
      <c r="K374" t="n">
        <v>0</v>
      </c>
      <c r="L374" t="n">
        <v>0</v>
      </c>
      <c r="M374" t="n">
        <v>0</v>
      </c>
      <c r="N374" t="n">
        <v>0</v>
      </c>
      <c r="O374" t="n">
        <v>0</v>
      </c>
      <c r="P374" t="n">
        <v>0</v>
      </c>
      <c r="Q374" t="n">
        <v>0</v>
      </c>
      <c r="R374" s="2" t="inlineStr"/>
    </row>
    <row r="375" ht="15" customHeight="1">
      <c r="A375" t="inlineStr">
        <is>
          <t>A 53855-2025</t>
        </is>
      </c>
      <c r="B375" s="1" t="n">
        <v>45961.37528935185</v>
      </c>
      <c r="C375" s="1" t="n">
        <v>46013</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54176-2025</t>
        </is>
      </c>
      <c r="B376" s="1" t="n">
        <v>45964.5500925926</v>
      </c>
      <c r="C376" s="1" t="n">
        <v>46013</v>
      </c>
      <c r="D376" t="inlineStr">
        <is>
          <t>DALARNAS LÄN</t>
        </is>
      </c>
      <c r="E376" t="inlineStr">
        <is>
          <t>ORSA</t>
        </is>
      </c>
      <c r="G376" t="n">
        <v>0.9</v>
      </c>
      <c r="H376" t="n">
        <v>0</v>
      </c>
      <c r="I376" t="n">
        <v>0</v>
      </c>
      <c r="J376" t="n">
        <v>0</v>
      </c>
      <c r="K376" t="n">
        <v>0</v>
      </c>
      <c r="L376" t="n">
        <v>0</v>
      </c>
      <c r="M376" t="n">
        <v>0</v>
      </c>
      <c r="N376" t="n">
        <v>0</v>
      </c>
      <c r="O376" t="n">
        <v>0</v>
      </c>
      <c r="P376" t="n">
        <v>0</v>
      </c>
      <c r="Q376" t="n">
        <v>0</v>
      </c>
      <c r="R376" s="2" t="inlineStr"/>
    </row>
    <row r="377" ht="15" customHeight="1">
      <c r="A377" t="inlineStr">
        <is>
          <t>A 62816-2025</t>
        </is>
      </c>
      <c r="B377" s="1" t="n">
        <v>46008.65450231481</v>
      </c>
      <c r="C377" s="1" t="n">
        <v>46013</v>
      </c>
      <c r="D377" t="inlineStr">
        <is>
          <t>DALARNAS LÄN</t>
        </is>
      </c>
      <c r="E377" t="inlineStr">
        <is>
          <t>ORSA</t>
        </is>
      </c>
      <c r="G377" t="n">
        <v>11</v>
      </c>
      <c r="H377" t="n">
        <v>0</v>
      </c>
      <c r="I377" t="n">
        <v>0</v>
      </c>
      <c r="J377" t="n">
        <v>0</v>
      </c>
      <c r="K377" t="n">
        <v>0</v>
      </c>
      <c r="L377" t="n">
        <v>0</v>
      </c>
      <c r="M377" t="n">
        <v>0</v>
      </c>
      <c r="N377" t="n">
        <v>0</v>
      </c>
      <c r="O377" t="n">
        <v>0</v>
      </c>
      <c r="P377" t="n">
        <v>0</v>
      </c>
      <c r="Q377" t="n">
        <v>0</v>
      </c>
      <c r="R377" s="2" t="inlineStr"/>
    </row>
    <row r="378" ht="15" customHeight="1">
      <c r="A378" t="inlineStr">
        <is>
          <t>A 62829-2025</t>
        </is>
      </c>
      <c r="B378" s="1" t="n">
        <v>46008.66658564815</v>
      </c>
      <c r="C378" s="1" t="n">
        <v>46013</v>
      </c>
      <c r="D378" t="inlineStr">
        <is>
          <t>DALARNAS LÄN</t>
        </is>
      </c>
      <c r="E378" t="inlineStr">
        <is>
          <t>ORSA</t>
        </is>
      </c>
      <c r="G378" t="n">
        <v>10.4</v>
      </c>
      <c r="H378" t="n">
        <v>0</v>
      </c>
      <c r="I378" t="n">
        <v>0</v>
      </c>
      <c r="J378" t="n">
        <v>0</v>
      </c>
      <c r="K378" t="n">
        <v>0</v>
      </c>
      <c r="L378" t="n">
        <v>0</v>
      </c>
      <c r="M378" t="n">
        <v>0</v>
      </c>
      <c r="N378" t="n">
        <v>0</v>
      </c>
      <c r="O378" t="n">
        <v>0</v>
      </c>
      <c r="P378" t="n">
        <v>0</v>
      </c>
      <c r="Q378" t="n">
        <v>0</v>
      </c>
      <c r="R378" s="2" t="inlineStr"/>
    </row>
    <row r="379" ht="15" customHeight="1">
      <c r="A379" t="inlineStr">
        <is>
          <t>A 62830-2025</t>
        </is>
      </c>
      <c r="B379" s="1" t="n">
        <v>46008.67211805555</v>
      </c>
      <c r="C379" s="1" t="n">
        <v>46013</v>
      </c>
      <c r="D379" t="inlineStr">
        <is>
          <t>DALARNAS LÄN</t>
        </is>
      </c>
      <c r="E379" t="inlineStr">
        <is>
          <t>ORSA</t>
        </is>
      </c>
      <c r="G379" t="n">
        <v>1.2</v>
      </c>
      <c r="H379" t="n">
        <v>0</v>
      </c>
      <c r="I379" t="n">
        <v>0</v>
      </c>
      <c r="J379" t="n">
        <v>0</v>
      </c>
      <c r="K379" t="n">
        <v>0</v>
      </c>
      <c r="L379" t="n">
        <v>0</v>
      </c>
      <c r="M379" t="n">
        <v>0</v>
      </c>
      <c r="N379" t="n">
        <v>0</v>
      </c>
      <c r="O379" t="n">
        <v>0</v>
      </c>
      <c r="P379" t="n">
        <v>0</v>
      </c>
      <c r="Q379" t="n">
        <v>0</v>
      </c>
      <c r="R379" s="2" t="inlineStr"/>
    </row>
    <row r="380" ht="15" customHeight="1">
      <c r="A380" t="inlineStr">
        <is>
          <t>A 54676-2025</t>
        </is>
      </c>
      <c r="B380" s="1" t="n">
        <v>45966.42188657408</v>
      </c>
      <c r="C380" s="1" t="n">
        <v>46013</v>
      </c>
      <c r="D380" t="inlineStr">
        <is>
          <t>DALARNAS LÄN</t>
        </is>
      </c>
      <c r="E380" t="inlineStr">
        <is>
          <t>ORSA</t>
        </is>
      </c>
      <c r="F380" t="inlineStr">
        <is>
          <t>Allmännings- och besparingsskogar</t>
        </is>
      </c>
      <c r="G380" t="n">
        <v>4.6</v>
      </c>
      <c r="H380" t="n">
        <v>0</v>
      </c>
      <c r="I380" t="n">
        <v>0</v>
      </c>
      <c r="J380" t="n">
        <v>0</v>
      </c>
      <c r="K380" t="n">
        <v>0</v>
      </c>
      <c r="L380" t="n">
        <v>0</v>
      </c>
      <c r="M380" t="n">
        <v>0</v>
      </c>
      <c r="N380" t="n">
        <v>0</v>
      </c>
      <c r="O380" t="n">
        <v>0</v>
      </c>
      <c r="P380" t="n">
        <v>0</v>
      </c>
      <c r="Q380" t="n">
        <v>0</v>
      </c>
      <c r="R380" s="2" t="inlineStr"/>
    </row>
    <row r="381" ht="15" customHeight="1">
      <c r="A381" t="inlineStr">
        <is>
          <t>A 54773-2025</t>
        </is>
      </c>
      <c r="B381" s="1" t="n">
        <v>45966.61081018519</v>
      </c>
      <c r="C381" s="1" t="n">
        <v>46013</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62748-2025</t>
        </is>
      </c>
      <c r="B382" s="1" t="n">
        <v>46008.57913194445</v>
      </c>
      <c r="C382" s="1" t="n">
        <v>46013</v>
      </c>
      <c r="D382" t="inlineStr">
        <is>
          <t>DALARNAS LÄN</t>
        </is>
      </c>
      <c r="E382" t="inlineStr">
        <is>
          <t>ORSA</t>
        </is>
      </c>
      <c r="G382" t="n">
        <v>10.8</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46013</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30751-2025</t>
        </is>
      </c>
      <c r="B384" s="1" t="n">
        <v>45831.58921296296</v>
      </c>
      <c r="C384" s="1" t="n">
        <v>46013</v>
      </c>
      <c r="D384" t="inlineStr">
        <is>
          <t>DALARNAS LÄN</t>
        </is>
      </c>
      <c r="E384" t="inlineStr">
        <is>
          <t>ORSA</t>
        </is>
      </c>
      <c r="G384" t="n">
        <v>5.2</v>
      </c>
      <c r="H384" t="n">
        <v>0</v>
      </c>
      <c r="I384" t="n">
        <v>0</v>
      </c>
      <c r="J384" t="n">
        <v>0</v>
      </c>
      <c r="K384" t="n">
        <v>0</v>
      </c>
      <c r="L384" t="n">
        <v>0</v>
      </c>
      <c r="M384" t="n">
        <v>0</v>
      </c>
      <c r="N384" t="n">
        <v>0</v>
      </c>
      <c r="O384" t="n">
        <v>0</v>
      </c>
      <c r="P384" t="n">
        <v>0</v>
      </c>
      <c r="Q384" t="n">
        <v>0</v>
      </c>
      <c r="R384" s="2" t="inlineStr"/>
    </row>
    <row r="385" ht="15" customHeight="1">
      <c r="A385" t="inlineStr">
        <is>
          <t>A 57533-2022</t>
        </is>
      </c>
      <c r="B385" s="1" t="n">
        <v>44896.68393518519</v>
      </c>
      <c r="C385" s="1" t="n">
        <v>46013</v>
      </c>
      <c r="D385" t="inlineStr">
        <is>
          <t>DALARNAS LÄN</t>
        </is>
      </c>
      <c r="E385" t="inlineStr">
        <is>
          <t>ORSA</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54782-2025</t>
        </is>
      </c>
      <c r="B386" s="1" t="n">
        <v>45966.61878472222</v>
      </c>
      <c r="C386" s="1" t="n">
        <v>46013</v>
      </c>
      <c r="D386" t="inlineStr">
        <is>
          <t>DALARNAS LÄN</t>
        </is>
      </c>
      <c r="E386" t="inlineStr">
        <is>
          <t>ORSA</t>
        </is>
      </c>
      <c r="G386" t="n">
        <v>3.8</v>
      </c>
      <c r="H386" t="n">
        <v>0</v>
      </c>
      <c r="I386" t="n">
        <v>0</v>
      </c>
      <c r="J386" t="n">
        <v>0</v>
      </c>
      <c r="K386" t="n">
        <v>0</v>
      </c>
      <c r="L386" t="n">
        <v>0</v>
      </c>
      <c r="M386" t="n">
        <v>0</v>
      </c>
      <c r="N386" t="n">
        <v>0</v>
      </c>
      <c r="O386" t="n">
        <v>0</v>
      </c>
      <c r="P386" t="n">
        <v>0</v>
      </c>
      <c r="Q386" t="n">
        <v>0</v>
      </c>
      <c r="R386" s="2" t="inlineStr"/>
    </row>
    <row r="387" ht="15" customHeight="1">
      <c r="A387" t="inlineStr">
        <is>
          <t>A 62858-2025</t>
        </is>
      </c>
      <c r="B387" s="1" t="n">
        <v>46008.74334490741</v>
      </c>
      <c r="C387" s="1" t="n">
        <v>46013</v>
      </c>
      <c r="D387" t="inlineStr">
        <is>
          <t>DALARNAS LÄN</t>
        </is>
      </c>
      <c r="E387" t="inlineStr">
        <is>
          <t>ORSA</t>
        </is>
      </c>
      <c r="G387" t="n">
        <v>5</v>
      </c>
      <c r="H387" t="n">
        <v>0</v>
      </c>
      <c r="I387" t="n">
        <v>0</v>
      </c>
      <c r="J387" t="n">
        <v>0</v>
      </c>
      <c r="K387" t="n">
        <v>0</v>
      </c>
      <c r="L387" t="n">
        <v>0</v>
      </c>
      <c r="M387" t="n">
        <v>0</v>
      </c>
      <c r="N387" t="n">
        <v>0</v>
      </c>
      <c r="O387" t="n">
        <v>0</v>
      </c>
      <c r="P387" t="n">
        <v>0</v>
      </c>
      <c r="Q387" t="n">
        <v>0</v>
      </c>
      <c r="R387" s="2" t="inlineStr"/>
    </row>
    <row r="388" ht="15" customHeight="1">
      <c r="A388" t="inlineStr">
        <is>
          <t>A 54776-2025</t>
        </is>
      </c>
      <c r="B388" s="1" t="n">
        <v>45966.61395833334</v>
      </c>
      <c r="C388" s="1" t="n">
        <v>46013</v>
      </c>
      <c r="D388" t="inlineStr">
        <is>
          <t>DALARNAS LÄN</t>
        </is>
      </c>
      <c r="E388" t="inlineStr">
        <is>
          <t>ORSA</t>
        </is>
      </c>
      <c r="G388" t="n">
        <v>4.8</v>
      </c>
      <c r="H388" t="n">
        <v>0</v>
      </c>
      <c r="I388" t="n">
        <v>0</v>
      </c>
      <c r="J388" t="n">
        <v>0</v>
      </c>
      <c r="K388" t="n">
        <v>0</v>
      </c>
      <c r="L388" t="n">
        <v>0</v>
      </c>
      <c r="M388" t="n">
        <v>0</v>
      </c>
      <c r="N388" t="n">
        <v>0</v>
      </c>
      <c r="O388" t="n">
        <v>0</v>
      </c>
      <c r="P388" t="n">
        <v>0</v>
      </c>
      <c r="Q388" t="n">
        <v>0</v>
      </c>
      <c r="R388" s="2" t="inlineStr"/>
    </row>
    <row r="389" ht="15" customHeight="1">
      <c r="A389" t="inlineStr">
        <is>
          <t>A 54527-2025</t>
        </is>
      </c>
      <c r="B389" s="1" t="n">
        <v>45965.63420138889</v>
      </c>
      <c r="C389" s="1" t="n">
        <v>46013</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54509-2025</t>
        </is>
      </c>
      <c r="B390" s="1" t="n">
        <v>45965.61920138889</v>
      </c>
      <c r="C390" s="1" t="n">
        <v>46013</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62810-2025</t>
        </is>
      </c>
      <c r="B391" s="1" t="n">
        <v>46008.64875</v>
      </c>
      <c r="C391" s="1" t="n">
        <v>46013</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62832-2025</t>
        </is>
      </c>
      <c r="B392" s="1" t="n">
        <v>46008.67696759259</v>
      </c>
      <c r="C392" s="1" t="n">
        <v>46013</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62808-2025</t>
        </is>
      </c>
      <c r="B393" s="1" t="n">
        <v>46008.64555555556</v>
      </c>
      <c r="C393" s="1" t="n">
        <v>46013</v>
      </c>
      <c r="D393" t="inlineStr">
        <is>
          <t>DALARNAS LÄN</t>
        </is>
      </c>
      <c r="E393" t="inlineStr">
        <is>
          <t>ORSA</t>
        </is>
      </c>
      <c r="G393" t="n">
        <v>4.4</v>
      </c>
      <c r="H393" t="n">
        <v>0</v>
      </c>
      <c r="I393" t="n">
        <v>0</v>
      </c>
      <c r="J393" t="n">
        <v>0</v>
      </c>
      <c r="K393" t="n">
        <v>0</v>
      </c>
      <c r="L393" t="n">
        <v>0</v>
      </c>
      <c r="M393" t="n">
        <v>0</v>
      </c>
      <c r="N393" t="n">
        <v>0</v>
      </c>
      <c r="O393" t="n">
        <v>0</v>
      </c>
      <c r="P393" t="n">
        <v>0</v>
      </c>
      <c r="Q393" t="n">
        <v>0</v>
      </c>
      <c r="R393" s="2" t="inlineStr"/>
    </row>
    <row r="394" ht="15" customHeight="1">
      <c r="A394" t="inlineStr">
        <is>
          <t>A 62773-2025</t>
        </is>
      </c>
      <c r="B394" s="1" t="n">
        <v>46008.60548611111</v>
      </c>
      <c r="C394" s="1" t="n">
        <v>46013</v>
      </c>
      <c r="D394" t="inlineStr">
        <is>
          <t>DALARNAS LÄN</t>
        </is>
      </c>
      <c r="E394" t="inlineStr">
        <is>
          <t>ORSA</t>
        </is>
      </c>
      <c r="G394" t="n">
        <v>3.9</v>
      </c>
      <c r="H394" t="n">
        <v>0</v>
      </c>
      <c r="I394" t="n">
        <v>0</v>
      </c>
      <c r="J394" t="n">
        <v>0</v>
      </c>
      <c r="K394" t="n">
        <v>0</v>
      </c>
      <c r="L394" t="n">
        <v>0</v>
      </c>
      <c r="M394" t="n">
        <v>0</v>
      </c>
      <c r="N394" t="n">
        <v>0</v>
      </c>
      <c r="O394" t="n">
        <v>0</v>
      </c>
      <c r="P394" t="n">
        <v>0</v>
      </c>
      <c r="Q394" t="n">
        <v>0</v>
      </c>
      <c r="R394" s="2" t="inlineStr"/>
    </row>
    <row r="395" ht="15" customHeight="1">
      <c r="A395" t="inlineStr">
        <is>
          <t>A 62778-2025</t>
        </is>
      </c>
      <c r="B395" s="1" t="n">
        <v>46008.61351851852</v>
      </c>
      <c r="C395" s="1" t="n">
        <v>46013</v>
      </c>
      <c r="D395" t="inlineStr">
        <is>
          <t>DALARNAS LÄN</t>
        </is>
      </c>
      <c r="E395" t="inlineStr">
        <is>
          <t>ORSA</t>
        </is>
      </c>
      <c r="G395" t="n">
        <v>4.2</v>
      </c>
      <c r="H395" t="n">
        <v>0</v>
      </c>
      <c r="I395" t="n">
        <v>0</v>
      </c>
      <c r="J395" t="n">
        <v>0</v>
      </c>
      <c r="K395" t="n">
        <v>0</v>
      </c>
      <c r="L395" t="n">
        <v>0</v>
      </c>
      <c r="M395" t="n">
        <v>0</v>
      </c>
      <c r="N395" t="n">
        <v>0</v>
      </c>
      <c r="O395" t="n">
        <v>0</v>
      </c>
      <c r="P395" t="n">
        <v>0</v>
      </c>
      <c r="Q395" t="n">
        <v>0</v>
      </c>
      <c r="R395" s="2" t="inlineStr"/>
    </row>
    <row r="396" ht="15" customHeight="1">
      <c r="A396" t="inlineStr">
        <is>
          <t>A 8430-2024</t>
        </is>
      </c>
      <c r="B396" s="1" t="n">
        <v>45353.41157407407</v>
      </c>
      <c r="C396" s="1" t="n">
        <v>46013</v>
      </c>
      <c r="D396" t="inlineStr">
        <is>
          <t>DALARNAS LÄN</t>
        </is>
      </c>
      <c r="E396" t="inlineStr">
        <is>
          <t>ORSA</t>
        </is>
      </c>
      <c r="G396" t="n">
        <v>14.4</v>
      </c>
      <c r="H396" t="n">
        <v>0</v>
      </c>
      <c r="I396" t="n">
        <v>0</v>
      </c>
      <c r="J396" t="n">
        <v>0</v>
      </c>
      <c r="K396" t="n">
        <v>0</v>
      </c>
      <c r="L396" t="n">
        <v>0</v>
      </c>
      <c r="M396" t="n">
        <v>0</v>
      </c>
      <c r="N396" t="n">
        <v>0</v>
      </c>
      <c r="O396" t="n">
        <v>0</v>
      </c>
      <c r="P396" t="n">
        <v>0</v>
      </c>
      <c r="Q396" t="n">
        <v>0</v>
      </c>
      <c r="R396" s="2" t="inlineStr"/>
    </row>
    <row r="397" ht="15" customHeight="1">
      <c r="A397" t="inlineStr">
        <is>
          <t>A 54543-2025</t>
        </is>
      </c>
      <c r="B397" s="1" t="n">
        <v>45965.64862268518</v>
      </c>
      <c r="C397" s="1" t="n">
        <v>46013</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41832-2024</t>
        </is>
      </c>
      <c r="B398" s="1" t="n">
        <v>45561.40730324074</v>
      </c>
      <c r="C398" s="1" t="n">
        <v>46013</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36427-2023</t>
        </is>
      </c>
      <c r="B399" s="1" t="n">
        <v>45152.60333333333</v>
      </c>
      <c r="C399" s="1" t="n">
        <v>46013</v>
      </c>
      <c r="D399" t="inlineStr">
        <is>
          <t>DALARNAS LÄN</t>
        </is>
      </c>
      <c r="E399" t="inlineStr">
        <is>
          <t>ORSA</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33945-2022</t>
        </is>
      </c>
      <c r="B400" s="1" t="n">
        <v>44790.66212962963</v>
      </c>
      <c r="C400" s="1" t="n">
        <v>46013</v>
      </c>
      <c r="D400" t="inlineStr">
        <is>
          <t>DALARNAS LÄN</t>
        </is>
      </c>
      <c r="E400" t="inlineStr">
        <is>
          <t>ORSA</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62971-2025</t>
        </is>
      </c>
      <c r="B401" s="1" t="n">
        <v>46009.46511574074</v>
      </c>
      <c r="C401" s="1" t="n">
        <v>46013</v>
      </c>
      <c r="D401" t="inlineStr">
        <is>
          <t>DALARNAS LÄN</t>
        </is>
      </c>
      <c r="E401" t="inlineStr">
        <is>
          <t>ORSA</t>
        </is>
      </c>
      <c r="G401" t="n">
        <v>2.4</v>
      </c>
      <c r="H401" t="n">
        <v>0</v>
      </c>
      <c r="I401" t="n">
        <v>0</v>
      </c>
      <c r="J401" t="n">
        <v>0</v>
      </c>
      <c r="K401" t="n">
        <v>0</v>
      </c>
      <c r="L401" t="n">
        <v>0</v>
      </c>
      <c r="M401" t="n">
        <v>0</v>
      </c>
      <c r="N401" t="n">
        <v>0</v>
      </c>
      <c r="O401" t="n">
        <v>0</v>
      </c>
      <c r="P401" t="n">
        <v>0</v>
      </c>
      <c r="Q401" t="n">
        <v>0</v>
      </c>
      <c r="R401" s="2" t="inlineStr"/>
    </row>
    <row r="402" ht="15" customHeight="1">
      <c r="A402" t="inlineStr">
        <is>
          <t>A 16585-2023</t>
        </is>
      </c>
      <c r="B402" s="1" t="n">
        <v>45030</v>
      </c>
      <c r="C402" s="1" t="n">
        <v>46013</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63118-2025</t>
        </is>
      </c>
      <c r="B403" s="1" t="n">
        <v>46009.85609953704</v>
      </c>
      <c r="C403" s="1" t="n">
        <v>46013</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63209-2025</t>
        </is>
      </c>
      <c r="B404" s="1" t="n">
        <v>46010.47516203704</v>
      </c>
      <c r="C404" s="1" t="n">
        <v>46013</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63231-2025</t>
        </is>
      </c>
      <c r="B405" s="1" t="n">
        <v>46010.50851851852</v>
      </c>
      <c r="C405" s="1" t="n">
        <v>46013</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52033-2023</t>
        </is>
      </c>
      <c r="B406" s="1" t="n">
        <v>45223.62680555556</v>
      </c>
      <c r="C406" s="1" t="n">
        <v>46013</v>
      </c>
      <c r="D406" t="inlineStr">
        <is>
          <t>DALARNAS LÄN</t>
        </is>
      </c>
      <c r="E406" t="inlineStr">
        <is>
          <t>ORSA</t>
        </is>
      </c>
      <c r="G406" t="n">
        <v>11.5</v>
      </c>
      <c r="H406" t="n">
        <v>0</v>
      </c>
      <c r="I406" t="n">
        <v>0</v>
      </c>
      <c r="J406" t="n">
        <v>0</v>
      </c>
      <c r="K406" t="n">
        <v>0</v>
      </c>
      <c r="L406" t="n">
        <v>0</v>
      </c>
      <c r="M406" t="n">
        <v>0</v>
      </c>
      <c r="N406" t="n">
        <v>0</v>
      </c>
      <c r="O406" t="n">
        <v>0</v>
      </c>
      <c r="P406" t="n">
        <v>0</v>
      </c>
      <c r="Q406" t="n">
        <v>0</v>
      </c>
      <c r="R406" s="2" t="inlineStr"/>
    </row>
    <row r="407" ht="15" customHeight="1">
      <c r="A407" t="inlineStr">
        <is>
          <t>A 55105-2025</t>
        </is>
      </c>
      <c r="B407" s="1" t="n">
        <v>45968.36422453704</v>
      </c>
      <c r="C407" s="1" t="n">
        <v>46013</v>
      </c>
      <c r="D407" t="inlineStr">
        <is>
          <t>DALARNAS LÄN</t>
        </is>
      </c>
      <c r="E407" t="inlineStr">
        <is>
          <t>ORSA</t>
        </is>
      </c>
      <c r="F407" t="inlineStr">
        <is>
          <t>Allmännings- och besparingsskogar</t>
        </is>
      </c>
      <c r="G407" t="n">
        <v>31.5</v>
      </c>
      <c r="H407" t="n">
        <v>0</v>
      </c>
      <c r="I407" t="n">
        <v>0</v>
      </c>
      <c r="J407" t="n">
        <v>0</v>
      </c>
      <c r="K407" t="n">
        <v>0</v>
      </c>
      <c r="L407" t="n">
        <v>0</v>
      </c>
      <c r="M407" t="n">
        <v>0</v>
      </c>
      <c r="N407" t="n">
        <v>0</v>
      </c>
      <c r="O407" t="n">
        <v>0</v>
      </c>
      <c r="P407" t="n">
        <v>0</v>
      </c>
      <c r="Q407" t="n">
        <v>0</v>
      </c>
      <c r="R407" s="2" t="inlineStr"/>
    </row>
    <row r="408" ht="15" customHeight="1">
      <c r="A408" t="inlineStr">
        <is>
          <t>A 37838-2024</t>
        </is>
      </c>
      <c r="B408" s="1" t="n">
        <v>45544.36310185185</v>
      </c>
      <c r="C408" s="1" t="n">
        <v>46013</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48819-2024</t>
        </is>
      </c>
      <c r="B409" s="1" t="n">
        <v>45593.67824074074</v>
      </c>
      <c r="C409" s="1" t="n">
        <v>46013</v>
      </c>
      <c r="D409" t="inlineStr">
        <is>
          <t>DALARNAS LÄN</t>
        </is>
      </c>
      <c r="E409" t="inlineStr">
        <is>
          <t>ORSA</t>
        </is>
      </c>
      <c r="G409" t="n">
        <v>5</v>
      </c>
      <c r="H409" t="n">
        <v>0</v>
      </c>
      <c r="I409" t="n">
        <v>0</v>
      </c>
      <c r="J409" t="n">
        <v>0</v>
      </c>
      <c r="K409" t="n">
        <v>0</v>
      </c>
      <c r="L409" t="n">
        <v>0</v>
      </c>
      <c r="M409" t="n">
        <v>0</v>
      </c>
      <c r="N409" t="n">
        <v>0</v>
      </c>
      <c r="O409" t="n">
        <v>0</v>
      </c>
      <c r="P409" t="n">
        <v>0</v>
      </c>
      <c r="Q409" t="n">
        <v>0</v>
      </c>
      <c r="R409" s="2" t="inlineStr"/>
    </row>
    <row r="410" ht="15" customHeight="1">
      <c r="A410" t="inlineStr">
        <is>
          <t>A 36089-2023</t>
        </is>
      </c>
      <c r="B410" s="1" t="n">
        <v>45149.51068287037</v>
      </c>
      <c r="C410" s="1" t="n">
        <v>46013</v>
      </c>
      <c r="D410" t="inlineStr">
        <is>
          <t>DALARNAS LÄN</t>
        </is>
      </c>
      <c r="E410" t="inlineStr">
        <is>
          <t>ORSA</t>
        </is>
      </c>
      <c r="F410" t="inlineStr">
        <is>
          <t>Allmännings- och besparingsskogar</t>
        </is>
      </c>
      <c r="G410" t="n">
        <v>1.2</v>
      </c>
      <c r="H410" t="n">
        <v>0</v>
      </c>
      <c r="I410" t="n">
        <v>0</v>
      </c>
      <c r="J410" t="n">
        <v>0</v>
      </c>
      <c r="K410" t="n">
        <v>0</v>
      </c>
      <c r="L410" t="n">
        <v>0</v>
      </c>
      <c r="M410" t="n">
        <v>0</v>
      </c>
      <c r="N410" t="n">
        <v>0</v>
      </c>
      <c r="O410" t="n">
        <v>0</v>
      </c>
      <c r="P410" t="n">
        <v>0</v>
      </c>
      <c r="Q410" t="n">
        <v>0</v>
      </c>
      <c r="R410" s="2" t="inlineStr"/>
    </row>
    <row r="411" ht="15" customHeight="1">
      <c r="A411" t="inlineStr">
        <is>
          <t>A 62342-2023</t>
        </is>
      </c>
      <c r="B411" s="1" t="n">
        <v>45267.9268287037</v>
      </c>
      <c r="C411" s="1" t="n">
        <v>46013</v>
      </c>
      <c r="D411" t="inlineStr">
        <is>
          <t>DALARNAS LÄN</t>
        </is>
      </c>
      <c r="E411" t="inlineStr">
        <is>
          <t>ORSA</t>
        </is>
      </c>
      <c r="G411" t="n">
        <v>2.5</v>
      </c>
      <c r="H411" t="n">
        <v>0</v>
      </c>
      <c r="I411" t="n">
        <v>0</v>
      </c>
      <c r="J411" t="n">
        <v>0</v>
      </c>
      <c r="K411" t="n">
        <v>0</v>
      </c>
      <c r="L411" t="n">
        <v>0</v>
      </c>
      <c r="M411" t="n">
        <v>0</v>
      </c>
      <c r="N411" t="n">
        <v>0</v>
      </c>
      <c r="O411" t="n">
        <v>0</v>
      </c>
      <c r="P411" t="n">
        <v>0</v>
      </c>
      <c r="Q411" t="n">
        <v>0</v>
      </c>
      <c r="R411" s="2" t="inlineStr"/>
    </row>
    <row r="412" ht="15" customHeight="1">
      <c r="A412" t="inlineStr">
        <is>
          <t>A 52903-2024</t>
        </is>
      </c>
      <c r="B412" s="1" t="n">
        <v>45610.6875462963</v>
      </c>
      <c r="C412" s="1" t="n">
        <v>46013</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18009-2023</t>
        </is>
      </c>
      <c r="B413" s="1" t="n">
        <v>45040.56190972222</v>
      </c>
      <c r="C413" s="1" t="n">
        <v>46013</v>
      </c>
      <c r="D413" t="inlineStr">
        <is>
          <t>DALARNAS LÄN</t>
        </is>
      </c>
      <c r="E413" t="inlineStr">
        <is>
          <t>ORSA</t>
        </is>
      </c>
      <c r="G413" t="n">
        <v>5.8</v>
      </c>
      <c r="H413" t="n">
        <v>0</v>
      </c>
      <c r="I413" t="n">
        <v>0</v>
      </c>
      <c r="J413" t="n">
        <v>0</v>
      </c>
      <c r="K413" t="n">
        <v>0</v>
      </c>
      <c r="L413" t="n">
        <v>0</v>
      </c>
      <c r="M413" t="n">
        <v>0</v>
      </c>
      <c r="N413" t="n">
        <v>0</v>
      </c>
      <c r="O413" t="n">
        <v>0</v>
      </c>
      <c r="P413" t="n">
        <v>0</v>
      </c>
      <c r="Q413" t="n">
        <v>0</v>
      </c>
      <c r="R413" s="2" t="inlineStr"/>
    </row>
    <row r="414" ht="15" customHeight="1">
      <c r="A414" t="inlineStr">
        <is>
          <t>A 48518-2024</t>
        </is>
      </c>
      <c r="B414" s="1" t="n">
        <v>45593.31915509259</v>
      </c>
      <c r="C414" s="1" t="n">
        <v>46013</v>
      </c>
      <c r="D414" t="inlineStr">
        <is>
          <t>DALARNAS LÄN</t>
        </is>
      </c>
      <c r="E414" t="inlineStr">
        <is>
          <t>ORSA</t>
        </is>
      </c>
      <c r="G414" t="n">
        <v>1.9</v>
      </c>
      <c r="H414" t="n">
        <v>0</v>
      </c>
      <c r="I414" t="n">
        <v>0</v>
      </c>
      <c r="J414" t="n">
        <v>0</v>
      </c>
      <c r="K414" t="n">
        <v>0</v>
      </c>
      <c r="L414" t="n">
        <v>0</v>
      </c>
      <c r="M414" t="n">
        <v>0</v>
      </c>
      <c r="N414" t="n">
        <v>0</v>
      </c>
      <c r="O414" t="n">
        <v>0</v>
      </c>
      <c r="P414" t="n">
        <v>0</v>
      </c>
      <c r="Q414" t="n">
        <v>0</v>
      </c>
      <c r="R414" s="2" t="inlineStr"/>
    </row>
    <row r="415" ht="15" customHeight="1">
      <c r="A415" t="inlineStr">
        <is>
          <t>A 56706-2021</t>
        </is>
      </c>
      <c r="B415" s="1" t="n">
        <v>44481.4037962963</v>
      </c>
      <c r="C415" s="1" t="n">
        <v>46013</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59411-2024</t>
        </is>
      </c>
      <c r="B416" s="1" t="n">
        <v>45638.39675925926</v>
      </c>
      <c r="C416" s="1" t="n">
        <v>46013</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59414-2024</t>
        </is>
      </c>
      <c r="B417" s="1" t="n">
        <v>45638.39965277778</v>
      </c>
      <c r="C417" s="1" t="n">
        <v>46013</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9836-2022</t>
        </is>
      </c>
      <c r="B418" s="1" t="n">
        <v>44620</v>
      </c>
      <c r="C418" s="1" t="n">
        <v>46013</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28923-2024</t>
        </is>
      </c>
      <c r="B419" s="1" t="n">
        <v>45481</v>
      </c>
      <c r="C419" s="1" t="n">
        <v>46013</v>
      </c>
      <c r="D419" t="inlineStr">
        <is>
          <t>DALARNAS LÄN</t>
        </is>
      </c>
      <c r="E419" t="inlineStr">
        <is>
          <t>ORSA</t>
        </is>
      </c>
      <c r="F419" t="inlineStr">
        <is>
          <t>Allmännings- och besparingsskogar</t>
        </is>
      </c>
      <c r="G419" t="n">
        <v>13.9</v>
      </c>
      <c r="H419" t="n">
        <v>0</v>
      </c>
      <c r="I419" t="n">
        <v>0</v>
      </c>
      <c r="J419" t="n">
        <v>0</v>
      </c>
      <c r="K419" t="n">
        <v>0</v>
      </c>
      <c r="L419" t="n">
        <v>0</v>
      </c>
      <c r="M419" t="n">
        <v>0</v>
      </c>
      <c r="N419" t="n">
        <v>0</v>
      </c>
      <c r="O419" t="n">
        <v>0</v>
      </c>
      <c r="P419" t="n">
        <v>0</v>
      </c>
      <c r="Q419" t="n">
        <v>0</v>
      </c>
      <c r="R419" s="2" t="inlineStr"/>
    </row>
    <row r="420" ht="15" customHeight="1">
      <c r="A420" t="inlineStr">
        <is>
          <t>A 17850-2025</t>
        </is>
      </c>
      <c r="B420" s="1" t="n">
        <v>45758.60162037037</v>
      </c>
      <c r="C420" s="1" t="n">
        <v>46013</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51994-2023</t>
        </is>
      </c>
      <c r="B421" s="1" t="n">
        <v>45223.5884375</v>
      </c>
      <c r="C421" s="1" t="n">
        <v>46013</v>
      </c>
      <c r="D421" t="inlineStr">
        <is>
          <t>DALARNAS LÄN</t>
        </is>
      </c>
      <c r="E421" t="inlineStr">
        <is>
          <t>ORSA</t>
        </is>
      </c>
      <c r="G421" t="n">
        <v>10.7</v>
      </c>
      <c r="H421" t="n">
        <v>0</v>
      </c>
      <c r="I421" t="n">
        <v>0</v>
      </c>
      <c r="J421" t="n">
        <v>0</v>
      </c>
      <c r="K421" t="n">
        <v>0</v>
      </c>
      <c r="L421" t="n">
        <v>0</v>
      </c>
      <c r="M421" t="n">
        <v>0</v>
      </c>
      <c r="N421" t="n">
        <v>0</v>
      </c>
      <c r="O421" t="n">
        <v>0</v>
      </c>
      <c r="P421" t="n">
        <v>0</v>
      </c>
      <c r="Q421" t="n">
        <v>0</v>
      </c>
      <c r="R421" s="2" t="inlineStr"/>
    </row>
    <row r="422" ht="15" customHeight="1">
      <c r="A422" t="inlineStr">
        <is>
          <t>A 72284-2021</t>
        </is>
      </c>
      <c r="B422" s="1" t="n">
        <v>44545.36940972223</v>
      </c>
      <c r="C422" s="1" t="n">
        <v>46013</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13185-2022</t>
        </is>
      </c>
      <c r="B423" s="1" t="n">
        <v>44644.48491898148</v>
      </c>
      <c r="C423" s="1" t="n">
        <v>46013</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46454-2024</t>
        </is>
      </c>
      <c r="B424" s="1" t="n">
        <v>45582</v>
      </c>
      <c r="C424" s="1" t="n">
        <v>46013</v>
      </c>
      <c r="D424" t="inlineStr">
        <is>
          <t>DALARNAS LÄN</t>
        </is>
      </c>
      <c r="E424" t="inlineStr">
        <is>
          <t>ORSA</t>
        </is>
      </c>
      <c r="F424" t="inlineStr">
        <is>
          <t>Övriga statliga verk och myndigheter</t>
        </is>
      </c>
      <c r="G424" t="n">
        <v>1</v>
      </c>
      <c r="H424" t="n">
        <v>0</v>
      </c>
      <c r="I424" t="n">
        <v>0</v>
      </c>
      <c r="J424" t="n">
        <v>0</v>
      </c>
      <c r="K424" t="n">
        <v>0</v>
      </c>
      <c r="L424" t="n">
        <v>0</v>
      </c>
      <c r="M424" t="n">
        <v>0</v>
      </c>
      <c r="N424" t="n">
        <v>0</v>
      </c>
      <c r="O424" t="n">
        <v>0</v>
      </c>
      <c r="P424" t="n">
        <v>0</v>
      </c>
      <c r="Q424" t="n">
        <v>0</v>
      </c>
      <c r="R424" s="2" t="inlineStr"/>
    </row>
    <row r="425" ht="15" customHeight="1">
      <c r="A425" t="inlineStr">
        <is>
          <t>A 52649-2024</t>
        </is>
      </c>
      <c r="B425" s="1" t="n">
        <v>45610.3468287037</v>
      </c>
      <c r="C425" s="1" t="n">
        <v>46013</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58842-2024</t>
        </is>
      </c>
      <c r="B426" s="1" t="n">
        <v>45636.3859837963</v>
      </c>
      <c r="C426" s="1" t="n">
        <v>46013</v>
      </c>
      <c r="D426" t="inlineStr">
        <is>
          <t>DALARNAS LÄN</t>
        </is>
      </c>
      <c r="E426" t="inlineStr">
        <is>
          <t>ORSA</t>
        </is>
      </c>
      <c r="G426" t="n">
        <v>2.8</v>
      </c>
      <c r="H426" t="n">
        <v>0</v>
      </c>
      <c r="I426" t="n">
        <v>0</v>
      </c>
      <c r="J426" t="n">
        <v>0</v>
      </c>
      <c r="K426" t="n">
        <v>0</v>
      </c>
      <c r="L426" t="n">
        <v>0</v>
      </c>
      <c r="M426" t="n">
        <v>0</v>
      </c>
      <c r="N426" t="n">
        <v>0</v>
      </c>
      <c r="O426" t="n">
        <v>0</v>
      </c>
      <c r="P426" t="n">
        <v>0</v>
      </c>
      <c r="Q426" t="n">
        <v>0</v>
      </c>
      <c r="R426" s="2" t="inlineStr"/>
    </row>
    <row r="427" ht="15" customHeight="1">
      <c r="A427" t="inlineStr">
        <is>
          <t>A 13209-2022</t>
        </is>
      </c>
      <c r="B427" s="1" t="n">
        <v>44644.56325231482</v>
      </c>
      <c r="C427" s="1" t="n">
        <v>46013</v>
      </c>
      <c r="D427" t="inlineStr">
        <is>
          <t>DALARNAS LÄN</t>
        </is>
      </c>
      <c r="E427" t="inlineStr">
        <is>
          <t>ORSA</t>
        </is>
      </c>
      <c r="G427" t="n">
        <v>0.5</v>
      </c>
      <c r="H427" t="n">
        <v>0</v>
      </c>
      <c r="I427" t="n">
        <v>0</v>
      </c>
      <c r="J427" t="n">
        <v>0</v>
      </c>
      <c r="K427" t="n">
        <v>0</v>
      </c>
      <c r="L427" t="n">
        <v>0</v>
      </c>
      <c r="M427" t="n">
        <v>0</v>
      </c>
      <c r="N427" t="n">
        <v>0</v>
      </c>
      <c r="O427" t="n">
        <v>0</v>
      </c>
      <c r="P427" t="n">
        <v>0</v>
      </c>
      <c r="Q427" t="n">
        <v>0</v>
      </c>
      <c r="R427" s="2" t="inlineStr"/>
    </row>
    <row r="428" ht="15" customHeight="1">
      <c r="A428" t="inlineStr">
        <is>
          <t>A 12704-2022</t>
        </is>
      </c>
      <c r="B428" s="1" t="n">
        <v>44641</v>
      </c>
      <c r="C428" s="1" t="n">
        <v>46013</v>
      </c>
      <c r="D428" t="inlineStr">
        <is>
          <t>DALARNAS LÄN</t>
        </is>
      </c>
      <c r="E428" t="inlineStr">
        <is>
          <t>ORSA</t>
        </is>
      </c>
      <c r="G428" t="n">
        <v>2.4</v>
      </c>
      <c r="H428" t="n">
        <v>0</v>
      </c>
      <c r="I428" t="n">
        <v>0</v>
      </c>
      <c r="J428" t="n">
        <v>0</v>
      </c>
      <c r="K428" t="n">
        <v>0</v>
      </c>
      <c r="L428" t="n">
        <v>0</v>
      </c>
      <c r="M428" t="n">
        <v>0</v>
      </c>
      <c r="N428" t="n">
        <v>0</v>
      </c>
      <c r="O428" t="n">
        <v>0</v>
      </c>
      <c r="P428" t="n">
        <v>0</v>
      </c>
      <c r="Q428" t="n">
        <v>0</v>
      </c>
      <c r="R428" s="2" t="inlineStr"/>
    </row>
    <row r="429" ht="15" customHeight="1">
      <c r="A429" t="inlineStr">
        <is>
          <t>A 37770-2023</t>
        </is>
      </c>
      <c r="B429" s="1" t="n">
        <v>45159</v>
      </c>
      <c r="C429" s="1" t="n">
        <v>46013</v>
      </c>
      <c r="D429" t="inlineStr">
        <is>
          <t>DALARNAS LÄN</t>
        </is>
      </c>
      <c r="E429" t="inlineStr">
        <is>
          <t>ORSA</t>
        </is>
      </c>
      <c r="G429" t="n">
        <v>2.6</v>
      </c>
      <c r="H429" t="n">
        <v>0</v>
      </c>
      <c r="I429" t="n">
        <v>0</v>
      </c>
      <c r="J429" t="n">
        <v>0</v>
      </c>
      <c r="K429" t="n">
        <v>0</v>
      </c>
      <c r="L429" t="n">
        <v>0</v>
      </c>
      <c r="M429" t="n">
        <v>0</v>
      </c>
      <c r="N429" t="n">
        <v>0</v>
      </c>
      <c r="O429" t="n">
        <v>0</v>
      </c>
      <c r="P429" t="n">
        <v>0</v>
      </c>
      <c r="Q429" t="n">
        <v>0</v>
      </c>
      <c r="R429" s="2" t="inlineStr"/>
    </row>
    <row r="430" ht="15" customHeight="1">
      <c r="A430" t="inlineStr">
        <is>
          <t>A 23339-2024</t>
        </is>
      </c>
      <c r="B430" s="1" t="n">
        <v>45453.48988425926</v>
      </c>
      <c r="C430" s="1" t="n">
        <v>46013</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46013</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46013</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56803-2024</t>
        </is>
      </c>
      <c r="B433" s="1" t="n">
        <v>45628.47212962963</v>
      </c>
      <c r="C433" s="1" t="n">
        <v>46013</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53717-2024</t>
        </is>
      </c>
      <c r="B434" s="1" t="n">
        <v>45615.43141203704</v>
      </c>
      <c r="C434" s="1" t="n">
        <v>46013</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46013</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25172-2022</t>
        </is>
      </c>
      <c r="B436" s="1" t="n">
        <v>44729.58356481481</v>
      </c>
      <c r="C436" s="1" t="n">
        <v>46013</v>
      </c>
      <c r="D436" t="inlineStr">
        <is>
          <t>DALARNAS LÄN</t>
        </is>
      </c>
      <c r="E436" t="inlineStr">
        <is>
          <t>ORSA</t>
        </is>
      </c>
      <c r="F436" t="inlineStr">
        <is>
          <t>Bergvik skog öst AB</t>
        </is>
      </c>
      <c r="G436" t="n">
        <v>3.6</v>
      </c>
      <c r="H436" t="n">
        <v>0</v>
      </c>
      <c r="I436" t="n">
        <v>0</v>
      </c>
      <c r="J436" t="n">
        <v>0</v>
      </c>
      <c r="K436" t="n">
        <v>0</v>
      </c>
      <c r="L436" t="n">
        <v>0</v>
      </c>
      <c r="M436" t="n">
        <v>0</v>
      </c>
      <c r="N436" t="n">
        <v>0</v>
      </c>
      <c r="O436" t="n">
        <v>0</v>
      </c>
      <c r="P436" t="n">
        <v>0</v>
      </c>
      <c r="Q436" t="n">
        <v>0</v>
      </c>
      <c r="R436" s="2" t="inlineStr"/>
    </row>
    <row r="437" ht="15" customHeight="1">
      <c r="A437" t="inlineStr">
        <is>
          <t>A 986-2025</t>
        </is>
      </c>
      <c r="B437" s="1" t="n">
        <v>45666.42952546296</v>
      </c>
      <c r="C437" s="1" t="n">
        <v>46013</v>
      </c>
      <c r="D437" t="inlineStr">
        <is>
          <t>DALARNAS LÄN</t>
        </is>
      </c>
      <c r="E437" t="inlineStr">
        <is>
          <t>ORSA</t>
        </is>
      </c>
      <c r="G437" t="n">
        <v>5.7</v>
      </c>
      <c r="H437" t="n">
        <v>0</v>
      </c>
      <c r="I437" t="n">
        <v>0</v>
      </c>
      <c r="J437" t="n">
        <v>0</v>
      </c>
      <c r="K437" t="n">
        <v>0</v>
      </c>
      <c r="L437" t="n">
        <v>0</v>
      </c>
      <c r="M437" t="n">
        <v>0</v>
      </c>
      <c r="N437" t="n">
        <v>0</v>
      </c>
      <c r="O437" t="n">
        <v>0</v>
      </c>
      <c r="P437" t="n">
        <v>0</v>
      </c>
      <c r="Q437" t="n">
        <v>0</v>
      </c>
      <c r="R437" s="2" t="inlineStr"/>
    </row>
    <row r="438" ht="15" customHeight="1">
      <c r="A438" t="inlineStr">
        <is>
          <t>A 30458-2023</t>
        </is>
      </c>
      <c r="B438" s="1" t="n">
        <v>45111</v>
      </c>
      <c r="C438" s="1" t="n">
        <v>46013</v>
      </c>
      <c r="D438" t="inlineStr">
        <is>
          <t>DALARNAS LÄN</t>
        </is>
      </c>
      <c r="E438" t="inlineStr">
        <is>
          <t>ORSA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42238-2023</t>
        </is>
      </c>
      <c r="B439" s="1" t="n">
        <v>45180.34207175926</v>
      </c>
      <c r="C439" s="1" t="n">
        <v>46013</v>
      </c>
      <c r="D439" t="inlineStr">
        <is>
          <t>DALARNAS LÄN</t>
        </is>
      </c>
      <c r="E439" t="inlineStr">
        <is>
          <t>ORSA</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4738-2025</t>
        </is>
      </c>
      <c r="B440" s="1" t="n">
        <v>45688</v>
      </c>
      <c r="C440" s="1" t="n">
        <v>46013</v>
      </c>
      <c r="D440" t="inlineStr">
        <is>
          <t>DALARNAS LÄN</t>
        </is>
      </c>
      <c r="E440" t="inlineStr">
        <is>
          <t>ORSA</t>
        </is>
      </c>
      <c r="G440" t="n">
        <v>3.7</v>
      </c>
      <c r="H440" t="n">
        <v>0</v>
      </c>
      <c r="I440" t="n">
        <v>0</v>
      </c>
      <c r="J440" t="n">
        <v>0</v>
      </c>
      <c r="K440" t="n">
        <v>0</v>
      </c>
      <c r="L440" t="n">
        <v>0</v>
      </c>
      <c r="M440" t="n">
        <v>0</v>
      </c>
      <c r="N440" t="n">
        <v>0</v>
      </c>
      <c r="O440" t="n">
        <v>0</v>
      </c>
      <c r="P440" t="n">
        <v>0</v>
      </c>
      <c r="Q440" t="n">
        <v>0</v>
      </c>
      <c r="R440" s="2" t="inlineStr"/>
    </row>
    <row r="441" ht="15" customHeight="1">
      <c r="A441" t="inlineStr">
        <is>
          <t>A 7534-2025</t>
        </is>
      </c>
      <c r="B441" s="1" t="n">
        <v>45705.56287037037</v>
      </c>
      <c r="C441" s="1" t="n">
        <v>46013</v>
      </c>
      <c r="D441" t="inlineStr">
        <is>
          <t>DALARNAS LÄN</t>
        </is>
      </c>
      <c r="E441" t="inlineStr">
        <is>
          <t>ORSA</t>
        </is>
      </c>
      <c r="G441" t="n">
        <v>1.1</v>
      </c>
      <c r="H441" t="n">
        <v>0</v>
      </c>
      <c r="I441" t="n">
        <v>0</v>
      </c>
      <c r="J441" t="n">
        <v>0</v>
      </c>
      <c r="K441" t="n">
        <v>0</v>
      </c>
      <c r="L441" t="n">
        <v>0</v>
      </c>
      <c r="M441" t="n">
        <v>0</v>
      </c>
      <c r="N441" t="n">
        <v>0</v>
      </c>
      <c r="O441" t="n">
        <v>0</v>
      </c>
      <c r="P441" t="n">
        <v>0</v>
      </c>
      <c r="Q441" t="n">
        <v>0</v>
      </c>
      <c r="R441" s="2" t="inlineStr"/>
    </row>
    <row r="442" ht="15" customHeight="1">
      <c r="A442" t="inlineStr">
        <is>
          <t>A 31026-2023</t>
        </is>
      </c>
      <c r="B442" s="1" t="n">
        <v>45113.5812962963</v>
      </c>
      <c r="C442" s="1" t="n">
        <v>46013</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32125-2024</t>
        </is>
      </c>
      <c r="B443" s="1" t="n">
        <v>45511</v>
      </c>
      <c r="C443" s="1" t="n">
        <v>46013</v>
      </c>
      <c r="D443" t="inlineStr">
        <is>
          <t>DALARNAS LÄN</t>
        </is>
      </c>
      <c r="E443" t="inlineStr">
        <is>
          <t>ORSA</t>
        </is>
      </c>
      <c r="F443" t="inlineStr">
        <is>
          <t>Allmännings- och besparingsskogar</t>
        </is>
      </c>
      <c r="G443" t="n">
        <v>5.2</v>
      </c>
      <c r="H443" t="n">
        <v>0</v>
      </c>
      <c r="I443" t="n">
        <v>0</v>
      </c>
      <c r="J443" t="n">
        <v>0</v>
      </c>
      <c r="K443" t="n">
        <v>0</v>
      </c>
      <c r="L443" t="n">
        <v>0</v>
      </c>
      <c r="M443" t="n">
        <v>0</v>
      </c>
      <c r="N443" t="n">
        <v>0</v>
      </c>
      <c r="O443" t="n">
        <v>0</v>
      </c>
      <c r="P443" t="n">
        <v>0</v>
      </c>
      <c r="Q443" t="n">
        <v>0</v>
      </c>
      <c r="R443" s="2" t="inlineStr"/>
    </row>
    <row r="444" ht="15" customHeight="1">
      <c r="A444" t="inlineStr">
        <is>
          <t>A 51303-2023</t>
        </is>
      </c>
      <c r="B444" s="1" t="n">
        <v>45219.55793981482</v>
      </c>
      <c r="C444" s="1" t="n">
        <v>46013</v>
      </c>
      <c r="D444" t="inlineStr">
        <is>
          <t>DALARNAS LÄN</t>
        </is>
      </c>
      <c r="E444" t="inlineStr">
        <is>
          <t>ORSA</t>
        </is>
      </c>
      <c r="G444" t="n">
        <v>1.8</v>
      </c>
      <c r="H444" t="n">
        <v>0</v>
      </c>
      <c r="I444" t="n">
        <v>0</v>
      </c>
      <c r="J444" t="n">
        <v>0</v>
      </c>
      <c r="K444" t="n">
        <v>0</v>
      </c>
      <c r="L444" t="n">
        <v>0</v>
      </c>
      <c r="M444" t="n">
        <v>0</v>
      </c>
      <c r="N444" t="n">
        <v>0</v>
      </c>
      <c r="O444" t="n">
        <v>0</v>
      </c>
      <c r="P444" t="n">
        <v>0</v>
      </c>
      <c r="Q444" t="n">
        <v>0</v>
      </c>
      <c r="R444" s="2" t="inlineStr"/>
    </row>
    <row r="445" ht="15" customHeight="1">
      <c r="A445" t="inlineStr">
        <is>
          <t>A 63371-2023</t>
        </is>
      </c>
      <c r="B445" s="1" t="n">
        <v>45274.47642361111</v>
      </c>
      <c r="C445" s="1" t="n">
        <v>46013</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22022-2022</t>
        </is>
      </c>
      <c r="B446" s="1" t="n">
        <v>44711.60145833333</v>
      </c>
      <c r="C446" s="1" t="n">
        <v>46013</v>
      </c>
      <c r="D446" t="inlineStr">
        <is>
          <t>DALARNAS LÄN</t>
        </is>
      </c>
      <c r="E446" t="inlineStr">
        <is>
          <t>ORSA</t>
        </is>
      </c>
      <c r="F446" t="inlineStr">
        <is>
          <t>Bergvik skog öst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51563-2023</t>
        </is>
      </c>
      <c r="B447" s="1" t="n">
        <v>45222</v>
      </c>
      <c r="C447" s="1" t="n">
        <v>46013</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58793-2023</t>
        </is>
      </c>
      <c r="B448" s="1" t="n">
        <v>45252.34607638889</v>
      </c>
      <c r="C448" s="1" t="n">
        <v>46013</v>
      </c>
      <c r="D448" t="inlineStr">
        <is>
          <t>DALARNAS LÄN</t>
        </is>
      </c>
      <c r="E448" t="inlineStr">
        <is>
          <t>ORSA</t>
        </is>
      </c>
      <c r="G448" t="n">
        <v>2.2</v>
      </c>
      <c r="H448" t="n">
        <v>0</v>
      </c>
      <c r="I448" t="n">
        <v>0</v>
      </c>
      <c r="J448" t="n">
        <v>0</v>
      </c>
      <c r="K448" t="n">
        <v>0</v>
      </c>
      <c r="L448" t="n">
        <v>0</v>
      </c>
      <c r="M448" t="n">
        <v>0</v>
      </c>
      <c r="N448" t="n">
        <v>0</v>
      </c>
      <c r="O448" t="n">
        <v>0</v>
      </c>
      <c r="P448" t="n">
        <v>0</v>
      </c>
      <c r="Q448" t="n">
        <v>0</v>
      </c>
      <c r="R448" s="2" t="inlineStr"/>
    </row>
    <row r="449" ht="15" customHeight="1">
      <c r="A449" t="inlineStr">
        <is>
          <t>A 47778-2021</t>
        </is>
      </c>
      <c r="B449" s="1" t="n">
        <v>44448</v>
      </c>
      <c r="C449" s="1" t="n">
        <v>46013</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47564-2023</t>
        </is>
      </c>
      <c r="B450" s="1" t="n">
        <v>45203.40004629629</v>
      </c>
      <c r="C450" s="1" t="n">
        <v>46013</v>
      </c>
      <c r="D450" t="inlineStr">
        <is>
          <t>DALARNAS LÄN</t>
        </is>
      </c>
      <c r="E450" t="inlineStr">
        <is>
          <t>ORSA</t>
        </is>
      </c>
      <c r="F450" t="inlineStr">
        <is>
          <t>Allmännings- och besparingsskogar</t>
        </is>
      </c>
      <c r="G450" t="n">
        <v>0.8</v>
      </c>
      <c r="H450" t="n">
        <v>0</v>
      </c>
      <c r="I450" t="n">
        <v>0</v>
      </c>
      <c r="J450" t="n">
        <v>0</v>
      </c>
      <c r="K450" t="n">
        <v>0</v>
      </c>
      <c r="L450" t="n">
        <v>0</v>
      </c>
      <c r="M450" t="n">
        <v>0</v>
      </c>
      <c r="N450" t="n">
        <v>0</v>
      </c>
      <c r="O450" t="n">
        <v>0</v>
      </c>
      <c r="P450" t="n">
        <v>0</v>
      </c>
      <c r="Q450" t="n">
        <v>0</v>
      </c>
      <c r="R450" s="2" t="inlineStr"/>
    </row>
    <row r="451" ht="15" customHeight="1">
      <c r="A451" t="inlineStr">
        <is>
          <t>A 597-2024</t>
        </is>
      </c>
      <c r="B451" s="1" t="n">
        <v>45299.63410879629</v>
      </c>
      <c r="C451" s="1" t="n">
        <v>46013</v>
      </c>
      <c r="D451" t="inlineStr">
        <is>
          <t>DALARNAS LÄN</t>
        </is>
      </c>
      <c r="E451" t="inlineStr">
        <is>
          <t>ORSA</t>
        </is>
      </c>
      <c r="G451" t="n">
        <v>4.4</v>
      </c>
      <c r="H451" t="n">
        <v>0</v>
      </c>
      <c r="I451" t="n">
        <v>0</v>
      </c>
      <c r="J451" t="n">
        <v>0</v>
      </c>
      <c r="K451" t="n">
        <v>0</v>
      </c>
      <c r="L451" t="n">
        <v>0</v>
      </c>
      <c r="M451" t="n">
        <v>0</v>
      </c>
      <c r="N451" t="n">
        <v>0</v>
      </c>
      <c r="O451" t="n">
        <v>0</v>
      </c>
      <c r="P451" t="n">
        <v>0</v>
      </c>
      <c r="Q451" t="n">
        <v>0</v>
      </c>
      <c r="R451" s="2" t="inlineStr"/>
    </row>
    <row r="452" ht="15" customHeight="1">
      <c r="A452" t="inlineStr">
        <is>
          <t>A 15772-2025</t>
        </is>
      </c>
      <c r="B452" s="1" t="n">
        <v>45748.59069444444</v>
      </c>
      <c r="C452" s="1" t="n">
        <v>46013</v>
      </c>
      <c r="D452" t="inlineStr">
        <is>
          <t>DALARNAS LÄN</t>
        </is>
      </c>
      <c r="E452" t="inlineStr">
        <is>
          <t>ORSA</t>
        </is>
      </c>
      <c r="F452" t="inlineStr">
        <is>
          <t>Bergvik skog öst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53229-2023</t>
        </is>
      </c>
      <c r="B453" s="1" t="n">
        <v>45229.48306712963</v>
      </c>
      <c r="C453" s="1" t="n">
        <v>46013</v>
      </c>
      <c r="D453" t="inlineStr">
        <is>
          <t>DALARNAS LÄN</t>
        </is>
      </c>
      <c r="E453" t="inlineStr">
        <is>
          <t>ORSA</t>
        </is>
      </c>
      <c r="F453" t="inlineStr">
        <is>
          <t>Allmännings- och besparingsskogar</t>
        </is>
      </c>
      <c r="G453" t="n">
        <v>0.5</v>
      </c>
      <c r="H453" t="n">
        <v>0</v>
      </c>
      <c r="I453" t="n">
        <v>0</v>
      </c>
      <c r="J453" t="n">
        <v>0</v>
      </c>
      <c r="K453" t="n">
        <v>0</v>
      </c>
      <c r="L453" t="n">
        <v>0</v>
      </c>
      <c r="M453" t="n">
        <v>0</v>
      </c>
      <c r="N453" t="n">
        <v>0</v>
      </c>
      <c r="O453" t="n">
        <v>0</v>
      </c>
      <c r="P453" t="n">
        <v>0</v>
      </c>
      <c r="Q453" t="n">
        <v>0</v>
      </c>
      <c r="R453" s="2" t="inlineStr"/>
    </row>
    <row r="454" ht="15" customHeight="1">
      <c r="A454" t="inlineStr">
        <is>
          <t>A 55538-2023</t>
        </is>
      </c>
      <c r="B454" s="1" t="n">
        <v>45238.5996875</v>
      </c>
      <c r="C454" s="1" t="n">
        <v>46013</v>
      </c>
      <c r="D454" t="inlineStr">
        <is>
          <t>DALARNAS LÄN</t>
        </is>
      </c>
      <c r="E454" t="inlineStr">
        <is>
          <t>ORSA</t>
        </is>
      </c>
      <c r="G454" t="n">
        <v>0.5</v>
      </c>
      <c r="H454" t="n">
        <v>0</v>
      </c>
      <c r="I454" t="n">
        <v>0</v>
      </c>
      <c r="J454" t="n">
        <v>0</v>
      </c>
      <c r="K454" t="n">
        <v>0</v>
      </c>
      <c r="L454" t="n">
        <v>0</v>
      </c>
      <c r="M454" t="n">
        <v>0</v>
      </c>
      <c r="N454" t="n">
        <v>0</v>
      </c>
      <c r="O454" t="n">
        <v>0</v>
      </c>
      <c r="P454" t="n">
        <v>0</v>
      </c>
      <c r="Q454" t="n">
        <v>0</v>
      </c>
      <c r="R454" s="2" t="inlineStr"/>
    </row>
    <row r="455" ht="15" customHeight="1">
      <c r="A455" t="inlineStr">
        <is>
          <t>A 15113-2025</t>
        </is>
      </c>
      <c r="B455" s="1" t="n">
        <v>45744.36179398148</v>
      </c>
      <c r="C455" s="1" t="n">
        <v>46013</v>
      </c>
      <c r="D455" t="inlineStr">
        <is>
          <t>DALARNAS LÄN</t>
        </is>
      </c>
      <c r="E455" t="inlineStr">
        <is>
          <t>ORSA</t>
        </is>
      </c>
      <c r="F455" t="inlineStr">
        <is>
          <t>Allmännings- och besparingsskogar</t>
        </is>
      </c>
      <c r="G455" t="n">
        <v>3.3</v>
      </c>
      <c r="H455" t="n">
        <v>0</v>
      </c>
      <c r="I455" t="n">
        <v>0</v>
      </c>
      <c r="J455" t="n">
        <v>0</v>
      </c>
      <c r="K455" t="n">
        <v>0</v>
      </c>
      <c r="L455" t="n">
        <v>0</v>
      </c>
      <c r="M455" t="n">
        <v>0</v>
      </c>
      <c r="N455" t="n">
        <v>0</v>
      </c>
      <c r="O455" t="n">
        <v>0</v>
      </c>
      <c r="P455" t="n">
        <v>0</v>
      </c>
      <c r="Q455" t="n">
        <v>0</v>
      </c>
      <c r="R455" s="2" t="inlineStr"/>
    </row>
    <row r="456" ht="15" customHeight="1">
      <c r="A456" t="inlineStr">
        <is>
          <t>A 51305-2023</t>
        </is>
      </c>
      <c r="B456" s="1" t="n">
        <v>45219</v>
      </c>
      <c r="C456" s="1" t="n">
        <v>46013</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1624-2024</t>
        </is>
      </c>
      <c r="B457" s="1" t="n">
        <v>45306</v>
      </c>
      <c r="C457" s="1" t="n">
        <v>46013</v>
      </c>
      <c r="D457" t="inlineStr">
        <is>
          <t>DALARNAS LÄN</t>
        </is>
      </c>
      <c r="E457" t="inlineStr">
        <is>
          <t>ORSA</t>
        </is>
      </c>
      <c r="G457" t="n">
        <v>1.9</v>
      </c>
      <c r="H457" t="n">
        <v>0</v>
      </c>
      <c r="I457" t="n">
        <v>0</v>
      </c>
      <c r="J457" t="n">
        <v>0</v>
      </c>
      <c r="K457" t="n">
        <v>0</v>
      </c>
      <c r="L457" t="n">
        <v>0</v>
      </c>
      <c r="M457" t="n">
        <v>0</v>
      </c>
      <c r="N457" t="n">
        <v>0</v>
      </c>
      <c r="O457" t="n">
        <v>0</v>
      </c>
      <c r="P457" t="n">
        <v>0</v>
      </c>
      <c r="Q457" t="n">
        <v>0</v>
      </c>
      <c r="R457" s="2" t="inlineStr"/>
    </row>
    <row r="458" ht="15" customHeight="1">
      <c r="A458" t="inlineStr">
        <is>
          <t>A 19505-2022</t>
        </is>
      </c>
      <c r="B458" s="1" t="n">
        <v>44693</v>
      </c>
      <c r="C458" s="1" t="n">
        <v>46013</v>
      </c>
      <c r="D458" t="inlineStr">
        <is>
          <t>DALARNAS LÄN</t>
        </is>
      </c>
      <c r="E458" t="inlineStr">
        <is>
          <t>ORSA</t>
        </is>
      </c>
      <c r="G458" t="n">
        <v>2.7</v>
      </c>
      <c r="H458" t="n">
        <v>0</v>
      </c>
      <c r="I458" t="n">
        <v>0</v>
      </c>
      <c r="J458" t="n">
        <v>0</v>
      </c>
      <c r="K458" t="n">
        <v>0</v>
      </c>
      <c r="L458" t="n">
        <v>0</v>
      </c>
      <c r="M458" t="n">
        <v>0</v>
      </c>
      <c r="N458" t="n">
        <v>0</v>
      </c>
      <c r="O458" t="n">
        <v>0</v>
      </c>
      <c r="P458" t="n">
        <v>0</v>
      </c>
      <c r="Q458" t="n">
        <v>0</v>
      </c>
      <c r="R458" s="2" t="inlineStr"/>
    </row>
    <row r="459" ht="15" customHeight="1">
      <c r="A459" t="inlineStr">
        <is>
          <t>A 19108-2025</t>
        </is>
      </c>
      <c r="B459" s="1" t="n">
        <v>45768</v>
      </c>
      <c r="C459" s="1" t="n">
        <v>46013</v>
      </c>
      <c r="D459" t="inlineStr">
        <is>
          <t>DALARNAS LÄN</t>
        </is>
      </c>
      <c r="E459" t="inlineStr">
        <is>
          <t>ORSA</t>
        </is>
      </c>
      <c r="F459" t="inlineStr">
        <is>
          <t>Bergvik skog väst AB</t>
        </is>
      </c>
      <c r="G459" t="n">
        <v>14.3</v>
      </c>
      <c r="H459" t="n">
        <v>0</v>
      </c>
      <c r="I459" t="n">
        <v>0</v>
      </c>
      <c r="J459" t="n">
        <v>0</v>
      </c>
      <c r="K459" t="n">
        <v>0</v>
      </c>
      <c r="L459" t="n">
        <v>0</v>
      </c>
      <c r="M459" t="n">
        <v>0</v>
      </c>
      <c r="N459" t="n">
        <v>0</v>
      </c>
      <c r="O459" t="n">
        <v>0</v>
      </c>
      <c r="P459" t="n">
        <v>0</v>
      </c>
      <c r="Q459" t="n">
        <v>0</v>
      </c>
      <c r="R459" s="2" t="inlineStr"/>
    </row>
    <row r="460" ht="15" customHeight="1">
      <c r="A460" t="inlineStr">
        <is>
          <t>A 593-2024</t>
        </is>
      </c>
      <c r="B460" s="1" t="n">
        <v>45299.63049768518</v>
      </c>
      <c r="C460" s="1" t="n">
        <v>46013</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6939-2021</t>
        </is>
      </c>
      <c r="B461" s="1" t="n">
        <v>44237</v>
      </c>
      <c r="C461" s="1" t="n">
        <v>46013</v>
      </c>
      <c r="D461" t="inlineStr">
        <is>
          <t>DALARNAS LÄN</t>
        </is>
      </c>
      <c r="E461" t="inlineStr">
        <is>
          <t>ORSA</t>
        </is>
      </c>
      <c r="F461" t="inlineStr">
        <is>
          <t>Övriga statliga verk och myndigheter</t>
        </is>
      </c>
      <c r="G461" t="n">
        <v>1.5</v>
      </c>
      <c r="H461" t="n">
        <v>0</v>
      </c>
      <c r="I461" t="n">
        <v>0</v>
      </c>
      <c r="J461" t="n">
        <v>0</v>
      </c>
      <c r="K461" t="n">
        <v>0</v>
      </c>
      <c r="L461" t="n">
        <v>0</v>
      </c>
      <c r="M461" t="n">
        <v>0</v>
      </c>
      <c r="N461" t="n">
        <v>0</v>
      </c>
      <c r="O461" t="n">
        <v>0</v>
      </c>
      <c r="P461" t="n">
        <v>0</v>
      </c>
      <c r="Q461" t="n">
        <v>0</v>
      </c>
      <c r="R461" s="2" t="inlineStr"/>
    </row>
    <row r="462" ht="15" customHeight="1">
      <c r="A462" t="inlineStr">
        <is>
          <t>A 47732-2022</t>
        </is>
      </c>
      <c r="B462" s="1" t="n">
        <v>44854.63668981481</v>
      </c>
      <c r="C462" s="1" t="n">
        <v>46013</v>
      </c>
      <c r="D462" t="inlineStr">
        <is>
          <t>DALARNAS LÄN</t>
        </is>
      </c>
      <c r="E462" t="inlineStr">
        <is>
          <t>ORSA</t>
        </is>
      </c>
      <c r="F462" t="inlineStr">
        <is>
          <t>Bergvik skog öst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61279-2023</t>
        </is>
      </c>
      <c r="B463" s="1" t="n">
        <v>45264.5270949074</v>
      </c>
      <c r="C463" s="1" t="n">
        <v>46013</v>
      </c>
      <c r="D463" t="inlineStr">
        <is>
          <t>DALARNAS LÄN</t>
        </is>
      </c>
      <c r="E463" t="inlineStr">
        <is>
          <t>ORSA</t>
        </is>
      </c>
      <c r="G463" t="n">
        <v>0.2</v>
      </c>
      <c r="H463" t="n">
        <v>0</v>
      </c>
      <c r="I463" t="n">
        <v>0</v>
      </c>
      <c r="J463" t="n">
        <v>0</v>
      </c>
      <c r="K463" t="n">
        <v>0</v>
      </c>
      <c r="L463" t="n">
        <v>0</v>
      </c>
      <c r="M463" t="n">
        <v>0</v>
      </c>
      <c r="N463" t="n">
        <v>0</v>
      </c>
      <c r="O463" t="n">
        <v>0</v>
      </c>
      <c r="P463" t="n">
        <v>0</v>
      </c>
      <c r="Q463" t="n">
        <v>0</v>
      </c>
      <c r="R463" s="2" t="inlineStr"/>
    </row>
    <row r="464" ht="15" customHeight="1">
      <c r="A464" t="inlineStr">
        <is>
          <t>A 23461-2023</t>
        </is>
      </c>
      <c r="B464" s="1" t="n">
        <v>45076</v>
      </c>
      <c r="C464" s="1" t="n">
        <v>46013</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46013</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25761-2021</t>
        </is>
      </c>
      <c r="B466" s="1" t="n">
        <v>44343</v>
      </c>
      <c r="C466" s="1" t="n">
        <v>46013</v>
      </c>
      <c r="D466" t="inlineStr">
        <is>
          <t>DALARNAS LÄN</t>
        </is>
      </c>
      <c r="E466" t="inlineStr">
        <is>
          <t>ORSA</t>
        </is>
      </c>
      <c r="G466" t="n">
        <v>3.4</v>
      </c>
      <c r="H466" t="n">
        <v>0</v>
      </c>
      <c r="I466" t="n">
        <v>0</v>
      </c>
      <c r="J466" t="n">
        <v>0</v>
      </c>
      <c r="K466" t="n">
        <v>0</v>
      </c>
      <c r="L466" t="n">
        <v>0</v>
      </c>
      <c r="M466" t="n">
        <v>0</v>
      </c>
      <c r="N466" t="n">
        <v>0</v>
      </c>
      <c r="O466" t="n">
        <v>0</v>
      </c>
      <c r="P466" t="n">
        <v>0</v>
      </c>
      <c r="Q466" t="n">
        <v>0</v>
      </c>
      <c r="R466" s="2" t="inlineStr"/>
    </row>
    <row r="467" ht="15" customHeight="1">
      <c r="A467" t="inlineStr">
        <is>
          <t>A 15114-2025</t>
        </is>
      </c>
      <c r="B467" s="1" t="n">
        <v>45744.36232638889</v>
      </c>
      <c r="C467" s="1" t="n">
        <v>46013</v>
      </c>
      <c r="D467" t="inlineStr">
        <is>
          <t>DALARNAS LÄN</t>
        </is>
      </c>
      <c r="E467" t="inlineStr">
        <is>
          <t>ORSA</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17508-2025</t>
        </is>
      </c>
      <c r="B468" s="1" t="n">
        <v>45757.55929398148</v>
      </c>
      <c r="C468" s="1" t="n">
        <v>46013</v>
      </c>
      <c r="D468" t="inlineStr">
        <is>
          <t>DALARNAS LÄN</t>
        </is>
      </c>
      <c r="E468" t="inlineStr">
        <is>
          <t>ORSA</t>
        </is>
      </c>
      <c r="F468" t="inlineStr">
        <is>
          <t>Bergvik skog öst AB</t>
        </is>
      </c>
      <c r="G468" t="n">
        <v>9.4</v>
      </c>
      <c r="H468" t="n">
        <v>0</v>
      </c>
      <c r="I468" t="n">
        <v>0</v>
      </c>
      <c r="J468" t="n">
        <v>0</v>
      </c>
      <c r="K468" t="n">
        <v>0</v>
      </c>
      <c r="L468" t="n">
        <v>0</v>
      </c>
      <c r="M468" t="n">
        <v>0</v>
      </c>
      <c r="N468" t="n">
        <v>0</v>
      </c>
      <c r="O468" t="n">
        <v>0</v>
      </c>
      <c r="P468" t="n">
        <v>0</v>
      </c>
      <c r="Q468" t="n">
        <v>0</v>
      </c>
      <c r="R468" s="2" t="inlineStr"/>
    </row>
    <row r="469" ht="15" customHeight="1">
      <c r="A469" t="inlineStr">
        <is>
          <t>A 63917-2023</t>
        </is>
      </c>
      <c r="B469" s="1" t="n">
        <v>45278</v>
      </c>
      <c r="C469" s="1" t="n">
        <v>46013</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52912-2023</t>
        </is>
      </c>
      <c r="B470" s="1" t="n">
        <v>45226.51766203704</v>
      </c>
      <c r="C470" s="1" t="n">
        <v>46013</v>
      </c>
      <c r="D470" t="inlineStr">
        <is>
          <t>DALARNAS LÄN</t>
        </is>
      </c>
      <c r="E470" t="inlineStr">
        <is>
          <t>ORSA</t>
        </is>
      </c>
      <c r="G470" t="n">
        <v>10.9</v>
      </c>
      <c r="H470" t="n">
        <v>0</v>
      </c>
      <c r="I470" t="n">
        <v>0</v>
      </c>
      <c r="J470" t="n">
        <v>0</v>
      </c>
      <c r="K470" t="n">
        <v>0</v>
      </c>
      <c r="L470" t="n">
        <v>0</v>
      </c>
      <c r="M470" t="n">
        <v>0</v>
      </c>
      <c r="N470" t="n">
        <v>0</v>
      </c>
      <c r="O470" t="n">
        <v>0</v>
      </c>
      <c r="P470" t="n">
        <v>0</v>
      </c>
      <c r="Q470" t="n">
        <v>0</v>
      </c>
      <c r="R470" s="2" t="inlineStr"/>
    </row>
    <row r="471" ht="15" customHeight="1">
      <c r="A471" t="inlineStr">
        <is>
          <t>A 10832-2022</t>
        </is>
      </c>
      <c r="B471" s="1" t="n">
        <v>44627</v>
      </c>
      <c r="C471" s="1" t="n">
        <v>46013</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10359-2023</t>
        </is>
      </c>
      <c r="B472" s="1" t="n">
        <v>44987.37292824074</v>
      </c>
      <c r="C472" s="1" t="n">
        <v>46013</v>
      </c>
      <c r="D472" t="inlineStr">
        <is>
          <t>DALARNAS LÄN</t>
        </is>
      </c>
      <c r="E472" t="inlineStr">
        <is>
          <t>ORSA</t>
        </is>
      </c>
      <c r="G472" t="n">
        <v>2.5</v>
      </c>
      <c r="H472" t="n">
        <v>0</v>
      </c>
      <c r="I472" t="n">
        <v>0</v>
      </c>
      <c r="J472" t="n">
        <v>0</v>
      </c>
      <c r="K472" t="n">
        <v>0</v>
      </c>
      <c r="L472" t="n">
        <v>0</v>
      </c>
      <c r="M472" t="n">
        <v>0</v>
      </c>
      <c r="N472" t="n">
        <v>0</v>
      </c>
      <c r="O472" t="n">
        <v>0</v>
      </c>
      <c r="P472" t="n">
        <v>0</v>
      </c>
      <c r="Q472" t="n">
        <v>0</v>
      </c>
      <c r="R472" s="2" t="inlineStr"/>
    </row>
    <row r="473" ht="15" customHeight="1">
      <c r="A473" t="inlineStr">
        <is>
          <t>A 49270-2024</t>
        </is>
      </c>
      <c r="B473" s="1" t="n">
        <v>45595.49896990741</v>
      </c>
      <c r="C473" s="1" t="n">
        <v>46013</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50061-2024</t>
        </is>
      </c>
      <c r="B474" s="1" t="n">
        <v>45600.34721064815</v>
      </c>
      <c r="C474" s="1" t="n">
        <v>46013</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56810-2024</t>
        </is>
      </c>
      <c r="B475" s="1" t="n">
        <v>45628</v>
      </c>
      <c r="C475" s="1" t="n">
        <v>46013</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56811-2024</t>
        </is>
      </c>
      <c r="B476" s="1" t="n">
        <v>45628</v>
      </c>
      <c r="C476" s="1" t="n">
        <v>46013</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3168-2024</t>
        </is>
      </c>
      <c r="B477" s="1" t="n">
        <v>45316.62863425926</v>
      </c>
      <c r="C477" s="1" t="n">
        <v>46013</v>
      </c>
      <c r="D477" t="inlineStr">
        <is>
          <t>DALARNAS LÄN</t>
        </is>
      </c>
      <c r="E477" t="inlineStr">
        <is>
          <t>ORSA</t>
        </is>
      </c>
      <c r="G477" t="n">
        <v>0.7</v>
      </c>
      <c r="H477" t="n">
        <v>0</v>
      </c>
      <c r="I477" t="n">
        <v>0</v>
      </c>
      <c r="J477" t="n">
        <v>0</v>
      </c>
      <c r="K477" t="n">
        <v>0</v>
      </c>
      <c r="L477" t="n">
        <v>0</v>
      </c>
      <c r="M477" t="n">
        <v>0</v>
      </c>
      <c r="N477" t="n">
        <v>0</v>
      </c>
      <c r="O477" t="n">
        <v>0</v>
      </c>
      <c r="P477" t="n">
        <v>0</v>
      </c>
      <c r="Q477" t="n">
        <v>0</v>
      </c>
      <c r="R477" s="2" t="inlineStr"/>
    </row>
    <row r="478" ht="15" customHeight="1">
      <c r="A478" t="inlineStr">
        <is>
          <t>A 17421-2025</t>
        </is>
      </c>
      <c r="B478" s="1" t="n">
        <v>45757.38532407407</v>
      </c>
      <c r="C478" s="1" t="n">
        <v>46013</v>
      </c>
      <c r="D478" t="inlineStr">
        <is>
          <t>DALARNAS LÄN</t>
        </is>
      </c>
      <c r="E478" t="inlineStr">
        <is>
          <t>ORSA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50905-2021</t>
        </is>
      </c>
      <c r="B479" s="1" t="n">
        <v>44460</v>
      </c>
      <c r="C479" s="1" t="n">
        <v>46013</v>
      </c>
      <c r="D479" t="inlineStr">
        <is>
          <t>DALARNAS LÄN</t>
        </is>
      </c>
      <c r="E479" t="inlineStr">
        <is>
          <t>ORSA</t>
        </is>
      </c>
      <c r="G479" t="n">
        <v>2.1</v>
      </c>
      <c r="H479" t="n">
        <v>0</v>
      </c>
      <c r="I479" t="n">
        <v>0</v>
      </c>
      <c r="J479" t="n">
        <v>0</v>
      </c>
      <c r="K479" t="n">
        <v>0</v>
      </c>
      <c r="L479" t="n">
        <v>0</v>
      </c>
      <c r="M479" t="n">
        <v>0</v>
      </c>
      <c r="N479" t="n">
        <v>0</v>
      </c>
      <c r="O479" t="n">
        <v>0</v>
      </c>
      <c r="P479" t="n">
        <v>0</v>
      </c>
      <c r="Q479" t="n">
        <v>0</v>
      </c>
      <c r="R479" s="2" t="inlineStr"/>
    </row>
    <row r="480" ht="15" customHeight="1">
      <c r="A480" t="inlineStr">
        <is>
          <t>A 72310-2021</t>
        </is>
      </c>
      <c r="B480" s="1" t="n">
        <v>44545</v>
      </c>
      <c r="C480" s="1" t="n">
        <v>46013</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34374-2024</t>
        </is>
      </c>
      <c r="B481" s="1" t="n">
        <v>45525.40091435185</v>
      </c>
      <c r="C481" s="1" t="n">
        <v>46013</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27146-2021</t>
        </is>
      </c>
      <c r="B482" s="1" t="n">
        <v>44350</v>
      </c>
      <c r="C482" s="1" t="n">
        <v>46013</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21216-2023</t>
        </is>
      </c>
      <c r="B483" s="1" t="n">
        <v>45062</v>
      </c>
      <c r="C483" s="1" t="n">
        <v>46013</v>
      </c>
      <c r="D483" t="inlineStr">
        <is>
          <t>DALARNAS LÄN</t>
        </is>
      </c>
      <c r="E483" t="inlineStr">
        <is>
          <t>ORSA</t>
        </is>
      </c>
      <c r="F483" t="inlineStr">
        <is>
          <t>Bergvik skog öst AB</t>
        </is>
      </c>
      <c r="G483" t="n">
        <v>3.8</v>
      </c>
      <c r="H483" t="n">
        <v>0</v>
      </c>
      <c r="I483" t="n">
        <v>0</v>
      </c>
      <c r="J483" t="n">
        <v>0</v>
      </c>
      <c r="K483" t="n">
        <v>0</v>
      </c>
      <c r="L483" t="n">
        <v>0</v>
      </c>
      <c r="M483" t="n">
        <v>0</v>
      </c>
      <c r="N483" t="n">
        <v>0</v>
      </c>
      <c r="O483" t="n">
        <v>0</v>
      </c>
      <c r="P483" t="n">
        <v>0</v>
      </c>
      <c r="Q483" t="n">
        <v>0</v>
      </c>
      <c r="R483" s="2" t="inlineStr"/>
    </row>
    <row r="484" ht="15" customHeight="1">
      <c r="A484" t="inlineStr">
        <is>
          <t>A 10374-2023</t>
        </is>
      </c>
      <c r="B484" s="1" t="n">
        <v>44987.41359953704</v>
      </c>
      <c r="C484" s="1" t="n">
        <v>46013</v>
      </c>
      <c r="D484" t="inlineStr">
        <is>
          <t>DALARNAS LÄN</t>
        </is>
      </c>
      <c r="E484" t="inlineStr">
        <is>
          <t>ORSA</t>
        </is>
      </c>
      <c r="G484" t="n">
        <v>1.8</v>
      </c>
      <c r="H484" t="n">
        <v>0</v>
      </c>
      <c r="I484" t="n">
        <v>0</v>
      </c>
      <c r="J484" t="n">
        <v>0</v>
      </c>
      <c r="K484" t="n">
        <v>0</v>
      </c>
      <c r="L484" t="n">
        <v>0</v>
      </c>
      <c r="M484" t="n">
        <v>0</v>
      </c>
      <c r="N484" t="n">
        <v>0</v>
      </c>
      <c r="O484" t="n">
        <v>0</v>
      </c>
      <c r="P484" t="n">
        <v>0</v>
      </c>
      <c r="Q484" t="n">
        <v>0</v>
      </c>
      <c r="R484" s="2" t="inlineStr"/>
    </row>
    <row r="485" ht="15" customHeight="1">
      <c r="A485" t="inlineStr">
        <is>
          <t>A 55691-2022</t>
        </is>
      </c>
      <c r="B485" s="1" t="n">
        <v>44888</v>
      </c>
      <c r="C485" s="1" t="n">
        <v>46013</v>
      </c>
      <c r="D485" t="inlineStr">
        <is>
          <t>DALARNAS LÄN</t>
        </is>
      </c>
      <c r="E485" t="inlineStr">
        <is>
          <t>ORSA</t>
        </is>
      </c>
      <c r="G485" t="n">
        <v>0.4</v>
      </c>
      <c r="H485" t="n">
        <v>0</v>
      </c>
      <c r="I485" t="n">
        <v>0</v>
      </c>
      <c r="J485" t="n">
        <v>0</v>
      </c>
      <c r="K485" t="n">
        <v>0</v>
      </c>
      <c r="L485" t="n">
        <v>0</v>
      </c>
      <c r="M485" t="n">
        <v>0</v>
      </c>
      <c r="N485" t="n">
        <v>0</v>
      </c>
      <c r="O485" t="n">
        <v>0</v>
      </c>
      <c r="P485" t="n">
        <v>0</v>
      </c>
      <c r="Q485" t="n">
        <v>0</v>
      </c>
      <c r="R485" s="2" t="inlineStr"/>
    </row>
    <row r="486" ht="15" customHeight="1">
      <c r="A486" t="inlineStr">
        <is>
          <t>A 3166-2024</t>
        </is>
      </c>
      <c r="B486" s="1" t="n">
        <v>45316.62592592592</v>
      </c>
      <c r="C486" s="1" t="n">
        <v>46013</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24083-2021</t>
        </is>
      </c>
      <c r="B487" s="1" t="n">
        <v>44336</v>
      </c>
      <c r="C487" s="1" t="n">
        <v>46013</v>
      </c>
      <c r="D487" t="inlineStr">
        <is>
          <t>DALARNAS LÄN</t>
        </is>
      </c>
      <c r="E487" t="inlineStr">
        <is>
          <t>ORSA</t>
        </is>
      </c>
      <c r="G487" t="n">
        <v>2.3</v>
      </c>
      <c r="H487" t="n">
        <v>0</v>
      </c>
      <c r="I487" t="n">
        <v>0</v>
      </c>
      <c r="J487" t="n">
        <v>0</v>
      </c>
      <c r="K487" t="n">
        <v>0</v>
      </c>
      <c r="L487" t="n">
        <v>0</v>
      </c>
      <c r="M487" t="n">
        <v>0</v>
      </c>
      <c r="N487" t="n">
        <v>0</v>
      </c>
      <c r="O487" t="n">
        <v>0</v>
      </c>
      <c r="P487" t="n">
        <v>0</v>
      </c>
      <c r="Q487" t="n">
        <v>0</v>
      </c>
      <c r="R487" s="2" t="inlineStr"/>
    </row>
    <row r="488" ht="15" customHeight="1">
      <c r="A488" t="inlineStr">
        <is>
          <t>A 25591-2022</t>
        </is>
      </c>
      <c r="B488" s="1" t="n">
        <v>44732.67958333333</v>
      </c>
      <c r="C488" s="1" t="n">
        <v>46013</v>
      </c>
      <c r="D488" t="inlineStr">
        <is>
          <t>DALARNAS LÄN</t>
        </is>
      </c>
      <c r="E488" t="inlineStr">
        <is>
          <t>ORSA</t>
        </is>
      </c>
      <c r="G488" t="n">
        <v>6</v>
      </c>
      <c r="H488" t="n">
        <v>0</v>
      </c>
      <c r="I488" t="n">
        <v>0</v>
      </c>
      <c r="J488" t="n">
        <v>0</v>
      </c>
      <c r="K488" t="n">
        <v>0</v>
      </c>
      <c r="L488" t="n">
        <v>0</v>
      </c>
      <c r="M488" t="n">
        <v>0</v>
      </c>
      <c r="N488" t="n">
        <v>0</v>
      </c>
      <c r="O488" t="n">
        <v>0</v>
      </c>
      <c r="P488" t="n">
        <v>0</v>
      </c>
      <c r="Q488" t="n">
        <v>0</v>
      </c>
      <c r="R488" s="2" t="inlineStr"/>
    </row>
    <row r="489" ht="15" customHeight="1">
      <c r="A489" t="inlineStr">
        <is>
          <t>A 3951-2023</t>
        </is>
      </c>
      <c r="B489" s="1" t="n">
        <v>44952.38577546296</v>
      </c>
      <c r="C489" s="1" t="n">
        <v>46013</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56942-2024</t>
        </is>
      </c>
      <c r="B490" s="1" t="n">
        <v>45628.62292824074</v>
      </c>
      <c r="C490" s="1" t="n">
        <v>46013</v>
      </c>
      <c r="D490" t="inlineStr">
        <is>
          <t>DALARNAS LÄN</t>
        </is>
      </c>
      <c r="E490" t="inlineStr">
        <is>
          <t>ORSA</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3107-2025</t>
        </is>
      </c>
      <c r="B491" s="1" t="n">
        <v>45678.68400462963</v>
      </c>
      <c r="C491" s="1" t="n">
        <v>46013</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21905-2022</t>
        </is>
      </c>
      <c r="B492" s="1" t="n">
        <v>44711</v>
      </c>
      <c r="C492" s="1" t="n">
        <v>46013</v>
      </c>
      <c r="D492" t="inlineStr">
        <is>
          <t>DALARNAS LÄN</t>
        </is>
      </c>
      <c r="E492" t="inlineStr">
        <is>
          <t>ORSA</t>
        </is>
      </c>
      <c r="F492" t="inlineStr">
        <is>
          <t>Allmännings- och besparingsskogar</t>
        </is>
      </c>
      <c r="G492" t="n">
        <v>3.1</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45217.58891203703</v>
      </c>
      <c r="C493" s="1" t="n">
        <v>46013</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27163-2023</t>
        </is>
      </c>
      <c r="B494" s="1" t="n">
        <v>45096.4878125</v>
      </c>
      <c r="C494" s="1" t="n">
        <v>46013</v>
      </c>
      <c r="D494" t="inlineStr">
        <is>
          <t>DALARNAS LÄN</t>
        </is>
      </c>
      <c r="E494" t="inlineStr">
        <is>
          <t>ORSA</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31688-2024</t>
        </is>
      </c>
      <c r="B495" s="1" t="n">
        <v>45507.46103009259</v>
      </c>
      <c r="C495" s="1" t="n">
        <v>46013</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48447-2023</t>
        </is>
      </c>
      <c r="B496" s="1" t="n">
        <v>45206.39274305556</v>
      </c>
      <c r="C496" s="1" t="n">
        <v>46013</v>
      </c>
      <c r="D496" t="inlineStr">
        <is>
          <t>DALARNAS LÄN</t>
        </is>
      </c>
      <c r="E496" t="inlineStr">
        <is>
          <t>ORSA</t>
        </is>
      </c>
      <c r="G496" t="n">
        <v>0.6</v>
      </c>
      <c r="H496" t="n">
        <v>0</v>
      </c>
      <c r="I496" t="n">
        <v>0</v>
      </c>
      <c r="J496" t="n">
        <v>0</v>
      </c>
      <c r="K496" t="n">
        <v>0</v>
      </c>
      <c r="L496" t="n">
        <v>0</v>
      </c>
      <c r="M496" t="n">
        <v>0</v>
      </c>
      <c r="N496" t="n">
        <v>0</v>
      </c>
      <c r="O496" t="n">
        <v>0</v>
      </c>
      <c r="P496" t="n">
        <v>0</v>
      </c>
      <c r="Q496" t="n">
        <v>0</v>
      </c>
      <c r="R496" s="2" t="inlineStr"/>
    </row>
    <row r="497" ht="15" customHeight="1">
      <c r="A497" t="inlineStr">
        <is>
          <t>A 35477-2023</t>
        </is>
      </c>
      <c r="B497" s="1" t="n">
        <v>45146</v>
      </c>
      <c r="C497" s="1" t="n">
        <v>46013</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37647-2023</t>
        </is>
      </c>
      <c r="B498" s="1" t="n">
        <v>45159</v>
      </c>
      <c r="C498" s="1" t="n">
        <v>46013</v>
      </c>
      <c r="D498" t="inlineStr">
        <is>
          <t>DALARNAS LÄN</t>
        </is>
      </c>
      <c r="E498" t="inlineStr">
        <is>
          <t>ORSA</t>
        </is>
      </c>
      <c r="F498" t="inlineStr">
        <is>
          <t>Allmännings- och besparingsskogar</t>
        </is>
      </c>
      <c r="G498" t="n">
        <v>2.1</v>
      </c>
      <c r="H498" t="n">
        <v>0</v>
      </c>
      <c r="I498" t="n">
        <v>0</v>
      </c>
      <c r="J498" t="n">
        <v>0</v>
      </c>
      <c r="K498" t="n">
        <v>0</v>
      </c>
      <c r="L498" t="n">
        <v>0</v>
      </c>
      <c r="M498" t="n">
        <v>0</v>
      </c>
      <c r="N498" t="n">
        <v>0</v>
      </c>
      <c r="O498" t="n">
        <v>0</v>
      </c>
      <c r="P498" t="n">
        <v>0</v>
      </c>
      <c r="Q498" t="n">
        <v>0</v>
      </c>
      <c r="R498" s="2" t="inlineStr"/>
    </row>
    <row r="499" ht="15" customHeight="1">
      <c r="A499" t="inlineStr">
        <is>
          <t>A 33673-2023</t>
        </is>
      </c>
      <c r="B499" s="1" t="n">
        <v>45132</v>
      </c>
      <c r="C499" s="1" t="n">
        <v>46013</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47134-2024</t>
        </is>
      </c>
      <c r="B500" s="1" t="n">
        <v>45586.58081018519</v>
      </c>
      <c r="C500" s="1" t="n">
        <v>46013</v>
      </c>
      <c r="D500" t="inlineStr">
        <is>
          <t>DALARNAS LÄN</t>
        </is>
      </c>
      <c r="E500" t="inlineStr">
        <is>
          <t>ORSA</t>
        </is>
      </c>
      <c r="G500" t="n">
        <v>0.3</v>
      </c>
      <c r="H500" t="n">
        <v>0</v>
      </c>
      <c r="I500" t="n">
        <v>0</v>
      </c>
      <c r="J500" t="n">
        <v>0</v>
      </c>
      <c r="K500" t="n">
        <v>0</v>
      </c>
      <c r="L500" t="n">
        <v>0</v>
      </c>
      <c r="M500" t="n">
        <v>0</v>
      </c>
      <c r="N500" t="n">
        <v>0</v>
      </c>
      <c r="O500" t="n">
        <v>0</v>
      </c>
      <c r="P500" t="n">
        <v>0</v>
      </c>
      <c r="Q500" t="n">
        <v>0</v>
      </c>
      <c r="R500" s="2" t="inlineStr"/>
    </row>
    <row r="501" ht="15" customHeight="1">
      <c r="A501" t="inlineStr">
        <is>
          <t>A 58853-2022</t>
        </is>
      </c>
      <c r="B501" s="1" t="n">
        <v>44903</v>
      </c>
      <c r="C501" s="1" t="n">
        <v>46013</v>
      </c>
      <c r="D501" t="inlineStr">
        <is>
          <t>DALARNAS LÄN</t>
        </is>
      </c>
      <c r="E501" t="inlineStr">
        <is>
          <t>ORSA</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53758-2024</t>
        </is>
      </c>
      <c r="B502" s="1" t="n">
        <v>45615.50483796297</v>
      </c>
      <c r="C502" s="1" t="n">
        <v>46013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53102-2021</t>
        </is>
      </c>
      <c r="B503" s="1" t="n">
        <v>44467</v>
      </c>
      <c r="C503" s="1" t="n">
        <v>46013</v>
      </c>
      <c r="D503" t="inlineStr">
        <is>
          <t>DALARNAS LÄN</t>
        </is>
      </c>
      <c r="E503" t="inlineStr">
        <is>
          <t>ORSA</t>
        </is>
      </c>
      <c r="G503" t="n">
        <v>1.4</v>
      </c>
      <c r="H503" t="n">
        <v>0</v>
      </c>
      <c r="I503" t="n">
        <v>0</v>
      </c>
      <c r="J503" t="n">
        <v>0</v>
      </c>
      <c r="K503" t="n">
        <v>0</v>
      </c>
      <c r="L503" t="n">
        <v>0</v>
      </c>
      <c r="M503" t="n">
        <v>0</v>
      </c>
      <c r="N503" t="n">
        <v>0</v>
      </c>
      <c r="O503" t="n">
        <v>0</v>
      </c>
      <c r="P503" t="n">
        <v>0</v>
      </c>
      <c r="Q503" t="n">
        <v>0</v>
      </c>
      <c r="R503" s="2" t="inlineStr"/>
    </row>
    <row r="504" ht="15" customHeight="1">
      <c r="A504" t="inlineStr">
        <is>
          <t>A 1304-2024</t>
        </is>
      </c>
      <c r="B504" s="1" t="n">
        <v>45303</v>
      </c>
      <c r="C504" s="1" t="n">
        <v>46013</v>
      </c>
      <c r="D504" t="inlineStr">
        <is>
          <t>DALARNAS LÄN</t>
        </is>
      </c>
      <c r="E504" t="inlineStr">
        <is>
          <t>ORSA</t>
        </is>
      </c>
      <c r="G504" t="n">
        <v>3.8</v>
      </c>
      <c r="H504" t="n">
        <v>0</v>
      </c>
      <c r="I504" t="n">
        <v>0</v>
      </c>
      <c r="J504" t="n">
        <v>0</v>
      </c>
      <c r="K504" t="n">
        <v>0</v>
      </c>
      <c r="L504" t="n">
        <v>0</v>
      </c>
      <c r="M504" t="n">
        <v>0</v>
      </c>
      <c r="N504" t="n">
        <v>0</v>
      </c>
      <c r="O504" t="n">
        <v>0</v>
      </c>
      <c r="P504" t="n">
        <v>0</v>
      </c>
      <c r="Q504" t="n">
        <v>0</v>
      </c>
      <c r="R504" s="2" t="inlineStr"/>
    </row>
    <row r="505" ht="15" customHeight="1">
      <c r="A505" t="inlineStr">
        <is>
          <t>A 27877-2021</t>
        </is>
      </c>
      <c r="B505" s="1" t="n">
        <v>44354.6446875</v>
      </c>
      <c r="C505" s="1" t="n">
        <v>46013</v>
      </c>
      <c r="D505" t="inlineStr">
        <is>
          <t>DALARNAS LÄN</t>
        </is>
      </c>
      <c r="E505" t="inlineStr">
        <is>
          <t>ORSA</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17848-2025</t>
        </is>
      </c>
      <c r="B506" s="1" t="n">
        <v>45758.59981481481</v>
      </c>
      <c r="C506" s="1" t="n">
        <v>46013</v>
      </c>
      <c r="D506" t="inlineStr">
        <is>
          <t>DALARNAS LÄN</t>
        </is>
      </c>
      <c r="E506" t="inlineStr">
        <is>
          <t>ORSA</t>
        </is>
      </c>
      <c r="G506" t="n">
        <v>1.6</v>
      </c>
      <c r="H506" t="n">
        <v>0</v>
      </c>
      <c r="I506" t="n">
        <v>0</v>
      </c>
      <c r="J506" t="n">
        <v>0</v>
      </c>
      <c r="K506" t="n">
        <v>0</v>
      </c>
      <c r="L506" t="n">
        <v>0</v>
      </c>
      <c r="M506" t="n">
        <v>0</v>
      </c>
      <c r="N506" t="n">
        <v>0</v>
      </c>
      <c r="O506" t="n">
        <v>0</v>
      </c>
      <c r="P506" t="n">
        <v>0</v>
      </c>
      <c r="Q506" t="n">
        <v>0</v>
      </c>
      <c r="R506" s="2" t="inlineStr"/>
    </row>
    <row r="507" ht="15" customHeight="1">
      <c r="A507" t="inlineStr">
        <is>
          <t>A 892-2024</t>
        </is>
      </c>
      <c r="B507" s="1" t="n">
        <v>45301</v>
      </c>
      <c r="C507" s="1" t="n">
        <v>46013</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16777-2024</t>
        </is>
      </c>
      <c r="B508" s="1" t="n">
        <v>45411</v>
      </c>
      <c r="C508" s="1" t="n">
        <v>46013</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48516-2024</t>
        </is>
      </c>
      <c r="B509" s="1" t="n">
        <v>45593.31292824074</v>
      </c>
      <c r="C509" s="1" t="n">
        <v>46013</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48521-2024</t>
        </is>
      </c>
      <c r="B510" s="1" t="n">
        <v>45593.32871527778</v>
      </c>
      <c r="C510" s="1" t="n">
        <v>46013</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48525-2024</t>
        </is>
      </c>
      <c r="B511" s="1" t="n">
        <v>45593.33947916667</v>
      </c>
      <c r="C511" s="1" t="n">
        <v>46013</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52643-2024</t>
        </is>
      </c>
      <c r="B512" s="1" t="n">
        <v>45610.34175925926</v>
      </c>
      <c r="C512" s="1" t="n">
        <v>46013</v>
      </c>
      <c r="D512" t="inlineStr">
        <is>
          <t>DALARNAS LÄN</t>
        </is>
      </c>
      <c r="E512" t="inlineStr">
        <is>
          <t>ORSA</t>
        </is>
      </c>
      <c r="G512" t="n">
        <v>1.5</v>
      </c>
      <c r="H512" t="n">
        <v>0</v>
      </c>
      <c r="I512" t="n">
        <v>0</v>
      </c>
      <c r="J512" t="n">
        <v>0</v>
      </c>
      <c r="K512" t="n">
        <v>0</v>
      </c>
      <c r="L512" t="n">
        <v>0</v>
      </c>
      <c r="M512" t="n">
        <v>0</v>
      </c>
      <c r="N512" t="n">
        <v>0</v>
      </c>
      <c r="O512" t="n">
        <v>0</v>
      </c>
      <c r="P512" t="n">
        <v>0</v>
      </c>
      <c r="Q512" t="n">
        <v>0</v>
      </c>
      <c r="R512" s="2" t="inlineStr"/>
    </row>
    <row r="513" ht="15" customHeight="1">
      <c r="A513" t="inlineStr">
        <is>
          <t>A 9466-2023</t>
        </is>
      </c>
      <c r="B513" s="1" t="n">
        <v>44981</v>
      </c>
      <c r="C513" s="1" t="n">
        <v>46013</v>
      </c>
      <c r="D513" t="inlineStr">
        <is>
          <t>DALARNAS LÄN</t>
        </is>
      </c>
      <c r="E513" t="inlineStr">
        <is>
          <t>ORSA</t>
        </is>
      </c>
      <c r="F513" t="inlineStr">
        <is>
          <t>Bergvik skog väst AB</t>
        </is>
      </c>
      <c r="G513" t="n">
        <v>3.8</v>
      </c>
      <c r="H513" t="n">
        <v>0</v>
      </c>
      <c r="I513" t="n">
        <v>0</v>
      </c>
      <c r="J513" t="n">
        <v>0</v>
      </c>
      <c r="K513" t="n">
        <v>0</v>
      </c>
      <c r="L513" t="n">
        <v>0</v>
      </c>
      <c r="M513" t="n">
        <v>0</v>
      </c>
      <c r="N513" t="n">
        <v>0</v>
      </c>
      <c r="O513" t="n">
        <v>0</v>
      </c>
      <c r="P513" t="n">
        <v>0</v>
      </c>
      <c r="Q513" t="n">
        <v>0</v>
      </c>
      <c r="R513" s="2" t="inlineStr"/>
    </row>
    <row r="514" ht="15" customHeight="1">
      <c r="A514" t="inlineStr">
        <is>
          <t>A 21301-2023</t>
        </is>
      </c>
      <c r="B514" s="1" t="n">
        <v>45062.66613425926</v>
      </c>
      <c r="C514" s="1" t="n">
        <v>46013</v>
      </c>
      <c r="D514" t="inlineStr">
        <is>
          <t>DALARNAS LÄN</t>
        </is>
      </c>
      <c r="E514" t="inlineStr">
        <is>
          <t>ORSA</t>
        </is>
      </c>
      <c r="G514" t="n">
        <v>2.2</v>
      </c>
      <c r="H514" t="n">
        <v>0</v>
      </c>
      <c r="I514" t="n">
        <v>0</v>
      </c>
      <c r="J514" t="n">
        <v>0</v>
      </c>
      <c r="K514" t="n">
        <v>0</v>
      </c>
      <c r="L514" t="n">
        <v>0</v>
      </c>
      <c r="M514" t="n">
        <v>0</v>
      </c>
      <c r="N514" t="n">
        <v>0</v>
      </c>
      <c r="O514" t="n">
        <v>0</v>
      </c>
      <c r="P514" t="n">
        <v>0</v>
      </c>
      <c r="Q514" t="n">
        <v>0</v>
      </c>
      <c r="R514" s="2" t="inlineStr"/>
    </row>
    <row r="515" ht="15" customHeight="1">
      <c r="A515" t="inlineStr">
        <is>
          <t>A 36569-2021</t>
        </is>
      </c>
      <c r="B515" s="1" t="n">
        <v>44391</v>
      </c>
      <c r="C515" s="1" t="n">
        <v>46013</v>
      </c>
      <c r="D515" t="inlineStr">
        <is>
          <t>DALARNAS LÄN</t>
        </is>
      </c>
      <c r="E515" t="inlineStr">
        <is>
          <t>ORSA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56711-2021</t>
        </is>
      </c>
      <c r="B516" s="1" t="n">
        <v>44481.41222222222</v>
      </c>
      <c r="C516" s="1" t="n">
        <v>46013</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15914-2021</t>
        </is>
      </c>
      <c r="B517" s="1" t="n">
        <v>44287</v>
      </c>
      <c r="C517" s="1" t="n">
        <v>46013</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51289-2023</t>
        </is>
      </c>
      <c r="B518" s="1" t="n">
        <v>45219.54077546296</v>
      </c>
      <c r="C518" s="1" t="n">
        <v>46013</v>
      </c>
      <c r="D518" t="inlineStr">
        <is>
          <t>DALARNAS LÄN</t>
        </is>
      </c>
      <c r="E518" t="inlineStr">
        <is>
          <t>ORSA</t>
        </is>
      </c>
      <c r="G518" t="n">
        <v>1.5</v>
      </c>
      <c r="H518" t="n">
        <v>0</v>
      </c>
      <c r="I518" t="n">
        <v>0</v>
      </c>
      <c r="J518" t="n">
        <v>0</v>
      </c>
      <c r="K518" t="n">
        <v>0</v>
      </c>
      <c r="L518" t="n">
        <v>0</v>
      </c>
      <c r="M518" t="n">
        <v>0</v>
      </c>
      <c r="N518" t="n">
        <v>0</v>
      </c>
      <c r="O518" t="n">
        <v>0</v>
      </c>
      <c r="P518" t="n">
        <v>0</v>
      </c>
      <c r="Q518" t="n">
        <v>0</v>
      </c>
      <c r="R518" s="2" t="inlineStr"/>
    </row>
    <row r="519" ht="15" customHeight="1">
      <c r="A519" t="inlineStr">
        <is>
          <t>A 48990-2023</t>
        </is>
      </c>
      <c r="B519" s="1" t="n">
        <v>45209.64740740741</v>
      </c>
      <c r="C519" s="1" t="n">
        <v>46013</v>
      </c>
      <c r="D519" t="inlineStr">
        <is>
          <t>DALARNAS LÄN</t>
        </is>
      </c>
      <c r="E519" t="inlineStr">
        <is>
          <t>ORSA</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61684-2024</t>
        </is>
      </c>
      <c r="B520" s="1" t="n">
        <v>45647.56491898148</v>
      </c>
      <c r="C520" s="1" t="n">
        <v>46013</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31170-2023</t>
        </is>
      </c>
      <c r="B521" s="1" t="n">
        <v>45113.84923611111</v>
      </c>
      <c r="C521" s="1" t="n">
        <v>46013</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31171-2023</t>
        </is>
      </c>
      <c r="B522" s="1" t="n">
        <v>45113.85704861111</v>
      </c>
      <c r="C522" s="1" t="n">
        <v>46013</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6492-2025</t>
        </is>
      </c>
      <c r="B523" s="1" t="n">
        <v>45699</v>
      </c>
      <c r="C523" s="1" t="n">
        <v>46013</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13580-2025</t>
        </is>
      </c>
      <c r="B524" s="1" t="n">
        <v>45736.58362268518</v>
      </c>
      <c r="C524" s="1" t="n">
        <v>46013</v>
      </c>
      <c r="D524" t="inlineStr">
        <is>
          <t>DALARNAS LÄN</t>
        </is>
      </c>
      <c r="E524" t="inlineStr">
        <is>
          <t>ORSA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51574-2023</t>
        </is>
      </c>
      <c r="B525" s="1" t="n">
        <v>45222.45090277777</v>
      </c>
      <c r="C525" s="1" t="n">
        <v>46013</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2563-2025</t>
        </is>
      </c>
      <c r="B526" s="1" t="n">
        <v>45674.65692129629</v>
      </c>
      <c r="C526" s="1" t="n">
        <v>46013</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54546-2024</t>
        </is>
      </c>
      <c r="B527" s="1" t="n">
        <v>45617.61476851852</v>
      </c>
      <c r="C527" s="1" t="n">
        <v>46013</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6476-2025</t>
        </is>
      </c>
      <c r="B528" s="1" t="n">
        <v>45699</v>
      </c>
      <c r="C528" s="1" t="n">
        <v>46013</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6479-2025</t>
        </is>
      </c>
      <c r="B529" s="1" t="n">
        <v>45699</v>
      </c>
      <c r="C529" s="1" t="n">
        <v>46013</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20588-2025</t>
        </is>
      </c>
      <c r="B530" s="1" t="n">
        <v>45775</v>
      </c>
      <c r="C530" s="1" t="n">
        <v>46013</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12101-2025</t>
        </is>
      </c>
      <c r="B531" s="1" t="n">
        <v>45729.33743055556</v>
      </c>
      <c r="C531" s="1" t="n">
        <v>46013</v>
      </c>
      <c r="D531" t="inlineStr">
        <is>
          <t>DALARNAS LÄN</t>
        </is>
      </c>
      <c r="E531" t="inlineStr">
        <is>
          <t>ORSA</t>
        </is>
      </c>
      <c r="G531" t="n">
        <v>1</v>
      </c>
      <c r="H531" t="n">
        <v>0</v>
      </c>
      <c r="I531" t="n">
        <v>0</v>
      </c>
      <c r="J531" t="n">
        <v>0</v>
      </c>
      <c r="K531" t="n">
        <v>0</v>
      </c>
      <c r="L531" t="n">
        <v>0</v>
      </c>
      <c r="M531" t="n">
        <v>0</v>
      </c>
      <c r="N531" t="n">
        <v>0</v>
      </c>
      <c r="O531" t="n">
        <v>0</v>
      </c>
      <c r="P531" t="n">
        <v>0</v>
      </c>
      <c r="Q531" t="n">
        <v>0</v>
      </c>
      <c r="R531" s="2" t="inlineStr"/>
    </row>
    <row r="532" ht="15" customHeight="1">
      <c r="A532" t="inlineStr">
        <is>
          <t>A 29499-2024</t>
        </is>
      </c>
      <c r="B532" s="1" t="n">
        <v>45484</v>
      </c>
      <c r="C532" s="1" t="n">
        <v>46013</v>
      </c>
      <c r="D532" t="inlineStr">
        <is>
          <t>DALARNAS LÄN</t>
        </is>
      </c>
      <c r="E532" t="inlineStr">
        <is>
          <t>ORSA</t>
        </is>
      </c>
      <c r="G532" t="n">
        <v>1.7</v>
      </c>
      <c r="H532" t="n">
        <v>0</v>
      </c>
      <c r="I532" t="n">
        <v>0</v>
      </c>
      <c r="J532" t="n">
        <v>0</v>
      </c>
      <c r="K532" t="n">
        <v>0</v>
      </c>
      <c r="L532" t="n">
        <v>0</v>
      </c>
      <c r="M532" t="n">
        <v>0</v>
      </c>
      <c r="N532" t="n">
        <v>0</v>
      </c>
      <c r="O532" t="n">
        <v>0</v>
      </c>
      <c r="P532" t="n">
        <v>0</v>
      </c>
      <c r="Q532" t="n">
        <v>0</v>
      </c>
      <c r="R532" s="2" t="inlineStr"/>
    </row>
    <row r="533" ht="15" customHeight="1">
      <c r="A533" t="inlineStr">
        <is>
          <t>A 5921-2025</t>
        </is>
      </c>
      <c r="B533" s="1" t="n">
        <v>45695</v>
      </c>
      <c r="C533" s="1" t="n">
        <v>46013</v>
      </c>
      <c r="D533" t="inlineStr">
        <is>
          <t>DALARNAS LÄN</t>
        </is>
      </c>
      <c r="E533" t="inlineStr">
        <is>
          <t>ORSA</t>
        </is>
      </c>
      <c r="G533" t="n">
        <v>1.4</v>
      </c>
      <c r="H533" t="n">
        <v>0</v>
      </c>
      <c r="I533" t="n">
        <v>0</v>
      </c>
      <c r="J533" t="n">
        <v>0</v>
      </c>
      <c r="K533" t="n">
        <v>0</v>
      </c>
      <c r="L533" t="n">
        <v>0</v>
      </c>
      <c r="M533" t="n">
        <v>0</v>
      </c>
      <c r="N533" t="n">
        <v>0</v>
      </c>
      <c r="O533" t="n">
        <v>0</v>
      </c>
      <c r="P533" t="n">
        <v>0</v>
      </c>
      <c r="Q533" t="n">
        <v>0</v>
      </c>
      <c r="R533" s="2" t="inlineStr"/>
    </row>
    <row r="534" ht="15" customHeight="1">
      <c r="A534" t="inlineStr">
        <is>
          <t>A 7626-2025</t>
        </is>
      </c>
      <c r="B534" s="1" t="n">
        <v>45705.72799768519</v>
      </c>
      <c r="C534" s="1" t="n">
        <v>46013</v>
      </c>
      <c r="D534" t="inlineStr">
        <is>
          <t>DALARNAS LÄN</t>
        </is>
      </c>
      <c r="E534" t="inlineStr">
        <is>
          <t>ORSA</t>
        </is>
      </c>
      <c r="G534" t="n">
        <v>15.5</v>
      </c>
      <c r="H534" t="n">
        <v>0</v>
      </c>
      <c r="I534" t="n">
        <v>0</v>
      </c>
      <c r="J534" t="n">
        <v>0</v>
      </c>
      <c r="K534" t="n">
        <v>0</v>
      </c>
      <c r="L534" t="n">
        <v>0</v>
      </c>
      <c r="M534" t="n">
        <v>0</v>
      </c>
      <c r="N534" t="n">
        <v>0</v>
      </c>
      <c r="O534" t="n">
        <v>0</v>
      </c>
      <c r="P534" t="n">
        <v>0</v>
      </c>
      <c r="Q534" t="n">
        <v>0</v>
      </c>
      <c r="R534" s="2" t="inlineStr"/>
    </row>
    <row r="535" ht="15" customHeight="1">
      <c r="A535" t="inlineStr">
        <is>
          <t>A 50392-2024</t>
        </is>
      </c>
      <c r="B535" s="1" t="n">
        <v>45601.33789351852</v>
      </c>
      <c r="C535" s="1" t="n">
        <v>46013</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61277-2023</t>
        </is>
      </c>
      <c r="B536" s="1" t="n">
        <v>45264.52465277778</v>
      </c>
      <c r="C536" s="1" t="n">
        <v>46013</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20808-2025</t>
        </is>
      </c>
      <c r="B537" s="1" t="n">
        <v>45776</v>
      </c>
      <c r="C537" s="1" t="n">
        <v>46013</v>
      </c>
      <c r="D537" t="inlineStr">
        <is>
          <t>DALARNAS LÄN</t>
        </is>
      </c>
      <c r="E537" t="inlineStr">
        <is>
          <t>ORSA</t>
        </is>
      </c>
      <c r="F537" t="inlineStr">
        <is>
          <t>Bergvik skog väst AB</t>
        </is>
      </c>
      <c r="G537" t="n">
        <v>14.3</v>
      </c>
      <c r="H537" t="n">
        <v>0</v>
      </c>
      <c r="I537" t="n">
        <v>0</v>
      </c>
      <c r="J537" t="n">
        <v>0</v>
      </c>
      <c r="K537" t="n">
        <v>0</v>
      </c>
      <c r="L537" t="n">
        <v>0</v>
      </c>
      <c r="M537" t="n">
        <v>0</v>
      </c>
      <c r="N537" t="n">
        <v>0</v>
      </c>
      <c r="O537" t="n">
        <v>0</v>
      </c>
      <c r="P537" t="n">
        <v>0</v>
      </c>
      <c r="Q537" t="n">
        <v>0</v>
      </c>
      <c r="R537" s="2" t="inlineStr"/>
    </row>
    <row r="538" ht="15" customHeight="1">
      <c r="A538" t="inlineStr">
        <is>
          <t>A 21376-2025</t>
        </is>
      </c>
      <c r="B538" s="1" t="n">
        <v>45782.45069444444</v>
      </c>
      <c r="C538" s="1" t="n">
        <v>46013</v>
      </c>
      <c r="D538" t="inlineStr">
        <is>
          <t>DALARNAS LÄN</t>
        </is>
      </c>
      <c r="E538" t="inlineStr">
        <is>
          <t>ORSA</t>
        </is>
      </c>
      <c r="G538" t="n">
        <v>4.6</v>
      </c>
      <c r="H538" t="n">
        <v>0</v>
      </c>
      <c r="I538" t="n">
        <v>0</v>
      </c>
      <c r="J538" t="n">
        <v>0</v>
      </c>
      <c r="K538" t="n">
        <v>0</v>
      </c>
      <c r="L538" t="n">
        <v>0</v>
      </c>
      <c r="M538" t="n">
        <v>0</v>
      </c>
      <c r="N538" t="n">
        <v>0</v>
      </c>
      <c r="O538" t="n">
        <v>0</v>
      </c>
      <c r="P538" t="n">
        <v>0</v>
      </c>
      <c r="Q538" t="n">
        <v>0</v>
      </c>
      <c r="R538" s="2" t="inlineStr"/>
    </row>
    <row r="539" ht="15" customHeight="1">
      <c r="A539" t="inlineStr">
        <is>
          <t>A 21335-2025</t>
        </is>
      </c>
      <c r="B539" s="1" t="n">
        <v>45782.37519675926</v>
      </c>
      <c r="C539" s="1" t="n">
        <v>46013</v>
      </c>
      <c r="D539" t="inlineStr">
        <is>
          <t>DALARNAS LÄN</t>
        </is>
      </c>
      <c r="E539" t="inlineStr">
        <is>
          <t>ORSA</t>
        </is>
      </c>
      <c r="F539" t="inlineStr">
        <is>
          <t>Bergvik skog väst AB</t>
        </is>
      </c>
      <c r="G539" t="n">
        <v>14.3</v>
      </c>
      <c r="H539" t="n">
        <v>0</v>
      </c>
      <c r="I539" t="n">
        <v>0</v>
      </c>
      <c r="J539" t="n">
        <v>0</v>
      </c>
      <c r="K539" t="n">
        <v>0</v>
      </c>
      <c r="L539" t="n">
        <v>0</v>
      </c>
      <c r="M539" t="n">
        <v>0</v>
      </c>
      <c r="N539" t="n">
        <v>0</v>
      </c>
      <c r="O539" t="n">
        <v>0</v>
      </c>
      <c r="P539" t="n">
        <v>0</v>
      </c>
      <c r="Q539" t="n">
        <v>0</v>
      </c>
      <c r="R539" s="2" t="inlineStr"/>
    </row>
    <row r="540" ht="15" customHeight="1">
      <c r="A540" t="inlineStr">
        <is>
          <t>A 21747-2025</t>
        </is>
      </c>
      <c r="B540" s="1" t="n">
        <v>45783.60923611111</v>
      </c>
      <c r="C540" s="1" t="n">
        <v>46013</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29984-2025</t>
        </is>
      </c>
      <c r="B541" s="1" t="n">
        <v>45826.49581018519</v>
      </c>
      <c r="C541" s="1" t="n">
        <v>46013</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45301.36821759259</v>
      </c>
      <c r="C542" s="1" t="n">
        <v>46013</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21949-2025</t>
        </is>
      </c>
      <c r="B543" s="1" t="n">
        <v>45784.59369212963</v>
      </c>
      <c r="C543" s="1" t="n">
        <v>46013</v>
      </c>
      <c r="D543" t="inlineStr">
        <is>
          <t>DALARNAS LÄN</t>
        </is>
      </c>
      <c r="E543" t="inlineStr">
        <is>
          <t>ORSA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21165-2024</t>
        </is>
      </c>
      <c r="B544" s="1" t="n">
        <v>45440.45225694445</v>
      </c>
      <c r="C544" s="1" t="n">
        <v>46013</v>
      </c>
      <c r="D544" t="inlineStr">
        <is>
          <t>DALARNAS LÄN</t>
        </is>
      </c>
      <c r="E544" t="inlineStr">
        <is>
          <t>ORSA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41835-2024</t>
        </is>
      </c>
      <c r="B545" s="1" t="n">
        <v>45561.40888888889</v>
      </c>
      <c r="C545" s="1" t="n">
        <v>46013</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10004-2023</t>
        </is>
      </c>
      <c r="B546" s="1" t="n">
        <v>44985.60604166667</v>
      </c>
      <c r="C546" s="1" t="n">
        <v>46013</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4566-2025</t>
        </is>
      </c>
      <c r="B547" s="1" t="n">
        <v>45687.46100694445</v>
      </c>
      <c r="C547" s="1" t="n">
        <v>46013</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44904-2024</t>
        </is>
      </c>
      <c r="B548" s="1" t="n">
        <v>45575.38193287037</v>
      </c>
      <c r="C548" s="1" t="n">
        <v>46013</v>
      </c>
      <c r="D548" t="inlineStr">
        <is>
          <t>DALARNAS LÄN</t>
        </is>
      </c>
      <c r="E548" t="inlineStr">
        <is>
          <t>ORSA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55843-2023</t>
        </is>
      </c>
      <c r="B549" s="1" t="n">
        <v>45239</v>
      </c>
      <c r="C549" s="1" t="n">
        <v>46013</v>
      </c>
      <c r="D549" t="inlineStr">
        <is>
          <t>DALARNAS LÄN</t>
        </is>
      </c>
      <c r="E549" t="inlineStr">
        <is>
          <t>ORSA</t>
        </is>
      </c>
      <c r="G549" t="n">
        <v>2.4</v>
      </c>
      <c r="H549" t="n">
        <v>0</v>
      </c>
      <c r="I549" t="n">
        <v>0</v>
      </c>
      <c r="J549" t="n">
        <v>0</v>
      </c>
      <c r="K549" t="n">
        <v>0</v>
      </c>
      <c r="L549" t="n">
        <v>0</v>
      </c>
      <c r="M549" t="n">
        <v>0</v>
      </c>
      <c r="N549" t="n">
        <v>0</v>
      </c>
      <c r="O549" t="n">
        <v>0</v>
      </c>
      <c r="P549" t="n">
        <v>0</v>
      </c>
      <c r="Q549" t="n">
        <v>0</v>
      </c>
      <c r="R549" s="2" t="inlineStr"/>
    </row>
    <row r="550" ht="15" customHeight="1">
      <c r="A550" t="inlineStr">
        <is>
          <t>A 23056-2025</t>
        </is>
      </c>
      <c r="B550" s="1" t="n">
        <v>45790.73627314815</v>
      </c>
      <c r="C550" s="1" t="n">
        <v>46013</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23055-2025</t>
        </is>
      </c>
      <c r="B551" s="1" t="n">
        <v>45790.73469907408</v>
      </c>
      <c r="C551" s="1" t="n">
        <v>46013</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23015-2025</t>
        </is>
      </c>
      <c r="B552" s="1" t="n">
        <v>45790.6377662037</v>
      </c>
      <c r="C552" s="1" t="n">
        <v>46013</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23053-2025</t>
        </is>
      </c>
      <c r="B553" s="1" t="n">
        <v>45790.73072916667</v>
      </c>
      <c r="C553" s="1" t="n">
        <v>46013</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62289-2023</t>
        </is>
      </c>
      <c r="B554" s="1" t="n">
        <v>45266</v>
      </c>
      <c r="C554" s="1" t="n">
        <v>46013</v>
      </c>
      <c r="D554" t="inlineStr">
        <is>
          <t>DALARNAS LÄN</t>
        </is>
      </c>
      <c r="E554" t="inlineStr">
        <is>
          <t>ORSA</t>
        </is>
      </c>
      <c r="G554" t="n">
        <v>1.9</v>
      </c>
      <c r="H554" t="n">
        <v>0</v>
      </c>
      <c r="I554" t="n">
        <v>0</v>
      </c>
      <c r="J554" t="n">
        <v>0</v>
      </c>
      <c r="K554" t="n">
        <v>0</v>
      </c>
      <c r="L554" t="n">
        <v>0</v>
      </c>
      <c r="M554" t="n">
        <v>0</v>
      </c>
      <c r="N554" t="n">
        <v>0</v>
      </c>
      <c r="O554" t="n">
        <v>0</v>
      </c>
      <c r="P554" t="n">
        <v>0</v>
      </c>
      <c r="Q554" t="n">
        <v>0</v>
      </c>
      <c r="R554" s="2" t="inlineStr"/>
    </row>
    <row r="555" ht="15" customHeight="1">
      <c r="A555" t="inlineStr">
        <is>
          <t>A 58549-2023</t>
        </is>
      </c>
      <c r="B555" s="1" t="n">
        <v>45251.42627314815</v>
      </c>
      <c r="C555" s="1" t="n">
        <v>46013</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c r="A556" t="inlineStr">
        <is>
          <t>A 5302-2024</t>
        </is>
      </c>
      <c r="B556" s="1" t="n">
        <v>45331.38175925926</v>
      </c>
      <c r="C556" s="1" t="n">
        <v>46013</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2025-12-22T10:31:31Z</dcterms:created>
  <dcterms:modified xmlns:dcterms="http://purl.org/dc/terms/" xmlns:xsi="http://www.w3.org/2001/XMLSchema-instance" xsi:type="dcterms:W3CDTF">2025-12-22T10:31:31Z</dcterms:modified>
</cp:coreProperties>
</file>