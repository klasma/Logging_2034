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46230</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46230</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t="n">
        <v>377</v>
      </c>
      <c r="V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3">
        <f>HYPERLINK("https://klasma.github.io/Logging_2034/artfynd/A 30017-2024 artfynd.xlsx", "A 30017-2024")</f>
        <v/>
      </c>
      <c r="X3">
        <f>HYPERLINK("https://klasma.github.io/Logging_2034/kartor/A 30017-2024 karta.png", "A 30017-2024")</f>
        <v/>
      </c>
      <c r="Y3">
        <f>HYPERLINK("https://klasma.github.io/Logging_2034/kartor_geotiff/A 30017-2024 georefererad karta.tif", "A 30017-2024")</f>
        <v/>
      </c>
      <c r="AA3">
        <f>HYPERLINK("https://klasma.github.io/Logging_2034/klagomål/A 30017-2024 FSC-klagomål.docx", "A 30017-2024")</f>
        <v/>
      </c>
      <c r="AB3">
        <f>HYPERLINK("https://klasma.github.io/Logging_2034/klagomålsmail/A 30017-2024 FSC-klagomål mail.docx", "A 30017-2024")</f>
        <v/>
      </c>
      <c r="AC3">
        <f>HYPERLINK("https://klasma.github.io/Logging_2034/tillsyn/A 30017-2024 tillsynsbegäran.docx", "A 30017-2024")</f>
        <v/>
      </c>
      <c r="AD3">
        <f>HYPERLINK("https://klasma.github.io/Logging_2034/tillsynsmail/A 30017-2024 tillsynsbegäran mail.docx", "A 30017-2024")</f>
        <v/>
      </c>
      <c r="AE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46230</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91</v>
      </c>
      <c r="U4" t="n">
        <v>89</v>
      </c>
      <c r="V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4">
        <f>HYPERLINK("https://klasma.github.io/Logging_2034/artfynd/A 45776-2023 artfynd.xlsx", "A 45776-2023")</f>
        <v/>
      </c>
      <c r="X4">
        <f>HYPERLINK("https://klasma.github.io/Logging_2034/kartor/A 45776-2023 karta.png", "A 45776-2023")</f>
        <v/>
      </c>
      <c r="Y4">
        <f>HYPERLINK("https://klasma.github.io/Logging_2034/kartor_geotiff/A 45776-2023 georefererad karta.tif", "A 45776-2023")</f>
        <v/>
      </c>
      <c r="Z4">
        <f>HYPERLINK("https://klasma.github.io/Logging_2034/knärot/A 45776-2023 karta knärot.png", "A 45776-2023")</f>
        <v/>
      </c>
      <c r="AA4">
        <f>HYPERLINK("https://klasma.github.io/Logging_2034/klagomål/A 45776-2023 FSC-klagomål.docx", "A 45776-2023")</f>
        <v/>
      </c>
      <c r="AB4">
        <f>HYPERLINK("https://klasma.github.io/Logging_2034/klagomålsmail/A 45776-2023 FSC-klagomål mail.docx", "A 45776-2023")</f>
        <v/>
      </c>
      <c r="AC4">
        <f>HYPERLINK("https://klasma.github.io/Logging_2034/tillsyn/A 45776-2023 tillsynsbegäran.docx", "A 45776-2023")</f>
        <v/>
      </c>
      <c r="AD4">
        <f>HYPERLINK("https://klasma.github.io/Logging_2034/tillsynsmail/A 45776-2023 tillsynsbegäran mail.docx", "A 45776-2023")</f>
        <v/>
      </c>
      <c r="AE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46230</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46230</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46230</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46230</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46230</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46230</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t="n">
        <v>167</v>
      </c>
      <c r="V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0">
        <f>HYPERLINK("https://klasma.github.io/Logging_2034/artfynd/A 30505-2024 artfynd.xlsx", "A 30505-2024")</f>
        <v/>
      </c>
      <c r="X10">
        <f>HYPERLINK("https://klasma.github.io/Logging_2034/kartor/A 30505-2024 karta.png", "A 30505-2024")</f>
        <v/>
      </c>
      <c r="Y10">
        <f>HYPERLINK("https://klasma.github.io/Logging_2034/kartor_geotiff/A 30505-2024 georefererad karta.tif", "A 30505-2024")</f>
        <v/>
      </c>
      <c r="AA10">
        <f>HYPERLINK("https://klasma.github.io/Logging_2034/klagomål/A 30505-2024 FSC-klagomål.docx", "A 30505-2024")</f>
        <v/>
      </c>
      <c r="AB10">
        <f>HYPERLINK("https://klasma.github.io/Logging_2034/klagomålsmail/A 30505-2024 FSC-klagomål mail.docx", "A 30505-2024")</f>
        <v/>
      </c>
      <c r="AC10">
        <f>HYPERLINK("https://klasma.github.io/Logging_2034/tillsyn/A 30505-2024 tillsynsbegäran.docx", "A 30505-2024")</f>
        <v/>
      </c>
      <c r="AD10">
        <f>HYPERLINK("https://klasma.github.io/Logging_2034/tillsynsmail/A 30505-2024 tillsynsbegäran mail.docx", "A 30505-2024")</f>
        <v/>
      </c>
      <c r="AE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46230</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7619-2025</t>
        </is>
      </c>
      <c r="B12" t="inlineStr">
        <is>
          <t>avverkningsanmälan</t>
        </is>
      </c>
      <c r="C12" t="inlineStr">
        <is>
          <t>Föryngringsavverkning</t>
        </is>
      </c>
      <c r="D12" s="1" t="n">
        <v>45705</v>
      </c>
      <c r="E12" s="1" t="n">
        <v>46230</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46230</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46230</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61338-2024</t>
        </is>
      </c>
      <c r="B15" t="inlineStr">
        <is>
          <t>avverkningsanmälan</t>
        </is>
      </c>
      <c r="C15" t="inlineStr">
        <is>
          <t>Föryngringsavverkning</t>
        </is>
      </c>
      <c r="D15" s="1" t="n">
        <v>45646</v>
      </c>
      <c r="E15" s="1" t="n">
        <v>46230</v>
      </c>
      <c r="F15" t="inlineStr">
        <is>
          <t>DALARNAS LÄN</t>
        </is>
      </c>
      <c r="G15" t="inlineStr">
        <is>
          <t>ORSA</t>
        </is>
      </c>
      <c r="I15" t="n">
        <v>10.2</v>
      </c>
      <c r="J15" t="n">
        <v>4</v>
      </c>
      <c r="K15" t="n">
        <v>2</v>
      </c>
      <c r="L15" t="n">
        <v>9</v>
      </c>
      <c r="M15" t="n">
        <v>3</v>
      </c>
      <c r="N15" t="n">
        <v>0</v>
      </c>
      <c r="O15" t="n">
        <v>0</v>
      </c>
      <c r="P15" t="n">
        <v>0</v>
      </c>
      <c r="Q15" t="n">
        <v>12</v>
      </c>
      <c r="R15" t="n">
        <v>3</v>
      </c>
      <c r="S15" t="n">
        <v>15</v>
      </c>
      <c r="T15" t="n">
        <v>175</v>
      </c>
      <c r="U15" t="n">
        <v>175</v>
      </c>
      <c r="V15" s="2" t="inlineStr">
        <is>
          <t>Fläckporing
Garnlav
Knärot
Dvärgbägarlav
Kortskaftad ärgspik
Rosenticka
Rynkskinn
Tallticka
Talltita
Tretåig hackspett
Ullticka
Vedskivlav
Bronshjon
Mindre märgborre
Spillkråka</t>
        </is>
      </c>
      <c r="W15">
        <f>HYPERLINK("https://klasma.github.io/Logging_2034/artfynd/A 61338-2024 artfynd.xlsx", "A 61338-2024")</f>
        <v/>
      </c>
      <c r="X15">
        <f>HYPERLINK("https://klasma.github.io/Logging_2034/kartor/A 61338-2024 karta.png", "A 61338-2024")</f>
        <v/>
      </c>
      <c r="Y15">
        <f>HYPERLINK("https://klasma.github.io/Logging_2034/kartor_geotiff/A 61338-2024 georefererad karta.tif", "A 61338-2024")</f>
        <v/>
      </c>
      <c r="Z15">
        <f>HYPERLINK("https://klasma.github.io/Logging_2034/knärot/A 61338-2024 karta knärot.png", "A 61338-2024")</f>
        <v/>
      </c>
      <c r="AA15">
        <f>HYPERLINK("https://klasma.github.io/Logging_2034/klagomål/A 61338-2024 FSC-klagomål.docx", "A 61338-2024")</f>
        <v/>
      </c>
      <c r="AB15">
        <f>HYPERLINK("https://klasma.github.io/Logging_2034/klagomålsmail/A 61338-2024 FSC-klagomål mail.docx", "A 61338-2024")</f>
        <v/>
      </c>
      <c r="AC15">
        <f>HYPERLINK("https://klasma.github.io/Logging_2034/tillsyn/A 61338-2024 tillsynsbegäran.docx", "A 61338-2024")</f>
        <v/>
      </c>
      <c r="AD15">
        <f>HYPERLINK("https://klasma.github.io/Logging_2034/tillsynsmail/A 61338-2024 tillsynsbegäran mail.docx", "A 61338-2024")</f>
        <v/>
      </c>
      <c r="AE15">
        <f>HYPERLINK("https://klasma.github.io/Logging_2034/fåglar/A 61338-2024 prioriterade fågelarter.docx", "A 61338-2024")</f>
        <v/>
      </c>
    </row>
    <row r="16" ht="15" customHeight="1">
      <c r="A16" t="inlineStr">
        <is>
          <t>A 7618-2025</t>
        </is>
      </c>
      <c r="B16" t="inlineStr">
        <is>
          <t>avverkningsanmälan</t>
        </is>
      </c>
      <c r="C16" t="inlineStr">
        <is>
          <t>Föryngringsavverkning</t>
        </is>
      </c>
      <c r="D16" s="1" t="n">
        <v>45705</v>
      </c>
      <c r="E16" s="1" t="n">
        <v>46230</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38047-2025</t>
        </is>
      </c>
      <c r="B17" t="inlineStr">
        <is>
          <t>avverkningsanmälan</t>
        </is>
      </c>
      <c r="C17" t="inlineStr">
        <is>
          <t>Föryngringsavverkning</t>
        </is>
      </c>
      <c r="D17" s="1" t="n">
        <v>45882</v>
      </c>
      <c r="E17" s="1" t="n">
        <v>46230</v>
      </c>
      <c r="F17" t="inlineStr">
        <is>
          <t>DALARNAS LÄN</t>
        </is>
      </c>
      <c r="G17" t="inlineStr">
        <is>
          <t>ORSA</t>
        </is>
      </c>
      <c r="I17" t="n">
        <v>6.9</v>
      </c>
      <c r="J17" t="n">
        <v>6</v>
      </c>
      <c r="K17" t="n">
        <v>3</v>
      </c>
      <c r="L17" t="n">
        <v>8</v>
      </c>
      <c r="M17" t="n">
        <v>1</v>
      </c>
      <c r="N17" t="n">
        <v>0</v>
      </c>
      <c r="O17" t="n">
        <v>0</v>
      </c>
      <c r="P17" t="n">
        <v>0</v>
      </c>
      <c r="Q17" t="n">
        <v>9</v>
      </c>
      <c r="R17" t="n">
        <v>1</v>
      </c>
      <c r="S17" t="n">
        <v>14</v>
      </c>
      <c r="T17" t="n">
        <v>74</v>
      </c>
      <c r="U17" t="n">
        <v>74</v>
      </c>
      <c r="V17" s="2" t="inlineStr">
        <is>
          <t>Garnlav
Bivråk
Björktrast
Dropptaggsvamp
Mörk kolflarnlav
Talltita
Tretåig hackspett
Vedflamlav
Violettgrå tagellav
Bronshjon
Mindre märgborre
Vedticka
Spillkråka
Tjäder</t>
        </is>
      </c>
      <c r="W17">
        <f>HYPERLINK("https://klasma.github.io/Logging_2034/artfynd/A 38047-2025 artfynd.xlsx", "A 38047-2025")</f>
        <v/>
      </c>
      <c r="X17">
        <f>HYPERLINK("https://klasma.github.io/Logging_2034/kartor/A 38047-2025 karta.png", "A 38047-2025")</f>
        <v/>
      </c>
      <c r="Y17">
        <f>HYPERLINK("https://klasma.github.io/Logging_2034/kartor_geotiff/A 38047-2025 georefererad karta.tif", "A 38047-2025")</f>
        <v/>
      </c>
      <c r="AA17">
        <f>HYPERLINK("https://klasma.github.io/Logging_2034/klagomål/A 38047-2025 FSC-klagomål.docx", "A 38047-2025")</f>
        <v/>
      </c>
      <c r="AB17">
        <f>HYPERLINK("https://klasma.github.io/Logging_2034/klagomålsmail/A 38047-2025 FSC-klagomål mail.docx", "A 38047-2025")</f>
        <v/>
      </c>
      <c r="AC17">
        <f>HYPERLINK("https://klasma.github.io/Logging_2034/tillsyn/A 38047-2025 tillsynsbegäran.docx", "A 38047-2025")</f>
        <v/>
      </c>
      <c r="AD17">
        <f>HYPERLINK("https://klasma.github.io/Logging_2034/tillsynsmail/A 38047-2025 tillsynsbegäran mail.docx", "A 38047-2025")</f>
        <v/>
      </c>
      <c r="AE17">
        <f>HYPERLINK("https://klasma.github.io/Logging_2034/fåglar/A 38047-2025 prioriterade fågelarter.docx", "A 38047-2025")</f>
        <v/>
      </c>
    </row>
    <row r="18" ht="15" customHeight="1">
      <c r="A18" t="inlineStr">
        <is>
          <t>A 2121-2025</t>
        </is>
      </c>
      <c r="B18" t="inlineStr">
        <is>
          <t>avverkningsanmälan</t>
        </is>
      </c>
      <c r="C18" t="inlineStr">
        <is>
          <t>Föryngringsavverkning</t>
        </is>
      </c>
      <c r="D18" s="1" t="n">
        <v>45672</v>
      </c>
      <c r="E18" s="1" t="n">
        <v>46230</v>
      </c>
      <c r="F18" t="inlineStr">
        <is>
          <t>DALARNAS LÄN</t>
        </is>
      </c>
      <c r="G18" t="inlineStr">
        <is>
          <t>ORSA</t>
        </is>
      </c>
      <c r="I18" t="n">
        <v>16</v>
      </c>
      <c r="J18" t="n">
        <v>5</v>
      </c>
      <c r="K18" t="n">
        <v>2</v>
      </c>
      <c r="L18" t="n">
        <v>9</v>
      </c>
      <c r="M18" t="n">
        <v>1</v>
      </c>
      <c r="N18" t="n">
        <v>0</v>
      </c>
      <c r="O18" t="n">
        <v>0</v>
      </c>
      <c r="P18" t="n">
        <v>0</v>
      </c>
      <c r="Q18" t="n">
        <v>10</v>
      </c>
      <c r="R18" t="n">
        <v>1</v>
      </c>
      <c r="S18" t="n">
        <v>14</v>
      </c>
      <c r="T18" t="n">
        <v>241</v>
      </c>
      <c r="U18" t="n">
        <v>241</v>
      </c>
      <c r="V18" s="2" t="inlineStr">
        <is>
          <t>Garnlav
Järnsparv
Kolflarnlav
Lunglav
Mörk kolflarnlav
Tallticka
Talltita
Tretåig hackspett
Vedskivlav
Violettgrå tagellav
Mindre märgborre
Nästlav
Spillkråka
Tjäder</t>
        </is>
      </c>
      <c r="W18">
        <f>HYPERLINK("https://klasma.github.io/Logging_2034/artfynd/A 2121-2025 artfynd.xlsx", "A 2121-2025")</f>
        <v/>
      </c>
      <c r="X18">
        <f>HYPERLINK("https://klasma.github.io/Logging_2034/kartor/A 2121-2025 karta.png", "A 2121-2025")</f>
        <v/>
      </c>
      <c r="Y18">
        <f>HYPERLINK("https://klasma.github.io/Logging_2034/kartor_geotiff/A 2121-2025 georefererad karta.tif", "A 2121-2025")</f>
        <v/>
      </c>
      <c r="AA18">
        <f>HYPERLINK("https://klasma.github.io/Logging_2034/klagomål/A 2121-2025 FSC-klagomål.docx", "A 2121-2025")</f>
        <v/>
      </c>
      <c r="AB18">
        <f>HYPERLINK("https://klasma.github.io/Logging_2034/klagomålsmail/A 2121-2025 FSC-klagomål mail.docx", "A 2121-2025")</f>
        <v/>
      </c>
      <c r="AC18">
        <f>HYPERLINK("https://klasma.github.io/Logging_2034/tillsyn/A 2121-2025 tillsynsbegäran.docx", "A 2121-2025")</f>
        <v/>
      </c>
      <c r="AD18">
        <f>HYPERLINK("https://klasma.github.io/Logging_2034/tillsynsmail/A 2121-2025 tillsynsbegäran mail.docx", "A 2121-2025")</f>
        <v/>
      </c>
      <c r="AE18">
        <f>HYPERLINK("https://klasma.github.io/Logging_2034/fåglar/A 2121-2025 prioriterade fågelarter.docx", "A 2121-2025")</f>
        <v/>
      </c>
    </row>
    <row r="19" ht="15" customHeight="1">
      <c r="A19" t="inlineStr">
        <is>
          <t>A 31137-2025</t>
        </is>
      </c>
      <c r="B19" t="inlineStr">
        <is>
          <t>avverkningsanmälan</t>
        </is>
      </c>
      <c r="C19" t="inlineStr">
        <is>
          <t>Föryngringsavverkning</t>
        </is>
      </c>
      <c r="D19" s="1" t="n">
        <v>45832</v>
      </c>
      <c r="E19" s="1" t="n">
        <v>46230</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50728-2022</t>
        </is>
      </c>
      <c r="B20" t="inlineStr">
        <is>
          <t>avverkningsanmälan</t>
        </is>
      </c>
      <c r="C20" t="inlineStr">
        <is>
          <t>Avverkning för annat ändamål</t>
        </is>
      </c>
      <c r="D20" s="1" t="n">
        <v>44867</v>
      </c>
      <c r="E20" s="1" t="n">
        <v>46230</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30284-2024</t>
        </is>
      </c>
      <c r="B21" t="inlineStr">
        <is>
          <t>avverkningsanmälan</t>
        </is>
      </c>
      <c r="C21" t="inlineStr">
        <is>
          <t>Föryngringsavverkning</t>
        </is>
      </c>
      <c r="D21" s="1" t="n">
        <v>45490</v>
      </c>
      <c r="E21" s="1" t="n">
        <v>46230</v>
      </c>
      <c r="F21" t="inlineStr">
        <is>
          <t>DALARNAS LÄN</t>
        </is>
      </c>
      <c r="G21" t="inlineStr">
        <is>
          <t>ORSA</t>
        </is>
      </c>
      <c r="I21" t="n">
        <v>2.5</v>
      </c>
      <c r="J21" t="n">
        <v>1</v>
      </c>
      <c r="K21" t="n">
        <v>1</v>
      </c>
      <c r="L21" t="n">
        <v>8</v>
      </c>
      <c r="M21" t="n">
        <v>4</v>
      </c>
      <c r="N21" t="n">
        <v>0</v>
      </c>
      <c r="O21" t="n">
        <v>0</v>
      </c>
      <c r="P21" t="n">
        <v>0</v>
      </c>
      <c r="Q21" t="n">
        <v>12</v>
      </c>
      <c r="R21" t="n">
        <v>4</v>
      </c>
      <c r="S21" t="n">
        <v>14</v>
      </c>
      <c r="T21" t="n">
        <v>66</v>
      </c>
      <c r="U21" t="n">
        <v>60</v>
      </c>
      <c r="V21" s="2" t="inlineStr">
        <is>
          <t>Garnlav
Rotfingersvamp
Skrovlig taggsvamp
Tallgråticka
Backstarr
Dropptaggsvamp
Mjölsvärting
Motaggsvamp
Orange taggsvamp
Tallfingersvamp
Talltaggsvamp
Vedskivlav
Mindre märgborre
Spillkråka</t>
        </is>
      </c>
      <c r="W21">
        <f>HYPERLINK("https://klasma.github.io/Logging_2034/artfynd/A 30284-2024 artfynd.xlsx", "A 30284-2024")</f>
        <v/>
      </c>
      <c r="X21">
        <f>HYPERLINK("https://klasma.github.io/Logging_2034/kartor/A 30284-2024 karta.png", "A 30284-2024")</f>
        <v/>
      </c>
      <c r="Y21">
        <f>HYPERLINK("https://klasma.github.io/Logging_2034/kartor_geotiff/A 30284-2024 georefererad karta.tif", "A 30284-2024")</f>
        <v/>
      </c>
      <c r="AA21">
        <f>HYPERLINK("https://klasma.github.io/Logging_2034/klagomål/A 30284-2024 FSC-klagomål.docx", "A 30284-2024")</f>
        <v/>
      </c>
      <c r="AB21">
        <f>HYPERLINK("https://klasma.github.io/Logging_2034/klagomålsmail/A 30284-2024 FSC-klagomål mail.docx", "A 30284-2024")</f>
        <v/>
      </c>
      <c r="AC21">
        <f>HYPERLINK("https://klasma.github.io/Logging_2034/tillsyn/A 30284-2024 tillsynsbegäran.docx", "A 30284-2024")</f>
        <v/>
      </c>
      <c r="AD21">
        <f>HYPERLINK("https://klasma.github.io/Logging_2034/tillsynsmail/A 30284-2024 tillsynsbegäran mail.docx", "A 30284-2024")</f>
        <v/>
      </c>
      <c r="AE21">
        <f>HYPERLINK("https://klasma.github.io/Logging_2034/fåglar/A 30284-2024 prioriterade fågelarter.docx", "A 30284-2024")</f>
        <v/>
      </c>
    </row>
    <row r="22" ht="15" customHeight="1">
      <c r="A22" t="inlineStr">
        <is>
          <t>S 1383-2026</t>
        </is>
      </c>
      <c r="B22" t="inlineStr">
        <is>
          <t>samrådsanmälan</t>
        </is>
      </c>
      <c r="C22" t="inlineStr">
        <is>
          <t>Annan skogsbruksåtgärd</t>
        </is>
      </c>
      <c r="D22" s="1" t="n">
        <v>46153</v>
      </c>
      <c r="E22" s="1" t="n">
        <v>46230</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46230</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46230</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t="n">
        <v>27</v>
      </c>
      <c r="V24" s="2" t="inlineStr">
        <is>
          <t>Garnlav
Entita
Ladusvala
Talltagel
Tallticka
Tretåig hackspett
Bronshjon
Mindre märgborre
Spillkråka
Tofsmes
Ärtsångare</t>
        </is>
      </c>
      <c r="W24">
        <f>HYPERLINK("https://klasma.github.io/Logging_2034/artfynd/A 51305-2023 artfynd.xlsx", "A 51305-2023")</f>
        <v/>
      </c>
      <c r="X24">
        <f>HYPERLINK("https://klasma.github.io/Logging_2034/kartor/A 51305-2023 karta.png", "A 51305-2023")</f>
        <v/>
      </c>
      <c r="Y24">
        <f>HYPERLINK("https://klasma.github.io/Logging_2034/kartor_geotiff/A 51305-2023 georefererad karta.tif", "A 51305-2023")</f>
        <v/>
      </c>
      <c r="AA24">
        <f>HYPERLINK("https://klasma.github.io/Logging_2034/klagomål/A 51305-2023 FSC-klagomål.docx", "A 51305-2023")</f>
        <v/>
      </c>
      <c r="AB24">
        <f>HYPERLINK("https://klasma.github.io/Logging_2034/klagomålsmail/A 51305-2023 FSC-klagomål mail.docx", "A 51305-2023")</f>
        <v/>
      </c>
      <c r="AC24">
        <f>HYPERLINK("https://klasma.github.io/Logging_2034/tillsyn/A 51305-2023 tillsynsbegäran.docx", "A 51305-2023")</f>
        <v/>
      </c>
      <c r="AD24">
        <f>HYPERLINK("https://klasma.github.io/Logging_2034/tillsynsmail/A 51305-2023 tillsynsbegäran mail.docx", "A 51305-2023")</f>
        <v/>
      </c>
      <c r="AE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46230</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46230</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46230</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46230</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46230</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46230</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46230</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46230</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46230</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21919-2026</t>
        </is>
      </c>
      <c r="B34" t="inlineStr">
        <is>
          <t>avverkningsanmälan</t>
        </is>
      </c>
      <c r="C34" t="inlineStr">
        <is>
          <t>Föryngringsavverkning</t>
        </is>
      </c>
      <c r="D34" s="1" t="n">
        <v>46150</v>
      </c>
      <c r="E34" s="1" t="n">
        <v>46230</v>
      </c>
      <c r="F34" t="inlineStr">
        <is>
          <t>DALARNAS LÄN</t>
        </is>
      </c>
      <c r="G34" t="inlineStr">
        <is>
          <t>ORSA</t>
        </is>
      </c>
      <c r="H34" t="inlineStr">
        <is>
          <t>Bergvik skog öst AB</t>
        </is>
      </c>
      <c r="I34" t="n">
        <v>12.4</v>
      </c>
      <c r="J34" t="n">
        <v>1</v>
      </c>
      <c r="K34" t="n">
        <v>1</v>
      </c>
      <c r="L34" t="n">
        <v>5</v>
      </c>
      <c r="M34" t="n">
        <v>1</v>
      </c>
      <c r="N34" t="n">
        <v>0</v>
      </c>
      <c r="O34" t="n">
        <v>0</v>
      </c>
      <c r="P34" t="n">
        <v>0</v>
      </c>
      <c r="Q34" t="n">
        <v>6</v>
      </c>
      <c r="R34" t="n">
        <v>1</v>
      </c>
      <c r="S34" t="n">
        <v>7</v>
      </c>
      <c r="T34" t="n">
        <v>15</v>
      </c>
      <c r="U34" t="n">
        <v>15</v>
      </c>
      <c r="V34" s="2" t="inlineStr">
        <is>
          <t>Garnlav
Blågrå svartspik
Kolflarnlav
Mörk kolflarnlav
Tretåig hackspett
Vedskivlav
Bronshjon</t>
        </is>
      </c>
      <c r="W34">
        <f>HYPERLINK("https://klasma.github.io/Logging_2034/artfynd/A 21919-2026 artfynd.xlsx", "A 21919-2026")</f>
        <v/>
      </c>
      <c r="X34">
        <f>HYPERLINK("https://klasma.github.io/Logging_2034/kartor/A 21919-2026 karta.png", "A 21919-2026")</f>
        <v/>
      </c>
      <c r="Y34">
        <f>HYPERLINK("https://klasma.github.io/Logging_2034/kartor_geotiff/A 21919-2026 georefererad karta.tif", "A 21919-2026")</f>
        <v/>
      </c>
      <c r="AA34">
        <f>HYPERLINK("https://klasma.github.io/Logging_2034/klagomål/A 21919-2026 FSC-klagomål.docx", "A 21919-2026")</f>
        <v/>
      </c>
      <c r="AB34">
        <f>HYPERLINK("https://klasma.github.io/Logging_2034/klagomålsmail/A 21919-2026 FSC-klagomål mail.docx", "A 21919-2026")</f>
        <v/>
      </c>
      <c r="AC34">
        <f>HYPERLINK("https://klasma.github.io/Logging_2034/tillsyn/A 21919-2026 tillsynsbegäran.docx", "A 21919-2026")</f>
        <v/>
      </c>
      <c r="AD34">
        <f>HYPERLINK("https://klasma.github.io/Logging_2034/tillsynsmail/A 21919-2026 tillsynsbegäran mail.docx", "A 21919-2026")</f>
        <v/>
      </c>
      <c r="AE34">
        <f>HYPERLINK("https://klasma.github.io/Logging_2034/fåglar/A 21919-2026 prioriterade fågelarter.docx", "A 21919-2026")</f>
        <v/>
      </c>
    </row>
    <row r="35" ht="15" customHeight="1">
      <c r="A35" t="inlineStr">
        <is>
          <t>A 62761-2025</t>
        </is>
      </c>
      <c r="B35" t="inlineStr">
        <is>
          <t>avverkningsanmälan</t>
        </is>
      </c>
      <c r="C35" t="inlineStr">
        <is>
          <t>Föryngringsavverkning</t>
        </is>
      </c>
      <c r="D35" s="1" t="n">
        <v>46008</v>
      </c>
      <c r="E35" s="1" t="n">
        <v>46230</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46230</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707-2024</t>
        </is>
      </c>
      <c r="B37" t="inlineStr">
        <is>
          <t>avverkningsanmälan</t>
        </is>
      </c>
      <c r="C37" t="inlineStr">
        <is>
          <t>Föryngringsavverkning</t>
        </is>
      </c>
      <c r="D37" s="1" t="n">
        <v>45300</v>
      </c>
      <c r="E37" s="1" t="n">
        <v>46230</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22778-2026</t>
        </is>
      </c>
      <c r="B38" t="inlineStr">
        <is>
          <t>avverkningsanmälan</t>
        </is>
      </c>
      <c r="C38" t="inlineStr">
        <is>
          <t>Föryngringsavverkning</t>
        </is>
      </c>
      <c r="D38" s="1" t="n">
        <v>46157</v>
      </c>
      <c r="E38" s="1" t="n">
        <v>46230</v>
      </c>
      <c r="F38" t="inlineStr">
        <is>
          <t>DALARNAS LÄN</t>
        </is>
      </c>
      <c r="G38" t="inlineStr">
        <is>
          <t>ORSA</t>
        </is>
      </c>
      <c r="I38" t="n">
        <v>2.3</v>
      </c>
      <c r="J38" t="n">
        <v>4</v>
      </c>
      <c r="K38" t="n">
        <v>1</v>
      </c>
      <c r="L38" t="n">
        <v>1</v>
      </c>
      <c r="M38" t="n">
        <v>0</v>
      </c>
      <c r="N38" t="n">
        <v>0</v>
      </c>
      <c r="O38" t="n">
        <v>0</v>
      </c>
      <c r="P38" t="n">
        <v>0</v>
      </c>
      <c r="Q38" t="n">
        <v>1</v>
      </c>
      <c r="R38" t="n">
        <v>0</v>
      </c>
      <c r="S38" t="n">
        <v>6</v>
      </c>
      <c r="T38" t="n">
        <v>8</v>
      </c>
      <c r="U38" t="n">
        <v>6</v>
      </c>
      <c r="V38" s="2" t="inlineStr">
        <is>
          <t>Blå taggsvamp
Mindre märgborre
Spillkråka
Grönsiska
Svartvit flugsnappare
Trädlärka</t>
        </is>
      </c>
      <c r="W38">
        <f>HYPERLINK("https://klasma.github.io/Logging_2034/artfynd/A 22778-2026 artfynd.xlsx", "A 22778-2026")</f>
        <v/>
      </c>
      <c r="X38">
        <f>HYPERLINK("https://klasma.github.io/Logging_2034/kartor/A 22778-2026 karta.png", "A 22778-2026")</f>
        <v/>
      </c>
      <c r="Y38">
        <f>HYPERLINK("https://klasma.github.io/Logging_2034/kartor_geotiff/A 22778-2026 georefererad karta.tif", "A 22778-2026")</f>
        <v/>
      </c>
      <c r="AA38">
        <f>HYPERLINK("https://klasma.github.io/Logging_2034/klagomål/A 22778-2026 FSC-klagomål.docx", "A 22778-2026")</f>
        <v/>
      </c>
      <c r="AB38">
        <f>HYPERLINK("https://klasma.github.io/Logging_2034/klagomålsmail/A 22778-2026 FSC-klagomål mail.docx", "A 22778-2026")</f>
        <v/>
      </c>
      <c r="AC38">
        <f>HYPERLINK("https://klasma.github.io/Logging_2034/tillsyn/A 22778-2026 tillsynsbegäran.docx", "A 22778-2026")</f>
        <v/>
      </c>
      <c r="AD38">
        <f>HYPERLINK("https://klasma.github.io/Logging_2034/tillsynsmail/A 22778-2026 tillsynsbegäran mail.docx", "A 22778-2026")</f>
        <v/>
      </c>
      <c r="AE38">
        <f>HYPERLINK("https://klasma.github.io/Logging_2034/fåglar/A 22778-2026 prioriterade fågelarter.docx", "A 22778-2026")</f>
        <v/>
      </c>
    </row>
    <row r="39" ht="15" customHeight="1">
      <c r="A39" t="inlineStr">
        <is>
          <t>A 22172-2025</t>
        </is>
      </c>
      <c r="B39" t="inlineStr">
        <is>
          <t>avverkningsanmälan</t>
        </is>
      </c>
      <c r="C39" t="inlineStr">
        <is>
          <t>Föryngringsavverkning</t>
        </is>
      </c>
      <c r="D39" s="1" t="n">
        <v>45785</v>
      </c>
      <c r="E39" s="1" t="n">
        <v>46230</v>
      </c>
      <c r="F39" t="inlineStr">
        <is>
          <t>DALARNAS LÄN</t>
        </is>
      </c>
      <c r="G39" t="inlineStr">
        <is>
          <t>ORSA</t>
        </is>
      </c>
      <c r="H39" t="inlineStr">
        <is>
          <t>Bergvik skog öst AB</t>
        </is>
      </c>
      <c r="I39" t="n">
        <v>3.8</v>
      </c>
      <c r="J39" t="n">
        <v>4</v>
      </c>
      <c r="K39" t="n">
        <v>0</v>
      </c>
      <c r="L39" t="n">
        <v>3</v>
      </c>
      <c r="M39" t="n">
        <v>1</v>
      </c>
      <c r="N39" t="n">
        <v>0</v>
      </c>
      <c r="O39" t="n">
        <v>0</v>
      </c>
      <c r="P39" t="n">
        <v>0</v>
      </c>
      <c r="Q39" t="n">
        <v>4</v>
      </c>
      <c r="R39" t="n">
        <v>1</v>
      </c>
      <c r="S39" t="n">
        <v>6</v>
      </c>
      <c r="T39" t="n">
        <v>18</v>
      </c>
      <c r="U39" t="n">
        <v>18</v>
      </c>
      <c r="V39" s="2" t="inlineStr">
        <is>
          <t>Garnlav
Lavskrika
Tallfingersvamp
Tretåig hackspett
Spillkråka
Revlummer</t>
        </is>
      </c>
      <c r="W39">
        <f>HYPERLINK("https://klasma.github.io/Logging_2034/artfynd/A 22172-2025 artfynd.xlsx", "A 22172-2025")</f>
        <v/>
      </c>
      <c r="X39">
        <f>HYPERLINK("https://klasma.github.io/Logging_2034/kartor/A 22172-2025 karta.png", "A 22172-2025")</f>
        <v/>
      </c>
      <c r="Y39">
        <f>HYPERLINK("https://klasma.github.io/Logging_2034/kartor_geotiff/A 22172-2025 georefererad karta.tif", "A 22172-2025")</f>
        <v/>
      </c>
      <c r="AA39">
        <f>HYPERLINK("https://klasma.github.io/Logging_2034/klagomål/A 22172-2025 FSC-klagomål.docx", "A 22172-2025")</f>
        <v/>
      </c>
      <c r="AB39">
        <f>HYPERLINK("https://klasma.github.io/Logging_2034/klagomålsmail/A 22172-2025 FSC-klagomål mail.docx", "A 22172-2025")</f>
        <v/>
      </c>
      <c r="AC39">
        <f>HYPERLINK("https://klasma.github.io/Logging_2034/tillsyn/A 22172-2025 tillsynsbegäran.docx", "A 22172-2025")</f>
        <v/>
      </c>
      <c r="AD39">
        <f>HYPERLINK("https://klasma.github.io/Logging_2034/tillsynsmail/A 22172-2025 tillsynsbegäran mail.docx", "A 22172-2025")</f>
        <v/>
      </c>
      <c r="AE39">
        <f>HYPERLINK("https://klasma.github.io/Logging_2034/fåglar/A 22172-2025 prioriterade fågelarter.docx", "A 22172-2025")</f>
        <v/>
      </c>
    </row>
    <row r="40" ht="15" customHeight="1">
      <c r="A40" t="inlineStr">
        <is>
          <t>A 29720-2026</t>
        </is>
      </c>
      <c r="B40" t="inlineStr">
        <is>
          <t>avverkningsanmälan</t>
        </is>
      </c>
      <c r="C40" t="inlineStr">
        <is>
          <t>Avverkning för annat ändamål</t>
        </is>
      </c>
      <c r="D40" s="1" t="n">
        <v>46204</v>
      </c>
      <c r="E40" s="1" t="n">
        <v>46230</v>
      </c>
      <c r="F40" t="inlineStr">
        <is>
          <t>DALARNAS LÄN</t>
        </is>
      </c>
      <c r="G40" t="inlineStr">
        <is>
          <t>ORSA</t>
        </is>
      </c>
      <c r="I40" t="n">
        <v>1.1</v>
      </c>
      <c r="J40" t="n">
        <v>3</v>
      </c>
      <c r="K40" t="n">
        <v>2</v>
      </c>
      <c r="L40" t="n">
        <v>1</v>
      </c>
      <c r="M40" t="n">
        <v>1</v>
      </c>
      <c r="N40" t="n">
        <v>0</v>
      </c>
      <c r="O40" t="n">
        <v>0</v>
      </c>
      <c r="P40" t="n">
        <v>0</v>
      </c>
      <c r="Q40" t="n">
        <v>2</v>
      </c>
      <c r="R40" t="n">
        <v>1</v>
      </c>
      <c r="S40" t="n">
        <v>6</v>
      </c>
      <c r="T40" t="n">
        <v>13</v>
      </c>
      <c r="U40" t="n">
        <v>0</v>
      </c>
      <c r="V40" s="2" t="inlineStr">
        <is>
          <t>Garnlav
Violettgrå tagellav
Bronshjon
Plattlummer
Mattlummer
Fläcknycklar</t>
        </is>
      </c>
      <c r="W40">
        <f>HYPERLINK("https://klasma.github.io/Logging_2034/artfynd/A 29720-2026 artfynd.xlsx", "A 29720-2026")</f>
        <v/>
      </c>
      <c r="X40">
        <f>HYPERLINK("https://klasma.github.io/Logging_2034/kartor/A 29720-2026 karta.png", "A 29720-2026")</f>
        <v/>
      </c>
      <c r="Y40">
        <f>HYPERLINK("https://klasma.github.io/Logging_2034/kartor_geotiff/A 29720-2026 georefererad karta.tif", "A 29720-2026")</f>
        <v/>
      </c>
      <c r="AA40">
        <f>HYPERLINK("https://klasma.github.io/Logging_2034/klagomål/A 29720-2026 FSC-klagomål.docx", "A 29720-2026")</f>
        <v/>
      </c>
      <c r="AB40">
        <f>HYPERLINK("https://klasma.github.io/Logging_2034/klagomålsmail/A 29720-2026 FSC-klagomål mail.docx", "A 29720-2026")</f>
        <v/>
      </c>
      <c r="AC40">
        <f>HYPERLINK("https://klasma.github.io/Logging_2034/tillsyn/A 29720-2026 tillsynsbegäran.docx", "A 29720-2026")</f>
        <v/>
      </c>
      <c r="AD40">
        <f>HYPERLINK("https://klasma.github.io/Logging_2034/tillsynsmail/A 29720-2026 tillsynsbegäran mail.docx", "A 29720-2026")</f>
        <v/>
      </c>
    </row>
    <row r="41" ht="15" customHeight="1">
      <c r="A41" t="inlineStr">
        <is>
          <t>A 62748-2025</t>
        </is>
      </c>
      <c r="B41" t="inlineStr">
        <is>
          <t>avverkningsanmälan</t>
        </is>
      </c>
      <c r="C41" t="inlineStr">
        <is>
          <t>Föryngringsavverkning</t>
        </is>
      </c>
      <c r="D41" s="1" t="n">
        <v>46008</v>
      </c>
      <c r="E41" s="1" t="n">
        <v>46230</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21799-2026</t>
        </is>
      </c>
      <c r="B42" t="inlineStr">
        <is>
          <t>avverkningsanmälan</t>
        </is>
      </c>
      <c r="C42" t="inlineStr">
        <is>
          <t>Föryngringsavverkning</t>
        </is>
      </c>
      <c r="D42" s="1" t="n">
        <v>46150</v>
      </c>
      <c r="E42" s="1" t="n">
        <v>46230</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t="n">
        <v>12</v>
      </c>
      <c r="V42" s="2" t="inlineStr">
        <is>
          <t>Garnlav
Tretåig hackspett
Bronshjon
Vanlig flatbagge
Vedticka
Tjäder</t>
        </is>
      </c>
      <c r="W42">
        <f>HYPERLINK("https://klasma.github.io/Logging_2034/artfynd/A 21799-2026 artfynd.xlsx", "A 21799-2026")</f>
        <v/>
      </c>
      <c r="X42">
        <f>HYPERLINK("https://klasma.github.io/Logging_2034/kartor/A 21799-2026 karta.png", "A 21799-2026")</f>
        <v/>
      </c>
      <c r="Y42">
        <f>HYPERLINK("https://klasma.github.io/Logging_2034/kartor_geotiff/A 21799-2026 georefererad karta.tif", "A 21799-2026")</f>
        <v/>
      </c>
      <c r="AA42">
        <f>HYPERLINK("https://klasma.github.io/Logging_2034/klagomål/A 21799-2026 FSC-klagomål.docx", "A 21799-2026")</f>
        <v/>
      </c>
      <c r="AB42">
        <f>HYPERLINK("https://klasma.github.io/Logging_2034/klagomålsmail/A 21799-2026 FSC-klagomål mail.docx", "A 21799-2026")</f>
        <v/>
      </c>
      <c r="AC42">
        <f>HYPERLINK("https://klasma.github.io/Logging_2034/tillsyn/A 21799-2026 tillsynsbegäran.docx", "A 21799-2026")</f>
        <v/>
      </c>
      <c r="AD42">
        <f>HYPERLINK("https://klasma.github.io/Logging_2034/tillsynsmail/A 21799-2026 tillsynsbegäran mail.docx", "A 21799-2026")</f>
        <v/>
      </c>
      <c r="AE42">
        <f>HYPERLINK("https://klasma.github.io/Logging_2034/fåglar/A 21799-2026 prioriterade fågelarter.docx", "A 21799-2026")</f>
        <v/>
      </c>
    </row>
    <row r="43" ht="15" customHeight="1">
      <c r="A43" t="inlineStr">
        <is>
          <t>A 33366-2023</t>
        </is>
      </c>
      <c r="B43" t="inlineStr">
        <is>
          <t>avverkningsanmälan</t>
        </is>
      </c>
      <c r="C43" t="inlineStr">
        <is>
          <t>Föryngringsavverkning</t>
        </is>
      </c>
      <c r="D43" s="1" t="n">
        <v>45128</v>
      </c>
      <c r="E43" s="1" t="n">
        <v>46230</v>
      </c>
      <c r="F43" t="inlineStr">
        <is>
          <t>DALARNAS LÄN</t>
        </is>
      </c>
      <c r="G43" t="inlineStr">
        <is>
          <t>ORSA</t>
        </is>
      </c>
      <c r="H43" t="inlineStr">
        <is>
          <t>Bergvik skog väst AB</t>
        </is>
      </c>
      <c r="I43" t="n">
        <v>3.5</v>
      </c>
      <c r="J43" t="n">
        <v>2</v>
      </c>
      <c r="K43" t="n">
        <v>0</v>
      </c>
      <c r="L43" t="n">
        <v>4</v>
      </c>
      <c r="M43" t="n">
        <v>1</v>
      </c>
      <c r="N43" t="n">
        <v>0</v>
      </c>
      <c r="O43" t="n">
        <v>0</v>
      </c>
      <c r="P43" t="n">
        <v>0</v>
      </c>
      <c r="Q43" t="n">
        <v>5</v>
      </c>
      <c r="R43" t="n">
        <v>1</v>
      </c>
      <c r="S43" t="n">
        <v>5</v>
      </c>
      <c r="T43" t="n">
        <v>6</v>
      </c>
      <c r="U43" t="n">
        <v>6</v>
      </c>
      <c r="V43" s="2" t="inlineStr">
        <is>
          <t>Garnlav
Lavskrika
Tretåig hackspett
Violettgrå tagellav
Vitgrynig nållav</t>
        </is>
      </c>
      <c r="W43">
        <f>HYPERLINK("https://klasma.github.io/Logging_2034/artfynd/A 33366-2023 artfynd.xlsx", "A 33366-2023")</f>
        <v/>
      </c>
      <c r="X43">
        <f>HYPERLINK("https://klasma.github.io/Logging_2034/kartor/A 33366-2023 karta.png", "A 33366-2023")</f>
        <v/>
      </c>
      <c r="Y43">
        <f>HYPERLINK("https://klasma.github.io/Logging_2034/kartor_geotiff/A 33366-2023 georefererad karta.tif", "A 33366-2023")</f>
        <v/>
      </c>
      <c r="AA43">
        <f>HYPERLINK("https://klasma.github.io/Logging_2034/klagomål/A 33366-2023 FSC-klagomål.docx", "A 33366-2023")</f>
        <v/>
      </c>
      <c r="AB43">
        <f>HYPERLINK("https://klasma.github.io/Logging_2034/klagomålsmail/A 33366-2023 FSC-klagomål mail.docx", "A 33366-2023")</f>
        <v/>
      </c>
      <c r="AC43">
        <f>HYPERLINK("https://klasma.github.io/Logging_2034/tillsyn/A 33366-2023 tillsynsbegäran.docx", "A 33366-2023")</f>
        <v/>
      </c>
      <c r="AD43">
        <f>HYPERLINK("https://klasma.github.io/Logging_2034/tillsynsmail/A 33366-2023 tillsynsbegäran mail.docx", "A 33366-2023")</f>
        <v/>
      </c>
      <c r="AE43">
        <f>HYPERLINK("https://klasma.github.io/Logging_2034/fåglar/A 33366-2023 prioriterade fågelarter.docx", "A 33366-2023")</f>
        <v/>
      </c>
    </row>
    <row r="44" ht="15" customHeight="1">
      <c r="A44" t="inlineStr">
        <is>
          <t>A 51289-2023</t>
        </is>
      </c>
      <c r="B44" t="inlineStr">
        <is>
          <t>avverkningsanmälan</t>
        </is>
      </c>
      <c r="C44" t="inlineStr">
        <is>
          <t>Föryngringsavverkning</t>
        </is>
      </c>
      <c r="D44" s="1" t="n">
        <v>45219</v>
      </c>
      <c r="E44" s="1" t="n">
        <v>46230</v>
      </c>
      <c r="F44" t="inlineStr">
        <is>
          <t>DALARNAS LÄN</t>
        </is>
      </c>
      <c r="G44" t="inlineStr">
        <is>
          <t>ORSA</t>
        </is>
      </c>
      <c r="I44" t="n">
        <v>1.5</v>
      </c>
      <c r="J44" t="n">
        <v>1</v>
      </c>
      <c r="K44" t="n">
        <v>1</v>
      </c>
      <c r="L44" t="n">
        <v>2</v>
      </c>
      <c r="M44" t="n">
        <v>1</v>
      </c>
      <c r="N44" t="n">
        <v>0</v>
      </c>
      <c r="O44" t="n">
        <v>0</v>
      </c>
      <c r="P44" t="n">
        <v>0</v>
      </c>
      <c r="Q44" t="n">
        <v>3</v>
      </c>
      <c r="R44" t="n">
        <v>1</v>
      </c>
      <c r="S44" t="n">
        <v>5</v>
      </c>
      <c r="T44" t="n">
        <v>13</v>
      </c>
      <c r="U44" t="n">
        <v>13</v>
      </c>
      <c r="V44" s="2" t="inlineStr">
        <is>
          <t>Garnlav
Talltagel
Tallticka
Mindre märgborre
Spillkråka</t>
        </is>
      </c>
      <c r="W44">
        <f>HYPERLINK("https://klasma.github.io/Logging_2034/artfynd/A 51289-2023 artfynd.xlsx", "A 51289-2023")</f>
        <v/>
      </c>
      <c r="X44">
        <f>HYPERLINK("https://klasma.github.io/Logging_2034/kartor/A 51289-2023 karta.png", "A 51289-2023")</f>
        <v/>
      </c>
      <c r="Y44">
        <f>HYPERLINK("https://klasma.github.io/Logging_2034/kartor_geotiff/A 51289-2023 georefererad karta.tif", "A 51289-2023")</f>
        <v/>
      </c>
      <c r="AA44">
        <f>HYPERLINK("https://klasma.github.io/Logging_2034/klagomål/A 51289-2023 FSC-klagomål.docx", "A 51289-2023")</f>
        <v/>
      </c>
      <c r="AB44">
        <f>HYPERLINK("https://klasma.github.io/Logging_2034/klagomålsmail/A 51289-2023 FSC-klagomål mail.docx", "A 51289-2023")</f>
        <v/>
      </c>
      <c r="AC44">
        <f>HYPERLINK("https://klasma.github.io/Logging_2034/tillsyn/A 51289-2023 tillsynsbegäran.docx", "A 51289-2023")</f>
        <v/>
      </c>
      <c r="AD44">
        <f>HYPERLINK("https://klasma.github.io/Logging_2034/tillsynsmail/A 51289-2023 tillsynsbegäran mail.docx", "A 51289-2023")</f>
        <v/>
      </c>
      <c r="AE44">
        <f>HYPERLINK("https://klasma.github.io/Logging_2034/fåglar/A 51289-2023 prioriterade fågelarter.docx", "A 51289-2023")</f>
        <v/>
      </c>
    </row>
    <row r="45" ht="15" customHeight="1">
      <c r="A45" t="inlineStr">
        <is>
          <t>A 883-2026</t>
        </is>
      </c>
      <c r="B45" t="inlineStr">
        <is>
          <t>avverkningsanmälan</t>
        </is>
      </c>
      <c r="C45" t="inlineStr">
        <is>
          <t>Föryngringsavverkning</t>
        </is>
      </c>
      <c r="D45" s="1" t="n">
        <v>46030</v>
      </c>
      <c r="E45" s="1" t="n">
        <v>46230</v>
      </c>
      <c r="F45" t="inlineStr">
        <is>
          <t>DALARNAS LÄN</t>
        </is>
      </c>
      <c r="G45" t="inlineStr">
        <is>
          <t>ORSA</t>
        </is>
      </c>
      <c r="I45" t="n">
        <v>2.8</v>
      </c>
      <c r="J45" t="n">
        <v>0</v>
      </c>
      <c r="K45" t="n">
        <v>0</v>
      </c>
      <c r="L45" t="n">
        <v>4</v>
      </c>
      <c r="M45" t="n">
        <v>1</v>
      </c>
      <c r="N45" t="n">
        <v>0</v>
      </c>
      <c r="O45" t="n">
        <v>0</v>
      </c>
      <c r="P45" t="n">
        <v>0</v>
      </c>
      <c r="Q45" t="n">
        <v>5</v>
      </c>
      <c r="R45" t="n">
        <v>1</v>
      </c>
      <c r="S45" t="n">
        <v>5</v>
      </c>
      <c r="T45" t="n">
        <v>8</v>
      </c>
      <c r="U45" t="n">
        <v>0</v>
      </c>
      <c r="V45" s="2" t="inlineStr">
        <is>
          <t>Garnlav
Rosenticka
Rynkskinn
Ullticka
Vedtrappmossa</t>
        </is>
      </c>
      <c r="W45">
        <f>HYPERLINK("https://klasma.github.io/Logging_2034/artfynd/A 883-2026 artfynd.xlsx", "A 883-2026")</f>
        <v/>
      </c>
      <c r="X45">
        <f>HYPERLINK("https://klasma.github.io/Logging_2034/kartor/A 883-2026 karta.png", "A 883-2026")</f>
        <v/>
      </c>
      <c r="Y45">
        <f>HYPERLINK("https://klasma.github.io/Logging_2034/kartor_geotiff/A 883-2026 georefererad karta.tif", "A 883-2026")</f>
        <v/>
      </c>
      <c r="AA45">
        <f>HYPERLINK("https://klasma.github.io/Logging_2034/klagomål/A 883-2026 FSC-klagomål.docx", "A 883-2026")</f>
        <v/>
      </c>
      <c r="AB45">
        <f>HYPERLINK("https://klasma.github.io/Logging_2034/klagomålsmail/A 883-2026 FSC-klagomål mail.docx", "A 883-2026")</f>
        <v/>
      </c>
      <c r="AC45">
        <f>HYPERLINK("https://klasma.github.io/Logging_2034/tillsyn/A 883-2026 tillsynsbegäran.docx", "A 883-2026")</f>
        <v/>
      </c>
      <c r="AD45">
        <f>HYPERLINK("https://klasma.github.io/Logging_2034/tillsynsmail/A 883-2026 tillsynsbegäran mail.docx", "A 883-2026")</f>
        <v/>
      </c>
    </row>
    <row r="46" ht="15" customHeight="1">
      <c r="A46" t="inlineStr">
        <is>
          <t>A 8579-2025</t>
        </is>
      </c>
      <c r="B46" t="inlineStr">
        <is>
          <t>avverkningsanmälan</t>
        </is>
      </c>
      <c r="C46" t="inlineStr">
        <is>
          <t>Avverkning för att bevara och utveckla /försöksver</t>
        </is>
      </c>
      <c r="D46" s="1" t="n">
        <v>45709</v>
      </c>
      <c r="E46" s="1" t="n">
        <v>46230</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18009-2023</t>
        </is>
      </c>
      <c r="B47" t="inlineStr">
        <is>
          <t>avverkningsanmälan</t>
        </is>
      </c>
      <c r="C47" t="inlineStr">
        <is>
          <t>Föryngringsavverkning</t>
        </is>
      </c>
      <c r="D47" s="1" t="n">
        <v>45040</v>
      </c>
      <c r="E47" s="1" t="n">
        <v>46230</v>
      </c>
      <c r="F47" t="inlineStr">
        <is>
          <t>DALARNAS LÄN</t>
        </is>
      </c>
      <c r="G47" t="inlineStr">
        <is>
          <t>ORSA</t>
        </is>
      </c>
      <c r="I47" t="n">
        <v>5.8</v>
      </c>
      <c r="J47" t="n">
        <v>3</v>
      </c>
      <c r="K47" t="n">
        <v>2</v>
      </c>
      <c r="L47" t="n">
        <v>0</v>
      </c>
      <c r="M47" t="n">
        <v>0</v>
      </c>
      <c r="N47" t="n">
        <v>0</v>
      </c>
      <c r="O47" t="n">
        <v>0</v>
      </c>
      <c r="P47" t="n">
        <v>0</v>
      </c>
      <c r="Q47" t="n">
        <v>0</v>
      </c>
      <c r="R47" t="n">
        <v>0</v>
      </c>
      <c r="S47" t="n">
        <v>4</v>
      </c>
      <c r="T47" t="n">
        <v>4</v>
      </c>
      <c r="U47" t="n">
        <v>4</v>
      </c>
      <c r="V47" s="2" t="inlineStr">
        <is>
          <t>Guckusko
Tibast
Blåsippa
Fläcknycklar</t>
        </is>
      </c>
      <c r="W47">
        <f>HYPERLINK("https://klasma.github.io/Logging_2034/artfynd/A 18009-2023 artfynd.xlsx", "A 18009-2023")</f>
        <v/>
      </c>
      <c r="X47">
        <f>HYPERLINK("https://klasma.github.io/Logging_2034/kartor/A 18009-2023 karta.png", "A 18009-2023")</f>
        <v/>
      </c>
      <c r="Y47">
        <f>HYPERLINK("https://klasma.github.io/Logging_2034/kartor_geotiff/A 18009-2023 georefererad karta.tif", "A 18009-2023")</f>
        <v/>
      </c>
      <c r="AA47">
        <f>HYPERLINK("https://klasma.github.io/Logging_2034/klagomål/A 18009-2023 FSC-klagomål.docx", "A 18009-2023")</f>
        <v/>
      </c>
      <c r="AB47">
        <f>HYPERLINK("https://klasma.github.io/Logging_2034/klagomålsmail/A 18009-2023 FSC-klagomål mail.docx", "A 18009-2023")</f>
        <v/>
      </c>
      <c r="AC47">
        <f>HYPERLINK("https://klasma.github.io/Logging_2034/tillsyn/A 18009-2023 tillsynsbegäran.docx", "A 18009-2023")</f>
        <v/>
      </c>
      <c r="AD47">
        <f>HYPERLINK("https://klasma.github.io/Logging_2034/tillsynsmail/A 18009-2023 tillsynsbegäran mail.docx", "A 18009-2023")</f>
        <v/>
      </c>
    </row>
    <row r="48" ht="15" customHeight="1">
      <c r="A48" t="inlineStr">
        <is>
          <t>A 51070-2025</t>
        </is>
      </c>
      <c r="B48" t="inlineStr">
        <is>
          <t>avverkningsanmälan</t>
        </is>
      </c>
      <c r="C48" t="inlineStr">
        <is>
          <t>Föryngringsavverkning</t>
        </is>
      </c>
      <c r="D48" s="1" t="n">
        <v>45947</v>
      </c>
      <c r="E48" s="1" t="n">
        <v>46230</v>
      </c>
      <c r="F48" t="inlineStr">
        <is>
          <t>DALARNAS LÄN</t>
        </is>
      </c>
      <c r="G48" t="inlineStr">
        <is>
          <t>ORSA</t>
        </is>
      </c>
      <c r="I48" t="n">
        <v>2.8</v>
      </c>
      <c r="J48" t="n">
        <v>2</v>
      </c>
      <c r="K48" t="n">
        <v>0</v>
      </c>
      <c r="L48" t="n">
        <v>2</v>
      </c>
      <c r="M48" t="n">
        <v>1</v>
      </c>
      <c r="N48" t="n">
        <v>0</v>
      </c>
      <c r="O48" t="n">
        <v>0</v>
      </c>
      <c r="P48" t="n">
        <v>0</v>
      </c>
      <c r="Q48" t="n">
        <v>3</v>
      </c>
      <c r="R48" t="n">
        <v>1</v>
      </c>
      <c r="S48" t="n">
        <v>4</v>
      </c>
      <c r="T48" t="n">
        <v>7</v>
      </c>
      <c r="U48" t="n">
        <v>7</v>
      </c>
      <c r="V48" s="2" t="inlineStr">
        <is>
          <t>Garnlav
Lunglav
Tretåig hackspett
Tjäder</t>
        </is>
      </c>
      <c r="W48">
        <f>HYPERLINK("https://klasma.github.io/Logging_2034/artfynd/A 51070-2025 artfynd.xlsx", "A 51070-2025")</f>
        <v/>
      </c>
      <c r="X48">
        <f>HYPERLINK("https://klasma.github.io/Logging_2034/kartor/A 51070-2025 karta.png", "A 51070-2025")</f>
        <v/>
      </c>
      <c r="Y48">
        <f>HYPERLINK("https://klasma.github.io/Logging_2034/kartor_geotiff/A 51070-2025 georefererad karta.tif", "A 51070-2025")</f>
        <v/>
      </c>
      <c r="AA48">
        <f>HYPERLINK("https://klasma.github.io/Logging_2034/klagomål/A 51070-2025 FSC-klagomål.docx", "A 51070-2025")</f>
        <v/>
      </c>
      <c r="AB48">
        <f>HYPERLINK("https://klasma.github.io/Logging_2034/klagomålsmail/A 51070-2025 FSC-klagomål mail.docx", "A 51070-2025")</f>
        <v/>
      </c>
      <c r="AC48">
        <f>HYPERLINK("https://klasma.github.io/Logging_2034/tillsyn/A 51070-2025 tillsynsbegäran.docx", "A 51070-2025")</f>
        <v/>
      </c>
      <c r="AD48">
        <f>HYPERLINK("https://klasma.github.io/Logging_2034/tillsynsmail/A 51070-2025 tillsynsbegäran mail.docx", "A 51070-2025")</f>
        <v/>
      </c>
      <c r="AE48">
        <f>HYPERLINK("https://klasma.github.io/Logging_2034/fåglar/A 51070-2025 prioriterade fågelarter.docx", "A 51070-2025")</f>
        <v/>
      </c>
    </row>
    <row r="49" ht="15" customHeight="1">
      <c r="A49" t="inlineStr">
        <is>
          <t>A 48499-2024</t>
        </is>
      </c>
      <c r="B49" t="inlineStr">
        <is>
          <t>avverkningsanmälan</t>
        </is>
      </c>
      <c r="C49" t="inlineStr">
        <is>
          <t>Föryngringsavverkning</t>
        </is>
      </c>
      <c r="D49" s="1" t="n">
        <v>45592</v>
      </c>
      <c r="E49" s="1" t="n">
        <v>46230</v>
      </c>
      <c r="F49" t="inlineStr">
        <is>
          <t>DALARNAS LÄN</t>
        </is>
      </c>
      <c r="G49" t="inlineStr">
        <is>
          <t>ORSA</t>
        </is>
      </c>
      <c r="I49" t="n">
        <v>11.1</v>
      </c>
      <c r="J49" t="n">
        <v>2</v>
      </c>
      <c r="K49" t="n">
        <v>0</v>
      </c>
      <c r="L49" t="n">
        <v>2</v>
      </c>
      <c r="M49" t="n">
        <v>1</v>
      </c>
      <c r="N49" t="n">
        <v>0</v>
      </c>
      <c r="O49" t="n">
        <v>0</v>
      </c>
      <c r="P49" t="n">
        <v>0</v>
      </c>
      <c r="Q49" t="n">
        <v>3</v>
      </c>
      <c r="R49" t="n">
        <v>1</v>
      </c>
      <c r="S49" t="n">
        <v>4</v>
      </c>
      <c r="T49" t="n">
        <v>30</v>
      </c>
      <c r="U49" t="n">
        <v>30</v>
      </c>
      <c r="V49" s="2" t="inlineStr">
        <is>
          <t>Garnlav
Skogshare
Tretåig hackspett
Spillkråka</t>
        </is>
      </c>
      <c r="W49">
        <f>HYPERLINK("https://klasma.github.io/Logging_2034/artfynd/A 48499-2024 artfynd.xlsx", "A 48499-2024")</f>
        <v/>
      </c>
      <c r="X49">
        <f>HYPERLINK("https://klasma.github.io/Logging_2034/kartor/A 48499-2024 karta.png", "A 48499-2024")</f>
        <v/>
      </c>
      <c r="Y49">
        <f>HYPERLINK("https://klasma.github.io/Logging_2034/kartor_geotiff/A 48499-2024 georefererad karta.tif", "A 48499-2024")</f>
        <v/>
      </c>
      <c r="AA49">
        <f>HYPERLINK("https://klasma.github.io/Logging_2034/klagomål/A 48499-2024 FSC-klagomål.docx", "A 48499-2024")</f>
        <v/>
      </c>
      <c r="AB49">
        <f>HYPERLINK("https://klasma.github.io/Logging_2034/klagomålsmail/A 48499-2024 FSC-klagomål mail.docx", "A 48499-2024")</f>
        <v/>
      </c>
      <c r="AC49">
        <f>HYPERLINK("https://klasma.github.io/Logging_2034/tillsyn/A 48499-2024 tillsynsbegäran.docx", "A 48499-2024")</f>
        <v/>
      </c>
      <c r="AD49">
        <f>HYPERLINK("https://klasma.github.io/Logging_2034/tillsynsmail/A 48499-2024 tillsynsbegäran mail.docx", "A 48499-2024")</f>
        <v/>
      </c>
      <c r="AE49">
        <f>HYPERLINK("https://klasma.github.io/Logging_2034/fåglar/A 48499-2024 prioriterade fågelarter.docx", "A 48499-2024")</f>
        <v/>
      </c>
    </row>
    <row r="50" ht="15" customHeight="1">
      <c r="A50" t="inlineStr">
        <is>
          <t>A 62837-2025</t>
        </is>
      </c>
      <c r="B50" t="inlineStr">
        <is>
          <t>avverkningsanmälan</t>
        </is>
      </c>
      <c r="C50" t="inlineStr">
        <is>
          <t>Föryngringsavverkning</t>
        </is>
      </c>
      <c r="D50" s="1" t="n">
        <v>46008</v>
      </c>
      <c r="E50" s="1" t="n">
        <v>46230</v>
      </c>
      <c r="F50" t="inlineStr">
        <is>
          <t>DALARNAS LÄN</t>
        </is>
      </c>
      <c r="G50" t="inlineStr">
        <is>
          <t>ORSA</t>
        </is>
      </c>
      <c r="I50" t="n">
        <v>6.8</v>
      </c>
      <c r="J50" t="n">
        <v>3</v>
      </c>
      <c r="K50" t="n">
        <v>0</v>
      </c>
      <c r="L50" t="n">
        <v>1</v>
      </c>
      <c r="M50" t="n">
        <v>1</v>
      </c>
      <c r="N50" t="n">
        <v>0</v>
      </c>
      <c r="O50" t="n">
        <v>0</v>
      </c>
      <c r="P50" t="n">
        <v>0</v>
      </c>
      <c r="Q50" t="n">
        <v>2</v>
      </c>
      <c r="R50" t="n">
        <v>1</v>
      </c>
      <c r="S50" t="n">
        <v>4</v>
      </c>
      <c r="T50" t="n">
        <v>26</v>
      </c>
      <c r="U50" t="n">
        <v>25</v>
      </c>
      <c r="V50" s="2" t="inlineStr">
        <is>
          <t>Garnlav
Tretåig hackspett
Järpe
Spillkråka</t>
        </is>
      </c>
      <c r="W50">
        <f>HYPERLINK("https://klasma.github.io/Logging_2034/artfynd/A 62837-2025 artfynd.xlsx", "A 62837-2025")</f>
        <v/>
      </c>
      <c r="X50">
        <f>HYPERLINK("https://klasma.github.io/Logging_2034/kartor/A 62837-2025 karta.png", "A 62837-2025")</f>
        <v/>
      </c>
      <c r="Y50">
        <f>HYPERLINK("https://klasma.github.io/Logging_2034/kartor_geotiff/A 62837-2025 georefererad karta.tif", "A 62837-2025")</f>
        <v/>
      </c>
      <c r="AA50">
        <f>HYPERLINK("https://klasma.github.io/Logging_2034/klagomål/A 62837-2025 FSC-klagomål.docx", "A 62837-2025")</f>
        <v/>
      </c>
      <c r="AB50">
        <f>HYPERLINK("https://klasma.github.io/Logging_2034/klagomålsmail/A 62837-2025 FSC-klagomål mail.docx", "A 62837-2025")</f>
        <v/>
      </c>
      <c r="AC50">
        <f>HYPERLINK("https://klasma.github.io/Logging_2034/tillsyn/A 62837-2025 tillsynsbegäran.docx", "A 62837-2025")</f>
        <v/>
      </c>
      <c r="AD50">
        <f>HYPERLINK("https://klasma.github.io/Logging_2034/tillsynsmail/A 62837-2025 tillsynsbegäran mail.docx", "A 62837-2025")</f>
        <v/>
      </c>
      <c r="AE50">
        <f>HYPERLINK("https://klasma.github.io/Logging_2034/fåglar/A 62837-2025 prioriterade fågelarter.docx", "A 62837-2025")</f>
        <v/>
      </c>
    </row>
    <row r="51" ht="15" customHeight="1">
      <c r="A51" t="inlineStr">
        <is>
          <t>A 35570-2024</t>
        </is>
      </c>
      <c r="B51" t="inlineStr">
        <is>
          <t>avverkningsanmälan</t>
        </is>
      </c>
      <c r="C51" t="inlineStr">
        <is>
          <t>Föryngringsavverkning</t>
        </is>
      </c>
      <c r="D51" s="1" t="n">
        <v>45531</v>
      </c>
      <c r="E51" s="1" t="n">
        <v>46230</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t="n">
        <v>46</v>
      </c>
      <c r="V51" s="2" t="inlineStr">
        <is>
          <t>Garnlav
Dropptaggsvamp
Tretåig hackspett
Violettgrå tagellav</t>
        </is>
      </c>
      <c r="W51">
        <f>HYPERLINK("https://klasma.github.io/Logging_2034/artfynd/A 35570-2024 artfynd.xlsx", "A 35570-2024")</f>
        <v/>
      </c>
      <c r="X51">
        <f>HYPERLINK("https://klasma.github.io/Logging_2034/kartor/A 35570-2024 karta.png", "A 35570-2024")</f>
        <v/>
      </c>
      <c r="Y51">
        <f>HYPERLINK("https://klasma.github.io/Logging_2034/kartor_geotiff/A 35570-2024 georefererad karta.tif", "A 35570-2024")</f>
        <v/>
      </c>
      <c r="AA51">
        <f>HYPERLINK("https://klasma.github.io/Logging_2034/klagomål/A 35570-2024 FSC-klagomål.docx", "A 35570-2024")</f>
        <v/>
      </c>
      <c r="AB51">
        <f>HYPERLINK("https://klasma.github.io/Logging_2034/klagomålsmail/A 35570-2024 FSC-klagomål mail.docx", "A 35570-2024")</f>
        <v/>
      </c>
      <c r="AC51">
        <f>HYPERLINK("https://klasma.github.io/Logging_2034/tillsyn/A 35570-2024 tillsynsbegäran.docx", "A 35570-2024")</f>
        <v/>
      </c>
      <c r="AD51">
        <f>HYPERLINK("https://klasma.github.io/Logging_2034/tillsynsmail/A 35570-2024 tillsynsbegäran mail.docx", "A 35570-2024")</f>
        <v/>
      </c>
      <c r="AE51">
        <f>HYPERLINK("https://klasma.github.io/Logging_2034/fåglar/A 35570-2024 prioriterade fågelarter.docx", "A 35570-2024")</f>
        <v/>
      </c>
    </row>
    <row r="52" ht="15" customHeight="1">
      <c r="A52" t="inlineStr">
        <is>
          <t>A 21747-2025</t>
        </is>
      </c>
      <c r="B52" t="inlineStr">
        <is>
          <t>avverkningsanmälan</t>
        </is>
      </c>
      <c r="C52" t="inlineStr">
        <is>
          <t>Föryngringsavverkning</t>
        </is>
      </c>
      <c r="D52" s="1" t="n">
        <v>45783</v>
      </c>
      <c r="E52" s="1" t="n">
        <v>46230</v>
      </c>
      <c r="F52" t="inlineStr">
        <is>
          <t>DALARNAS LÄN</t>
        </is>
      </c>
      <c r="G52" t="inlineStr">
        <is>
          <t>ORSA</t>
        </is>
      </c>
      <c r="I52" t="n">
        <v>1.2</v>
      </c>
      <c r="J52" t="n">
        <v>1</v>
      </c>
      <c r="K52" t="n">
        <v>1</v>
      </c>
      <c r="L52" t="n">
        <v>2</v>
      </c>
      <c r="M52" t="n">
        <v>1</v>
      </c>
      <c r="N52" t="n">
        <v>0</v>
      </c>
      <c r="O52" t="n">
        <v>0</v>
      </c>
      <c r="P52" t="n">
        <v>0</v>
      </c>
      <c r="Q52" t="n">
        <v>3</v>
      </c>
      <c r="R52" t="n">
        <v>1</v>
      </c>
      <c r="S52" t="n">
        <v>4</v>
      </c>
      <c r="T52" t="n">
        <v>5</v>
      </c>
      <c r="U52" t="n">
        <v>5</v>
      </c>
      <c r="V52" s="2" t="inlineStr">
        <is>
          <t>Garnlav
Tretåig hackspett
Violettgrå tagellav
Mindre märgborre</t>
        </is>
      </c>
      <c r="W52">
        <f>HYPERLINK("https://klasma.github.io/Logging_2034/artfynd/A 21747-2025 artfynd.xlsx", "A 21747-2025")</f>
        <v/>
      </c>
      <c r="X52">
        <f>HYPERLINK("https://klasma.github.io/Logging_2034/kartor/A 21747-2025 karta.png", "A 21747-2025")</f>
        <v/>
      </c>
      <c r="Y52">
        <f>HYPERLINK("https://klasma.github.io/Logging_2034/kartor_geotiff/A 21747-2025 georefererad karta.tif", "A 21747-2025")</f>
        <v/>
      </c>
      <c r="AA52">
        <f>HYPERLINK("https://klasma.github.io/Logging_2034/klagomål/A 21747-2025 FSC-klagomål.docx", "A 21747-2025")</f>
        <v/>
      </c>
      <c r="AB52">
        <f>HYPERLINK("https://klasma.github.io/Logging_2034/klagomålsmail/A 21747-2025 FSC-klagomål mail.docx", "A 21747-2025")</f>
        <v/>
      </c>
      <c r="AC52">
        <f>HYPERLINK("https://klasma.github.io/Logging_2034/tillsyn/A 21747-2025 tillsynsbegäran.docx", "A 21747-2025")</f>
        <v/>
      </c>
      <c r="AD52">
        <f>HYPERLINK("https://klasma.github.io/Logging_2034/tillsynsmail/A 21747-2025 tillsynsbegäran mail.docx", "A 21747-2025")</f>
        <v/>
      </c>
      <c r="AE52">
        <f>HYPERLINK("https://klasma.github.io/Logging_2034/fåglar/A 21747-2025 prioriterade fågelarter.docx", "A 21747-2025")</f>
        <v/>
      </c>
    </row>
    <row r="53" ht="15" customHeight="1">
      <c r="A53" t="inlineStr">
        <is>
          <t>A 48343-2022</t>
        </is>
      </c>
      <c r="B53" t="inlineStr">
        <is>
          <t>avverkningsanmälan</t>
        </is>
      </c>
      <c r="C53" t="inlineStr">
        <is>
          <t>Avverkning för annat ändamål</t>
        </is>
      </c>
      <c r="D53" s="1" t="n">
        <v>44858</v>
      </c>
      <c r="E53" s="1" t="n">
        <v>46230</v>
      </c>
      <c r="F53" t="inlineStr">
        <is>
          <t>DALARNAS LÄN</t>
        </is>
      </c>
      <c r="G53" t="inlineStr">
        <is>
          <t>ORSA</t>
        </is>
      </c>
      <c r="I53" t="n">
        <v>1.6</v>
      </c>
      <c r="J53" t="n">
        <v>2</v>
      </c>
      <c r="K53" t="n">
        <v>0</v>
      </c>
      <c r="L53" t="n">
        <v>1</v>
      </c>
      <c r="M53" t="n">
        <v>1</v>
      </c>
      <c r="N53" t="n">
        <v>0</v>
      </c>
      <c r="O53" t="n">
        <v>0</v>
      </c>
      <c r="P53" t="n">
        <v>0</v>
      </c>
      <c r="Q53" t="n">
        <v>2</v>
      </c>
      <c r="R53" t="n">
        <v>1</v>
      </c>
      <c r="S53" t="n">
        <v>3</v>
      </c>
      <c r="T53" t="n">
        <v>7</v>
      </c>
      <c r="U53" t="n">
        <v>6</v>
      </c>
      <c r="V53" s="2" t="inlineStr">
        <is>
          <t>Igelkott
Nordfladdermus
Vattenfladdermus</t>
        </is>
      </c>
      <c r="W53">
        <f>HYPERLINK("https://klasma.github.io/Logging_2034/artfynd/A 48343-2022 artfynd.xlsx", "A 48343-2022")</f>
        <v/>
      </c>
      <c r="X53">
        <f>HYPERLINK("https://klasma.github.io/Logging_2034/kartor/A 48343-2022 karta.png", "A 48343-2022")</f>
        <v/>
      </c>
      <c r="Y53">
        <f>HYPERLINK("https://klasma.github.io/Logging_2034/kartor_geotiff/A 48343-2022 georefererad karta.tif", "A 48343-2022")</f>
        <v/>
      </c>
      <c r="AA53">
        <f>HYPERLINK("https://klasma.github.io/Logging_2034/klagomål/A 48343-2022 FSC-klagomål.docx", "A 48343-2022")</f>
        <v/>
      </c>
      <c r="AB53">
        <f>HYPERLINK("https://klasma.github.io/Logging_2034/klagomålsmail/A 48343-2022 FSC-klagomål mail.docx", "A 48343-2022")</f>
        <v/>
      </c>
      <c r="AC53">
        <f>HYPERLINK("https://klasma.github.io/Logging_2034/tillsyn/A 48343-2022 tillsynsbegäran.docx", "A 48343-2022")</f>
        <v/>
      </c>
      <c r="AD53">
        <f>HYPERLINK("https://klasma.github.io/Logging_2034/tillsynsmail/A 48343-2022 tillsynsbegäran mail.docx", "A 48343-2022")</f>
        <v/>
      </c>
    </row>
    <row r="54" ht="15" customHeight="1">
      <c r="A54" t="inlineStr">
        <is>
          <t>A 37457-2025</t>
        </is>
      </c>
      <c r="B54" t="inlineStr">
        <is>
          <t>avverkningsanmälan</t>
        </is>
      </c>
      <c r="C54" t="inlineStr">
        <is>
          <t>Föryngringsavverkning</t>
        </is>
      </c>
      <c r="D54" s="1" t="n">
        <v>45877</v>
      </c>
      <c r="E54" s="1" t="n">
        <v>46230</v>
      </c>
      <c r="F54" t="inlineStr">
        <is>
          <t>DALARNAS LÄN</t>
        </is>
      </c>
      <c r="G54" t="inlineStr">
        <is>
          <t>ORSA</t>
        </is>
      </c>
      <c r="H54" t="inlineStr">
        <is>
          <t>Allmännings- och besparingsskogar</t>
        </is>
      </c>
      <c r="I54" t="n">
        <v>6.5</v>
      </c>
      <c r="J54" t="n">
        <v>0</v>
      </c>
      <c r="K54" t="n">
        <v>0</v>
      </c>
      <c r="L54" t="n">
        <v>2</v>
      </c>
      <c r="M54" t="n">
        <v>0</v>
      </c>
      <c r="N54" t="n">
        <v>1</v>
      </c>
      <c r="O54" t="n">
        <v>0</v>
      </c>
      <c r="P54" t="n">
        <v>0</v>
      </c>
      <c r="Q54" t="n">
        <v>3</v>
      </c>
      <c r="R54" t="n">
        <v>1</v>
      </c>
      <c r="S54" t="n">
        <v>3</v>
      </c>
      <c r="T54" t="n">
        <v>3</v>
      </c>
      <c r="U54" t="n">
        <v>0</v>
      </c>
      <c r="V54" s="2" t="inlineStr">
        <is>
          <t>Urskogsporing
Blanksvart spiklav
Dvärgbägarlav</t>
        </is>
      </c>
      <c r="W54">
        <f>HYPERLINK("https://klasma.github.io/Logging_2034/artfynd/A 37457-2025 artfynd.xlsx", "A 37457-2025")</f>
        <v/>
      </c>
      <c r="X54">
        <f>HYPERLINK("https://klasma.github.io/Logging_2034/kartor/A 37457-2025 karta.png", "A 37457-2025")</f>
        <v/>
      </c>
      <c r="Y54">
        <f>HYPERLINK("https://klasma.github.io/Logging_2034/kartor_geotiff/A 37457-2025 georefererad karta.tif", "A 37457-2025")</f>
        <v/>
      </c>
      <c r="AA54">
        <f>HYPERLINK("https://klasma.github.io/Logging_2034/klagomål/A 37457-2025 FSC-klagomål.docx", "A 37457-2025")</f>
        <v/>
      </c>
      <c r="AB54">
        <f>HYPERLINK("https://klasma.github.io/Logging_2034/klagomålsmail/A 37457-2025 FSC-klagomål mail.docx", "A 37457-2025")</f>
        <v/>
      </c>
      <c r="AC54">
        <f>HYPERLINK("https://klasma.github.io/Logging_2034/tillsyn/A 37457-2025 tillsynsbegäran.docx", "A 37457-2025")</f>
        <v/>
      </c>
      <c r="AD54">
        <f>HYPERLINK("https://klasma.github.io/Logging_2034/tillsynsmail/A 37457-2025 tillsynsbegäran mail.docx", "A 37457-2025")</f>
        <v/>
      </c>
    </row>
    <row r="55" ht="15" customHeight="1">
      <c r="A55" t="inlineStr">
        <is>
          <t>A 51303-2023</t>
        </is>
      </c>
      <c r="B55" t="inlineStr">
        <is>
          <t>avverkningsanmälan</t>
        </is>
      </c>
      <c r="C55" t="inlineStr">
        <is>
          <t>Föryngringsavverkning</t>
        </is>
      </c>
      <c r="D55" s="1" t="n">
        <v>45219</v>
      </c>
      <c r="E55" s="1" t="n">
        <v>46230</v>
      </c>
      <c r="F55" t="inlineStr">
        <is>
          <t>DALARNAS LÄN</t>
        </is>
      </c>
      <c r="G55" t="inlineStr">
        <is>
          <t>ORSA</t>
        </is>
      </c>
      <c r="I55" t="n">
        <v>1.8</v>
      </c>
      <c r="J55" t="n">
        <v>1</v>
      </c>
      <c r="K55" t="n">
        <v>1</v>
      </c>
      <c r="L55" t="n">
        <v>1</v>
      </c>
      <c r="M55" t="n">
        <v>0</v>
      </c>
      <c r="N55" t="n">
        <v>0</v>
      </c>
      <c r="O55" t="n">
        <v>0</v>
      </c>
      <c r="P55" t="n">
        <v>0</v>
      </c>
      <c r="Q55" t="n">
        <v>1</v>
      </c>
      <c r="R55" t="n">
        <v>0</v>
      </c>
      <c r="S55" t="n">
        <v>3</v>
      </c>
      <c r="T55" t="n">
        <v>9</v>
      </c>
      <c r="U55" t="n">
        <v>9</v>
      </c>
      <c r="V55" s="2" t="inlineStr">
        <is>
          <t>Tallticka
Mindre märgborre
Spillkråka</t>
        </is>
      </c>
      <c r="W55">
        <f>HYPERLINK("https://klasma.github.io/Logging_2034/artfynd/A 51303-2023 artfynd.xlsx", "A 51303-2023")</f>
        <v/>
      </c>
      <c r="X55">
        <f>HYPERLINK("https://klasma.github.io/Logging_2034/kartor/A 51303-2023 karta.png", "A 51303-2023")</f>
        <v/>
      </c>
      <c r="Y55">
        <f>HYPERLINK("https://klasma.github.io/Logging_2034/kartor_geotiff/A 51303-2023 georefererad karta.tif", "A 51303-2023")</f>
        <v/>
      </c>
      <c r="AA55">
        <f>HYPERLINK("https://klasma.github.io/Logging_2034/klagomål/A 51303-2023 FSC-klagomål.docx", "A 51303-2023")</f>
        <v/>
      </c>
      <c r="AB55">
        <f>HYPERLINK("https://klasma.github.io/Logging_2034/klagomålsmail/A 51303-2023 FSC-klagomål mail.docx", "A 51303-2023")</f>
        <v/>
      </c>
      <c r="AC55">
        <f>HYPERLINK("https://klasma.github.io/Logging_2034/tillsyn/A 51303-2023 tillsynsbegäran.docx", "A 51303-2023")</f>
        <v/>
      </c>
      <c r="AD55">
        <f>HYPERLINK("https://klasma.github.io/Logging_2034/tillsynsmail/A 51303-2023 tillsynsbegäran mail.docx", "A 51303-2023")</f>
        <v/>
      </c>
      <c r="AE55">
        <f>HYPERLINK("https://klasma.github.io/Logging_2034/fåglar/A 51303-2023 prioriterade fågelarter.docx", "A 51303-2023")</f>
        <v/>
      </c>
    </row>
    <row r="56" ht="15" customHeight="1">
      <c r="A56" t="inlineStr">
        <is>
          <t>A 41553-2025</t>
        </is>
      </c>
      <c r="B56" t="inlineStr">
        <is>
          <t>avverkningsanmälan</t>
        </is>
      </c>
      <c r="C56" t="inlineStr">
        <is>
          <t>Föryngringsavverkning</t>
        </is>
      </c>
      <c r="D56" s="1" t="n">
        <v>45901</v>
      </c>
      <c r="E56" s="1" t="n">
        <v>46230</v>
      </c>
      <c r="F56" t="inlineStr">
        <is>
          <t>DALARNAS LÄN</t>
        </is>
      </c>
      <c r="G56" t="inlineStr">
        <is>
          <t>ORSA</t>
        </is>
      </c>
      <c r="H56" t="inlineStr">
        <is>
          <t>Bergvik skog väst AB</t>
        </is>
      </c>
      <c r="I56" t="n">
        <v>2.2</v>
      </c>
      <c r="J56" t="n">
        <v>0</v>
      </c>
      <c r="K56" t="n">
        <v>1</v>
      </c>
      <c r="L56" t="n">
        <v>1</v>
      </c>
      <c r="M56" t="n">
        <v>1</v>
      </c>
      <c r="N56" t="n">
        <v>0</v>
      </c>
      <c r="O56" t="n">
        <v>0</v>
      </c>
      <c r="P56" t="n">
        <v>0</v>
      </c>
      <c r="Q56" t="n">
        <v>2</v>
      </c>
      <c r="R56" t="n">
        <v>1</v>
      </c>
      <c r="S56" t="n">
        <v>3</v>
      </c>
      <c r="T56" t="n">
        <v>5</v>
      </c>
      <c r="U56" t="n">
        <v>1</v>
      </c>
      <c r="V56" s="2" t="inlineStr">
        <is>
          <t>Honungsticka
Rosenticka
Rävticka</t>
        </is>
      </c>
      <c r="W56">
        <f>HYPERLINK("https://klasma.github.io/Logging_2034/artfynd/A 41553-2025 artfynd.xlsx", "A 41553-2025")</f>
        <v/>
      </c>
      <c r="X56">
        <f>HYPERLINK("https://klasma.github.io/Logging_2034/kartor/A 41553-2025 karta.png", "A 41553-2025")</f>
        <v/>
      </c>
      <c r="Y56">
        <f>HYPERLINK("https://klasma.github.io/Logging_2034/kartor_geotiff/A 41553-2025 georefererad karta.tif", "A 41553-2025")</f>
        <v/>
      </c>
      <c r="AA56">
        <f>HYPERLINK("https://klasma.github.io/Logging_2034/klagomål/A 41553-2025 FSC-klagomål.docx", "A 41553-2025")</f>
        <v/>
      </c>
      <c r="AB56">
        <f>HYPERLINK("https://klasma.github.io/Logging_2034/klagomålsmail/A 41553-2025 FSC-klagomål mail.docx", "A 41553-2025")</f>
        <v/>
      </c>
      <c r="AC56">
        <f>HYPERLINK("https://klasma.github.io/Logging_2034/tillsyn/A 41553-2025 tillsynsbegäran.docx", "A 41553-2025")</f>
        <v/>
      </c>
      <c r="AD56">
        <f>HYPERLINK("https://klasma.github.io/Logging_2034/tillsynsmail/A 41553-2025 tillsynsbegäran mail.docx", "A 41553-2025")</f>
        <v/>
      </c>
    </row>
    <row r="57" ht="15" customHeight="1">
      <c r="A57" t="inlineStr">
        <is>
          <t>A 64154-2025</t>
        </is>
      </c>
      <c r="B57" t="inlineStr">
        <is>
          <t>avverkningsanmälan</t>
        </is>
      </c>
      <c r="C57" t="inlineStr">
        <is>
          <t>Föryngringsavverkning</t>
        </is>
      </c>
      <c r="D57" s="1" t="n">
        <v>46022</v>
      </c>
      <c r="E57" s="1" t="n">
        <v>46230</v>
      </c>
      <c r="F57" t="inlineStr">
        <is>
          <t>DALARNAS LÄN</t>
        </is>
      </c>
      <c r="G57" t="inlineStr">
        <is>
          <t>ORSA</t>
        </is>
      </c>
      <c r="I57" t="n">
        <v>29.9</v>
      </c>
      <c r="J57" t="n">
        <v>1</v>
      </c>
      <c r="K57" t="n">
        <v>1</v>
      </c>
      <c r="L57" t="n">
        <v>1</v>
      </c>
      <c r="M57" t="n">
        <v>1</v>
      </c>
      <c r="N57" t="n">
        <v>0</v>
      </c>
      <c r="O57" t="n">
        <v>0</v>
      </c>
      <c r="P57" t="n">
        <v>0</v>
      </c>
      <c r="Q57" t="n">
        <v>2</v>
      </c>
      <c r="R57" t="n">
        <v>1</v>
      </c>
      <c r="S57" t="n">
        <v>3</v>
      </c>
      <c r="T57" t="n">
        <v>8</v>
      </c>
      <c r="U57" t="n">
        <v>8</v>
      </c>
      <c r="V57" s="2" t="inlineStr">
        <is>
          <t>Garnlav
Tretåig hackspett
Mindre märgborre</t>
        </is>
      </c>
      <c r="W57">
        <f>HYPERLINK("https://klasma.github.io/Logging_2034/artfynd/A 64154-2025 artfynd.xlsx", "A 64154-2025")</f>
        <v/>
      </c>
      <c r="X57">
        <f>HYPERLINK("https://klasma.github.io/Logging_2034/kartor/A 64154-2025 karta.png", "A 64154-2025")</f>
        <v/>
      </c>
      <c r="Y57">
        <f>HYPERLINK("https://klasma.github.io/Logging_2034/kartor_geotiff/A 64154-2025 georefererad karta.tif", "A 64154-2025")</f>
        <v/>
      </c>
      <c r="AA57">
        <f>HYPERLINK("https://klasma.github.io/Logging_2034/klagomål/A 64154-2025 FSC-klagomål.docx", "A 64154-2025")</f>
        <v/>
      </c>
      <c r="AB57">
        <f>HYPERLINK("https://klasma.github.io/Logging_2034/klagomålsmail/A 64154-2025 FSC-klagomål mail.docx", "A 64154-2025")</f>
        <v/>
      </c>
      <c r="AC57">
        <f>HYPERLINK("https://klasma.github.io/Logging_2034/tillsyn/A 64154-2025 tillsynsbegäran.docx", "A 64154-2025")</f>
        <v/>
      </c>
      <c r="AD57">
        <f>HYPERLINK("https://klasma.github.io/Logging_2034/tillsynsmail/A 64154-2025 tillsynsbegäran mail.docx", "A 64154-2025")</f>
        <v/>
      </c>
      <c r="AE57">
        <f>HYPERLINK("https://klasma.github.io/Logging_2034/fåglar/A 64154-2025 prioriterade fågelarter.docx", "A 64154-2025")</f>
        <v/>
      </c>
    </row>
    <row r="58" ht="15" customHeight="1">
      <c r="A58" t="inlineStr">
        <is>
          <t>A 56344-2025</t>
        </is>
      </c>
      <c r="B58" t="inlineStr">
        <is>
          <t>avverkningsanmälan</t>
        </is>
      </c>
      <c r="C58" t="inlineStr">
        <is>
          <t>Föryngringsavverkning</t>
        </is>
      </c>
      <c r="D58" s="1" t="n">
        <v>45974</v>
      </c>
      <c r="E58" s="1" t="n">
        <v>46230</v>
      </c>
      <c r="F58" t="inlineStr">
        <is>
          <t>DALARNAS LÄN</t>
        </is>
      </c>
      <c r="G58" t="inlineStr">
        <is>
          <t>ORSA</t>
        </is>
      </c>
      <c r="I58" t="n">
        <v>5.5</v>
      </c>
      <c r="J58" t="n">
        <v>2</v>
      </c>
      <c r="K58" t="n">
        <v>2</v>
      </c>
      <c r="L58" t="n">
        <v>1</v>
      </c>
      <c r="M58" t="n">
        <v>0</v>
      </c>
      <c r="N58" t="n">
        <v>0</v>
      </c>
      <c r="O58" t="n">
        <v>0</v>
      </c>
      <c r="P58" t="n">
        <v>0</v>
      </c>
      <c r="Q58" t="n">
        <v>1</v>
      </c>
      <c r="R58" t="n">
        <v>0</v>
      </c>
      <c r="S58" t="n">
        <v>3</v>
      </c>
      <c r="T58" t="n">
        <v>7</v>
      </c>
      <c r="U58" t="n">
        <v>4</v>
      </c>
      <c r="V58" s="2" t="inlineStr">
        <is>
          <t>Backruta
Guckusko
Tvåblad</t>
        </is>
      </c>
      <c r="W58">
        <f>HYPERLINK("https://klasma.github.io/Logging_2034/artfynd/A 56344-2025 artfynd.xlsx", "A 56344-2025")</f>
        <v/>
      </c>
      <c r="X58">
        <f>HYPERLINK("https://klasma.github.io/Logging_2034/kartor/A 56344-2025 karta.png", "A 56344-2025")</f>
        <v/>
      </c>
      <c r="Y58">
        <f>HYPERLINK("https://klasma.github.io/Logging_2034/kartor_geotiff/A 56344-2025 georefererad karta.tif", "A 56344-2025")</f>
        <v/>
      </c>
      <c r="AA58">
        <f>HYPERLINK("https://klasma.github.io/Logging_2034/klagomål/A 56344-2025 FSC-klagomål.docx", "A 56344-2025")</f>
        <v/>
      </c>
      <c r="AB58">
        <f>HYPERLINK("https://klasma.github.io/Logging_2034/klagomålsmail/A 56344-2025 FSC-klagomål mail.docx", "A 56344-2025")</f>
        <v/>
      </c>
      <c r="AC58">
        <f>HYPERLINK("https://klasma.github.io/Logging_2034/tillsyn/A 56344-2025 tillsynsbegäran.docx", "A 56344-2025")</f>
        <v/>
      </c>
      <c r="AD58">
        <f>HYPERLINK("https://klasma.github.io/Logging_2034/tillsynsmail/A 56344-2025 tillsynsbegäran mail.docx", "A 56344-2025")</f>
        <v/>
      </c>
    </row>
    <row r="59" ht="15" customHeight="1">
      <c r="A59" t="inlineStr">
        <is>
          <t>A 61163-2025</t>
        </is>
      </c>
      <c r="B59" t="inlineStr">
        <is>
          <t>avverkningsanmälan</t>
        </is>
      </c>
      <c r="C59" t="inlineStr">
        <is>
          <t>Föryngringsavverkning</t>
        </is>
      </c>
      <c r="D59" s="1" t="n">
        <v>46000</v>
      </c>
      <c r="E59" s="1" t="n">
        <v>46230</v>
      </c>
      <c r="F59" t="inlineStr">
        <is>
          <t>DALARNAS LÄN</t>
        </is>
      </c>
      <c r="G59" t="inlineStr">
        <is>
          <t>ORSA</t>
        </is>
      </c>
      <c r="I59" t="n">
        <v>6.4</v>
      </c>
      <c r="J59" t="n">
        <v>1</v>
      </c>
      <c r="K59" t="n">
        <v>1</v>
      </c>
      <c r="L59" t="n">
        <v>0</v>
      </c>
      <c r="M59" t="n">
        <v>1</v>
      </c>
      <c r="N59" t="n">
        <v>0</v>
      </c>
      <c r="O59" t="n">
        <v>0</v>
      </c>
      <c r="P59" t="n">
        <v>0</v>
      </c>
      <c r="Q59" t="n">
        <v>1</v>
      </c>
      <c r="R59" t="n">
        <v>1</v>
      </c>
      <c r="S59" t="n">
        <v>3</v>
      </c>
      <c r="T59" t="n">
        <v>3</v>
      </c>
      <c r="U59" t="n">
        <v>3</v>
      </c>
      <c r="V59" s="2" t="inlineStr">
        <is>
          <t>Garnlav
Mindre märgborre
Mattlummer</t>
        </is>
      </c>
      <c r="W59">
        <f>HYPERLINK("https://klasma.github.io/Logging_2034/artfynd/A 61163-2025 artfynd.xlsx", "A 61163-2025")</f>
        <v/>
      </c>
      <c r="X59">
        <f>HYPERLINK("https://klasma.github.io/Logging_2034/kartor/A 61163-2025 karta.png", "A 61163-2025")</f>
        <v/>
      </c>
      <c r="Y59">
        <f>HYPERLINK("https://klasma.github.io/Logging_2034/kartor_geotiff/A 61163-2025 georefererad karta.tif", "A 61163-2025")</f>
        <v/>
      </c>
      <c r="AA59">
        <f>HYPERLINK("https://klasma.github.io/Logging_2034/klagomål/A 61163-2025 FSC-klagomål.docx", "A 61163-2025")</f>
        <v/>
      </c>
      <c r="AB59">
        <f>HYPERLINK("https://klasma.github.io/Logging_2034/klagomålsmail/A 61163-2025 FSC-klagomål mail.docx", "A 61163-2025")</f>
        <v/>
      </c>
      <c r="AC59">
        <f>HYPERLINK("https://klasma.github.io/Logging_2034/tillsyn/A 61163-2025 tillsynsbegäran.docx", "A 61163-2025")</f>
        <v/>
      </c>
      <c r="AD59">
        <f>HYPERLINK("https://klasma.github.io/Logging_2034/tillsynsmail/A 61163-2025 tillsynsbegäran mail.docx", "A 61163-2025")</f>
        <v/>
      </c>
    </row>
    <row r="60" ht="15" customHeight="1">
      <c r="A60" t="inlineStr">
        <is>
          <t>A 29893-2026</t>
        </is>
      </c>
      <c r="B60" t="inlineStr">
        <is>
          <t>avverkningsanmälan</t>
        </is>
      </c>
      <c r="C60" t="inlineStr">
        <is>
          <t>Avverkning för annat ändamål</t>
        </is>
      </c>
      <c r="D60" s="1" t="n">
        <v>46205</v>
      </c>
      <c r="E60" s="1" t="n">
        <v>46230</v>
      </c>
      <c r="F60" t="inlineStr">
        <is>
          <t>DALARNAS LÄN</t>
        </is>
      </c>
      <c r="G60" t="inlineStr">
        <is>
          <t>ORSA</t>
        </is>
      </c>
      <c r="I60" t="n">
        <v>9.9</v>
      </c>
      <c r="J60" t="n">
        <v>2</v>
      </c>
      <c r="K60" t="n">
        <v>2</v>
      </c>
      <c r="L60" t="n">
        <v>0</v>
      </c>
      <c r="M60" t="n">
        <v>0</v>
      </c>
      <c r="N60" t="n">
        <v>0</v>
      </c>
      <c r="O60" t="n">
        <v>0</v>
      </c>
      <c r="P60" t="n">
        <v>0</v>
      </c>
      <c r="Q60" t="n">
        <v>0</v>
      </c>
      <c r="R60" t="n">
        <v>0</v>
      </c>
      <c r="S60" t="n">
        <v>3</v>
      </c>
      <c r="T60" t="n">
        <v>3</v>
      </c>
      <c r="U60" t="n">
        <v>0</v>
      </c>
      <c r="V60" s="2" t="inlineStr">
        <is>
          <t>Skogshakmossa
Spindelblomster
Nattviol</t>
        </is>
      </c>
      <c r="W60">
        <f>HYPERLINK("https://klasma.github.io/Logging_2034/artfynd/A 29893-2026 artfynd.xlsx", "A 29893-2026")</f>
        <v/>
      </c>
      <c r="X60">
        <f>HYPERLINK("https://klasma.github.io/Logging_2034/kartor/A 29893-2026 karta.png", "A 29893-2026")</f>
        <v/>
      </c>
      <c r="Y60">
        <f>HYPERLINK("https://klasma.github.io/Logging_2034/kartor_geotiff/A 29893-2026 georefererad karta.tif", "A 29893-2026")</f>
        <v/>
      </c>
      <c r="AA60">
        <f>HYPERLINK("https://klasma.github.io/Logging_2034/klagomål/A 29893-2026 FSC-klagomål.docx", "A 29893-2026")</f>
        <v/>
      </c>
      <c r="AB60">
        <f>HYPERLINK("https://klasma.github.io/Logging_2034/klagomålsmail/A 29893-2026 FSC-klagomål mail.docx", "A 29893-2026")</f>
        <v/>
      </c>
      <c r="AC60">
        <f>HYPERLINK("https://klasma.github.io/Logging_2034/tillsyn/A 29893-2026 tillsynsbegäran.docx", "A 29893-2026")</f>
        <v/>
      </c>
      <c r="AD60">
        <f>HYPERLINK("https://klasma.github.io/Logging_2034/tillsynsmail/A 29893-2026 tillsynsbegäran mail.docx", "A 29893-2026")</f>
        <v/>
      </c>
    </row>
    <row r="61" ht="15" customHeight="1">
      <c r="A61" t="inlineStr">
        <is>
          <t>A 30158-2026</t>
        </is>
      </c>
      <c r="B61" t="inlineStr">
        <is>
          <t>avverkningsanmälan</t>
        </is>
      </c>
      <c r="C61" t="inlineStr">
        <is>
          <t>Föryngringsavverkning</t>
        </is>
      </c>
      <c r="D61" s="1" t="n">
        <v>46206</v>
      </c>
      <c r="E61" s="1" t="n">
        <v>46230</v>
      </c>
      <c r="F61" t="inlineStr">
        <is>
          <t>DALARNAS LÄN</t>
        </is>
      </c>
      <c r="G61" t="inlineStr">
        <is>
          <t>ORSA</t>
        </is>
      </c>
      <c r="H61" t="inlineStr">
        <is>
          <t>Bergvik skog öst AB</t>
        </is>
      </c>
      <c r="I61" t="n">
        <v>1.9</v>
      </c>
      <c r="J61" t="n">
        <v>0</v>
      </c>
      <c r="K61" t="n">
        <v>1</v>
      </c>
      <c r="L61" t="n">
        <v>1</v>
      </c>
      <c r="M61" t="n">
        <v>1</v>
      </c>
      <c r="N61" t="n">
        <v>0</v>
      </c>
      <c r="O61" t="n">
        <v>0</v>
      </c>
      <c r="P61" t="n">
        <v>0</v>
      </c>
      <c r="Q61" t="n">
        <v>2</v>
      </c>
      <c r="R61" t="n">
        <v>1</v>
      </c>
      <c r="S61" t="n">
        <v>3</v>
      </c>
      <c r="T61" t="n">
        <v>3</v>
      </c>
      <c r="U61" t="n">
        <v>0</v>
      </c>
      <c r="V61" s="2" t="inlineStr">
        <is>
          <t>Garnlav
Violettgrå tagellav
Stuplav</t>
        </is>
      </c>
      <c r="W61">
        <f>HYPERLINK("https://klasma.github.io/Logging_2034/artfynd/A 30158-2026 artfynd.xlsx", "A 30158-2026")</f>
        <v/>
      </c>
      <c r="X61">
        <f>HYPERLINK("https://klasma.github.io/Logging_2034/kartor/A 30158-2026 karta.png", "A 30158-2026")</f>
        <v/>
      </c>
      <c r="Y61">
        <f>HYPERLINK("https://klasma.github.io/Logging_2034/kartor_geotiff/A 30158-2026 georefererad karta.tif", "A 30158-2026")</f>
        <v/>
      </c>
      <c r="AA61">
        <f>HYPERLINK("https://klasma.github.io/Logging_2034/klagomål/A 30158-2026 FSC-klagomål.docx", "A 30158-2026")</f>
        <v/>
      </c>
      <c r="AB61">
        <f>HYPERLINK("https://klasma.github.io/Logging_2034/klagomålsmail/A 30158-2026 FSC-klagomål mail.docx", "A 30158-2026")</f>
        <v/>
      </c>
      <c r="AC61">
        <f>HYPERLINK("https://klasma.github.io/Logging_2034/tillsyn/A 30158-2026 tillsynsbegäran.docx", "A 30158-2026")</f>
        <v/>
      </c>
      <c r="AD61">
        <f>HYPERLINK("https://klasma.github.io/Logging_2034/tillsynsmail/A 30158-2026 tillsynsbegäran mail.docx", "A 30158-2026")</f>
        <v/>
      </c>
    </row>
    <row r="62" ht="15" customHeight="1">
      <c r="A62" t="inlineStr">
        <is>
          <t>A 31164-2025</t>
        </is>
      </c>
      <c r="B62" t="inlineStr">
        <is>
          <t>avverkningsanmälan</t>
        </is>
      </c>
      <c r="C62" t="inlineStr">
        <is>
          <t>Föryngringsavverkning</t>
        </is>
      </c>
      <c r="D62" s="1" t="n">
        <v>45832</v>
      </c>
      <c r="E62" s="1" t="n">
        <v>46230</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S 892-2024</t>
        </is>
      </c>
      <c r="B63" t="inlineStr">
        <is>
          <t>samrådsanmälan</t>
        </is>
      </c>
      <c r="C63" t="inlineStr">
        <is>
          <t>Skogsgödsling</t>
        </is>
      </c>
      <c r="D63" s="1" t="n">
        <v>45376</v>
      </c>
      <c r="E63" s="1" t="n">
        <v>46230</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46230</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42327-2025</t>
        </is>
      </c>
      <c r="B65" t="inlineStr">
        <is>
          <t>avverkningsanmälan</t>
        </is>
      </c>
      <c r="C65" t="inlineStr">
        <is>
          <t>Föryngringsavverkning</t>
        </is>
      </c>
      <c r="D65" s="1" t="n">
        <v>45904</v>
      </c>
      <c r="E65" s="1" t="n">
        <v>46230</v>
      </c>
      <c r="F65" t="inlineStr">
        <is>
          <t>DALARNAS LÄN</t>
        </is>
      </c>
      <c r="G65" t="inlineStr">
        <is>
          <t>ORSA</t>
        </is>
      </c>
      <c r="I65" t="n">
        <v>1.6</v>
      </c>
      <c r="J65" t="n">
        <v>2</v>
      </c>
      <c r="K65" t="n">
        <v>0</v>
      </c>
      <c r="L65" t="n">
        <v>2</v>
      </c>
      <c r="M65" t="n">
        <v>0</v>
      </c>
      <c r="N65" t="n">
        <v>0</v>
      </c>
      <c r="O65" t="n">
        <v>0</v>
      </c>
      <c r="P65" t="n">
        <v>0</v>
      </c>
      <c r="Q65" t="n">
        <v>2</v>
      </c>
      <c r="R65" t="n">
        <v>0</v>
      </c>
      <c r="S65" t="n">
        <v>2</v>
      </c>
      <c r="T65" t="n">
        <v>2</v>
      </c>
      <c r="U65" t="n">
        <v>0</v>
      </c>
      <c r="V65" s="2" t="inlineStr">
        <is>
          <t>Grönsångare
Lavskrika</t>
        </is>
      </c>
      <c r="W65">
        <f>HYPERLINK("https://klasma.github.io/Logging_2034/artfynd/A 42327-2025 artfynd.xlsx", "A 42327-2025")</f>
        <v/>
      </c>
      <c r="X65">
        <f>HYPERLINK("https://klasma.github.io/Logging_2034/kartor/A 42327-2025 karta.png", "A 42327-2025")</f>
        <v/>
      </c>
      <c r="Y65">
        <f>HYPERLINK("https://klasma.github.io/Logging_2034/kartor_geotiff/A 42327-2025 georefererad karta.tif", "A 42327-2025")</f>
        <v/>
      </c>
      <c r="AA65">
        <f>HYPERLINK("https://klasma.github.io/Logging_2034/klagomål/A 42327-2025 FSC-klagomål.docx", "A 42327-2025")</f>
        <v/>
      </c>
      <c r="AB65">
        <f>HYPERLINK("https://klasma.github.io/Logging_2034/klagomålsmail/A 42327-2025 FSC-klagomål mail.docx", "A 42327-2025")</f>
        <v/>
      </c>
      <c r="AC65">
        <f>HYPERLINK("https://klasma.github.io/Logging_2034/tillsyn/A 42327-2025 tillsynsbegäran.docx", "A 42327-2025")</f>
        <v/>
      </c>
      <c r="AD65">
        <f>HYPERLINK("https://klasma.github.io/Logging_2034/tillsynsmail/A 42327-2025 tillsynsbegäran mail.docx", "A 42327-2025")</f>
        <v/>
      </c>
      <c r="AE65">
        <f>HYPERLINK("https://klasma.github.io/Logging_2034/fåglar/A 42327-2025 prioriterade fågelarter.docx", "A 42327-2025")</f>
        <v/>
      </c>
    </row>
    <row r="66" ht="15" customHeight="1">
      <c r="A66" t="inlineStr">
        <is>
          <t>A 31336-2025</t>
        </is>
      </c>
      <c r="B66" t="inlineStr">
        <is>
          <t>avverkningsanmälan</t>
        </is>
      </c>
      <c r="C66" t="inlineStr">
        <is>
          <t>Föryngringsavverkning</t>
        </is>
      </c>
      <c r="D66" s="1" t="n">
        <v>45833</v>
      </c>
      <c r="E66" s="1" t="n">
        <v>46230</v>
      </c>
      <c r="F66" t="inlineStr">
        <is>
          <t>DALARNAS LÄN</t>
        </is>
      </c>
      <c r="G66" t="inlineStr">
        <is>
          <t>ORSA</t>
        </is>
      </c>
      <c r="I66" t="n">
        <v>12.8</v>
      </c>
      <c r="J66" t="n">
        <v>1</v>
      </c>
      <c r="K66" t="n">
        <v>0</v>
      </c>
      <c r="L66" t="n">
        <v>0</v>
      </c>
      <c r="M66" t="n">
        <v>1</v>
      </c>
      <c r="N66" t="n">
        <v>0</v>
      </c>
      <c r="O66" t="n">
        <v>0</v>
      </c>
      <c r="P66" t="n">
        <v>0</v>
      </c>
      <c r="Q66" t="n">
        <v>1</v>
      </c>
      <c r="R66" t="n">
        <v>1</v>
      </c>
      <c r="S66" t="n">
        <v>2</v>
      </c>
      <c r="T66" t="n">
        <v>2</v>
      </c>
      <c r="U66" t="n">
        <v>2</v>
      </c>
      <c r="V66" s="2" t="inlineStr">
        <is>
          <t>Garnlav
Spillkråka</t>
        </is>
      </c>
      <c r="W66">
        <f>HYPERLINK("https://klasma.github.io/Logging_2034/artfynd/A 31336-2025 artfynd.xlsx", "A 31336-2025")</f>
        <v/>
      </c>
      <c r="X66">
        <f>HYPERLINK("https://klasma.github.io/Logging_2034/kartor/A 31336-2025 karta.png", "A 31336-2025")</f>
        <v/>
      </c>
      <c r="Y66">
        <f>HYPERLINK("https://klasma.github.io/Logging_2034/kartor_geotiff/A 31336-2025 georefererad karta.tif", "A 31336-2025")</f>
        <v/>
      </c>
      <c r="AA66">
        <f>HYPERLINK("https://klasma.github.io/Logging_2034/klagomål/A 31336-2025 FSC-klagomål.docx", "A 31336-2025")</f>
        <v/>
      </c>
      <c r="AB66">
        <f>HYPERLINK("https://klasma.github.io/Logging_2034/klagomålsmail/A 31336-2025 FSC-klagomål mail.docx", "A 31336-2025")</f>
        <v/>
      </c>
      <c r="AC66">
        <f>HYPERLINK("https://klasma.github.io/Logging_2034/tillsyn/A 31336-2025 tillsynsbegäran.docx", "A 31336-2025")</f>
        <v/>
      </c>
      <c r="AD66">
        <f>HYPERLINK("https://klasma.github.io/Logging_2034/tillsynsmail/A 31336-2025 tillsynsbegäran mail.docx", "A 31336-2025")</f>
        <v/>
      </c>
      <c r="AE66">
        <f>HYPERLINK("https://klasma.github.io/Logging_2034/fåglar/A 31336-2025 prioriterade fågelarter.docx", "A 31336-2025")</f>
        <v/>
      </c>
    </row>
    <row r="67" ht="15" customHeight="1">
      <c r="A67" t="inlineStr">
        <is>
          <t>A 48973-2025</t>
        </is>
      </c>
      <c r="B67" t="inlineStr">
        <is>
          <t>avverkningsanmälan</t>
        </is>
      </c>
      <c r="C67" t="inlineStr">
        <is>
          <t>Föryngringsavverkning</t>
        </is>
      </c>
      <c r="D67" s="1" t="n">
        <v>45937</v>
      </c>
      <c r="E67" s="1" t="n">
        <v>46230</v>
      </c>
      <c r="F67" t="inlineStr">
        <is>
          <t>DALARNAS LÄN</t>
        </is>
      </c>
      <c r="G67" t="inlineStr">
        <is>
          <t>ORSA</t>
        </is>
      </c>
      <c r="H67" t="inlineStr">
        <is>
          <t>Bergvik skog öst AB</t>
        </is>
      </c>
      <c r="I67" t="n">
        <v>5</v>
      </c>
      <c r="J67" t="n">
        <v>1</v>
      </c>
      <c r="K67" t="n">
        <v>0</v>
      </c>
      <c r="L67" t="n">
        <v>1</v>
      </c>
      <c r="M67" t="n">
        <v>1</v>
      </c>
      <c r="N67" t="n">
        <v>0</v>
      </c>
      <c r="O67" t="n">
        <v>0</v>
      </c>
      <c r="P67" t="n">
        <v>0</v>
      </c>
      <c r="Q67" t="n">
        <v>2</v>
      </c>
      <c r="R67" t="n">
        <v>1</v>
      </c>
      <c r="S67" t="n">
        <v>2</v>
      </c>
      <c r="T67" t="n">
        <v>4</v>
      </c>
      <c r="U67" t="n">
        <v>4</v>
      </c>
      <c r="V67" s="2" t="inlineStr">
        <is>
          <t>Garnlav
Tretåig hackspett</t>
        </is>
      </c>
      <c r="W67">
        <f>HYPERLINK("https://klasma.github.io/Logging_2034/artfynd/A 48973-2025 artfynd.xlsx", "A 48973-2025")</f>
        <v/>
      </c>
      <c r="X67">
        <f>HYPERLINK("https://klasma.github.io/Logging_2034/kartor/A 48973-2025 karta.png", "A 48973-2025")</f>
        <v/>
      </c>
      <c r="Y67">
        <f>HYPERLINK("https://klasma.github.io/Logging_2034/kartor_geotiff/A 48973-2025 georefererad karta.tif", "A 48973-2025")</f>
        <v/>
      </c>
      <c r="AA67">
        <f>HYPERLINK("https://klasma.github.io/Logging_2034/klagomål/A 48973-2025 FSC-klagomål.docx", "A 48973-2025")</f>
        <v/>
      </c>
      <c r="AB67">
        <f>HYPERLINK("https://klasma.github.io/Logging_2034/klagomålsmail/A 48973-2025 FSC-klagomål mail.docx", "A 48973-2025")</f>
        <v/>
      </c>
      <c r="AC67">
        <f>HYPERLINK("https://klasma.github.io/Logging_2034/tillsyn/A 48973-2025 tillsynsbegäran.docx", "A 48973-2025")</f>
        <v/>
      </c>
      <c r="AD67">
        <f>HYPERLINK("https://klasma.github.io/Logging_2034/tillsynsmail/A 48973-2025 tillsynsbegäran mail.docx", "A 48973-2025")</f>
        <v/>
      </c>
      <c r="AE67">
        <f>HYPERLINK("https://klasma.github.io/Logging_2034/fåglar/A 48973-2025 prioriterade fågelarter.docx", "A 48973-2025")</f>
        <v/>
      </c>
    </row>
    <row r="68" ht="15" customHeight="1">
      <c r="A68" t="inlineStr">
        <is>
          <t>A 54687-2025</t>
        </is>
      </c>
      <c r="B68" t="inlineStr">
        <is>
          <t>avverkningsanmälan</t>
        </is>
      </c>
      <c r="C68" t="inlineStr">
        <is>
          <t>Föryngringsavverkning</t>
        </is>
      </c>
      <c r="D68" s="1" t="n">
        <v>45966</v>
      </c>
      <c r="E68" s="1" t="n">
        <v>46230</v>
      </c>
      <c r="F68" t="inlineStr">
        <is>
          <t>DALARNAS LÄN</t>
        </is>
      </c>
      <c r="G68" t="inlineStr">
        <is>
          <t>ORSA</t>
        </is>
      </c>
      <c r="H68" t="inlineStr">
        <is>
          <t>Allmännings- och besparingsskogar</t>
        </is>
      </c>
      <c r="I68" t="n">
        <v>2</v>
      </c>
      <c r="J68" t="n">
        <v>1</v>
      </c>
      <c r="K68" t="n">
        <v>0</v>
      </c>
      <c r="L68" t="n">
        <v>1</v>
      </c>
      <c r="M68" t="n">
        <v>1</v>
      </c>
      <c r="N68" t="n">
        <v>0</v>
      </c>
      <c r="O68" t="n">
        <v>0</v>
      </c>
      <c r="P68" t="n">
        <v>0</v>
      </c>
      <c r="Q68" t="n">
        <v>2</v>
      </c>
      <c r="R68" t="n">
        <v>1</v>
      </c>
      <c r="S68" t="n">
        <v>2</v>
      </c>
      <c r="T68" t="n">
        <v>3</v>
      </c>
      <c r="U68" t="n">
        <v>3</v>
      </c>
      <c r="V68" s="2" t="inlineStr">
        <is>
          <t>Garnlav
Tretåig hackspett</t>
        </is>
      </c>
      <c r="W68">
        <f>HYPERLINK("https://klasma.github.io/Logging_2034/artfynd/A 54687-2025 artfynd.xlsx", "A 54687-2025")</f>
        <v/>
      </c>
      <c r="X68">
        <f>HYPERLINK("https://klasma.github.io/Logging_2034/kartor/A 54687-2025 karta.png", "A 54687-2025")</f>
        <v/>
      </c>
      <c r="Y68">
        <f>HYPERLINK("https://klasma.github.io/Logging_2034/kartor_geotiff/A 54687-2025 georefererad karta.tif", "A 54687-2025")</f>
        <v/>
      </c>
      <c r="AA68">
        <f>HYPERLINK("https://klasma.github.io/Logging_2034/klagomål/A 54687-2025 FSC-klagomål.docx", "A 54687-2025")</f>
        <v/>
      </c>
      <c r="AB68">
        <f>HYPERLINK("https://klasma.github.io/Logging_2034/klagomålsmail/A 54687-2025 FSC-klagomål mail.docx", "A 54687-2025")</f>
        <v/>
      </c>
      <c r="AC68">
        <f>HYPERLINK("https://klasma.github.io/Logging_2034/tillsyn/A 54687-2025 tillsynsbegäran.docx", "A 54687-2025")</f>
        <v/>
      </c>
      <c r="AD68">
        <f>HYPERLINK("https://klasma.github.io/Logging_2034/tillsynsmail/A 54687-2025 tillsynsbegäran mail.docx", "A 54687-2025")</f>
        <v/>
      </c>
      <c r="AE68">
        <f>HYPERLINK("https://klasma.github.io/Logging_2034/fåglar/A 54687-2025 prioriterade fågelarter.docx", "A 54687-2025")</f>
        <v/>
      </c>
    </row>
    <row r="69" ht="15" customHeight="1">
      <c r="A69" t="inlineStr">
        <is>
          <t>A 58910-2025</t>
        </is>
      </c>
      <c r="B69" t="inlineStr">
        <is>
          <t>avverkningsanmälan</t>
        </is>
      </c>
      <c r="C69" t="inlineStr">
        <is>
          <t>Föryngringsavverkning</t>
        </is>
      </c>
      <c r="D69" s="1" t="n">
        <v>45987</v>
      </c>
      <c r="E69" s="1" t="n">
        <v>46230</v>
      </c>
      <c r="F69" t="inlineStr">
        <is>
          <t>DALARNAS LÄN</t>
        </is>
      </c>
      <c r="G69" t="inlineStr">
        <is>
          <t>ORSA</t>
        </is>
      </c>
      <c r="I69" t="n">
        <v>2.1</v>
      </c>
      <c r="J69" t="n">
        <v>1</v>
      </c>
      <c r="K69" t="n">
        <v>1</v>
      </c>
      <c r="L69" t="n">
        <v>0</v>
      </c>
      <c r="M69" t="n">
        <v>1</v>
      </c>
      <c r="N69" t="n">
        <v>0</v>
      </c>
      <c r="O69" t="n">
        <v>0</v>
      </c>
      <c r="P69" t="n">
        <v>0</v>
      </c>
      <c r="Q69" t="n">
        <v>1</v>
      </c>
      <c r="R69" t="n">
        <v>1</v>
      </c>
      <c r="S69" t="n">
        <v>2</v>
      </c>
      <c r="T69" t="n">
        <v>2</v>
      </c>
      <c r="U69" t="n">
        <v>2</v>
      </c>
      <c r="V69" s="2" t="inlineStr">
        <is>
          <t>Knärot
Gräsull</t>
        </is>
      </c>
      <c r="W69">
        <f>HYPERLINK("https://klasma.github.io/Logging_2034/artfynd/A 58910-2025 artfynd.xlsx", "A 58910-2025")</f>
        <v/>
      </c>
      <c r="X69">
        <f>HYPERLINK("https://klasma.github.io/Logging_2034/kartor/A 58910-2025 karta.png", "A 58910-2025")</f>
        <v/>
      </c>
      <c r="Y69">
        <f>HYPERLINK("https://klasma.github.io/Logging_2034/kartor_geotiff/A 58910-2025 georefererad karta.tif", "A 58910-2025")</f>
        <v/>
      </c>
      <c r="Z69">
        <f>HYPERLINK("https://klasma.github.io/Logging_2034/knärot/A 58910-2025 karta knärot.png", "A 58910-2025")</f>
        <v/>
      </c>
      <c r="AA69">
        <f>HYPERLINK("https://klasma.github.io/Logging_2034/klagomål/A 58910-2025 FSC-klagomål.docx", "A 58910-2025")</f>
        <v/>
      </c>
      <c r="AB69">
        <f>HYPERLINK("https://klasma.github.io/Logging_2034/klagomålsmail/A 58910-2025 FSC-klagomål mail.docx", "A 58910-2025")</f>
        <v/>
      </c>
      <c r="AC69">
        <f>HYPERLINK("https://klasma.github.io/Logging_2034/tillsyn/A 58910-2025 tillsynsbegäran.docx", "A 58910-2025")</f>
        <v/>
      </c>
      <c r="AD69">
        <f>HYPERLINK("https://klasma.github.io/Logging_2034/tillsynsmail/A 58910-2025 tillsynsbegäran mail.docx", "A 58910-2025")</f>
        <v/>
      </c>
    </row>
    <row r="70" ht="15" customHeight="1">
      <c r="A70" t="inlineStr">
        <is>
          <t>A 63810-2021</t>
        </is>
      </c>
      <c r="B70" t="inlineStr">
        <is>
          <t>avverkningsanmälan</t>
        </is>
      </c>
      <c r="C70" t="inlineStr">
        <is>
          <t>Avverkning för annat ändamål</t>
        </is>
      </c>
      <c r="D70" s="1" t="n">
        <v>44509</v>
      </c>
      <c r="E70" s="1" t="n">
        <v>46230</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22267-2026</t>
        </is>
      </c>
      <c r="B71" t="inlineStr">
        <is>
          <t>avverkningsanmälan</t>
        </is>
      </c>
      <c r="C71" t="inlineStr">
        <is>
          <t>Avverkning för annat ändamål</t>
        </is>
      </c>
      <c r="D71" s="1" t="n">
        <v>46154</v>
      </c>
      <c r="E71" s="1" t="n">
        <v>46230</v>
      </c>
      <c r="F71" t="inlineStr">
        <is>
          <t>DALARNAS LÄN</t>
        </is>
      </c>
      <c r="G71" t="inlineStr">
        <is>
          <t>ORSA</t>
        </is>
      </c>
      <c r="H71" t="inlineStr">
        <is>
          <t>Allmännings- och besparingsskogar</t>
        </is>
      </c>
      <c r="I71" t="n">
        <v>4.4</v>
      </c>
      <c r="J71" t="n">
        <v>0</v>
      </c>
      <c r="K71" t="n">
        <v>0</v>
      </c>
      <c r="L71" t="n">
        <v>1</v>
      </c>
      <c r="M71" t="n">
        <v>1</v>
      </c>
      <c r="N71" t="n">
        <v>0</v>
      </c>
      <c r="O71" t="n">
        <v>0</v>
      </c>
      <c r="P71" t="n">
        <v>0</v>
      </c>
      <c r="Q71" t="n">
        <v>2</v>
      </c>
      <c r="R71" t="n">
        <v>1</v>
      </c>
      <c r="S71" t="n">
        <v>2</v>
      </c>
      <c r="T71" t="n">
        <v>3</v>
      </c>
      <c r="U71" t="n">
        <v>3</v>
      </c>
      <c r="V71" s="2" t="inlineStr">
        <is>
          <t>Garnlav
Mörk kolflarnlav</t>
        </is>
      </c>
      <c r="W71">
        <f>HYPERLINK("https://klasma.github.io/Logging_2034/artfynd/A 22267-2026 artfynd.xlsx", "A 22267-2026")</f>
        <v/>
      </c>
      <c r="X71">
        <f>HYPERLINK("https://klasma.github.io/Logging_2034/kartor/A 22267-2026 karta.png", "A 22267-2026")</f>
        <v/>
      </c>
      <c r="Y71">
        <f>HYPERLINK("https://klasma.github.io/Logging_2034/kartor_geotiff/A 22267-2026 georefererad karta.tif", "A 22267-2026")</f>
        <v/>
      </c>
      <c r="AA71">
        <f>HYPERLINK("https://klasma.github.io/Logging_2034/klagomål/A 22267-2026 FSC-klagomål.docx", "A 22267-2026")</f>
        <v/>
      </c>
      <c r="AB71">
        <f>HYPERLINK("https://klasma.github.io/Logging_2034/klagomålsmail/A 22267-2026 FSC-klagomål mail.docx", "A 22267-2026")</f>
        <v/>
      </c>
      <c r="AC71">
        <f>HYPERLINK("https://klasma.github.io/Logging_2034/tillsyn/A 22267-2026 tillsynsbegäran.docx", "A 22267-2026")</f>
        <v/>
      </c>
      <c r="AD71">
        <f>HYPERLINK("https://klasma.github.io/Logging_2034/tillsynsmail/A 22267-2026 tillsynsbegäran mail.docx", "A 22267-2026")</f>
        <v/>
      </c>
    </row>
    <row r="72" ht="15" customHeight="1">
      <c r="A72" t="inlineStr">
        <is>
          <t>A 30227-2026</t>
        </is>
      </c>
      <c r="B72" t="inlineStr">
        <is>
          <t>avverkningsanmälan</t>
        </is>
      </c>
      <c r="C72" t="inlineStr">
        <is>
          <t>Föryngringsavverkning</t>
        </is>
      </c>
      <c r="D72" s="1" t="n">
        <v>46206</v>
      </c>
      <c r="E72" s="1" t="n">
        <v>46230</v>
      </c>
      <c r="F72" t="inlineStr">
        <is>
          <t>DALARNAS LÄN</t>
        </is>
      </c>
      <c r="G72" t="inlineStr">
        <is>
          <t>ORSA</t>
        </is>
      </c>
      <c r="H72" t="inlineStr">
        <is>
          <t>Bergvik skog öst AB</t>
        </is>
      </c>
      <c r="I72" t="n">
        <v>12.8</v>
      </c>
      <c r="J72" t="n">
        <v>0</v>
      </c>
      <c r="K72" t="n">
        <v>1</v>
      </c>
      <c r="L72" t="n">
        <v>0</v>
      </c>
      <c r="M72" t="n">
        <v>1</v>
      </c>
      <c r="N72" t="n">
        <v>0</v>
      </c>
      <c r="O72" t="n">
        <v>0</v>
      </c>
      <c r="P72" t="n">
        <v>0</v>
      </c>
      <c r="Q72" t="n">
        <v>1</v>
      </c>
      <c r="R72" t="n">
        <v>1</v>
      </c>
      <c r="S72" t="n">
        <v>2</v>
      </c>
      <c r="T72" t="n">
        <v>2</v>
      </c>
      <c r="U72" t="n">
        <v>0</v>
      </c>
      <c r="V72" s="2" t="inlineStr">
        <is>
          <t>Garnlav
Stuplav</t>
        </is>
      </c>
      <c r="W72">
        <f>HYPERLINK("https://klasma.github.io/Logging_2034/artfynd/A 30227-2026 artfynd.xlsx", "A 30227-2026")</f>
        <v/>
      </c>
      <c r="X72">
        <f>HYPERLINK("https://klasma.github.io/Logging_2034/kartor/A 30227-2026 karta.png", "A 30227-2026")</f>
        <v/>
      </c>
      <c r="Y72">
        <f>HYPERLINK("https://klasma.github.io/Logging_2034/kartor_geotiff/A 30227-2026 georefererad karta.tif", "A 30227-2026")</f>
        <v/>
      </c>
      <c r="AA72">
        <f>HYPERLINK("https://klasma.github.io/Logging_2034/klagomål/A 30227-2026 FSC-klagomål.docx", "A 30227-2026")</f>
        <v/>
      </c>
      <c r="AB72">
        <f>HYPERLINK("https://klasma.github.io/Logging_2034/klagomålsmail/A 30227-2026 FSC-klagomål mail.docx", "A 30227-2026")</f>
        <v/>
      </c>
      <c r="AC72">
        <f>HYPERLINK("https://klasma.github.io/Logging_2034/tillsyn/A 30227-2026 tillsynsbegäran.docx", "A 30227-2026")</f>
        <v/>
      </c>
      <c r="AD72">
        <f>HYPERLINK("https://klasma.github.io/Logging_2034/tillsynsmail/A 30227-2026 tillsynsbegäran mail.docx", "A 30227-2026")</f>
        <v/>
      </c>
    </row>
    <row r="73" ht="15" customHeight="1">
      <c r="A73" t="inlineStr">
        <is>
          <t>A 30672-2026</t>
        </is>
      </c>
      <c r="B73" t="inlineStr">
        <is>
          <t>avverkningsanmälan</t>
        </is>
      </c>
      <c r="C73" t="inlineStr">
        <is>
          <t>Föryngringsavverkning</t>
        </is>
      </c>
      <c r="D73" s="1" t="n">
        <v>46211</v>
      </c>
      <c r="E73" s="1" t="n">
        <v>46230</v>
      </c>
      <c r="F73" t="inlineStr">
        <is>
          <t>DALARNAS LÄN</t>
        </is>
      </c>
      <c r="G73" t="inlineStr">
        <is>
          <t>ORSA</t>
        </is>
      </c>
      <c r="H73" t="inlineStr">
        <is>
          <t>Bergvik skog öst AB</t>
        </is>
      </c>
      <c r="I73" t="n">
        <v>16.8</v>
      </c>
      <c r="J73" t="n">
        <v>1</v>
      </c>
      <c r="K73" t="n">
        <v>1</v>
      </c>
      <c r="L73" t="n">
        <v>0</v>
      </c>
      <c r="M73" t="n">
        <v>0</v>
      </c>
      <c r="N73" t="n">
        <v>0</v>
      </c>
      <c r="O73" t="n">
        <v>0</v>
      </c>
      <c r="P73" t="n">
        <v>0</v>
      </c>
      <c r="Q73" t="n">
        <v>0</v>
      </c>
      <c r="R73" t="n">
        <v>0</v>
      </c>
      <c r="S73" t="n">
        <v>2</v>
      </c>
      <c r="T73" t="n">
        <v>2</v>
      </c>
      <c r="U73" t="n">
        <v>0</v>
      </c>
      <c r="V73" s="2" t="inlineStr">
        <is>
          <t>Plattlummer
Stjärnstarr</t>
        </is>
      </c>
      <c r="W73">
        <f>HYPERLINK("https://klasma.github.io/Logging_2034/artfynd/A 30672-2026 artfynd.xlsx", "A 30672-2026")</f>
        <v/>
      </c>
      <c r="X73">
        <f>HYPERLINK("https://klasma.github.io/Logging_2034/kartor/A 30672-2026 karta.png", "A 30672-2026")</f>
        <v/>
      </c>
      <c r="Y73">
        <f>HYPERLINK("https://klasma.github.io/Logging_2034/kartor_geotiff/A 30672-2026 georefererad karta.tif", "A 30672-2026")</f>
        <v/>
      </c>
      <c r="AA73">
        <f>HYPERLINK("https://klasma.github.io/Logging_2034/klagomål/A 30672-2026 FSC-klagomål.docx", "A 30672-2026")</f>
        <v/>
      </c>
      <c r="AB73">
        <f>HYPERLINK("https://klasma.github.io/Logging_2034/klagomålsmail/A 30672-2026 FSC-klagomål mail.docx", "A 30672-2026")</f>
        <v/>
      </c>
      <c r="AC73">
        <f>HYPERLINK("https://klasma.github.io/Logging_2034/tillsyn/A 30672-2026 tillsynsbegäran.docx", "A 30672-2026")</f>
        <v/>
      </c>
      <c r="AD73">
        <f>HYPERLINK("https://klasma.github.io/Logging_2034/tillsynsmail/A 30672-2026 tillsynsbegäran mail.docx", "A 30672-2026")</f>
        <v/>
      </c>
    </row>
    <row r="74" ht="15" customHeight="1">
      <c r="A74" t="inlineStr">
        <is>
          <t>A 18692-2026</t>
        </is>
      </c>
      <c r="B74" t="inlineStr">
        <is>
          <t>avverkningsanmälan</t>
        </is>
      </c>
      <c r="C74" t="inlineStr">
        <is>
          <t>Föryngringsavverkning</t>
        </is>
      </c>
      <c r="D74" s="1" t="n">
        <v>46128</v>
      </c>
      <c r="E74" s="1" t="n">
        <v>46230</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21364-2025</t>
        </is>
      </c>
      <c r="B75" t="inlineStr">
        <is>
          <t>avverkningsanmälan</t>
        </is>
      </c>
      <c r="C75" t="inlineStr">
        <is>
          <t>Föryngringsavverkning</t>
        </is>
      </c>
      <c r="D75" s="1" t="n">
        <v>45782</v>
      </c>
      <c r="E75" s="1" t="n">
        <v>46230</v>
      </c>
      <c r="F75" t="inlineStr">
        <is>
          <t>DALARNAS LÄN</t>
        </is>
      </c>
      <c r="G75" t="inlineStr">
        <is>
          <t>ORSA</t>
        </is>
      </c>
      <c r="H75" t="inlineStr">
        <is>
          <t>Allmännings- och besparingsskogar</t>
        </is>
      </c>
      <c r="I75" t="n">
        <v>52.6</v>
      </c>
      <c r="J75" t="n">
        <v>2</v>
      </c>
      <c r="K75" t="n">
        <v>0</v>
      </c>
      <c r="L75" t="n">
        <v>0</v>
      </c>
      <c r="M75" t="n">
        <v>1</v>
      </c>
      <c r="N75" t="n">
        <v>0</v>
      </c>
      <c r="O75" t="n">
        <v>0</v>
      </c>
      <c r="P75" t="n">
        <v>0</v>
      </c>
      <c r="Q75" t="n">
        <v>1</v>
      </c>
      <c r="R75" t="n">
        <v>1</v>
      </c>
      <c r="S75" t="n">
        <v>2</v>
      </c>
      <c r="T75" t="n">
        <v>2</v>
      </c>
      <c r="U75" t="n">
        <v>0</v>
      </c>
      <c r="V75" s="2" t="inlineStr">
        <is>
          <t>Lappuggla
Orre</t>
        </is>
      </c>
      <c r="W75">
        <f>HYPERLINK("https://klasma.github.io/Logging_2034/artfynd/A 21364-2025 artfynd.xlsx", "A 21364-2025")</f>
        <v/>
      </c>
      <c r="X75">
        <f>HYPERLINK("https://klasma.github.io/Logging_2034/kartor/A 21364-2025 karta.png", "A 21364-2025")</f>
        <v/>
      </c>
      <c r="Y75">
        <f>HYPERLINK("https://klasma.github.io/Logging_2034/kartor_geotiff/A 21364-2025 georefererad karta.tif", "A 21364-2025")</f>
        <v/>
      </c>
      <c r="AA75">
        <f>HYPERLINK("https://klasma.github.io/Logging_2034/klagomål/A 21364-2025 FSC-klagomål.docx", "A 21364-2025")</f>
        <v/>
      </c>
      <c r="AB75">
        <f>HYPERLINK("https://klasma.github.io/Logging_2034/klagomålsmail/A 21364-2025 FSC-klagomål mail.docx", "A 21364-2025")</f>
        <v/>
      </c>
      <c r="AC75">
        <f>HYPERLINK("https://klasma.github.io/Logging_2034/tillsyn/A 21364-2025 tillsynsbegäran.docx", "A 21364-2025")</f>
        <v/>
      </c>
      <c r="AD75">
        <f>HYPERLINK("https://klasma.github.io/Logging_2034/tillsynsmail/A 21364-2025 tillsynsbegäran mail.docx", "A 21364-2025")</f>
        <v/>
      </c>
      <c r="AE75">
        <f>HYPERLINK("https://klasma.github.io/Logging_2034/fåglar/A 21364-2025 prioriterade fågelarter.docx", "A 21364-2025")</f>
        <v/>
      </c>
    </row>
    <row r="76" ht="15" customHeight="1">
      <c r="A76" t="inlineStr">
        <is>
          <t>S 890-2024</t>
        </is>
      </c>
      <c r="B76" t="inlineStr">
        <is>
          <t>samrådsanmälan</t>
        </is>
      </c>
      <c r="C76" t="inlineStr">
        <is>
          <t>Skogsgödsling</t>
        </is>
      </c>
      <c r="D76" s="1" t="n">
        <v>45376</v>
      </c>
      <c r="E76" s="1" t="n">
        <v>46230</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46230</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46230</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46230</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46230</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46230</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593-2024</t>
        </is>
      </c>
      <c r="B82" t="inlineStr">
        <is>
          <t>avverkningsanmälan</t>
        </is>
      </c>
      <c r="C82" t="inlineStr">
        <is>
          <t>Föryngringsavverkning</t>
        </is>
      </c>
      <c r="D82" s="1" t="n">
        <v>45299</v>
      </c>
      <c r="E82" s="1" t="n">
        <v>46230</v>
      </c>
      <c r="F82" t="inlineStr">
        <is>
          <t>DALARNAS LÄN</t>
        </is>
      </c>
      <c r="G82" t="inlineStr">
        <is>
          <t>ORSA</t>
        </is>
      </c>
      <c r="I82" t="n">
        <v>1.5</v>
      </c>
      <c r="J82" t="n">
        <v>1</v>
      </c>
      <c r="K82" t="n">
        <v>0</v>
      </c>
      <c r="L82" t="n">
        <v>0</v>
      </c>
      <c r="M82" t="n">
        <v>0</v>
      </c>
      <c r="N82" t="n">
        <v>0</v>
      </c>
      <c r="O82" t="n">
        <v>0</v>
      </c>
      <c r="P82" t="n">
        <v>0</v>
      </c>
      <c r="Q82" t="n">
        <v>0</v>
      </c>
      <c r="R82" t="n">
        <v>0</v>
      </c>
      <c r="S82" t="n">
        <v>1</v>
      </c>
      <c r="T82" t="n">
        <v>1</v>
      </c>
      <c r="U82" t="n">
        <v>1</v>
      </c>
      <c r="V82" s="2" t="inlineStr">
        <is>
          <t>Järpe</t>
        </is>
      </c>
      <c r="W82">
        <f>HYPERLINK("https://klasma.github.io/Logging_2034/artfynd/A 593-2024 artfynd.xlsx", "A 593-2024")</f>
        <v/>
      </c>
      <c r="X82">
        <f>HYPERLINK("https://klasma.github.io/Logging_2034/kartor/A 593-2024 karta.png", "A 593-2024")</f>
        <v/>
      </c>
      <c r="Y82">
        <f>HYPERLINK("https://klasma.github.io/Logging_2034/kartor_geotiff/A 593-2024 georefererad karta.tif", "A 593-2024")</f>
        <v/>
      </c>
      <c r="AA82">
        <f>HYPERLINK("https://klasma.github.io/Logging_2034/klagomål/A 593-2024 FSC-klagomål.docx", "A 593-2024")</f>
        <v/>
      </c>
      <c r="AB82">
        <f>HYPERLINK("https://klasma.github.io/Logging_2034/klagomålsmail/A 593-2024 FSC-klagomål mail.docx", "A 593-2024")</f>
        <v/>
      </c>
      <c r="AC82">
        <f>HYPERLINK("https://klasma.github.io/Logging_2034/tillsyn/A 593-2024 tillsynsbegäran.docx", "A 593-2024")</f>
        <v/>
      </c>
      <c r="AD82">
        <f>HYPERLINK("https://klasma.github.io/Logging_2034/tillsynsmail/A 593-2024 tillsynsbegäran mail.docx", "A 593-2024")</f>
        <v/>
      </c>
      <c r="AE82">
        <f>HYPERLINK("https://klasma.github.io/Logging_2034/fåglar/A 593-2024 prioriterade fågelarter.docx", "A 593-2024")</f>
        <v/>
      </c>
    </row>
    <row r="83" ht="15" customHeight="1">
      <c r="A83" t="inlineStr">
        <is>
          <t>A 41927-2025</t>
        </is>
      </c>
      <c r="B83" t="inlineStr">
        <is>
          <t>avverkningsanmälan</t>
        </is>
      </c>
      <c r="C83" t="inlineStr">
        <is>
          <t>Föryngringsavverkning</t>
        </is>
      </c>
      <c r="D83" s="1" t="n">
        <v>45903</v>
      </c>
      <c r="E83" s="1" t="n">
        <v>46230</v>
      </c>
      <c r="F83" t="inlineStr">
        <is>
          <t>DALARNAS LÄN</t>
        </is>
      </c>
      <c r="G83" t="inlineStr">
        <is>
          <t>ORSA</t>
        </is>
      </c>
      <c r="I83" t="n">
        <v>2.4</v>
      </c>
      <c r="J83" t="n">
        <v>0</v>
      </c>
      <c r="K83" t="n">
        <v>0</v>
      </c>
      <c r="L83" t="n">
        <v>1</v>
      </c>
      <c r="M83" t="n">
        <v>0</v>
      </c>
      <c r="N83" t="n">
        <v>0</v>
      </c>
      <c r="O83" t="n">
        <v>0</v>
      </c>
      <c r="P83" t="n">
        <v>0</v>
      </c>
      <c r="Q83" t="n">
        <v>1</v>
      </c>
      <c r="R83" t="n">
        <v>0</v>
      </c>
      <c r="S83" t="n">
        <v>1</v>
      </c>
      <c r="T83" t="n">
        <v>1</v>
      </c>
      <c r="U83" t="n">
        <v>0</v>
      </c>
      <c r="V83" s="2" t="inlineStr">
        <is>
          <t>Dofttaggsvamp</t>
        </is>
      </c>
      <c r="W83">
        <f>HYPERLINK("https://klasma.github.io/Logging_2034/artfynd/A 41927-2025 artfynd.xlsx", "A 41927-2025")</f>
        <v/>
      </c>
      <c r="X83">
        <f>HYPERLINK("https://klasma.github.io/Logging_2034/kartor/A 41927-2025 karta.png", "A 41927-2025")</f>
        <v/>
      </c>
      <c r="Y83">
        <f>HYPERLINK("https://klasma.github.io/Logging_2034/kartor_geotiff/A 41927-2025 georefererad karta.tif", "A 41927-2025")</f>
        <v/>
      </c>
      <c r="AA83">
        <f>HYPERLINK("https://klasma.github.io/Logging_2034/klagomål/A 41927-2025 FSC-klagomål.docx", "A 41927-2025")</f>
        <v/>
      </c>
      <c r="AB83">
        <f>HYPERLINK("https://klasma.github.io/Logging_2034/klagomålsmail/A 41927-2025 FSC-klagomål mail.docx", "A 41927-2025")</f>
        <v/>
      </c>
      <c r="AC83">
        <f>HYPERLINK("https://klasma.github.io/Logging_2034/tillsyn/A 41927-2025 tillsynsbegäran.docx", "A 41927-2025")</f>
        <v/>
      </c>
      <c r="AD83">
        <f>HYPERLINK("https://klasma.github.io/Logging_2034/tillsynsmail/A 41927-2025 tillsynsbegäran mail.docx", "A 41927-2025")</f>
        <v/>
      </c>
    </row>
    <row r="84" ht="15" customHeight="1">
      <c r="A84" t="inlineStr">
        <is>
          <t>A 30493-2024</t>
        </is>
      </c>
      <c r="B84" t="inlineStr">
        <is>
          <t>avverkningsanmälan</t>
        </is>
      </c>
      <c r="C84" t="inlineStr">
        <is>
          <t>Föryngringsavverkning</t>
        </is>
      </c>
      <c r="D84" s="1" t="n">
        <v>45492</v>
      </c>
      <c r="E84" s="1" t="n">
        <v>46230</v>
      </c>
      <c r="F84" t="inlineStr">
        <is>
          <t>DALARNAS LÄN</t>
        </is>
      </c>
      <c r="G84" t="inlineStr">
        <is>
          <t>ORSA</t>
        </is>
      </c>
      <c r="H84" t="inlineStr">
        <is>
          <t>Övriga statliga verk och myndigheter</t>
        </is>
      </c>
      <c r="I84" t="n">
        <v>2.2</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HYPERLINK("https://klasma.github.io/Logging_2034/artfynd/A 30493-2024 artfynd.xlsx", "A 30493-2024")</f>
        <v/>
      </c>
      <c r="X84">
        <f>HYPERLINK("https://klasma.github.io/Logging_2034/kartor/A 30493-2024 karta.png", "A 30493-2024")</f>
        <v/>
      </c>
      <c r="Y84">
        <f>HYPERLINK("https://klasma.github.io/Logging_2034/kartor_geotiff/A 30493-2024 georefererad karta.tif", "A 30493-2024")</f>
        <v/>
      </c>
      <c r="AA84">
        <f>HYPERLINK("https://klasma.github.io/Logging_2034/klagomål/A 30493-2024 FSC-klagomål.docx", "A 30493-2024")</f>
        <v/>
      </c>
      <c r="AB84">
        <f>HYPERLINK("https://klasma.github.io/Logging_2034/klagomålsmail/A 30493-2024 FSC-klagomål mail.docx", "A 30493-2024")</f>
        <v/>
      </c>
      <c r="AC84">
        <f>HYPERLINK("https://klasma.github.io/Logging_2034/tillsyn/A 30493-2024 tillsynsbegäran.docx", "A 30493-2024")</f>
        <v/>
      </c>
      <c r="AD84">
        <f>HYPERLINK("https://klasma.github.io/Logging_2034/tillsynsmail/A 30493-2024 tillsynsbegäran mail.docx", "A 30493-2024")</f>
        <v/>
      </c>
    </row>
    <row r="85" ht="15" customHeight="1">
      <c r="A85" t="inlineStr">
        <is>
          <t>A 11812-2026</t>
        </is>
      </c>
      <c r="B85" t="inlineStr">
        <is>
          <t>avverkningsanmälan</t>
        </is>
      </c>
      <c r="C85" t="inlineStr">
        <is>
          <t>Föryngringsavverkning</t>
        </is>
      </c>
      <c r="D85" s="1" t="n">
        <v>46085</v>
      </c>
      <c r="E85" s="1" t="n">
        <v>46230</v>
      </c>
      <c r="F85" t="inlineStr">
        <is>
          <t>DALARNAS LÄN</t>
        </is>
      </c>
      <c r="G85" t="inlineStr">
        <is>
          <t>ORSA</t>
        </is>
      </c>
      <c r="H85" t="inlineStr">
        <is>
          <t>Kyrkan</t>
        </is>
      </c>
      <c r="I85" t="n">
        <v>2</v>
      </c>
      <c r="J85" t="n">
        <v>1</v>
      </c>
      <c r="K85" t="n">
        <v>0</v>
      </c>
      <c r="L85" t="n">
        <v>0</v>
      </c>
      <c r="M85" t="n">
        <v>0</v>
      </c>
      <c r="N85" t="n">
        <v>0</v>
      </c>
      <c r="O85" t="n">
        <v>0</v>
      </c>
      <c r="P85" t="n">
        <v>0</v>
      </c>
      <c r="Q85" t="n">
        <v>0</v>
      </c>
      <c r="R85" t="n">
        <v>0</v>
      </c>
      <c r="S85" t="n">
        <v>1</v>
      </c>
      <c r="T85" t="n">
        <v>4</v>
      </c>
      <c r="U85" t="n">
        <v>0</v>
      </c>
      <c r="V85" s="2" t="inlineStr">
        <is>
          <t>Tjäder</t>
        </is>
      </c>
      <c r="W85">
        <f>HYPERLINK("https://klasma.github.io/Logging_2034/artfynd/A 11812-2026 artfynd.xlsx", "A 11812-2026")</f>
        <v/>
      </c>
      <c r="X85">
        <f>HYPERLINK("https://klasma.github.io/Logging_2034/kartor/A 11812-2026 karta.png", "A 11812-2026")</f>
        <v/>
      </c>
      <c r="Y85">
        <f>HYPERLINK("https://klasma.github.io/Logging_2034/kartor_geotiff/A 11812-2026 georefererad karta.tif", "A 11812-2026")</f>
        <v/>
      </c>
      <c r="AA85">
        <f>HYPERLINK("https://klasma.github.io/Logging_2034/klagomål/A 11812-2026 FSC-klagomål.docx", "A 11812-2026")</f>
        <v/>
      </c>
      <c r="AB85">
        <f>HYPERLINK("https://klasma.github.io/Logging_2034/klagomålsmail/A 11812-2026 FSC-klagomål mail.docx", "A 11812-2026")</f>
        <v/>
      </c>
      <c r="AC85">
        <f>HYPERLINK("https://klasma.github.io/Logging_2034/tillsyn/A 11812-2026 tillsynsbegäran.docx", "A 11812-2026")</f>
        <v/>
      </c>
      <c r="AD85">
        <f>HYPERLINK("https://klasma.github.io/Logging_2034/tillsynsmail/A 11812-2026 tillsynsbegäran mail.docx", "A 11812-2026")</f>
        <v/>
      </c>
      <c r="AE85">
        <f>HYPERLINK("https://klasma.github.io/Logging_2034/fåglar/A 11812-2026 prioriterade fågelarter.docx", "A 11812-2026")</f>
        <v/>
      </c>
    </row>
    <row r="86" ht="15" customHeight="1">
      <c r="A86" t="inlineStr">
        <is>
          <t>A 53573-2025</t>
        </is>
      </c>
      <c r="B86" t="inlineStr">
        <is>
          <t>avverkningsanmälan</t>
        </is>
      </c>
      <c r="C86" t="inlineStr">
        <is>
          <t>Föryngringsavverkning</t>
        </is>
      </c>
      <c r="D86" s="1" t="n">
        <v>45960</v>
      </c>
      <c r="E86" s="1" t="n">
        <v>46230</v>
      </c>
      <c r="F86" t="inlineStr">
        <is>
          <t>DALARNAS LÄN</t>
        </is>
      </c>
      <c r="G86" t="inlineStr">
        <is>
          <t>ORSA</t>
        </is>
      </c>
      <c r="H86" t="inlineStr">
        <is>
          <t>Bergvik skog öst AB</t>
        </is>
      </c>
      <c r="I86" t="n">
        <v>2.3</v>
      </c>
      <c r="J86" t="n">
        <v>1</v>
      </c>
      <c r="K86" t="n">
        <v>0</v>
      </c>
      <c r="L86" t="n">
        <v>1</v>
      </c>
      <c r="M86" t="n">
        <v>0</v>
      </c>
      <c r="N86" t="n">
        <v>0</v>
      </c>
      <c r="O86" t="n">
        <v>0</v>
      </c>
      <c r="P86" t="n">
        <v>0</v>
      </c>
      <c r="Q86" t="n">
        <v>1</v>
      </c>
      <c r="R86" t="n">
        <v>0</v>
      </c>
      <c r="S86" t="n">
        <v>1</v>
      </c>
      <c r="T86" t="n">
        <v>1</v>
      </c>
      <c r="U86" t="n">
        <v>1</v>
      </c>
      <c r="V86" s="2" t="inlineStr">
        <is>
          <t>Järnsparv</t>
        </is>
      </c>
      <c r="W86">
        <f>HYPERLINK("https://klasma.github.io/Logging_2034/artfynd/A 53573-2025 artfynd.xlsx", "A 53573-2025")</f>
        <v/>
      </c>
      <c r="X86">
        <f>HYPERLINK("https://klasma.github.io/Logging_2034/kartor/A 53573-2025 karta.png", "A 53573-2025")</f>
        <v/>
      </c>
      <c r="Y86">
        <f>HYPERLINK("https://klasma.github.io/Logging_2034/kartor_geotiff/A 53573-2025 georefererad karta.tif", "A 53573-2025")</f>
        <v/>
      </c>
      <c r="AA86">
        <f>HYPERLINK("https://klasma.github.io/Logging_2034/klagomål/A 53573-2025 FSC-klagomål.docx", "A 53573-2025")</f>
        <v/>
      </c>
      <c r="AB86">
        <f>HYPERLINK("https://klasma.github.io/Logging_2034/klagomålsmail/A 53573-2025 FSC-klagomål mail.docx", "A 53573-2025")</f>
        <v/>
      </c>
      <c r="AC86">
        <f>HYPERLINK("https://klasma.github.io/Logging_2034/tillsyn/A 53573-2025 tillsynsbegäran.docx", "A 53573-2025")</f>
        <v/>
      </c>
      <c r="AD86">
        <f>HYPERLINK("https://klasma.github.io/Logging_2034/tillsynsmail/A 53573-2025 tillsynsbegäran mail.docx", "A 53573-2025")</f>
        <v/>
      </c>
      <c r="AE86">
        <f>HYPERLINK("https://klasma.github.io/Logging_2034/fåglar/A 53573-2025 prioriterade fågelarter.docx", "A 53573-2025")</f>
        <v/>
      </c>
    </row>
    <row r="87" ht="15" customHeight="1">
      <c r="A87" t="inlineStr">
        <is>
          <t>A 54773-2025</t>
        </is>
      </c>
      <c r="B87" t="inlineStr">
        <is>
          <t>avverkningsanmälan</t>
        </is>
      </c>
      <c r="C87" t="inlineStr">
        <is>
          <t>Föryngringsavverkning</t>
        </is>
      </c>
      <c r="D87" s="1" t="n">
        <v>45966</v>
      </c>
      <c r="E87" s="1" t="n">
        <v>46230</v>
      </c>
      <c r="F87" t="inlineStr">
        <is>
          <t>DALARNAS LÄN</t>
        </is>
      </c>
      <c r="G87" t="inlineStr">
        <is>
          <t>ORSA</t>
        </is>
      </c>
      <c r="I87" t="n">
        <v>3.6</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HYPERLINK("https://klasma.github.io/Logging_2034/artfynd/A 54773-2025 artfynd.xlsx", "A 54773-2025")</f>
        <v/>
      </c>
      <c r="X87">
        <f>HYPERLINK("https://klasma.github.io/Logging_2034/kartor/A 54773-2025 karta.png", "A 54773-2025")</f>
        <v/>
      </c>
      <c r="Y87">
        <f>HYPERLINK("https://klasma.github.io/Logging_2034/kartor_geotiff/A 54773-2025 georefererad karta.tif", "A 54773-2025")</f>
        <v/>
      </c>
      <c r="AA87">
        <f>HYPERLINK("https://klasma.github.io/Logging_2034/klagomål/A 54773-2025 FSC-klagomål.docx", "A 54773-2025")</f>
        <v/>
      </c>
      <c r="AB87">
        <f>HYPERLINK("https://klasma.github.io/Logging_2034/klagomålsmail/A 54773-2025 FSC-klagomål mail.docx", "A 54773-2025")</f>
        <v/>
      </c>
      <c r="AC87">
        <f>HYPERLINK("https://klasma.github.io/Logging_2034/tillsyn/A 54773-2025 tillsynsbegäran.docx", "A 54773-2025")</f>
        <v/>
      </c>
      <c r="AD87">
        <f>HYPERLINK("https://klasma.github.io/Logging_2034/tillsynsmail/A 54773-2025 tillsynsbegäran mail.docx", "A 54773-2025")</f>
        <v/>
      </c>
      <c r="AE87">
        <f>HYPERLINK("https://klasma.github.io/Logging_2034/fåglar/A 54773-2025 prioriterade fågelarter.docx", "A 54773-2025")</f>
        <v/>
      </c>
    </row>
    <row r="88" ht="15" customHeight="1">
      <c r="A88" t="inlineStr">
        <is>
          <t>A 21477-2026</t>
        </is>
      </c>
      <c r="B88" t="inlineStr">
        <is>
          <t>avverkningsanmälan</t>
        </is>
      </c>
      <c r="C88" t="inlineStr">
        <is>
          <t>Föryngringsavverkning</t>
        </is>
      </c>
      <c r="D88" s="1" t="n">
        <v>46148</v>
      </c>
      <c r="E88" s="1" t="n">
        <v>46230</v>
      </c>
      <c r="F88" t="inlineStr">
        <is>
          <t>DALARNAS LÄN</t>
        </is>
      </c>
      <c r="G88" t="inlineStr">
        <is>
          <t>ORSA</t>
        </is>
      </c>
      <c r="I88" t="n">
        <v>17.1</v>
      </c>
      <c r="J88" t="n">
        <v>0</v>
      </c>
      <c r="K88" t="n">
        <v>0</v>
      </c>
      <c r="L88" t="n">
        <v>0</v>
      </c>
      <c r="M88" t="n">
        <v>1</v>
      </c>
      <c r="N88" t="n">
        <v>0</v>
      </c>
      <c r="O88" t="n">
        <v>0</v>
      </c>
      <c r="P88" t="n">
        <v>0</v>
      </c>
      <c r="Q88" t="n">
        <v>1</v>
      </c>
      <c r="R88" t="n">
        <v>1</v>
      </c>
      <c r="S88" t="n">
        <v>1</v>
      </c>
      <c r="T88" t="n">
        <v>6</v>
      </c>
      <c r="U88" t="n">
        <v>0</v>
      </c>
      <c r="V88" s="2" t="inlineStr">
        <is>
          <t>Garnlav</t>
        </is>
      </c>
      <c r="W88">
        <f>HYPERLINK("https://klasma.github.io/Logging_2034/artfynd/A 21477-2026 artfynd.xlsx", "A 21477-2026")</f>
        <v/>
      </c>
      <c r="X88">
        <f>HYPERLINK("https://klasma.github.io/Logging_2034/kartor/A 21477-2026 karta.png", "A 21477-2026")</f>
        <v/>
      </c>
      <c r="Y88">
        <f>HYPERLINK("https://klasma.github.io/Logging_2034/kartor_geotiff/A 21477-2026 georefererad karta.tif", "A 21477-2026")</f>
        <v/>
      </c>
      <c r="AA88">
        <f>HYPERLINK("https://klasma.github.io/Logging_2034/klagomål/A 21477-2026 FSC-klagomål.docx", "A 21477-2026")</f>
        <v/>
      </c>
      <c r="AB88">
        <f>HYPERLINK("https://klasma.github.io/Logging_2034/klagomålsmail/A 21477-2026 FSC-klagomål mail.docx", "A 21477-2026")</f>
        <v/>
      </c>
      <c r="AC88">
        <f>HYPERLINK("https://klasma.github.io/Logging_2034/tillsyn/A 21477-2026 tillsynsbegäran.docx", "A 21477-2026")</f>
        <v/>
      </c>
      <c r="AD88">
        <f>HYPERLINK("https://klasma.github.io/Logging_2034/tillsynsmail/A 21477-2026 tillsynsbegäran mail.docx", "A 21477-2026")</f>
        <v/>
      </c>
    </row>
    <row r="89" ht="15" customHeight="1">
      <c r="A89" t="inlineStr">
        <is>
          <t>A 28890-2026</t>
        </is>
      </c>
      <c r="B89" t="inlineStr">
        <is>
          <t>avverkningsanmälan</t>
        </is>
      </c>
      <c r="C89" t="inlineStr">
        <is>
          <t>Föryngringsavverkning</t>
        </is>
      </c>
      <c r="D89" s="1" t="n">
        <v>46199</v>
      </c>
      <c r="E89" s="1" t="n">
        <v>46230</v>
      </c>
      <c r="F89" t="inlineStr">
        <is>
          <t>DALARNAS LÄN</t>
        </is>
      </c>
      <c r="G89" t="inlineStr">
        <is>
          <t>ORSA</t>
        </is>
      </c>
      <c r="I89" t="n">
        <v>2.1</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HYPERLINK("https://klasma.github.io/Logging_2034/artfynd/A 28890-2026 artfynd.xlsx", "A 28890-2026")</f>
        <v/>
      </c>
      <c r="X89">
        <f>HYPERLINK("https://klasma.github.io/Logging_2034/kartor/A 28890-2026 karta.png", "A 28890-2026")</f>
        <v/>
      </c>
      <c r="Y89">
        <f>HYPERLINK("https://klasma.github.io/Logging_2034/kartor_geotiff/A 28890-2026 georefererad karta.tif", "A 28890-2026")</f>
        <v/>
      </c>
      <c r="AA89">
        <f>HYPERLINK("https://klasma.github.io/Logging_2034/klagomål/A 28890-2026 FSC-klagomål.docx", "A 28890-2026")</f>
        <v/>
      </c>
      <c r="AB89">
        <f>HYPERLINK("https://klasma.github.io/Logging_2034/klagomålsmail/A 28890-2026 FSC-klagomål mail.docx", "A 28890-2026")</f>
        <v/>
      </c>
      <c r="AC89">
        <f>HYPERLINK("https://klasma.github.io/Logging_2034/tillsyn/A 28890-2026 tillsynsbegäran.docx", "A 28890-2026")</f>
        <v/>
      </c>
      <c r="AD89">
        <f>HYPERLINK("https://klasma.github.io/Logging_2034/tillsynsmail/A 28890-2026 tillsynsbegäran mail.docx", "A 28890-2026")</f>
        <v/>
      </c>
      <c r="AE89">
        <f>HYPERLINK("https://klasma.github.io/Logging_2034/fåglar/A 28890-2026 prioriterade fågelarter.docx", "A 28890-2026")</f>
        <v/>
      </c>
    </row>
    <row r="90" ht="15" customHeight="1">
      <c r="A90" t="inlineStr">
        <is>
          <t>A 384-2026</t>
        </is>
      </c>
      <c r="B90" t="inlineStr">
        <is>
          <t>avverkningsanmälan</t>
        </is>
      </c>
      <c r="C90" t="inlineStr">
        <is>
          <t>Föryngringsavverkning</t>
        </is>
      </c>
      <c r="D90" s="1" t="n">
        <v>46027</v>
      </c>
      <c r="E90" s="1" t="n">
        <v>46230</v>
      </c>
      <c r="F90" t="inlineStr">
        <is>
          <t>DALARNAS LÄN</t>
        </is>
      </c>
      <c r="G90" t="inlineStr">
        <is>
          <t>ORSA</t>
        </is>
      </c>
      <c r="I90" t="n">
        <v>1</v>
      </c>
      <c r="J90" t="n">
        <v>1</v>
      </c>
      <c r="K90" t="n">
        <v>0</v>
      </c>
      <c r="L90" t="n">
        <v>1</v>
      </c>
      <c r="M90" t="n">
        <v>0</v>
      </c>
      <c r="N90" t="n">
        <v>0</v>
      </c>
      <c r="O90" t="n">
        <v>0</v>
      </c>
      <c r="P90" t="n">
        <v>0</v>
      </c>
      <c r="Q90" t="n">
        <v>1</v>
      </c>
      <c r="R90" t="n">
        <v>0</v>
      </c>
      <c r="S90" t="n">
        <v>1</v>
      </c>
      <c r="T90" t="n">
        <v>1</v>
      </c>
      <c r="U90" t="n">
        <v>1</v>
      </c>
      <c r="V90" s="2" t="inlineStr">
        <is>
          <t>Rosenfink</t>
        </is>
      </c>
      <c r="W90">
        <f>HYPERLINK("https://klasma.github.io/Logging_2034/artfynd/A 384-2026 artfynd.xlsx", "A 384-2026")</f>
        <v/>
      </c>
      <c r="X90">
        <f>HYPERLINK("https://klasma.github.io/Logging_2034/kartor/A 384-2026 karta.png", "A 384-2026")</f>
        <v/>
      </c>
      <c r="Y90">
        <f>HYPERLINK("https://klasma.github.io/Logging_2034/kartor_geotiff/A 384-2026 georefererad karta.tif", "A 384-2026")</f>
        <v/>
      </c>
      <c r="AA90">
        <f>HYPERLINK("https://klasma.github.io/Logging_2034/klagomål/A 384-2026 FSC-klagomål.docx", "A 384-2026")</f>
        <v/>
      </c>
      <c r="AB90">
        <f>HYPERLINK("https://klasma.github.io/Logging_2034/klagomålsmail/A 384-2026 FSC-klagomål mail.docx", "A 384-2026")</f>
        <v/>
      </c>
      <c r="AC90">
        <f>HYPERLINK("https://klasma.github.io/Logging_2034/tillsyn/A 384-2026 tillsynsbegäran.docx", "A 384-2026")</f>
        <v/>
      </c>
      <c r="AD90">
        <f>HYPERLINK("https://klasma.github.io/Logging_2034/tillsynsmail/A 384-2026 tillsynsbegäran mail.docx", "A 384-2026")</f>
        <v/>
      </c>
      <c r="AE90">
        <f>HYPERLINK("https://klasma.github.io/Logging_2034/fåglar/A 384-2026 prioriterade fågelarter.docx", "A 384-2026")</f>
        <v/>
      </c>
    </row>
    <row r="91" ht="15" customHeight="1">
      <c r="A91" t="inlineStr">
        <is>
          <t>A 30316-2026</t>
        </is>
      </c>
      <c r="B91" t="inlineStr">
        <is>
          <t>avverkningsanmälan</t>
        </is>
      </c>
      <c r="C91" t="inlineStr">
        <is>
          <t>Avverkning för annat ändamål</t>
        </is>
      </c>
      <c r="D91" s="1" t="n">
        <v>46206</v>
      </c>
      <c r="E91" s="1" t="n">
        <v>46230</v>
      </c>
      <c r="F91" t="inlineStr">
        <is>
          <t>DALARNAS LÄN</t>
        </is>
      </c>
      <c r="G91" t="inlineStr">
        <is>
          <t>ORSA</t>
        </is>
      </c>
      <c r="I91" t="n">
        <v>1.9</v>
      </c>
      <c r="J91" t="n">
        <v>0</v>
      </c>
      <c r="K91" t="n">
        <v>0</v>
      </c>
      <c r="L91" t="n">
        <v>1</v>
      </c>
      <c r="M91" t="n">
        <v>0</v>
      </c>
      <c r="N91" t="n">
        <v>0</v>
      </c>
      <c r="O91" t="n">
        <v>0</v>
      </c>
      <c r="P91" t="n">
        <v>0</v>
      </c>
      <c r="Q91" t="n">
        <v>1</v>
      </c>
      <c r="R91" t="n">
        <v>0</v>
      </c>
      <c r="S91" t="n">
        <v>1</v>
      </c>
      <c r="T91" t="n">
        <v>1</v>
      </c>
      <c r="U91" t="n">
        <v>0</v>
      </c>
      <c r="V91" s="2" t="inlineStr">
        <is>
          <t>Violettgrå tagellav</t>
        </is>
      </c>
      <c r="W91">
        <f>HYPERLINK("https://klasma.github.io/Logging_2034/artfynd/A 30316-2026 artfynd.xlsx", "A 30316-2026")</f>
        <v/>
      </c>
      <c r="X91">
        <f>HYPERLINK("https://klasma.github.io/Logging_2034/kartor/A 30316-2026 karta.png", "A 30316-2026")</f>
        <v/>
      </c>
      <c r="Y91">
        <f>HYPERLINK("https://klasma.github.io/Logging_2034/kartor_geotiff/A 30316-2026 georefererad karta.tif", "A 30316-2026")</f>
        <v/>
      </c>
      <c r="AA91">
        <f>HYPERLINK("https://klasma.github.io/Logging_2034/klagomål/A 30316-2026 FSC-klagomål.docx", "A 30316-2026")</f>
        <v/>
      </c>
      <c r="AB91">
        <f>HYPERLINK("https://klasma.github.io/Logging_2034/klagomålsmail/A 30316-2026 FSC-klagomål mail.docx", "A 30316-2026")</f>
        <v/>
      </c>
      <c r="AC91">
        <f>HYPERLINK("https://klasma.github.io/Logging_2034/tillsyn/A 30316-2026 tillsynsbegäran.docx", "A 30316-2026")</f>
        <v/>
      </c>
      <c r="AD91">
        <f>HYPERLINK("https://klasma.github.io/Logging_2034/tillsynsmail/A 30316-2026 tillsynsbegäran mail.docx", "A 30316-2026")</f>
        <v/>
      </c>
    </row>
    <row r="92" ht="15" customHeight="1">
      <c r="A92" t="inlineStr">
        <is>
          <t>A 30682-2026</t>
        </is>
      </c>
      <c r="B92" t="inlineStr">
        <is>
          <t>avverkningsanmälan</t>
        </is>
      </c>
      <c r="C92" t="inlineStr">
        <is>
          <t>Föryngringsavverkning</t>
        </is>
      </c>
      <c r="D92" s="1" t="n">
        <v>46211</v>
      </c>
      <c r="E92" s="1" t="n">
        <v>46230</v>
      </c>
      <c r="F92" t="inlineStr">
        <is>
          <t>DALARNAS LÄN</t>
        </is>
      </c>
      <c r="G92" t="inlineStr">
        <is>
          <t>ORSA</t>
        </is>
      </c>
      <c r="H92" t="inlineStr">
        <is>
          <t>Bergvik skog öst AB</t>
        </is>
      </c>
      <c r="I92" t="n">
        <v>3.8</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HYPERLINK("https://klasma.github.io/Logging_2034/artfynd/A 30682-2026 artfynd.xlsx", "A 30682-2026")</f>
        <v/>
      </c>
      <c r="X92">
        <f>HYPERLINK("https://klasma.github.io/Logging_2034/kartor/A 30682-2026 karta.png", "A 30682-2026")</f>
        <v/>
      </c>
      <c r="Y92">
        <f>HYPERLINK("https://klasma.github.io/Logging_2034/kartor_geotiff/A 30682-2026 georefererad karta.tif", "A 30682-2026")</f>
        <v/>
      </c>
      <c r="AA92">
        <f>HYPERLINK("https://klasma.github.io/Logging_2034/klagomål/A 30682-2026 FSC-klagomål.docx", "A 30682-2026")</f>
        <v/>
      </c>
      <c r="AB92">
        <f>HYPERLINK("https://klasma.github.io/Logging_2034/klagomålsmail/A 30682-2026 FSC-klagomål mail.docx", "A 30682-2026")</f>
        <v/>
      </c>
      <c r="AC92">
        <f>HYPERLINK("https://klasma.github.io/Logging_2034/tillsyn/A 30682-2026 tillsynsbegäran.docx", "A 30682-2026")</f>
        <v/>
      </c>
      <c r="AD92">
        <f>HYPERLINK("https://klasma.github.io/Logging_2034/tillsynsmail/A 30682-2026 tillsynsbegäran mail.docx", "A 30682-2026")</f>
        <v/>
      </c>
    </row>
    <row r="93" ht="15" customHeight="1">
      <c r="A93" t="inlineStr">
        <is>
          <t>A 30675-2026</t>
        </is>
      </c>
      <c r="B93" t="inlineStr">
        <is>
          <t>avverkningsanmälan</t>
        </is>
      </c>
      <c r="C93" t="inlineStr">
        <is>
          <t>Föryngringsavverkning</t>
        </is>
      </c>
      <c r="D93" s="1" t="n">
        <v>46211</v>
      </c>
      <c r="E93" s="1" t="n">
        <v>46230</v>
      </c>
      <c r="F93" t="inlineStr">
        <is>
          <t>DALARNAS LÄN</t>
        </is>
      </c>
      <c r="G93" t="inlineStr">
        <is>
          <t>ORSA</t>
        </is>
      </c>
      <c r="H93" t="inlineStr">
        <is>
          <t>Bergvik skog öst AB</t>
        </is>
      </c>
      <c r="I93" t="n">
        <v>8.4</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HYPERLINK("https://klasma.github.io/Logging_2034/artfynd/A 30675-2026 artfynd.xlsx", "A 30675-2026")</f>
        <v/>
      </c>
      <c r="X93">
        <f>HYPERLINK("https://klasma.github.io/Logging_2034/kartor/A 30675-2026 karta.png", "A 30675-2026")</f>
        <v/>
      </c>
      <c r="Y93">
        <f>HYPERLINK("https://klasma.github.io/Logging_2034/kartor_geotiff/A 30675-2026 georefererad karta.tif", "A 30675-2026")</f>
        <v/>
      </c>
      <c r="AA93">
        <f>HYPERLINK("https://klasma.github.io/Logging_2034/klagomål/A 30675-2026 FSC-klagomål.docx", "A 30675-2026")</f>
        <v/>
      </c>
      <c r="AB93">
        <f>HYPERLINK("https://klasma.github.io/Logging_2034/klagomålsmail/A 30675-2026 FSC-klagomål mail.docx", "A 30675-2026")</f>
        <v/>
      </c>
      <c r="AC93">
        <f>HYPERLINK("https://klasma.github.io/Logging_2034/tillsyn/A 30675-2026 tillsynsbegäran.docx", "A 30675-2026")</f>
        <v/>
      </c>
      <c r="AD93">
        <f>HYPERLINK("https://klasma.github.io/Logging_2034/tillsynsmail/A 30675-2026 tillsynsbegäran mail.docx", "A 30675-2026")</f>
        <v/>
      </c>
    </row>
    <row r="94" ht="15" customHeight="1">
      <c r="A94" t="inlineStr">
        <is>
          <t>A 37887-2023</t>
        </is>
      </c>
      <c r="B94" t="inlineStr">
        <is>
          <t>avverkningsanmälan</t>
        </is>
      </c>
      <c r="C94" t="inlineStr">
        <is>
          <t>Föryngringsavverkning</t>
        </is>
      </c>
      <c r="D94" s="1" t="n">
        <v>45160</v>
      </c>
      <c r="E94" s="1" t="n">
        <v>46230</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31600-2026</t>
        </is>
      </c>
      <c r="B95" t="inlineStr">
        <is>
          <t>avverkningsanmälan</t>
        </is>
      </c>
      <c r="C95" t="inlineStr">
        <is>
          <t>Föryngringsavverkning</t>
        </is>
      </c>
      <c r="D95" s="1" t="n">
        <v>46224</v>
      </c>
      <c r="E95" s="1" t="n">
        <v>46230</v>
      </c>
      <c r="F95" t="inlineStr">
        <is>
          <t>DALARNAS LÄN</t>
        </is>
      </c>
      <c r="G95" t="inlineStr">
        <is>
          <t>ORSA</t>
        </is>
      </c>
      <c r="H95" t="inlineStr">
        <is>
          <t>Bergvik skog öst AB</t>
        </is>
      </c>
      <c r="I95" t="n">
        <v>9.9</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HYPERLINK("https://klasma.github.io/Logging_2034/artfynd/A 31600-2026 artfynd.xlsx", "A 31600-2026")</f>
        <v/>
      </c>
      <c r="X95">
        <f>HYPERLINK("https://klasma.github.io/Logging_2034/kartor/A 31600-2026 karta.png", "A 31600-2026")</f>
        <v/>
      </c>
      <c r="Y95">
        <f>HYPERLINK("https://klasma.github.io/Logging_2034/kartor_geotiff/A 31600-2026 georefererad karta.tif", "A 31600-2026")</f>
        <v/>
      </c>
      <c r="AA95">
        <f>HYPERLINK("https://klasma.github.io/Logging_2034/klagomål/A 31600-2026 FSC-klagomål.docx", "A 31600-2026")</f>
        <v/>
      </c>
      <c r="AB95">
        <f>HYPERLINK("https://klasma.github.io/Logging_2034/klagomålsmail/A 31600-2026 FSC-klagomål mail.docx", "A 31600-2026")</f>
        <v/>
      </c>
      <c r="AC95">
        <f>HYPERLINK("https://klasma.github.io/Logging_2034/tillsyn/A 31600-2026 tillsynsbegäran.docx", "A 31600-2026")</f>
        <v/>
      </c>
      <c r="AD95">
        <f>HYPERLINK("https://klasma.github.io/Logging_2034/tillsynsmail/A 31600-2026 tillsynsbegäran mail.docx", "A 31600-2026")</f>
        <v/>
      </c>
    </row>
    <row r="96" ht="15" customHeight="1">
      <c r="A96" t="inlineStr">
        <is>
          <t>A 9466-2023</t>
        </is>
      </c>
      <c r="B96" t="inlineStr">
        <is>
          <t>avverkningsanmälan</t>
        </is>
      </c>
      <c r="C96" t="inlineStr">
        <is>
          <t>Avverkning för annat ändamål</t>
        </is>
      </c>
      <c r="D96" s="1" t="n">
        <v>44981</v>
      </c>
      <c r="E96" s="1" t="n">
        <v>46230</v>
      </c>
      <c r="F96" t="inlineStr">
        <is>
          <t>DALARNAS LÄN</t>
        </is>
      </c>
      <c r="G96" t="inlineStr">
        <is>
          <t>ORSA</t>
        </is>
      </c>
      <c r="H96" t="inlineStr">
        <is>
          <t>Bergvik skog väst AB</t>
        </is>
      </c>
      <c r="I96" t="n">
        <v>3.8</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9466-2023 artfynd.xlsx", "A 9466-2023")</f>
        <v/>
      </c>
      <c r="X96">
        <f>HYPERLINK("https://klasma.github.io/Logging_2034/kartor/A 9466-2023 karta.png", "A 9466-2023")</f>
        <v/>
      </c>
      <c r="Y96">
        <f>HYPERLINK("https://klasma.github.io/Logging_2034/kartor_geotiff/A 9466-2023 georefererad karta.tif", "A 9466-2023")</f>
        <v/>
      </c>
      <c r="AA96">
        <f>HYPERLINK("https://klasma.github.io/Logging_2034/klagomål/A 9466-2023 FSC-klagomål.docx", "A 9466-2023")</f>
        <v/>
      </c>
      <c r="AB96">
        <f>HYPERLINK("https://klasma.github.io/Logging_2034/klagomålsmail/A 9466-2023 FSC-klagomål mail.docx", "A 9466-2023")</f>
        <v/>
      </c>
      <c r="AC96">
        <f>HYPERLINK("https://klasma.github.io/Logging_2034/tillsyn/A 9466-2023 tillsynsbegäran.docx", "A 9466-2023")</f>
        <v/>
      </c>
      <c r="AD96">
        <f>HYPERLINK("https://klasma.github.io/Logging_2034/tillsynsmail/A 9466-2023 tillsynsbegäran mail.docx", "A 9466-2023")</f>
        <v/>
      </c>
      <c r="AE96">
        <f>HYPERLINK("https://klasma.github.io/Logging_2034/fåglar/A 9466-2023 prioriterade fågelarter.docx", "A 9466-2023")</f>
        <v/>
      </c>
    </row>
    <row r="97" ht="15" customHeight="1">
      <c r="A97" t="inlineStr">
        <is>
          <t>A 56807-2024</t>
        </is>
      </c>
      <c r="B97" t="inlineStr">
        <is>
          <t>avverkningsanmälan</t>
        </is>
      </c>
      <c r="C97" t="inlineStr">
        <is>
          <t>Föryngringsavverkning</t>
        </is>
      </c>
      <c r="D97" s="1" t="n">
        <v>45628</v>
      </c>
      <c r="E97" s="1" t="n">
        <v>46230</v>
      </c>
      <c r="F97" t="inlineStr">
        <is>
          <t>DALARNAS LÄN</t>
        </is>
      </c>
      <c r="G97" t="inlineStr">
        <is>
          <t>ORSA</t>
        </is>
      </c>
      <c r="I97" t="n">
        <v>1.9</v>
      </c>
      <c r="J97" t="n">
        <v>1</v>
      </c>
      <c r="K97" t="n">
        <v>0</v>
      </c>
      <c r="L97" t="n">
        <v>1</v>
      </c>
      <c r="M97" t="n">
        <v>0</v>
      </c>
      <c r="N97" t="n">
        <v>0</v>
      </c>
      <c r="O97" t="n">
        <v>0</v>
      </c>
      <c r="P97" t="n">
        <v>0</v>
      </c>
      <c r="Q97" t="n">
        <v>1</v>
      </c>
      <c r="R97" t="n">
        <v>0</v>
      </c>
      <c r="S97" t="n">
        <v>1</v>
      </c>
      <c r="T97" t="n">
        <v>1</v>
      </c>
      <c r="U97" t="n">
        <v>0</v>
      </c>
      <c r="V97" s="2" t="inlineStr">
        <is>
          <t>Lavskrika</t>
        </is>
      </c>
      <c r="W97">
        <f>HYPERLINK("https://klasma.github.io/Logging_2034/artfynd/A 56807-2024 artfynd.xlsx", "A 56807-2024")</f>
        <v/>
      </c>
      <c r="X97">
        <f>HYPERLINK("https://klasma.github.io/Logging_2034/kartor/A 56807-2024 karta.png", "A 56807-2024")</f>
        <v/>
      </c>
      <c r="Y97">
        <f>HYPERLINK("https://klasma.github.io/Logging_2034/kartor_geotiff/A 56807-2024 georefererad karta.tif", "A 56807-2024")</f>
        <v/>
      </c>
      <c r="AA97">
        <f>HYPERLINK("https://klasma.github.io/Logging_2034/klagomål/A 56807-2024 FSC-klagomål.docx", "A 56807-2024")</f>
        <v/>
      </c>
      <c r="AB97">
        <f>HYPERLINK("https://klasma.github.io/Logging_2034/klagomålsmail/A 56807-2024 FSC-klagomål mail.docx", "A 56807-2024")</f>
        <v/>
      </c>
      <c r="AC97">
        <f>HYPERLINK("https://klasma.github.io/Logging_2034/tillsyn/A 56807-2024 tillsynsbegäran.docx", "A 56807-2024")</f>
        <v/>
      </c>
      <c r="AD97">
        <f>HYPERLINK("https://klasma.github.io/Logging_2034/tillsynsmail/A 56807-2024 tillsynsbegäran mail.docx", "A 56807-2024")</f>
        <v/>
      </c>
      <c r="AE97">
        <f>HYPERLINK("https://klasma.github.io/Logging_2034/fåglar/A 56807-2024 prioriterade fågelarter.docx", "A 56807-2024")</f>
        <v/>
      </c>
    </row>
    <row r="98" ht="15" customHeight="1">
      <c r="A98" t="inlineStr">
        <is>
          <t>A 32931-2022</t>
        </is>
      </c>
      <c r="B98" t="inlineStr">
        <is>
          <t>avverkningsanmälan</t>
        </is>
      </c>
      <c r="C98" t="inlineStr">
        <is>
          <t>Föryngringsavverkning</t>
        </is>
      </c>
      <c r="D98" s="1" t="n">
        <v>44784</v>
      </c>
      <c r="E98" s="1" t="n">
        <v>46230</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46230</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46230</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46230</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46230</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46230</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46230</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46230</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46230</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46230</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46230</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46230</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46230</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46230</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46230</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46230</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46230</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46230</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41425-2021</t>
        </is>
      </c>
      <c r="B116" t="inlineStr">
        <is>
          <t>avverkningsanmälan</t>
        </is>
      </c>
      <c r="C116" t="inlineStr">
        <is>
          <t>Föryngringsavverkning</t>
        </is>
      </c>
      <c r="D116" s="1" t="n">
        <v>44424</v>
      </c>
      <c r="E116" s="1" t="n">
        <v>46230</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23344-2022</t>
        </is>
      </c>
      <c r="B117" t="inlineStr">
        <is>
          <t>avverkningsanmälan</t>
        </is>
      </c>
      <c r="C117" t="inlineStr">
        <is>
          <t>Föryngringsavverkning</t>
        </is>
      </c>
      <c r="D117" s="1" t="n">
        <v>44720</v>
      </c>
      <c r="E117" s="1" t="n">
        <v>46230</v>
      </c>
      <c r="F117" t="inlineStr">
        <is>
          <t>DALARNAS LÄN</t>
        </is>
      </c>
      <c r="G117" t="inlineStr">
        <is>
          <t>ORSA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52574-2021</t>
        </is>
      </c>
      <c r="B118" t="inlineStr">
        <is>
          <t>avverkningsanmälan</t>
        </is>
      </c>
      <c r="C118" t="inlineStr">
        <is>
          <t>Föryngringsavverkning</t>
        </is>
      </c>
      <c r="D118" s="1" t="n">
        <v>44466</v>
      </c>
      <c r="E118" s="1" t="n">
        <v>46230</v>
      </c>
      <c r="F118" t="inlineStr">
        <is>
          <t>DALARNAS LÄN</t>
        </is>
      </c>
      <c r="G118" t="inlineStr">
        <is>
          <t>ORSA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46230</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46230</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46230</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51277-2021</t>
        </is>
      </c>
      <c r="B122" t="inlineStr">
        <is>
          <t>avverkningsanmälan</t>
        </is>
      </c>
      <c r="C122" t="inlineStr">
        <is>
          <t>Föryngringsavverkning</t>
        </is>
      </c>
      <c r="D122" s="1" t="n">
        <v>44461</v>
      </c>
      <c r="E122" s="1" t="n">
        <v>46230</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51278-2021</t>
        </is>
      </c>
      <c r="B123" t="inlineStr">
        <is>
          <t>avverkningsanmälan</t>
        </is>
      </c>
      <c r="C123" t="inlineStr">
        <is>
          <t>Föryngringsavverkning</t>
        </is>
      </c>
      <c r="D123" s="1" t="n">
        <v>44461</v>
      </c>
      <c r="E123" s="1" t="n">
        <v>46230</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46230</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46230</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46230</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46230</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46230</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56711-2021</t>
        </is>
      </c>
      <c r="B129" t="inlineStr">
        <is>
          <t>avverkningsanmälan</t>
        </is>
      </c>
      <c r="C129" t="inlineStr">
        <is>
          <t>Föryngringsavverkning</t>
        </is>
      </c>
      <c r="D129" s="1" t="n">
        <v>44481</v>
      </c>
      <c r="E129" s="1" t="n">
        <v>46230</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49781-2023</t>
        </is>
      </c>
      <c r="B130" t="inlineStr">
        <is>
          <t>avverkningsanmälan</t>
        </is>
      </c>
      <c r="C130" t="inlineStr">
        <is>
          <t>Föryngringsavverkning</t>
        </is>
      </c>
      <c r="D130" s="1" t="n">
        <v>45212</v>
      </c>
      <c r="E130" s="1" t="n">
        <v>46230</v>
      </c>
      <c r="F130" t="inlineStr">
        <is>
          <t>DALARNAS LÄN</t>
        </is>
      </c>
      <c r="G130" t="inlineStr">
        <is>
          <t>ORSA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72284-2021</t>
        </is>
      </c>
      <c r="B131" t="inlineStr">
        <is>
          <t>avverkningsanmälan</t>
        </is>
      </c>
      <c r="C131" t="inlineStr">
        <is>
          <t>Avverkning för annat ändamål</t>
        </is>
      </c>
      <c r="D131" s="1" t="n">
        <v>44545</v>
      </c>
      <c r="E131" s="1" t="n">
        <v>46230</v>
      </c>
      <c r="F131" t="inlineStr">
        <is>
          <t>DALARNAS LÄN</t>
        </is>
      </c>
      <c r="G131" t="inlineStr">
        <is>
          <t>ORSA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25172-2022</t>
        </is>
      </c>
      <c r="B132" t="inlineStr">
        <is>
          <t>avverkningsanmälan</t>
        </is>
      </c>
      <c r="C132" t="inlineStr">
        <is>
          <t>Föryngringsavverkning</t>
        </is>
      </c>
      <c r="D132" s="1" t="n">
        <v>44729</v>
      </c>
      <c r="E132" s="1" t="n">
        <v>46230</v>
      </c>
      <c r="F132" t="inlineStr">
        <is>
          <t>DALARNAS LÄN</t>
        </is>
      </c>
      <c r="G132" t="inlineStr">
        <is>
          <t>ORSA</t>
        </is>
      </c>
      <c r="H132" t="inlineStr">
        <is>
          <t>Bergvik skog öst AB</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55691-2022</t>
        </is>
      </c>
      <c r="B133" t="inlineStr">
        <is>
          <t>avverkningsanmälan</t>
        </is>
      </c>
      <c r="C133" t="inlineStr">
        <is>
          <t>Föryngringsavverkning</t>
        </is>
      </c>
      <c r="D133" s="1" t="n">
        <v>44888</v>
      </c>
      <c r="E133" s="1" t="n">
        <v>46230</v>
      </c>
      <c r="F133" t="inlineStr">
        <is>
          <t>DALARNAS LÄN</t>
        </is>
      </c>
      <c r="G133" t="inlineStr">
        <is>
          <t>ORSA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29499-2024</t>
        </is>
      </c>
      <c r="B134" t="inlineStr">
        <is>
          <t>avverkningsanmälan</t>
        </is>
      </c>
      <c r="C134" t="inlineStr">
        <is>
          <t>Föryngringsavverkning</t>
        </is>
      </c>
      <c r="D134" s="1" t="n">
        <v>45484</v>
      </c>
      <c r="E134" s="1" t="n">
        <v>46230</v>
      </c>
      <c r="F134" t="inlineStr">
        <is>
          <t>DALARNAS LÄN</t>
        </is>
      </c>
      <c r="G134" t="inlineStr">
        <is>
          <t>ORSA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49270-2024</t>
        </is>
      </c>
      <c r="B135" t="inlineStr">
        <is>
          <t>avverkningsanmälan</t>
        </is>
      </c>
      <c r="C135" t="inlineStr">
        <is>
          <t>Föryngringsavverkning</t>
        </is>
      </c>
      <c r="D135" s="1" t="n">
        <v>45595</v>
      </c>
      <c r="E135" s="1" t="n">
        <v>46230</v>
      </c>
      <c r="F135" t="inlineStr">
        <is>
          <t>DALARNAS LÄN</t>
        </is>
      </c>
      <c r="G135" t="inlineStr">
        <is>
          <t>ORSA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53229-2023</t>
        </is>
      </c>
      <c r="B136" t="inlineStr">
        <is>
          <t>avverkningsanmälan</t>
        </is>
      </c>
      <c r="C136" t="inlineStr">
        <is>
          <t>Föryngringsavverkning</t>
        </is>
      </c>
      <c r="D136" s="1" t="n">
        <v>45229</v>
      </c>
      <c r="E136" s="1" t="n">
        <v>46230</v>
      </c>
      <c r="F136" t="inlineStr">
        <is>
          <t>DALARNAS LÄN</t>
        </is>
      </c>
      <c r="G136" t="inlineStr">
        <is>
          <t>ORSA</t>
        </is>
      </c>
      <c r="H136" t="inlineStr">
        <is>
          <t>Allmännings- och besparingsskogar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2717-2024</t>
        </is>
      </c>
      <c r="B137" t="inlineStr">
        <is>
          <t>avverkningsanmälan</t>
        </is>
      </c>
      <c r="C137" t="inlineStr">
        <is>
          <t>Avverkning för att bevara och utveckla /försöksver</t>
        </is>
      </c>
      <c r="D137" s="1" t="n">
        <v>45314</v>
      </c>
      <c r="E137" s="1" t="n">
        <v>46230</v>
      </c>
      <c r="F137" t="inlineStr">
        <is>
          <t>DALARNAS LÄN</t>
        </is>
      </c>
      <c r="G137" t="inlineStr">
        <is>
          <t>ORSA</t>
        </is>
      </c>
      <c r="H137" t="inlineStr">
        <is>
          <t>Bergvik skog öst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46454-2024</t>
        </is>
      </c>
      <c r="B138" t="inlineStr">
        <is>
          <t>avverkningsanmälan</t>
        </is>
      </c>
      <c r="C138" t="inlineStr">
        <is>
          <t>Föryngringsavverkning</t>
        </is>
      </c>
      <c r="D138" s="1" t="n">
        <v>45582</v>
      </c>
      <c r="E138" s="1" t="n">
        <v>46230</v>
      </c>
      <c r="F138" t="inlineStr">
        <is>
          <t>DALARNAS LÄN</t>
        </is>
      </c>
      <c r="G138" t="inlineStr">
        <is>
          <t>ORSA</t>
        </is>
      </c>
      <c r="H138" t="inlineStr">
        <is>
          <t>Övriga statliga verk och myndigheter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17500-2025</t>
        </is>
      </c>
      <c r="B139" t="inlineStr">
        <is>
          <t>avverkningsanmälan</t>
        </is>
      </c>
      <c r="C139" t="inlineStr">
        <is>
          <t>Föryngringsavverkning</t>
        </is>
      </c>
      <c r="D139" s="1" t="n">
        <v>45757</v>
      </c>
      <c r="E139" s="1" t="n">
        <v>46230</v>
      </c>
      <c r="F139" t="inlineStr">
        <is>
          <t>DALARNAS LÄN</t>
        </is>
      </c>
      <c r="G139" t="inlineStr">
        <is>
          <t>ORSA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13575-2025</t>
        </is>
      </c>
      <c r="B140" t="inlineStr">
        <is>
          <t>avverkningsanmälan</t>
        </is>
      </c>
      <c r="C140" t="inlineStr">
        <is>
          <t>Föryngringsavverkning</t>
        </is>
      </c>
      <c r="D140" s="1" t="n">
        <v>45736</v>
      </c>
      <c r="E140" s="1" t="n">
        <v>46230</v>
      </c>
      <c r="F140" t="inlineStr">
        <is>
          <t>DALARNAS LÄN</t>
        </is>
      </c>
      <c r="G140" t="inlineStr">
        <is>
          <t>ORSA</t>
        </is>
      </c>
      <c r="H140" t="inlineStr">
        <is>
          <t>Bergvik skog öst AB</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47126-2021</t>
        </is>
      </c>
      <c r="B141" t="inlineStr">
        <is>
          <t>avverkningsanmälan</t>
        </is>
      </c>
      <c r="C141" t="inlineStr">
        <is>
          <t>Föryngringsavverkning</t>
        </is>
      </c>
      <c r="D141" s="1" t="n">
        <v>44446</v>
      </c>
      <c r="E141" s="1" t="n">
        <v>46230</v>
      </c>
      <c r="F141" t="inlineStr">
        <is>
          <t>DALARNAS LÄN</t>
        </is>
      </c>
      <c r="G141" t="inlineStr">
        <is>
          <t>ORSA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48990-2023</t>
        </is>
      </c>
      <c r="B142" t="inlineStr">
        <is>
          <t>avverkningsanmälan</t>
        </is>
      </c>
      <c r="C142" t="inlineStr">
        <is>
          <t>Föryngringsavverkning</t>
        </is>
      </c>
      <c r="D142" s="1" t="n">
        <v>45209</v>
      </c>
      <c r="E142" s="1" t="n">
        <v>46230</v>
      </c>
      <c r="F142" t="inlineStr">
        <is>
          <t>DALARNAS LÄN</t>
        </is>
      </c>
      <c r="G142" t="inlineStr">
        <is>
          <t>ORSA</t>
        </is>
      </c>
      <c r="H142" t="inlineStr">
        <is>
          <t>Allmännings- och besparingsskogar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1624-2024</t>
        </is>
      </c>
      <c r="B143" t="inlineStr">
        <is>
          <t>avverkningsanmälan</t>
        </is>
      </c>
      <c r="C143" t="inlineStr">
        <is>
          <t>Föryngringsavverkning</t>
        </is>
      </c>
      <c r="D143" s="1" t="n">
        <v>45306</v>
      </c>
      <c r="E143" s="1" t="n">
        <v>46230</v>
      </c>
      <c r="F143" t="inlineStr">
        <is>
          <t>DALARNAS LÄN</t>
        </is>
      </c>
      <c r="G143" t="inlineStr">
        <is>
          <t>ORSA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58853-2022</t>
        </is>
      </c>
      <c r="B144" t="inlineStr">
        <is>
          <t>avverkningsanmälan</t>
        </is>
      </c>
      <c r="C144" t="inlineStr">
        <is>
          <t>Föryngringsavverkning</t>
        </is>
      </c>
      <c r="D144" s="1" t="n">
        <v>44903</v>
      </c>
      <c r="E144" s="1" t="n">
        <v>46230</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8430-2024</t>
        </is>
      </c>
      <c r="B145" t="inlineStr">
        <is>
          <t>avverkningsanmälan</t>
        </is>
      </c>
      <c r="C145" t="inlineStr">
        <is>
          <t>Föryngringsavverkning</t>
        </is>
      </c>
      <c r="D145" s="1" t="n">
        <v>45353</v>
      </c>
      <c r="E145" s="1" t="n">
        <v>46230</v>
      </c>
      <c r="F145" t="inlineStr">
        <is>
          <t>DALARNAS LÄN</t>
        </is>
      </c>
      <c r="G145" t="inlineStr">
        <is>
          <t>ORSA</t>
        </is>
      </c>
      <c r="I145" t="n">
        <v>14.4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3951-2023</t>
        </is>
      </c>
      <c r="B146" t="inlineStr">
        <is>
          <t>avverkningsanmälan</t>
        </is>
      </c>
      <c r="C146" t="inlineStr">
        <is>
          <t>Föryngringsavverkning</t>
        </is>
      </c>
      <c r="D146" s="1" t="n">
        <v>44952</v>
      </c>
      <c r="E146" s="1" t="n">
        <v>46230</v>
      </c>
      <c r="F146" t="inlineStr">
        <is>
          <t>DALARNAS LÄN</t>
        </is>
      </c>
      <c r="G146" t="inlineStr">
        <is>
          <t>ORSA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10359-2023</t>
        </is>
      </c>
      <c r="B147" t="inlineStr">
        <is>
          <t>avverkningsanmälan</t>
        </is>
      </c>
      <c r="C147" t="inlineStr">
        <is>
          <t>Föryngringsavverkning</t>
        </is>
      </c>
      <c r="D147" s="1" t="n">
        <v>44987</v>
      </c>
      <c r="E147" s="1" t="n">
        <v>46230</v>
      </c>
      <c r="F147" t="inlineStr">
        <is>
          <t>DALARNAS LÄN</t>
        </is>
      </c>
      <c r="G147" t="inlineStr">
        <is>
          <t>ORSA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57533-2022</t>
        </is>
      </c>
      <c r="B148" t="inlineStr">
        <is>
          <t>avverkningsanmälan</t>
        </is>
      </c>
      <c r="C148" t="inlineStr">
        <is>
          <t>Föryngringsavverkning</t>
        </is>
      </c>
      <c r="D148" s="1" t="n">
        <v>44896</v>
      </c>
      <c r="E148" s="1" t="n">
        <v>46230</v>
      </c>
      <c r="F148" t="inlineStr">
        <is>
          <t>DALARNAS LÄN</t>
        </is>
      </c>
      <c r="G148" t="inlineStr">
        <is>
          <t>ORSA</t>
        </is>
      </c>
      <c r="H148" t="inlineStr">
        <is>
          <t>Bergvik skog öst AB</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47778-2021</t>
        </is>
      </c>
      <c r="B149" t="inlineStr">
        <is>
          <t>avverkningsanmälan</t>
        </is>
      </c>
      <c r="C149" t="inlineStr">
        <is>
          <t>Föryngringsavverkning</t>
        </is>
      </c>
      <c r="D149" s="1" t="n">
        <v>44448</v>
      </c>
      <c r="E149" s="1" t="n">
        <v>46230</v>
      </c>
      <c r="F149" t="inlineStr">
        <is>
          <t>DALARNAS LÄN</t>
        </is>
      </c>
      <c r="G149" t="inlineStr">
        <is>
          <t>ORSA</t>
        </is>
      </c>
      <c r="H149" t="inlineStr">
        <is>
          <t>Bergvik skog öst AB</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17850-2025</t>
        </is>
      </c>
      <c r="B150" t="inlineStr">
        <is>
          <t>avverkningsanmälan</t>
        </is>
      </c>
      <c r="C150" t="inlineStr">
        <is>
          <t>Föryngringsavverkning</t>
        </is>
      </c>
      <c r="D150" s="1" t="n">
        <v>45758</v>
      </c>
      <c r="E150" s="1" t="n">
        <v>46230</v>
      </c>
      <c r="F150" t="inlineStr">
        <is>
          <t>DALARNAS LÄN</t>
        </is>
      </c>
      <c r="G150" t="inlineStr">
        <is>
          <t>ORSA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41291-2021</t>
        </is>
      </c>
      <c r="B151" t="inlineStr">
        <is>
          <t>avverkningsanmälan</t>
        </is>
      </c>
      <c r="C151" t="inlineStr">
        <is>
          <t>Föryngringsavverkning</t>
        </is>
      </c>
      <c r="D151" s="1" t="n">
        <v>44424</v>
      </c>
      <c r="E151" s="1" t="n">
        <v>46230</v>
      </c>
      <c r="F151" t="inlineStr">
        <is>
          <t>DALARNAS LÄN</t>
        </is>
      </c>
      <c r="G151" t="inlineStr">
        <is>
          <t>ORSA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21446-2024</t>
        </is>
      </c>
      <c r="B152" t="inlineStr">
        <is>
          <t>avverkningsanmälan</t>
        </is>
      </c>
      <c r="C152" t="inlineStr">
        <is>
          <t>Föryngringsavverkning</t>
        </is>
      </c>
      <c r="D152" s="1" t="n">
        <v>45441</v>
      </c>
      <c r="E152" s="1" t="n">
        <v>46230</v>
      </c>
      <c r="F152" t="inlineStr">
        <is>
          <t>DALARNAS LÄN</t>
        </is>
      </c>
      <c r="G152" t="inlineStr">
        <is>
          <t>ORSA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51563-2023</t>
        </is>
      </c>
      <c r="B153" t="inlineStr">
        <is>
          <t>avverkningsanmälan</t>
        </is>
      </c>
      <c r="C153" t="inlineStr">
        <is>
          <t>Föryngringsavverkning</t>
        </is>
      </c>
      <c r="D153" s="1" t="n">
        <v>45222</v>
      </c>
      <c r="E153" s="1" t="n">
        <v>46230</v>
      </c>
      <c r="F153" t="inlineStr">
        <is>
          <t>DALARNAS LÄN</t>
        </is>
      </c>
      <c r="G153" t="inlineStr">
        <is>
          <t>ORSA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56975-2023</t>
        </is>
      </c>
      <c r="B154" t="inlineStr">
        <is>
          <t>avverkningsanmälan</t>
        </is>
      </c>
      <c r="C154" t="inlineStr">
        <is>
          <t>Föryngringsavverkning</t>
        </is>
      </c>
      <c r="D154" s="1" t="n">
        <v>45244</v>
      </c>
      <c r="E154" s="1" t="n">
        <v>46230</v>
      </c>
      <c r="F154" t="inlineStr">
        <is>
          <t>DALARNAS LÄN</t>
        </is>
      </c>
      <c r="G154" t="inlineStr">
        <is>
          <t>ORSA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63371-2023</t>
        </is>
      </c>
      <c r="B155" t="inlineStr">
        <is>
          <t>avverkningsanmälan</t>
        </is>
      </c>
      <c r="C155" t="inlineStr">
        <is>
          <t>Föryngringsavverkning</t>
        </is>
      </c>
      <c r="D155" s="1" t="n">
        <v>45274</v>
      </c>
      <c r="E155" s="1" t="n">
        <v>46230</v>
      </c>
      <c r="F155" t="inlineStr">
        <is>
          <t>DALARNAS LÄN</t>
        </is>
      </c>
      <c r="G155" t="inlineStr">
        <is>
          <t>ORSA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61279-2023</t>
        </is>
      </c>
      <c r="B156" t="inlineStr">
        <is>
          <t>avverkningsanmälan</t>
        </is>
      </c>
      <c r="C156" t="inlineStr">
        <is>
          <t>Föryngringsavverkning</t>
        </is>
      </c>
      <c r="D156" s="1" t="n">
        <v>45264</v>
      </c>
      <c r="E156" s="1" t="n">
        <v>46230</v>
      </c>
      <c r="F156" t="inlineStr">
        <is>
          <t>DALARNAS LÄN</t>
        </is>
      </c>
      <c r="G156" t="inlineStr">
        <is>
          <t>ORSA</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16392-2024</t>
        </is>
      </c>
      <c r="B157" t="inlineStr">
        <is>
          <t>avverkningsanmälan</t>
        </is>
      </c>
      <c r="C157" t="inlineStr">
        <is>
          <t>Föryngringsavverkning</t>
        </is>
      </c>
      <c r="D157" s="1" t="n">
        <v>45407</v>
      </c>
      <c r="E157" s="1" t="n">
        <v>46230</v>
      </c>
      <c r="F157" t="inlineStr">
        <is>
          <t>DALARNAS LÄN</t>
        </is>
      </c>
      <c r="G157" t="inlineStr">
        <is>
          <t>ORSA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33673-2023</t>
        </is>
      </c>
      <c r="B158" t="inlineStr">
        <is>
          <t>avverkningsanmälan</t>
        </is>
      </c>
      <c r="C158" t="inlineStr">
        <is>
          <t>Föryngringsavverkning</t>
        </is>
      </c>
      <c r="D158" s="1" t="n">
        <v>45132</v>
      </c>
      <c r="E158" s="1" t="n">
        <v>46230</v>
      </c>
      <c r="F158" t="inlineStr">
        <is>
          <t>DALARNAS LÄN</t>
        </is>
      </c>
      <c r="G158" t="inlineStr">
        <is>
          <t>ORSA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28155-2023</t>
        </is>
      </c>
      <c r="B159" t="inlineStr">
        <is>
          <t>avverkningsanmälan</t>
        </is>
      </c>
      <c r="C159" t="inlineStr">
        <is>
          <t>Föryngringsavverkning</t>
        </is>
      </c>
      <c r="D159" s="1" t="n">
        <v>45099</v>
      </c>
      <c r="E159" s="1" t="n">
        <v>46230</v>
      </c>
      <c r="F159" t="inlineStr">
        <is>
          <t>DALARNAS LÄN</t>
        </is>
      </c>
      <c r="G159" t="inlineStr">
        <is>
          <t>ORSA</t>
        </is>
      </c>
      <c r="H159" t="inlineStr">
        <is>
          <t>Bergvik skog öst AB</t>
        </is>
      </c>
      <c r="I159" t="n">
        <v>7.8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28388-2024</t>
        </is>
      </c>
      <c r="B160" t="inlineStr">
        <is>
          <t>avverkningsanmälan</t>
        </is>
      </c>
      <c r="C160" t="inlineStr">
        <is>
          <t>Föryngringsavverkning</t>
        </is>
      </c>
      <c r="D160" s="1" t="n">
        <v>45477</v>
      </c>
      <c r="E160" s="1" t="n">
        <v>46230</v>
      </c>
      <c r="F160" t="inlineStr">
        <is>
          <t>DALARNAS LÄN</t>
        </is>
      </c>
      <c r="G160" t="inlineStr">
        <is>
          <t>ORSA</t>
        </is>
      </c>
      <c r="H160" t="inlineStr">
        <is>
          <t>Bergvik skog öst AB</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51994-2023</t>
        </is>
      </c>
      <c r="B161" t="inlineStr">
        <is>
          <t>avverkningsanmälan</t>
        </is>
      </c>
      <c r="C161" t="inlineStr">
        <is>
          <t>Föryngringsavverkning</t>
        </is>
      </c>
      <c r="D161" s="1" t="n">
        <v>45223</v>
      </c>
      <c r="E161" s="1" t="n">
        <v>46230</v>
      </c>
      <c r="F161" t="inlineStr">
        <is>
          <t>DALARNAS LÄN</t>
        </is>
      </c>
      <c r="G161" t="inlineStr">
        <is>
          <t>ORSA</t>
        </is>
      </c>
      <c r="I161" t="n">
        <v>10.7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52903-2024</t>
        </is>
      </c>
      <c r="B162" t="inlineStr">
        <is>
          <t>avverkningsanmälan</t>
        </is>
      </c>
      <c r="C162" t="inlineStr">
        <is>
          <t>Föryngringsavverkning</t>
        </is>
      </c>
      <c r="D162" s="1" t="n">
        <v>45610</v>
      </c>
      <c r="E162" s="1" t="n">
        <v>46230</v>
      </c>
      <c r="F162" t="inlineStr">
        <is>
          <t>DALARNAS LÄN</t>
        </is>
      </c>
      <c r="G162" t="inlineStr">
        <is>
          <t>ORSA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15113-2025</t>
        </is>
      </c>
      <c r="B163" t="inlineStr">
        <is>
          <t>avverkningsanmälan</t>
        </is>
      </c>
      <c r="C163" t="inlineStr">
        <is>
          <t>Föryngringsavverkning</t>
        </is>
      </c>
      <c r="D163" s="1" t="n">
        <v>45744</v>
      </c>
      <c r="E163" s="1" t="n">
        <v>46230</v>
      </c>
      <c r="F163" t="inlineStr">
        <is>
          <t>DALARNAS LÄN</t>
        </is>
      </c>
      <c r="G163" t="inlineStr">
        <is>
          <t>ORSA</t>
        </is>
      </c>
      <c r="H163" t="inlineStr">
        <is>
          <t>Allmännings- och besparingsskogar</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50392-2024</t>
        </is>
      </c>
      <c r="B164" t="inlineStr">
        <is>
          <t>avverkningsanmälan</t>
        </is>
      </c>
      <c r="C164" t="inlineStr">
        <is>
          <t>Föryngringsavverkning</t>
        </is>
      </c>
      <c r="D164" s="1" t="n">
        <v>45601</v>
      </c>
      <c r="E164" s="1" t="n">
        <v>46230</v>
      </c>
      <c r="F164" t="inlineStr">
        <is>
          <t>DALARNAS LÄN</t>
        </is>
      </c>
      <c r="G164" t="inlineStr">
        <is>
          <t>ORSA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21301-2023</t>
        </is>
      </c>
      <c r="B165" t="inlineStr">
        <is>
          <t>avverkningsanmälan</t>
        </is>
      </c>
      <c r="C165" t="inlineStr">
        <is>
          <t>Föryngringsavverkning</t>
        </is>
      </c>
      <c r="D165" s="1" t="n">
        <v>45062</v>
      </c>
      <c r="E165" s="1" t="n">
        <v>46230</v>
      </c>
      <c r="F165" t="inlineStr">
        <is>
          <t>DALARNAS LÄN</t>
        </is>
      </c>
      <c r="G165" t="inlineStr">
        <is>
          <t>ORSA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10374-2023</t>
        </is>
      </c>
      <c r="B166" t="inlineStr">
        <is>
          <t>avverkningsanmälan</t>
        </is>
      </c>
      <c r="C166" t="inlineStr">
        <is>
          <t>Föryngringsavverkning</t>
        </is>
      </c>
      <c r="D166" s="1" t="n">
        <v>44987</v>
      </c>
      <c r="E166" s="1" t="n">
        <v>46230</v>
      </c>
      <c r="F166" t="inlineStr">
        <is>
          <t>DALARNAS LÄN</t>
        </is>
      </c>
      <c r="G166" t="inlineStr">
        <is>
          <t>ORSA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47732-2022</t>
        </is>
      </c>
      <c r="B167" t="inlineStr">
        <is>
          <t>avverkningsanmälan</t>
        </is>
      </c>
      <c r="C167" t="inlineStr">
        <is>
          <t>Föryngringsavverkning</t>
        </is>
      </c>
      <c r="D167" s="1" t="n">
        <v>44854</v>
      </c>
      <c r="E167" s="1" t="n">
        <v>46230</v>
      </c>
      <c r="F167" t="inlineStr">
        <is>
          <t>DALARNAS LÄN</t>
        </is>
      </c>
      <c r="G167" t="inlineStr">
        <is>
          <t>ORSA</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36089-2023</t>
        </is>
      </c>
      <c r="B168" t="inlineStr">
        <is>
          <t>avverkningsanmälan</t>
        </is>
      </c>
      <c r="C168" t="inlineStr">
        <is>
          <t>Föryngringsavverkning</t>
        </is>
      </c>
      <c r="D168" s="1" t="n">
        <v>45149</v>
      </c>
      <c r="E168" s="1" t="n">
        <v>46230</v>
      </c>
      <c r="F168" t="inlineStr">
        <is>
          <t>DALARNAS LÄN</t>
        </is>
      </c>
      <c r="G168" t="inlineStr">
        <is>
          <t>ORSA</t>
        </is>
      </c>
      <c r="H168" t="inlineStr">
        <is>
          <t>Allmännings- och besparingsskogar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3107-2025</t>
        </is>
      </c>
      <c r="B169" t="inlineStr">
        <is>
          <t>avverkningsanmälan</t>
        </is>
      </c>
      <c r="C169" t="inlineStr">
        <is>
          <t>Föryngringsavverkning</t>
        </is>
      </c>
      <c r="D169" s="1" t="n">
        <v>45678</v>
      </c>
      <c r="E169" s="1" t="n">
        <v>46230</v>
      </c>
      <c r="F169" t="inlineStr">
        <is>
          <t>DALARNAS LÄN</t>
        </is>
      </c>
      <c r="G169" t="inlineStr">
        <is>
          <t>ORSA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52912-2023</t>
        </is>
      </c>
      <c r="B170" t="inlineStr">
        <is>
          <t>avverkningsanmälan</t>
        </is>
      </c>
      <c r="C170" t="inlineStr">
        <is>
          <t>Föryngringsavverkning</t>
        </is>
      </c>
      <c r="D170" s="1" t="n">
        <v>45226</v>
      </c>
      <c r="E170" s="1" t="n">
        <v>46230</v>
      </c>
      <c r="F170" t="inlineStr">
        <is>
          <t>DALARNAS LÄN</t>
        </is>
      </c>
      <c r="G170" t="inlineStr">
        <is>
          <t>ORSA</t>
        </is>
      </c>
      <c r="I170" t="n">
        <v>10.9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45272-2022</t>
        </is>
      </c>
      <c r="B171" t="inlineStr">
        <is>
          <t>avverkningsanmälan</t>
        </is>
      </c>
      <c r="C171" t="inlineStr">
        <is>
          <t>Föryngringsavverkning</t>
        </is>
      </c>
      <c r="D171" s="1" t="n">
        <v>44844</v>
      </c>
      <c r="E171" s="1" t="n">
        <v>46230</v>
      </c>
      <c r="F171" t="inlineStr">
        <is>
          <t>DALARNAS LÄN</t>
        </is>
      </c>
      <c r="G171" t="inlineStr">
        <is>
          <t>ORSA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3720-2023</t>
        </is>
      </c>
      <c r="B172" t="inlineStr">
        <is>
          <t>avverkningsanmälan</t>
        </is>
      </c>
      <c r="C172" t="inlineStr">
        <is>
          <t>Föryngringsavverkning</t>
        </is>
      </c>
      <c r="D172" s="1" t="n">
        <v>44951</v>
      </c>
      <c r="E172" s="1" t="n">
        <v>46230</v>
      </c>
      <c r="F172" t="inlineStr">
        <is>
          <t>DALARNAS LÄN</t>
        </is>
      </c>
      <c r="G172" t="inlineStr">
        <is>
          <t>ORSA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62342-2023</t>
        </is>
      </c>
      <c r="B173" t="inlineStr">
        <is>
          <t>avverkningsanmälan</t>
        </is>
      </c>
      <c r="C173" t="inlineStr">
        <is>
          <t>Föryngringsavverkning</t>
        </is>
      </c>
      <c r="D173" s="1" t="n">
        <v>45267</v>
      </c>
      <c r="E173" s="1" t="n">
        <v>46230</v>
      </c>
      <c r="F173" t="inlineStr">
        <is>
          <t>DALARNAS LÄN</t>
        </is>
      </c>
      <c r="G173" t="inlineStr">
        <is>
          <t>ORSA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52044-2023</t>
        </is>
      </c>
      <c r="B174" t="inlineStr">
        <is>
          <t>avverkningsanmälan</t>
        </is>
      </c>
      <c r="C174" t="inlineStr">
        <is>
          <t>Föryngringsavverkning</t>
        </is>
      </c>
      <c r="D174" s="1" t="n">
        <v>45223</v>
      </c>
      <c r="E174" s="1" t="n">
        <v>46230</v>
      </c>
      <c r="F174" t="inlineStr">
        <is>
          <t>DALARNAS LÄN</t>
        </is>
      </c>
      <c r="G174" t="inlineStr">
        <is>
          <t>ORSA</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33384-2022</t>
        </is>
      </c>
      <c r="B175" t="inlineStr">
        <is>
          <t>avverkningsanmälan</t>
        </is>
      </c>
      <c r="C175" t="inlineStr">
        <is>
          <t>Föryngringsavverkning</t>
        </is>
      </c>
      <c r="D175" s="1" t="n">
        <v>44788</v>
      </c>
      <c r="E175" s="1" t="n">
        <v>46230</v>
      </c>
      <c r="F175" t="inlineStr">
        <is>
          <t>DALARNAS LÄN</t>
        </is>
      </c>
      <c r="G175" t="inlineStr">
        <is>
          <t>ORSA</t>
        </is>
      </c>
      <c r="H175" t="inlineStr">
        <is>
          <t>Bergvik skog öst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10048-2023</t>
        </is>
      </c>
      <c r="B176" t="inlineStr">
        <is>
          <t>avverkningsanmälan</t>
        </is>
      </c>
      <c r="C176" t="inlineStr">
        <is>
          <t>Föryngringsavverkning</t>
        </is>
      </c>
      <c r="D176" s="1" t="n">
        <v>44985</v>
      </c>
      <c r="E176" s="1" t="n">
        <v>46230</v>
      </c>
      <c r="F176" t="inlineStr">
        <is>
          <t>DALARNAS LÄN</t>
        </is>
      </c>
      <c r="G176" t="inlineStr">
        <is>
          <t>ORSA</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51001-2021</t>
        </is>
      </c>
      <c r="B177" t="inlineStr">
        <is>
          <t>avverkningsanmälan</t>
        </is>
      </c>
      <c r="C177" t="inlineStr">
        <is>
          <t>Föryngringsavverkning</t>
        </is>
      </c>
      <c r="D177" s="1" t="n">
        <v>44460</v>
      </c>
      <c r="E177" s="1" t="n">
        <v>46230</v>
      </c>
      <c r="F177" t="inlineStr">
        <is>
          <t>DALARNAS LÄN</t>
        </is>
      </c>
      <c r="G177" t="inlineStr">
        <is>
          <t>ORSA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892-2024</t>
        </is>
      </c>
      <c r="B178" t="inlineStr">
        <is>
          <t>avverkningsanmälan</t>
        </is>
      </c>
      <c r="C178" t="inlineStr">
        <is>
          <t>Föryngringsavverkning</t>
        </is>
      </c>
      <c r="D178" s="1" t="n">
        <v>45301</v>
      </c>
      <c r="E178" s="1" t="n">
        <v>46230</v>
      </c>
      <c r="F178" t="inlineStr">
        <is>
          <t>DALARNAS LÄN</t>
        </is>
      </c>
      <c r="G178" t="inlineStr">
        <is>
          <t>ORSA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37181-2025</t>
        </is>
      </c>
      <c r="B179" t="inlineStr">
        <is>
          <t>avverkningsanmälan</t>
        </is>
      </c>
      <c r="C179" t="inlineStr">
        <is>
          <t>Föryngringsavverkning</t>
        </is>
      </c>
      <c r="D179" s="1" t="n">
        <v>45875</v>
      </c>
      <c r="E179" s="1" t="n">
        <v>46230</v>
      </c>
      <c r="F179" t="inlineStr">
        <is>
          <t>DALARNAS LÄN</t>
        </is>
      </c>
      <c r="G179" t="inlineStr">
        <is>
          <t>ORSA</t>
        </is>
      </c>
      <c r="H179" t="inlineStr">
        <is>
          <t>Bergvik skog öst AB</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16585-2023</t>
        </is>
      </c>
      <c r="B180" t="inlineStr">
        <is>
          <t>avverkningsanmälan</t>
        </is>
      </c>
      <c r="C180" t="inlineStr">
        <is>
          <t>Föryngringsavverkning</t>
        </is>
      </c>
      <c r="D180" s="1" t="n">
        <v>45030</v>
      </c>
      <c r="E180" s="1" t="n">
        <v>46230</v>
      </c>
      <c r="F180" t="inlineStr">
        <is>
          <t>DALARNAS LÄN</t>
        </is>
      </c>
      <c r="G180" t="inlineStr">
        <is>
          <t>ORSA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37439-2025</t>
        </is>
      </c>
      <c r="B181" t="inlineStr">
        <is>
          <t>avverkningsanmälan</t>
        </is>
      </c>
      <c r="C181" t="inlineStr">
        <is>
          <t>Föryngringsavverkning</t>
        </is>
      </c>
      <c r="D181" s="1" t="n">
        <v>45877</v>
      </c>
      <c r="E181" s="1" t="n">
        <v>46230</v>
      </c>
      <c r="F181" t="inlineStr">
        <is>
          <t>DALARNAS LÄN</t>
        </is>
      </c>
      <c r="G181" t="inlineStr">
        <is>
          <t>ORSA</t>
        </is>
      </c>
      <c r="H181" t="inlineStr">
        <is>
          <t>Allmännings- och besparingsskogar</t>
        </is>
      </c>
      <c r="I181" t="n">
        <v>7.9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54519-2023</t>
        </is>
      </c>
      <c r="B182" t="inlineStr">
        <is>
          <t>avverkningsanmälan</t>
        </is>
      </c>
      <c r="C182" t="inlineStr">
        <is>
          <t>Föryngringsavverkning</t>
        </is>
      </c>
      <c r="D182" s="1" t="n">
        <v>45233</v>
      </c>
      <c r="E182" s="1" t="n">
        <v>46230</v>
      </c>
      <c r="F182" t="inlineStr">
        <is>
          <t>DALARNAS LÄN</t>
        </is>
      </c>
      <c r="G182" t="inlineStr">
        <is>
          <t>ORSA</t>
        </is>
      </c>
      <c r="H182" t="inlineStr">
        <is>
          <t>Allmännings- och besparingsskogar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13185-2022</t>
        </is>
      </c>
      <c r="B183" t="inlineStr">
        <is>
          <t>avverkningsanmälan</t>
        </is>
      </c>
      <c r="C183" t="inlineStr">
        <is>
          <t>Föryngringsavverkning</t>
        </is>
      </c>
      <c r="D183" s="1" t="n">
        <v>44644</v>
      </c>
      <c r="E183" s="1" t="n">
        <v>46230</v>
      </c>
      <c r="F183" t="inlineStr">
        <is>
          <t>DALARNAS LÄN</t>
        </is>
      </c>
      <c r="G183" t="inlineStr">
        <is>
          <t>ORSA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37906-2025</t>
        </is>
      </c>
      <c r="B184" t="inlineStr">
        <is>
          <t>avverkningsanmälan</t>
        </is>
      </c>
      <c r="C184" t="inlineStr">
        <is>
          <t>Föryngringsavverkning</t>
        </is>
      </c>
      <c r="D184" s="1" t="n">
        <v>45881</v>
      </c>
      <c r="E184" s="1" t="n">
        <v>46230</v>
      </c>
      <c r="F184" t="inlineStr">
        <is>
          <t>DALARNAS LÄN</t>
        </is>
      </c>
      <c r="G184" t="inlineStr">
        <is>
          <t>ORSA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3168-2024</t>
        </is>
      </c>
      <c r="B185" t="inlineStr">
        <is>
          <t>avverkningsanmälan</t>
        </is>
      </c>
      <c r="C185" t="inlineStr">
        <is>
          <t>Föryngringsavverkning</t>
        </is>
      </c>
      <c r="D185" s="1" t="n">
        <v>45316</v>
      </c>
      <c r="E185" s="1" t="n">
        <v>46230</v>
      </c>
      <c r="F185" t="inlineStr">
        <is>
          <t>DALARNAS LÄN</t>
        </is>
      </c>
      <c r="G185" t="inlineStr">
        <is>
          <t>ORSA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38840-2025</t>
        </is>
      </c>
      <c r="B186" t="inlineStr">
        <is>
          <t>avverkningsanmälan</t>
        </is>
      </c>
      <c r="C186" t="inlineStr">
        <is>
          <t>Föryngringsavverkning</t>
        </is>
      </c>
      <c r="D186" s="1" t="n">
        <v>45887</v>
      </c>
      <c r="E186" s="1" t="n">
        <v>46230</v>
      </c>
      <c r="F186" t="inlineStr">
        <is>
          <t>DALARNAS LÄN</t>
        </is>
      </c>
      <c r="G186" t="inlineStr">
        <is>
          <t>ORSA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34125-2023</t>
        </is>
      </c>
      <c r="B187" t="inlineStr">
        <is>
          <t>avverkningsanmälan</t>
        </is>
      </c>
      <c r="C187" t="inlineStr">
        <is>
          <t>Föryngringsavverkning</t>
        </is>
      </c>
      <c r="D187" s="1" t="n">
        <v>45135</v>
      </c>
      <c r="E187" s="1" t="n">
        <v>46230</v>
      </c>
      <c r="F187" t="inlineStr">
        <is>
          <t>DALARNAS LÄN</t>
        </is>
      </c>
      <c r="G187" t="inlineStr">
        <is>
          <t>ORSA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28974-2024</t>
        </is>
      </c>
      <c r="B188" t="inlineStr">
        <is>
          <t>avverkningsanmälan</t>
        </is>
      </c>
      <c r="C188" t="inlineStr">
        <is>
          <t>Föryngringsavverkning</t>
        </is>
      </c>
      <c r="D188" s="1" t="n">
        <v>45481</v>
      </c>
      <c r="E188" s="1" t="n">
        <v>46230</v>
      </c>
      <c r="F188" t="inlineStr">
        <is>
          <t>DALARNAS LÄN</t>
        </is>
      </c>
      <c r="G188" t="inlineStr">
        <is>
          <t>ORSA</t>
        </is>
      </c>
      <c r="H188" t="inlineStr">
        <is>
          <t>Bergvik skog öst AB</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37931-2023</t>
        </is>
      </c>
      <c r="B189" t="inlineStr">
        <is>
          <t>avverkningsanmälan</t>
        </is>
      </c>
      <c r="C189" t="inlineStr">
        <is>
          <t>Föryngringsavverkning</t>
        </is>
      </c>
      <c r="D189" s="1" t="n">
        <v>45160</v>
      </c>
      <c r="E189" s="1" t="n">
        <v>46230</v>
      </c>
      <c r="F189" t="inlineStr">
        <is>
          <t>DALARNAS LÄN</t>
        </is>
      </c>
      <c r="G189" t="inlineStr">
        <is>
          <t>ORSA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9116-2026</t>
        </is>
      </c>
      <c r="B190" t="inlineStr">
        <is>
          <t>avverkningsanmälan</t>
        </is>
      </c>
      <c r="C190" t="inlineStr">
        <is>
          <t>Föryngringsavverkning</t>
        </is>
      </c>
      <c r="D190" s="1" t="n">
        <v>46069</v>
      </c>
      <c r="E190" s="1" t="n">
        <v>46230</v>
      </c>
      <c r="F190" t="inlineStr">
        <is>
          <t>DALARNAS LÄN</t>
        </is>
      </c>
      <c r="G190" t="inlineStr">
        <is>
          <t>ORSA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7775-2026</t>
        </is>
      </c>
      <c r="B191" t="inlineStr">
        <is>
          <t>avverkningsanmälan</t>
        </is>
      </c>
      <c r="C191" t="inlineStr">
        <is>
          <t>Föryngringsavverkning</t>
        </is>
      </c>
      <c r="D191" s="1" t="n">
        <v>46062</v>
      </c>
      <c r="E191" s="1" t="n">
        <v>46230</v>
      </c>
      <c r="F191" t="inlineStr">
        <is>
          <t>DALARNAS LÄN</t>
        </is>
      </c>
      <c r="G191" t="inlineStr">
        <is>
          <t>ORSA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37770-2023</t>
        </is>
      </c>
      <c r="B192" t="inlineStr">
        <is>
          <t>avverkningsanmälan</t>
        </is>
      </c>
      <c r="C192" t="inlineStr">
        <is>
          <t>Föryngringsavverkning</t>
        </is>
      </c>
      <c r="D192" s="1" t="n">
        <v>45159</v>
      </c>
      <c r="E192" s="1" t="n">
        <v>46230</v>
      </c>
      <c r="F192" t="inlineStr">
        <is>
          <t>DALARNAS LÄN</t>
        </is>
      </c>
      <c r="G192" t="inlineStr">
        <is>
          <t>ORSA</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18312-2024</t>
        </is>
      </c>
      <c r="B193" t="inlineStr">
        <is>
          <t>avverkningsanmälan</t>
        </is>
      </c>
      <c r="C193" t="inlineStr">
        <is>
          <t>Föryngringsavverkning</t>
        </is>
      </c>
      <c r="D193" s="1" t="n">
        <v>45422</v>
      </c>
      <c r="E193" s="1" t="n">
        <v>46230</v>
      </c>
      <c r="F193" t="inlineStr">
        <is>
          <t>DALARNAS LÄN</t>
        </is>
      </c>
      <c r="G193" t="inlineStr">
        <is>
          <t>ORSA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40070-2025</t>
        </is>
      </c>
      <c r="B194" t="inlineStr">
        <is>
          <t>avverkningsanmälan</t>
        </is>
      </c>
      <c r="C194" t="inlineStr">
        <is>
          <t>Föryngringsavverkning</t>
        </is>
      </c>
      <c r="D194" s="1" t="n">
        <v>45894</v>
      </c>
      <c r="E194" s="1" t="n">
        <v>46230</v>
      </c>
      <c r="F194" t="inlineStr">
        <is>
          <t>DALARNAS LÄN</t>
        </is>
      </c>
      <c r="G194" t="inlineStr">
        <is>
          <t>ORSA</t>
        </is>
      </c>
      <c r="H194" t="inlineStr">
        <is>
          <t>Allmännings- och besparingsskogar</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38844-2025</t>
        </is>
      </c>
      <c r="B195" t="inlineStr">
        <is>
          <t>avverkningsanmälan</t>
        </is>
      </c>
      <c r="C195" t="inlineStr">
        <is>
          <t>Föryngringsavverkning</t>
        </is>
      </c>
      <c r="D195" s="1" t="n">
        <v>45887</v>
      </c>
      <c r="E195" s="1" t="n">
        <v>46230</v>
      </c>
      <c r="F195" t="inlineStr">
        <is>
          <t>DALARNAS LÄN</t>
        </is>
      </c>
      <c r="G195" t="inlineStr">
        <is>
          <t>ORSA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51574-2023</t>
        </is>
      </c>
      <c r="B196" t="inlineStr">
        <is>
          <t>avverkningsanmälan</t>
        </is>
      </c>
      <c r="C196" t="inlineStr">
        <is>
          <t>Föryngringsavverkning</t>
        </is>
      </c>
      <c r="D196" s="1" t="n">
        <v>45222</v>
      </c>
      <c r="E196" s="1" t="n">
        <v>46230</v>
      </c>
      <c r="F196" t="inlineStr">
        <is>
          <t>DALARNAS LÄN</t>
        </is>
      </c>
      <c r="G196" t="inlineStr">
        <is>
          <t>ORSA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1967-2026</t>
        </is>
      </c>
      <c r="B197" t="inlineStr">
        <is>
          <t>avverkningsanmälan</t>
        </is>
      </c>
      <c r="C197" t="inlineStr">
        <is>
          <t>Föryngringsavverkning</t>
        </is>
      </c>
      <c r="D197" s="1" t="n">
        <v>46035</v>
      </c>
      <c r="E197" s="1" t="n">
        <v>46230</v>
      </c>
      <c r="F197" t="inlineStr">
        <is>
          <t>DALARNAS LÄN</t>
        </is>
      </c>
      <c r="G197" t="inlineStr">
        <is>
          <t>ORSA</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40091-2025</t>
        </is>
      </c>
      <c r="B198" t="inlineStr">
        <is>
          <t>avverkningsanmälan</t>
        </is>
      </c>
      <c r="C198" t="inlineStr">
        <is>
          <t>Föryngringsavverkning</t>
        </is>
      </c>
      <c r="D198" s="1" t="n">
        <v>45894</v>
      </c>
      <c r="E198" s="1" t="n">
        <v>46230</v>
      </c>
      <c r="F198" t="inlineStr">
        <is>
          <t>DALARNAS LÄN</t>
        </is>
      </c>
      <c r="G198" t="inlineStr">
        <is>
          <t>ORSA</t>
        </is>
      </c>
      <c r="H198" t="inlineStr">
        <is>
          <t>Allmännings- och besparingsskogar</t>
        </is>
      </c>
      <c r="I198" t="n">
        <v>20.4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40577-2025</t>
        </is>
      </c>
      <c r="B199" t="inlineStr">
        <is>
          <t>avverkningsanmälan</t>
        </is>
      </c>
      <c r="C199" t="inlineStr">
        <is>
          <t>Föryngringsavverkning</t>
        </is>
      </c>
      <c r="D199" s="1" t="n">
        <v>45896</v>
      </c>
      <c r="E199" s="1" t="n">
        <v>46230</v>
      </c>
      <c r="F199" t="inlineStr">
        <is>
          <t>DALARNAS LÄN</t>
        </is>
      </c>
      <c r="G199" t="inlineStr">
        <is>
          <t>ORSA</t>
        </is>
      </c>
      <c r="H199" t="inlineStr">
        <is>
          <t>Allmännings- och besparingsskogar</t>
        </is>
      </c>
      <c r="I199" t="n">
        <v>13.8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72310-2021</t>
        </is>
      </c>
      <c r="B200" t="inlineStr">
        <is>
          <t>avverkningsanmälan</t>
        </is>
      </c>
      <c r="C200" t="inlineStr">
        <is>
          <t>Föryngringsavverkning</t>
        </is>
      </c>
      <c r="D200" s="1" t="n">
        <v>44545</v>
      </c>
      <c r="E200" s="1" t="n">
        <v>46230</v>
      </c>
      <c r="F200" t="inlineStr">
        <is>
          <t>DALARNAS LÄN</t>
        </is>
      </c>
      <c r="G200" t="inlineStr">
        <is>
          <t>ORSA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60803-2022</t>
        </is>
      </c>
      <c r="B201" t="inlineStr">
        <is>
          <t>avverkningsanmälan</t>
        </is>
      </c>
      <c r="C201" t="inlineStr">
        <is>
          <t>Föryngringsavverkning</t>
        </is>
      </c>
      <c r="D201" s="1" t="n">
        <v>44914</v>
      </c>
      <c r="E201" s="1" t="n">
        <v>46230</v>
      </c>
      <c r="F201" t="inlineStr">
        <is>
          <t>DALARNAS LÄN</t>
        </is>
      </c>
      <c r="G201" t="inlineStr">
        <is>
          <t>ORSA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7628-2025</t>
        </is>
      </c>
      <c r="B202" t="inlineStr">
        <is>
          <t>avverkningsanmälan</t>
        </is>
      </c>
      <c r="C202" t="inlineStr">
        <is>
          <t>Föryngringsavverkning</t>
        </is>
      </c>
      <c r="D202" s="1" t="n">
        <v>45705</v>
      </c>
      <c r="E202" s="1" t="n">
        <v>46230</v>
      </c>
      <c r="F202" t="inlineStr">
        <is>
          <t>DALARNAS LÄN</t>
        </is>
      </c>
      <c r="G202" t="inlineStr">
        <is>
          <t>ORSA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19505-2022</t>
        </is>
      </c>
      <c r="B203" t="inlineStr">
        <is>
          <t>avverkningsanmälan</t>
        </is>
      </c>
      <c r="C203" t="inlineStr">
        <is>
          <t>Föryngringsavverkning</t>
        </is>
      </c>
      <c r="D203" s="1" t="n">
        <v>44693</v>
      </c>
      <c r="E203" s="1" t="n">
        <v>46230</v>
      </c>
      <c r="F203" t="inlineStr">
        <is>
          <t>DALARNAS LÄN</t>
        </is>
      </c>
      <c r="G203" t="inlineStr">
        <is>
          <t>ORSA</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61685-2024</t>
        </is>
      </c>
      <c r="B204" t="inlineStr">
        <is>
          <t>avverkningsanmälan</t>
        </is>
      </c>
      <c r="C204" t="inlineStr">
        <is>
          <t>Föryngringsavverkning</t>
        </is>
      </c>
      <c r="D204" s="1" t="n">
        <v>45647</v>
      </c>
      <c r="E204" s="1" t="n">
        <v>46230</v>
      </c>
      <c r="F204" t="inlineStr">
        <is>
          <t>DALARNAS LÄN</t>
        </is>
      </c>
      <c r="G204" t="inlineStr">
        <is>
          <t>ORSA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34169-2023</t>
        </is>
      </c>
      <c r="B205" t="inlineStr">
        <is>
          <t>avverkningsanmälan</t>
        </is>
      </c>
      <c r="C205" t="inlineStr">
        <is>
          <t>Föryngringsavverkning</t>
        </is>
      </c>
      <c r="D205" s="1" t="n">
        <v>45138</v>
      </c>
      <c r="E205" s="1" t="n">
        <v>46230</v>
      </c>
      <c r="F205" t="inlineStr">
        <is>
          <t>DALARNAS LÄN</t>
        </is>
      </c>
      <c r="G205" t="inlineStr">
        <is>
          <t>ORSA</t>
        </is>
      </c>
      <c r="H205" t="inlineStr">
        <is>
          <t>Allmännings- och besparingsskogar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8807-2026</t>
        </is>
      </c>
      <c r="B206" t="inlineStr">
        <is>
          <t>avverkningsanmälan</t>
        </is>
      </c>
      <c r="C206" t="inlineStr">
        <is>
          <t>Föryngringsavverkning</t>
        </is>
      </c>
      <c r="D206" s="1" t="n">
        <v>46066</v>
      </c>
      <c r="E206" s="1" t="n">
        <v>46230</v>
      </c>
      <c r="F206" t="inlineStr">
        <is>
          <t>DALARNAS LÄN</t>
        </is>
      </c>
      <c r="G206" t="inlineStr">
        <is>
          <t>ORSA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612-2025</t>
        </is>
      </c>
      <c r="B207" t="inlineStr">
        <is>
          <t>avverkningsanmälan</t>
        </is>
      </c>
      <c r="C207" t="inlineStr">
        <is>
          <t>Föryngringsavverkning</t>
        </is>
      </c>
      <c r="D207" s="1" t="n">
        <v>45660</v>
      </c>
      <c r="E207" s="1" t="n">
        <v>46230</v>
      </c>
      <c r="F207" t="inlineStr">
        <is>
          <t>DALARNAS LÄN</t>
        </is>
      </c>
      <c r="G207" t="inlineStr">
        <is>
          <t>ORSA</t>
        </is>
      </c>
      <c r="H207" t="inlineStr">
        <is>
          <t>Allmännings- och besparingsskogar</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7534-2025</t>
        </is>
      </c>
      <c r="B208" t="inlineStr">
        <is>
          <t>avverkningsanmälan</t>
        </is>
      </c>
      <c r="C208" t="inlineStr">
        <is>
          <t>Föryngringsavverkning</t>
        </is>
      </c>
      <c r="D208" s="1" t="n">
        <v>45705</v>
      </c>
      <c r="E208" s="1" t="n">
        <v>46230</v>
      </c>
      <c r="F208" t="inlineStr">
        <is>
          <t>DALARNAS LÄN</t>
        </is>
      </c>
      <c r="G208" t="inlineStr">
        <is>
          <t>ORSA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41919-2025</t>
        </is>
      </c>
      <c r="B209" t="inlineStr">
        <is>
          <t>avverkningsanmälan</t>
        </is>
      </c>
      <c r="C209" t="inlineStr">
        <is>
          <t>Föryngringsavverkning</t>
        </is>
      </c>
      <c r="D209" s="1" t="n">
        <v>45903</v>
      </c>
      <c r="E209" s="1" t="n">
        <v>46230</v>
      </c>
      <c r="F209" t="inlineStr">
        <is>
          <t>DALARNAS LÄN</t>
        </is>
      </c>
      <c r="G209" t="inlineStr">
        <is>
          <t>ORSA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41666-2025</t>
        </is>
      </c>
      <c r="B210" t="inlineStr">
        <is>
          <t>avverkningsanmälan</t>
        </is>
      </c>
      <c r="C210" t="inlineStr">
        <is>
          <t>Föryngringsavverkning</t>
        </is>
      </c>
      <c r="D210" s="1" t="n">
        <v>45902</v>
      </c>
      <c r="E210" s="1" t="n">
        <v>46230</v>
      </c>
      <c r="F210" t="inlineStr">
        <is>
          <t>DALARNAS LÄN</t>
        </is>
      </c>
      <c r="G210" t="inlineStr">
        <is>
          <t>ORSA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36427-2023</t>
        </is>
      </c>
      <c r="B211" t="inlineStr">
        <is>
          <t>avverkningsanmälan</t>
        </is>
      </c>
      <c r="C211" t="inlineStr">
        <is>
          <t>Föryngringsavverkning</t>
        </is>
      </c>
      <c r="D211" s="1" t="n">
        <v>45152</v>
      </c>
      <c r="E211" s="1" t="n">
        <v>46230</v>
      </c>
      <c r="F211" t="inlineStr">
        <is>
          <t>DALARNAS LÄN</t>
        </is>
      </c>
      <c r="G211" t="inlineStr">
        <is>
          <t>ORSA</t>
        </is>
      </c>
      <c r="H211" t="inlineStr">
        <is>
          <t>Bergvik skog öst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21335-2025</t>
        </is>
      </c>
      <c r="B212" t="inlineStr">
        <is>
          <t>avverkningsanmälan</t>
        </is>
      </c>
      <c r="C212" t="inlineStr">
        <is>
          <t>Föryngringsavverkning</t>
        </is>
      </c>
      <c r="D212" s="1" t="n">
        <v>45782</v>
      </c>
      <c r="E212" s="1" t="n">
        <v>46230</v>
      </c>
      <c r="F212" t="inlineStr">
        <is>
          <t>DALARNAS LÄN</t>
        </is>
      </c>
      <c r="G212" t="inlineStr">
        <is>
          <t>ORSA</t>
        </is>
      </c>
      <c r="H212" t="inlineStr">
        <is>
          <t>Bergvik skog väst AB</t>
        </is>
      </c>
      <c r="I212" t="n">
        <v>14.3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20589-2025</t>
        </is>
      </c>
      <c r="B213" t="inlineStr">
        <is>
          <t>avverkningsanmälan</t>
        </is>
      </c>
      <c r="C213" t="inlineStr">
        <is>
          <t>Föryngringsavverkning</t>
        </is>
      </c>
      <c r="D213" s="1" t="n">
        <v>45775</v>
      </c>
      <c r="E213" s="1" t="n">
        <v>46230</v>
      </c>
      <c r="F213" t="inlineStr">
        <is>
          <t>DALARNAS LÄN</t>
        </is>
      </c>
      <c r="G213" t="inlineStr">
        <is>
          <t>ORSA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6171-2025</t>
        </is>
      </c>
      <c r="B214" t="inlineStr">
        <is>
          <t>avverkningsanmälan</t>
        </is>
      </c>
      <c r="C214" t="inlineStr">
        <is>
          <t>Föryngringsavverkning</t>
        </is>
      </c>
      <c r="D214" s="1" t="n">
        <v>45698</v>
      </c>
      <c r="E214" s="1" t="n">
        <v>46230</v>
      </c>
      <c r="F214" t="inlineStr">
        <is>
          <t>DALARNAS LÄN</t>
        </is>
      </c>
      <c r="G214" t="inlineStr">
        <is>
          <t>ORSA</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42226-2025</t>
        </is>
      </c>
      <c r="B215" t="inlineStr">
        <is>
          <t>avverkningsanmälan</t>
        </is>
      </c>
      <c r="C215" t="inlineStr">
        <is>
          <t>Föryngringsavverkning</t>
        </is>
      </c>
      <c r="D215" s="1" t="n">
        <v>45904</v>
      </c>
      <c r="E215" s="1" t="n">
        <v>46230</v>
      </c>
      <c r="F215" t="inlineStr">
        <is>
          <t>DALARNAS LÄN</t>
        </is>
      </c>
      <c r="G215" t="inlineStr">
        <is>
          <t>ORSA</t>
        </is>
      </c>
      <c r="H215" t="inlineStr">
        <is>
          <t>Allmännings- och besparingsskogar</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48516-2024</t>
        </is>
      </c>
      <c r="B216" t="inlineStr">
        <is>
          <t>avverkningsanmälan</t>
        </is>
      </c>
      <c r="C216" t="inlineStr">
        <is>
          <t>Föryngringsavverkning</t>
        </is>
      </c>
      <c r="D216" s="1" t="n">
        <v>45593</v>
      </c>
      <c r="E216" s="1" t="n">
        <v>46230</v>
      </c>
      <c r="F216" t="inlineStr">
        <is>
          <t>DALARNAS LÄN</t>
        </is>
      </c>
      <c r="G216" t="inlineStr">
        <is>
          <t>ORSA</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23875-2025</t>
        </is>
      </c>
      <c r="B217" t="inlineStr">
        <is>
          <t>avverkningsanmälan</t>
        </is>
      </c>
      <c r="C217" t="inlineStr">
        <is>
          <t>Föryngringsavverkning</t>
        </is>
      </c>
      <c r="D217" s="1" t="n">
        <v>45793</v>
      </c>
      <c r="E217" s="1" t="n">
        <v>46230</v>
      </c>
      <c r="F217" t="inlineStr">
        <is>
          <t>DALARNAS LÄN</t>
        </is>
      </c>
      <c r="G217" t="inlineStr">
        <is>
          <t>ORSA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13209-2022</t>
        </is>
      </c>
      <c r="B218" t="inlineStr">
        <is>
          <t>avverkningsanmälan</t>
        </is>
      </c>
      <c r="C218" t="inlineStr">
        <is>
          <t>Föryngringsavverkning</t>
        </is>
      </c>
      <c r="D218" s="1" t="n">
        <v>44644</v>
      </c>
      <c r="E218" s="1" t="n">
        <v>46230</v>
      </c>
      <c r="F218" t="inlineStr">
        <is>
          <t>DALARNAS LÄN</t>
        </is>
      </c>
      <c r="G218" t="inlineStr">
        <is>
          <t>ORSA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26301-2023</t>
        </is>
      </c>
      <c r="B219" t="inlineStr">
        <is>
          <t>avverkningsanmälan</t>
        </is>
      </c>
      <c r="C219" t="inlineStr">
        <is>
          <t>Föryngringsavverkning</t>
        </is>
      </c>
      <c r="D219" s="1" t="n">
        <v>45091</v>
      </c>
      <c r="E219" s="1" t="n">
        <v>46230</v>
      </c>
      <c r="F219" t="inlineStr">
        <is>
          <t>DALARNAS LÄN</t>
        </is>
      </c>
      <c r="G219" t="inlineStr">
        <is>
          <t>ORSA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13236-2022</t>
        </is>
      </c>
      <c r="B220" t="inlineStr">
        <is>
          <t>avverkningsanmälan</t>
        </is>
      </c>
      <c r="C220" t="inlineStr">
        <is>
          <t>Föryngringsavverkning</t>
        </is>
      </c>
      <c r="D220" s="1" t="n">
        <v>44644</v>
      </c>
      <c r="E220" s="1" t="n">
        <v>46230</v>
      </c>
      <c r="F220" t="inlineStr">
        <is>
          <t>DALARNAS LÄN</t>
        </is>
      </c>
      <c r="G220" t="inlineStr">
        <is>
          <t>ORSA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8429-2024</t>
        </is>
      </c>
      <c r="B221" t="inlineStr">
        <is>
          <t>avverkningsanmälan</t>
        </is>
      </c>
      <c r="C221" t="inlineStr">
        <is>
          <t>Avverkning för annat ändamål</t>
        </is>
      </c>
      <c r="D221" s="1" t="n">
        <v>45353</v>
      </c>
      <c r="E221" s="1" t="n">
        <v>46230</v>
      </c>
      <c r="F221" t="inlineStr">
        <is>
          <t>DALARNAS LÄN</t>
        </is>
      </c>
      <c r="G221" t="inlineStr">
        <is>
          <t>ORSA</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20254-2026</t>
        </is>
      </c>
      <c r="B222" t="inlineStr">
        <is>
          <t>avverkningsanmälan</t>
        </is>
      </c>
      <c r="C222" t="inlineStr">
        <is>
          <t>Föryngringsavverkning</t>
        </is>
      </c>
      <c r="D222" s="1" t="n">
        <v>46139</v>
      </c>
      <c r="E222" s="1" t="n">
        <v>46230</v>
      </c>
      <c r="F222" t="inlineStr">
        <is>
          <t>DALARNAS LÄN</t>
        </is>
      </c>
      <c r="G222" t="inlineStr">
        <is>
          <t>ORSA</t>
        </is>
      </c>
      <c r="H222" t="inlineStr">
        <is>
          <t>Bergvik skog öst AB</t>
        </is>
      </c>
      <c r="I222" t="n">
        <v>18.5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44119-2025</t>
        </is>
      </c>
      <c r="B223" t="inlineStr">
        <is>
          <t>avverkningsanmälan</t>
        </is>
      </c>
      <c r="C223" t="inlineStr">
        <is>
          <t>Föryngringsavverkning</t>
        </is>
      </c>
      <c r="D223" s="1" t="n">
        <v>45915</v>
      </c>
      <c r="E223" s="1" t="n">
        <v>46230</v>
      </c>
      <c r="F223" t="inlineStr">
        <is>
          <t>DALARNAS LÄN</t>
        </is>
      </c>
      <c r="G223" t="inlineStr">
        <is>
          <t>ORSA</t>
        </is>
      </c>
      <c r="H223" t="inlineStr">
        <is>
          <t>Allmännings- och besparingsskogar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44121-2025</t>
        </is>
      </c>
      <c r="B224" t="inlineStr">
        <is>
          <t>avverkningsanmälan</t>
        </is>
      </c>
      <c r="C224" t="inlineStr">
        <is>
          <t>Föryngringsavverkning</t>
        </is>
      </c>
      <c r="D224" s="1" t="n">
        <v>45915</v>
      </c>
      <c r="E224" s="1" t="n">
        <v>46230</v>
      </c>
      <c r="F224" t="inlineStr">
        <is>
          <t>DALARNAS LÄN</t>
        </is>
      </c>
      <c r="G224" t="inlineStr">
        <is>
          <t>ORSA</t>
        </is>
      </c>
      <c r="H224" t="inlineStr">
        <is>
          <t>Allmännings- och besparingsskogar</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43965-2025</t>
        </is>
      </c>
      <c r="B225" t="inlineStr">
        <is>
          <t>avverkningsanmälan</t>
        </is>
      </c>
      <c r="C225" t="inlineStr">
        <is>
          <t>Föryngringsavverkning</t>
        </is>
      </c>
      <c r="D225" s="1" t="n">
        <v>45915</v>
      </c>
      <c r="E225" s="1" t="n">
        <v>46230</v>
      </c>
      <c r="F225" t="inlineStr">
        <is>
          <t>DALARNAS LÄN</t>
        </is>
      </c>
      <c r="G225" t="inlineStr">
        <is>
          <t>ORSA</t>
        </is>
      </c>
      <c r="H225" t="inlineStr">
        <is>
          <t>Allmännings- och besparingsskogar</t>
        </is>
      </c>
      <c r="I225" t="n">
        <v>11.5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44117-2025</t>
        </is>
      </c>
      <c r="B226" t="inlineStr">
        <is>
          <t>avverkningsanmälan</t>
        </is>
      </c>
      <c r="C226" t="inlineStr">
        <is>
          <t>Föryngringsavverkning</t>
        </is>
      </c>
      <c r="D226" s="1" t="n">
        <v>45915</v>
      </c>
      <c r="E226" s="1" t="n">
        <v>46230</v>
      </c>
      <c r="F226" t="inlineStr">
        <is>
          <t>DALARNAS LÄN</t>
        </is>
      </c>
      <c r="G226" t="inlineStr">
        <is>
          <t>ORSA</t>
        </is>
      </c>
      <c r="H226" t="inlineStr">
        <is>
          <t>Allmännings- och besparingsskogar</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43967-2025</t>
        </is>
      </c>
      <c r="B227" t="inlineStr">
        <is>
          <t>avverkningsanmälan</t>
        </is>
      </c>
      <c r="C227" t="inlineStr">
        <is>
          <t>Föryngringsavverkning</t>
        </is>
      </c>
      <c r="D227" s="1" t="n">
        <v>45915</v>
      </c>
      <c r="E227" s="1" t="n">
        <v>46230</v>
      </c>
      <c r="F227" t="inlineStr">
        <is>
          <t>DALARNAS LÄN</t>
        </is>
      </c>
      <c r="G227" t="inlineStr">
        <is>
          <t>ORSA</t>
        </is>
      </c>
      <c r="H227" t="inlineStr">
        <is>
          <t>Allmännings- och besparingsskogar</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61034-2024</t>
        </is>
      </c>
      <c r="B228" t="inlineStr">
        <is>
          <t>avverkningsanmälan</t>
        </is>
      </c>
      <c r="C228" t="inlineStr">
        <is>
          <t>Föryngringsavverkning</t>
        </is>
      </c>
      <c r="D228" s="1" t="n">
        <v>45645</v>
      </c>
      <c r="E228" s="1" t="n">
        <v>46230</v>
      </c>
      <c r="F228" t="inlineStr">
        <is>
          <t>DALARNAS LÄN</t>
        </is>
      </c>
      <c r="G228" t="inlineStr">
        <is>
          <t>ORSA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33209-2025</t>
        </is>
      </c>
      <c r="B229" t="inlineStr">
        <is>
          <t>avverkningsanmälan</t>
        </is>
      </c>
      <c r="C229" t="inlineStr">
        <is>
          <t>Föryngringsavverkning</t>
        </is>
      </c>
      <c r="D229" s="1" t="n">
        <v>45840</v>
      </c>
      <c r="E229" s="1" t="n">
        <v>46230</v>
      </c>
      <c r="F229" t="inlineStr">
        <is>
          <t>DALARNAS LÄN</t>
        </is>
      </c>
      <c r="G229" t="inlineStr">
        <is>
          <t>ORSA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20165-2026</t>
        </is>
      </c>
      <c r="B230" t="inlineStr">
        <is>
          <t>avverkningsanmälan</t>
        </is>
      </c>
      <c r="C230" t="inlineStr">
        <is>
          <t>Föryngringsavverkning</t>
        </is>
      </c>
      <c r="D230" s="1" t="n">
        <v>46139</v>
      </c>
      <c r="E230" s="1" t="n">
        <v>46230</v>
      </c>
      <c r="F230" t="inlineStr">
        <is>
          <t>DALARNAS LÄN</t>
        </is>
      </c>
      <c r="G230" t="inlineStr">
        <is>
          <t>ORSA</t>
        </is>
      </c>
      <c r="H230" t="inlineStr">
        <is>
          <t>Bergvik skog öst AB</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15114-2025</t>
        </is>
      </c>
      <c r="B231" t="inlineStr">
        <is>
          <t>avverkningsanmälan</t>
        </is>
      </c>
      <c r="C231" t="inlineStr">
        <is>
          <t>Föryngringsavverkning</t>
        </is>
      </c>
      <c r="D231" s="1" t="n">
        <v>45744</v>
      </c>
      <c r="E231" s="1" t="n">
        <v>46230</v>
      </c>
      <c r="F231" t="inlineStr">
        <is>
          <t>DALARNAS LÄN</t>
        </is>
      </c>
      <c r="G231" t="inlineStr">
        <is>
          <t>ORSA</t>
        </is>
      </c>
      <c r="H231" t="inlineStr">
        <is>
          <t>Allmännings- och besparingsskogar</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45803-2025</t>
        </is>
      </c>
      <c r="B232" t="inlineStr">
        <is>
          <t>avverkningsanmälan</t>
        </is>
      </c>
      <c r="C232" t="inlineStr">
        <is>
          <t>Föryngringsavverkning</t>
        </is>
      </c>
      <c r="D232" s="1" t="n">
        <v>45923</v>
      </c>
      <c r="E232" s="1" t="n">
        <v>46230</v>
      </c>
      <c r="F232" t="inlineStr">
        <is>
          <t>DALARNAS LÄN</t>
        </is>
      </c>
      <c r="G232" t="inlineStr">
        <is>
          <t>ORSA</t>
        </is>
      </c>
      <c r="H232" t="inlineStr">
        <is>
          <t>Allmännings- och besparingsskogar</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35939-2025</t>
        </is>
      </c>
      <c r="B233" t="inlineStr">
        <is>
          <t>avverkningsanmälan</t>
        </is>
      </c>
      <c r="C233" t="inlineStr">
        <is>
          <t>Föryngringsavverkning</t>
        </is>
      </c>
      <c r="D233" s="1" t="n">
        <v>45862</v>
      </c>
      <c r="E233" s="1" t="n">
        <v>46230</v>
      </c>
      <c r="F233" t="inlineStr">
        <is>
          <t>DALARNAS LÄN</t>
        </is>
      </c>
      <c r="G233" t="inlineStr">
        <is>
          <t>ORSA</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19108-2025</t>
        </is>
      </c>
      <c r="B234" t="inlineStr">
        <is>
          <t>avverkningsanmälan</t>
        </is>
      </c>
      <c r="C234" t="inlineStr">
        <is>
          <t>Föryngringsavverkning</t>
        </is>
      </c>
      <c r="D234" s="1" t="n">
        <v>45768</v>
      </c>
      <c r="E234" s="1" t="n">
        <v>46230</v>
      </c>
      <c r="F234" t="inlineStr">
        <is>
          <t>DALARNAS LÄN</t>
        </is>
      </c>
      <c r="G234" t="inlineStr">
        <is>
          <t>ORSA</t>
        </is>
      </c>
      <c r="H234" t="inlineStr">
        <is>
          <t>Bergvik skog väst AB</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6097-2025</t>
        </is>
      </c>
      <c r="B235" t="inlineStr">
        <is>
          <t>avverkningsanmälan</t>
        </is>
      </c>
      <c r="C235" t="inlineStr">
        <is>
          <t>Föryngringsavverkning</t>
        </is>
      </c>
      <c r="D235" s="1" t="n">
        <v>45697</v>
      </c>
      <c r="E235" s="1" t="n">
        <v>46230</v>
      </c>
      <c r="F235" t="inlineStr">
        <is>
          <t>DALARNAS LÄN</t>
        </is>
      </c>
      <c r="G235" t="inlineStr">
        <is>
          <t>ORSA</t>
        </is>
      </c>
      <c r="I235" t="n">
        <v>11.1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12800-2026</t>
        </is>
      </c>
      <c r="B236" t="inlineStr">
        <is>
          <t>avverkningsanmälan</t>
        </is>
      </c>
      <c r="C236" t="inlineStr">
        <is>
          <t>Föryngringsavverkning</t>
        </is>
      </c>
      <c r="D236" s="1" t="n">
        <v>46092</v>
      </c>
      <c r="E236" s="1" t="n">
        <v>46230</v>
      </c>
      <c r="F236" t="inlineStr">
        <is>
          <t>DALARNAS LÄN</t>
        </is>
      </c>
      <c r="G236" t="inlineStr">
        <is>
          <t>ORSA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5045-2026</t>
        </is>
      </c>
      <c r="B237" t="inlineStr">
        <is>
          <t>avverkningsanmälan</t>
        </is>
      </c>
      <c r="C237" t="inlineStr">
        <is>
          <t>Föryngringsavverkning</t>
        </is>
      </c>
      <c r="D237" s="1" t="n">
        <v>46049</v>
      </c>
      <c r="E237" s="1" t="n">
        <v>46230</v>
      </c>
      <c r="F237" t="inlineStr">
        <is>
          <t>DALARNAS LÄN</t>
        </is>
      </c>
      <c r="G237" t="inlineStr">
        <is>
          <t>ORSA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13580-2025</t>
        </is>
      </c>
      <c r="B238" t="inlineStr">
        <is>
          <t>avverkningsanmälan</t>
        </is>
      </c>
      <c r="C238" t="inlineStr">
        <is>
          <t>Föryngringsavverkning</t>
        </is>
      </c>
      <c r="D238" s="1" t="n">
        <v>45736</v>
      </c>
      <c r="E238" s="1" t="n">
        <v>46230</v>
      </c>
      <c r="F238" t="inlineStr">
        <is>
          <t>DALARNAS LÄN</t>
        </is>
      </c>
      <c r="G238" t="inlineStr">
        <is>
          <t>ORSA</t>
        </is>
      </c>
      <c r="H238" t="inlineStr">
        <is>
          <t>Bergvik skog öst AB</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4040-2026</t>
        </is>
      </c>
      <c r="B239" t="inlineStr">
        <is>
          <t>avverkningsanmälan</t>
        </is>
      </c>
      <c r="C239" t="inlineStr">
        <is>
          <t>Föryngringsavverkning</t>
        </is>
      </c>
      <c r="D239" s="1" t="n">
        <v>46044</v>
      </c>
      <c r="E239" s="1" t="n">
        <v>46230</v>
      </c>
      <c r="F239" t="inlineStr">
        <is>
          <t>DALARNAS LÄN</t>
        </is>
      </c>
      <c r="G239" t="inlineStr">
        <is>
          <t>ORSA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24235-2025</t>
        </is>
      </c>
      <c r="B240" t="inlineStr">
        <is>
          <t>avverkningsanmälan</t>
        </is>
      </c>
      <c r="C240" t="inlineStr">
        <is>
          <t>Föryngringsavverkning</t>
        </is>
      </c>
      <c r="D240" s="1" t="n">
        <v>45797</v>
      </c>
      <c r="E240" s="1" t="n">
        <v>46230</v>
      </c>
      <c r="F240" t="inlineStr">
        <is>
          <t>DALARNAS LÄN</t>
        </is>
      </c>
      <c r="G240" t="inlineStr">
        <is>
          <t>ORSA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34744-2025</t>
        </is>
      </c>
      <c r="B241" t="inlineStr">
        <is>
          <t>avverkningsanmälan</t>
        </is>
      </c>
      <c r="C241" t="inlineStr">
        <is>
          <t>Föryngringsavverkning</t>
        </is>
      </c>
      <c r="D241" s="1" t="n">
        <v>45848</v>
      </c>
      <c r="E241" s="1" t="n">
        <v>46230</v>
      </c>
      <c r="F241" t="inlineStr">
        <is>
          <t>DALARNAS LÄN</t>
        </is>
      </c>
      <c r="G241" t="inlineStr">
        <is>
          <t>ORSA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63917-2023</t>
        </is>
      </c>
      <c r="B242" t="inlineStr">
        <is>
          <t>avverkningsanmälan</t>
        </is>
      </c>
      <c r="C242" t="inlineStr">
        <is>
          <t>Föryngringsavverkning</t>
        </is>
      </c>
      <c r="D242" s="1" t="n">
        <v>45278</v>
      </c>
      <c r="E242" s="1" t="n">
        <v>46230</v>
      </c>
      <c r="F242" t="inlineStr">
        <is>
          <t>DALARNAS LÄN</t>
        </is>
      </c>
      <c r="G242" t="inlineStr">
        <is>
          <t>ORSA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20615-2026</t>
        </is>
      </c>
      <c r="B243" t="inlineStr">
        <is>
          <t>avverkningsanmälan</t>
        </is>
      </c>
      <c r="C243" t="inlineStr">
        <is>
          <t>Föryngringsavverkning</t>
        </is>
      </c>
      <c r="D243" s="1" t="n">
        <v>46140</v>
      </c>
      <c r="E243" s="1" t="n">
        <v>46230</v>
      </c>
      <c r="F243" t="inlineStr">
        <is>
          <t>DALARNAS LÄN</t>
        </is>
      </c>
      <c r="G243" t="inlineStr">
        <is>
          <t>ORSA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47953-2025</t>
        </is>
      </c>
      <c r="B244" t="inlineStr">
        <is>
          <t>avverkningsanmälan</t>
        </is>
      </c>
      <c r="C244" t="inlineStr">
        <is>
          <t>Föryngringsavverkning</t>
        </is>
      </c>
      <c r="D244" s="1" t="n">
        <v>45932</v>
      </c>
      <c r="E244" s="1" t="n">
        <v>46230</v>
      </c>
      <c r="F244" t="inlineStr">
        <is>
          <t>DALARNAS LÄN</t>
        </is>
      </c>
      <c r="G244" t="inlineStr">
        <is>
          <t>ORSA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41971-2025</t>
        </is>
      </c>
      <c r="B245" t="inlineStr">
        <is>
          <t>avverkningsanmälan</t>
        </is>
      </c>
      <c r="C245" t="inlineStr">
        <is>
          <t>Föryngringsavverkning</t>
        </is>
      </c>
      <c r="D245" s="1" t="n">
        <v>45903</v>
      </c>
      <c r="E245" s="1" t="n">
        <v>46230</v>
      </c>
      <c r="F245" t="inlineStr">
        <is>
          <t>DALARNAS LÄN</t>
        </is>
      </c>
      <c r="G245" t="inlineStr">
        <is>
          <t>ORSA</t>
        </is>
      </c>
      <c r="I245" t="n">
        <v>15.8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3226-2026</t>
        </is>
      </c>
      <c r="B246" t="inlineStr">
        <is>
          <t>avverkningsanmälan</t>
        </is>
      </c>
      <c r="C246" t="inlineStr">
        <is>
          <t>Föryngringsavverkning</t>
        </is>
      </c>
      <c r="D246" s="1" t="n">
        <v>46041</v>
      </c>
      <c r="E246" s="1" t="n">
        <v>46230</v>
      </c>
      <c r="F246" t="inlineStr">
        <is>
          <t>DALARNAS LÄN</t>
        </is>
      </c>
      <c r="G246" t="inlineStr">
        <is>
          <t>ORSA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48985-2023</t>
        </is>
      </c>
      <c r="B247" t="inlineStr">
        <is>
          <t>avverkningsanmälan</t>
        </is>
      </c>
      <c r="C247" t="inlineStr">
        <is>
          <t>Föryngringsavverkning</t>
        </is>
      </c>
      <c r="D247" s="1" t="n">
        <v>45209</v>
      </c>
      <c r="E247" s="1" t="n">
        <v>46230</v>
      </c>
      <c r="F247" t="inlineStr">
        <is>
          <t>DALARNAS LÄN</t>
        </is>
      </c>
      <c r="G247" t="inlineStr">
        <is>
          <t>ORSA</t>
        </is>
      </c>
      <c r="H247" t="inlineStr">
        <is>
          <t>Allmännings- och besparingsskogar</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42346-2022</t>
        </is>
      </c>
      <c r="B248" t="inlineStr">
        <is>
          <t>avverkningsanmälan</t>
        </is>
      </c>
      <c r="C248" t="inlineStr">
        <is>
          <t>Föryngringsavverkning</t>
        </is>
      </c>
      <c r="D248" s="1" t="n">
        <v>44831</v>
      </c>
      <c r="E248" s="1" t="n">
        <v>46230</v>
      </c>
      <c r="F248" t="inlineStr">
        <is>
          <t>DALARNAS LÄN</t>
        </is>
      </c>
      <c r="G248" t="inlineStr">
        <is>
          <t>ORSA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57685-2021</t>
        </is>
      </c>
      <c r="B249" t="inlineStr">
        <is>
          <t>avverkningsanmälan</t>
        </is>
      </c>
      <c r="C249" t="inlineStr">
        <is>
          <t>Föryngringsavverkning</t>
        </is>
      </c>
      <c r="D249" s="1" t="n">
        <v>44484</v>
      </c>
      <c r="E249" s="1" t="n">
        <v>46230</v>
      </c>
      <c r="F249" t="inlineStr">
        <is>
          <t>DALARNAS LÄN</t>
        </is>
      </c>
      <c r="G249" t="inlineStr">
        <is>
          <t>ORSA</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28451-2023</t>
        </is>
      </c>
      <c r="B250" t="inlineStr">
        <is>
          <t>avverkningsanmälan</t>
        </is>
      </c>
      <c r="C250" t="inlineStr">
        <is>
          <t>Föryngringsavverkning</t>
        </is>
      </c>
      <c r="D250" s="1" t="n">
        <v>45103</v>
      </c>
      <c r="E250" s="1" t="n">
        <v>46230</v>
      </c>
      <c r="F250" t="inlineStr">
        <is>
          <t>DALARNAS LÄN</t>
        </is>
      </c>
      <c r="G250" t="inlineStr">
        <is>
          <t>ORSA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17848-2025</t>
        </is>
      </c>
      <c r="B251" t="inlineStr">
        <is>
          <t>avverkningsanmälan</t>
        </is>
      </c>
      <c r="C251" t="inlineStr">
        <is>
          <t>Föryngringsavverkning</t>
        </is>
      </c>
      <c r="D251" s="1" t="n">
        <v>45758</v>
      </c>
      <c r="E251" s="1" t="n">
        <v>46230</v>
      </c>
      <c r="F251" t="inlineStr">
        <is>
          <t>DALARNAS LÄN</t>
        </is>
      </c>
      <c r="G251" t="inlineStr">
        <is>
          <t>ORSA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57055-2025</t>
        </is>
      </c>
      <c r="B252" t="inlineStr">
        <is>
          <t>avverkningsanmälan</t>
        </is>
      </c>
      <c r="C252" t="inlineStr">
        <is>
          <t>Föryngringsavverkning</t>
        </is>
      </c>
      <c r="D252" s="1" t="n">
        <v>45979</v>
      </c>
      <c r="E252" s="1" t="n">
        <v>46230</v>
      </c>
      <c r="F252" t="inlineStr">
        <is>
          <t>DALARNAS LÄN</t>
        </is>
      </c>
      <c r="G252" t="inlineStr">
        <is>
          <t>ORSA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37897-2025</t>
        </is>
      </c>
      <c r="B253" t="inlineStr">
        <is>
          <t>avverkningsanmälan</t>
        </is>
      </c>
      <c r="C253" t="inlineStr">
        <is>
          <t>Föryngringsavverkning</t>
        </is>
      </c>
      <c r="D253" s="1" t="n">
        <v>45881</v>
      </c>
      <c r="E253" s="1" t="n">
        <v>46230</v>
      </c>
      <c r="F253" t="inlineStr">
        <is>
          <t>DALARNAS LÄN</t>
        </is>
      </c>
      <c r="G253" t="inlineStr">
        <is>
          <t>ORSA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56942-2024</t>
        </is>
      </c>
      <c r="B254" t="inlineStr">
        <is>
          <t>avverkningsanmälan</t>
        </is>
      </c>
      <c r="C254" t="inlineStr">
        <is>
          <t>Föryngringsavverkning</t>
        </is>
      </c>
      <c r="D254" s="1" t="n">
        <v>45628</v>
      </c>
      <c r="E254" s="1" t="n">
        <v>46230</v>
      </c>
      <c r="F254" t="inlineStr">
        <is>
          <t>DALARNAS LÄN</t>
        </is>
      </c>
      <c r="G254" t="inlineStr">
        <is>
          <t>ORSA</t>
        </is>
      </c>
      <c r="H254" t="inlineStr">
        <is>
          <t>Bergvik skog öst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51064-2025</t>
        </is>
      </c>
      <c r="B255" t="inlineStr">
        <is>
          <t>avverkningsanmälan</t>
        </is>
      </c>
      <c r="C255" t="inlineStr">
        <is>
          <t>Föryngringsavverkning</t>
        </is>
      </c>
      <c r="D255" s="1" t="n">
        <v>45947</v>
      </c>
      <c r="E255" s="1" t="n">
        <v>46230</v>
      </c>
      <c r="F255" t="inlineStr">
        <is>
          <t>DALARNAS LÄN</t>
        </is>
      </c>
      <c r="G255" t="inlineStr">
        <is>
          <t>ORSA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51334-2025</t>
        </is>
      </c>
      <c r="B256" t="inlineStr">
        <is>
          <t>avverkningsanmälan</t>
        </is>
      </c>
      <c r="C256" t="inlineStr">
        <is>
          <t>Föryngringsavverkning</t>
        </is>
      </c>
      <c r="D256" s="1" t="n">
        <v>45950</v>
      </c>
      <c r="E256" s="1" t="n">
        <v>46230</v>
      </c>
      <c r="F256" t="inlineStr">
        <is>
          <t>DALARNAS LÄN</t>
        </is>
      </c>
      <c r="G256" t="inlineStr">
        <is>
          <t>ORSA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16777-2024</t>
        </is>
      </c>
      <c r="B257" t="inlineStr">
        <is>
          <t>avverkningsanmälan</t>
        </is>
      </c>
      <c r="C257" t="inlineStr">
        <is>
          <t>Föryngringsavverkning</t>
        </is>
      </c>
      <c r="D257" s="1" t="n">
        <v>45411</v>
      </c>
      <c r="E257" s="1" t="n">
        <v>46230</v>
      </c>
      <c r="F257" t="inlineStr">
        <is>
          <t>DALARNAS LÄN</t>
        </is>
      </c>
      <c r="G257" t="inlineStr">
        <is>
          <t>ORSA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53102-2021</t>
        </is>
      </c>
      <c r="B258" t="inlineStr">
        <is>
          <t>avverkningsanmälan</t>
        </is>
      </c>
      <c r="C258" t="inlineStr">
        <is>
          <t>Föryngringsavverkning</t>
        </is>
      </c>
      <c r="D258" s="1" t="n">
        <v>44467</v>
      </c>
      <c r="E258" s="1" t="n">
        <v>46230</v>
      </c>
      <c r="F258" t="inlineStr">
        <is>
          <t>DALARNAS LÄN</t>
        </is>
      </c>
      <c r="G258" t="inlineStr">
        <is>
          <t>ORSA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6047-2023</t>
        </is>
      </c>
      <c r="B259" t="inlineStr">
        <is>
          <t>avverkningsanmälan</t>
        </is>
      </c>
      <c r="C259" t="inlineStr">
        <is>
          <t>Avverkning för annat ändamål</t>
        </is>
      </c>
      <c r="D259" s="1" t="n">
        <v>44964</v>
      </c>
      <c r="E259" s="1" t="n">
        <v>46230</v>
      </c>
      <c r="F259" t="inlineStr">
        <is>
          <t>DALARNAS LÄN</t>
        </is>
      </c>
      <c r="G259" t="inlineStr">
        <is>
          <t>ORSA</t>
        </is>
      </c>
      <c r="H259" t="inlineStr">
        <is>
          <t>Bergvik skog öst AB</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52485-2025</t>
        </is>
      </c>
      <c r="B260" t="inlineStr">
        <is>
          <t>avverkningsanmälan</t>
        </is>
      </c>
      <c r="C260" t="inlineStr">
        <is>
          <t>Föryngringsavverkning</t>
        </is>
      </c>
      <c r="D260" s="1" t="n">
        <v>45954</v>
      </c>
      <c r="E260" s="1" t="n">
        <v>46230</v>
      </c>
      <c r="F260" t="inlineStr">
        <is>
          <t>DALARNAS LÄN</t>
        </is>
      </c>
      <c r="G260" t="inlineStr">
        <is>
          <t>ORSA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21511-2026</t>
        </is>
      </c>
      <c r="B261" t="inlineStr">
        <is>
          <t>avverkningsanmälan</t>
        </is>
      </c>
      <c r="C261" t="inlineStr">
        <is>
          <t>Föryngringsavverkning</t>
        </is>
      </c>
      <c r="D261" s="1" t="n">
        <v>46146</v>
      </c>
      <c r="E261" s="1" t="n">
        <v>46230</v>
      </c>
      <c r="F261" t="inlineStr">
        <is>
          <t>DALARNAS LÄN</t>
        </is>
      </c>
      <c r="G261" t="inlineStr">
        <is>
          <t>ORSA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27141-2026</t>
        </is>
      </c>
      <c r="B262" t="inlineStr">
        <is>
          <t>avverkningsanmälan</t>
        </is>
      </c>
      <c r="C262" t="inlineStr">
        <is>
          <t>Föryngringsavverkning</t>
        </is>
      </c>
      <c r="D262" s="1" t="n">
        <v>46188</v>
      </c>
      <c r="E262" s="1" t="n">
        <v>46230</v>
      </c>
      <c r="F262" t="inlineStr">
        <is>
          <t>DALARNAS LÄN</t>
        </is>
      </c>
      <c r="G262" t="inlineStr">
        <is>
          <t>ORSA</t>
        </is>
      </c>
      <c r="H262" t="inlineStr">
        <is>
          <t>Bergvik skog öst AB</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52702-2025</t>
        </is>
      </c>
      <c r="B263" t="inlineStr">
        <is>
          <t>avverkningsanmälan</t>
        </is>
      </c>
      <c r="C263" t="inlineStr">
        <is>
          <t>Föryngringsavverkning</t>
        </is>
      </c>
      <c r="D263" s="1" t="n">
        <v>45956</v>
      </c>
      <c r="E263" s="1" t="n">
        <v>46230</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21225-2026</t>
        </is>
      </c>
      <c r="B264" t="inlineStr">
        <is>
          <t>avverkningsanmälan</t>
        </is>
      </c>
      <c r="C264" t="inlineStr">
        <is>
          <t>Föryngringsavverkning</t>
        </is>
      </c>
      <c r="D264" s="1" t="n">
        <v>46146</v>
      </c>
      <c r="E264" s="1" t="n">
        <v>46230</v>
      </c>
      <c r="F264" t="inlineStr">
        <is>
          <t>DALARNAS LÄN</t>
        </is>
      </c>
      <c r="G264" t="inlineStr">
        <is>
          <t>ORSA</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21379-2026</t>
        </is>
      </c>
      <c r="B265" t="inlineStr">
        <is>
          <t>avverkningsanmälan</t>
        </is>
      </c>
      <c r="C265" t="inlineStr">
        <is>
          <t>Föryngringsavverkning</t>
        </is>
      </c>
      <c r="D265" s="1" t="n">
        <v>46147</v>
      </c>
      <c r="E265" s="1" t="n">
        <v>46230</v>
      </c>
      <c r="F265" t="inlineStr">
        <is>
          <t>DALARNAS LÄN</t>
        </is>
      </c>
      <c r="G265" t="inlineStr">
        <is>
          <t>ORSA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3166-2024</t>
        </is>
      </c>
      <c r="B266" t="inlineStr">
        <is>
          <t>avverkningsanmälan</t>
        </is>
      </c>
      <c r="C266" t="inlineStr">
        <is>
          <t>Föryngringsavverkning</t>
        </is>
      </c>
      <c r="D266" s="1" t="n">
        <v>45316</v>
      </c>
      <c r="E266" s="1" t="n">
        <v>46230</v>
      </c>
      <c r="F266" t="inlineStr">
        <is>
          <t>DALARNAS LÄN</t>
        </is>
      </c>
      <c r="G266" t="inlineStr">
        <is>
          <t>ORSA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53572-2025</t>
        </is>
      </c>
      <c r="B267" t="inlineStr">
        <is>
          <t>avverkningsanmälan</t>
        </is>
      </c>
      <c r="C267" t="inlineStr">
        <is>
          <t>Föryngringsavverkning</t>
        </is>
      </c>
      <c r="D267" s="1" t="n">
        <v>45960</v>
      </c>
      <c r="E267" s="1" t="n">
        <v>46230</v>
      </c>
      <c r="F267" t="inlineStr">
        <is>
          <t>DALARNAS LÄN</t>
        </is>
      </c>
      <c r="G267" t="inlineStr">
        <is>
          <t>ORSA</t>
        </is>
      </c>
      <c r="H267" t="inlineStr">
        <is>
          <t>Bergvik skog öst AB</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56887-2024</t>
        </is>
      </c>
      <c r="B268" t="inlineStr">
        <is>
          <t>avverkningsanmälan</t>
        </is>
      </c>
      <c r="C268" t="inlineStr">
        <is>
          <t>Föryngringsavverkning</t>
        </is>
      </c>
      <c r="D268" s="1" t="n">
        <v>45628</v>
      </c>
      <c r="E268" s="1" t="n">
        <v>46230</v>
      </c>
      <c r="F268" t="inlineStr">
        <is>
          <t>DALARNAS LÄN</t>
        </is>
      </c>
      <c r="G268" t="inlineStr">
        <is>
          <t>ORSA</t>
        </is>
      </c>
      <c r="H268" t="inlineStr">
        <is>
          <t>Bergvik skog öst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54176-2025</t>
        </is>
      </c>
      <c r="B269" t="inlineStr">
        <is>
          <t>avverkningsanmälan</t>
        </is>
      </c>
      <c r="C269" t="inlineStr">
        <is>
          <t>Föryngringsavverkning</t>
        </is>
      </c>
      <c r="D269" s="1" t="n">
        <v>45964</v>
      </c>
      <c r="E269" s="1" t="n">
        <v>46230</v>
      </c>
      <c r="F269" t="inlineStr">
        <is>
          <t>DALARNAS LÄN</t>
        </is>
      </c>
      <c r="G269" t="inlineStr">
        <is>
          <t>ORSA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27803-2026</t>
        </is>
      </c>
      <c r="B270" t="inlineStr">
        <is>
          <t>avverkningsanmälan</t>
        </is>
      </c>
      <c r="C270" t="inlineStr">
        <is>
          <t>Föryngringsavverkning</t>
        </is>
      </c>
      <c r="D270" s="1" t="n">
        <v>46189</v>
      </c>
      <c r="E270" s="1" t="n">
        <v>46230</v>
      </c>
      <c r="F270" t="inlineStr">
        <is>
          <t>DALARNAS LÄN</t>
        </is>
      </c>
      <c r="G270" t="inlineStr">
        <is>
          <t>ORSA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21530-2026</t>
        </is>
      </c>
      <c r="B271" t="inlineStr">
        <is>
          <t>avverkningsanmälan</t>
        </is>
      </c>
      <c r="C271" t="inlineStr">
        <is>
          <t>Föryngringsavverkning</t>
        </is>
      </c>
      <c r="D271" s="1" t="n">
        <v>46148</v>
      </c>
      <c r="E271" s="1" t="n">
        <v>46230</v>
      </c>
      <c r="F271" t="inlineStr">
        <is>
          <t>DALARNAS LÄN</t>
        </is>
      </c>
      <c r="G271" t="inlineStr">
        <is>
          <t>ORSA</t>
        </is>
      </c>
      <c r="H271" t="inlineStr">
        <is>
          <t>Bergvik skog öst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27644-2026</t>
        </is>
      </c>
      <c r="B272" t="inlineStr">
        <is>
          <t>avverkningsanmälan</t>
        </is>
      </c>
      <c r="C272" t="inlineStr">
        <is>
          <t>Föryngringsavverkning</t>
        </is>
      </c>
      <c r="D272" s="1" t="n">
        <v>46190</v>
      </c>
      <c r="E272" s="1" t="n">
        <v>46230</v>
      </c>
      <c r="F272" t="inlineStr">
        <is>
          <t>DALARNAS LÄN</t>
        </is>
      </c>
      <c r="G272" t="inlineStr">
        <is>
          <t>ORSA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54776-2025</t>
        </is>
      </c>
      <c r="B273" t="inlineStr">
        <is>
          <t>avverkningsanmälan</t>
        </is>
      </c>
      <c r="C273" t="inlineStr">
        <is>
          <t>Föryngringsavverkning</t>
        </is>
      </c>
      <c r="D273" s="1" t="n">
        <v>45966</v>
      </c>
      <c r="E273" s="1" t="n">
        <v>46230</v>
      </c>
      <c r="F273" t="inlineStr">
        <is>
          <t>DALARNAS LÄN</t>
        </is>
      </c>
      <c r="G273" t="inlineStr">
        <is>
          <t>ORSA</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52033-2023</t>
        </is>
      </c>
      <c r="B274" t="inlineStr">
        <is>
          <t>avverkningsanmälan</t>
        </is>
      </c>
      <c r="C274" t="inlineStr">
        <is>
          <t>Föryngringsavverkning</t>
        </is>
      </c>
      <c r="D274" s="1" t="n">
        <v>45223</v>
      </c>
      <c r="E274" s="1" t="n">
        <v>46230</v>
      </c>
      <c r="F274" t="inlineStr">
        <is>
          <t>DALARNAS LÄN</t>
        </is>
      </c>
      <c r="G274" t="inlineStr">
        <is>
          <t>ORSA</t>
        </is>
      </c>
      <c r="I274" t="n">
        <v>11.5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54782-2025</t>
        </is>
      </c>
      <c r="B275" t="inlineStr">
        <is>
          <t>avverkningsanmälan</t>
        </is>
      </c>
      <c r="C275" t="inlineStr">
        <is>
          <t>Föryngringsavverkning</t>
        </is>
      </c>
      <c r="D275" s="1" t="n">
        <v>45966</v>
      </c>
      <c r="E275" s="1" t="n">
        <v>46230</v>
      </c>
      <c r="F275" t="inlineStr">
        <is>
          <t>DALARNAS LÄN</t>
        </is>
      </c>
      <c r="G275" t="inlineStr">
        <is>
          <t>ORSA</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54676-2025</t>
        </is>
      </c>
      <c r="B276" t="inlineStr">
        <is>
          <t>avverkningsanmälan</t>
        </is>
      </c>
      <c r="C276" t="inlineStr">
        <is>
          <t>Föryngringsavverkning</t>
        </is>
      </c>
      <c r="D276" s="1" t="n">
        <v>45966</v>
      </c>
      <c r="E276" s="1" t="n">
        <v>46230</v>
      </c>
      <c r="F276" t="inlineStr">
        <is>
          <t>DALARNAS LÄN</t>
        </is>
      </c>
      <c r="G276" t="inlineStr">
        <is>
          <t>ORSA</t>
        </is>
      </c>
      <c r="H276" t="inlineStr">
        <is>
          <t>Allmännings- och besparingsskogar</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55105-2025</t>
        </is>
      </c>
      <c r="B277" t="inlineStr">
        <is>
          <t>avverkningsanmälan</t>
        </is>
      </c>
      <c r="C277" t="inlineStr">
        <is>
          <t>Föryngringsavverkning</t>
        </is>
      </c>
      <c r="D277" s="1" t="n">
        <v>45968</v>
      </c>
      <c r="E277" s="1" t="n">
        <v>46230</v>
      </c>
      <c r="F277" t="inlineStr">
        <is>
          <t>DALARNAS LÄN</t>
        </is>
      </c>
      <c r="G277" t="inlineStr">
        <is>
          <t>ORSA</t>
        </is>
      </c>
      <c r="H277" t="inlineStr">
        <is>
          <t>Allmännings- och besparingsskogar</t>
        </is>
      </c>
      <c r="I277" t="n">
        <v>31.5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55369-2025</t>
        </is>
      </c>
      <c r="B278" t="inlineStr">
        <is>
          <t>avverkningsanmälan</t>
        </is>
      </c>
      <c r="C278" t="inlineStr">
        <is>
          <t>Föryngringsavverkning</t>
        </is>
      </c>
      <c r="D278" s="1" t="n">
        <v>45971</v>
      </c>
      <c r="E278" s="1" t="n">
        <v>46230</v>
      </c>
      <c r="F278" t="inlineStr">
        <is>
          <t>DALARNAS LÄN</t>
        </is>
      </c>
      <c r="G278" t="inlineStr">
        <is>
          <t>ORSA</t>
        </is>
      </c>
      <c r="H278" t="inlineStr">
        <is>
          <t>Bergvik skog öst AB</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55405-2025</t>
        </is>
      </c>
      <c r="B279" t="inlineStr">
        <is>
          <t>avverkningsanmälan</t>
        </is>
      </c>
      <c r="C279" t="inlineStr">
        <is>
          <t>Föryngringsavverkning</t>
        </is>
      </c>
      <c r="D279" s="1" t="n">
        <v>45971</v>
      </c>
      <c r="E279" s="1" t="n">
        <v>46230</v>
      </c>
      <c r="F279" t="inlineStr">
        <is>
          <t>DALARNAS LÄN</t>
        </is>
      </c>
      <c r="G279" t="inlineStr">
        <is>
          <t>ORSA</t>
        </is>
      </c>
      <c r="H279" t="inlineStr">
        <is>
          <t>Bergvik skog öst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56471-2025</t>
        </is>
      </c>
      <c r="B280" t="inlineStr">
        <is>
          <t>avverkningsanmälan</t>
        </is>
      </c>
      <c r="C280" t="inlineStr">
        <is>
          <t>Föryngringsavverkning</t>
        </is>
      </c>
      <c r="D280" s="1" t="n">
        <v>45975</v>
      </c>
      <c r="E280" s="1" t="n">
        <v>46230</v>
      </c>
      <c r="F280" t="inlineStr">
        <is>
          <t>DALARNAS LÄN</t>
        </is>
      </c>
      <c r="G280" t="inlineStr">
        <is>
          <t>ORSA</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56295-2025</t>
        </is>
      </c>
      <c r="B281" t="inlineStr">
        <is>
          <t>avverkningsanmälan</t>
        </is>
      </c>
      <c r="C281" t="inlineStr">
        <is>
          <t>Föryngringsavverkning</t>
        </is>
      </c>
      <c r="D281" s="1" t="n">
        <v>45974</v>
      </c>
      <c r="E281" s="1" t="n">
        <v>46230</v>
      </c>
      <c r="F281" t="inlineStr">
        <is>
          <t>DALARNAS LÄN</t>
        </is>
      </c>
      <c r="G281" t="inlineStr">
        <is>
          <t>ORSA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56473-2025</t>
        </is>
      </c>
      <c r="B282" t="inlineStr">
        <is>
          <t>avverkningsanmälan</t>
        </is>
      </c>
      <c r="C282" t="inlineStr">
        <is>
          <t>Föryngringsavverkning</t>
        </is>
      </c>
      <c r="D282" s="1" t="n">
        <v>45975</v>
      </c>
      <c r="E282" s="1" t="n">
        <v>46230</v>
      </c>
      <c r="F282" t="inlineStr">
        <is>
          <t>DALARNAS LÄN</t>
        </is>
      </c>
      <c r="G282" t="inlineStr">
        <is>
          <t>ORSA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56297-2025</t>
        </is>
      </c>
      <c r="B283" t="inlineStr">
        <is>
          <t>avverkningsanmälan</t>
        </is>
      </c>
      <c r="C283" t="inlineStr">
        <is>
          <t>Föryngringsavverkning</t>
        </is>
      </c>
      <c r="D283" s="1" t="n">
        <v>45974</v>
      </c>
      <c r="E283" s="1" t="n">
        <v>46230</v>
      </c>
      <c r="F283" t="inlineStr">
        <is>
          <t>DALARNAS LÄN</t>
        </is>
      </c>
      <c r="G283" t="inlineStr">
        <is>
          <t>ORSA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56459-2025</t>
        </is>
      </c>
      <c r="B284" t="inlineStr">
        <is>
          <t>avverkningsanmälan</t>
        </is>
      </c>
      <c r="C284" t="inlineStr">
        <is>
          <t>Föryngringsavverkning</t>
        </is>
      </c>
      <c r="D284" s="1" t="n">
        <v>45975</v>
      </c>
      <c r="E284" s="1" t="n">
        <v>46230</v>
      </c>
      <c r="F284" t="inlineStr">
        <is>
          <t>DALARNAS LÄN</t>
        </is>
      </c>
      <c r="G284" t="inlineStr">
        <is>
          <t>ORSA</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56288-2025</t>
        </is>
      </c>
      <c r="B285" t="inlineStr">
        <is>
          <t>avverkningsanmälan</t>
        </is>
      </c>
      <c r="C285" t="inlineStr">
        <is>
          <t>Föryngringsavverkning</t>
        </is>
      </c>
      <c r="D285" s="1" t="n">
        <v>45974</v>
      </c>
      <c r="E285" s="1" t="n">
        <v>46230</v>
      </c>
      <c r="F285" t="inlineStr">
        <is>
          <t>DALARNAS LÄN</t>
        </is>
      </c>
      <c r="G285" t="inlineStr">
        <is>
          <t>ORSA</t>
        </is>
      </c>
      <c r="I285" t="n">
        <v>7.2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21900-2026</t>
        </is>
      </c>
      <c r="B286" t="inlineStr">
        <is>
          <t>avverkningsanmälan</t>
        </is>
      </c>
      <c r="C286" t="inlineStr">
        <is>
          <t>Föryngringsavverkning</t>
        </is>
      </c>
      <c r="D286" s="1" t="n">
        <v>46150</v>
      </c>
      <c r="E286" s="1" t="n">
        <v>46230</v>
      </c>
      <c r="F286" t="inlineStr">
        <is>
          <t>DALARNAS LÄN</t>
        </is>
      </c>
      <c r="G286" t="inlineStr">
        <is>
          <t>ORSA</t>
        </is>
      </c>
      <c r="H286" t="inlineStr">
        <is>
          <t>Allmännings- och besparingsskogar</t>
        </is>
      </c>
      <c r="I286" t="n">
        <v>11.8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50742-2023</t>
        </is>
      </c>
      <c r="B287" t="inlineStr">
        <is>
          <t>avverkningsanmälan</t>
        </is>
      </c>
      <c r="C287" t="inlineStr">
        <is>
          <t>Föryngringsavverkning</t>
        </is>
      </c>
      <c r="D287" s="1" t="n">
        <v>45217</v>
      </c>
      <c r="E287" s="1" t="n">
        <v>46230</v>
      </c>
      <c r="F287" t="inlineStr">
        <is>
          <t>DALARNAS LÄN</t>
        </is>
      </c>
      <c r="G287" t="inlineStr">
        <is>
          <t>ORSA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57383-2025</t>
        </is>
      </c>
      <c r="B288" t="inlineStr">
        <is>
          <t>avverkningsanmälan</t>
        </is>
      </c>
      <c r="C288" t="inlineStr">
        <is>
          <t>Föryngringsavverkning</t>
        </is>
      </c>
      <c r="D288" s="1" t="n">
        <v>45980</v>
      </c>
      <c r="E288" s="1" t="n">
        <v>46230</v>
      </c>
      <c r="F288" t="inlineStr">
        <is>
          <t>DALARNAS LÄN</t>
        </is>
      </c>
      <c r="G288" t="inlineStr">
        <is>
          <t>ORSA</t>
        </is>
      </c>
      <c r="H288" t="inlineStr">
        <is>
          <t>Kyrkan</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52776-2022</t>
        </is>
      </c>
      <c r="B289" t="inlineStr">
        <is>
          <t>avverkningsanmälan</t>
        </is>
      </c>
      <c r="C289" t="inlineStr">
        <is>
          <t>Föryngringsavverkning</t>
        </is>
      </c>
      <c r="D289" s="1" t="n">
        <v>44875</v>
      </c>
      <c r="E289" s="1" t="n">
        <v>46230</v>
      </c>
      <c r="F289" t="inlineStr">
        <is>
          <t>DALARNAS LÄN</t>
        </is>
      </c>
      <c r="G289" t="inlineStr">
        <is>
          <t>ORSA</t>
        </is>
      </c>
      <c r="H289" t="inlineStr">
        <is>
          <t>Allmännings- och besparingsskogar</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6492-2025</t>
        </is>
      </c>
      <c r="B290" t="inlineStr">
        <is>
          <t>avverkningsanmälan</t>
        </is>
      </c>
      <c r="C290" t="inlineStr">
        <is>
          <t>Föryngringsavverkning</t>
        </is>
      </c>
      <c r="D290" s="1" t="n">
        <v>45699</v>
      </c>
      <c r="E290" s="1" t="n">
        <v>46230</v>
      </c>
      <c r="F290" t="inlineStr">
        <is>
          <t>DALARNAS LÄN</t>
        </is>
      </c>
      <c r="G290" t="inlineStr">
        <is>
          <t>ORSA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58681-2025</t>
        </is>
      </c>
      <c r="B291" t="inlineStr">
        <is>
          <t>avverkningsanmälan</t>
        </is>
      </c>
      <c r="C291" t="inlineStr">
        <is>
          <t>Föryngringsavverkning</t>
        </is>
      </c>
      <c r="D291" s="1" t="n">
        <v>45986</v>
      </c>
      <c r="E291" s="1" t="n">
        <v>46230</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58904-2025</t>
        </is>
      </c>
      <c r="B292" t="inlineStr">
        <is>
          <t>avverkningsanmälan</t>
        </is>
      </c>
      <c r="C292" t="inlineStr">
        <is>
          <t>Föryngringsavverkning</t>
        </is>
      </c>
      <c r="D292" s="1" t="n">
        <v>45987</v>
      </c>
      <c r="E292" s="1" t="n">
        <v>46230</v>
      </c>
      <c r="F292" t="inlineStr">
        <is>
          <t>DALARNAS LÄN</t>
        </is>
      </c>
      <c r="G292" t="inlineStr">
        <is>
          <t>ORSA</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58657-2025</t>
        </is>
      </c>
      <c r="B293" t="inlineStr">
        <is>
          <t>avverkningsanmälan</t>
        </is>
      </c>
      <c r="C293" t="inlineStr">
        <is>
          <t>Föryngringsavverkning</t>
        </is>
      </c>
      <c r="D293" s="1" t="n">
        <v>45986</v>
      </c>
      <c r="E293" s="1" t="n">
        <v>46230</v>
      </c>
      <c r="F293" t="inlineStr">
        <is>
          <t>DALARNAS LÄN</t>
        </is>
      </c>
      <c r="G293" t="inlineStr">
        <is>
          <t>ORSA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58834-2025</t>
        </is>
      </c>
      <c r="B294" t="inlineStr">
        <is>
          <t>avverkningsanmälan</t>
        </is>
      </c>
      <c r="C294" t="inlineStr">
        <is>
          <t>Föryngringsavverkning</t>
        </is>
      </c>
      <c r="D294" s="1" t="n">
        <v>45987</v>
      </c>
      <c r="E294" s="1" t="n">
        <v>46230</v>
      </c>
      <c r="F294" t="inlineStr">
        <is>
          <t>DALARNAS LÄN</t>
        </is>
      </c>
      <c r="G294" t="inlineStr">
        <is>
          <t>ORSA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58691-2025</t>
        </is>
      </c>
      <c r="B295" t="inlineStr">
        <is>
          <t>avverkningsanmälan</t>
        </is>
      </c>
      <c r="C295" t="inlineStr">
        <is>
          <t>Föryngringsavverkning</t>
        </is>
      </c>
      <c r="D295" s="1" t="n">
        <v>45986</v>
      </c>
      <c r="E295" s="1" t="n">
        <v>46230</v>
      </c>
      <c r="F295" t="inlineStr">
        <is>
          <t>DALARNAS LÄN</t>
        </is>
      </c>
      <c r="G295" t="inlineStr">
        <is>
          <t>ORSA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58647-2025</t>
        </is>
      </c>
      <c r="B296" t="inlineStr">
        <is>
          <t>avverkningsanmälan</t>
        </is>
      </c>
      <c r="C296" t="inlineStr">
        <is>
          <t>Föryngringsavverkning</t>
        </is>
      </c>
      <c r="D296" s="1" t="n">
        <v>45986</v>
      </c>
      <c r="E296" s="1" t="n">
        <v>46230</v>
      </c>
      <c r="F296" t="inlineStr">
        <is>
          <t>DALARNAS LÄN</t>
        </is>
      </c>
      <c r="G296" t="inlineStr">
        <is>
          <t>ORSA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58886-2025</t>
        </is>
      </c>
      <c r="B297" t="inlineStr">
        <is>
          <t>avverkningsanmälan</t>
        </is>
      </c>
      <c r="C297" t="inlineStr">
        <is>
          <t>Föryngringsavverkning</t>
        </is>
      </c>
      <c r="D297" s="1" t="n">
        <v>45987</v>
      </c>
      <c r="E297" s="1" t="n">
        <v>46230</v>
      </c>
      <c r="F297" t="inlineStr">
        <is>
          <t>DALARNAS LÄN</t>
        </is>
      </c>
      <c r="G297" t="inlineStr">
        <is>
          <t>ORSA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58683-2025</t>
        </is>
      </c>
      <c r="B298" t="inlineStr">
        <is>
          <t>avverkningsanmälan</t>
        </is>
      </c>
      <c r="C298" t="inlineStr">
        <is>
          <t>Föryngringsavverkning</t>
        </is>
      </c>
      <c r="D298" s="1" t="n">
        <v>45986</v>
      </c>
      <c r="E298" s="1" t="n">
        <v>46230</v>
      </c>
      <c r="F298" t="inlineStr">
        <is>
          <t>DALARNAS LÄN</t>
        </is>
      </c>
      <c r="G298" t="inlineStr">
        <is>
          <t>ORSA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59149-2025</t>
        </is>
      </c>
      <c r="B299" t="inlineStr">
        <is>
          <t>avverkningsanmälan</t>
        </is>
      </c>
      <c r="C299" t="inlineStr">
        <is>
          <t>Föryngringsavverkning</t>
        </is>
      </c>
      <c r="D299" s="1" t="n">
        <v>45988</v>
      </c>
      <c r="E299" s="1" t="n">
        <v>46230</v>
      </c>
      <c r="F299" t="inlineStr">
        <is>
          <t>DALARNAS LÄN</t>
        </is>
      </c>
      <c r="G299" t="inlineStr">
        <is>
          <t>ORSA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59114-2025</t>
        </is>
      </c>
      <c r="B300" t="inlineStr">
        <is>
          <t>avverkningsanmälan</t>
        </is>
      </c>
      <c r="C300" t="inlineStr">
        <is>
          <t>Föryngringsavverkning</t>
        </is>
      </c>
      <c r="D300" s="1" t="n">
        <v>45988</v>
      </c>
      <c r="E300" s="1" t="n">
        <v>46230</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59124-2025</t>
        </is>
      </c>
      <c r="B301" t="inlineStr">
        <is>
          <t>avverkningsanmälan</t>
        </is>
      </c>
      <c r="C301" t="inlineStr">
        <is>
          <t>Föryngringsavverkning</t>
        </is>
      </c>
      <c r="D301" s="1" t="n">
        <v>45988</v>
      </c>
      <c r="E301" s="1" t="n">
        <v>46230</v>
      </c>
      <c r="F301" t="inlineStr">
        <is>
          <t>DALARNAS LÄN</t>
        </is>
      </c>
      <c r="G301" t="inlineStr">
        <is>
          <t>ORSA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58686-2025</t>
        </is>
      </c>
      <c r="B302" t="inlineStr">
        <is>
          <t>avverkningsanmälan</t>
        </is>
      </c>
      <c r="C302" t="inlineStr">
        <is>
          <t>Föryngringsavverkning</t>
        </is>
      </c>
      <c r="D302" s="1" t="n">
        <v>45986</v>
      </c>
      <c r="E302" s="1" t="n">
        <v>46230</v>
      </c>
      <c r="F302" t="inlineStr">
        <is>
          <t>DALARNAS LÄN</t>
        </is>
      </c>
      <c r="G302" t="inlineStr">
        <is>
          <t>ORSA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37838-2024</t>
        </is>
      </c>
      <c r="B303" t="inlineStr">
        <is>
          <t>avverkningsanmälan</t>
        </is>
      </c>
      <c r="C303" t="inlineStr">
        <is>
          <t>Föryngringsavverkning</t>
        </is>
      </c>
      <c r="D303" s="1" t="n">
        <v>45544</v>
      </c>
      <c r="E303" s="1" t="n">
        <v>46230</v>
      </c>
      <c r="F303" t="inlineStr">
        <is>
          <t>DALARNAS LÄN</t>
        </is>
      </c>
      <c r="G303" t="inlineStr">
        <is>
          <t>ORSA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18037-2023</t>
        </is>
      </c>
      <c r="B304" t="inlineStr">
        <is>
          <t>avverkningsanmälan</t>
        </is>
      </c>
      <c r="C304" t="inlineStr">
        <is>
          <t>Föryngringsavverkning</t>
        </is>
      </c>
      <c r="D304" s="1" t="n">
        <v>45040</v>
      </c>
      <c r="E304" s="1" t="n">
        <v>46230</v>
      </c>
      <c r="F304" t="inlineStr">
        <is>
          <t>DALARNAS LÄN</t>
        </is>
      </c>
      <c r="G304" t="inlineStr">
        <is>
          <t>ORSA</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52816-2024</t>
        </is>
      </c>
      <c r="B305" t="inlineStr">
        <is>
          <t>avverkningsanmälan</t>
        </is>
      </c>
      <c r="C305" t="inlineStr">
        <is>
          <t>Föryngringsavverkning</t>
        </is>
      </c>
      <c r="D305" s="1" t="n">
        <v>45610</v>
      </c>
      <c r="E305" s="1" t="n">
        <v>46230</v>
      </c>
      <c r="F305" t="inlineStr">
        <is>
          <t>DALARNAS LÄN</t>
        </is>
      </c>
      <c r="G305" t="inlineStr">
        <is>
          <t>ORSA</t>
        </is>
      </c>
      <c r="H305" t="inlineStr">
        <is>
          <t>Bergvik skog öst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50905-2021</t>
        </is>
      </c>
      <c r="B306" t="inlineStr">
        <is>
          <t>avverkningsanmälan</t>
        </is>
      </c>
      <c r="C306" t="inlineStr">
        <is>
          <t>Föryngringsavverkning</t>
        </is>
      </c>
      <c r="D306" s="1" t="n">
        <v>44460</v>
      </c>
      <c r="E306" s="1" t="n">
        <v>46230</v>
      </c>
      <c r="F306" t="inlineStr">
        <is>
          <t>DALARNAS LÄN</t>
        </is>
      </c>
      <c r="G306" t="inlineStr">
        <is>
          <t>ORSA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60162-2025</t>
        </is>
      </c>
      <c r="B307" t="inlineStr">
        <is>
          <t>avverkningsanmälan</t>
        </is>
      </c>
      <c r="C307" t="inlineStr">
        <is>
          <t>Föryngringsavverkning</t>
        </is>
      </c>
      <c r="D307" s="1" t="n">
        <v>45994</v>
      </c>
      <c r="E307" s="1" t="n">
        <v>46230</v>
      </c>
      <c r="F307" t="inlineStr">
        <is>
          <t>DALARNAS LÄN</t>
        </is>
      </c>
      <c r="G307" t="inlineStr">
        <is>
          <t>ORSA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48525-2024</t>
        </is>
      </c>
      <c r="B308" t="inlineStr">
        <is>
          <t>avverkningsanmälan</t>
        </is>
      </c>
      <c r="C308" t="inlineStr">
        <is>
          <t>Föryngringsavverkning</t>
        </is>
      </c>
      <c r="D308" s="1" t="n">
        <v>45593</v>
      </c>
      <c r="E308" s="1" t="n">
        <v>46230</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55701-2023</t>
        </is>
      </c>
      <c r="B309" t="inlineStr">
        <is>
          <t>avverkningsanmälan</t>
        </is>
      </c>
      <c r="C309" t="inlineStr">
        <is>
          <t>Föryngringsavverkning</t>
        </is>
      </c>
      <c r="D309" s="1" t="n">
        <v>45239</v>
      </c>
      <c r="E309" s="1" t="n">
        <v>46230</v>
      </c>
      <c r="F309" t="inlineStr">
        <is>
          <t>DALARNAS LÄN</t>
        </is>
      </c>
      <c r="G309" t="inlineStr">
        <is>
          <t>ORSA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60837-2025</t>
        </is>
      </c>
      <c r="B310" t="inlineStr">
        <is>
          <t>avverkningsanmälan</t>
        </is>
      </c>
      <c r="C310" t="inlineStr">
        <is>
          <t>Föryngringsavverkning</t>
        </is>
      </c>
      <c r="D310" s="1" t="n">
        <v>45999</v>
      </c>
      <c r="E310" s="1" t="n">
        <v>46230</v>
      </c>
      <c r="F310" t="inlineStr">
        <is>
          <t>DALARNAS LÄN</t>
        </is>
      </c>
      <c r="G310" t="inlineStr">
        <is>
          <t>ORSA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31634-2025</t>
        </is>
      </c>
      <c r="B311" t="inlineStr">
        <is>
          <t>avverkningsanmälan</t>
        </is>
      </c>
      <c r="C311" t="inlineStr">
        <is>
          <t>Föryngringsavverkning</t>
        </is>
      </c>
      <c r="D311" s="1" t="n">
        <v>45834</v>
      </c>
      <c r="E311" s="1" t="n">
        <v>46230</v>
      </c>
      <c r="F311" t="inlineStr">
        <is>
          <t>DALARNAS LÄN</t>
        </is>
      </c>
      <c r="G311" t="inlineStr">
        <is>
          <t>ORSA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11784-2024</t>
        </is>
      </c>
      <c r="B312" t="inlineStr">
        <is>
          <t>avverkningsanmälan</t>
        </is>
      </c>
      <c r="C312" t="inlineStr">
        <is>
          <t>Föryngringsavverkning</t>
        </is>
      </c>
      <c r="D312" s="1" t="n">
        <v>45374</v>
      </c>
      <c r="E312" s="1" t="n">
        <v>46230</v>
      </c>
      <c r="F312" t="inlineStr">
        <is>
          <t>DALARNAS LÄN</t>
        </is>
      </c>
      <c r="G312" t="inlineStr">
        <is>
          <t>ORSA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60945-2025</t>
        </is>
      </c>
      <c r="B313" t="inlineStr">
        <is>
          <t>avverkningsanmälan</t>
        </is>
      </c>
      <c r="C313" t="inlineStr">
        <is>
          <t>Föryngringsavverkning</t>
        </is>
      </c>
      <c r="D313" s="1" t="n">
        <v>45999</v>
      </c>
      <c r="E313" s="1" t="n">
        <v>46230</v>
      </c>
      <c r="F313" t="inlineStr">
        <is>
          <t>DALARNAS LÄN</t>
        </is>
      </c>
      <c r="G313" t="inlineStr">
        <is>
          <t>ORSA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47134-2024</t>
        </is>
      </c>
      <c r="B314" t="inlineStr">
        <is>
          <t>avverkningsanmälan</t>
        </is>
      </c>
      <c r="C314" t="inlineStr">
        <is>
          <t>Föryngringsavverkning</t>
        </is>
      </c>
      <c r="D314" s="1" t="n">
        <v>45586</v>
      </c>
      <c r="E314" s="1" t="n">
        <v>46230</v>
      </c>
      <c r="F314" t="inlineStr">
        <is>
          <t>DALARNAS LÄN</t>
        </is>
      </c>
      <c r="G314" t="inlineStr">
        <is>
          <t>ORSA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55843-2023</t>
        </is>
      </c>
      <c r="B315" t="inlineStr">
        <is>
          <t>avverkningsanmälan</t>
        </is>
      </c>
      <c r="C315" t="inlineStr">
        <is>
          <t>Föryngringsavverkning</t>
        </is>
      </c>
      <c r="D315" s="1" t="n">
        <v>45239</v>
      </c>
      <c r="E315" s="1" t="n">
        <v>46230</v>
      </c>
      <c r="F315" t="inlineStr">
        <is>
          <t>DALARNAS LÄN</t>
        </is>
      </c>
      <c r="G315" t="inlineStr">
        <is>
          <t>ORSA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22911-2023</t>
        </is>
      </c>
      <c r="B316" t="inlineStr">
        <is>
          <t>avverkningsanmälan</t>
        </is>
      </c>
      <c r="C316" t="inlineStr">
        <is>
          <t>Avverkning för annat ändamål</t>
        </is>
      </c>
      <c r="D316" s="1" t="n">
        <v>45072</v>
      </c>
      <c r="E316" s="1" t="n">
        <v>46230</v>
      </c>
      <c r="F316" t="inlineStr">
        <is>
          <t>DALARNAS LÄN</t>
        </is>
      </c>
      <c r="G316" t="inlineStr">
        <is>
          <t>ORSA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35477-2023</t>
        </is>
      </c>
      <c r="B317" t="inlineStr">
        <is>
          <t>avverkningsanmälan</t>
        </is>
      </c>
      <c r="C317" t="inlineStr">
        <is>
          <t>Föryngringsavverkning</t>
        </is>
      </c>
      <c r="D317" s="1" t="n">
        <v>45146</v>
      </c>
      <c r="E317" s="1" t="n">
        <v>46230</v>
      </c>
      <c r="F317" t="inlineStr">
        <is>
          <t>DALARNAS LÄN</t>
        </is>
      </c>
      <c r="G317" t="inlineStr">
        <is>
          <t>ORSA</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47579-2023</t>
        </is>
      </c>
      <c r="B318" t="inlineStr">
        <is>
          <t>avverkningsanmälan</t>
        </is>
      </c>
      <c r="C318" t="inlineStr">
        <is>
          <t>Föryngringsavverkning</t>
        </is>
      </c>
      <c r="D318" s="1" t="n">
        <v>45203</v>
      </c>
      <c r="E318" s="1" t="n">
        <v>46230</v>
      </c>
      <c r="F318" t="inlineStr">
        <is>
          <t>DALARNAS LÄN</t>
        </is>
      </c>
      <c r="G318" t="inlineStr">
        <is>
          <t>ORSA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48819-2024</t>
        </is>
      </c>
      <c r="B319" t="inlineStr">
        <is>
          <t>avverkningsanmälan</t>
        </is>
      </c>
      <c r="C319" t="inlineStr">
        <is>
          <t>Föryngringsavverkning</t>
        </is>
      </c>
      <c r="D319" s="1" t="n">
        <v>45593</v>
      </c>
      <c r="E319" s="1" t="n">
        <v>46230</v>
      </c>
      <c r="F319" t="inlineStr">
        <is>
          <t>DALARNAS LÄN</t>
        </is>
      </c>
      <c r="G319" t="inlineStr">
        <is>
          <t>ORSA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23350-2024</t>
        </is>
      </c>
      <c r="B320" t="inlineStr">
        <is>
          <t>avverkningsanmälan</t>
        </is>
      </c>
      <c r="C320" t="inlineStr">
        <is>
          <t>Föryngringsavverkning</t>
        </is>
      </c>
      <c r="D320" s="1" t="n">
        <v>45453</v>
      </c>
      <c r="E320" s="1" t="n">
        <v>46230</v>
      </c>
      <c r="F320" t="inlineStr">
        <is>
          <t>DALARNAS LÄN</t>
        </is>
      </c>
      <c r="G320" t="inlineStr">
        <is>
          <t>ORSA</t>
        </is>
      </c>
      <c r="I320" t="n">
        <v>18.7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48447-2023</t>
        </is>
      </c>
      <c r="B321" t="inlineStr">
        <is>
          <t>avverkningsanmälan</t>
        </is>
      </c>
      <c r="C321" t="inlineStr">
        <is>
          <t>Föryngringsavverkning</t>
        </is>
      </c>
      <c r="D321" s="1" t="n">
        <v>45206</v>
      </c>
      <c r="E321" s="1" t="n">
        <v>46230</v>
      </c>
      <c r="F321" t="inlineStr">
        <is>
          <t>DALARNAS LÄN</t>
        </is>
      </c>
      <c r="G321" t="inlineStr">
        <is>
          <t>ORSA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2563-2025</t>
        </is>
      </c>
      <c r="B322" t="inlineStr">
        <is>
          <t>avverkningsanmälan</t>
        </is>
      </c>
      <c r="C322" t="inlineStr">
        <is>
          <t>Föryngringsavverkning</t>
        </is>
      </c>
      <c r="D322" s="1" t="n">
        <v>45674</v>
      </c>
      <c r="E322" s="1" t="n">
        <v>46230</v>
      </c>
      <c r="F322" t="inlineStr">
        <is>
          <t>DALARNAS LÄN</t>
        </is>
      </c>
      <c r="G322" t="inlineStr">
        <is>
          <t>ORSA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31170-2023</t>
        </is>
      </c>
      <c r="B323" t="inlineStr">
        <is>
          <t>avverkningsanmälan</t>
        </is>
      </c>
      <c r="C323" t="inlineStr">
        <is>
          <t>Föryngringsavverkning</t>
        </is>
      </c>
      <c r="D323" s="1" t="n">
        <v>45113</v>
      </c>
      <c r="E323" s="1" t="n">
        <v>46230</v>
      </c>
      <c r="F323" t="inlineStr">
        <is>
          <t>DALARNAS LÄN</t>
        </is>
      </c>
      <c r="G323" t="inlineStr">
        <is>
          <t>ORSA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31172-2023</t>
        </is>
      </c>
      <c r="B324" t="inlineStr">
        <is>
          <t>avverkningsanmälan</t>
        </is>
      </c>
      <c r="C324" t="inlineStr">
        <is>
          <t>Föryngringsavverkning</t>
        </is>
      </c>
      <c r="D324" s="1" t="n">
        <v>45113</v>
      </c>
      <c r="E324" s="1" t="n">
        <v>46230</v>
      </c>
      <c r="F324" t="inlineStr">
        <is>
          <t>DALARNAS LÄN</t>
        </is>
      </c>
      <c r="G324" t="inlineStr">
        <is>
          <t>ORSA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31171-2023</t>
        </is>
      </c>
      <c r="B325" t="inlineStr">
        <is>
          <t>avverkningsanmälan</t>
        </is>
      </c>
      <c r="C325" t="inlineStr">
        <is>
          <t>Föryngringsavverkning</t>
        </is>
      </c>
      <c r="D325" s="1" t="n">
        <v>45113</v>
      </c>
      <c r="E325" s="1" t="n">
        <v>46230</v>
      </c>
      <c r="F325" t="inlineStr">
        <is>
          <t>DALARNAS LÄN</t>
        </is>
      </c>
      <c r="G325" t="inlineStr">
        <is>
          <t>ORSA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60844-2025</t>
        </is>
      </c>
      <c r="B326" t="inlineStr">
        <is>
          <t>avverkningsanmälan</t>
        </is>
      </c>
      <c r="C326" t="inlineStr">
        <is>
          <t>Föryngringsavverkning</t>
        </is>
      </c>
      <c r="D326" s="1" t="n">
        <v>45999</v>
      </c>
      <c r="E326" s="1" t="n">
        <v>46230</v>
      </c>
      <c r="F326" t="inlineStr">
        <is>
          <t>DALARNAS LÄN</t>
        </is>
      </c>
      <c r="G326" t="inlineStr">
        <is>
          <t>ORSA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29025-2023</t>
        </is>
      </c>
      <c r="B327" t="inlineStr">
        <is>
          <t>avverkningsanmälan</t>
        </is>
      </c>
      <c r="C327" t="inlineStr">
        <is>
          <t>Föryngringsavverkning</t>
        </is>
      </c>
      <c r="D327" s="1" t="n">
        <v>45104</v>
      </c>
      <c r="E327" s="1" t="n">
        <v>46230</v>
      </c>
      <c r="F327" t="inlineStr">
        <is>
          <t>DALARNAS LÄN</t>
        </is>
      </c>
      <c r="G327" t="inlineStr">
        <is>
          <t>ORSA</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48518-2024</t>
        </is>
      </c>
      <c r="B328" t="inlineStr">
        <is>
          <t>avverkningsanmälan</t>
        </is>
      </c>
      <c r="C328" t="inlineStr">
        <is>
          <t>Föryngringsavverkning</t>
        </is>
      </c>
      <c r="D328" s="1" t="n">
        <v>45593</v>
      </c>
      <c r="E328" s="1" t="n">
        <v>46230</v>
      </c>
      <c r="F328" t="inlineStr">
        <is>
          <t>DALARNAS LÄN</t>
        </is>
      </c>
      <c r="G328" t="inlineStr">
        <is>
          <t>ORSA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58793-2023</t>
        </is>
      </c>
      <c r="B329" t="inlineStr">
        <is>
          <t>avverkningsanmälan</t>
        </is>
      </c>
      <c r="C329" t="inlineStr">
        <is>
          <t>Föryngringsavverkning</t>
        </is>
      </c>
      <c r="D329" s="1" t="n">
        <v>45252</v>
      </c>
      <c r="E329" s="1" t="n">
        <v>46230</v>
      </c>
      <c r="F329" t="inlineStr">
        <is>
          <t>DALARNAS LÄN</t>
        </is>
      </c>
      <c r="G329" t="inlineStr">
        <is>
          <t>ORSA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51551-2025</t>
        </is>
      </c>
      <c r="B330" t="inlineStr">
        <is>
          <t>avverkningsanmälan</t>
        </is>
      </c>
      <c r="C330" t="inlineStr">
        <is>
          <t>Avverkning för att bevara och utveckla /försöksver</t>
        </is>
      </c>
      <c r="D330" s="1" t="n">
        <v>45950</v>
      </c>
      <c r="E330" s="1" t="n">
        <v>46230</v>
      </c>
      <c r="F330" t="inlineStr">
        <is>
          <t>DALARNAS LÄN</t>
        </is>
      </c>
      <c r="G330" t="inlineStr">
        <is>
          <t>ORSA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22515-2026</t>
        </is>
      </c>
      <c r="B331" t="inlineStr">
        <is>
          <t>avverkningsanmälan</t>
        </is>
      </c>
      <c r="C331" t="inlineStr">
        <is>
          <t>Föryngringsavverkning</t>
        </is>
      </c>
      <c r="D331" s="1" t="n">
        <v>46155</v>
      </c>
      <c r="E331" s="1" t="n">
        <v>46230</v>
      </c>
      <c r="F331" t="inlineStr">
        <is>
          <t>DALARNAS LÄN</t>
        </is>
      </c>
      <c r="G331" t="inlineStr">
        <is>
          <t>ORSA</t>
        </is>
      </c>
      <c r="H331" t="inlineStr">
        <is>
          <t>Bergvik skog öst AB</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5921-2025</t>
        </is>
      </c>
      <c r="B332" t="inlineStr">
        <is>
          <t>avverkningsanmälan</t>
        </is>
      </c>
      <c r="C332" t="inlineStr">
        <is>
          <t>Avverkning för annat ändamål</t>
        </is>
      </c>
      <c r="D332" s="1" t="n">
        <v>45695</v>
      </c>
      <c r="E332" s="1" t="n">
        <v>46230</v>
      </c>
      <c r="F332" t="inlineStr">
        <is>
          <t>DALARNAS LÄN</t>
        </is>
      </c>
      <c r="G332" t="inlineStr">
        <is>
          <t>ORSA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41295-2021</t>
        </is>
      </c>
      <c r="B333" t="inlineStr">
        <is>
          <t>avverkningsanmälan</t>
        </is>
      </c>
      <c r="C333" t="inlineStr">
        <is>
          <t>Föryngringsavverkning</t>
        </is>
      </c>
      <c r="D333" s="1" t="n">
        <v>44424</v>
      </c>
      <c r="E333" s="1" t="n">
        <v>46230</v>
      </c>
      <c r="F333" t="inlineStr">
        <is>
          <t>DALARNAS LÄN</t>
        </is>
      </c>
      <c r="G333" t="inlineStr">
        <is>
          <t>ORSA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31031-2023</t>
        </is>
      </c>
      <c r="B334" t="inlineStr">
        <is>
          <t>avverkningsanmälan</t>
        </is>
      </c>
      <c r="C334" t="inlineStr">
        <is>
          <t>Föryngringsavverkning</t>
        </is>
      </c>
      <c r="D334" s="1" t="n">
        <v>45113</v>
      </c>
      <c r="E334" s="1" t="n">
        <v>46230</v>
      </c>
      <c r="F334" t="inlineStr">
        <is>
          <t>DALARNAS LÄN</t>
        </is>
      </c>
      <c r="G334" t="inlineStr">
        <is>
          <t>ORSA</t>
        </is>
      </c>
      <c r="H334" t="inlineStr">
        <is>
          <t>Bergvik skog öst AB</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28342-2026</t>
        </is>
      </c>
      <c r="B335" t="inlineStr">
        <is>
          <t>avverkningsanmälan</t>
        </is>
      </c>
      <c r="C335" t="inlineStr">
        <is>
          <t>Föryngringsavverkning</t>
        </is>
      </c>
      <c r="D335" s="1" t="n">
        <v>46196</v>
      </c>
      <c r="E335" s="1" t="n">
        <v>46230</v>
      </c>
      <c r="F335" t="inlineStr">
        <is>
          <t>DALARNAS LÄN</t>
        </is>
      </c>
      <c r="G335" t="inlineStr">
        <is>
          <t>ORSA</t>
        </is>
      </c>
      <c r="H335" t="inlineStr">
        <is>
          <t>Allmännings- och besparingsskogar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28343-2026</t>
        </is>
      </c>
      <c r="B336" t="inlineStr">
        <is>
          <t>avverkningsanmälan</t>
        </is>
      </c>
      <c r="C336" t="inlineStr">
        <is>
          <t>Föryngringsavverkning</t>
        </is>
      </c>
      <c r="D336" s="1" t="n">
        <v>46196</v>
      </c>
      <c r="E336" s="1" t="n">
        <v>46230</v>
      </c>
      <c r="F336" t="inlineStr">
        <is>
          <t>DALARNAS LÄN</t>
        </is>
      </c>
      <c r="G336" t="inlineStr">
        <is>
          <t>ORSA</t>
        </is>
      </c>
      <c r="H336" t="inlineStr">
        <is>
          <t>Allmännings- och besparingsskogar</t>
        </is>
      </c>
      <c r="I336" t="n">
        <v>10.4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37981-2024</t>
        </is>
      </c>
      <c r="B337" t="inlineStr">
        <is>
          <t>avverkningsanmälan</t>
        </is>
      </c>
      <c r="C337" t="inlineStr">
        <is>
          <t>Avverkning för annat ändamål</t>
        </is>
      </c>
      <c r="D337" s="1" t="n">
        <v>45544</v>
      </c>
      <c r="E337" s="1" t="n">
        <v>46230</v>
      </c>
      <c r="F337" t="inlineStr">
        <is>
          <t>DALARNAS LÄN</t>
        </is>
      </c>
      <c r="G337" t="inlineStr">
        <is>
          <t>ORSA</t>
        </is>
      </c>
      <c r="H337" t="inlineStr">
        <is>
          <t>Allmännings- och besparingsskogar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42238-2023</t>
        </is>
      </c>
      <c r="B338" t="inlineStr">
        <is>
          <t>avverkningsanmälan</t>
        </is>
      </c>
      <c r="C338" t="inlineStr">
        <is>
          <t>Föryngringsavverkning</t>
        </is>
      </c>
      <c r="D338" s="1" t="n">
        <v>45180</v>
      </c>
      <c r="E338" s="1" t="n">
        <v>46230</v>
      </c>
      <c r="F338" t="inlineStr">
        <is>
          <t>DALARNAS LÄN</t>
        </is>
      </c>
      <c r="G338" t="inlineStr">
        <is>
          <t>ORSA</t>
        </is>
      </c>
      <c r="H338" t="inlineStr">
        <is>
          <t>Allmännings- och besparingsskogar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10832-2022</t>
        </is>
      </c>
      <c r="B339" t="inlineStr">
        <is>
          <t>avverkningsanmälan</t>
        </is>
      </c>
      <c r="C339" t="inlineStr">
        <is>
          <t>Föryngringsavverkning</t>
        </is>
      </c>
      <c r="D339" s="1" t="n">
        <v>44627</v>
      </c>
      <c r="E339" s="1" t="n">
        <v>46230</v>
      </c>
      <c r="F339" t="inlineStr">
        <is>
          <t>DALARNAS LÄN</t>
        </is>
      </c>
      <c r="G339" t="inlineStr">
        <is>
          <t>ORSA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36682-2024</t>
        </is>
      </c>
      <c r="B340" t="inlineStr">
        <is>
          <t>avverkningsanmälan</t>
        </is>
      </c>
      <c r="C340" t="inlineStr">
        <is>
          <t>Föryngringsavverkning</t>
        </is>
      </c>
      <c r="D340" s="1" t="n">
        <v>45537</v>
      </c>
      <c r="E340" s="1" t="n">
        <v>46230</v>
      </c>
      <c r="F340" t="inlineStr">
        <is>
          <t>DALARNAS LÄN</t>
        </is>
      </c>
      <c r="G340" t="inlineStr">
        <is>
          <t>ORSA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22228-2026</t>
        </is>
      </c>
      <c r="B341" t="inlineStr">
        <is>
          <t>avverkningsanmälan</t>
        </is>
      </c>
      <c r="C341" t="inlineStr">
        <is>
          <t>Föryngringsavverkning</t>
        </is>
      </c>
      <c r="D341" s="1" t="n">
        <v>46153</v>
      </c>
      <c r="E341" s="1" t="n">
        <v>46230</v>
      </c>
      <c r="F341" t="inlineStr">
        <is>
          <t>DALARNAS LÄN</t>
        </is>
      </c>
      <c r="G341" t="inlineStr">
        <is>
          <t>ORSA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62971-2025</t>
        </is>
      </c>
      <c r="B342" t="inlineStr">
        <is>
          <t>avverkningsanmälan</t>
        </is>
      </c>
      <c r="C342" t="inlineStr">
        <is>
          <t>Föryngringsavverkning</t>
        </is>
      </c>
      <c r="D342" s="1" t="n">
        <v>46009</v>
      </c>
      <c r="E342" s="1" t="n">
        <v>46230</v>
      </c>
      <c r="F342" t="inlineStr">
        <is>
          <t>DALARNAS LÄN</t>
        </is>
      </c>
      <c r="G342" t="inlineStr">
        <is>
          <t>ORSA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62830-2025</t>
        </is>
      </c>
      <c r="B343" t="inlineStr">
        <is>
          <t>avverkningsanmälan</t>
        </is>
      </c>
      <c r="C343" t="inlineStr">
        <is>
          <t>Föryngringsavverkning</t>
        </is>
      </c>
      <c r="D343" s="1" t="n">
        <v>46008</v>
      </c>
      <c r="E343" s="1" t="n">
        <v>46230</v>
      </c>
      <c r="F343" t="inlineStr">
        <is>
          <t>DALARNAS LÄN</t>
        </is>
      </c>
      <c r="G343" t="inlineStr">
        <is>
          <t>ORSA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22497-2026</t>
        </is>
      </c>
      <c r="B344" t="inlineStr">
        <is>
          <t>avverkningsanmälan</t>
        </is>
      </c>
      <c r="C344" t="inlineStr">
        <is>
          <t>Föryngringsavverkning</t>
        </is>
      </c>
      <c r="D344" s="1" t="n">
        <v>46154</v>
      </c>
      <c r="E344" s="1" t="n">
        <v>46230</v>
      </c>
      <c r="F344" t="inlineStr">
        <is>
          <t>DALARNAS LÄN</t>
        </is>
      </c>
      <c r="G344" t="inlineStr">
        <is>
          <t>ORSA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22590-2026</t>
        </is>
      </c>
      <c r="B345" t="inlineStr">
        <is>
          <t>avverkningsanmälan</t>
        </is>
      </c>
      <c r="C345" t="inlineStr">
        <is>
          <t>Föryngringsavverkning</t>
        </is>
      </c>
      <c r="D345" s="1" t="n">
        <v>46155</v>
      </c>
      <c r="E345" s="1" t="n">
        <v>46230</v>
      </c>
      <c r="F345" t="inlineStr">
        <is>
          <t>DALARNAS LÄN</t>
        </is>
      </c>
      <c r="G345" t="inlineStr">
        <is>
          <t>ORSA</t>
        </is>
      </c>
      <c r="H345" t="inlineStr">
        <is>
          <t>Bergvik skog öst AB</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22615-2026</t>
        </is>
      </c>
      <c r="B346" t="inlineStr">
        <is>
          <t>avverkningsanmälan</t>
        </is>
      </c>
      <c r="C346" t="inlineStr">
        <is>
          <t>Föryngringsavverkning</t>
        </is>
      </c>
      <c r="D346" s="1" t="n">
        <v>46155</v>
      </c>
      <c r="E346" s="1" t="n">
        <v>46230</v>
      </c>
      <c r="F346" t="inlineStr">
        <is>
          <t>DALARNAS LÄN</t>
        </is>
      </c>
      <c r="G346" t="inlineStr">
        <is>
          <t>ORSA</t>
        </is>
      </c>
      <c r="H346" t="inlineStr">
        <is>
          <t>Bergvik skog öst AB</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62810-2025</t>
        </is>
      </c>
      <c r="B347" t="inlineStr">
        <is>
          <t>avverkningsanmälan</t>
        </is>
      </c>
      <c r="C347" t="inlineStr">
        <is>
          <t>Föryngringsavverkning</t>
        </is>
      </c>
      <c r="D347" s="1" t="n">
        <v>46008</v>
      </c>
      <c r="E347" s="1" t="n">
        <v>46230</v>
      </c>
      <c r="F347" t="inlineStr">
        <is>
          <t>DALARNAS LÄN</t>
        </is>
      </c>
      <c r="G347" t="inlineStr">
        <is>
          <t>ORSA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62832-2025</t>
        </is>
      </c>
      <c r="B348" t="inlineStr">
        <is>
          <t>avverkningsanmälan</t>
        </is>
      </c>
      <c r="C348" t="inlineStr">
        <is>
          <t>Föryngringsavverkning</t>
        </is>
      </c>
      <c r="D348" s="1" t="n">
        <v>46008</v>
      </c>
      <c r="E348" s="1" t="n">
        <v>46230</v>
      </c>
      <c r="F348" t="inlineStr">
        <is>
          <t>DALARNAS LÄN</t>
        </is>
      </c>
      <c r="G348" t="inlineStr">
        <is>
          <t>ORSA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62858-2025</t>
        </is>
      </c>
      <c r="B349" t="inlineStr">
        <is>
          <t>avverkningsanmälan</t>
        </is>
      </c>
      <c r="C349" t="inlineStr">
        <is>
          <t>Föryngringsavverkning</t>
        </is>
      </c>
      <c r="D349" s="1" t="n">
        <v>46008</v>
      </c>
      <c r="E349" s="1" t="n">
        <v>46230</v>
      </c>
      <c r="F349" t="inlineStr">
        <is>
          <t>DALARNAS LÄN</t>
        </is>
      </c>
      <c r="G349" t="inlineStr">
        <is>
          <t>ORSA</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63118-2025</t>
        </is>
      </c>
      <c r="B350" t="inlineStr">
        <is>
          <t>avverkningsanmälan</t>
        </is>
      </c>
      <c r="C350" t="inlineStr">
        <is>
          <t>Föryngringsavverkning</t>
        </is>
      </c>
      <c r="D350" s="1" t="n">
        <v>46009</v>
      </c>
      <c r="E350" s="1" t="n">
        <v>46230</v>
      </c>
      <c r="F350" t="inlineStr">
        <is>
          <t>DALARNAS LÄN</t>
        </is>
      </c>
      <c r="G350" t="inlineStr">
        <is>
          <t>ORSA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15657-2026</t>
        </is>
      </c>
      <c r="B351" t="inlineStr">
        <is>
          <t>avverkningsanmälan</t>
        </is>
      </c>
      <c r="C351" t="inlineStr">
        <is>
          <t>Föryngringsavverkning</t>
        </is>
      </c>
      <c r="D351" s="1" t="n">
        <v>46106</v>
      </c>
      <c r="E351" s="1" t="n">
        <v>46230</v>
      </c>
      <c r="F351" t="inlineStr">
        <is>
          <t>DALARNAS LÄN</t>
        </is>
      </c>
      <c r="G351" t="inlineStr">
        <is>
          <t>ORSA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63231-2025</t>
        </is>
      </c>
      <c r="B352" t="inlineStr">
        <is>
          <t>avverkningsanmälan</t>
        </is>
      </c>
      <c r="C352" t="inlineStr">
        <is>
          <t>Föryngringsavverkning</t>
        </is>
      </c>
      <c r="D352" s="1" t="n">
        <v>46010</v>
      </c>
      <c r="E352" s="1" t="n">
        <v>46230</v>
      </c>
      <c r="F352" t="inlineStr">
        <is>
          <t>DALARNAS LÄN</t>
        </is>
      </c>
      <c r="G352" t="inlineStr">
        <is>
          <t>ORSA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28807-2026</t>
        </is>
      </c>
      <c r="B353" t="inlineStr">
        <is>
          <t>avverkningsanmälan</t>
        </is>
      </c>
      <c r="C353" t="inlineStr">
        <is>
          <t>Föryngringsavverkning</t>
        </is>
      </c>
      <c r="D353" s="1" t="n">
        <v>46198</v>
      </c>
      <c r="E353" s="1" t="n">
        <v>46230</v>
      </c>
      <c r="F353" t="inlineStr">
        <is>
          <t>DALARNAS LÄN</t>
        </is>
      </c>
      <c r="G353" t="inlineStr">
        <is>
          <t>ORSA</t>
        </is>
      </c>
      <c r="H353" t="inlineStr">
        <is>
          <t>Allmännings- och besparingsskogar</t>
        </is>
      </c>
      <c r="I353" t="n">
        <v>13.9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63467-2025</t>
        </is>
      </c>
      <c r="B354" t="inlineStr">
        <is>
          <t>avverkningsanmälan</t>
        </is>
      </c>
      <c r="C354" t="inlineStr">
        <is>
          <t>Föryngringsavverkning</t>
        </is>
      </c>
      <c r="D354" s="1" t="n">
        <v>46013</v>
      </c>
      <c r="E354" s="1" t="n">
        <v>46230</v>
      </c>
      <c r="F354" t="inlineStr">
        <is>
          <t>DALARNAS LÄN</t>
        </is>
      </c>
      <c r="G354" t="inlineStr">
        <is>
          <t>ORSA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52649-2024</t>
        </is>
      </c>
      <c r="B355" t="inlineStr">
        <is>
          <t>avverkningsanmälan</t>
        </is>
      </c>
      <c r="C355" t="inlineStr">
        <is>
          <t>Föryngringsavverkning</t>
        </is>
      </c>
      <c r="D355" s="1" t="n">
        <v>45610</v>
      </c>
      <c r="E355" s="1" t="n">
        <v>46230</v>
      </c>
      <c r="F355" t="inlineStr">
        <is>
          <t>DALARNAS LÄN</t>
        </is>
      </c>
      <c r="G355" t="inlineStr">
        <is>
          <t>ORSA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28954-2026</t>
        </is>
      </c>
      <c r="B356" t="inlineStr">
        <is>
          <t>avverkningsanmälan</t>
        </is>
      </c>
      <c r="C356" t="inlineStr">
        <is>
          <t>Föryngringsavverkning</t>
        </is>
      </c>
      <c r="D356" s="1" t="n">
        <v>46199</v>
      </c>
      <c r="E356" s="1" t="n">
        <v>46230</v>
      </c>
      <c r="F356" t="inlineStr">
        <is>
          <t>DALARNAS LÄN</t>
        </is>
      </c>
      <c r="G356" t="inlineStr">
        <is>
          <t>ORSA</t>
        </is>
      </c>
      <c r="H356" t="inlineStr">
        <is>
          <t>Bergvik skog öst AB</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27531-2026</t>
        </is>
      </c>
      <c r="B357" t="inlineStr">
        <is>
          <t>avverkningsanmälan</t>
        </is>
      </c>
      <c r="C357" t="inlineStr">
        <is>
          <t>Föryngringsavverkning</t>
        </is>
      </c>
      <c r="D357" s="1" t="n">
        <v>46189</v>
      </c>
      <c r="E357" s="1" t="n">
        <v>46230</v>
      </c>
      <c r="F357" t="inlineStr">
        <is>
          <t>DALARNAS LÄN</t>
        </is>
      </c>
      <c r="G357" t="inlineStr">
        <is>
          <t>ORSA</t>
        </is>
      </c>
      <c r="H357" t="inlineStr">
        <is>
          <t>Allmännings- och besparingsskogar</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1304-2024</t>
        </is>
      </c>
      <c r="B358" t="inlineStr">
        <is>
          <t>avverkningsanmälan</t>
        </is>
      </c>
      <c r="C358" t="inlineStr">
        <is>
          <t>Föryngringsavverkning</t>
        </is>
      </c>
      <c r="D358" s="1" t="n">
        <v>45303</v>
      </c>
      <c r="E358" s="1" t="n">
        <v>46230</v>
      </c>
      <c r="F358" t="inlineStr">
        <is>
          <t>DALARNAS LÄN</t>
        </is>
      </c>
      <c r="G358" t="inlineStr">
        <is>
          <t>ORSA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22728-2026</t>
        </is>
      </c>
      <c r="B359" t="inlineStr">
        <is>
          <t>avverkningsanmälan</t>
        </is>
      </c>
      <c r="C359" t="inlineStr">
        <is>
          <t>Föryngringsavverkning</t>
        </is>
      </c>
      <c r="D359" s="1" t="n">
        <v>46157</v>
      </c>
      <c r="E359" s="1" t="n">
        <v>46230</v>
      </c>
      <c r="F359" t="inlineStr">
        <is>
          <t>DALARNAS LÄN</t>
        </is>
      </c>
      <c r="G359" t="inlineStr">
        <is>
          <t>ORSA</t>
        </is>
      </c>
      <c r="H359" t="inlineStr">
        <is>
          <t>Allmännings- och besparingsskogar</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144-2026</t>
        </is>
      </c>
      <c r="B360" t="inlineStr">
        <is>
          <t>avverkningsanmälan</t>
        </is>
      </c>
      <c r="C360" t="inlineStr">
        <is>
          <t>Föryngringsavverkning</t>
        </is>
      </c>
      <c r="D360" s="1" t="n">
        <v>46024</v>
      </c>
      <c r="E360" s="1" t="n">
        <v>46230</v>
      </c>
      <c r="F360" t="inlineStr">
        <is>
          <t>DALARNAS LÄN</t>
        </is>
      </c>
      <c r="G360" t="inlineStr">
        <is>
          <t>ORSA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27603-2026</t>
        </is>
      </c>
      <c r="B361" t="inlineStr">
        <is>
          <t>avverkningsanmälan</t>
        </is>
      </c>
      <c r="C361" t="inlineStr">
        <is>
          <t>Föryngringsavverkning</t>
        </is>
      </c>
      <c r="D361" s="1" t="n">
        <v>46190</v>
      </c>
      <c r="E361" s="1" t="n">
        <v>46230</v>
      </c>
      <c r="F361" t="inlineStr">
        <is>
          <t>DALARNAS LÄN</t>
        </is>
      </c>
      <c r="G361" t="inlineStr">
        <is>
          <t>ORSA</t>
        </is>
      </c>
      <c r="H361" t="inlineStr">
        <is>
          <t>Allmännings- och besparingsskogar</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51-2026</t>
        </is>
      </c>
      <c r="B362" t="inlineStr">
        <is>
          <t>avverkningsanmälan</t>
        </is>
      </c>
      <c r="C362" t="inlineStr">
        <is>
          <t>Föryngringsavverkning</t>
        </is>
      </c>
      <c r="D362" s="1" t="n">
        <v>46024</v>
      </c>
      <c r="E362" s="1" t="n">
        <v>46230</v>
      </c>
      <c r="F362" t="inlineStr">
        <is>
          <t>DALARNAS LÄN</t>
        </is>
      </c>
      <c r="G362" t="inlineStr">
        <is>
          <t>ORSA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101-2026</t>
        </is>
      </c>
      <c r="B363" t="inlineStr">
        <is>
          <t>avverkningsanmälan</t>
        </is>
      </c>
      <c r="C363" t="inlineStr">
        <is>
          <t>Föryngringsavverkning</t>
        </is>
      </c>
      <c r="D363" s="1" t="n">
        <v>46024</v>
      </c>
      <c r="E363" s="1" t="n">
        <v>46230</v>
      </c>
      <c r="F363" t="inlineStr">
        <is>
          <t>DALARNAS LÄN</t>
        </is>
      </c>
      <c r="G363" t="inlineStr">
        <is>
          <t>ORSA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23339-2024</t>
        </is>
      </c>
      <c r="B364" t="inlineStr">
        <is>
          <t>avverkningsanmälan</t>
        </is>
      </c>
      <c r="C364" t="inlineStr">
        <is>
          <t>Föryngringsavverkning</t>
        </is>
      </c>
      <c r="D364" s="1" t="n">
        <v>45453</v>
      </c>
      <c r="E364" s="1" t="n">
        <v>46230</v>
      </c>
      <c r="F364" t="inlineStr">
        <is>
          <t>DALARNAS LÄN</t>
        </is>
      </c>
      <c r="G364" t="inlineStr">
        <is>
          <t>ORSA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37647-2023</t>
        </is>
      </c>
      <c r="B365" t="inlineStr">
        <is>
          <t>avverkningsanmälan</t>
        </is>
      </c>
      <c r="C365" t="inlineStr">
        <is>
          <t>Föryngringsavverkning</t>
        </is>
      </c>
      <c r="D365" s="1" t="n">
        <v>45159</v>
      </c>
      <c r="E365" s="1" t="n">
        <v>46230</v>
      </c>
      <c r="F365" t="inlineStr">
        <is>
          <t>DALARNAS LÄN</t>
        </is>
      </c>
      <c r="G365" t="inlineStr">
        <is>
          <t>ORSA</t>
        </is>
      </c>
      <c r="H365" t="inlineStr">
        <is>
          <t>Allmännings- och besparingsskogar</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31026-2023</t>
        </is>
      </c>
      <c r="B366" t="inlineStr">
        <is>
          <t>avverkningsanmälan</t>
        </is>
      </c>
      <c r="C366" t="inlineStr">
        <is>
          <t>Föryngringsavverkning</t>
        </is>
      </c>
      <c r="D366" s="1" t="n">
        <v>45113</v>
      </c>
      <c r="E366" s="1" t="n">
        <v>46230</v>
      </c>
      <c r="F366" t="inlineStr">
        <is>
          <t>DALARNAS LÄN</t>
        </is>
      </c>
      <c r="G366" t="inlineStr">
        <is>
          <t>ORSA</t>
        </is>
      </c>
      <c r="H366" t="inlineStr">
        <is>
          <t>Bergvik skog öst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29470-2026</t>
        </is>
      </c>
      <c r="B367" t="inlineStr">
        <is>
          <t>avverkningsanmälan</t>
        </is>
      </c>
      <c r="C367" t="inlineStr">
        <is>
          <t>Föryngringsavverkning</t>
        </is>
      </c>
      <c r="D367" s="1" t="n">
        <v>46203</v>
      </c>
      <c r="E367" s="1" t="n">
        <v>46230</v>
      </c>
      <c r="F367" t="inlineStr">
        <is>
          <t>DALARNAS LÄN</t>
        </is>
      </c>
      <c r="G367" t="inlineStr">
        <is>
          <t>ORSA</t>
        </is>
      </c>
      <c r="H367" t="inlineStr">
        <is>
          <t>Bergvik skog öst AB</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30458-2023</t>
        </is>
      </c>
      <c r="B368" t="inlineStr">
        <is>
          <t>avverkningsanmälan</t>
        </is>
      </c>
      <c r="C368" t="inlineStr">
        <is>
          <t>Föryngringsavverkning</t>
        </is>
      </c>
      <c r="D368" s="1" t="n">
        <v>45111</v>
      </c>
      <c r="E368" s="1" t="n">
        <v>46230</v>
      </c>
      <c r="F368" t="inlineStr">
        <is>
          <t>DALARNAS LÄN</t>
        </is>
      </c>
      <c r="G368" t="inlineStr">
        <is>
          <t>ORSA</t>
        </is>
      </c>
      <c r="H368" t="inlineStr">
        <is>
          <t>Bergvik skog öst AB</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14680-2023</t>
        </is>
      </c>
      <c r="B369" t="inlineStr">
        <is>
          <t>avverkningsanmälan</t>
        </is>
      </c>
      <c r="C369" t="inlineStr">
        <is>
          <t>Föryngringsavverkning</t>
        </is>
      </c>
      <c r="D369" s="1" t="n">
        <v>45014</v>
      </c>
      <c r="E369" s="1" t="n">
        <v>46230</v>
      </c>
      <c r="F369" t="inlineStr">
        <is>
          <t>DALARNAS LÄN</t>
        </is>
      </c>
      <c r="G369" t="inlineStr">
        <is>
          <t>ORSA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2090-2026</t>
        </is>
      </c>
      <c r="B370" t="inlineStr">
        <is>
          <t>avverkningsanmälan</t>
        </is>
      </c>
      <c r="C370" t="inlineStr">
        <is>
          <t>Föryngringsavverkning</t>
        </is>
      </c>
      <c r="D370" s="1" t="n">
        <v>46036</v>
      </c>
      <c r="E370" s="1" t="n">
        <v>46230</v>
      </c>
      <c r="F370" t="inlineStr">
        <is>
          <t>DALARNAS LÄN</t>
        </is>
      </c>
      <c r="G370" t="inlineStr">
        <is>
          <t>ORSA</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4738-2025</t>
        </is>
      </c>
      <c r="B371" t="inlineStr">
        <is>
          <t>avverkningsanmälan</t>
        </is>
      </c>
      <c r="C371" t="inlineStr">
        <is>
          <t>Avverkning för annat ändamål</t>
        </is>
      </c>
      <c r="D371" s="1" t="n">
        <v>45688</v>
      </c>
      <c r="E371" s="1" t="n">
        <v>46230</v>
      </c>
      <c r="F371" t="inlineStr">
        <is>
          <t>DALARNAS LÄN</t>
        </is>
      </c>
      <c r="G371" t="inlineStr">
        <is>
          <t>ORSA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2948-2025</t>
        </is>
      </c>
      <c r="B372" t="inlineStr">
        <is>
          <t>avverkningsanmälan</t>
        </is>
      </c>
      <c r="C372" t="inlineStr">
        <is>
          <t>Föryngringsavverkning</t>
        </is>
      </c>
      <c r="D372" s="1" t="n">
        <v>45678</v>
      </c>
      <c r="E372" s="1" t="n">
        <v>46230</v>
      </c>
      <c r="F372" t="inlineStr">
        <is>
          <t>DALARNAS LÄN</t>
        </is>
      </c>
      <c r="G372" t="inlineStr">
        <is>
          <t>ORSA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29466-2026</t>
        </is>
      </c>
      <c r="B373" t="inlineStr">
        <is>
          <t>avverkningsanmälan</t>
        </is>
      </c>
      <c r="C373" t="inlineStr">
        <is>
          <t>Föryngringsavverkning</t>
        </is>
      </c>
      <c r="D373" s="1" t="n">
        <v>46203</v>
      </c>
      <c r="E373" s="1" t="n">
        <v>46230</v>
      </c>
      <c r="F373" t="inlineStr">
        <is>
          <t>DALARNAS LÄN</t>
        </is>
      </c>
      <c r="G373" t="inlineStr">
        <is>
          <t>ORSA</t>
        </is>
      </c>
      <c r="H373" t="inlineStr">
        <is>
          <t>Bergvik skog öst AB</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89-2026</t>
        </is>
      </c>
      <c r="B374" t="inlineStr">
        <is>
          <t>avverkningsanmälan</t>
        </is>
      </c>
      <c r="C374" t="inlineStr">
        <is>
          <t>Föryngringsavverkning</t>
        </is>
      </c>
      <c r="D374" s="1" t="n">
        <v>46016</v>
      </c>
      <c r="E374" s="1" t="n">
        <v>46230</v>
      </c>
      <c r="F374" t="inlineStr">
        <is>
          <t>DALARNAS LÄN</t>
        </is>
      </c>
      <c r="G374" t="inlineStr">
        <is>
          <t>ORSA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23058-2026</t>
        </is>
      </c>
      <c r="B375" t="inlineStr">
        <is>
          <t>avverkningsanmälan</t>
        </is>
      </c>
      <c r="C375" t="inlineStr">
        <is>
          <t>Föryngringsavverkning</t>
        </is>
      </c>
      <c r="D375" s="1" t="n">
        <v>46161</v>
      </c>
      <c r="E375" s="1" t="n">
        <v>46230</v>
      </c>
      <c r="F375" t="inlineStr">
        <is>
          <t>DALARNAS LÄN</t>
        </is>
      </c>
      <c r="G375" t="inlineStr">
        <is>
          <t>ORSA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3364-2026</t>
        </is>
      </c>
      <c r="B376" t="inlineStr">
        <is>
          <t>avverkningsanmälan</t>
        </is>
      </c>
      <c r="C376" t="inlineStr">
        <is>
          <t>Föryngringsavverkning</t>
        </is>
      </c>
      <c r="D376" s="1" t="n">
        <v>46042</v>
      </c>
      <c r="E376" s="1" t="n">
        <v>46230</v>
      </c>
      <c r="F376" t="inlineStr">
        <is>
          <t>DALARNAS LÄN</t>
        </is>
      </c>
      <c r="G376" t="inlineStr">
        <is>
          <t>ORSA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22829-2026</t>
        </is>
      </c>
      <c r="B377" t="inlineStr">
        <is>
          <t>avverkningsanmälan</t>
        </is>
      </c>
      <c r="C377" t="inlineStr">
        <is>
          <t>Föryngringsavverkning</t>
        </is>
      </c>
      <c r="D377" s="1" t="n">
        <v>46160</v>
      </c>
      <c r="E377" s="1" t="n">
        <v>46230</v>
      </c>
      <c r="F377" t="inlineStr">
        <is>
          <t>DALARNAS LÄN</t>
        </is>
      </c>
      <c r="G377" t="inlineStr">
        <is>
          <t>ORSA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61698-2022</t>
        </is>
      </c>
      <c r="B378" t="inlineStr">
        <is>
          <t>avverkningsanmälan</t>
        </is>
      </c>
      <c r="C378" t="inlineStr">
        <is>
          <t>Föryngringsavverkning</t>
        </is>
      </c>
      <c r="D378" s="1" t="n">
        <v>44917</v>
      </c>
      <c r="E378" s="1" t="n">
        <v>46230</v>
      </c>
      <c r="F378" t="inlineStr">
        <is>
          <t>DALARNAS LÄN</t>
        </is>
      </c>
      <c r="G378" t="inlineStr">
        <is>
          <t>ORSA</t>
        </is>
      </c>
      <c r="H378" t="inlineStr">
        <is>
          <t>Bergvik skog öst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23583-2026</t>
        </is>
      </c>
      <c r="B379" t="inlineStr">
        <is>
          <t>avverkningsanmälan</t>
        </is>
      </c>
      <c r="C379" t="inlineStr">
        <is>
          <t>Föryngringsavverkning</t>
        </is>
      </c>
      <c r="D379" s="1" t="n">
        <v>46163</v>
      </c>
      <c r="E379" s="1" t="n">
        <v>46230</v>
      </c>
      <c r="F379" t="inlineStr">
        <is>
          <t>DALARNAS LÄN</t>
        </is>
      </c>
      <c r="G379" t="inlineStr">
        <is>
          <t>ORSA</t>
        </is>
      </c>
      <c r="H379" t="inlineStr">
        <is>
          <t>Bergvik skog öst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29711-2026</t>
        </is>
      </c>
      <c r="B380" t="inlineStr">
        <is>
          <t>avverkningsanmälan</t>
        </is>
      </c>
      <c r="C380" t="inlineStr">
        <is>
          <t>Föryngringsavverkning</t>
        </is>
      </c>
      <c r="D380" s="1" t="n">
        <v>46204</v>
      </c>
      <c r="E380" s="1" t="n">
        <v>46230</v>
      </c>
      <c r="F380" t="inlineStr">
        <is>
          <t>DALARNAS LÄN</t>
        </is>
      </c>
      <c r="G380" t="inlineStr">
        <is>
          <t>ORSA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3988-2026</t>
        </is>
      </c>
      <c r="B381" t="inlineStr">
        <is>
          <t>avverkningsanmälan</t>
        </is>
      </c>
      <c r="C381" t="inlineStr">
        <is>
          <t>Föryngringsavverkning</t>
        </is>
      </c>
      <c r="D381" s="1" t="n">
        <v>46044</v>
      </c>
      <c r="E381" s="1" t="n">
        <v>46230</v>
      </c>
      <c r="F381" t="inlineStr">
        <is>
          <t>DALARNAS LÄN</t>
        </is>
      </c>
      <c r="G381" t="inlineStr">
        <is>
          <t>ORSA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29984-2025</t>
        </is>
      </c>
      <c r="B382" t="inlineStr">
        <is>
          <t>avverkningsanmälan</t>
        </is>
      </c>
      <c r="C382" t="inlineStr">
        <is>
          <t>Avverkning för annat ändamål</t>
        </is>
      </c>
      <c r="D382" s="1" t="n">
        <v>45826</v>
      </c>
      <c r="E382" s="1" t="n">
        <v>46230</v>
      </c>
      <c r="F382" t="inlineStr">
        <is>
          <t>DALARNAS LÄN</t>
        </is>
      </c>
      <c r="G382" t="inlineStr">
        <is>
          <t>ORSA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4011-2026</t>
        </is>
      </c>
      <c r="B383" t="inlineStr">
        <is>
          <t>avverkningsanmälan</t>
        </is>
      </c>
      <c r="C383" t="inlineStr">
        <is>
          <t>Föryngringsavverkning</t>
        </is>
      </c>
      <c r="D383" s="1" t="n">
        <v>46044</v>
      </c>
      <c r="E383" s="1" t="n">
        <v>46230</v>
      </c>
      <c r="F383" t="inlineStr">
        <is>
          <t>DALARNAS LÄN</t>
        </is>
      </c>
      <c r="G383" t="inlineStr">
        <is>
          <t>ORSA</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4690-2026</t>
        </is>
      </c>
      <c r="B384" t="inlineStr">
        <is>
          <t>avverkningsanmälan</t>
        </is>
      </c>
      <c r="C384" t="inlineStr">
        <is>
          <t>Föryngringsavverkning</t>
        </is>
      </c>
      <c r="D384" s="1" t="n">
        <v>46048</v>
      </c>
      <c r="E384" s="1" t="n">
        <v>46230</v>
      </c>
      <c r="F384" t="inlineStr">
        <is>
          <t>DALARNAS LÄN</t>
        </is>
      </c>
      <c r="G384" t="inlineStr">
        <is>
          <t>ORSA</t>
        </is>
      </c>
      <c r="I384" t="n">
        <v>14.2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23582-2026</t>
        </is>
      </c>
      <c r="B385" t="inlineStr">
        <is>
          <t>avverkningsanmälan</t>
        </is>
      </c>
      <c r="C385" t="inlineStr">
        <is>
          <t>Föryngringsavverkning</t>
        </is>
      </c>
      <c r="D385" s="1" t="n">
        <v>46163</v>
      </c>
      <c r="E385" s="1" t="n">
        <v>46230</v>
      </c>
      <c r="F385" t="inlineStr">
        <is>
          <t>DALARNAS LÄN</t>
        </is>
      </c>
      <c r="G385" t="inlineStr">
        <is>
          <t>ORSA</t>
        </is>
      </c>
      <c r="H385" t="inlineStr">
        <is>
          <t>Bergvik skog öst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5377-2026</t>
        </is>
      </c>
      <c r="B386" t="inlineStr">
        <is>
          <t>avverkningsanmälan</t>
        </is>
      </c>
      <c r="C386" t="inlineStr">
        <is>
          <t>Föryngringsavverkning</t>
        </is>
      </c>
      <c r="D386" s="1" t="n">
        <v>46050</v>
      </c>
      <c r="E386" s="1" t="n">
        <v>46230</v>
      </c>
      <c r="F386" t="inlineStr">
        <is>
          <t>DALARNAS LÄN</t>
        </is>
      </c>
      <c r="G386" t="inlineStr">
        <is>
          <t>ORSA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12704-2022</t>
        </is>
      </c>
      <c r="B387" t="inlineStr">
        <is>
          <t>avverkningsanmälan</t>
        </is>
      </c>
      <c r="C387" t="inlineStr">
        <is>
          <t>Föryngringsavverkning</t>
        </is>
      </c>
      <c r="D387" s="1" t="n">
        <v>44641</v>
      </c>
      <c r="E387" s="1" t="n">
        <v>46230</v>
      </c>
      <c r="F387" t="inlineStr">
        <is>
          <t>DALARNAS LÄN</t>
        </is>
      </c>
      <c r="G387" t="inlineStr">
        <is>
          <t>ORSA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5393-2026</t>
        </is>
      </c>
      <c r="B388" t="inlineStr">
        <is>
          <t>avverkningsanmälan</t>
        </is>
      </c>
      <c r="C388" t="inlineStr">
        <is>
          <t>Föryngringsavverkning</t>
        </is>
      </c>
      <c r="D388" s="1" t="n">
        <v>46050</v>
      </c>
      <c r="E388" s="1" t="n">
        <v>46230</v>
      </c>
      <c r="F388" t="inlineStr">
        <is>
          <t>DALARNAS LÄN</t>
        </is>
      </c>
      <c r="G388" t="inlineStr">
        <is>
          <t>ORSA</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38611-2022</t>
        </is>
      </c>
      <c r="B389" t="inlineStr">
        <is>
          <t>avverkningsanmälan</t>
        </is>
      </c>
      <c r="C389" t="inlineStr">
        <is>
          <t>Föryngringsavverkning</t>
        </is>
      </c>
      <c r="D389" s="1" t="n">
        <v>44813</v>
      </c>
      <c r="E389" s="1" t="n">
        <v>46230</v>
      </c>
      <c r="F389" t="inlineStr">
        <is>
          <t>DALARNAS LÄN</t>
        </is>
      </c>
      <c r="G389" t="inlineStr">
        <is>
          <t>ORSA</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29944-2026</t>
        </is>
      </c>
      <c r="B390" t="inlineStr">
        <is>
          <t>avverkningsanmälan</t>
        </is>
      </c>
      <c r="C390" t="inlineStr">
        <is>
          <t>Föryngringsavverkning</t>
        </is>
      </c>
      <c r="D390" s="1" t="n">
        <v>46205</v>
      </c>
      <c r="E390" s="1" t="n">
        <v>46230</v>
      </c>
      <c r="F390" t="inlineStr">
        <is>
          <t>DALARNAS LÄN</t>
        </is>
      </c>
      <c r="G390" t="inlineStr">
        <is>
          <t>ORSA</t>
        </is>
      </c>
      <c r="H390" t="inlineStr">
        <is>
          <t>Bergvik skog öst AB</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5395-2026</t>
        </is>
      </c>
      <c r="B391" t="inlineStr">
        <is>
          <t>avverkningsanmälan</t>
        </is>
      </c>
      <c r="C391" t="inlineStr">
        <is>
          <t>Föryngringsavverkning</t>
        </is>
      </c>
      <c r="D391" s="1" t="n">
        <v>46050</v>
      </c>
      <c r="E391" s="1" t="n">
        <v>46230</v>
      </c>
      <c r="F391" t="inlineStr">
        <is>
          <t>DALARNAS LÄN</t>
        </is>
      </c>
      <c r="G391" t="inlineStr">
        <is>
          <t>ORSA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5896-2026</t>
        </is>
      </c>
      <c r="B392" t="inlineStr">
        <is>
          <t>avverkningsanmälan</t>
        </is>
      </c>
      <c r="C392" t="inlineStr">
        <is>
          <t>Föryngringsavverkning</t>
        </is>
      </c>
      <c r="D392" s="1" t="n">
        <v>46052</v>
      </c>
      <c r="E392" s="1" t="n">
        <v>46230</v>
      </c>
      <c r="F392" t="inlineStr">
        <is>
          <t>DALARNAS LÄN</t>
        </is>
      </c>
      <c r="G392" t="inlineStr">
        <is>
          <t>ORSA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6945-2026</t>
        </is>
      </c>
      <c r="B393" t="inlineStr">
        <is>
          <t>avverkningsanmälan</t>
        </is>
      </c>
      <c r="C393" t="inlineStr">
        <is>
          <t>Föryngringsavverkning</t>
        </is>
      </c>
      <c r="D393" s="1" t="n">
        <v>46057</v>
      </c>
      <c r="E393" s="1" t="n">
        <v>46230</v>
      </c>
      <c r="F393" t="inlineStr">
        <is>
          <t>DALARNAS LÄN</t>
        </is>
      </c>
      <c r="G393" t="inlineStr">
        <is>
          <t>ORSA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29603-2026</t>
        </is>
      </c>
      <c r="B394" t="inlineStr">
        <is>
          <t>avverkningsanmälan</t>
        </is>
      </c>
      <c r="C394" t="inlineStr">
        <is>
          <t>Föryngringsavverkning</t>
        </is>
      </c>
      <c r="D394" s="1" t="n">
        <v>46204</v>
      </c>
      <c r="E394" s="1" t="n">
        <v>46230</v>
      </c>
      <c r="F394" t="inlineStr">
        <is>
          <t>DALARNAS LÄN</t>
        </is>
      </c>
      <c r="G394" t="inlineStr">
        <is>
          <t>ORSA</t>
        </is>
      </c>
      <c r="I394" t="n">
        <v>16.6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6757-2026</t>
        </is>
      </c>
      <c r="B395" t="inlineStr">
        <is>
          <t>avverkningsanmälan</t>
        </is>
      </c>
      <c r="C395" t="inlineStr">
        <is>
          <t>Föryngringsavverkning</t>
        </is>
      </c>
      <c r="D395" s="1" t="n">
        <v>46056</v>
      </c>
      <c r="E395" s="1" t="n">
        <v>46230</v>
      </c>
      <c r="F395" t="inlineStr">
        <is>
          <t>DALARNAS LÄN</t>
        </is>
      </c>
      <c r="G395" t="inlineStr">
        <is>
          <t>ORSA</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7027-2026</t>
        </is>
      </c>
      <c r="B396" t="inlineStr">
        <is>
          <t>avverkningsanmälan</t>
        </is>
      </c>
      <c r="C396" t="inlineStr">
        <is>
          <t>Föryngringsavverkning</t>
        </is>
      </c>
      <c r="D396" s="1" t="n">
        <v>46057</v>
      </c>
      <c r="E396" s="1" t="n">
        <v>46230</v>
      </c>
      <c r="F396" t="inlineStr">
        <is>
          <t>DALARNAS LÄN</t>
        </is>
      </c>
      <c r="G396" t="inlineStr">
        <is>
          <t>ORSA</t>
        </is>
      </c>
      <c r="I396" t="n">
        <v>12.1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30070-2026</t>
        </is>
      </c>
      <c r="B397" t="inlineStr">
        <is>
          <t>avverkningsanmälan</t>
        </is>
      </c>
      <c r="C397" t="inlineStr">
        <is>
          <t>Föryngringsavverkning</t>
        </is>
      </c>
      <c r="D397" s="1" t="n">
        <v>46206</v>
      </c>
      <c r="E397" s="1" t="n">
        <v>46230</v>
      </c>
      <c r="F397" t="inlineStr">
        <is>
          <t>DALARNAS LÄN</t>
        </is>
      </c>
      <c r="G397" t="inlineStr">
        <is>
          <t>ORSA</t>
        </is>
      </c>
      <c r="H397" t="inlineStr">
        <is>
          <t>Bergvik skog öst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30264-2026</t>
        </is>
      </c>
      <c r="B398" t="inlineStr">
        <is>
          <t>avverkningsanmälan</t>
        </is>
      </c>
      <c r="C398" t="inlineStr">
        <is>
          <t>Föryngringsavverkning</t>
        </is>
      </c>
      <c r="D398" s="1" t="n">
        <v>46206</v>
      </c>
      <c r="E398" s="1" t="n">
        <v>46230</v>
      </c>
      <c r="F398" t="inlineStr">
        <is>
          <t>DALARNAS LÄN</t>
        </is>
      </c>
      <c r="G398" t="inlineStr">
        <is>
          <t>ORSA</t>
        </is>
      </c>
      <c r="H398" t="inlineStr">
        <is>
          <t>Bergvik skog öst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30065-2026</t>
        </is>
      </c>
      <c r="B399" t="inlineStr">
        <is>
          <t>avverkningsanmälan</t>
        </is>
      </c>
      <c r="C399" t="inlineStr">
        <is>
          <t>Föryngringsavverkning</t>
        </is>
      </c>
      <c r="D399" s="1" t="n">
        <v>46206</v>
      </c>
      <c r="E399" s="1" t="n">
        <v>46230</v>
      </c>
      <c r="F399" t="inlineStr">
        <is>
          <t>DALARNAS LÄN</t>
        </is>
      </c>
      <c r="G399" t="inlineStr">
        <is>
          <t>ORSA</t>
        </is>
      </c>
      <c r="H399" t="inlineStr">
        <is>
          <t>Bergvik skog öst AB</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7970-2026</t>
        </is>
      </c>
      <c r="B400" t="inlineStr">
        <is>
          <t>avverkningsanmälan</t>
        </is>
      </c>
      <c r="C400" t="inlineStr">
        <is>
          <t>Föryngringsavverkning</t>
        </is>
      </c>
      <c r="D400" s="1" t="n">
        <v>46063</v>
      </c>
      <c r="E400" s="1" t="n">
        <v>46230</v>
      </c>
      <c r="F400" t="inlineStr">
        <is>
          <t>DALARNAS LÄN</t>
        </is>
      </c>
      <c r="G400" t="inlineStr">
        <is>
          <t>ORSA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23981-2026</t>
        </is>
      </c>
      <c r="B401" t="inlineStr">
        <is>
          <t>avverkningsanmälan</t>
        </is>
      </c>
      <c r="C401" t="inlineStr">
        <is>
          <t>Föryngringsavverkning</t>
        </is>
      </c>
      <c r="D401" s="1" t="n">
        <v>46167</v>
      </c>
      <c r="E401" s="1" t="n">
        <v>46230</v>
      </c>
      <c r="F401" t="inlineStr">
        <is>
          <t>DALARNAS LÄN</t>
        </is>
      </c>
      <c r="G401" t="inlineStr">
        <is>
          <t>ORSA</t>
        </is>
      </c>
      <c r="H401" t="inlineStr">
        <is>
          <t>Bergvik skog öst AB</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59411-2024</t>
        </is>
      </c>
      <c r="B402" t="inlineStr">
        <is>
          <t>avverkningsanmälan</t>
        </is>
      </c>
      <c r="C402" t="inlineStr">
        <is>
          <t>Föryngringsavverkning</t>
        </is>
      </c>
      <c r="D402" s="1" t="n">
        <v>45638</v>
      </c>
      <c r="E402" s="1" t="n">
        <v>46230</v>
      </c>
      <c r="F402" t="inlineStr">
        <is>
          <t>DALARNAS LÄN</t>
        </is>
      </c>
      <c r="G402" t="inlineStr">
        <is>
          <t>ORSA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59414-2024</t>
        </is>
      </c>
      <c r="B403" t="inlineStr">
        <is>
          <t>avverkningsanmälan</t>
        </is>
      </c>
      <c r="C403" t="inlineStr">
        <is>
          <t>Föryngringsavverkning</t>
        </is>
      </c>
      <c r="D403" s="1" t="n">
        <v>45638</v>
      </c>
      <c r="E403" s="1" t="n">
        <v>46230</v>
      </c>
      <c r="F403" t="inlineStr">
        <is>
          <t>DALARNAS LÄN</t>
        </is>
      </c>
      <c r="G403" t="inlineStr">
        <is>
          <t>ORSA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30177-2026</t>
        </is>
      </c>
      <c r="B404" t="inlineStr">
        <is>
          <t>avverkningsanmälan</t>
        </is>
      </c>
      <c r="C404" t="inlineStr">
        <is>
          <t>Föryngringsavverkning</t>
        </is>
      </c>
      <c r="D404" s="1" t="n">
        <v>46206</v>
      </c>
      <c r="E404" s="1" t="n">
        <v>46230</v>
      </c>
      <c r="F404" t="inlineStr">
        <is>
          <t>DALARNAS LÄN</t>
        </is>
      </c>
      <c r="G404" t="inlineStr">
        <is>
          <t>ORSA</t>
        </is>
      </c>
      <c r="H404" t="inlineStr">
        <is>
          <t>Bergvik skog öst AB</t>
        </is>
      </c>
      <c r="I404" t="n">
        <v>18.5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23985-2026</t>
        </is>
      </c>
      <c r="B405" t="inlineStr">
        <is>
          <t>avverkningsanmälan</t>
        </is>
      </c>
      <c r="C405" t="inlineStr">
        <is>
          <t>Föryngringsavverkning</t>
        </is>
      </c>
      <c r="D405" s="1" t="n">
        <v>46167</v>
      </c>
      <c r="E405" s="1" t="n">
        <v>46230</v>
      </c>
      <c r="F405" t="inlineStr">
        <is>
          <t>DALARNAS LÄN</t>
        </is>
      </c>
      <c r="G405" t="inlineStr">
        <is>
          <t>ORSA</t>
        </is>
      </c>
      <c r="H405" t="inlineStr">
        <is>
          <t>Bergvik skog öst AB</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23746-2026</t>
        </is>
      </c>
      <c r="B406" t="inlineStr">
        <is>
          <t>avverkningsanmälan</t>
        </is>
      </c>
      <c r="C406" t="inlineStr">
        <is>
          <t>Föryngringsavverkning</t>
        </is>
      </c>
      <c r="D406" s="1" t="n">
        <v>46164</v>
      </c>
      <c r="E406" s="1" t="n">
        <v>46230</v>
      </c>
      <c r="F406" t="inlineStr">
        <is>
          <t>DALARNAS LÄN</t>
        </is>
      </c>
      <c r="G406" t="inlineStr">
        <is>
          <t>ORSA</t>
        </is>
      </c>
      <c r="H406" t="inlineStr">
        <is>
          <t>Bergvik skog öst AB</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23235-2026</t>
        </is>
      </c>
      <c r="B407" t="inlineStr">
        <is>
          <t>avverkningsanmälan</t>
        </is>
      </c>
      <c r="C407" t="inlineStr">
        <is>
          <t>Avverkning för annat ändamål</t>
        </is>
      </c>
      <c r="D407" s="1" t="n">
        <v>46162</v>
      </c>
      <c r="E407" s="1" t="n">
        <v>46230</v>
      </c>
      <c r="F407" t="inlineStr">
        <is>
          <t>DALARNAS LÄN</t>
        </is>
      </c>
      <c r="G407" t="inlineStr">
        <is>
          <t>ORSA</t>
        </is>
      </c>
      <c r="H407" t="inlineStr">
        <is>
          <t>Allmännings- och besparingsskogar</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23709-2026</t>
        </is>
      </c>
      <c r="B408" t="inlineStr">
        <is>
          <t>avverkningsanmälan</t>
        </is>
      </c>
      <c r="C408" t="inlineStr">
        <is>
          <t>Föryngringsavverkning</t>
        </is>
      </c>
      <c r="D408" s="1" t="n">
        <v>46164</v>
      </c>
      <c r="E408" s="1" t="n">
        <v>46230</v>
      </c>
      <c r="F408" t="inlineStr">
        <is>
          <t>DALARNAS LÄN</t>
        </is>
      </c>
      <c r="G408" t="inlineStr">
        <is>
          <t>ORSA</t>
        </is>
      </c>
      <c r="H408" t="inlineStr">
        <is>
          <t>Bergvik skog öst AB</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23712-2026</t>
        </is>
      </c>
      <c r="B409" t="inlineStr">
        <is>
          <t>avverkningsanmälan</t>
        </is>
      </c>
      <c r="C409" t="inlineStr">
        <is>
          <t>Föryngringsavverkning</t>
        </is>
      </c>
      <c r="D409" s="1" t="n">
        <v>46164</v>
      </c>
      <c r="E409" s="1" t="n">
        <v>46230</v>
      </c>
      <c r="F409" t="inlineStr">
        <is>
          <t>DALARNAS LÄN</t>
        </is>
      </c>
      <c r="G409" t="inlineStr">
        <is>
          <t>ORSA</t>
        </is>
      </c>
      <c r="H409" t="inlineStr">
        <is>
          <t>Bergvik skog öst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4202-2025</t>
        </is>
      </c>
      <c r="B410" t="inlineStr">
        <is>
          <t>avverkningsanmälan</t>
        </is>
      </c>
      <c r="C410" t="inlineStr">
        <is>
          <t>Föryngringsavverkning</t>
        </is>
      </c>
      <c r="D410" s="1" t="n">
        <v>45685</v>
      </c>
      <c r="E410" s="1" t="n">
        <v>46230</v>
      </c>
      <c r="F410" t="inlineStr">
        <is>
          <t>DALARNAS LÄN</t>
        </is>
      </c>
      <c r="G410" t="inlineStr">
        <is>
          <t>ORSA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30138-2026</t>
        </is>
      </c>
      <c r="B411" t="inlineStr">
        <is>
          <t>avverkningsanmälan</t>
        </is>
      </c>
      <c r="C411" t="inlineStr">
        <is>
          <t>Avverkning för annat ändamål</t>
        </is>
      </c>
      <c r="D411" s="1" t="n">
        <v>46206</v>
      </c>
      <c r="E411" s="1" t="n">
        <v>46230</v>
      </c>
      <c r="F411" t="inlineStr">
        <is>
          <t>DALARNAS LÄN</t>
        </is>
      </c>
      <c r="G411" t="inlineStr">
        <is>
          <t>ORSA</t>
        </is>
      </c>
      <c r="H411" t="inlineStr">
        <is>
          <t>Allmännings- och besparingsskogar</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4204-2025</t>
        </is>
      </c>
      <c r="B412" t="inlineStr">
        <is>
          <t>avverkningsanmälan</t>
        </is>
      </c>
      <c r="C412" t="inlineStr">
        <is>
          <t>Föryngringsavverkning</t>
        </is>
      </c>
      <c r="D412" s="1" t="n">
        <v>45685</v>
      </c>
      <c r="E412" s="1" t="n">
        <v>46230</v>
      </c>
      <c r="F412" t="inlineStr">
        <is>
          <t>DALARNAS LÄN</t>
        </is>
      </c>
      <c r="G412" t="inlineStr">
        <is>
          <t>ORSA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9269-2026</t>
        </is>
      </c>
      <c r="B413" t="inlineStr">
        <is>
          <t>avverkningsanmälan</t>
        </is>
      </c>
      <c r="C413" t="inlineStr">
        <is>
          <t>Föryngringsavverkning</t>
        </is>
      </c>
      <c r="D413" s="1" t="n">
        <v>46070</v>
      </c>
      <c r="E413" s="1" t="n">
        <v>46230</v>
      </c>
      <c r="F413" t="inlineStr">
        <is>
          <t>DALARNAS LÄN</t>
        </is>
      </c>
      <c r="G413" t="inlineStr">
        <is>
          <t>ORSA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55538-2023</t>
        </is>
      </c>
      <c r="B414" t="inlineStr">
        <is>
          <t>avverkningsanmälan</t>
        </is>
      </c>
      <c r="C414" t="inlineStr">
        <is>
          <t>Föryngringsavverkning</t>
        </is>
      </c>
      <c r="D414" s="1" t="n">
        <v>45238</v>
      </c>
      <c r="E414" s="1" t="n">
        <v>46230</v>
      </c>
      <c r="F414" t="inlineStr">
        <is>
          <t>DALARNAS LÄN</t>
        </is>
      </c>
      <c r="G414" t="inlineStr">
        <is>
          <t>ORSA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10784-2026</t>
        </is>
      </c>
      <c r="B415" t="inlineStr">
        <is>
          <t>avverkningsanmälan</t>
        </is>
      </c>
      <c r="C415" t="inlineStr">
        <is>
          <t>Föryngringsavverkning</t>
        </is>
      </c>
      <c r="D415" s="1" t="n">
        <v>46078</v>
      </c>
      <c r="E415" s="1" t="n">
        <v>46230</v>
      </c>
      <c r="F415" t="inlineStr">
        <is>
          <t>DALARNAS LÄN</t>
        </is>
      </c>
      <c r="G415" t="inlineStr">
        <is>
          <t>ORSA</t>
        </is>
      </c>
      <c r="H415" t="inlineStr">
        <is>
          <t>Bergvik skog öst AB</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10202-2026</t>
        </is>
      </c>
      <c r="B416" t="inlineStr">
        <is>
          <t>avverkningsanmälan</t>
        </is>
      </c>
      <c r="C416" t="inlineStr">
        <is>
          <t>Föryngringsavverkning</t>
        </is>
      </c>
      <c r="D416" s="1" t="n">
        <v>46076</v>
      </c>
      <c r="E416" s="1" t="n">
        <v>46230</v>
      </c>
      <c r="F416" t="inlineStr">
        <is>
          <t>DALARNAS LÄN</t>
        </is>
      </c>
      <c r="G416" t="inlineStr">
        <is>
          <t>ORSA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10513-2026</t>
        </is>
      </c>
      <c r="B417" t="inlineStr">
        <is>
          <t>avverkningsanmälan</t>
        </is>
      </c>
      <c r="C417" t="inlineStr">
        <is>
          <t>Föryngringsavverkning</t>
        </is>
      </c>
      <c r="D417" s="1" t="n">
        <v>46077</v>
      </c>
      <c r="E417" s="1" t="n">
        <v>46230</v>
      </c>
      <c r="F417" t="inlineStr">
        <is>
          <t>DALARNAS LÄN</t>
        </is>
      </c>
      <c r="G417" t="inlineStr">
        <is>
          <t>ORSA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10209-2026</t>
        </is>
      </c>
      <c r="B418" t="inlineStr">
        <is>
          <t>avverkningsanmälan</t>
        </is>
      </c>
      <c r="C418" t="inlineStr">
        <is>
          <t>Föryngringsavverkning</t>
        </is>
      </c>
      <c r="D418" s="1" t="n">
        <v>46076</v>
      </c>
      <c r="E418" s="1" t="n">
        <v>46230</v>
      </c>
      <c r="F418" t="inlineStr">
        <is>
          <t>DALARNAS LÄN</t>
        </is>
      </c>
      <c r="G418" t="inlineStr">
        <is>
          <t>ORSA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10564-2026</t>
        </is>
      </c>
      <c r="B419" t="inlineStr">
        <is>
          <t>avverkningsanmälan</t>
        </is>
      </c>
      <c r="C419" t="inlineStr">
        <is>
          <t>Föryngringsavverkning</t>
        </is>
      </c>
      <c r="D419" s="1" t="n">
        <v>46077</v>
      </c>
      <c r="E419" s="1" t="n">
        <v>46230</v>
      </c>
      <c r="F419" t="inlineStr">
        <is>
          <t>DALARNAS LÄN</t>
        </is>
      </c>
      <c r="G419" t="inlineStr">
        <is>
          <t>ORSA</t>
        </is>
      </c>
      <c r="H419" t="inlineStr">
        <is>
          <t>Övriga Aktiebolag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10579-2026</t>
        </is>
      </c>
      <c r="B420" t="inlineStr">
        <is>
          <t>avverkningsanmälan</t>
        </is>
      </c>
      <c r="C420" t="inlineStr">
        <is>
          <t>Föryngringsavverkning</t>
        </is>
      </c>
      <c r="D420" s="1" t="n">
        <v>46077</v>
      </c>
      <c r="E420" s="1" t="n">
        <v>46230</v>
      </c>
      <c r="F420" t="inlineStr">
        <is>
          <t>DALARNAS LÄN</t>
        </is>
      </c>
      <c r="G420" t="inlineStr">
        <is>
          <t>ORSA</t>
        </is>
      </c>
      <c r="H420" t="inlineStr">
        <is>
          <t>Övriga Aktiebolag</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10205-2026</t>
        </is>
      </c>
      <c r="B421" t="inlineStr">
        <is>
          <t>avverkningsanmälan</t>
        </is>
      </c>
      <c r="C421" t="inlineStr">
        <is>
          <t>Föryngringsavverkning</t>
        </is>
      </c>
      <c r="D421" s="1" t="n">
        <v>46076</v>
      </c>
      <c r="E421" s="1" t="n">
        <v>46230</v>
      </c>
      <c r="F421" t="inlineStr">
        <is>
          <t>DALARNAS LÄN</t>
        </is>
      </c>
      <c r="G421" t="inlineStr">
        <is>
          <t>ORSA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10210-2026</t>
        </is>
      </c>
      <c r="B422" t="inlineStr">
        <is>
          <t>avverkningsanmälan</t>
        </is>
      </c>
      <c r="C422" t="inlineStr">
        <is>
          <t>Föryngringsavverkning</t>
        </is>
      </c>
      <c r="D422" s="1" t="n">
        <v>46076</v>
      </c>
      <c r="E422" s="1" t="n">
        <v>46230</v>
      </c>
      <c r="F422" t="inlineStr">
        <is>
          <t>DALARNAS LÄN</t>
        </is>
      </c>
      <c r="G422" t="inlineStr">
        <is>
          <t>ORSA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10035-2026</t>
        </is>
      </c>
      <c r="B423" t="inlineStr">
        <is>
          <t>avverkningsanmälan</t>
        </is>
      </c>
      <c r="C423" t="inlineStr">
        <is>
          <t>Föryngringsavverkning</t>
        </is>
      </c>
      <c r="D423" s="1" t="n">
        <v>46073</v>
      </c>
      <c r="E423" s="1" t="n">
        <v>46230</v>
      </c>
      <c r="F423" t="inlineStr">
        <is>
          <t>DALARNAS LÄN</t>
        </is>
      </c>
      <c r="G423" t="inlineStr">
        <is>
          <t>ORSA</t>
        </is>
      </c>
      <c r="H423" t="inlineStr">
        <is>
          <t>Bergvik skog öst AB</t>
        </is>
      </c>
      <c r="I423" t="n">
        <v>19.6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10442-2026</t>
        </is>
      </c>
      <c r="B424" t="inlineStr">
        <is>
          <t>avverkningsanmälan</t>
        </is>
      </c>
      <c r="C424" t="inlineStr">
        <is>
          <t>Föryngringsavverkning</t>
        </is>
      </c>
      <c r="D424" s="1" t="n">
        <v>46077</v>
      </c>
      <c r="E424" s="1" t="n">
        <v>46230</v>
      </c>
      <c r="F424" t="inlineStr">
        <is>
          <t>DALARNAS LÄN</t>
        </is>
      </c>
      <c r="G424" t="inlineStr">
        <is>
          <t>ORSA</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10195-2026</t>
        </is>
      </c>
      <c r="B425" t="inlineStr">
        <is>
          <t>avverkningsanmälan</t>
        </is>
      </c>
      <c r="C425" t="inlineStr">
        <is>
          <t>Föryngringsavverkning</t>
        </is>
      </c>
      <c r="D425" s="1" t="n">
        <v>46076</v>
      </c>
      <c r="E425" s="1" t="n">
        <v>46230</v>
      </c>
      <c r="F425" t="inlineStr">
        <is>
          <t>DALARNAS LÄN</t>
        </is>
      </c>
      <c r="G425" t="inlineStr">
        <is>
          <t>ORSA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10206-2026</t>
        </is>
      </c>
      <c r="B426" t="inlineStr">
        <is>
          <t>avverkningsanmälan</t>
        </is>
      </c>
      <c r="C426" t="inlineStr">
        <is>
          <t>Föryngringsavverkning</t>
        </is>
      </c>
      <c r="D426" s="1" t="n">
        <v>46076</v>
      </c>
      <c r="E426" s="1" t="n">
        <v>46230</v>
      </c>
      <c r="F426" t="inlineStr">
        <is>
          <t>DALARNAS LÄN</t>
        </is>
      </c>
      <c r="G426" t="inlineStr">
        <is>
          <t>ORSA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30688-2026</t>
        </is>
      </c>
      <c r="B427" t="inlineStr">
        <is>
          <t>avverkningsanmälan</t>
        </is>
      </c>
      <c r="C427" t="inlineStr">
        <is>
          <t>Föryngringsavverkning</t>
        </is>
      </c>
      <c r="D427" s="1" t="n">
        <v>46211</v>
      </c>
      <c r="E427" s="1" t="n">
        <v>46230</v>
      </c>
      <c r="F427" t="inlineStr">
        <is>
          <t>DALARNAS LÄN</t>
        </is>
      </c>
      <c r="G427" t="inlineStr">
        <is>
          <t>ORSA</t>
        </is>
      </c>
      <c r="H427" t="inlineStr">
        <is>
          <t>Bergvik skog öst AB</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30677-2026</t>
        </is>
      </c>
      <c r="B428" t="inlineStr">
        <is>
          <t>avverkningsanmälan</t>
        </is>
      </c>
      <c r="C428" t="inlineStr">
        <is>
          <t>Föryngringsavverkning</t>
        </is>
      </c>
      <c r="D428" s="1" t="n">
        <v>46211</v>
      </c>
      <c r="E428" s="1" t="n">
        <v>46230</v>
      </c>
      <c r="F428" t="inlineStr">
        <is>
          <t>DALARNAS LÄN</t>
        </is>
      </c>
      <c r="G428" t="inlineStr">
        <is>
          <t>ORSA</t>
        </is>
      </c>
      <c r="H428" t="inlineStr">
        <is>
          <t>Bergvik skog öst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30998-2026</t>
        </is>
      </c>
      <c r="B429" t="inlineStr">
        <is>
          <t>avverkningsanmälan</t>
        </is>
      </c>
      <c r="C429" t="inlineStr">
        <is>
          <t>Föryngringsavverkning</t>
        </is>
      </c>
      <c r="D429" s="1" t="n">
        <v>46213</v>
      </c>
      <c r="E429" s="1" t="n">
        <v>46230</v>
      </c>
      <c r="F429" t="inlineStr">
        <is>
          <t>DALARNAS LÄN</t>
        </is>
      </c>
      <c r="G429" t="inlineStr">
        <is>
          <t>ORSA</t>
        </is>
      </c>
      <c r="H429" t="inlineStr">
        <is>
          <t>Allmännings- och besparingsskogar</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12404-2026</t>
        </is>
      </c>
      <c r="B430" t="inlineStr">
        <is>
          <t>avverkningsanmälan</t>
        </is>
      </c>
      <c r="C430" t="inlineStr">
        <is>
          <t>Föryngringsavverkning</t>
        </is>
      </c>
      <c r="D430" s="1" t="n">
        <v>46090</v>
      </c>
      <c r="E430" s="1" t="n">
        <v>46230</v>
      </c>
      <c r="F430" t="inlineStr">
        <is>
          <t>DALARNAS LÄN</t>
        </is>
      </c>
      <c r="G430" t="inlineStr">
        <is>
          <t>ORSA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12805-2026</t>
        </is>
      </c>
      <c r="B431" t="inlineStr">
        <is>
          <t>avverkningsanmälan</t>
        </is>
      </c>
      <c r="C431" t="inlineStr">
        <is>
          <t>Föryngringsavverkning</t>
        </is>
      </c>
      <c r="D431" s="1" t="n">
        <v>46092</v>
      </c>
      <c r="E431" s="1" t="n">
        <v>46230</v>
      </c>
      <c r="F431" t="inlineStr">
        <is>
          <t>DALARNAS LÄN</t>
        </is>
      </c>
      <c r="G431" t="inlineStr">
        <is>
          <t>ORSA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10045-2026</t>
        </is>
      </c>
      <c r="B432" t="inlineStr">
        <is>
          <t>avverkningsanmälan</t>
        </is>
      </c>
      <c r="C432" t="inlineStr">
        <is>
          <t>Föryngringsavverkning</t>
        </is>
      </c>
      <c r="D432" s="1" t="n">
        <v>46073</v>
      </c>
      <c r="E432" s="1" t="n">
        <v>46230</v>
      </c>
      <c r="F432" t="inlineStr">
        <is>
          <t>DALARNAS LÄN</t>
        </is>
      </c>
      <c r="G432" t="inlineStr">
        <is>
          <t>ORSA</t>
        </is>
      </c>
      <c r="H432" t="inlineStr">
        <is>
          <t>Bergvik skog öst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20588-2025</t>
        </is>
      </c>
      <c r="B433" t="inlineStr">
        <is>
          <t>avverkningsanmälan</t>
        </is>
      </c>
      <c r="C433" t="inlineStr">
        <is>
          <t>Föryngringsavverkning</t>
        </is>
      </c>
      <c r="D433" s="1" t="n">
        <v>45775</v>
      </c>
      <c r="E433" s="1" t="n">
        <v>46230</v>
      </c>
      <c r="F433" t="inlineStr">
        <is>
          <t>DALARNAS LÄN</t>
        </is>
      </c>
      <c r="G433" t="inlineStr">
        <is>
          <t>ORSA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12678-2026</t>
        </is>
      </c>
      <c r="B434" t="inlineStr">
        <is>
          <t>avverkningsanmälan</t>
        </is>
      </c>
      <c r="C434" t="inlineStr">
        <is>
          <t>Föryngringsavverkning</t>
        </is>
      </c>
      <c r="D434" s="1" t="n">
        <v>46091</v>
      </c>
      <c r="E434" s="1" t="n">
        <v>46230</v>
      </c>
      <c r="F434" t="inlineStr">
        <is>
          <t>DALARNAS LÄN</t>
        </is>
      </c>
      <c r="G434" t="inlineStr">
        <is>
          <t>ORSA</t>
        </is>
      </c>
      <c r="H434" t="inlineStr">
        <is>
          <t>Allmännings- och besparingsskogar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30960-2026</t>
        </is>
      </c>
      <c r="B435" t="inlineStr">
        <is>
          <t>avverkningsanmälan</t>
        </is>
      </c>
      <c r="C435" t="inlineStr">
        <is>
          <t>Föryngringsavverkning</t>
        </is>
      </c>
      <c r="D435" s="1" t="n">
        <v>46213</v>
      </c>
      <c r="E435" s="1" t="n">
        <v>46230</v>
      </c>
      <c r="F435" t="inlineStr">
        <is>
          <t>DALARNAS LÄN</t>
        </is>
      </c>
      <c r="G435" t="inlineStr">
        <is>
          <t>ORSA</t>
        </is>
      </c>
      <c r="H435" t="inlineStr">
        <is>
          <t>Bergvik skog öst AB</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9963-2026</t>
        </is>
      </c>
      <c r="B436" t="inlineStr">
        <is>
          <t>avverkningsanmälan</t>
        </is>
      </c>
      <c r="C436" t="inlineStr">
        <is>
          <t>Föryngringsavverkning</t>
        </is>
      </c>
      <c r="D436" s="1" t="n">
        <v>46073</v>
      </c>
      <c r="E436" s="1" t="n">
        <v>46230</v>
      </c>
      <c r="F436" t="inlineStr">
        <is>
          <t>DALARNAS LÄN</t>
        </is>
      </c>
      <c r="G436" t="inlineStr">
        <is>
          <t>ORSA</t>
        </is>
      </c>
      <c r="H436" t="inlineStr">
        <is>
          <t>Bergvik skog öst AB</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30957-2026</t>
        </is>
      </c>
      <c r="B437" t="inlineStr">
        <is>
          <t>avverkningsanmälan</t>
        </is>
      </c>
      <c r="C437" t="inlineStr">
        <is>
          <t>Föryngringsavverkning</t>
        </is>
      </c>
      <c r="D437" s="1" t="n">
        <v>46213</v>
      </c>
      <c r="E437" s="1" t="n">
        <v>46230</v>
      </c>
      <c r="F437" t="inlineStr">
        <is>
          <t>DALARNAS LÄN</t>
        </is>
      </c>
      <c r="G437" t="inlineStr">
        <is>
          <t>ORSA</t>
        </is>
      </c>
      <c r="H437" t="inlineStr">
        <is>
          <t>Bergvik skog öst AB</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13242-2026</t>
        </is>
      </c>
      <c r="B438" t="inlineStr">
        <is>
          <t>avverkningsanmälan</t>
        </is>
      </c>
      <c r="C438" t="inlineStr">
        <is>
          <t>Föryngringsavverkning</t>
        </is>
      </c>
      <c r="D438" s="1" t="n">
        <v>46093</v>
      </c>
      <c r="E438" s="1" t="n">
        <v>46230</v>
      </c>
      <c r="F438" t="inlineStr">
        <is>
          <t>DALARNAS LÄN</t>
        </is>
      </c>
      <c r="G438" t="inlineStr">
        <is>
          <t>ORSA</t>
        </is>
      </c>
      <c r="H438" t="inlineStr">
        <is>
          <t>Bergvik skog öst AB</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24895-2026</t>
        </is>
      </c>
      <c r="B439" t="inlineStr">
        <is>
          <t>avverkningsanmälan</t>
        </is>
      </c>
      <c r="C439" t="inlineStr">
        <is>
          <t>Föryngringsavverkning</t>
        </is>
      </c>
      <c r="D439" s="1" t="n">
        <v>46174</v>
      </c>
      <c r="E439" s="1" t="n">
        <v>46230</v>
      </c>
      <c r="F439" t="inlineStr">
        <is>
          <t>DALARNAS LÄN</t>
        </is>
      </c>
      <c r="G439" t="inlineStr">
        <is>
          <t>ORSA</t>
        </is>
      </c>
      <c r="H439" t="inlineStr">
        <is>
          <t>Allmännings- och besparingsskogar</t>
        </is>
      </c>
      <c r="I439" t="n">
        <v>14.7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597-2024</t>
        </is>
      </c>
      <c r="B440" t="inlineStr">
        <is>
          <t>avverkningsanmälan</t>
        </is>
      </c>
      <c r="C440" t="inlineStr">
        <is>
          <t>Föryngringsavverkning</t>
        </is>
      </c>
      <c r="D440" s="1" t="n">
        <v>45299</v>
      </c>
      <c r="E440" s="1" t="n">
        <v>46230</v>
      </c>
      <c r="F440" t="inlineStr">
        <is>
          <t>DALARNAS LÄN</t>
        </is>
      </c>
      <c r="G440" t="inlineStr">
        <is>
          <t>ORSA</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24722-2026</t>
        </is>
      </c>
      <c r="B441" t="inlineStr">
        <is>
          <t>avverkningsanmälan</t>
        </is>
      </c>
      <c r="C441" t="inlineStr">
        <is>
          <t>Föryngringsavverkning</t>
        </is>
      </c>
      <c r="D441" s="1" t="n">
        <v>46171</v>
      </c>
      <c r="E441" s="1" t="n">
        <v>46230</v>
      </c>
      <c r="F441" t="inlineStr">
        <is>
          <t>DALARNAS LÄN</t>
        </is>
      </c>
      <c r="G441" t="inlineStr">
        <is>
          <t>ORSA</t>
        </is>
      </c>
      <c r="H441" t="inlineStr">
        <is>
          <t>Allmännings- och besparingsskogar</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24994-2026</t>
        </is>
      </c>
      <c r="B442" t="inlineStr">
        <is>
          <t>avverkningsanmälan</t>
        </is>
      </c>
      <c r="C442" t="inlineStr">
        <is>
          <t>Föryngringsavverkning</t>
        </is>
      </c>
      <c r="D442" s="1" t="n">
        <v>46174</v>
      </c>
      <c r="E442" s="1" t="n">
        <v>46230</v>
      </c>
      <c r="F442" t="inlineStr">
        <is>
          <t>DALARNAS LÄN</t>
        </is>
      </c>
      <c r="G442" t="inlineStr">
        <is>
          <t>ORSA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24858-2026</t>
        </is>
      </c>
      <c r="B443" t="inlineStr">
        <is>
          <t>avverkningsanmälan</t>
        </is>
      </c>
      <c r="C443" t="inlineStr">
        <is>
          <t>Föryngringsavverkning</t>
        </is>
      </c>
      <c r="D443" s="1" t="n">
        <v>46174</v>
      </c>
      <c r="E443" s="1" t="n">
        <v>46230</v>
      </c>
      <c r="F443" t="inlineStr">
        <is>
          <t>DALARNAS LÄN</t>
        </is>
      </c>
      <c r="G443" t="inlineStr">
        <is>
          <t>ORSA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13995-2026</t>
        </is>
      </c>
      <c r="B444" t="inlineStr">
        <is>
          <t>avverkningsanmälan</t>
        </is>
      </c>
      <c r="C444" t="inlineStr">
        <is>
          <t>Föryngringsavverkning</t>
        </is>
      </c>
      <c r="D444" s="1" t="n">
        <v>46098</v>
      </c>
      <c r="E444" s="1" t="n">
        <v>46230</v>
      </c>
      <c r="F444" t="inlineStr">
        <is>
          <t>DALARNAS LÄN</t>
        </is>
      </c>
      <c r="G444" t="inlineStr">
        <is>
          <t>ORSA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51915-2022</t>
        </is>
      </c>
      <c r="B445" t="inlineStr">
        <is>
          <t>avverkningsanmälan</t>
        </is>
      </c>
      <c r="C445" t="inlineStr">
        <is>
          <t>Föryngringsavverkning</t>
        </is>
      </c>
      <c r="D445" s="1" t="n">
        <v>44872</v>
      </c>
      <c r="E445" s="1" t="n">
        <v>46230</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27511-2026</t>
        </is>
      </c>
      <c r="B446" t="inlineStr">
        <is>
          <t>avverkningsanmälan</t>
        </is>
      </c>
      <c r="C446" t="inlineStr">
        <is>
          <t>Föryngringsavverkning</t>
        </is>
      </c>
      <c r="D446" s="1" t="n">
        <v>46189</v>
      </c>
      <c r="E446" s="1" t="n">
        <v>46230</v>
      </c>
      <c r="F446" t="inlineStr">
        <is>
          <t>DALARNAS LÄN</t>
        </is>
      </c>
      <c r="G446" t="inlineStr">
        <is>
          <t>ORSA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14509-2026</t>
        </is>
      </c>
      <c r="B447" t="inlineStr">
        <is>
          <t>avverkningsanmälan</t>
        </is>
      </c>
      <c r="C447" t="inlineStr">
        <is>
          <t>Föryngringsavverkning</t>
        </is>
      </c>
      <c r="D447" s="1" t="n">
        <v>46100</v>
      </c>
      <c r="E447" s="1" t="n">
        <v>46230</v>
      </c>
      <c r="F447" t="inlineStr">
        <is>
          <t>DALARNAS LÄN</t>
        </is>
      </c>
      <c r="G447" t="inlineStr">
        <is>
          <t>ORSA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986-2025</t>
        </is>
      </c>
      <c r="B448" t="inlineStr">
        <is>
          <t>avverkningsanmälan</t>
        </is>
      </c>
      <c r="C448" t="inlineStr">
        <is>
          <t>Föryngringsavverkning</t>
        </is>
      </c>
      <c r="D448" s="1" t="n">
        <v>45666</v>
      </c>
      <c r="E448" s="1" t="n">
        <v>46230</v>
      </c>
      <c r="F448" t="inlineStr">
        <is>
          <t>DALARNAS LÄN</t>
        </is>
      </c>
      <c r="G448" t="inlineStr">
        <is>
          <t>ORSA</t>
        </is>
      </c>
      <c r="I448" t="n">
        <v>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42513-2024</t>
        </is>
      </c>
      <c r="B449" t="inlineStr">
        <is>
          <t>avverkningsanmälan</t>
        </is>
      </c>
      <c r="C449" t="inlineStr">
        <is>
          <t>Föryngringsavverkning</t>
        </is>
      </c>
      <c r="D449" s="1" t="n">
        <v>45565</v>
      </c>
      <c r="E449" s="1" t="n">
        <v>46230</v>
      </c>
      <c r="F449" t="inlineStr">
        <is>
          <t>DALARNAS LÄN</t>
        </is>
      </c>
      <c r="G449" t="inlineStr">
        <is>
          <t>ORSA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42517-2024</t>
        </is>
      </c>
      <c r="B450" t="inlineStr">
        <is>
          <t>avverkningsanmälan</t>
        </is>
      </c>
      <c r="C450" t="inlineStr">
        <is>
          <t>Föryngringsavverkning</t>
        </is>
      </c>
      <c r="D450" s="1" t="n">
        <v>45565</v>
      </c>
      <c r="E450" s="1" t="n">
        <v>46230</v>
      </c>
      <c r="F450" t="inlineStr">
        <is>
          <t>DALARNAS LÄN</t>
        </is>
      </c>
      <c r="G450" t="inlineStr">
        <is>
          <t>ORSA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27602-2026</t>
        </is>
      </c>
      <c r="B451" t="inlineStr">
        <is>
          <t>avverkningsanmälan</t>
        </is>
      </c>
      <c r="C451" t="inlineStr">
        <is>
          <t>Föryngringsavverkning</t>
        </is>
      </c>
      <c r="D451" s="1" t="n">
        <v>46190</v>
      </c>
      <c r="E451" s="1" t="n">
        <v>46230</v>
      </c>
      <c r="F451" t="inlineStr">
        <is>
          <t>DALARNAS LÄN</t>
        </is>
      </c>
      <c r="G451" t="inlineStr">
        <is>
          <t>ORSA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15414-2026</t>
        </is>
      </c>
      <c r="B452" t="inlineStr">
        <is>
          <t>avverkningsanmälan</t>
        </is>
      </c>
      <c r="C452" t="inlineStr">
        <is>
          <t>Föryngringsavverkning</t>
        </is>
      </c>
      <c r="D452" s="1" t="n">
        <v>46106</v>
      </c>
      <c r="E452" s="1" t="n">
        <v>46230</v>
      </c>
      <c r="F452" t="inlineStr">
        <is>
          <t>DALARNAS LÄN</t>
        </is>
      </c>
      <c r="G452" t="inlineStr">
        <is>
          <t>ORSA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33488-2024</t>
        </is>
      </c>
      <c r="B453" t="inlineStr">
        <is>
          <t>avverkningsanmälan</t>
        </is>
      </c>
      <c r="C453" t="inlineStr">
        <is>
          <t>Föryngringsavverkning</t>
        </is>
      </c>
      <c r="D453" s="1" t="n">
        <v>45519</v>
      </c>
      <c r="E453" s="1" t="n">
        <v>46230</v>
      </c>
      <c r="F453" t="inlineStr">
        <is>
          <t>DALARNAS LÄN</t>
        </is>
      </c>
      <c r="G453" t="inlineStr">
        <is>
          <t>ORSA</t>
        </is>
      </c>
      <c r="H453" t="inlineStr">
        <is>
          <t>Övriga statliga verk och myndigheter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10522-2026</t>
        </is>
      </c>
      <c r="B454" t="inlineStr">
        <is>
          <t>avverkningsanmälan</t>
        </is>
      </c>
      <c r="C454" t="inlineStr">
        <is>
          <t>Föryngringsavverkning</t>
        </is>
      </c>
      <c r="D454" s="1" t="n">
        <v>46077</v>
      </c>
      <c r="E454" s="1" t="n">
        <v>46230</v>
      </c>
      <c r="F454" t="inlineStr">
        <is>
          <t>DALARNAS LÄN</t>
        </is>
      </c>
      <c r="G454" t="inlineStr">
        <is>
          <t>ORSA</t>
        </is>
      </c>
      <c r="H454" t="inlineStr">
        <is>
          <t>Bergvik skog öst AB</t>
        </is>
      </c>
      <c r="I454" t="n">
        <v>13.7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11510-2026</t>
        </is>
      </c>
      <c r="B455" t="inlineStr">
        <is>
          <t>avverkningsanmälan</t>
        </is>
      </c>
      <c r="C455" t="inlineStr">
        <is>
          <t>Föryngringsavverkning</t>
        </is>
      </c>
      <c r="D455" s="1" t="n">
        <v>46083</v>
      </c>
      <c r="E455" s="1" t="n">
        <v>46230</v>
      </c>
      <c r="F455" t="inlineStr">
        <is>
          <t>DALARNAS LÄN</t>
        </is>
      </c>
      <c r="G455" t="inlineStr">
        <is>
          <t>ORSA</t>
        </is>
      </c>
      <c r="H455" t="inlineStr">
        <is>
          <t>Bergvik skog öst AB</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12440-2026</t>
        </is>
      </c>
      <c r="B456" t="inlineStr">
        <is>
          <t>avverkningsanmälan</t>
        </is>
      </c>
      <c r="C456" t="inlineStr">
        <is>
          <t>Föryngringsavverkning</t>
        </is>
      </c>
      <c r="D456" s="1" t="n">
        <v>46090</v>
      </c>
      <c r="E456" s="1" t="n">
        <v>46230</v>
      </c>
      <c r="F456" t="inlineStr">
        <is>
          <t>DALARNAS LÄN</t>
        </is>
      </c>
      <c r="G456" t="inlineStr">
        <is>
          <t>ORSA</t>
        </is>
      </c>
      <c r="H456" t="inlineStr">
        <is>
          <t>Bergvik skog öst AB</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9962-2026</t>
        </is>
      </c>
      <c r="B457" t="inlineStr">
        <is>
          <t>avverkningsanmälan</t>
        </is>
      </c>
      <c r="C457" t="inlineStr">
        <is>
          <t>Föryngringsavverkning</t>
        </is>
      </c>
      <c r="D457" s="1" t="n">
        <v>46073</v>
      </c>
      <c r="E457" s="1" t="n">
        <v>46230</v>
      </c>
      <c r="F457" t="inlineStr">
        <is>
          <t>DALARNAS LÄN</t>
        </is>
      </c>
      <c r="G457" t="inlineStr">
        <is>
          <t>ORSA</t>
        </is>
      </c>
      <c r="H457" t="inlineStr">
        <is>
          <t>Bergvik skog öst AB</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10151-2026</t>
        </is>
      </c>
      <c r="B458" t="inlineStr">
        <is>
          <t>avverkningsanmälan</t>
        </is>
      </c>
      <c r="C458" t="inlineStr">
        <is>
          <t>Föryngringsavverkning</t>
        </is>
      </c>
      <c r="D458" s="1" t="n">
        <v>46076</v>
      </c>
      <c r="E458" s="1" t="n">
        <v>46230</v>
      </c>
      <c r="F458" t="inlineStr">
        <is>
          <t>DALARNAS LÄN</t>
        </is>
      </c>
      <c r="G458" t="inlineStr">
        <is>
          <t>ORSA</t>
        </is>
      </c>
      <c r="H458" t="inlineStr">
        <is>
          <t>Bergvik skog öst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5100-2026</t>
        </is>
      </c>
      <c r="B459" t="inlineStr">
        <is>
          <t>avverkningsanmälan</t>
        </is>
      </c>
      <c r="C459" t="inlineStr">
        <is>
          <t>Föryngringsavverkning</t>
        </is>
      </c>
      <c r="D459" s="1" t="n">
        <v>46049</v>
      </c>
      <c r="E459" s="1" t="n">
        <v>46230</v>
      </c>
      <c r="F459" t="inlineStr">
        <is>
          <t>DALARNAS LÄN</t>
        </is>
      </c>
      <c r="G459" t="inlineStr">
        <is>
          <t>ORSA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47564-2023</t>
        </is>
      </c>
      <c r="B460" t="inlineStr">
        <is>
          <t>avverkningsanmälan</t>
        </is>
      </c>
      <c r="C460" t="inlineStr">
        <is>
          <t>Föryngringsavverkning</t>
        </is>
      </c>
      <c r="D460" s="1" t="n">
        <v>45203</v>
      </c>
      <c r="E460" s="1" t="n">
        <v>46230</v>
      </c>
      <c r="F460" t="inlineStr">
        <is>
          <t>DALARNAS LÄN</t>
        </is>
      </c>
      <c r="G460" t="inlineStr">
        <is>
          <t>ORSA</t>
        </is>
      </c>
      <c r="H460" t="inlineStr">
        <is>
          <t>Allmännings- och besparingsskogar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13316-2026</t>
        </is>
      </c>
      <c r="B461" t="inlineStr">
        <is>
          <t>avverkningsanmälan</t>
        </is>
      </c>
      <c r="C461" t="inlineStr">
        <is>
          <t>Föryngringsavverkning</t>
        </is>
      </c>
      <c r="D461" s="1" t="n">
        <v>46094</v>
      </c>
      <c r="E461" s="1" t="n">
        <v>46230</v>
      </c>
      <c r="F461" t="inlineStr">
        <is>
          <t>DALARNAS LÄN</t>
        </is>
      </c>
      <c r="G461" t="inlineStr">
        <is>
          <t>ORSA</t>
        </is>
      </c>
      <c r="H461" t="inlineStr">
        <is>
          <t>Bergvik skog öst AB</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17094-2026</t>
        </is>
      </c>
      <c r="B462" t="inlineStr">
        <is>
          <t>avverkningsanmälan</t>
        </is>
      </c>
      <c r="C462" t="inlineStr">
        <is>
          <t>Föryngringsavverkning</t>
        </is>
      </c>
      <c r="D462" s="1" t="n">
        <v>46114</v>
      </c>
      <c r="E462" s="1" t="n">
        <v>46230</v>
      </c>
      <c r="F462" t="inlineStr">
        <is>
          <t>DALARNAS LÄN</t>
        </is>
      </c>
      <c r="G462" t="inlineStr">
        <is>
          <t>ORSA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61277-2023</t>
        </is>
      </c>
      <c r="B463" t="inlineStr">
        <is>
          <t>avverkningsanmälan</t>
        </is>
      </c>
      <c r="C463" t="inlineStr">
        <is>
          <t>Föryngringsavverkning</t>
        </is>
      </c>
      <c r="D463" s="1" t="n">
        <v>45264</v>
      </c>
      <c r="E463" s="1" t="n">
        <v>46230</v>
      </c>
      <c r="F463" t="inlineStr">
        <is>
          <t>DALARNAS LÄN</t>
        </is>
      </c>
      <c r="G463" t="inlineStr">
        <is>
          <t>ORSA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23940-2026</t>
        </is>
      </c>
      <c r="B464" t="inlineStr">
        <is>
          <t>avverkningsanmälan</t>
        </is>
      </c>
      <c r="C464" t="inlineStr">
        <is>
          <t>Föryngringsavverkning</t>
        </is>
      </c>
      <c r="D464" s="1" t="n">
        <v>46167</v>
      </c>
      <c r="E464" s="1" t="n">
        <v>46230</v>
      </c>
      <c r="F464" t="inlineStr">
        <is>
          <t>DALARNAS LÄN</t>
        </is>
      </c>
      <c r="G464" t="inlineStr">
        <is>
          <t>ORSA</t>
        </is>
      </c>
      <c r="H464" t="inlineStr">
        <is>
          <t>Bergvik skog öst AB</t>
        </is>
      </c>
      <c r="I464" t="n">
        <v>12.8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16900-2026</t>
        </is>
      </c>
      <c r="B465" t="inlineStr">
        <is>
          <t>avverkningsanmälan</t>
        </is>
      </c>
      <c r="C465" t="inlineStr">
        <is>
          <t>Föryngringsavverkning</t>
        </is>
      </c>
      <c r="D465" s="1" t="n">
        <v>46113</v>
      </c>
      <c r="E465" s="1" t="n">
        <v>46230</v>
      </c>
      <c r="F465" t="inlineStr">
        <is>
          <t>DALARNAS LÄN</t>
        </is>
      </c>
      <c r="G465" t="inlineStr">
        <is>
          <t>ORSA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33945-2022</t>
        </is>
      </c>
      <c r="B466" t="inlineStr">
        <is>
          <t>avverkningsanmälan</t>
        </is>
      </c>
      <c r="C466" t="inlineStr">
        <is>
          <t>Föryngringsavverkning</t>
        </is>
      </c>
      <c r="D466" s="1" t="n">
        <v>44790</v>
      </c>
      <c r="E466" s="1" t="n">
        <v>46230</v>
      </c>
      <c r="F466" t="inlineStr">
        <is>
          <t>DALARNAS LÄN</t>
        </is>
      </c>
      <c r="G466" t="inlineStr">
        <is>
          <t>ORSA</t>
        </is>
      </c>
      <c r="H466" t="inlineStr">
        <is>
          <t>Bergvik skog öst AB</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22039-2026</t>
        </is>
      </c>
      <c r="B467" t="inlineStr">
        <is>
          <t>avverkningsanmälan</t>
        </is>
      </c>
      <c r="C467" t="inlineStr">
        <is>
          <t>Föryngringsavverkning</t>
        </is>
      </c>
      <c r="D467" s="1" t="n">
        <v>46153</v>
      </c>
      <c r="E467" s="1" t="n">
        <v>46230</v>
      </c>
      <c r="F467" t="inlineStr">
        <is>
          <t>DALARNAS LÄN</t>
        </is>
      </c>
      <c r="G467" t="inlineStr">
        <is>
          <t>ORSA</t>
        </is>
      </c>
      <c r="H467" t="inlineStr">
        <is>
          <t>Bergvik skog öst AB</t>
        </is>
      </c>
      <c r="I467" t="n">
        <v>13.1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16302-2026</t>
        </is>
      </c>
      <c r="B468" t="inlineStr">
        <is>
          <t>avverkningsanmälan</t>
        </is>
      </c>
      <c r="C468" t="inlineStr">
        <is>
          <t>Föryngringsavverkning</t>
        </is>
      </c>
      <c r="D468" s="1" t="n">
        <v>46111</v>
      </c>
      <c r="E468" s="1" t="n">
        <v>46230</v>
      </c>
      <c r="F468" t="inlineStr">
        <is>
          <t>DALARNAS LÄN</t>
        </is>
      </c>
      <c r="G468" t="inlineStr">
        <is>
          <t>ORSA</t>
        </is>
      </c>
      <c r="H468" t="inlineStr">
        <is>
          <t>Bergvik skog öst AB</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25576-2026</t>
        </is>
      </c>
      <c r="B469" t="inlineStr">
        <is>
          <t>avverkningsanmälan</t>
        </is>
      </c>
      <c r="C469" t="inlineStr">
        <is>
          <t>Föryngringsavverkning</t>
        </is>
      </c>
      <c r="D469" s="1" t="n">
        <v>46177</v>
      </c>
      <c r="E469" s="1" t="n">
        <v>46230</v>
      </c>
      <c r="F469" t="inlineStr">
        <is>
          <t>DALARNAS LÄN</t>
        </is>
      </c>
      <c r="G469" t="inlineStr">
        <is>
          <t>ORSA</t>
        </is>
      </c>
      <c r="H469" t="inlineStr">
        <is>
          <t>Bergvik skog öst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18013-2026</t>
        </is>
      </c>
      <c r="B470" t="inlineStr">
        <is>
          <t>avverkningsanmälan</t>
        </is>
      </c>
      <c r="C470" t="inlineStr">
        <is>
          <t>Föryngringsavverkning</t>
        </is>
      </c>
      <c r="D470" s="1" t="n">
        <v>46125</v>
      </c>
      <c r="E470" s="1" t="n">
        <v>46230</v>
      </c>
      <c r="F470" t="inlineStr">
        <is>
          <t>DALARNAS LÄN</t>
        </is>
      </c>
      <c r="G470" t="inlineStr">
        <is>
          <t>ORSA</t>
        </is>
      </c>
      <c r="H470" t="inlineStr">
        <is>
          <t>Allmännings- och besparingsskogar</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18348-2026</t>
        </is>
      </c>
      <c r="B471" t="inlineStr">
        <is>
          <t>avverkningsanmälan</t>
        </is>
      </c>
      <c r="C471" t="inlineStr">
        <is>
          <t>Föryngringsavverkning</t>
        </is>
      </c>
      <c r="D471" s="1" t="n">
        <v>46126</v>
      </c>
      <c r="E471" s="1" t="n">
        <v>46230</v>
      </c>
      <c r="F471" t="inlineStr">
        <is>
          <t>DALARNAS LÄN</t>
        </is>
      </c>
      <c r="G471" t="inlineStr">
        <is>
          <t>ORSA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25712-2026</t>
        </is>
      </c>
      <c r="B472" t="inlineStr">
        <is>
          <t>avverkningsanmälan</t>
        </is>
      </c>
      <c r="C472" t="inlineStr">
        <is>
          <t>Avverkning för annat ändamål</t>
        </is>
      </c>
      <c r="D472" s="1" t="n">
        <v>46178</v>
      </c>
      <c r="E472" s="1" t="n">
        <v>46230</v>
      </c>
      <c r="F472" t="inlineStr">
        <is>
          <t>DALARNAS LÄN</t>
        </is>
      </c>
      <c r="G472" t="inlineStr">
        <is>
          <t>ORSA</t>
        </is>
      </c>
      <c r="H472" t="inlineStr">
        <is>
          <t>Allmännings- och besparingsskogar</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16224-2026</t>
        </is>
      </c>
      <c r="B473" t="inlineStr">
        <is>
          <t>avverkningsanmälan</t>
        </is>
      </c>
      <c r="C473" t="inlineStr">
        <is>
          <t>Föryngringsavverkning</t>
        </is>
      </c>
      <c r="D473" s="1" t="n">
        <v>46111</v>
      </c>
      <c r="E473" s="1" t="n">
        <v>46230</v>
      </c>
      <c r="F473" t="inlineStr">
        <is>
          <t>DALARNAS LÄN</t>
        </is>
      </c>
      <c r="G473" t="inlineStr">
        <is>
          <t>ORSA</t>
        </is>
      </c>
      <c r="H473" t="inlineStr">
        <is>
          <t>Bergvik skog öst AB</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16285-2026</t>
        </is>
      </c>
      <c r="B474" t="inlineStr">
        <is>
          <t>avverkningsanmälan</t>
        </is>
      </c>
      <c r="C474" t="inlineStr">
        <is>
          <t>Föryngringsavverkning</t>
        </is>
      </c>
      <c r="D474" s="1" t="n">
        <v>46111</v>
      </c>
      <c r="E474" s="1" t="n">
        <v>46230</v>
      </c>
      <c r="F474" t="inlineStr">
        <is>
          <t>DALARNAS LÄN</t>
        </is>
      </c>
      <c r="G474" t="inlineStr">
        <is>
          <t>ORSA</t>
        </is>
      </c>
      <c r="H474" t="inlineStr">
        <is>
          <t>Bergvik skog öst AB</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18694-2026</t>
        </is>
      </c>
      <c r="B475" t="inlineStr">
        <is>
          <t>avverkningsanmälan</t>
        </is>
      </c>
      <c r="C475" t="inlineStr">
        <is>
          <t>Föryngringsavverkning</t>
        </is>
      </c>
      <c r="D475" s="1" t="n">
        <v>46128</v>
      </c>
      <c r="E475" s="1" t="n">
        <v>46230</v>
      </c>
      <c r="F475" t="inlineStr">
        <is>
          <t>DALARNAS LÄN</t>
        </is>
      </c>
      <c r="G475" t="inlineStr">
        <is>
          <t>ORSA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16220-2026</t>
        </is>
      </c>
      <c r="B476" t="inlineStr">
        <is>
          <t>avverkningsanmälan</t>
        </is>
      </c>
      <c r="C476" t="inlineStr">
        <is>
          <t>Föryngringsavverkning</t>
        </is>
      </c>
      <c r="D476" s="1" t="n">
        <v>46111</v>
      </c>
      <c r="E476" s="1" t="n">
        <v>46230</v>
      </c>
      <c r="F476" t="inlineStr">
        <is>
          <t>DALARNAS LÄN</t>
        </is>
      </c>
      <c r="G476" t="inlineStr">
        <is>
          <t>ORSA</t>
        </is>
      </c>
      <c r="H476" t="inlineStr">
        <is>
          <t>Bergvik skog öst AB</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19024-2026</t>
        </is>
      </c>
      <c r="B477" t="inlineStr">
        <is>
          <t>avverkningsanmälan</t>
        </is>
      </c>
      <c r="C477" t="inlineStr">
        <is>
          <t>Avverkning för annat ändamål</t>
        </is>
      </c>
      <c r="D477" s="1" t="n">
        <v>46131</v>
      </c>
      <c r="E477" s="1" t="n">
        <v>46230</v>
      </c>
      <c r="F477" t="inlineStr">
        <is>
          <t>DALARNAS LÄN</t>
        </is>
      </c>
      <c r="G477" t="inlineStr">
        <is>
          <t>ORSA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19089-2026</t>
        </is>
      </c>
      <c r="B478" t="inlineStr">
        <is>
          <t>avverkningsanmälan</t>
        </is>
      </c>
      <c r="C478" t="inlineStr">
        <is>
          <t>Föryngringsavverkning</t>
        </is>
      </c>
      <c r="D478" s="1" t="n">
        <v>46132</v>
      </c>
      <c r="E478" s="1" t="n">
        <v>46230</v>
      </c>
      <c r="F478" t="inlineStr">
        <is>
          <t>DALARNAS LÄN</t>
        </is>
      </c>
      <c r="G478" t="inlineStr">
        <is>
          <t>ORSA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8526-2026</t>
        </is>
      </c>
      <c r="B479" t="inlineStr">
        <is>
          <t>avverkningsanmälan</t>
        </is>
      </c>
      <c r="C479" t="inlineStr">
        <is>
          <t>Föryngringsavverkning</t>
        </is>
      </c>
      <c r="D479" s="1" t="n">
        <v>46065</v>
      </c>
      <c r="E479" s="1" t="n">
        <v>46230</v>
      </c>
      <c r="F479" t="inlineStr">
        <is>
          <t>DALARNAS LÄN</t>
        </is>
      </c>
      <c r="G479" t="inlineStr">
        <is>
          <t>ORSA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14814-2026</t>
        </is>
      </c>
      <c r="B480" t="inlineStr">
        <is>
          <t>avverkningsanmälan</t>
        </is>
      </c>
      <c r="C480" t="inlineStr">
        <is>
          <t>Föryngringsavverkning</t>
        </is>
      </c>
      <c r="D480" s="1" t="n">
        <v>46104</v>
      </c>
      <c r="E480" s="1" t="n">
        <v>46230</v>
      </c>
      <c r="F480" t="inlineStr">
        <is>
          <t>DALARNAS LÄN</t>
        </is>
      </c>
      <c r="G480" t="inlineStr">
        <is>
          <t>ORSA</t>
        </is>
      </c>
      <c r="I480" t="n">
        <v>14.2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31590-2026</t>
        </is>
      </c>
      <c r="B481" t="inlineStr">
        <is>
          <t>avverkningsanmälan</t>
        </is>
      </c>
      <c r="C481" t="inlineStr">
        <is>
          <t>Föryngringsavverkning</t>
        </is>
      </c>
      <c r="D481" s="1" t="n">
        <v>46224</v>
      </c>
      <c r="E481" s="1" t="n">
        <v>46230</v>
      </c>
      <c r="F481" t="inlineStr">
        <is>
          <t>DALARNAS LÄN</t>
        </is>
      </c>
      <c r="G481" t="inlineStr">
        <is>
          <t>ORSA</t>
        </is>
      </c>
      <c r="H481" t="inlineStr">
        <is>
          <t>Bergvik skog öst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19026-2026</t>
        </is>
      </c>
      <c r="B482" t="inlineStr">
        <is>
          <t>avverkningsanmälan</t>
        </is>
      </c>
      <c r="C482" t="inlineStr">
        <is>
          <t>Avverkning för annat ändamål</t>
        </is>
      </c>
      <c r="D482" s="1" t="n">
        <v>46131</v>
      </c>
      <c r="E482" s="1" t="n">
        <v>46230</v>
      </c>
      <c r="F482" t="inlineStr">
        <is>
          <t>DALARNAS LÄN</t>
        </is>
      </c>
      <c r="G482" t="inlineStr">
        <is>
          <t>ORSA</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26201-2026</t>
        </is>
      </c>
      <c r="B483" t="inlineStr">
        <is>
          <t>avverkningsanmälan</t>
        </is>
      </c>
      <c r="C483" t="inlineStr">
        <is>
          <t>Föryngringsavverkning</t>
        </is>
      </c>
      <c r="D483" s="1" t="n">
        <v>46182</v>
      </c>
      <c r="E483" s="1" t="n">
        <v>46230</v>
      </c>
      <c r="F483" t="inlineStr">
        <is>
          <t>DALARNAS LÄN</t>
        </is>
      </c>
      <c r="G483" t="inlineStr">
        <is>
          <t>ORSA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19891-2026</t>
        </is>
      </c>
      <c r="B484" t="inlineStr">
        <is>
          <t>avverkningsanmälan</t>
        </is>
      </c>
      <c r="C484" t="inlineStr">
        <is>
          <t>Föryngringsavverkning</t>
        </is>
      </c>
      <c r="D484" s="1" t="n">
        <v>46135</v>
      </c>
      <c r="E484" s="1" t="n">
        <v>46230</v>
      </c>
      <c r="F484" t="inlineStr">
        <is>
          <t>DALARNAS LÄN</t>
        </is>
      </c>
      <c r="G484" t="inlineStr">
        <is>
          <t>ORSA</t>
        </is>
      </c>
      <c r="H484" t="inlineStr">
        <is>
          <t>Bergvik skog öst AB</t>
        </is>
      </c>
      <c r="I484" t="n">
        <v>10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31601-2026</t>
        </is>
      </c>
      <c r="B485" t="inlineStr">
        <is>
          <t>avverkningsanmälan</t>
        </is>
      </c>
      <c r="C485" t="inlineStr">
        <is>
          <t>Föryngringsavverkning</t>
        </is>
      </c>
      <c r="D485" s="1" t="n">
        <v>46224</v>
      </c>
      <c r="E485" s="1" t="n">
        <v>46230</v>
      </c>
      <c r="F485" t="inlineStr">
        <is>
          <t>DALARNAS LÄN</t>
        </is>
      </c>
      <c r="G485" t="inlineStr">
        <is>
          <t>ORSA</t>
        </is>
      </c>
      <c r="H485" t="inlineStr">
        <is>
          <t>Bergvik skog öst AB</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21216-2023</t>
        </is>
      </c>
      <c r="B486" t="inlineStr">
        <is>
          <t>avverkningsanmälan</t>
        </is>
      </c>
      <c r="C486" t="inlineStr">
        <is>
          <t>Föryngringsavverkning</t>
        </is>
      </c>
      <c r="D486" s="1" t="n">
        <v>45062</v>
      </c>
      <c r="E486" s="1" t="n">
        <v>46230</v>
      </c>
      <c r="F486" t="inlineStr">
        <is>
          <t>DALARNAS LÄN</t>
        </is>
      </c>
      <c r="G486" t="inlineStr">
        <is>
          <t>ORSA</t>
        </is>
      </c>
      <c r="H486" t="inlineStr">
        <is>
          <t>Bergvik skog öst AB</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31702-2026</t>
        </is>
      </c>
      <c r="B487" t="inlineStr">
        <is>
          <t>avverkningsanmälan</t>
        </is>
      </c>
      <c r="C487" t="inlineStr">
        <is>
          <t>Föryngringsavverkning</t>
        </is>
      </c>
      <c r="D487" s="1" t="n">
        <v>46226</v>
      </c>
      <c r="E487" s="1" t="n">
        <v>46230</v>
      </c>
      <c r="F487" t="inlineStr">
        <is>
          <t>DALARNAS LÄN</t>
        </is>
      </c>
      <c r="G487" t="inlineStr">
        <is>
          <t>ORSA</t>
        </is>
      </c>
      <c r="H487" t="inlineStr">
        <is>
          <t>Bergvik skog öst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31747-2026</t>
        </is>
      </c>
      <c r="B488" t="inlineStr">
        <is>
          <t>avverkningsanmälan</t>
        </is>
      </c>
      <c r="C488" t="inlineStr">
        <is>
          <t>Föryngringsavverkning</t>
        </is>
      </c>
      <c r="D488" s="1" t="n">
        <v>46227</v>
      </c>
      <c r="E488" s="1" t="n">
        <v>46230</v>
      </c>
      <c r="F488" t="inlineStr">
        <is>
          <t>DALARNAS LÄN</t>
        </is>
      </c>
      <c r="G488" t="inlineStr">
        <is>
          <t>ORSA</t>
        </is>
      </c>
      <c r="H488" t="inlineStr">
        <is>
          <t>Allmännings- och besparingsskogar</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30382-2023</t>
        </is>
      </c>
      <c r="B489" t="inlineStr">
        <is>
          <t>avverkningsanmälan</t>
        </is>
      </c>
      <c r="C489" t="inlineStr">
        <is>
          <t>Föryngringsavverkning</t>
        </is>
      </c>
      <c r="D489" s="1" t="n">
        <v>45111</v>
      </c>
      <c r="E489" s="1" t="n">
        <v>46230</v>
      </c>
      <c r="F489" t="inlineStr">
        <is>
          <t>DALARNAS LÄN</t>
        </is>
      </c>
      <c r="G489" t="inlineStr">
        <is>
          <t>ORSA</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37852-2024</t>
        </is>
      </c>
      <c r="B490" t="inlineStr">
        <is>
          <t>avverkningsanmälan</t>
        </is>
      </c>
      <c r="C490" t="inlineStr">
        <is>
          <t>Föryngringsavverkning</t>
        </is>
      </c>
      <c r="D490" s="1" t="n">
        <v>45544</v>
      </c>
      <c r="E490" s="1" t="n">
        <v>46230</v>
      </c>
      <c r="F490" t="inlineStr">
        <is>
          <t>DALARNAS LÄN</t>
        </is>
      </c>
      <c r="G490" t="inlineStr">
        <is>
          <t>ORSA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53717-2024</t>
        </is>
      </c>
      <c r="B491" t="inlineStr">
        <is>
          <t>avverkningsanmälan</t>
        </is>
      </c>
      <c r="C491" t="inlineStr">
        <is>
          <t>Föryngringsavverkning</t>
        </is>
      </c>
      <c r="D491" s="1" t="n">
        <v>45615</v>
      </c>
      <c r="E491" s="1" t="n">
        <v>46230</v>
      </c>
      <c r="F491" t="inlineStr">
        <is>
          <t>DALARNAS LÄN</t>
        </is>
      </c>
      <c r="G491" t="inlineStr">
        <is>
          <t>ORSA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31688-2024</t>
        </is>
      </c>
      <c r="B492" t="inlineStr">
        <is>
          <t>avverkningsanmälan</t>
        </is>
      </c>
      <c r="C492" t="inlineStr">
        <is>
          <t>Föryngringsavverkning</t>
        </is>
      </c>
      <c r="D492" s="1" t="n">
        <v>45507</v>
      </c>
      <c r="E492" s="1" t="n">
        <v>46230</v>
      </c>
      <c r="F492" t="inlineStr">
        <is>
          <t>DALARNAS LÄN</t>
        </is>
      </c>
      <c r="G492" t="inlineStr">
        <is>
          <t>ORSA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56706-2021</t>
        </is>
      </c>
      <c r="B493" t="inlineStr">
        <is>
          <t>avverkningsanmälan</t>
        </is>
      </c>
      <c r="C493" t="inlineStr">
        <is>
          <t>Föryngringsavverkning</t>
        </is>
      </c>
      <c r="D493" s="1" t="n">
        <v>44481</v>
      </c>
      <c r="E493" s="1" t="n">
        <v>46230</v>
      </c>
      <c r="F493" t="inlineStr">
        <is>
          <t>DALARNAS LÄN</t>
        </is>
      </c>
      <c r="G493" t="inlineStr">
        <is>
          <t>ORSA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50999-2021</t>
        </is>
      </c>
      <c r="B494" t="inlineStr">
        <is>
          <t>avverkningsanmälan</t>
        </is>
      </c>
      <c r="C494" t="inlineStr">
        <is>
          <t>Föryngringsavverkning</t>
        </is>
      </c>
      <c r="D494" s="1" t="n">
        <v>44460</v>
      </c>
      <c r="E494" s="1" t="n">
        <v>46230</v>
      </c>
      <c r="F494" t="inlineStr">
        <is>
          <t>DALARNAS LÄN</t>
        </is>
      </c>
      <c r="G494" t="inlineStr">
        <is>
          <t>ORSA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28082-2023</t>
        </is>
      </c>
      <c r="B495" t="inlineStr">
        <is>
          <t>avverkningsanmälan</t>
        </is>
      </c>
      <c r="C495" t="inlineStr">
        <is>
          <t>Avverkning för annat ändamål</t>
        </is>
      </c>
      <c r="D495" s="1" t="n">
        <v>45099</v>
      </c>
      <c r="E495" s="1" t="n">
        <v>46230</v>
      </c>
      <c r="F495" t="inlineStr">
        <is>
          <t>DALARNAS LÄN</t>
        </is>
      </c>
      <c r="G495" t="inlineStr">
        <is>
          <t>ORSA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51567-2023</t>
        </is>
      </c>
      <c r="B496" t="inlineStr">
        <is>
          <t>avverkningsanmälan</t>
        </is>
      </c>
      <c r="C496" t="inlineStr">
        <is>
          <t>Föryngringsavverkning</t>
        </is>
      </c>
      <c r="D496" s="1" t="n">
        <v>45222</v>
      </c>
      <c r="E496" s="1" t="n">
        <v>46230</v>
      </c>
      <c r="F496" t="inlineStr">
        <is>
          <t>DALARNAS LÄN</t>
        </is>
      </c>
      <c r="G496" t="inlineStr">
        <is>
          <t>ORSA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29485-2022</t>
        </is>
      </c>
      <c r="B497" t="inlineStr">
        <is>
          <t>avverkningsanmälan</t>
        </is>
      </c>
      <c r="C497" t="inlineStr">
        <is>
          <t>Föryngringsavverkning</t>
        </is>
      </c>
      <c r="D497" s="1" t="n">
        <v>44753</v>
      </c>
      <c r="E497" s="1" t="n">
        <v>46230</v>
      </c>
      <c r="F497" t="inlineStr">
        <is>
          <t>DALARNAS LÄN</t>
        </is>
      </c>
      <c r="G497" t="inlineStr">
        <is>
          <t>ORSA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23461-2023</t>
        </is>
      </c>
      <c r="B498" t="inlineStr">
        <is>
          <t>avverkningsanmälan</t>
        </is>
      </c>
      <c r="C498" t="inlineStr">
        <is>
          <t>Föryngringsavverkning</t>
        </is>
      </c>
      <c r="D498" s="1" t="n">
        <v>45076</v>
      </c>
      <c r="E498" s="1" t="n">
        <v>46230</v>
      </c>
      <c r="F498" t="inlineStr">
        <is>
          <t>DALARNAS LÄN</t>
        </is>
      </c>
      <c r="G498" t="inlineStr">
        <is>
          <t>ORSA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37836-2024</t>
        </is>
      </c>
      <c r="B499" t="inlineStr">
        <is>
          <t>avverkningsanmälan</t>
        </is>
      </c>
      <c r="C499" t="inlineStr">
        <is>
          <t>Föryngringsavverkning</t>
        </is>
      </c>
      <c r="D499" s="1" t="n">
        <v>45544</v>
      </c>
      <c r="E499" s="1" t="n">
        <v>46230</v>
      </c>
      <c r="F499" t="inlineStr">
        <is>
          <t>DALARNAS LÄN</t>
        </is>
      </c>
      <c r="G499" t="inlineStr">
        <is>
          <t>ORSA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34374-2024</t>
        </is>
      </c>
      <c r="B500" t="inlineStr">
        <is>
          <t>avverkningsanmälan</t>
        </is>
      </c>
      <c r="C500" t="inlineStr">
        <is>
          <t>Föryngringsavverkning</t>
        </is>
      </c>
      <c r="D500" s="1" t="n">
        <v>45525</v>
      </c>
      <c r="E500" s="1" t="n">
        <v>46230</v>
      </c>
      <c r="F500" t="inlineStr">
        <is>
          <t>DALARNAS LÄN</t>
        </is>
      </c>
      <c r="G500" t="inlineStr">
        <is>
          <t>ORSA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54546-2024</t>
        </is>
      </c>
      <c r="B501" t="inlineStr">
        <is>
          <t>avverkningsanmälan</t>
        </is>
      </c>
      <c r="C501" t="inlineStr">
        <is>
          <t>Föryngringsavverkning</t>
        </is>
      </c>
      <c r="D501" s="1" t="n">
        <v>45617</v>
      </c>
      <c r="E501" s="1" t="n">
        <v>46230</v>
      </c>
      <c r="F501" t="inlineStr">
        <is>
          <t>DALARNAS LÄN</t>
        </is>
      </c>
      <c r="G501" t="inlineStr">
        <is>
          <t>ORSA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55534-2023</t>
        </is>
      </c>
      <c r="B502" t="inlineStr">
        <is>
          <t>avverkningsanmälan</t>
        </is>
      </c>
      <c r="C502" t="inlineStr">
        <is>
          <t>Föryngringsavverkning</t>
        </is>
      </c>
      <c r="D502" s="1" t="n">
        <v>45238</v>
      </c>
      <c r="E502" s="1" t="n">
        <v>46230</v>
      </c>
      <c r="F502" t="inlineStr">
        <is>
          <t>DALARNAS LÄN</t>
        </is>
      </c>
      <c r="G502" t="inlineStr">
        <is>
          <t>ORSA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10261-2022</t>
        </is>
      </c>
      <c r="B503" t="inlineStr">
        <is>
          <t>avverkningsanmälan</t>
        </is>
      </c>
      <c r="C503" t="inlineStr">
        <is>
          <t>Föryngringsavverkning</t>
        </is>
      </c>
      <c r="D503" s="1" t="n">
        <v>44622</v>
      </c>
      <c r="E503" s="1" t="n">
        <v>46230</v>
      </c>
      <c r="F503" t="inlineStr">
        <is>
          <t>DALARNAS LÄN</t>
        </is>
      </c>
      <c r="G503" t="inlineStr">
        <is>
          <t>ORSA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55338-2022</t>
        </is>
      </c>
      <c r="B504" t="inlineStr">
        <is>
          <t>avverkningsanmälan</t>
        </is>
      </c>
      <c r="C504" t="inlineStr">
        <is>
          <t>Föryngringsavverkning</t>
        </is>
      </c>
      <c r="D504" s="1" t="n">
        <v>44887</v>
      </c>
      <c r="E504" s="1" t="n">
        <v>46230</v>
      </c>
      <c r="F504" t="inlineStr">
        <is>
          <t>DALARNAS LÄN</t>
        </is>
      </c>
      <c r="G504" t="inlineStr">
        <is>
          <t>ORSA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49814-2023</t>
        </is>
      </c>
      <c r="B505" t="inlineStr">
        <is>
          <t>avverkningsanmälan</t>
        </is>
      </c>
      <c r="C505" t="inlineStr">
        <is>
          <t>Föryngringsavverkning</t>
        </is>
      </c>
      <c r="D505" s="1" t="n">
        <v>45212</v>
      </c>
      <c r="E505" s="1" t="n">
        <v>46230</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25591-2022</t>
        </is>
      </c>
      <c r="B506" t="inlineStr">
        <is>
          <t>avverkningsanmälan</t>
        </is>
      </c>
      <c r="C506" t="inlineStr">
        <is>
          <t>Föryngringsavverkning</t>
        </is>
      </c>
      <c r="D506" s="1" t="n">
        <v>44732</v>
      </c>
      <c r="E506" s="1" t="n">
        <v>46230</v>
      </c>
      <c r="F506" t="inlineStr">
        <is>
          <t>DALARNAS LÄN</t>
        </is>
      </c>
      <c r="G506" t="inlineStr">
        <is>
          <t>ORSA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60189-2022</t>
        </is>
      </c>
      <c r="B507" t="inlineStr">
        <is>
          <t>avverkningsanmälan</t>
        </is>
      </c>
      <c r="C507" t="inlineStr">
        <is>
          <t>Föryngringsavverkning</t>
        </is>
      </c>
      <c r="D507" s="1" t="n">
        <v>44910</v>
      </c>
      <c r="E507" s="1" t="n">
        <v>46230</v>
      </c>
      <c r="F507" t="inlineStr">
        <is>
          <t>DALARNAS LÄN</t>
        </is>
      </c>
      <c r="G507" t="inlineStr">
        <is>
          <t>ORSA</t>
        </is>
      </c>
      <c r="H507" t="inlineStr">
        <is>
          <t>Bergvik skog öst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52925-2024</t>
        </is>
      </c>
      <c r="B508" t="inlineStr">
        <is>
          <t>avverkningsanmälan</t>
        </is>
      </c>
      <c r="C508" t="inlineStr">
        <is>
          <t>Föryngringsavverkning</t>
        </is>
      </c>
      <c r="D508" s="1" t="n">
        <v>45610</v>
      </c>
      <c r="E508" s="1" t="n">
        <v>46230</v>
      </c>
      <c r="F508" t="inlineStr">
        <is>
          <t>DALARNAS LÄN</t>
        </is>
      </c>
      <c r="G508" t="inlineStr">
        <is>
          <t>ORSA</t>
        </is>
      </c>
      <c r="H508" t="inlineStr">
        <is>
          <t>Allmännings- och besparingsskogar</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6476-2025</t>
        </is>
      </c>
      <c r="B509" t="inlineStr">
        <is>
          <t>avverkningsanmälan</t>
        </is>
      </c>
      <c r="C509" t="inlineStr">
        <is>
          <t>Föryngringsavverkning</t>
        </is>
      </c>
      <c r="D509" s="1" t="n">
        <v>45699</v>
      </c>
      <c r="E509" s="1" t="n">
        <v>46230</v>
      </c>
      <c r="F509" t="inlineStr">
        <is>
          <t>DALARNAS LÄN</t>
        </is>
      </c>
      <c r="G509" t="inlineStr">
        <is>
          <t>ORSA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6479-2025</t>
        </is>
      </c>
      <c r="B510" t="inlineStr">
        <is>
          <t>avverkningsanmälan</t>
        </is>
      </c>
      <c r="C510" t="inlineStr">
        <is>
          <t>Föryngringsavverkning</t>
        </is>
      </c>
      <c r="D510" s="1" t="n">
        <v>45699</v>
      </c>
      <c r="E510" s="1" t="n">
        <v>46230</v>
      </c>
      <c r="F510" t="inlineStr">
        <is>
          <t>DALARNAS LÄN</t>
        </is>
      </c>
      <c r="G510" t="inlineStr">
        <is>
          <t>ORSA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52643-2024</t>
        </is>
      </c>
      <c r="B511" t="inlineStr">
        <is>
          <t>avverkningsanmälan</t>
        </is>
      </c>
      <c r="C511" t="inlineStr">
        <is>
          <t>Föryngringsavverkning</t>
        </is>
      </c>
      <c r="D511" s="1" t="n">
        <v>45610</v>
      </c>
      <c r="E511" s="1" t="n">
        <v>46230</v>
      </c>
      <c r="F511" t="inlineStr">
        <is>
          <t>DALARNAS LÄN</t>
        </is>
      </c>
      <c r="G511" t="inlineStr">
        <is>
          <t>ORSA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47732-2021</t>
        </is>
      </c>
      <c r="B512" t="inlineStr">
        <is>
          <t>avverkningsanmälan</t>
        </is>
      </c>
      <c r="C512" t="inlineStr">
        <is>
          <t>Föryngringsavverkning</t>
        </is>
      </c>
      <c r="D512" s="1" t="n">
        <v>44448</v>
      </c>
      <c r="E512" s="1" t="n">
        <v>46230</v>
      </c>
      <c r="F512" t="inlineStr">
        <is>
          <t>DALARNAS LÄN</t>
        </is>
      </c>
      <c r="G512" t="inlineStr">
        <is>
          <t>ORSA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40101-2024</t>
        </is>
      </c>
      <c r="B513" t="inlineStr">
        <is>
          <t>avverkningsanmälan</t>
        </is>
      </c>
      <c r="C513" t="inlineStr">
        <is>
          <t>Föryngringsavverkning</t>
        </is>
      </c>
      <c r="D513" s="1" t="n">
        <v>45554</v>
      </c>
      <c r="E513" s="1" t="n">
        <v>46230</v>
      </c>
      <c r="F513" t="inlineStr">
        <is>
          <t>DALARNAS LÄN</t>
        </is>
      </c>
      <c r="G513" t="inlineStr">
        <is>
          <t>ORSA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17503-2025</t>
        </is>
      </c>
      <c r="B514" t="inlineStr">
        <is>
          <t>avverkningsanmälan</t>
        </is>
      </c>
      <c r="C514" t="inlineStr">
        <is>
          <t>Föryngringsavverkning</t>
        </is>
      </c>
      <c r="D514" s="1" t="n">
        <v>45757</v>
      </c>
      <c r="E514" s="1" t="n">
        <v>46230</v>
      </c>
      <c r="F514" t="inlineStr">
        <is>
          <t>DALARNAS LÄN</t>
        </is>
      </c>
      <c r="G514" t="inlineStr">
        <is>
          <t>ORSA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37830-2024</t>
        </is>
      </c>
      <c r="B515" t="inlineStr">
        <is>
          <t>avverkningsanmälan</t>
        </is>
      </c>
      <c r="C515" t="inlineStr">
        <is>
          <t>Föryngringsavverkning</t>
        </is>
      </c>
      <c r="D515" s="1" t="n">
        <v>45544</v>
      </c>
      <c r="E515" s="1" t="n">
        <v>46230</v>
      </c>
      <c r="F515" t="inlineStr">
        <is>
          <t>DALARNAS LÄN</t>
        </is>
      </c>
      <c r="G515" t="inlineStr">
        <is>
          <t>ORSA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21905-2022</t>
        </is>
      </c>
      <c r="B516" t="inlineStr">
        <is>
          <t>avverkningsanmälan</t>
        </is>
      </c>
      <c r="C516" t="inlineStr">
        <is>
          <t>Föryngringsavverkning</t>
        </is>
      </c>
      <c r="D516" s="1" t="n">
        <v>44711</v>
      </c>
      <c r="E516" s="1" t="n">
        <v>46230</v>
      </c>
      <c r="F516" t="inlineStr">
        <is>
          <t>DALARNAS LÄN</t>
        </is>
      </c>
      <c r="G516" t="inlineStr">
        <is>
          <t>ORSA</t>
        </is>
      </c>
      <c r="H516" t="inlineStr">
        <is>
          <t>Allmännings- och besparingsskogar</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48521-2024</t>
        </is>
      </c>
      <c r="B517" t="inlineStr">
        <is>
          <t>avverkningsanmälan</t>
        </is>
      </c>
      <c r="C517" t="inlineStr">
        <is>
          <t>Föryngringsavverkning</t>
        </is>
      </c>
      <c r="D517" s="1" t="n">
        <v>45593</v>
      </c>
      <c r="E517" s="1" t="n">
        <v>46230</v>
      </c>
      <c r="F517" t="inlineStr">
        <is>
          <t>DALARNAS LÄN</t>
        </is>
      </c>
      <c r="G517" t="inlineStr">
        <is>
          <t>ORSA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41832-2024</t>
        </is>
      </c>
      <c r="B518" t="inlineStr">
        <is>
          <t>avverkningsanmälan</t>
        </is>
      </c>
      <c r="C518" t="inlineStr">
        <is>
          <t>Föryngringsavverkning</t>
        </is>
      </c>
      <c r="D518" s="1" t="n">
        <v>45561</v>
      </c>
      <c r="E518" s="1" t="n">
        <v>46230</v>
      </c>
      <c r="F518" t="inlineStr">
        <is>
          <t>DALARNAS LÄN</t>
        </is>
      </c>
      <c r="G518" t="inlineStr">
        <is>
          <t>ORSA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53758-2024</t>
        </is>
      </c>
      <c r="B519" t="inlineStr">
        <is>
          <t>avverkningsanmälan</t>
        </is>
      </c>
      <c r="C519" t="inlineStr">
        <is>
          <t>Föryngringsavverkning</t>
        </is>
      </c>
      <c r="D519" s="1" t="n">
        <v>45615</v>
      </c>
      <c r="E519" s="1" t="n">
        <v>46230</v>
      </c>
      <c r="F519" t="inlineStr">
        <is>
          <t>DALARNAS LÄN</t>
        </is>
      </c>
      <c r="G519" t="inlineStr">
        <is>
          <t>ORSA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27163-2023</t>
        </is>
      </c>
      <c r="B520" t="inlineStr">
        <is>
          <t>avverkningsanmälan</t>
        </is>
      </c>
      <c r="C520" t="inlineStr">
        <is>
          <t>Föryngringsavverkning</t>
        </is>
      </c>
      <c r="D520" s="1" t="n">
        <v>45096</v>
      </c>
      <c r="E520" s="1" t="n">
        <v>46230</v>
      </c>
      <c r="F520" t="inlineStr">
        <is>
          <t>DALARNAS LÄN</t>
        </is>
      </c>
      <c r="G520" t="inlineStr">
        <is>
          <t>ORSA</t>
        </is>
      </c>
      <c r="H520" t="inlineStr">
        <is>
          <t>Bergvik skog öst AB</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22022-2022</t>
        </is>
      </c>
      <c r="B521" t="inlineStr">
        <is>
          <t>avverkningsanmälan</t>
        </is>
      </c>
      <c r="C521" t="inlineStr">
        <is>
          <t>Föryngringsavverkning</t>
        </is>
      </c>
      <c r="D521" s="1" t="n">
        <v>44711</v>
      </c>
      <c r="E521" s="1" t="n">
        <v>46230</v>
      </c>
      <c r="F521" t="inlineStr">
        <is>
          <t>DALARNAS LÄN</t>
        </is>
      </c>
      <c r="G521" t="inlineStr">
        <is>
          <t>ORSA</t>
        </is>
      </c>
      <c r="H521" t="inlineStr">
        <is>
          <t>Bergvik skog öst AB</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56810-2024</t>
        </is>
      </c>
      <c r="B522" t="inlineStr">
        <is>
          <t>avverkningsanmälan</t>
        </is>
      </c>
      <c r="C522" t="inlineStr">
        <is>
          <t>Föryngringsavverkning</t>
        </is>
      </c>
      <c r="D522" s="1" t="n">
        <v>45628</v>
      </c>
      <c r="E522" s="1" t="n">
        <v>46230</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56811-2024</t>
        </is>
      </c>
      <c r="B523" t="inlineStr">
        <is>
          <t>avverkningsanmälan</t>
        </is>
      </c>
      <c r="C523" t="inlineStr">
        <is>
          <t>Föryngringsavverkning</t>
        </is>
      </c>
      <c r="D523" s="1" t="n">
        <v>45628</v>
      </c>
      <c r="E523" s="1" t="n">
        <v>46230</v>
      </c>
      <c r="F523" t="inlineStr">
        <is>
          <t>DALARNAS LÄN</t>
        </is>
      </c>
      <c r="G523" t="inlineStr">
        <is>
          <t>ORSA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56803-2024</t>
        </is>
      </c>
      <c r="B524" t="inlineStr">
        <is>
          <t>avverkningsanmälan</t>
        </is>
      </c>
      <c r="C524" t="inlineStr">
        <is>
          <t>Föryngringsavverkning</t>
        </is>
      </c>
      <c r="D524" s="1" t="n">
        <v>45628</v>
      </c>
      <c r="E524" s="1" t="n">
        <v>46230</v>
      </c>
      <c r="F524" t="inlineStr">
        <is>
          <t>DALARNAS LÄN</t>
        </is>
      </c>
      <c r="G524" t="inlineStr">
        <is>
          <t>ORSA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9836-2022</t>
        </is>
      </c>
      <c r="B525" t="inlineStr">
        <is>
          <t>avverkningsanmälan</t>
        </is>
      </c>
      <c r="C525" t="inlineStr">
        <is>
          <t>Föryngringsavverkning</t>
        </is>
      </c>
      <c r="D525" s="1" t="n">
        <v>44620</v>
      </c>
      <c r="E525" s="1" t="n">
        <v>46230</v>
      </c>
      <c r="F525" t="inlineStr">
        <is>
          <t>DALARNAS LÄN</t>
        </is>
      </c>
      <c r="G525" t="inlineStr">
        <is>
          <t>ORSA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890-2024</t>
        </is>
      </c>
      <c r="B526" t="inlineStr">
        <is>
          <t>avverkningsanmälan</t>
        </is>
      </c>
      <c r="C526" t="inlineStr">
        <is>
          <t>Föryngringsavverkning</t>
        </is>
      </c>
      <c r="D526" s="1" t="n">
        <v>45301</v>
      </c>
      <c r="E526" s="1" t="n">
        <v>46230</v>
      </c>
      <c r="F526" t="inlineStr">
        <is>
          <t>DALARNAS LÄN</t>
        </is>
      </c>
      <c r="G526" t="inlineStr">
        <is>
          <t>ORSA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21376-2025</t>
        </is>
      </c>
      <c r="B527" t="inlineStr">
        <is>
          <t>avverkningsanmälan</t>
        </is>
      </c>
      <c r="C527" t="inlineStr">
        <is>
          <t>Föryngringsavverkning</t>
        </is>
      </c>
      <c r="D527" s="1" t="n">
        <v>45782</v>
      </c>
      <c r="E527" s="1" t="n">
        <v>46230</v>
      </c>
      <c r="F527" t="inlineStr">
        <is>
          <t>DALARNAS LÄN</t>
        </is>
      </c>
      <c r="G527" t="inlineStr">
        <is>
          <t>ORSA</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10004-2023</t>
        </is>
      </c>
      <c r="B528" t="inlineStr">
        <is>
          <t>avverkningsanmälan</t>
        </is>
      </c>
      <c r="C528" t="inlineStr">
        <is>
          <t>Föryngringsavverkning</t>
        </is>
      </c>
      <c r="D528" s="1" t="n">
        <v>44985</v>
      </c>
      <c r="E528" s="1" t="n">
        <v>46230</v>
      </c>
      <c r="F528" t="inlineStr">
        <is>
          <t>DALARNAS LÄN</t>
        </is>
      </c>
      <c r="G528" t="inlineStr">
        <is>
          <t>ORSA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879-2024</t>
        </is>
      </c>
      <c r="B529" t="inlineStr">
        <is>
          <t>avverkningsanmälan</t>
        </is>
      </c>
      <c r="C529" t="inlineStr">
        <is>
          <t>Föryngringsavverkning</t>
        </is>
      </c>
      <c r="D529" s="1" t="n">
        <v>45301</v>
      </c>
      <c r="E529" s="1" t="n">
        <v>46230</v>
      </c>
      <c r="F529" t="inlineStr">
        <is>
          <t>DALARNAS LÄN</t>
        </is>
      </c>
      <c r="G529" t="inlineStr">
        <is>
          <t>ORSA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41835-2024</t>
        </is>
      </c>
      <c r="B530" t="inlineStr">
        <is>
          <t>avverkningsanmälan</t>
        </is>
      </c>
      <c r="C530" t="inlineStr">
        <is>
          <t>Föryngringsavverkning</t>
        </is>
      </c>
      <c r="D530" s="1" t="n">
        <v>45561</v>
      </c>
      <c r="E530" s="1" t="n">
        <v>46230</v>
      </c>
      <c r="F530" t="inlineStr">
        <is>
          <t>DALARNAS LÄN</t>
        </is>
      </c>
      <c r="G530" t="inlineStr">
        <is>
          <t>ORSA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4566-2025</t>
        </is>
      </c>
      <c r="B531" t="inlineStr">
        <is>
          <t>avverkningsanmälan</t>
        </is>
      </c>
      <c r="C531" t="inlineStr">
        <is>
          <t>Föryngringsavverkning</t>
        </is>
      </c>
      <c r="D531" s="1" t="n">
        <v>45687</v>
      </c>
      <c r="E531" s="1" t="n">
        <v>46230</v>
      </c>
      <c r="F531" t="inlineStr">
        <is>
          <t>DALARNAS LÄN</t>
        </is>
      </c>
      <c r="G531" t="inlineStr">
        <is>
          <t>ORSA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21165-2024</t>
        </is>
      </c>
      <c r="B532" t="inlineStr">
        <is>
          <t>avverkningsanmälan</t>
        </is>
      </c>
      <c r="C532" t="inlineStr">
        <is>
          <t>Föryngringsavverkning</t>
        </is>
      </c>
      <c r="D532" s="1" t="n">
        <v>45440</v>
      </c>
      <c r="E532" s="1" t="n">
        <v>46230</v>
      </c>
      <c r="F532" t="inlineStr">
        <is>
          <t>DALARNAS LÄN</t>
        </is>
      </c>
      <c r="G532" t="inlineStr">
        <is>
          <t>ORSA</t>
        </is>
      </c>
      <c r="H532" t="inlineStr">
        <is>
          <t>Bergvik skog öst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44904-2024</t>
        </is>
      </c>
      <c r="B533" t="inlineStr">
        <is>
          <t>avverkningsanmälan</t>
        </is>
      </c>
      <c r="C533" t="inlineStr">
        <is>
          <t>Föryngringsavverkning</t>
        </is>
      </c>
      <c r="D533" s="1" t="n">
        <v>45575</v>
      </c>
      <c r="E533" s="1" t="n">
        <v>46230</v>
      </c>
      <c r="F533" t="inlineStr">
        <is>
          <t>DALARNAS LÄN</t>
        </is>
      </c>
      <c r="G533" t="inlineStr">
        <is>
          <t>ORSA</t>
        </is>
      </c>
      <c r="H533" t="inlineStr">
        <is>
          <t>Bergvik skog öst AB</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23056-2025</t>
        </is>
      </c>
      <c r="B534" t="inlineStr">
        <is>
          <t>avverkningsanmälan</t>
        </is>
      </c>
      <c r="C534" t="inlineStr">
        <is>
          <t>Föryngringsavverkning</t>
        </is>
      </c>
      <c r="D534" s="1" t="n">
        <v>45790</v>
      </c>
      <c r="E534" s="1" t="n">
        <v>46230</v>
      </c>
      <c r="F534" t="inlineStr">
        <is>
          <t>DALARNAS LÄN</t>
        </is>
      </c>
      <c r="G534" t="inlineStr">
        <is>
          <t>ORSA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23015-2025</t>
        </is>
      </c>
      <c r="B535" t="inlineStr">
        <is>
          <t>avverkningsanmälan</t>
        </is>
      </c>
      <c r="C535" t="inlineStr">
        <is>
          <t>Föryngringsavverkning</t>
        </is>
      </c>
      <c r="D535" s="1" t="n">
        <v>45790</v>
      </c>
      <c r="E535" s="1" t="n">
        <v>46230</v>
      </c>
      <c r="F535" t="inlineStr">
        <is>
          <t>DALARNAS LÄN</t>
        </is>
      </c>
      <c r="G535" t="inlineStr">
        <is>
          <t>ORSA</t>
        </is>
      </c>
      <c r="H535" t="inlineStr">
        <is>
          <t>Bergvik skog öst AB</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58549-2023</t>
        </is>
      </c>
      <c r="B536" t="inlineStr">
        <is>
          <t>avverkningsanmälan</t>
        </is>
      </c>
      <c r="C536" t="inlineStr">
        <is>
          <t>Föryngringsavverkning</t>
        </is>
      </c>
      <c r="D536" s="1" t="n">
        <v>45251</v>
      </c>
      <c r="E536" s="1" t="n">
        <v>46230</v>
      </c>
      <c r="F536" t="inlineStr">
        <is>
          <t>DALARNAS LÄN</t>
        </is>
      </c>
      <c r="G536" t="inlineStr">
        <is>
          <t>ORSA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62289-2023</t>
        </is>
      </c>
      <c r="B537" t="inlineStr">
        <is>
          <t>avverkningsanmälan</t>
        </is>
      </c>
      <c r="C537" t="inlineStr">
        <is>
          <t>Föryngringsavverkning</t>
        </is>
      </c>
      <c r="D537" s="1" t="n">
        <v>45266</v>
      </c>
      <c r="E537" s="1" t="n">
        <v>46230</v>
      </c>
      <c r="F537" t="inlineStr">
        <is>
          <t>DALARNAS LÄN</t>
        </is>
      </c>
      <c r="G537" t="inlineStr">
        <is>
          <t>ORSA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23055-2025</t>
        </is>
      </c>
      <c r="B538" t="inlineStr">
        <is>
          <t>avverkningsanmälan</t>
        </is>
      </c>
      <c r="C538" t="inlineStr">
        <is>
          <t>Föryngringsavverkning</t>
        </is>
      </c>
      <c r="D538" s="1" t="n">
        <v>45790</v>
      </c>
      <c r="E538" s="1" t="n">
        <v>46230</v>
      </c>
      <c r="F538" t="inlineStr">
        <is>
          <t>DALARNAS LÄN</t>
        </is>
      </c>
      <c r="G538" t="inlineStr">
        <is>
          <t>ORSA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5302-2024</t>
        </is>
      </c>
      <c r="B539" t="inlineStr">
        <is>
          <t>avverkningsanmälan</t>
        </is>
      </c>
      <c r="C539" t="inlineStr">
        <is>
          <t>Föryngringsavverkning</t>
        </is>
      </c>
      <c r="D539" s="1" t="n">
        <v>45331</v>
      </c>
      <c r="E539" s="1" t="n">
        <v>46230</v>
      </c>
      <c r="F539" t="inlineStr">
        <is>
          <t>DALARNAS LÄN</t>
        </is>
      </c>
      <c r="G539" t="inlineStr">
        <is>
          <t>ORSA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1785-2024</t>
        </is>
      </c>
      <c r="B540" t="inlineStr">
        <is>
          <t>avverkningsanmälan</t>
        </is>
      </c>
      <c r="C540" t="inlineStr">
        <is>
          <t>Föryngringsavverkning</t>
        </is>
      </c>
      <c r="D540" s="1" t="n">
        <v>45307</v>
      </c>
      <c r="E540" s="1" t="n">
        <v>46230</v>
      </c>
      <c r="F540" t="inlineStr">
        <is>
          <t>DALARNAS LÄN</t>
        </is>
      </c>
      <c r="G540" t="inlineStr">
        <is>
          <t>ORSA</t>
        </is>
      </c>
      <c r="I540" t="n">
        <v>42.8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53703-2024</t>
        </is>
      </c>
      <c r="B541" t="inlineStr">
        <is>
          <t>avverkningsanmälan</t>
        </is>
      </c>
      <c r="C541" t="inlineStr">
        <is>
          <t>Föryngringsavverkning</t>
        </is>
      </c>
      <c r="D541" s="1" t="n">
        <v>45615</v>
      </c>
      <c r="E541" s="1" t="n">
        <v>46230</v>
      </c>
      <c r="F541" t="inlineStr">
        <is>
          <t>DALARNAS LÄN</t>
        </is>
      </c>
      <c r="G541" t="inlineStr">
        <is>
          <t>ORSA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24969-2025</t>
        </is>
      </c>
      <c r="B542" t="inlineStr">
        <is>
          <t>avverkningsanmälan</t>
        </is>
      </c>
      <c r="C542" t="inlineStr">
        <is>
          <t>Avverkning för annat ändamål</t>
        </is>
      </c>
      <c r="D542" s="1" t="n">
        <v>45799</v>
      </c>
      <c r="E542" s="1" t="n">
        <v>46230</v>
      </c>
      <c r="F542" t="inlineStr">
        <is>
          <t>DALARNAS LÄN</t>
        </is>
      </c>
      <c r="G542" t="inlineStr">
        <is>
          <t>ORSA</t>
        </is>
      </c>
      <c r="H542" t="inlineStr">
        <is>
          <t>Allmännings- och besparingsskogar</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25211-2025</t>
        </is>
      </c>
      <c r="B543" t="inlineStr">
        <is>
          <t>avverkningsanmälan</t>
        </is>
      </c>
      <c r="C543" t="inlineStr">
        <is>
          <t>Föryngringsavverkning</t>
        </is>
      </c>
      <c r="D543" s="1" t="n">
        <v>45800</v>
      </c>
      <c r="E543" s="1" t="n">
        <v>46230</v>
      </c>
      <c r="F543" t="inlineStr">
        <is>
          <t>DALARNAS LÄN</t>
        </is>
      </c>
      <c r="G543" t="inlineStr">
        <is>
          <t>ORSA</t>
        </is>
      </c>
      <c r="H543" t="inlineStr">
        <is>
          <t>Bergvik skog öst AB</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18817-2023</t>
        </is>
      </c>
      <c r="B544" t="inlineStr">
        <is>
          <t>avverkningsanmälan</t>
        </is>
      </c>
      <c r="C544" t="inlineStr">
        <is>
          <t>Föryngringsavverkning</t>
        </is>
      </c>
      <c r="D544" s="1" t="n">
        <v>45043</v>
      </c>
      <c r="E544" s="1" t="n">
        <v>46230</v>
      </c>
      <c r="F544" t="inlineStr">
        <is>
          <t>DALARNAS LÄN</t>
        </is>
      </c>
      <c r="G544" t="inlineStr">
        <is>
          <t>ORSA</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26741-2025</t>
        </is>
      </c>
      <c r="B545" t="inlineStr">
        <is>
          <t>avverkningsanmälan</t>
        </is>
      </c>
      <c r="C545" t="inlineStr">
        <is>
          <t>Föryngringsavverkning</t>
        </is>
      </c>
      <c r="D545" s="1" t="n">
        <v>45810</v>
      </c>
      <c r="E545" s="1" t="n">
        <v>46230</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20302-2023</t>
        </is>
      </c>
      <c r="B546" t="inlineStr">
        <is>
          <t>avverkningsanmälan</t>
        </is>
      </c>
      <c r="C546" t="inlineStr">
        <is>
          <t>Föryngringsavverkning</t>
        </is>
      </c>
      <c r="D546" s="1" t="n">
        <v>45056</v>
      </c>
      <c r="E546" s="1" t="n">
        <v>46230</v>
      </c>
      <c r="F546" t="inlineStr">
        <is>
          <t>DALARNAS LÄN</t>
        </is>
      </c>
      <c r="G546" t="inlineStr">
        <is>
          <t>ORSA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6490-2025</t>
        </is>
      </c>
      <c r="B547" t="inlineStr">
        <is>
          <t>avverkningsanmälan</t>
        </is>
      </c>
      <c r="C547" t="inlineStr">
        <is>
          <t>Föryngringsavverkning</t>
        </is>
      </c>
      <c r="D547" s="1" t="n">
        <v>45699</v>
      </c>
      <c r="E547" s="1" t="n">
        <v>46230</v>
      </c>
      <c r="F547" t="inlineStr">
        <is>
          <t>DALARNAS LÄN</t>
        </is>
      </c>
      <c r="G547" t="inlineStr">
        <is>
          <t>ORSA</t>
        </is>
      </c>
      <c r="I547" t="n">
        <v>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27313-2025</t>
        </is>
      </c>
      <c r="B548" t="inlineStr">
        <is>
          <t>avverkningsanmälan</t>
        </is>
      </c>
      <c r="C548" t="inlineStr">
        <is>
          <t>Föryngringsavverkning</t>
        </is>
      </c>
      <c r="D548" s="1" t="n">
        <v>45812</v>
      </c>
      <c r="E548" s="1" t="n">
        <v>46230</v>
      </c>
      <c r="F548" t="inlineStr">
        <is>
          <t>DALARNAS LÄN</t>
        </is>
      </c>
      <c r="G548" t="inlineStr">
        <is>
          <t>ORSA</t>
        </is>
      </c>
      <c r="H548" t="inlineStr">
        <is>
          <t>Allmännings- och besparingsskogar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27885-2025</t>
        </is>
      </c>
      <c r="B549" t="inlineStr">
        <is>
          <t>avverkningsanmälan</t>
        </is>
      </c>
      <c r="C549" t="inlineStr">
        <is>
          <t>Föryngringsavverkning</t>
        </is>
      </c>
      <c r="D549" s="1" t="n">
        <v>45817</v>
      </c>
      <c r="E549" s="1" t="n">
        <v>46230</v>
      </c>
      <c r="F549" t="inlineStr">
        <is>
          <t>DALARNAS LÄN</t>
        </is>
      </c>
      <c r="G549" t="inlineStr">
        <is>
          <t>ORSA</t>
        </is>
      </c>
      <c r="H549" t="inlineStr">
        <is>
          <t>Allmännings- och besparingsskogar</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27987-2025</t>
        </is>
      </c>
      <c r="B550" t="inlineStr">
        <is>
          <t>avverkningsanmälan</t>
        </is>
      </c>
      <c r="C550" t="inlineStr">
        <is>
          <t>Föryngringsavverkning</t>
        </is>
      </c>
      <c r="D550" s="1" t="n">
        <v>45817</v>
      </c>
      <c r="E550" s="1" t="n">
        <v>46230</v>
      </c>
      <c r="F550" t="inlineStr">
        <is>
          <t>DALARNAS LÄN</t>
        </is>
      </c>
      <c r="G550" t="inlineStr">
        <is>
          <t>ORSA</t>
        </is>
      </c>
      <c r="H550" t="inlineStr">
        <is>
          <t>Allmännings- och besparingsskogar</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29933-2025</t>
        </is>
      </c>
      <c r="B551" t="inlineStr">
        <is>
          <t>avverkningsanmälan</t>
        </is>
      </c>
      <c r="C551" t="inlineStr">
        <is>
          <t>Föryngringsavverkning</t>
        </is>
      </c>
      <c r="D551" s="1" t="n">
        <v>45826</v>
      </c>
      <c r="E551" s="1" t="n">
        <v>46230</v>
      </c>
      <c r="F551" t="inlineStr">
        <is>
          <t>DALARNAS LÄN</t>
        </is>
      </c>
      <c r="G551" t="inlineStr">
        <is>
          <t>ORSA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31659-2025</t>
        </is>
      </c>
      <c r="B552" t="inlineStr">
        <is>
          <t>avverkningsanmälan</t>
        </is>
      </c>
      <c r="C552" t="inlineStr">
        <is>
          <t>Föryngringsavverkning</t>
        </is>
      </c>
      <c r="D552" s="1" t="n">
        <v>45834</v>
      </c>
      <c r="E552" s="1" t="n">
        <v>46230</v>
      </c>
      <c r="F552" t="inlineStr">
        <is>
          <t>DALARNAS LÄN</t>
        </is>
      </c>
      <c r="G552" t="inlineStr">
        <is>
          <t>ORSA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32325-2025</t>
        </is>
      </c>
      <c r="B553" t="inlineStr">
        <is>
          <t>avverkningsanmälan</t>
        </is>
      </c>
      <c r="C553" t="inlineStr">
        <is>
          <t>Föryngringsavverkning</t>
        </is>
      </c>
      <c r="D553" s="1" t="n">
        <v>45836</v>
      </c>
      <c r="E553" s="1" t="n">
        <v>46230</v>
      </c>
      <c r="F553" t="inlineStr">
        <is>
          <t>DALARNAS LÄN</t>
        </is>
      </c>
      <c r="G553" t="inlineStr">
        <is>
          <t>ORSA</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32984-2025</t>
        </is>
      </c>
      <c r="B554" t="inlineStr">
        <is>
          <t>avverkningsanmälan</t>
        </is>
      </c>
      <c r="C554" t="inlineStr">
        <is>
          <t>Föryngringsavverkning</t>
        </is>
      </c>
      <c r="D554" s="1" t="n">
        <v>45839</v>
      </c>
      <c r="E554" s="1" t="n">
        <v>46230</v>
      </c>
      <c r="F554" t="inlineStr">
        <is>
          <t>DALARNAS LÄN</t>
        </is>
      </c>
      <c r="G554" t="inlineStr">
        <is>
          <t>ORSA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32985-2025</t>
        </is>
      </c>
      <c r="B555" t="inlineStr">
        <is>
          <t>avverkningsanmälan</t>
        </is>
      </c>
      <c r="C555" t="inlineStr">
        <is>
          <t>Föryngringsavverkning</t>
        </is>
      </c>
      <c r="D555" s="1" t="n">
        <v>45839</v>
      </c>
      <c r="E555" s="1" t="n">
        <v>46230</v>
      </c>
      <c r="F555" t="inlineStr">
        <is>
          <t>DALARNAS LÄN</t>
        </is>
      </c>
      <c r="G555" t="inlineStr">
        <is>
          <t>ORSA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33374-2025</t>
        </is>
      </c>
      <c r="B556" t="inlineStr">
        <is>
          <t>avverkningsanmälan</t>
        </is>
      </c>
      <c r="C556" t="inlineStr">
        <is>
          <t>Föryngringsavverkning</t>
        </is>
      </c>
      <c r="D556" s="1" t="n">
        <v>45841</v>
      </c>
      <c r="E556" s="1" t="n">
        <v>46230</v>
      </c>
      <c r="F556" t="inlineStr">
        <is>
          <t>DALARNAS LÄN</t>
        </is>
      </c>
      <c r="G556" t="inlineStr">
        <is>
          <t>ORSA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33951-2025</t>
        </is>
      </c>
      <c r="B557" t="inlineStr">
        <is>
          <t>avverkningsanmälan</t>
        </is>
      </c>
      <c r="C557" t="inlineStr">
        <is>
          <t>Föryngringsavverkning</t>
        </is>
      </c>
      <c r="D557" s="1" t="n">
        <v>45842</v>
      </c>
      <c r="E557" s="1" t="n">
        <v>46230</v>
      </c>
      <c r="F557" t="inlineStr">
        <is>
          <t>DALARNAS LÄN</t>
        </is>
      </c>
      <c r="G557" t="inlineStr">
        <is>
          <t>ORSA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34769-2025</t>
        </is>
      </c>
      <c r="B558" t="inlineStr">
        <is>
          <t>avverkningsanmälan</t>
        </is>
      </c>
      <c r="C558" t="inlineStr">
        <is>
          <t>Föryngringsavverkning</t>
        </is>
      </c>
      <c r="D558" s="1" t="n">
        <v>45848</v>
      </c>
      <c r="E558" s="1" t="n">
        <v>46230</v>
      </c>
      <c r="F558" t="inlineStr">
        <is>
          <t>DALARNAS LÄN</t>
        </is>
      </c>
      <c r="G558" t="inlineStr">
        <is>
          <t>ORSA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34777-2025</t>
        </is>
      </c>
      <c r="B559" t="inlineStr">
        <is>
          <t>avverkningsanmälan</t>
        </is>
      </c>
      <c r="C559" t="inlineStr">
        <is>
          <t>Föryngringsavverkning</t>
        </is>
      </c>
      <c r="D559" s="1" t="n">
        <v>45848</v>
      </c>
      <c r="E559" s="1" t="n">
        <v>46230</v>
      </c>
      <c r="F559" t="inlineStr">
        <is>
          <t>DALARNAS LÄN</t>
        </is>
      </c>
      <c r="G559" t="inlineStr">
        <is>
          <t>ORSA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34779-2025</t>
        </is>
      </c>
      <c r="B560" t="inlineStr">
        <is>
          <t>avverkningsanmälan</t>
        </is>
      </c>
      <c r="C560" t="inlineStr">
        <is>
          <t>Föryngringsavverkning</t>
        </is>
      </c>
      <c r="D560" s="1" t="n">
        <v>45848</v>
      </c>
      <c r="E560" s="1" t="n">
        <v>46230</v>
      </c>
      <c r="F560" t="inlineStr">
        <is>
          <t>DALARNAS LÄN</t>
        </is>
      </c>
      <c r="G560" t="inlineStr">
        <is>
          <t>ORSA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34753-2025</t>
        </is>
      </c>
      <c r="B561" t="inlineStr">
        <is>
          <t>avverkningsanmälan</t>
        </is>
      </c>
      <c r="C561" t="inlineStr">
        <is>
          <t>Föryngringsavverkning</t>
        </is>
      </c>
      <c r="D561" s="1" t="n">
        <v>45848</v>
      </c>
      <c r="E561" s="1" t="n">
        <v>46230</v>
      </c>
      <c r="F561" t="inlineStr">
        <is>
          <t>DALARNAS LÄN</t>
        </is>
      </c>
      <c r="G561" t="inlineStr">
        <is>
          <t>ORSA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34764-2025</t>
        </is>
      </c>
      <c r="B562" t="inlineStr">
        <is>
          <t>avverkningsanmälan</t>
        </is>
      </c>
      <c r="C562" t="inlineStr">
        <is>
          <t>Föryngringsavverkning</t>
        </is>
      </c>
      <c r="D562" s="1" t="n">
        <v>45848</v>
      </c>
      <c r="E562" s="1" t="n">
        <v>46230</v>
      </c>
      <c r="F562" t="inlineStr">
        <is>
          <t>DALARNAS LÄN</t>
        </is>
      </c>
      <c r="G562" t="inlineStr">
        <is>
          <t>ORSA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34781-2025</t>
        </is>
      </c>
      <c r="B563" t="inlineStr">
        <is>
          <t>avverkningsanmälan</t>
        </is>
      </c>
      <c r="C563" t="inlineStr">
        <is>
          <t>Föryngringsavverkning</t>
        </is>
      </c>
      <c r="D563" s="1" t="n">
        <v>45848</v>
      </c>
      <c r="E563" s="1" t="n">
        <v>46230</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35619-2025</t>
        </is>
      </c>
      <c r="B564" t="inlineStr">
        <is>
          <t>avverkningsanmälan</t>
        </is>
      </c>
      <c r="C564" t="inlineStr">
        <is>
          <t>Föryngringsavverkning</t>
        </is>
      </c>
      <c r="D564" s="1" t="n">
        <v>45859</v>
      </c>
      <c r="E564" s="1" t="n">
        <v>46230</v>
      </c>
      <c r="F564" t="inlineStr">
        <is>
          <t>DALARNAS LÄN</t>
        </is>
      </c>
      <c r="G564" t="inlineStr">
        <is>
          <t>ORSA</t>
        </is>
      </c>
      <c r="H564" t="inlineStr">
        <is>
          <t>Bergvik skog öst AB</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35940-2025</t>
        </is>
      </c>
      <c r="B565" t="inlineStr">
        <is>
          <t>avverkningsanmälan</t>
        </is>
      </c>
      <c r="C565" t="inlineStr">
        <is>
          <t>Föryngringsavverkning</t>
        </is>
      </c>
      <c r="D565" s="1" t="n">
        <v>45862</v>
      </c>
      <c r="E565" s="1" t="n">
        <v>46230</v>
      </c>
      <c r="F565" t="inlineStr">
        <is>
          <t>DALARNAS LÄN</t>
        </is>
      </c>
      <c r="G565" t="inlineStr">
        <is>
          <t>ORSA</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50714-2023</t>
        </is>
      </c>
      <c r="B566" t="inlineStr">
        <is>
          <t>avverkningsanmälan</t>
        </is>
      </c>
      <c r="C566" t="inlineStr">
        <is>
          <t>Föryngringsavverkning</t>
        </is>
      </c>
      <c r="D566" s="1" t="n">
        <v>45217</v>
      </c>
      <c r="E566" s="1" t="n">
        <v>46230</v>
      </c>
      <c r="F566" t="inlineStr">
        <is>
          <t>DALARNAS LÄN</t>
        </is>
      </c>
      <c r="G566" t="inlineStr">
        <is>
          <t>ORSA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36570-2025</t>
        </is>
      </c>
      <c r="B567" t="inlineStr">
        <is>
          <t>avverkningsanmälan</t>
        </is>
      </c>
      <c r="C567" t="inlineStr">
        <is>
          <t>Föryngringsavverkning</t>
        </is>
      </c>
      <c r="D567" s="1" t="n">
        <v>45870</v>
      </c>
      <c r="E567" s="1" t="n">
        <v>46230</v>
      </c>
      <c r="F567" t="inlineStr">
        <is>
          <t>DALARNAS LÄN</t>
        </is>
      </c>
      <c r="G567" t="inlineStr">
        <is>
          <t>ORSA</t>
        </is>
      </c>
      <c r="H567" t="inlineStr">
        <is>
          <t>Bergvik skog öst AB</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882-2024</t>
        </is>
      </c>
      <c r="B568" t="inlineStr">
        <is>
          <t>samrådsanmälan</t>
        </is>
      </c>
      <c r="C568" t="inlineStr">
        <is>
          <t>Skogsgödsling</t>
        </is>
      </c>
      <c r="D568" s="1" t="n">
        <v>45376</v>
      </c>
      <c r="E568" s="1" t="n">
        <v>46230</v>
      </c>
      <c r="F568" t="inlineStr">
        <is>
          <t>DALARNAS LÄN</t>
        </is>
      </c>
      <c r="G568" t="inlineStr">
        <is>
          <t>ORSA</t>
        </is>
      </c>
      <c r="H568" t="inlineStr">
        <is>
          <t>Allmännings- och besparingsskogar</t>
        </is>
      </c>
      <c r="I568" t="n">
        <v>28.8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348-2023</t>
        </is>
      </c>
      <c r="B569" t="inlineStr">
        <is>
          <t>samrådsanmälan</t>
        </is>
      </c>
      <c r="C569" t="inlineStr">
        <is>
          <t>Annan skogsbruksåtgärd</t>
        </is>
      </c>
      <c r="D569" s="1" t="n">
        <v>44960</v>
      </c>
      <c r="E569" s="1" t="n">
        <v>46230</v>
      </c>
      <c r="F569" t="inlineStr">
        <is>
          <t>DALARNAS LÄN</t>
        </is>
      </c>
      <c r="G569" t="inlineStr">
        <is>
          <t>ORSA</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350-2023</t>
        </is>
      </c>
      <c r="B570" t="inlineStr">
        <is>
          <t>samrådsanmälan</t>
        </is>
      </c>
      <c r="C570" t="inlineStr">
        <is>
          <t>Annan skogsbruksåtgärd</t>
        </is>
      </c>
      <c r="D570" s="1" t="n">
        <v>44960</v>
      </c>
      <c r="E570" s="1" t="n">
        <v>46230</v>
      </c>
      <c r="F570" t="inlineStr">
        <is>
          <t>DALARNAS LÄN</t>
        </is>
      </c>
      <c r="G570" t="inlineStr">
        <is>
          <t>ORSA</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7072-2022</t>
        </is>
      </c>
      <c r="B571" t="inlineStr">
        <is>
          <t>samrådsanmälan</t>
        </is>
      </c>
      <c r="C571" t="inlineStr">
        <is>
          <t>Annan skogsbruksåtgärd</t>
        </is>
      </c>
      <c r="D571" s="1" t="n">
        <v>44907</v>
      </c>
      <c r="E571" s="1" t="n">
        <v>46230</v>
      </c>
      <c r="F571" t="inlineStr">
        <is>
          <t>DALARNAS LÄN</t>
        </is>
      </c>
      <c r="G571" t="inlineStr">
        <is>
          <t>ORSA</t>
        </is>
      </c>
      <c r="H571" t="inlineStr">
        <is>
          <t>Bergvik skog öst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8669-2021</t>
        </is>
      </c>
      <c r="B572" t="inlineStr">
        <is>
          <t>samrådsanmälan</t>
        </is>
      </c>
      <c r="C572" t="inlineStr">
        <is>
          <t>Skogsgödsling</t>
        </is>
      </c>
      <c r="D572" s="1" t="n">
        <v>44498</v>
      </c>
      <c r="E572" s="1" t="n">
        <v>46230</v>
      </c>
      <c r="F572" t="inlineStr">
        <is>
          <t>DALARNAS LÄN</t>
        </is>
      </c>
      <c r="G572" t="inlineStr">
        <is>
          <t>ORSA</t>
        </is>
      </c>
      <c r="H572" t="inlineStr">
        <is>
          <t>Allmännings- och besparingsskogar</t>
        </is>
      </c>
      <c r="I572" t="n">
        <v>106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1499-2022</t>
        </is>
      </c>
      <c r="B573" t="inlineStr">
        <is>
          <t>samrådsanmälan</t>
        </is>
      </c>
      <c r="C573" t="inlineStr">
        <is>
          <t>Skogsgödsling</t>
        </is>
      </c>
      <c r="D573" s="1" t="n">
        <v>44637</v>
      </c>
      <c r="E573" s="1" t="n">
        <v>46230</v>
      </c>
      <c r="F573" t="inlineStr">
        <is>
          <t>DALARNAS LÄN</t>
        </is>
      </c>
      <c r="G573" t="inlineStr">
        <is>
          <t>ORSA</t>
        </is>
      </c>
      <c r="H573" t="inlineStr">
        <is>
          <t>Bergvik skog öst AB</t>
        </is>
      </c>
      <c r="I573" t="n">
        <v>177.2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913-2024</t>
        </is>
      </c>
      <c r="B574" t="inlineStr">
        <is>
          <t>samrådsanmälan</t>
        </is>
      </c>
      <c r="C574" t="inlineStr">
        <is>
          <t>Skogsgödsling</t>
        </is>
      </c>
      <c r="D574" s="1" t="n">
        <v>45377</v>
      </c>
      <c r="E574" s="1" t="n">
        <v>46230</v>
      </c>
      <c r="F574" t="inlineStr">
        <is>
          <t>DALARNAS LÄN</t>
        </is>
      </c>
      <c r="G574" t="inlineStr">
        <is>
          <t>ORSA</t>
        </is>
      </c>
      <c r="H574" t="inlineStr">
        <is>
          <t>Allmännings- och besparingsskogar</t>
        </is>
      </c>
      <c r="I574" t="n">
        <v>72.2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3964-2024</t>
        </is>
      </c>
      <c r="B575" t="inlineStr">
        <is>
          <t>samrådsanmälan</t>
        </is>
      </c>
      <c r="C575" t="inlineStr">
        <is>
          <t>Annan skogsbruksåtgärd</t>
        </is>
      </c>
      <c r="D575" s="1" t="n">
        <v>45567</v>
      </c>
      <c r="E575" s="1" t="n">
        <v>46230</v>
      </c>
      <c r="F575" t="inlineStr">
        <is>
          <t>DALARNAS LÄN</t>
        </is>
      </c>
      <c r="G575" t="inlineStr">
        <is>
          <t>ORSA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568-2022</t>
        </is>
      </c>
      <c r="B576" t="inlineStr">
        <is>
          <t>samrådsanmälan</t>
        </is>
      </c>
      <c r="C576" t="inlineStr">
        <is>
          <t>Skogsgödsling</t>
        </is>
      </c>
      <c r="D576" s="1" t="n">
        <v>44589</v>
      </c>
      <c r="E576" s="1" t="n">
        <v>46230</v>
      </c>
      <c r="F576" t="inlineStr">
        <is>
          <t>DALARNAS LÄN</t>
        </is>
      </c>
      <c r="G576" t="inlineStr">
        <is>
          <t>ORSA</t>
        </is>
      </c>
      <c r="H576" t="inlineStr">
        <is>
          <t>Bergvik skog öst AB</t>
        </is>
      </c>
      <c r="I576" t="n">
        <v>98.2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46230</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46230</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46230</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46230</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46230</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46230</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46230</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46230</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46230</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3005-2025</t>
        </is>
      </c>
      <c r="B586" t="inlineStr">
        <is>
          <t>samrådsanmälan</t>
        </is>
      </c>
      <c r="C586" t="inlineStr">
        <is>
          <t>Annan skogsbruksåtgärd</t>
        </is>
      </c>
      <c r="D586" s="1" t="n">
        <v>45957</v>
      </c>
      <c r="E586" s="1" t="n">
        <v>46230</v>
      </c>
      <c r="F586" t="inlineStr">
        <is>
          <t>DALARNAS LÄN</t>
        </is>
      </c>
      <c r="G586" t="inlineStr">
        <is>
          <t>ORSA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2805-2025</t>
        </is>
      </c>
      <c r="B587" t="inlineStr">
        <is>
          <t>samrådsanmälan</t>
        </is>
      </c>
      <c r="C587" t="inlineStr">
        <is>
          <t>Skogsgödsling</t>
        </is>
      </c>
      <c r="D587" s="1" t="n">
        <v>45938</v>
      </c>
      <c r="E587" s="1" t="n">
        <v>46230</v>
      </c>
      <c r="F587" t="inlineStr">
        <is>
          <t>DALARNAS LÄN</t>
        </is>
      </c>
      <c r="G587" t="inlineStr">
        <is>
          <t>ORSA</t>
        </is>
      </c>
      <c r="H587" t="inlineStr">
        <is>
          <t>Allmännings- och besparingsskogar</t>
        </is>
      </c>
      <c r="I587" t="n">
        <v>71.90000000000001</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46230</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2026-07-27T01:47:35Z</dcterms:created>
  <dcterms:modified xmlns:dcterms="http://purl.org/dc/terms/" xmlns:xsi="http://www.w3.org/2001/XMLSchema-instance" xsi:type="dcterms:W3CDTF">2026-07-27T01:47:36Z</dcterms:modified>
</cp:coreProperties>
</file>