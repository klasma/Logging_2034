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45878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45878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51902-2023</t>
        </is>
      </c>
      <c r="B4" s="1" t="n">
        <v>45223</v>
      </c>
      <c r="C4" s="1" t="n">
        <v>45878</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45878</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45878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45878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45878</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45878</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45878</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45878</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45878</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61338-2024</t>
        </is>
      </c>
      <c r="B13" s="1" t="n">
        <v>45646</v>
      </c>
      <c r="C13" s="1" t="n">
        <v>45878</v>
      </c>
      <c r="D13" t="inlineStr">
        <is>
          <t>DALARNAS LÄN</t>
        </is>
      </c>
      <c r="E13" t="inlineStr">
        <is>
          <t>ORSA</t>
        </is>
      </c>
      <c r="G13" t="n">
        <v>10.2</v>
      </c>
      <c r="H13" t="n">
        <v>4</v>
      </c>
      <c r="I13" t="n">
        <v>2</v>
      </c>
      <c r="J13" t="n">
        <v>10</v>
      </c>
      <c r="K13" t="n">
        <v>3</v>
      </c>
      <c r="L13" t="n">
        <v>0</v>
      </c>
      <c r="M13" t="n">
        <v>0</v>
      </c>
      <c r="N13" t="n">
        <v>0</v>
      </c>
      <c r="O13" t="n">
        <v>13</v>
      </c>
      <c r="P13" t="n">
        <v>3</v>
      </c>
      <c r="Q13" t="n">
        <v>15</v>
      </c>
      <c r="R13" s="2" t="inlineStr">
        <is>
          <t>Fläckporing
Knärot
Rynkskinn
Dvärgbägarlav
Garnlav
Kortskaftad ärgspik
Rosenticka
Spillkråka
Tallticka
Talltita
Tretåig hackspett
Ullticka
Vedskivlav
Bronshjon
Mindre märgborre</t>
        </is>
      </c>
      <c r="S13">
        <f>HYPERLINK("https://klasma.github.io/Logging_2034/artfynd/A 61338-2024 artfynd.xlsx", "A 61338-2024")</f>
        <v/>
      </c>
      <c r="T13">
        <f>HYPERLINK("https://klasma.github.io/Logging_2034/kartor/A 61338-2024 karta.png", "A 61338-2024")</f>
        <v/>
      </c>
      <c r="U13">
        <f>HYPERLINK("https://klasma.github.io/Logging_2034/knärot/A 61338-2024 karta knärot.png", "A 61338-2024")</f>
        <v/>
      </c>
      <c r="V13">
        <f>HYPERLINK("https://klasma.github.io/Logging_2034/klagomål/A 61338-2024 FSC-klagomål.docx", "A 61338-2024")</f>
        <v/>
      </c>
      <c r="W13">
        <f>HYPERLINK("https://klasma.github.io/Logging_2034/klagomålsmail/A 61338-2024 FSC-klagomål mail.docx", "A 61338-2024")</f>
        <v/>
      </c>
      <c r="X13">
        <f>HYPERLINK("https://klasma.github.io/Logging_2034/tillsyn/A 61338-2024 tillsynsbegäran.docx", "A 61338-2024")</f>
        <v/>
      </c>
      <c r="Y13">
        <f>HYPERLINK("https://klasma.github.io/Logging_2034/tillsynsmail/A 61338-2024 tillsynsbegäran mail.docx", "A 61338-2024")</f>
        <v/>
      </c>
      <c r="Z13">
        <f>HYPERLINK("https://klasma.github.io/Logging_2034/fåglar/A 61338-2024 prioriterade fågelarter.docx", "A 61338-2024")</f>
        <v/>
      </c>
    </row>
    <row r="14" ht="15" customHeight="1">
      <c r="A14" t="inlineStr">
        <is>
          <t>A 22650-2025</t>
        </is>
      </c>
      <c r="B14" s="1" t="n">
        <v>45789.46872685185</v>
      </c>
      <c r="C14" s="1" t="n">
        <v>45878</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30284-2024</t>
        </is>
      </c>
      <c r="B15" s="1" t="n">
        <v>45490.63929398148</v>
      </c>
      <c r="C15" s="1" t="n">
        <v>45878</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31124-2025</t>
        </is>
      </c>
      <c r="B16" s="1" t="n">
        <v>45832.62706018519</v>
      </c>
      <c r="C16" s="1" t="n">
        <v>45878</v>
      </c>
      <c r="D16" t="inlineStr">
        <is>
          <t>DALARNAS LÄN</t>
        </is>
      </c>
      <c r="E16" t="inlineStr">
        <is>
          <t>ORSA</t>
        </is>
      </c>
      <c r="G16" t="n">
        <v>1.8</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31124-2025 artfynd.xlsx", "A 31124-2025")</f>
        <v/>
      </c>
      <c r="T16">
        <f>HYPERLINK("https://klasma.github.io/Logging_2034/kartor/A 31124-2025 karta.png", "A 31124-2025")</f>
        <v/>
      </c>
      <c r="V16">
        <f>HYPERLINK("https://klasma.github.io/Logging_2034/klagomål/A 31124-2025 FSC-klagomål.docx", "A 31124-2025")</f>
        <v/>
      </c>
      <c r="W16">
        <f>HYPERLINK("https://klasma.github.io/Logging_2034/klagomålsmail/A 31124-2025 FSC-klagomål mail.docx", "A 31124-2025")</f>
        <v/>
      </c>
      <c r="X16">
        <f>HYPERLINK("https://klasma.github.io/Logging_2034/tillsyn/A 31124-2025 tillsynsbegäran.docx", "A 31124-2025")</f>
        <v/>
      </c>
      <c r="Y16">
        <f>HYPERLINK("https://klasma.github.io/Logging_2034/tillsynsmail/A 31124-2025 tillsynsbegäran mail.docx", "A 31124-2025")</f>
        <v/>
      </c>
      <c r="Z16">
        <f>HYPERLINK("https://klasma.github.io/Logging_2034/fåglar/A 31124-2025 prioriterade fågelarter.docx", "A 31124-2025")</f>
        <v/>
      </c>
    </row>
    <row r="17" ht="15" customHeight="1">
      <c r="A17" t="inlineStr">
        <is>
          <t>A 31137-2025</t>
        </is>
      </c>
      <c r="B17" s="1" t="n">
        <v>45832.63605324074</v>
      </c>
      <c r="C17" s="1" t="n">
        <v>45878</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7507-2025</t>
        </is>
      </c>
      <c r="B18" s="1" t="n">
        <v>45705</v>
      </c>
      <c r="C18" s="1" t="n">
        <v>45878</v>
      </c>
      <c r="D18" t="inlineStr">
        <is>
          <t>DALARNAS LÄN</t>
        </is>
      </c>
      <c r="E18" t="inlineStr">
        <is>
          <t>ORSA</t>
        </is>
      </c>
      <c r="G18" t="n">
        <v>25.8</v>
      </c>
      <c r="H18" t="n">
        <v>4</v>
      </c>
      <c r="I18" t="n">
        <v>2</v>
      </c>
      <c r="J18" t="n">
        <v>8</v>
      </c>
      <c r="K18" t="n">
        <v>0</v>
      </c>
      <c r="L18" t="n">
        <v>0</v>
      </c>
      <c r="M18" t="n">
        <v>0</v>
      </c>
      <c r="N18" t="n">
        <v>0</v>
      </c>
      <c r="O18" t="n">
        <v>8</v>
      </c>
      <c r="P18" t="n">
        <v>0</v>
      </c>
      <c r="Q18" t="n">
        <v>11</v>
      </c>
      <c r="R18" s="2" t="inlineStr">
        <is>
          <t>Dvärgbägarlav
Garnlav
Kolflarnlav
Mörk kolflarnlav
Spillkråka
Tallticka
Talltita
Tretåig hackspett
Mindre märgborre
Nästlav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2121-2025</t>
        </is>
      </c>
      <c r="B19" s="1" t="n">
        <v>45672</v>
      </c>
      <c r="C19" s="1" t="n">
        <v>45878</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707-2024</t>
        </is>
      </c>
      <c r="B20" s="1" t="n">
        <v>45300</v>
      </c>
      <c r="C20" s="1" t="n">
        <v>45878</v>
      </c>
      <c r="D20" t="inlineStr">
        <is>
          <t>DALARNAS LÄN</t>
        </is>
      </c>
      <c r="E20" t="inlineStr">
        <is>
          <t>ORSA</t>
        </is>
      </c>
      <c r="G20" t="n">
        <v>9.4</v>
      </c>
      <c r="H20" t="n">
        <v>2</v>
      </c>
      <c r="I20" t="n">
        <v>0</v>
      </c>
      <c r="J20" t="n">
        <v>7</v>
      </c>
      <c r="K20" t="n">
        <v>0</v>
      </c>
      <c r="L20" t="n">
        <v>0</v>
      </c>
      <c r="M20" t="n">
        <v>0</v>
      </c>
      <c r="N20" t="n">
        <v>0</v>
      </c>
      <c r="O20" t="n">
        <v>7</v>
      </c>
      <c r="P20" t="n">
        <v>0</v>
      </c>
      <c r="Q20" t="n">
        <v>7</v>
      </c>
      <c r="R20" s="2" t="inlineStr">
        <is>
          <t>Doftskinn
Garnlav
Granticka
Knottrig blåslav
Svartvit flugsnappare
Tretåig hackspett
Violettgrå tagellav</t>
        </is>
      </c>
      <c r="S20">
        <f>HYPERLINK("https://klasma.github.io/Logging_2034/artfynd/A 707-2024 artfynd.xlsx", "A 707-2024")</f>
        <v/>
      </c>
      <c r="T20">
        <f>HYPERLINK("https://klasma.github.io/Logging_2034/kartor/A 707-2024 karta.png", "A 707-2024")</f>
        <v/>
      </c>
      <c r="V20">
        <f>HYPERLINK("https://klasma.github.io/Logging_2034/klagomål/A 707-2024 FSC-klagomål.docx", "A 707-2024")</f>
        <v/>
      </c>
      <c r="W20">
        <f>HYPERLINK("https://klasma.github.io/Logging_2034/klagomålsmail/A 707-2024 FSC-klagomål mail.docx", "A 707-2024")</f>
        <v/>
      </c>
      <c r="X20">
        <f>HYPERLINK("https://klasma.github.io/Logging_2034/tillsyn/A 707-2024 tillsynsbegäran.docx", "A 707-2024")</f>
        <v/>
      </c>
      <c r="Y20">
        <f>HYPERLINK("https://klasma.github.io/Logging_2034/tillsynsmail/A 707-2024 tillsynsbegäran mail.docx", "A 707-2024")</f>
        <v/>
      </c>
      <c r="Z20">
        <f>HYPERLINK("https://klasma.github.io/Logging_2034/fåglar/A 707-2024 prioriterade fågelarter.docx", "A 707-2024")</f>
        <v/>
      </c>
    </row>
    <row r="21" ht="15" customHeight="1">
      <c r="A21" t="inlineStr">
        <is>
          <t>A 53634-2021</t>
        </is>
      </c>
      <c r="B21" s="1" t="n">
        <v>44469</v>
      </c>
      <c r="C21" s="1" t="n">
        <v>45878</v>
      </c>
      <c r="D21" t="inlineStr">
        <is>
          <t>DALARNAS LÄN</t>
        </is>
      </c>
      <c r="E21" t="inlineStr">
        <is>
          <t>ORSA</t>
        </is>
      </c>
      <c r="G21" t="n">
        <v>1.9</v>
      </c>
      <c r="H21" t="n">
        <v>1</v>
      </c>
      <c r="I21" t="n">
        <v>1</v>
      </c>
      <c r="J21" t="n">
        <v>4</v>
      </c>
      <c r="K21" t="n">
        <v>1</v>
      </c>
      <c r="L21" t="n">
        <v>0</v>
      </c>
      <c r="M21" t="n">
        <v>0</v>
      </c>
      <c r="N21" t="n">
        <v>0</v>
      </c>
      <c r="O21" t="n">
        <v>5</v>
      </c>
      <c r="P21" t="n">
        <v>1</v>
      </c>
      <c r="Q21" t="n">
        <v>6</v>
      </c>
      <c r="R21" s="2" t="inlineStr">
        <is>
          <t>Knärot
Garnlav
Lunglav
Vaddporing
Vedtrappmossa
Korallblylav</t>
        </is>
      </c>
      <c r="S21">
        <f>HYPERLINK("https://klasma.github.io/Logging_2034/artfynd/A 53634-2021 artfynd.xlsx", "A 53634-2021")</f>
        <v/>
      </c>
      <c r="T21">
        <f>HYPERLINK("https://klasma.github.io/Logging_2034/kartor/A 53634-2021 karta.png", "A 53634-2021")</f>
        <v/>
      </c>
      <c r="U21">
        <f>HYPERLINK("https://klasma.github.io/Logging_2034/knärot/A 53634-2021 karta knärot.png", "A 53634-2021")</f>
        <v/>
      </c>
      <c r="V21">
        <f>HYPERLINK("https://klasma.github.io/Logging_2034/klagomål/A 53634-2021 FSC-klagomål.docx", "A 53634-2021")</f>
        <v/>
      </c>
      <c r="W21">
        <f>HYPERLINK("https://klasma.github.io/Logging_2034/klagomålsmail/A 53634-2021 FSC-klagomål mail.docx", "A 53634-2021")</f>
        <v/>
      </c>
      <c r="X21">
        <f>HYPERLINK("https://klasma.github.io/Logging_2034/tillsyn/A 53634-2021 tillsynsbegäran.docx", "A 53634-2021")</f>
        <v/>
      </c>
      <c r="Y21">
        <f>HYPERLINK("https://klasma.github.io/Logging_2034/tillsynsmail/A 53634-2021 tillsynsbegäran mail.docx", "A 53634-2021")</f>
        <v/>
      </c>
    </row>
    <row r="22" ht="15" customHeight="1">
      <c r="A22" t="inlineStr">
        <is>
          <t>A 22647-2022</t>
        </is>
      </c>
      <c r="B22" s="1" t="n">
        <v>44714</v>
      </c>
      <c r="C22" s="1" t="n">
        <v>45878</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33841-2023</t>
        </is>
      </c>
      <c r="B23" s="1" t="n">
        <v>45133.66758101852</v>
      </c>
      <c r="C23" s="1" t="n">
        <v>45878</v>
      </c>
      <c r="D23" t="inlineStr">
        <is>
          <t>DALARNAS LÄN</t>
        </is>
      </c>
      <c r="E23" t="inlineStr">
        <is>
          <t>ORSA</t>
        </is>
      </c>
      <c r="G23" t="n">
        <v>3.8</v>
      </c>
      <c r="H23" t="n">
        <v>1</v>
      </c>
      <c r="I23" t="n">
        <v>2</v>
      </c>
      <c r="J23" t="n">
        <v>3</v>
      </c>
      <c r="K23" t="n">
        <v>0</v>
      </c>
      <c r="L23" t="n">
        <v>0</v>
      </c>
      <c r="M23" t="n">
        <v>0</v>
      </c>
      <c r="N23" t="n">
        <v>0</v>
      </c>
      <c r="O23" t="n">
        <v>3</v>
      </c>
      <c r="P23" t="n">
        <v>0</v>
      </c>
      <c r="Q23" t="n">
        <v>5</v>
      </c>
      <c r="R23" s="2" t="inlineStr">
        <is>
          <t>Garnlav
Kolflarnlav
Spillkråka
Mindre märgborre
Nästlav</t>
        </is>
      </c>
      <c r="S23">
        <f>HYPERLINK("https://klasma.github.io/Logging_2034/artfynd/A 33841-2023 artfynd.xlsx", "A 33841-2023")</f>
        <v/>
      </c>
      <c r="T23">
        <f>HYPERLINK("https://klasma.github.io/Logging_2034/kartor/A 33841-2023 karta.png", "A 33841-2023")</f>
        <v/>
      </c>
      <c r="V23">
        <f>HYPERLINK("https://klasma.github.io/Logging_2034/klagomål/A 33841-2023 FSC-klagomål.docx", "A 33841-2023")</f>
        <v/>
      </c>
      <c r="W23">
        <f>HYPERLINK("https://klasma.github.io/Logging_2034/klagomålsmail/A 33841-2023 FSC-klagomål mail.docx", "A 33841-2023")</f>
        <v/>
      </c>
      <c r="X23">
        <f>HYPERLINK("https://klasma.github.io/Logging_2034/tillsyn/A 33841-2023 tillsynsbegäran.docx", "A 33841-2023")</f>
        <v/>
      </c>
      <c r="Y23">
        <f>HYPERLINK("https://klasma.github.io/Logging_2034/tillsynsmail/A 33841-2023 tillsynsbegäran mail.docx", "A 33841-2023")</f>
        <v/>
      </c>
      <c r="Z23">
        <f>HYPERLINK("https://klasma.github.io/Logging_2034/fåglar/A 33841-2023 prioriterade fågelarter.docx", "A 33841-2023")</f>
        <v/>
      </c>
    </row>
    <row r="24" ht="15" customHeight="1">
      <c r="A24" t="inlineStr">
        <is>
          <t>A 50728-2022</t>
        </is>
      </c>
      <c r="B24" s="1" t="n">
        <v>44867</v>
      </c>
      <c r="C24" s="1" t="n">
        <v>45878</v>
      </c>
      <c r="D24" t="inlineStr">
        <is>
          <t>DALARNAS LÄN</t>
        </is>
      </c>
      <c r="E24" t="inlineStr">
        <is>
          <t>ORSA</t>
        </is>
      </c>
      <c r="F24" t="inlineStr">
        <is>
          <t>Allmännings- och besparingsskogar</t>
        </is>
      </c>
      <c r="G24" t="n">
        <v>1.8</v>
      </c>
      <c r="H24" t="n">
        <v>0</v>
      </c>
      <c r="I24" t="n">
        <v>1</v>
      </c>
      <c r="J24" t="n">
        <v>4</v>
      </c>
      <c r="K24" t="n">
        <v>0</v>
      </c>
      <c r="L24" t="n">
        <v>0</v>
      </c>
      <c r="M24" t="n">
        <v>0</v>
      </c>
      <c r="N24" t="n">
        <v>0</v>
      </c>
      <c r="O24" t="n">
        <v>4</v>
      </c>
      <c r="P24" t="n">
        <v>0</v>
      </c>
      <c r="Q24" t="n">
        <v>5</v>
      </c>
      <c r="R24" s="2" t="inlineStr">
        <is>
          <t>Garnlav
Granticka
Lunglav
Skrovellav
Stuplav</t>
        </is>
      </c>
      <c r="S24">
        <f>HYPERLINK("https://klasma.github.io/Logging_2034/artfynd/A 50728-2022 artfynd.xlsx", "A 50728-2022")</f>
        <v/>
      </c>
      <c r="T24">
        <f>HYPERLINK("https://klasma.github.io/Logging_2034/kartor/A 50728-2022 karta.png", "A 50728-2022")</f>
        <v/>
      </c>
      <c r="V24">
        <f>HYPERLINK("https://klasma.github.io/Logging_2034/klagomål/A 50728-2022 FSC-klagomål.docx", "A 50728-2022")</f>
        <v/>
      </c>
      <c r="W24">
        <f>HYPERLINK("https://klasma.github.io/Logging_2034/klagomålsmail/A 50728-2022 FSC-klagomål mail.docx", "A 50728-2022")</f>
        <v/>
      </c>
      <c r="X24">
        <f>HYPERLINK("https://klasma.github.io/Logging_2034/tillsyn/A 50728-2022 tillsynsbegäran.docx", "A 50728-2022")</f>
        <v/>
      </c>
      <c r="Y24">
        <f>HYPERLINK("https://klasma.github.io/Logging_2034/tillsynsmail/A 50728-2022 tillsynsbegäran mail.docx", "A 50728-2022")</f>
        <v/>
      </c>
    </row>
    <row r="25" ht="15" customHeight="1">
      <c r="A25" t="inlineStr">
        <is>
          <t>A 33366-2023</t>
        </is>
      </c>
      <c r="B25" s="1" t="n">
        <v>45128</v>
      </c>
      <c r="C25" s="1" t="n">
        <v>45878</v>
      </c>
      <c r="D25" t="inlineStr">
        <is>
          <t>DALARNAS LÄN</t>
        </is>
      </c>
      <c r="E25" t="inlineStr">
        <is>
          <t>ORSA</t>
        </is>
      </c>
      <c r="F25" t="inlineStr">
        <is>
          <t>Bergvik skog väst AB</t>
        </is>
      </c>
      <c r="G25" t="n">
        <v>3.5</v>
      </c>
      <c r="H25" t="n">
        <v>1</v>
      </c>
      <c r="I25" t="n">
        <v>0</v>
      </c>
      <c r="J25" t="n">
        <v>4</v>
      </c>
      <c r="K25" t="n">
        <v>0</v>
      </c>
      <c r="L25" t="n">
        <v>0</v>
      </c>
      <c r="M25" t="n">
        <v>0</v>
      </c>
      <c r="N25" t="n">
        <v>0</v>
      </c>
      <c r="O25" t="n">
        <v>4</v>
      </c>
      <c r="P25" t="n">
        <v>0</v>
      </c>
      <c r="Q25" t="n">
        <v>4</v>
      </c>
      <c r="R25" s="2" t="inlineStr">
        <is>
          <t>Garnlav
Granticka
Tretåig hackspett
Violettgrå tagellav</t>
        </is>
      </c>
      <c r="S25">
        <f>HYPERLINK("https://klasma.github.io/Logging_2034/artfynd/A 33366-2023 artfynd.xlsx", "A 33366-2023")</f>
        <v/>
      </c>
      <c r="T25">
        <f>HYPERLINK("https://klasma.github.io/Logging_2034/kartor/A 33366-2023 karta.png", "A 33366-2023")</f>
        <v/>
      </c>
      <c r="V25">
        <f>HYPERLINK("https://klasma.github.io/Logging_2034/klagomål/A 33366-2023 FSC-klagomål.docx", "A 33366-2023")</f>
        <v/>
      </c>
      <c r="W25">
        <f>HYPERLINK("https://klasma.github.io/Logging_2034/klagomålsmail/A 33366-2023 FSC-klagomål mail.docx", "A 33366-2023")</f>
        <v/>
      </c>
      <c r="X25">
        <f>HYPERLINK("https://klasma.github.io/Logging_2034/tillsyn/A 33366-2023 tillsynsbegäran.docx", "A 33366-2023")</f>
        <v/>
      </c>
      <c r="Y25">
        <f>HYPERLINK("https://klasma.github.io/Logging_2034/tillsynsmail/A 33366-2023 tillsynsbegäran mail.docx", "A 33366-2023")</f>
        <v/>
      </c>
      <c r="Z25">
        <f>HYPERLINK("https://klasma.github.io/Logging_2034/fåglar/A 33366-2023 prioriterade fågelarter.docx", "A 33366-2023")</f>
        <v/>
      </c>
    </row>
    <row r="26" ht="15" customHeight="1">
      <c r="A26" t="inlineStr">
        <is>
          <t>A 48499-2024</t>
        </is>
      </c>
      <c r="B26" s="1" t="n">
        <v>45592</v>
      </c>
      <c r="C26" s="1" t="n">
        <v>45878</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7618-2025</t>
        </is>
      </c>
      <c r="B27" s="1" t="n">
        <v>45705</v>
      </c>
      <c r="C27" s="1" t="n">
        <v>45878</v>
      </c>
      <c r="D27" t="inlineStr">
        <is>
          <t>DALARNAS LÄN</t>
        </is>
      </c>
      <c r="E27" t="inlineStr">
        <is>
          <t>ORSA</t>
        </is>
      </c>
      <c r="G27" t="n">
        <v>0.9</v>
      </c>
      <c r="H27" t="n">
        <v>2</v>
      </c>
      <c r="I27" t="n">
        <v>0</v>
      </c>
      <c r="J27" t="n">
        <v>3</v>
      </c>
      <c r="K27" t="n">
        <v>1</v>
      </c>
      <c r="L27" t="n">
        <v>0</v>
      </c>
      <c r="M27" t="n">
        <v>0</v>
      </c>
      <c r="N27" t="n">
        <v>0</v>
      </c>
      <c r="O27" t="n">
        <v>4</v>
      </c>
      <c r="P27" t="n">
        <v>1</v>
      </c>
      <c r="Q27" t="n">
        <v>4</v>
      </c>
      <c r="R27" s="2" t="inlineStr">
        <is>
          <t>Knärot
Garnlav
Kolflarnlav
Talltita</t>
        </is>
      </c>
      <c r="S27">
        <f>HYPERLINK("https://klasma.github.io/Logging_2034/artfynd/A 7618-2025 artfynd.xlsx", "A 7618-2025")</f>
        <v/>
      </c>
      <c r="T27">
        <f>HYPERLINK("https://klasma.github.io/Logging_2034/kartor/A 7618-2025 karta.png", "A 7618-2025")</f>
        <v/>
      </c>
      <c r="U27">
        <f>HYPERLINK("https://klasma.github.io/Logging_2034/knärot/A 7618-2025 karta knärot.png", "A 7618-2025")</f>
        <v/>
      </c>
      <c r="V27">
        <f>HYPERLINK("https://klasma.github.io/Logging_2034/klagomål/A 7618-2025 FSC-klagomål.docx", "A 7618-2025")</f>
        <v/>
      </c>
      <c r="W27">
        <f>HYPERLINK("https://klasma.github.io/Logging_2034/klagomålsmail/A 7618-2025 FSC-klagomål mail.docx", "A 7618-2025")</f>
        <v/>
      </c>
      <c r="X27">
        <f>HYPERLINK("https://klasma.github.io/Logging_2034/tillsyn/A 7618-2025 tillsynsbegäran.docx", "A 7618-2025")</f>
        <v/>
      </c>
      <c r="Y27">
        <f>HYPERLINK("https://klasma.github.io/Logging_2034/tillsynsmail/A 7618-2025 tillsynsbegäran mail.docx", "A 7618-2025")</f>
        <v/>
      </c>
      <c r="Z27">
        <f>HYPERLINK("https://klasma.github.io/Logging_2034/fåglar/A 7618-2025 prioriterade fågelarter.docx", "A 7618-2025")</f>
        <v/>
      </c>
    </row>
    <row r="28" ht="15" customHeight="1">
      <c r="A28" t="inlineStr">
        <is>
          <t>A 7619-2025</t>
        </is>
      </c>
      <c r="B28" s="1" t="n">
        <v>45705</v>
      </c>
      <c r="C28" s="1" t="n">
        <v>45878</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35570-2024</t>
        </is>
      </c>
      <c r="B29" s="1" t="n">
        <v>45531</v>
      </c>
      <c r="C29" s="1" t="n">
        <v>45878</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45878</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31161-2025</t>
        </is>
      </c>
      <c r="B31" s="1" t="n">
        <v>45832.65506944444</v>
      </c>
      <c r="C31" s="1" t="n">
        <v>45878</v>
      </c>
      <c r="D31" t="inlineStr">
        <is>
          <t>DALARNAS LÄN</t>
        </is>
      </c>
      <c r="E31" t="inlineStr">
        <is>
          <t>ORSA</t>
        </is>
      </c>
      <c r="G31" t="n">
        <v>1.7</v>
      </c>
      <c r="H31" t="n">
        <v>1</v>
      </c>
      <c r="I31" t="n">
        <v>1</v>
      </c>
      <c r="J31" t="n">
        <v>2</v>
      </c>
      <c r="K31" t="n">
        <v>0</v>
      </c>
      <c r="L31" t="n">
        <v>0</v>
      </c>
      <c r="M31" t="n">
        <v>0</v>
      </c>
      <c r="N31" t="n">
        <v>0</v>
      </c>
      <c r="O31" t="n">
        <v>2</v>
      </c>
      <c r="P31" t="n">
        <v>0</v>
      </c>
      <c r="Q31" t="n">
        <v>3</v>
      </c>
      <c r="R31" s="2" t="inlineStr">
        <is>
          <t>Garnlav
Tretåig hackspett
Bronshjon</t>
        </is>
      </c>
      <c r="S31">
        <f>HYPERLINK("https://klasma.github.io/Logging_2034/artfynd/A 31161-2025 artfynd.xlsx", "A 31161-2025")</f>
        <v/>
      </c>
      <c r="T31">
        <f>HYPERLINK("https://klasma.github.io/Logging_2034/kartor/A 31161-2025 karta.png", "A 31161-2025")</f>
        <v/>
      </c>
      <c r="V31">
        <f>HYPERLINK("https://klasma.github.io/Logging_2034/klagomål/A 31161-2025 FSC-klagomål.docx", "A 31161-2025")</f>
        <v/>
      </c>
      <c r="W31">
        <f>HYPERLINK("https://klasma.github.io/Logging_2034/klagomålsmail/A 31161-2025 FSC-klagomål mail.docx", "A 31161-2025")</f>
        <v/>
      </c>
      <c r="X31">
        <f>HYPERLINK("https://klasma.github.io/Logging_2034/tillsyn/A 31161-2025 tillsynsbegäran.docx", "A 31161-2025")</f>
        <v/>
      </c>
      <c r="Y31">
        <f>HYPERLINK("https://klasma.github.io/Logging_2034/tillsynsmail/A 31161-2025 tillsynsbegäran mail.docx", "A 31161-2025")</f>
        <v/>
      </c>
      <c r="Z31">
        <f>HYPERLINK("https://klasma.github.io/Logging_2034/fåglar/A 31161-2025 prioriterade fågelarter.docx", "A 31161-2025")</f>
        <v/>
      </c>
    </row>
    <row r="32" ht="15" customHeight="1">
      <c r="A32" t="inlineStr">
        <is>
          <t>A 31336-2025</t>
        </is>
      </c>
      <c r="B32" s="1" t="n">
        <v>45833</v>
      </c>
      <c r="C32" s="1" t="n">
        <v>45878</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6029-2024</t>
        </is>
      </c>
      <c r="B33" s="1" t="n">
        <v>45336</v>
      </c>
      <c r="C33" s="1" t="n">
        <v>45878</v>
      </c>
      <c r="D33" t="inlineStr">
        <is>
          <t>DALARNAS LÄN</t>
        </is>
      </c>
      <c r="E33" t="inlineStr">
        <is>
          <t>ORSA</t>
        </is>
      </c>
      <c r="F33" t="inlineStr">
        <is>
          <t>Kommuner</t>
        </is>
      </c>
      <c r="G33" t="n">
        <v>0.8</v>
      </c>
      <c r="H33" t="n">
        <v>0</v>
      </c>
      <c r="I33" t="n">
        <v>2</v>
      </c>
      <c r="J33" t="n">
        <v>0</v>
      </c>
      <c r="K33" t="n">
        <v>0</v>
      </c>
      <c r="L33" t="n">
        <v>0</v>
      </c>
      <c r="M33" t="n">
        <v>0</v>
      </c>
      <c r="N33" t="n">
        <v>0</v>
      </c>
      <c r="O33" t="n">
        <v>0</v>
      </c>
      <c r="P33" t="n">
        <v>0</v>
      </c>
      <c r="Q33" t="n">
        <v>2</v>
      </c>
      <c r="R33" s="2" t="inlineStr">
        <is>
          <t>Svart trolldruva
Svavelriska</t>
        </is>
      </c>
      <c r="S33">
        <f>HYPERLINK("https://klasma.github.io/Logging_2034/artfynd/A 6029-2024 artfynd.xlsx", "A 6029-2024")</f>
        <v/>
      </c>
      <c r="T33">
        <f>HYPERLINK("https://klasma.github.io/Logging_2034/kartor/A 6029-2024 karta.png", "A 6029-2024")</f>
        <v/>
      </c>
      <c r="V33">
        <f>HYPERLINK("https://klasma.github.io/Logging_2034/klagomål/A 6029-2024 FSC-klagomål.docx", "A 6029-2024")</f>
        <v/>
      </c>
      <c r="W33">
        <f>HYPERLINK("https://klasma.github.io/Logging_2034/klagomålsmail/A 6029-2024 FSC-klagomål mail.docx", "A 6029-2024")</f>
        <v/>
      </c>
      <c r="X33">
        <f>HYPERLINK("https://klasma.github.io/Logging_2034/tillsyn/A 6029-2024 tillsynsbegäran.docx", "A 6029-2024")</f>
        <v/>
      </c>
      <c r="Y33">
        <f>HYPERLINK("https://klasma.github.io/Logging_2034/tillsynsmail/A 6029-2024 tillsynsbegäran mail.docx", "A 6029-2024")</f>
        <v/>
      </c>
    </row>
    <row r="34" ht="15" customHeight="1">
      <c r="A34" t="inlineStr">
        <is>
          <t>A 63810-2021</t>
        </is>
      </c>
      <c r="B34" s="1" t="n">
        <v>44509</v>
      </c>
      <c r="C34" s="1" t="n">
        <v>45878</v>
      </c>
      <c r="D34" t="inlineStr">
        <is>
          <t>DALARNAS LÄN</t>
        </is>
      </c>
      <c r="E34" t="inlineStr">
        <is>
          <t>ORSA</t>
        </is>
      </c>
      <c r="G34" t="n">
        <v>18.4</v>
      </c>
      <c r="H34" t="n">
        <v>0</v>
      </c>
      <c r="I34" t="n">
        <v>0</v>
      </c>
      <c r="J34" t="n">
        <v>2</v>
      </c>
      <c r="K34" t="n">
        <v>0</v>
      </c>
      <c r="L34" t="n">
        <v>0</v>
      </c>
      <c r="M34" t="n">
        <v>0</v>
      </c>
      <c r="N34" t="n">
        <v>0</v>
      </c>
      <c r="O34" t="n">
        <v>2</v>
      </c>
      <c r="P34" t="n">
        <v>0</v>
      </c>
      <c r="Q34" t="n">
        <v>2</v>
      </c>
      <c r="R34" s="2" t="inlineStr">
        <is>
          <t>Garnlav
Violettgrå tagellav</t>
        </is>
      </c>
      <c r="S34">
        <f>HYPERLINK("https://klasma.github.io/Logging_2034/artfynd/A 63810-2021 artfynd.xlsx", "A 63810-2021")</f>
        <v/>
      </c>
      <c r="T34">
        <f>HYPERLINK("https://klasma.github.io/Logging_2034/kartor/A 63810-2021 karta.png", "A 63810-2021")</f>
        <v/>
      </c>
      <c r="V34">
        <f>HYPERLINK("https://klasma.github.io/Logging_2034/klagomål/A 63810-2021 FSC-klagomål.docx", "A 63810-2021")</f>
        <v/>
      </c>
      <c r="W34">
        <f>HYPERLINK("https://klasma.github.io/Logging_2034/klagomålsmail/A 63810-2021 FSC-klagomål mail.docx", "A 63810-2021")</f>
        <v/>
      </c>
      <c r="X34">
        <f>HYPERLINK("https://klasma.github.io/Logging_2034/tillsyn/A 63810-2021 tillsynsbegäran.docx", "A 63810-2021")</f>
        <v/>
      </c>
      <c r="Y34">
        <f>HYPERLINK("https://klasma.github.io/Logging_2034/tillsynsmail/A 63810-2021 tillsynsbegäran mail.docx", "A 63810-2021")</f>
        <v/>
      </c>
    </row>
    <row r="35" ht="15" customHeight="1">
      <c r="A35" t="inlineStr">
        <is>
          <t>A 31164-2025</t>
        </is>
      </c>
      <c r="B35" s="1" t="n">
        <v>45832.65702546296</v>
      </c>
      <c r="C35" s="1" t="n">
        <v>45878</v>
      </c>
      <c r="D35" t="inlineStr">
        <is>
          <t>DALARNAS LÄN</t>
        </is>
      </c>
      <c r="E35" t="inlineStr">
        <is>
          <t>ORSA</t>
        </is>
      </c>
      <c r="G35" t="n">
        <v>0.9</v>
      </c>
      <c r="H35" t="n">
        <v>1</v>
      </c>
      <c r="I35" t="n">
        <v>0</v>
      </c>
      <c r="J35" t="n">
        <v>2</v>
      </c>
      <c r="K35" t="n">
        <v>0</v>
      </c>
      <c r="L35" t="n">
        <v>0</v>
      </c>
      <c r="M35" t="n">
        <v>0</v>
      </c>
      <c r="N35" t="n">
        <v>0</v>
      </c>
      <c r="O35" t="n">
        <v>2</v>
      </c>
      <c r="P35" t="n">
        <v>0</v>
      </c>
      <c r="Q35" t="n">
        <v>2</v>
      </c>
      <c r="R35" s="2" t="inlineStr">
        <is>
          <t>Garnlav
Tretåig hackspett</t>
        </is>
      </c>
      <c r="S35">
        <f>HYPERLINK("https://klasma.github.io/Logging_2034/artfynd/A 31164-2025 artfynd.xlsx", "A 31164-2025")</f>
        <v/>
      </c>
      <c r="T35">
        <f>HYPERLINK("https://klasma.github.io/Logging_2034/kartor/A 31164-2025 karta.png", "A 31164-2025")</f>
        <v/>
      </c>
      <c r="V35">
        <f>HYPERLINK("https://klasma.github.io/Logging_2034/klagomål/A 31164-2025 FSC-klagomål.docx", "A 31164-2025")</f>
        <v/>
      </c>
      <c r="W35">
        <f>HYPERLINK("https://klasma.github.io/Logging_2034/klagomålsmail/A 31164-2025 FSC-klagomål mail.docx", "A 31164-2025")</f>
        <v/>
      </c>
      <c r="X35">
        <f>HYPERLINK("https://klasma.github.io/Logging_2034/tillsyn/A 31164-2025 tillsynsbegäran.docx", "A 31164-2025")</f>
        <v/>
      </c>
      <c r="Y35">
        <f>HYPERLINK("https://klasma.github.io/Logging_2034/tillsynsmail/A 31164-2025 tillsynsbegäran mail.docx", "A 31164-2025")</f>
        <v/>
      </c>
      <c r="Z35">
        <f>HYPERLINK("https://klasma.github.io/Logging_2034/fåglar/A 31164-2025 prioriterade fågelarter.docx", "A 31164-2025")</f>
        <v/>
      </c>
    </row>
    <row r="36" ht="15" customHeight="1">
      <c r="A36" t="inlineStr">
        <is>
          <t>A 48343-2022</t>
        </is>
      </c>
      <c r="B36" s="1" t="n">
        <v>44858</v>
      </c>
      <c r="C36" s="1" t="n">
        <v>45878</v>
      </c>
      <c r="D36" t="inlineStr">
        <is>
          <t>DALARNAS LÄN</t>
        </is>
      </c>
      <c r="E36" t="inlineStr">
        <is>
          <t>ORSA</t>
        </is>
      </c>
      <c r="G36" t="n">
        <v>1.6</v>
      </c>
      <c r="H36" t="n">
        <v>2</v>
      </c>
      <c r="I36" t="n">
        <v>0</v>
      </c>
      <c r="J36" t="n">
        <v>1</v>
      </c>
      <c r="K36" t="n">
        <v>0</v>
      </c>
      <c r="L36" t="n">
        <v>0</v>
      </c>
      <c r="M36" t="n">
        <v>0</v>
      </c>
      <c r="N36" t="n">
        <v>0</v>
      </c>
      <c r="O36" t="n">
        <v>1</v>
      </c>
      <c r="P36" t="n">
        <v>0</v>
      </c>
      <c r="Q36" t="n">
        <v>2</v>
      </c>
      <c r="R36" s="2" t="inlineStr">
        <is>
          <t>Nordfladdermus
Vattenfladdermus</t>
        </is>
      </c>
      <c r="S36">
        <f>HYPERLINK("https://klasma.github.io/Logging_2034/artfynd/A 48343-2022 artfynd.xlsx", "A 48343-2022")</f>
        <v/>
      </c>
      <c r="T36">
        <f>HYPERLINK("https://klasma.github.io/Logging_2034/kartor/A 48343-2022 karta.png", "A 48343-2022")</f>
        <v/>
      </c>
      <c r="V36">
        <f>HYPERLINK("https://klasma.github.io/Logging_2034/klagomål/A 48343-2022 FSC-klagomål.docx", "A 48343-2022")</f>
        <v/>
      </c>
      <c r="W36">
        <f>HYPERLINK("https://klasma.github.io/Logging_2034/klagomålsmail/A 48343-2022 FSC-klagomål mail.docx", "A 48343-2022")</f>
        <v/>
      </c>
      <c r="X36">
        <f>HYPERLINK("https://klasma.github.io/Logging_2034/tillsyn/A 48343-2022 tillsynsbegäran.docx", "A 48343-2022")</f>
        <v/>
      </c>
      <c r="Y36">
        <f>HYPERLINK("https://klasma.github.io/Logging_2034/tillsynsmail/A 48343-2022 tillsynsbegäran mail.docx", "A 48343-2022")</f>
        <v/>
      </c>
    </row>
    <row r="37" ht="15" customHeight="1">
      <c r="A37" t="inlineStr">
        <is>
          <t>A 38211-2020</t>
        </is>
      </c>
      <c r="B37" s="1" t="n">
        <v>44060</v>
      </c>
      <c r="C37" s="1" t="n">
        <v>45878</v>
      </c>
      <c r="D37" t="inlineStr">
        <is>
          <t>DALARNAS LÄN</t>
        </is>
      </c>
      <c r="E37" t="inlineStr">
        <is>
          <t>ORSA</t>
        </is>
      </c>
      <c r="G37" t="n">
        <v>1.2</v>
      </c>
      <c r="H37" t="n">
        <v>1</v>
      </c>
      <c r="I37" t="n">
        <v>0</v>
      </c>
      <c r="J37" t="n">
        <v>1</v>
      </c>
      <c r="K37" t="n">
        <v>0</v>
      </c>
      <c r="L37" t="n">
        <v>0</v>
      </c>
      <c r="M37" t="n">
        <v>0</v>
      </c>
      <c r="N37" t="n">
        <v>0</v>
      </c>
      <c r="O37" t="n">
        <v>1</v>
      </c>
      <c r="P37" t="n">
        <v>0</v>
      </c>
      <c r="Q37" t="n">
        <v>1</v>
      </c>
      <c r="R37" s="2" t="inlineStr">
        <is>
          <t>Utter</t>
        </is>
      </c>
      <c r="S37">
        <f>HYPERLINK("https://klasma.github.io/Logging_2034/artfynd/A 38211-2020 artfynd.xlsx", "A 38211-2020")</f>
        <v/>
      </c>
      <c r="T37">
        <f>HYPERLINK("https://klasma.github.io/Logging_2034/kartor/A 38211-2020 karta.png", "A 38211-2020")</f>
        <v/>
      </c>
      <c r="V37">
        <f>HYPERLINK("https://klasma.github.io/Logging_2034/klagomål/A 38211-2020 FSC-klagomål.docx", "A 38211-2020")</f>
        <v/>
      </c>
      <c r="W37">
        <f>HYPERLINK("https://klasma.github.io/Logging_2034/klagomålsmail/A 38211-2020 FSC-klagomål mail.docx", "A 38211-2020")</f>
        <v/>
      </c>
      <c r="X37">
        <f>HYPERLINK("https://klasma.github.io/Logging_2034/tillsyn/A 38211-2020 tillsynsbegäran.docx", "A 38211-2020")</f>
        <v/>
      </c>
      <c r="Y37">
        <f>HYPERLINK("https://klasma.github.io/Logging_2034/tillsynsmail/A 38211-2020 tillsynsbegäran mail.docx", "A 38211-2020")</f>
        <v/>
      </c>
    </row>
    <row r="38" ht="15" customHeight="1">
      <c r="A38" t="inlineStr">
        <is>
          <t>A 37887-2023</t>
        </is>
      </c>
      <c r="B38" s="1" t="n">
        <v>45160</v>
      </c>
      <c r="C38" s="1" t="n">
        <v>45878</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45878</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45878</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45878</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45878</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45878</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45878</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45878</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45878</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45878</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45878</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45878</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45878</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45878</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45878</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45878</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45878</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45878</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45878</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45878</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45878</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45878</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45878</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45878</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45878</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45878</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45878</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45878</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45878</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45878</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45878</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45878</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45878</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45878</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45878</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45878</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45878</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45878</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21678-2021</t>
        </is>
      </c>
      <c r="B76" s="1" t="n">
        <v>44322</v>
      </c>
      <c r="C76" s="1" t="n">
        <v>45878</v>
      </c>
      <c r="D76" t="inlineStr">
        <is>
          <t>DALARNAS LÄN</t>
        </is>
      </c>
      <c r="E76" t="inlineStr">
        <is>
          <t>ORSA</t>
        </is>
      </c>
      <c r="G76" t="n">
        <v>11.4</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45878</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31647-2021</t>
        </is>
      </c>
      <c r="B78" s="1" t="n">
        <v>44369.63069444444</v>
      </c>
      <c r="C78" s="1" t="n">
        <v>45878</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45878</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45878</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41425-2021</t>
        </is>
      </c>
      <c r="B81" s="1" t="n">
        <v>44424.71729166667</v>
      </c>
      <c r="C81" s="1" t="n">
        <v>45878</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45878</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45878</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45878</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45878</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45878</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45878</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41079-2020</t>
        </is>
      </c>
      <c r="B88" s="1" t="n">
        <v>44071</v>
      </c>
      <c r="C88" s="1" t="n">
        <v>45878</v>
      </c>
      <c r="D88" t="inlineStr">
        <is>
          <t>DALARNAS LÄN</t>
        </is>
      </c>
      <c r="E88" t="inlineStr">
        <is>
          <t>ORSA</t>
        </is>
      </c>
      <c r="G88" t="n">
        <v>2.2</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45878</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45878</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36822-2020</t>
        </is>
      </c>
      <c r="B91" s="1" t="n">
        <v>44053</v>
      </c>
      <c r="C91" s="1" t="n">
        <v>45878</v>
      </c>
      <c r="D91" t="inlineStr">
        <is>
          <t>DALARNAS LÄN</t>
        </is>
      </c>
      <c r="E91" t="inlineStr">
        <is>
          <t>ORSA</t>
        </is>
      </c>
      <c r="F91" t="inlineStr">
        <is>
          <t>Bergvik skog öst AB</t>
        </is>
      </c>
      <c r="G91" t="n">
        <v>1.2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45878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45878</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45878</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45878</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45878</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36919-2020</t>
        </is>
      </c>
      <c r="B97" s="1" t="n">
        <v>44053</v>
      </c>
      <c r="C97" s="1" t="n">
        <v>45878</v>
      </c>
      <c r="D97" t="inlineStr">
        <is>
          <t>DALARNAS LÄN</t>
        </is>
      </c>
      <c r="E97" t="inlineStr">
        <is>
          <t>ORSA</t>
        </is>
      </c>
      <c r="F97" t="inlineStr">
        <is>
          <t>Bergvik skog öst AB</t>
        </is>
      </c>
      <c r="G97" t="n">
        <v>1.6</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45878</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45878</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45878</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29366-2021</t>
        </is>
      </c>
      <c r="B101" s="1" t="n">
        <v>44361.46637731481</v>
      </c>
      <c r="C101" s="1" t="n">
        <v>45878</v>
      </c>
      <c r="D101" t="inlineStr">
        <is>
          <t>DALARNAS LÄN</t>
        </is>
      </c>
      <c r="E101" t="inlineStr">
        <is>
          <t>ORSA</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45878</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45878</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45878</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35477-2023</t>
        </is>
      </c>
      <c r="B105" s="1" t="n">
        <v>45146</v>
      </c>
      <c r="C105" s="1" t="n">
        <v>45878</v>
      </c>
      <c r="D105" t="inlineStr">
        <is>
          <t>DALARNAS LÄN</t>
        </is>
      </c>
      <c r="E105" t="inlineStr">
        <is>
          <t>ORSA</t>
        </is>
      </c>
      <c r="G105" t="n">
        <v>7.7</v>
      </c>
      <c r="H105" t="n">
        <v>0</v>
      </c>
      <c r="I105" t="n">
        <v>0</v>
      </c>
      <c r="J105" t="n">
        <v>0</v>
      </c>
      <c r="K105" t="n">
        <v>0</v>
      </c>
      <c r="L105" t="n">
        <v>0</v>
      </c>
      <c r="M105" t="n">
        <v>0</v>
      </c>
      <c r="N105" t="n">
        <v>0</v>
      </c>
      <c r="O105" t="n">
        <v>0</v>
      </c>
      <c r="P105" t="n">
        <v>0</v>
      </c>
      <c r="Q105" t="n">
        <v>0</v>
      </c>
      <c r="R105" s="2" t="inlineStr"/>
    </row>
    <row r="106" ht="15" customHeight="1">
      <c r="A106" t="inlineStr">
        <is>
          <t>A 37647-2023</t>
        </is>
      </c>
      <c r="B106" s="1" t="n">
        <v>45159</v>
      </c>
      <c r="C106" s="1" t="n">
        <v>45878</v>
      </c>
      <c r="D106" t="inlineStr">
        <is>
          <t>DALARNAS LÄN</t>
        </is>
      </c>
      <c r="E106" t="inlineStr">
        <is>
          <t>ORSA</t>
        </is>
      </c>
      <c r="F106" t="inlineStr">
        <is>
          <t>Allmännings- och besparingsskogar</t>
        </is>
      </c>
      <c r="G106" t="n">
        <v>2.1</v>
      </c>
      <c r="H106" t="n">
        <v>0</v>
      </c>
      <c r="I106" t="n">
        <v>0</v>
      </c>
      <c r="J106" t="n">
        <v>0</v>
      </c>
      <c r="K106" t="n">
        <v>0</v>
      </c>
      <c r="L106" t="n">
        <v>0</v>
      </c>
      <c r="M106" t="n">
        <v>0</v>
      </c>
      <c r="N106" t="n">
        <v>0</v>
      </c>
      <c r="O106" t="n">
        <v>0</v>
      </c>
      <c r="P106" t="n">
        <v>0</v>
      </c>
      <c r="Q106" t="n">
        <v>0</v>
      </c>
      <c r="R106" s="2" t="inlineStr"/>
    </row>
    <row r="107" ht="15" customHeight="1">
      <c r="A107" t="inlineStr">
        <is>
          <t>A 47579-2023</t>
        </is>
      </c>
      <c r="B107" s="1" t="n">
        <v>45203.42181712963</v>
      </c>
      <c r="C107" s="1" t="n">
        <v>45878</v>
      </c>
      <c r="D107" t="inlineStr">
        <is>
          <t>DALARNAS LÄN</t>
        </is>
      </c>
      <c r="E107" t="inlineStr">
        <is>
          <t>ORSA</t>
        </is>
      </c>
      <c r="G107" t="n">
        <v>2.9</v>
      </c>
      <c r="H107" t="n">
        <v>0</v>
      </c>
      <c r="I107" t="n">
        <v>0</v>
      </c>
      <c r="J107" t="n">
        <v>0</v>
      </c>
      <c r="K107" t="n">
        <v>0</v>
      </c>
      <c r="L107" t="n">
        <v>0</v>
      </c>
      <c r="M107" t="n">
        <v>0</v>
      </c>
      <c r="N107" t="n">
        <v>0</v>
      </c>
      <c r="O107" t="n">
        <v>0</v>
      </c>
      <c r="P107" t="n">
        <v>0</v>
      </c>
      <c r="Q107" t="n">
        <v>0</v>
      </c>
      <c r="R107" s="2" t="inlineStr"/>
    </row>
    <row r="108" ht="15" customHeight="1">
      <c r="A108" t="inlineStr">
        <is>
          <t>A 56807-2024</t>
        </is>
      </c>
      <c r="B108" s="1" t="n">
        <v>45628.47519675926</v>
      </c>
      <c r="C108" s="1" t="n">
        <v>45878</v>
      </c>
      <c r="D108" t="inlineStr">
        <is>
          <t>DALARNAS LÄN</t>
        </is>
      </c>
      <c r="E108" t="inlineStr">
        <is>
          <t>ORSA</t>
        </is>
      </c>
      <c r="G108" t="n">
        <v>1.9</v>
      </c>
      <c r="H108" t="n">
        <v>0</v>
      </c>
      <c r="I108" t="n">
        <v>0</v>
      </c>
      <c r="J108" t="n">
        <v>0</v>
      </c>
      <c r="K108" t="n">
        <v>0</v>
      </c>
      <c r="L108" t="n">
        <v>0</v>
      </c>
      <c r="M108" t="n">
        <v>0</v>
      </c>
      <c r="N108" t="n">
        <v>0</v>
      </c>
      <c r="O108" t="n">
        <v>0</v>
      </c>
      <c r="P108" t="n">
        <v>0</v>
      </c>
      <c r="Q108" t="n">
        <v>0</v>
      </c>
      <c r="R108" s="2" t="inlineStr"/>
    </row>
    <row r="109" ht="15" customHeight="1">
      <c r="A109" t="inlineStr">
        <is>
          <t>A 38611-2022</t>
        </is>
      </c>
      <c r="B109" s="1" t="n">
        <v>44813.60177083333</v>
      </c>
      <c r="C109" s="1" t="n">
        <v>45878</v>
      </c>
      <c r="D109" t="inlineStr">
        <is>
          <t>DALARNAS LÄN</t>
        </is>
      </c>
      <c r="E109" t="inlineStr">
        <is>
          <t>ORSA</t>
        </is>
      </c>
      <c r="G109" t="n">
        <v>3.6</v>
      </c>
      <c r="H109" t="n">
        <v>0</v>
      </c>
      <c r="I109" t="n">
        <v>0</v>
      </c>
      <c r="J109" t="n">
        <v>0</v>
      </c>
      <c r="K109" t="n">
        <v>0</v>
      </c>
      <c r="L109" t="n">
        <v>0</v>
      </c>
      <c r="M109" t="n">
        <v>0</v>
      </c>
      <c r="N109" t="n">
        <v>0</v>
      </c>
      <c r="O109" t="n">
        <v>0</v>
      </c>
      <c r="P109" t="n">
        <v>0</v>
      </c>
      <c r="Q109" t="n">
        <v>0</v>
      </c>
      <c r="R109" s="2" t="inlineStr"/>
    </row>
    <row r="110" ht="15" customHeight="1">
      <c r="A110" t="inlineStr">
        <is>
          <t>A 33673-2023</t>
        </is>
      </c>
      <c r="B110" s="1" t="n">
        <v>45132</v>
      </c>
      <c r="C110" s="1" t="n">
        <v>45878</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2948-2025</t>
        </is>
      </c>
      <c r="B111" s="1" t="n">
        <v>45678.42868055555</v>
      </c>
      <c r="C111" s="1" t="n">
        <v>45878</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47134-2024</t>
        </is>
      </c>
      <c r="B112" s="1" t="n">
        <v>45586.58081018519</v>
      </c>
      <c r="C112" s="1" t="n">
        <v>45878</v>
      </c>
      <c r="D112" t="inlineStr">
        <is>
          <t>DALARNAS LÄN</t>
        </is>
      </c>
      <c r="E112" t="inlineStr">
        <is>
          <t>ORSA</t>
        </is>
      </c>
      <c r="G112" t="n">
        <v>0.3</v>
      </c>
      <c r="H112" t="n">
        <v>0</v>
      </c>
      <c r="I112" t="n">
        <v>0</v>
      </c>
      <c r="J112" t="n">
        <v>0</v>
      </c>
      <c r="K112" t="n">
        <v>0</v>
      </c>
      <c r="L112" t="n">
        <v>0</v>
      </c>
      <c r="M112" t="n">
        <v>0</v>
      </c>
      <c r="N112" t="n">
        <v>0</v>
      </c>
      <c r="O112" t="n">
        <v>0</v>
      </c>
      <c r="P112" t="n">
        <v>0</v>
      </c>
      <c r="Q112" t="n">
        <v>0</v>
      </c>
      <c r="R112" s="2" t="inlineStr"/>
    </row>
    <row r="113" ht="15" customHeight="1">
      <c r="A113" t="inlineStr">
        <is>
          <t>A 58853-2022</t>
        </is>
      </c>
      <c r="B113" s="1" t="n">
        <v>44903</v>
      </c>
      <c r="C113" s="1" t="n">
        <v>45878</v>
      </c>
      <c r="D113" t="inlineStr">
        <is>
          <t>DALARNAS LÄN</t>
        </is>
      </c>
      <c r="E113" t="inlineStr">
        <is>
          <t>ORSA</t>
        </is>
      </c>
      <c r="F113" t="inlineStr">
        <is>
          <t>Bergvik skog öst AB</t>
        </is>
      </c>
      <c r="G113" t="n">
        <v>0.5</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45878</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53758-2024</t>
        </is>
      </c>
      <c r="B115" s="1" t="n">
        <v>45615.50483796297</v>
      </c>
      <c r="C115" s="1" t="n">
        <v>45878</v>
      </c>
      <c r="D115" t="inlineStr">
        <is>
          <t>DALARNAS LÄN</t>
        </is>
      </c>
      <c r="E115" t="inlineStr">
        <is>
          <t>ORSA</t>
        </is>
      </c>
      <c r="G115" t="n">
        <v>0.5</v>
      </c>
      <c r="H115" t="n">
        <v>0</v>
      </c>
      <c r="I115" t="n">
        <v>0</v>
      </c>
      <c r="J115" t="n">
        <v>0</v>
      </c>
      <c r="K115" t="n">
        <v>0</v>
      </c>
      <c r="L115" t="n">
        <v>0</v>
      </c>
      <c r="M115" t="n">
        <v>0</v>
      </c>
      <c r="N115" t="n">
        <v>0</v>
      </c>
      <c r="O115" t="n">
        <v>0</v>
      </c>
      <c r="P115" t="n">
        <v>0</v>
      </c>
      <c r="Q115" t="n">
        <v>0</v>
      </c>
      <c r="R115" s="2" t="inlineStr"/>
    </row>
    <row r="116" ht="15" customHeight="1">
      <c r="A116" t="inlineStr">
        <is>
          <t>A 53102-2021</t>
        </is>
      </c>
      <c r="B116" s="1" t="n">
        <v>44467</v>
      </c>
      <c r="C116" s="1" t="n">
        <v>45878</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45878</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1304-2024</t>
        </is>
      </c>
      <c r="B118" s="1" t="n">
        <v>45303</v>
      </c>
      <c r="C118" s="1" t="n">
        <v>45878</v>
      </c>
      <c r="D118" t="inlineStr">
        <is>
          <t>DALARNAS LÄN</t>
        </is>
      </c>
      <c r="E118" t="inlineStr">
        <is>
          <t>ORSA</t>
        </is>
      </c>
      <c r="G118" t="n">
        <v>3.8</v>
      </c>
      <c r="H118" t="n">
        <v>0</v>
      </c>
      <c r="I118" t="n">
        <v>0</v>
      </c>
      <c r="J118" t="n">
        <v>0</v>
      </c>
      <c r="K118" t="n">
        <v>0</v>
      </c>
      <c r="L118" t="n">
        <v>0</v>
      </c>
      <c r="M118" t="n">
        <v>0</v>
      </c>
      <c r="N118" t="n">
        <v>0</v>
      </c>
      <c r="O118" t="n">
        <v>0</v>
      </c>
      <c r="P118" t="n">
        <v>0</v>
      </c>
      <c r="Q118" t="n">
        <v>0</v>
      </c>
      <c r="R118" s="2" t="inlineStr"/>
    </row>
    <row r="119" ht="15" customHeight="1">
      <c r="A119" t="inlineStr">
        <is>
          <t>A 47732-2021</t>
        </is>
      </c>
      <c r="B119" s="1" t="n">
        <v>44448.52815972222</v>
      </c>
      <c r="C119" s="1" t="n">
        <v>45878</v>
      </c>
      <c r="D119" t="inlineStr">
        <is>
          <t>DALARNAS LÄN</t>
        </is>
      </c>
      <c r="E119" t="inlineStr">
        <is>
          <t>ORSA</t>
        </is>
      </c>
      <c r="G119" t="n">
        <v>0.8</v>
      </c>
      <c r="H119" t="n">
        <v>0</v>
      </c>
      <c r="I119" t="n">
        <v>0</v>
      </c>
      <c r="J119" t="n">
        <v>0</v>
      </c>
      <c r="K119" t="n">
        <v>0</v>
      </c>
      <c r="L119" t="n">
        <v>0</v>
      </c>
      <c r="M119" t="n">
        <v>0</v>
      </c>
      <c r="N119" t="n">
        <v>0</v>
      </c>
      <c r="O119" t="n">
        <v>0</v>
      </c>
      <c r="P119" t="n">
        <v>0</v>
      </c>
      <c r="Q119" t="n">
        <v>0</v>
      </c>
      <c r="R119" s="2" t="inlineStr"/>
    </row>
    <row r="120" ht="15" customHeight="1">
      <c r="A120" t="inlineStr">
        <is>
          <t>A 11784-2024</t>
        </is>
      </c>
      <c r="B120" s="1" t="n">
        <v>45374.67886574074</v>
      </c>
      <c r="C120" s="1" t="n">
        <v>45878</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60189-2022</t>
        </is>
      </c>
      <c r="B121" s="1" t="n">
        <v>44910.36798611111</v>
      </c>
      <c r="C121" s="1" t="n">
        <v>45878</v>
      </c>
      <c r="D121" t="inlineStr">
        <is>
          <t>DALARNAS LÄN</t>
        </is>
      </c>
      <c r="E121" t="inlineStr">
        <is>
          <t>ORSA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55534-2023</t>
        </is>
      </c>
      <c r="B122" s="1" t="n">
        <v>45238</v>
      </c>
      <c r="C122" s="1" t="n">
        <v>45878</v>
      </c>
      <c r="D122" t="inlineStr">
        <is>
          <t>DALARNAS LÄN</t>
        </is>
      </c>
      <c r="E122" t="inlineStr">
        <is>
          <t>ORSA</t>
        </is>
      </c>
      <c r="G122" t="n">
        <v>0.8</v>
      </c>
      <c r="H122" t="n">
        <v>0</v>
      </c>
      <c r="I122" t="n">
        <v>0</v>
      </c>
      <c r="J122" t="n">
        <v>0</v>
      </c>
      <c r="K122" t="n">
        <v>0</v>
      </c>
      <c r="L122" t="n">
        <v>0</v>
      </c>
      <c r="M122" t="n">
        <v>0</v>
      </c>
      <c r="N122" t="n">
        <v>0</v>
      </c>
      <c r="O122" t="n">
        <v>0</v>
      </c>
      <c r="P122" t="n">
        <v>0</v>
      </c>
      <c r="Q122" t="n">
        <v>0</v>
      </c>
      <c r="R122" s="2" t="inlineStr"/>
    </row>
    <row r="123" ht="15" customHeight="1">
      <c r="A123" t="inlineStr">
        <is>
          <t>A 27877-2021</t>
        </is>
      </c>
      <c r="B123" s="1" t="n">
        <v>44354.6446875</v>
      </c>
      <c r="C123" s="1" t="n">
        <v>45878</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17848-2025</t>
        </is>
      </c>
      <c r="B124" s="1" t="n">
        <v>45758.59981481481</v>
      </c>
      <c r="C124" s="1" t="n">
        <v>45878</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13575-2025</t>
        </is>
      </c>
      <c r="B125" s="1" t="n">
        <v>45736.57871527778</v>
      </c>
      <c r="C125" s="1" t="n">
        <v>45878</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16992-2025</t>
        </is>
      </c>
      <c r="B126" s="1" t="n">
        <v>45755.50215277778</v>
      </c>
      <c r="C126" s="1" t="n">
        <v>45878</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27542-2021</t>
        </is>
      </c>
      <c r="B127" s="1" t="n">
        <v>44351</v>
      </c>
      <c r="C127" s="1" t="n">
        <v>45878</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30382-2023</t>
        </is>
      </c>
      <c r="B128" s="1" t="n">
        <v>45111</v>
      </c>
      <c r="C128" s="1" t="n">
        <v>45878</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48985-2023</t>
        </is>
      </c>
      <c r="B129" s="1" t="n">
        <v>45209.64077546296</v>
      </c>
      <c r="C129" s="1" t="n">
        <v>45878</v>
      </c>
      <c r="D129" t="inlineStr">
        <is>
          <t>DALARNAS LÄN</t>
        </is>
      </c>
      <c r="E129" t="inlineStr">
        <is>
          <t>ORSA</t>
        </is>
      </c>
      <c r="F129" t="inlineStr">
        <is>
          <t>Allmännings- och besparingsskogar</t>
        </is>
      </c>
      <c r="G129" t="n">
        <v>2.1</v>
      </c>
      <c r="H129" t="n">
        <v>0</v>
      </c>
      <c r="I129" t="n">
        <v>0</v>
      </c>
      <c r="J129" t="n">
        <v>0</v>
      </c>
      <c r="K129" t="n">
        <v>0</v>
      </c>
      <c r="L129" t="n">
        <v>0</v>
      </c>
      <c r="M129" t="n">
        <v>0</v>
      </c>
      <c r="N129" t="n">
        <v>0</v>
      </c>
      <c r="O129" t="n">
        <v>0</v>
      </c>
      <c r="P129" t="n">
        <v>0</v>
      </c>
      <c r="Q129" t="n">
        <v>0</v>
      </c>
      <c r="R129" s="2" t="inlineStr"/>
    </row>
    <row r="130" ht="15" customHeight="1">
      <c r="A130" t="inlineStr">
        <is>
          <t>A 20589-2025</t>
        </is>
      </c>
      <c r="B130" s="1" t="n">
        <v>45775</v>
      </c>
      <c r="C130" s="1" t="n">
        <v>45878</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892-2024</t>
        </is>
      </c>
      <c r="B131" s="1" t="n">
        <v>45301</v>
      </c>
      <c r="C131" s="1" t="n">
        <v>45878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17503-2025</t>
        </is>
      </c>
      <c r="B132" s="1" t="n">
        <v>45757.55321759259</v>
      </c>
      <c r="C132" s="1" t="n">
        <v>45878</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16777-2024</t>
        </is>
      </c>
      <c r="B133" s="1" t="n">
        <v>45411</v>
      </c>
      <c r="C133" s="1" t="n">
        <v>45878</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48516-2024</t>
        </is>
      </c>
      <c r="B134" s="1" t="n">
        <v>45593.31292824074</v>
      </c>
      <c r="C134" s="1" t="n">
        <v>45878</v>
      </c>
      <c r="D134" t="inlineStr">
        <is>
          <t>DALARNAS LÄN</t>
        </is>
      </c>
      <c r="E134" t="inlineStr">
        <is>
          <t>ORSA</t>
        </is>
      </c>
      <c r="G134" t="n">
        <v>3.3</v>
      </c>
      <c r="H134" t="n">
        <v>0</v>
      </c>
      <c r="I134" t="n">
        <v>0</v>
      </c>
      <c r="J134" t="n">
        <v>0</v>
      </c>
      <c r="K134" t="n">
        <v>0</v>
      </c>
      <c r="L134" t="n">
        <v>0</v>
      </c>
      <c r="M134" t="n">
        <v>0</v>
      </c>
      <c r="N134" t="n">
        <v>0</v>
      </c>
      <c r="O134" t="n">
        <v>0</v>
      </c>
      <c r="P134" t="n">
        <v>0</v>
      </c>
      <c r="Q134" t="n">
        <v>0</v>
      </c>
      <c r="R134" s="2" t="inlineStr"/>
    </row>
    <row r="135" ht="15" customHeight="1">
      <c r="A135" t="inlineStr">
        <is>
          <t>A 48521-2024</t>
        </is>
      </c>
      <c r="B135" s="1" t="n">
        <v>45593.32871527778</v>
      </c>
      <c r="C135" s="1" t="n">
        <v>45878</v>
      </c>
      <c r="D135" t="inlineStr">
        <is>
          <t>DALARNAS LÄN</t>
        </is>
      </c>
      <c r="E135" t="inlineStr">
        <is>
          <t>ORSA</t>
        </is>
      </c>
      <c r="G135" t="n">
        <v>1.6</v>
      </c>
      <c r="H135" t="n">
        <v>0</v>
      </c>
      <c r="I135" t="n">
        <v>0</v>
      </c>
      <c r="J135" t="n">
        <v>0</v>
      </c>
      <c r="K135" t="n">
        <v>0</v>
      </c>
      <c r="L135" t="n">
        <v>0</v>
      </c>
      <c r="M135" t="n">
        <v>0</v>
      </c>
      <c r="N135" t="n">
        <v>0</v>
      </c>
      <c r="O135" t="n">
        <v>0</v>
      </c>
      <c r="P135" t="n">
        <v>0</v>
      </c>
      <c r="Q135" t="n">
        <v>0</v>
      </c>
      <c r="R135" s="2" t="inlineStr"/>
    </row>
    <row r="136" ht="15" customHeight="1">
      <c r="A136" t="inlineStr">
        <is>
          <t>A 48525-2024</t>
        </is>
      </c>
      <c r="B136" s="1" t="n">
        <v>45593.33947916667</v>
      </c>
      <c r="C136" s="1" t="n">
        <v>45878</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52776-2022</t>
        </is>
      </c>
      <c r="B137" s="1" t="n">
        <v>44875.36341435185</v>
      </c>
      <c r="C137" s="1" t="n">
        <v>45878</v>
      </c>
      <c r="D137" t="inlineStr">
        <is>
          <t>DALARNAS LÄN</t>
        </is>
      </c>
      <c r="E137" t="inlineStr">
        <is>
          <t>ORSA</t>
        </is>
      </c>
      <c r="F137" t="inlineStr">
        <is>
          <t>Allmännings- och besparingsskogar</t>
        </is>
      </c>
      <c r="G137" t="n">
        <v>4.4</v>
      </c>
      <c r="H137" t="n">
        <v>0</v>
      </c>
      <c r="I137" t="n">
        <v>0</v>
      </c>
      <c r="J137" t="n">
        <v>0</v>
      </c>
      <c r="K137" t="n">
        <v>0</v>
      </c>
      <c r="L137" t="n">
        <v>0</v>
      </c>
      <c r="M137" t="n">
        <v>0</v>
      </c>
      <c r="N137" t="n">
        <v>0</v>
      </c>
      <c r="O137" t="n">
        <v>0</v>
      </c>
      <c r="P137" t="n">
        <v>0</v>
      </c>
      <c r="Q137" t="n">
        <v>0</v>
      </c>
      <c r="R137" s="2" t="inlineStr"/>
    </row>
    <row r="138" ht="15" customHeight="1">
      <c r="A138" t="inlineStr">
        <is>
          <t>A 60803-2022</t>
        </is>
      </c>
      <c r="B138" s="1" t="n">
        <v>44914</v>
      </c>
      <c r="C138" s="1" t="n">
        <v>45878</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52643-2024</t>
        </is>
      </c>
      <c r="B139" s="1" t="n">
        <v>45610.34175925926</v>
      </c>
      <c r="C139" s="1" t="n">
        <v>45878</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3318-2023</t>
        </is>
      </c>
      <c r="B140" s="1" t="n">
        <v>44949.41788194444</v>
      </c>
      <c r="C140" s="1" t="n">
        <v>45878</v>
      </c>
      <c r="D140" t="inlineStr">
        <is>
          <t>DALARNAS LÄN</t>
        </is>
      </c>
      <c r="E140" t="inlineStr">
        <is>
          <t>ORSA</t>
        </is>
      </c>
      <c r="G140" t="n">
        <v>4.4</v>
      </c>
      <c r="H140" t="n">
        <v>0</v>
      </c>
      <c r="I140" t="n">
        <v>0</v>
      </c>
      <c r="J140" t="n">
        <v>0</v>
      </c>
      <c r="K140" t="n">
        <v>0</v>
      </c>
      <c r="L140" t="n">
        <v>0</v>
      </c>
      <c r="M140" t="n">
        <v>0</v>
      </c>
      <c r="N140" t="n">
        <v>0</v>
      </c>
      <c r="O140" t="n">
        <v>0</v>
      </c>
      <c r="P140" t="n">
        <v>0</v>
      </c>
      <c r="Q140" t="n">
        <v>0</v>
      </c>
      <c r="R140" s="2" t="inlineStr"/>
    </row>
    <row r="141" ht="15" customHeight="1">
      <c r="A141" t="inlineStr">
        <is>
          <t>A 16392-2024</t>
        </is>
      </c>
      <c r="B141" s="1" t="n">
        <v>45407.62380787037</v>
      </c>
      <c r="C141" s="1" t="n">
        <v>45878</v>
      </c>
      <c r="D141" t="inlineStr">
        <is>
          <t>DALARNAS LÄN</t>
        </is>
      </c>
      <c r="E141" t="inlineStr">
        <is>
          <t>ORSA</t>
        </is>
      </c>
      <c r="G141" t="n">
        <v>3.4</v>
      </c>
      <c r="H141" t="n">
        <v>0</v>
      </c>
      <c r="I141" t="n">
        <v>0</v>
      </c>
      <c r="J141" t="n">
        <v>0</v>
      </c>
      <c r="K141" t="n">
        <v>0</v>
      </c>
      <c r="L141" t="n">
        <v>0</v>
      </c>
      <c r="M141" t="n">
        <v>0</v>
      </c>
      <c r="N141" t="n">
        <v>0</v>
      </c>
      <c r="O141" t="n">
        <v>0</v>
      </c>
      <c r="P141" t="n">
        <v>0</v>
      </c>
      <c r="Q141" t="n">
        <v>0</v>
      </c>
      <c r="R141" s="2" t="inlineStr"/>
    </row>
    <row r="142" ht="15" customHeight="1">
      <c r="A142" t="inlineStr">
        <is>
          <t>A 51915-2022</t>
        </is>
      </c>
      <c r="B142" s="1" t="n">
        <v>44872.62795138889</v>
      </c>
      <c r="C142" s="1" t="n">
        <v>45878</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18312-2024</t>
        </is>
      </c>
      <c r="B143" s="1" t="n">
        <v>45422.48225694444</v>
      </c>
      <c r="C143" s="1" t="n">
        <v>45878</v>
      </c>
      <c r="D143" t="inlineStr">
        <is>
          <t>DALARNAS LÄN</t>
        </is>
      </c>
      <c r="E143" t="inlineStr">
        <is>
          <t>ORSA</t>
        </is>
      </c>
      <c r="G143" t="n">
        <v>1.4</v>
      </c>
      <c r="H143" t="n">
        <v>0</v>
      </c>
      <c r="I143" t="n">
        <v>0</v>
      </c>
      <c r="J143" t="n">
        <v>0</v>
      </c>
      <c r="K143" t="n">
        <v>0</v>
      </c>
      <c r="L143" t="n">
        <v>0</v>
      </c>
      <c r="M143" t="n">
        <v>0</v>
      </c>
      <c r="N143" t="n">
        <v>0</v>
      </c>
      <c r="O143" t="n">
        <v>0</v>
      </c>
      <c r="P143" t="n">
        <v>0</v>
      </c>
      <c r="Q143" t="n">
        <v>0</v>
      </c>
      <c r="R143" s="2" t="inlineStr"/>
    </row>
    <row r="144" ht="15" customHeight="1">
      <c r="A144" t="inlineStr">
        <is>
          <t>A 61699-2020</t>
        </is>
      </c>
      <c r="B144" s="1" t="n">
        <v>44158</v>
      </c>
      <c r="C144" s="1" t="n">
        <v>45878</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9466-2023</t>
        </is>
      </c>
      <c r="B145" s="1" t="n">
        <v>44981</v>
      </c>
      <c r="C145" s="1" t="n">
        <v>45878</v>
      </c>
      <c r="D145" t="inlineStr">
        <is>
          <t>DALARNAS LÄN</t>
        </is>
      </c>
      <c r="E145" t="inlineStr">
        <is>
          <t>ORSA</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34125-2023</t>
        </is>
      </c>
      <c r="B146" s="1" t="n">
        <v>45135</v>
      </c>
      <c r="C146" s="1" t="n">
        <v>45878</v>
      </c>
      <c r="D146" t="inlineStr">
        <is>
          <t>DALARNAS LÄN</t>
        </is>
      </c>
      <c r="E146" t="inlineStr">
        <is>
          <t>ORSA</t>
        </is>
      </c>
      <c r="G146" t="n">
        <v>2.7</v>
      </c>
      <c r="H146" t="n">
        <v>0</v>
      </c>
      <c r="I146" t="n">
        <v>0</v>
      </c>
      <c r="J146" t="n">
        <v>0</v>
      </c>
      <c r="K146" t="n">
        <v>0</v>
      </c>
      <c r="L146" t="n">
        <v>0</v>
      </c>
      <c r="M146" t="n">
        <v>0</v>
      </c>
      <c r="N146" t="n">
        <v>0</v>
      </c>
      <c r="O146" t="n">
        <v>0</v>
      </c>
      <c r="P146" t="n">
        <v>0</v>
      </c>
      <c r="Q146" t="n">
        <v>0</v>
      </c>
      <c r="R146" s="2" t="inlineStr"/>
    </row>
    <row r="147" ht="15" customHeight="1">
      <c r="A147" t="inlineStr">
        <is>
          <t>A 21301-2023</t>
        </is>
      </c>
      <c r="B147" s="1" t="n">
        <v>45062.66613425926</v>
      </c>
      <c r="C147" s="1" t="n">
        <v>45878</v>
      </c>
      <c r="D147" t="inlineStr">
        <is>
          <t>DALARNAS LÄN</t>
        </is>
      </c>
      <c r="E147" t="inlineStr">
        <is>
          <t>ORSA</t>
        </is>
      </c>
      <c r="G147" t="n">
        <v>2.2</v>
      </c>
      <c r="H147" t="n">
        <v>0</v>
      </c>
      <c r="I147" t="n">
        <v>0</v>
      </c>
      <c r="J147" t="n">
        <v>0</v>
      </c>
      <c r="K147" t="n">
        <v>0</v>
      </c>
      <c r="L147" t="n">
        <v>0</v>
      </c>
      <c r="M147" t="n">
        <v>0</v>
      </c>
      <c r="N147" t="n">
        <v>0</v>
      </c>
      <c r="O147" t="n">
        <v>0</v>
      </c>
      <c r="P147" t="n">
        <v>0</v>
      </c>
      <c r="Q147" t="n">
        <v>0</v>
      </c>
      <c r="R147" s="2" t="inlineStr"/>
    </row>
    <row r="148" ht="15" customHeight="1">
      <c r="A148" t="inlineStr">
        <is>
          <t>A 36569-2021</t>
        </is>
      </c>
      <c r="B148" s="1" t="n">
        <v>44391</v>
      </c>
      <c r="C148" s="1" t="n">
        <v>45878</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29485-2022</t>
        </is>
      </c>
      <c r="B149" s="1" t="n">
        <v>44753</v>
      </c>
      <c r="C149" s="1" t="n">
        <v>45878</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13236-2022</t>
        </is>
      </c>
      <c r="B150" s="1" t="n">
        <v>44644.61106481482</v>
      </c>
      <c r="C150" s="1" t="n">
        <v>45878</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56711-2021</t>
        </is>
      </c>
      <c r="B151" s="1" t="n">
        <v>44481.41222222222</v>
      </c>
      <c r="C151" s="1" t="n">
        <v>45878</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52044-2023</t>
        </is>
      </c>
      <c r="B152" s="1" t="n">
        <v>45223.6365625</v>
      </c>
      <c r="C152" s="1" t="n">
        <v>45878</v>
      </c>
      <c r="D152" t="inlineStr">
        <is>
          <t>DALARNAS LÄN</t>
        </is>
      </c>
      <c r="E152" t="inlineStr">
        <is>
          <t>ORSA</t>
        </is>
      </c>
      <c r="G152" t="n">
        <v>2.6</v>
      </c>
      <c r="H152" t="n">
        <v>0</v>
      </c>
      <c r="I152" t="n">
        <v>0</v>
      </c>
      <c r="J152" t="n">
        <v>0</v>
      </c>
      <c r="K152" t="n">
        <v>0</v>
      </c>
      <c r="L152" t="n">
        <v>0</v>
      </c>
      <c r="M152" t="n">
        <v>0</v>
      </c>
      <c r="N152" t="n">
        <v>0</v>
      </c>
      <c r="O152" t="n">
        <v>0</v>
      </c>
      <c r="P152" t="n">
        <v>0</v>
      </c>
      <c r="Q152" t="n">
        <v>0</v>
      </c>
      <c r="R152" s="2" t="inlineStr"/>
    </row>
    <row r="153" ht="15" customHeight="1">
      <c r="A153" t="inlineStr">
        <is>
          <t>A 17500-2025</t>
        </is>
      </c>
      <c r="B153" s="1" t="n">
        <v>45757.54954861111</v>
      </c>
      <c r="C153" s="1" t="n">
        <v>45878</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17521-2025</t>
        </is>
      </c>
      <c r="B154" s="1" t="n">
        <v>45757.57952546296</v>
      </c>
      <c r="C154" s="1" t="n">
        <v>45878</v>
      </c>
      <c r="D154" t="inlineStr">
        <is>
          <t>DALARNAS LÄN</t>
        </is>
      </c>
      <c r="E154" t="inlineStr">
        <is>
          <t>ORSA</t>
        </is>
      </c>
      <c r="F154" t="inlineStr">
        <is>
          <t>Bergvik skog öst AB</t>
        </is>
      </c>
      <c r="G154" t="n">
        <v>3.6</v>
      </c>
      <c r="H154" t="n">
        <v>0</v>
      </c>
      <c r="I154" t="n">
        <v>0</v>
      </c>
      <c r="J154" t="n">
        <v>0</v>
      </c>
      <c r="K154" t="n">
        <v>0</v>
      </c>
      <c r="L154" t="n">
        <v>0</v>
      </c>
      <c r="M154" t="n">
        <v>0</v>
      </c>
      <c r="N154" t="n">
        <v>0</v>
      </c>
      <c r="O154" t="n">
        <v>0</v>
      </c>
      <c r="P154" t="n">
        <v>0</v>
      </c>
      <c r="Q154" t="n">
        <v>0</v>
      </c>
      <c r="R154" s="2" t="inlineStr"/>
    </row>
    <row r="155" ht="15" customHeight="1">
      <c r="A155" t="inlineStr">
        <is>
          <t>A 28451-2023</t>
        </is>
      </c>
      <c r="B155" s="1" t="n">
        <v>45103.33896990741</v>
      </c>
      <c r="C155" s="1" t="n">
        <v>45878</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16383-2024</t>
        </is>
      </c>
      <c r="B156" s="1" t="n">
        <v>45407.61697916667</v>
      </c>
      <c r="C156" s="1" t="n">
        <v>45878</v>
      </c>
      <c r="D156" t="inlineStr">
        <is>
          <t>DALARNAS LÄN</t>
        </is>
      </c>
      <c r="E156" t="inlineStr">
        <is>
          <t>ORSA</t>
        </is>
      </c>
      <c r="G156" t="n">
        <v>1.9</v>
      </c>
      <c r="H156" t="n">
        <v>0</v>
      </c>
      <c r="I156" t="n">
        <v>0</v>
      </c>
      <c r="J156" t="n">
        <v>0</v>
      </c>
      <c r="K156" t="n">
        <v>0</v>
      </c>
      <c r="L156" t="n">
        <v>0</v>
      </c>
      <c r="M156" t="n">
        <v>0</v>
      </c>
      <c r="N156" t="n">
        <v>0</v>
      </c>
      <c r="O156" t="n">
        <v>0</v>
      </c>
      <c r="P156" t="n">
        <v>0</v>
      </c>
      <c r="Q156" t="n">
        <v>0</v>
      </c>
      <c r="R156" s="2" t="inlineStr"/>
    </row>
    <row r="157" ht="15" customHeight="1">
      <c r="A157" t="inlineStr">
        <is>
          <t>A 8429-2024</t>
        </is>
      </c>
      <c r="B157" s="1" t="n">
        <v>45353.38880787037</v>
      </c>
      <c r="C157" s="1" t="n">
        <v>45878</v>
      </c>
      <c r="D157" t="inlineStr">
        <is>
          <t>DALARNAS LÄN</t>
        </is>
      </c>
      <c r="E157" t="inlineStr">
        <is>
          <t>ORSA</t>
        </is>
      </c>
      <c r="G157" t="n">
        <v>0.3</v>
      </c>
      <c r="H157" t="n">
        <v>0</v>
      </c>
      <c r="I157" t="n">
        <v>0</v>
      </c>
      <c r="J157" t="n">
        <v>0</v>
      </c>
      <c r="K157" t="n">
        <v>0</v>
      </c>
      <c r="L157" t="n">
        <v>0</v>
      </c>
      <c r="M157" t="n">
        <v>0</v>
      </c>
      <c r="N157" t="n">
        <v>0</v>
      </c>
      <c r="O157" t="n">
        <v>0</v>
      </c>
      <c r="P157" t="n">
        <v>0</v>
      </c>
      <c r="Q157" t="n">
        <v>0</v>
      </c>
      <c r="R157" s="2" t="inlineStr"/>
    </row>
    <row r="158" ht="15" customHeight="1">
      <c r="A158" t="inlineStr">
        <is>
          <t>A 28155-2023</t>
        </is>
      </c>
      <c r="B158" s="1" t="n">
        <v>45099</v>
      </c>
      <c r="C158" s="1" t="n">
        <v>45878</v>
      </c>
      <c r="D158" t="inlineStr">
        <is>
          <t>DALARNAS LÄN</t>
        </is>
      </c>
      <c r="E158" t="inlineStr">
        <is>
          <t>ORSA</t>
        </is>
      </c>
      <c r="F158" t="inlineStr">
        <is>
          <t>Bergvik skog öst AB</t>
        </is>
      </c>
      <c r="G158" t="n">
        <v>7.8</v>
      </c>
      <c r="H158" t="n">
        <v>0</v>
      </c>
      <c r="I158" t="n">
        <v>0</v>
      </c>
      <c r="J158" t="n">
        <v>0</v>
      </c>
      <c r="K158" t="n">
        <v>0</v>
      </c>
      <c r="L158" t="n">
        <v>0</v>
      </c>
      <c r="M158" t="n">
        <v>0</v>
      </c>
      <c r="N158" t="n">
        <v>0</v>
      </c>
      <c r="O158" t="n">
        <v>0</v>
      </c>
      <c r="P158" t="n">
        <v>0</v>
      </c>
      <c r="Q158" t="n">
        <v>0</v>
      </c>
      <c r="R158" s="2" t="inlineStr"/>
    </row>
    <row r="159" ht="15" customHeight="1">
      <c r="A159" t="inlineStr">
        <is>
          <t>A 51567-2023</t>
        </is>
      </c>
      <c r="B159" s="1" t="n">
        <v>45222.44800925926</v>
      </c>
      <c r="C159" s="1" t="n">
        <v>45878</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45878</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45878</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51289-2023</t>
        </is>
      </c>
      <c r="B162" s="1" t="n">
        <v>45219.54077546296</v>
      </c>
      <c r="C162" s="1" t="n">
        <v>45878</v>
      </c>
      <c r="D162" t="inlineStr">
        <is>
          <t>DALARNAS LÄN</t>
        </is>
      </c>
      <c r="E162" t="inlineStr">
        <is>
          <t>ORSA</t>
        </is>
      </c>
      <c r="G162" t="n">
        <v>1.5</v>
      </c>
      <c r="H162" t="n">
        <v>0</v>
      </c>
      <c r="I162" t="n">
        <v>0</v>
      </c>
      <c r="J162" t="n">
        <v>0</v>
      </c>
      <c r="K162" t="n">
        <v>0</v>
      </c>
      <c r="L162" t="n">
        <v>0</v>
      </c>
      <c r="M162" t="n">
        <v>0</v>
      </c>
      <c r="N162" t="n">
        <v>0</v>
      </c>
      <c r="O162" t="n">
        <v>0</v>
      </c>
      <c r="P162" t="n">
        <v>0</v>
      </c>
      <c r="Q162" t="n">
        <v>0</v>
      </c>
      <c r="R162" s="2" t="inlineStr"/>
    </row>
    <row r="163" ht="15" customHeight="1">
      <c r="A163" t="inlineStr">
        <is>
          <t>A 48990-2023</t>
        </is>
      </c>
      <c r="B163" s="1" t="n">
        <v>45209.64740740741</v>
      </c>
      <c r="C163" s="1" t="n">
        <v>45878</v>
      </c>
      <c r="D163" t="inlineStr">
        <is>
          <t>DALARNAS LÄN</t>
        </is>
      </c>
      <c r="E163" t="inlineStr">
        <is>
          <t>ORSA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61684-2024</t>
        </is>
      </c>
      <c r="B164" s="1" t="n">
        <v>45647.56491898148</v>
      </c>
      <c r="C164" s="1" t="n">
        <v>45878</v>
      </c>
      <c r="D164" t="inlineStr">
        <is>
          <t>DALARNAS LÄN</t>
        </is>
      </c>
      <c r="E164" t="inlineStr">
        <is>
          <t>ORSA</t>
        </is>
      </c>
      <c r="G164" t="n">
        <v>5.8</v>
      </c>
      <c r="H164" t="n">
        <v>0</v>
      </c>
      <c r="I164" t="n">
        <v>0</v>
      </c>
      <c r="J164" t="n">
        <v>0</v>
      </c>
      <c r="K164" t="n">
        <v>0</v>
      </c>
      <c r="L164" t="n">
        <v>0</v>
      </c>
      <c r="M164" t="n">
        <v>0</v>
      </c>
      <c r="N164" t="n">
        <v>0</v>
      </c>
      <c r="O164" t="n">
        <v>0</v>
      </c>
      <c r="P164" t="n">
        <v>0</v>
      </c>
      <c r="Q164" t="n">
        <v>0</v>
      </c>
      <c r="R164" s="2" t="inlineStr"/>
    </row>
    <row r="165" ht="15" customHeight="1">
      <c r="A165" t="inlineStr">
        <is>
          <t>A 6047-2023</t>
        </is>
      </c>
      <c r="B165" s="1" t="n">
        <v>44964</v>
      </c>
      <c r="C165" s="1" t="n">
        <v>45878</v>
      </c>
      <c r="D165" t="inlineStr">
        <is>
          <t>DALARNAS LÄN</t>
        </is>
      </c>
      <c r="E165" t="inlineStr">
        <is>
          <t>ORSA</t>
        </is>
      </c>
      <c r="F165" t="inlineStr">
        <is>
          <t>Bergvik skog öst AB</t>
        </is>
      </c>
      <c r="G165" t="n">
        <v>0.2</v>
      </c>
      <c r="H165" t="n">
        <v>0</v>
      </c>
      <c r="I165" t="n">
        <v>0</v>
      </c>
      <c r="J165" t="n">
        <v>0</v>
      </c>
      <c r="K165" t="n">
        <v>0</v>
      </c>
      <c r="L165" t="n">
        <v>0</v>
      </c>
      <c r="M165" t="n">
        <v>0</v>
      </c>
      <c r="N165" t="n">
        <v>0</v>
      </c>
      <c r="O165" t="n">
        <v>0</v>
      </c>
      <c r="P165" t="n">
        <v>0</v>
      </c>
      <c r="Q165" t="n">
        <v>0</v>
      </c>
      <c r="R165" s="2" t="inlineStr"/>
    </row>
    <row r="166" ht="15" customHeight="1">
      <c r="A166" t="inlineStr">
        <is>
          <t>A 33384-2022</t>
        </is>
      </c>
      <c r="B166" s="1" t="n">
        <v>44788</v>
      </c>
      <c r="C166" s="1" t="n">
        <v>45878</v>
      </c>
      <c r="D166" t="inlineStr">
        <is>
          <t>DALARNAS LÄN</t>
        </is>
      </c>
      <c r="E166" t="inlineStr">
        <is>
          <t>ORSA</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31170-2023</t>
        </is>
      </c>
      <c r="B167" s="1" t="n">
        <v>45113.84923611111</v>
      </c>
      <c r="C167" s="1" t="n">
        <v>45878</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31171-2023</t>
        </is>
      </c>
      <c r="B168" s="1" t="n">
        <v>45113.85704861111</v>
      </c>
      <c r="C168" s="1" t="n">
        <v>45878</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50734-2023</t>
        </is>
      </c>
      <c r="B169" s="1" t="n">
        <v>45217.58043981482</v>
      </c>
      <c r="C169" s="1" t="n">
        <v>45878</v>
      </c>
      <c r="D169" t="inlineStr">
        <is>
          <t>DALARNAS LÄN</t>
        </is>
      </c>
      <c r="E169" t="inlineStr">
        <is>
          <t>ORSA</t>
        </is>
      </c>
      <c r="G169" t="n">
        <v>0.9</v>
      </c>
      <c r="H169" t="n">
        <v>0</v>
      </c>
      <c r="I169" t="n">
        <v>0</v>
      </c>
      <c r="J169" t="n">
        <v>0</v>
      </c>
      <c r="K169" t="n">
        <v>0</v>
      </c>
      <c r="L169" t="n">
        <v>0</v>
      </c>
      <c r="M169" t="n">
        <v>0</v>
      </c>
      <c r="N169" t="n">
        <v>0</v>
      </c>
      <c r="O169" t="n">
        <v>0</v>
      </c>
      <c r="P169" t="n">
        <v>0</v>
      </c>
      <c r="Q169" t="n">
        <v>0</v>
      </c>
      <c r="R169" s="2" t="inlineStr"/>
    </row>
    <row r="170" ht="15" customHeight="1">
      <c r="A170" t="inlineStr">
        <is>
          <t>A 6492-2025</t>
        </is>
      </c>
      <c r="B170" s="1" t="n">
        <v>45699</v>
      </c>
      <c r="C170" s="1" t="n">
        <v>45878</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45878</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13580-2025</t>
        </is>
      </c>
      <c r="B172" s="1" t="n">
        <v>45736.58362268518</v>
      </c>
      <c r="C172" s="1" t="n">
        <v>45878</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51574-2023</t>
        </is>
      </c>
      <c r="B173" s="1" t="n">
        <v>45222.45090277777</v>
      </c>
      <c r="C173" s="1" t="n">
        <v>45878</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2563-2025</t>
        </is>
      </c>
      <c r="B174" s="1" t="n">
        <v>45674.65692129629</v>
      </c>
      <c r="C174" s="1" t="n">
        <v>45878</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30290-2024</t>
        </is>
      </c>
      <c r="B175" s="1" t="n">
        <v>45490.64681712963</v>
      </c>
      <c r="C175" s="1" t="n">
        <v>45878</v>
      </c>
      <c r="D175" t="inlineStr">
        <is>
          <t>DALARNAS LÄN</t>
        </is>
      </c>
      <c r="E175" t="inlineStr">
        <is>
          <t>ORSA</t>
        </is>
      </c>
      <c r="F175" t="inlineStr">
        <is>
          <t>Bergvik skog öst AB</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14680-2023</t>
        </is>
      </c>
      <c r="B176" s="1" t="n">
        <v>45014.30054398148</v>
      </c>
      <c r="C176" s="1" t="n">
        <v>45878</v>
      </c>
      <c r="D176" t="inlineStr">
        <is>
          <t>DALARNAS LÄN</t>
        </is>
      </c>
      <c r="E176" t="inlineStr">
        <is>
          <t>ORSA</t>
        </is>
      </c>
      <c r="G176" t="n">
        <v>4.2</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45878</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54546-2024</t>
        </is>
      </c>
      <c r="B178" s="1" t="n">
        <v>45617.61476851852</v>
      </c>
      <c r="C178" s="1" t="n">
        <v>45878</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55338-2022</t>
        </is>
      </c>
      <c r="B179" s="1" t="n">
        <v>44887.45185185185</v>
      </c>
      <c r="C179" s="1" t="n">
        <v>45878</v>
      </c>
      <c r="D179" t="inlineStr">
        <is>
          <t>DALARNAS LÄN</t>
        </is>
      </c>
      <c r="E179" t="inlineStr">
        <is>
          <t>ORSA</t>
        </is>
      </c>
      <c r="G179" t="n">
        <v>2</v>
      </c>
      <c r="H179" t="n">
        <v>0</v>
      </c>
      <c r="I179" t="n">
        <v>0</v>
      </c>
      <c r="J179" t="n">
        <v>0</v>
      </c>
      <c r="K179" t="n">
        <v>0</v>
      </c>
      <c r="L179" t="n">
        <v>0</v>
      </c>
      <c r="M179" t="n">
        <v>0</v>
      </c>
      <c r="N179" t="n">
        <v>0</v>
      </c>
      <c r="O179" t="n">
        <v>0</v>
      </c>
      <c r="P179" t="n">
        <v>0</v>
      </c>
      <c r="Q179" t="n">
        <v>0</v>
      </c>
      <c r="R179" s="2" t="inlineStr"/>
    </row>
    <row r="180" ht="15" customHeight="1">
      <c r="A180" t="inlineStr">
        <is>
          <t>A 36682-2024</t>
        </is>
      </c>
      <c r="B180" s="1" t="n">
        <v>45537.65519675926</v>
      </c>
      <c r="C180" s="1" t="n">
        <v>45878</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52931-2024</t>
        </is>
      </c>
      <c r="B181" s="1" t="n">
        <v>45610.74833333334</v>
      </c>
      <c r="C181" s="1" t="n">
        <v>45878</v>
      </c>
      <c r="D181" t="inlineStr">
        <is>
          <t>DALARNAS LÄN</t>
        </is>
      </c>
      <c r="E181" t="inlineStr">
        <is>
          <t>ORSA</t>
        </is>
      </c>
      <c r="F181" t="inlineStr">
        <is>
          <t>Allmännings- och besparingsskogar</t>
        </is>
      </c>
      <c r="G181" t="n">
        <v>27.5</v>
      </c>
      <c r="H181" t="n">
        <v>0</v>
      </c>
      <c r="I181" t="n">
        <v>0</v>
      </c>
      <c r="J181" t="n">
        <v>0</v>
      </c>
      <c r="K181" t="n">
        <v>0</v>
      </c>
      <c r="L181" t="n">
        <v>0</v>
      </c>
      <c r="M181" t="n">
        <v>0</v>
      </c>
      <c r="N181" t="n">
        <v>0</v>
      </c>
      <c r="O181" t="n">
        <v>0</v>
      </c>
      <c r="P181" t="n">
        <v>0</v>
      </c>
      <c r="Q181" t="n">
        <v>0</v>
      </c>
      <c r="R181" s="2" t="inlineStr"/>
    </row>
    <row r="182" ht="15" customHeight="1">
      <c r="A182" t="inlineStr">
        <is>
          <t>A 57533-2022</t>
        </is>
      </c>
      <c r="B182" s="1" t="n">
        <v>44896.68393518519</v>
      </c>
      <c r="C182" s="1" t="n">
        <v>45878</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6476-2025</t>
        </is>
      </c>
      <c r="B183" s="1" t="n">
        <v>45699</v>
      </c>
      <c r="C183" s="1" t="n">
        <v>45878</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6479-2025</t>
        </is>
      </c>
      <c r="B184" s="1" t="n">
        <v>45699</v>
      </c>
      <c r="C184" s="1" t="n">
        <v>45878</v>
      </c>
      <c r="D184" t="inlineStr">
        <is>
          <t>DALARNAS LÄN</t>
        </is>
      </c>
      <c r="E184" t="inlineStr">
        <is>
          <t>ORSA</t>
        </is>
      </c>
      <c r="G184" t="n">
        <v>3.2</v>
      </c>
      <c r="H184" t="n">
        <v>0</v>
      </c>
      <c r="I184" t="n">
        <v>0</v>
      </c>
      <c r="J184" t="n">
        <v>0</v>
      </c>
      <c r="K184" t="n">
        <v>0</v>
      </c>
      <c r="L184" t="n">
        <v>0</v>
      </c>
      <c r="M184" t="n">
        <v>0</v>
      </c>
      <c r="N184" t="n">
        <v>0</v>
      </c>
      <c r="O184" t="n">
        <v>0</v>
      </c>
      <c r="P184" t="n">
        <v>0</v>
      </c>
      <c r="Q184" t="n">
        <v>0</v>
      </c>
      <c r="R184" s="2" t="inlineStr"/>
    </row>
    <row r="185" ht="15" customHeight="1">
      <c r="A185" t="inlineStr">
        <is>
          <t>A 20588-2025</t>
        </is>
      </c>
      <c r="B185" s="1" t="n">
        <v>45775</v>
      </c>
      <c r="C185" s="1" t="n">
        <v>45878</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30291-2024</t>
        </is>
      </c>
      <c r="B186" s="1" t="n">
        <v>45490.64978009259</v>
      </c>
      <c r="C186" s="1" t="n">
        <v>45878</v>
      </c>
      <c r="D186" t="inlineStr">
        <is>
          <t>DALARNAS LÄN</t>
        </is>
      </c>
      <c r="E186" t="inlineStr">
        <is>
          <t>ORSA</t>
        </is>
      </c>
      <c r="F186" t="inlineStr">
        <is>
          <t>Bergvik skog öst AB</t>
        </is>
      </c>
      <c r="G186" t="n">
        <v>7.5</v>
      </c>
      <c r="H186" t="n">
        <v>0</v>
      </c>
      <c r="I186" t="n">
        <v>0</v>
      </c>
      <c r="J186" t="n">
        <v>0</v>
      </c>
      <c r="K186" t="n">
        <v>0</v>
      </c>
      <c r="L186" t="n">
        <v>0</v>
      </c>
      <c r="M186" t="n">
        <v>0</v>
      </c>
      <c r="N186" t="n">
        <v>0</v>
      </c>
      <c r="O186" t="n">
        <v>0</v>
      </c>
      <c r="P186" t="n">
        <v>0</v>
      </c>
      <c r="Q186" t="n">
        <v>0</v>
      </c>
      <c r="R186" s="2" t="inlineStr"/>
    </row>
    <row r="187" ht="15" customHeight="1">
      <c r="A187" t="inlineStr">
        <is>
          <t>A 12101-2025</t>
        </is>
      </c>
      <c r="B187" s="1" t="n">
        <v>45729.33743055556</v>
      </c>
      <c r="C187" s="1" t="n">
        <v>45878</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29499-2024</t>
        </is>
      </c>
      <c r="B188" s="1" t="n">
        <v>45484</v>
      </c>
      <c r="C188" s="1" t="n">
        <v>45878</v>
      </c>
      <c r="D188" t="inlineStr">
        <is>
          <t>DALARNAS LÄN</t>
        </is>
      </c>
      <c r="E188" t="inlineStr">
        <is>
          <t>ORSA</t>
        </is>
      </c>
      <c r="G188" t="n">
        <v>1.7</v>
      </c>
      <c r="H188" t="n">
        <v>0</v>
      </c>
      <c r="I188" t="n">
        <v>0</v>
      </c>
      <c r="J188" t="n">
        <v>0</v>
      </c>
      <c r="K188" t="n">
        <v>0</v>
      </c>
      <c r="L188" t="n">
        <v>0</v>
      </c>
      <c r="M188" t="n">
        <v>0</v>
      </c>
      <c r="N188" t="n">
        <v>0</v>
      </c>
      <c r="O188" t="n">
        <v>0</v>
      </c>
      <c r="P188" t="n">
        <v>0</v>
      </c>
      <c r="Q188" t="n">
        <v>0</v>
      </c>
      <c r="R188" s="2" t="inlineStr"/>
    </row>
    <row r="189" ht="15" customHeight="1">
      <c r="A189" t="inlineStr">
        <is>
          <t>A 37836-2024</t>
        </is>
      </c>
      <c r="B189" s="1" t="n">
        <v>45544.35747685185</v>
      </c>
      <c r="C189" s="1" t="n">
        <v>45878</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8430-2024</t>
        </is>
      </c>
      <c r="B190" s="1" t="n">
        <v>45353.41157407407</v>
      </c>
      <c r="C190" s="1" t="n">
        <v>45878</v>
      </c>
      <c r="D190" t="inlineStr">
        <is>
          <t>DALARNAS LÄN</t>
        </is>
      </c>
      <c r="E190" t="inlineStr">
        <is>
          <t>ORSA</t>
        </is>
      </c>
      <c r="G190" t="n">
        <v>14.4</v>
      </c>
      <c r="H190" t="n">
        <v>0</v>
      </c>
      <c r="I190" t="n">
        <v>0</v>
      </c>
      <c r="J190" t="n">
        <v>0</v>
      </c>
      <c r="K190" t="n">
        <v>0</v>
      </c>
      <c r="L190" t="n">
        <v>0</v>
      </c>
      <c r="M190" t="n">
        <v>0</v>
      </c>
      <c r="N190" t="n">
        <v>0</v>
      </c>
      <c r="O190" t="n">
        <v>0</v>
      </c>
      <c r="P190" t="n">
        <v>0</v>
      </c>
      <c r="Q190" t="n">
        <v>0</v>
      </c>
      <c r="R190" s="2" t="inlineStr"/>
    </row>
    <row r="191" ht="15" customHeight="1">
      <c r="A191" t="inlineStr">
        <is>
          <t>A 5921-2025</t>
        </is>
      </c>
      <c r="B191" s="1" t="n">
        <v>45695</v>
      </c>
      <c r="C191" s="1" t="n">
        <v>45878</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7626-2025</t>
        </is>
      </c>
      <c r="B192" s="1" t="n">
        <v>45705.72799768519</v>
      </c>
      <c r="C192" s="1" t="n">
        <v>45878</v>
      </c>
      <c r="D192" t="inlineStr">
        <is>
          <t>DALARNAS LÄN</t>
        </is>
      </c>
      <c r="E192" t="inlineStr">
        <is>
          <t>ORSA</t>
        </is>
      </c>
      <c r="G192" t="n">
        <v>15.5</v>
      </c>
      <c r="H192" t="n">
        <v>0</v>
      </c>
      <c r="I192" t="n">
        <v>0</v>
      </c>
      <c r="J192" t="n">
        <v>0</v>
      </c>
      <c r="K192" t="n">
        <v>0</v>
      </c>
      <c r="L192" t="n">
        <v>0</v>
      </c>
      <c r="M192" t="n">
        <v>0</v>
      </c>
      <c r="N192" t="n">
        <v>0</v>
      </c>
      <c r="O192" t="n">
        <v>0</v>
      </c>
      <c r="P192" t="n">
        <v>0</v>
      </c>
      <c r="Q192" t="n">
        <v>0</v>
      </c>
      <c r="R192" s="2" t="inlineStr"/>
    </row>
    <row r="193" ht="15" customHeight="1">
      <c r="A193" t="inlineStr">
        <is>
          <t>A 28974-2024</t>
        </is>
      </c>
      <c r="B193" s="1" t="n">
        <v>45481.45445601852</v>
      </c>
      <c r="C193" s="1" t="n">
        <v>45878</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45878</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21446-2024</t>
        </is>
      </c>
      <c r="B195" s="1" t="n">
        <v>45441.45840277777</v>
      </c>
      <c r="C195" s="1" t="n">
        <v>45878</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45878</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50392-2024</t>
        </is>
      </c>
      <c r="B197" s="1" t="n">
        <v>45601.33789351852</v>
      </c>
      <c r="C197" s="1" t="n">
        <v>45878</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33945-2022</t>
        </is>
      </c>
      <c r="B198" s="1" t="n">
        <v>44790.66212962963</v>
      </c>
      <c r="C198" s="1" t="n">
        <v>45878</v>
      </c>
      <c r="D198" t="inlineStr">
        <is>
          <t>DALARNAS LÄN</t>
        </is>
      </c>
      <c r="E198" t="inlineStr">
        <is>
          <t>ORSA</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61277-2023</t>
        </is>
      </c>
      <c r="B199" s="1" t="n">
        <v>45264.52465277778</v>
      </c>
      <c r="C199" s="1" t="n">
        <v>45878</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16585-2023</t>
        </is>
      </c>
      <c r="B200" s="1" t="n">
        <v>45030</v>
      </c>
      <c r="C200" s="1" t="n">
        <v>45878</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41291-2021</t>
        </is>
      </c>
      <c r="B201" s="1" t="n">
        <v>44424</v>
      </c>
      <c r="C201" s="1" t="n">
        <v>45878</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44460.85565972222</v>
      </c>
      <c r="C202" s="1" t="n">
        <v>45878</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20808-2025</t>
        </is>
      </c>
      <c r="B203" s="1" t="n">
        <v>45776</v>
      </c>
      <c r="C203" s="1" t="n">
        <v>45878</v>
      </c>
      <c r="D203" t="inlineStr">
        <is>
          <t>DALARNAS LÄN</t>
        </is>
      </c>
      <c r="E203" t="inlineStr">
        <is>
          <t>ORSA</t>
        </is>
      </c>
      <c r="F203" t="inlineStr">
        <is>
          <t>Bergvik skog väst AB</t>
        </is>
      </c>
      <c r="G203" t="n">
        <v>14.3</v>
      </c>
      <c r="H203" t="n">
        <v>0</v>
      </c>
      <c r="I203" t="n">
        <v>0</v>
      </c>
      <c r="J203" t="n">
        <v>0</v>
      </c>
      <c r="K203" t="n">
        <v>0</v>
      </c>
      <c r="L203" t="n">
        <v>0</v>
      </c>
      <c r="M203" t="n">
        <v>0</v>
      </c>
      <c r="N203" t="n">
        <v>0</v>
      </c>
      <c r="O203" t="n">
        <v>0</v>
      </c>
      <c r="P203" t="n">
        <v>0</v>
      </c>
      <c r="Q203" t="n">
        <v>0</v>
      </c>
      <c r="R203" s="2" t="inlineStr"/>
    </row>
    <row r="204" ht="15" customHeight="1">
      <c r="A204" t="inlineStr">
        <is>
          <t>A 21376-2025</t>
        </is>
      </c>
      <c r="B204" s="1" t="n">
        <v>45782.45069444444</v>
      </c>
      <c r="C204" s="1" t="n">
        <v>45878</v>
      </c>
      <c r="D204" t="inlineStr">
        <is>
          <t>DALARNAS LÄN</t>
        </is>
      </c>
      <c r="E204" t="inlineStr">
        <is>
          <t>ORSA</t>
        </is>
      </c>
      <c r="G204" t="n">
        <v>4.6</v>
      </c>
      <c r="H204" t="n">
        <v>0</v>
      </c>
      <c r="I204" t="n">
        <v>0</v>
      </c>
      <c r="J204" t="n">
        <v>0</v>
      </c>
      <c r="K204" t="n">
        <v>0</v>
      </c>
      <c r="L204" t="n">
        <v>0</v>
      </c>
      <c r="M204" t="n">
        <v>0</v>
      </c>
      <c r="N204" t="n">
        <v>0</v>
      </c>
      <c r="O204" t="n">
        <v>0</v>
      </c>
      <c r="P204" t="n">
        <v>0</v>
      </c>
      <c r="Q204" t="n">
        <v>0</v>
      </c>
      <c r="R204" s="2" t="inlineStr"/>
    </row>
    <row r="205" ht="15" customHeight="1">
      <c r="A205" t="inlineStr">
        <is>
          <t>A 21335-2025</t>
        </is>
      </c>
      <c r="B205" s="1" t="n">
        <v>45782.37519675926</v>
      </c>
      <c r="C205" s="1" t="n">
        <v>45878</v>
      </c>
      <c r="D205" t="inlineStr">
        <is>
          <t>DALARNAS LÄN</t>
        </is>
      </c>
      <c r="E205" t="inlineStr">
        <is>
          <t>ORSA</t>
        </is>
      </c>
      <c r="F205" t="inlineStr">
        <is>
          <t>Bergvik skog väst AB</t>
        </is>
      </c>
      <c r="G205" t="n">
        <v>14.3</v>
      </c>
      <c r="H205" t="n">
        <v>0</v>
      </c>
      <c r="I205" t="n">
        <v>0</v>
      </c>
      <c r="J205" t="n">
        <v>0</v>
      </c>
      <c r="K205" t="n">
        <v>0</v>
      </c>
      <c r="L205" t="n">
        <v>0</v>
      </c>
      <c r="M205" t="n">
        <v>0</v>
      </c>
      <c r="N205" t="n">
        <v>0</v>
      </c>
      <c r="O205" t="n">
        <v>0</v>
      </c>
      <c r="P205" t="n">
        <v>0</v>
      </c>
      <c r="Q205" t="n">
        <v>0</v>
      </c>
      <c r="R205" s="2" t="inlineStr"/>
    </row>
    <row r="206" ht="15" customHeight="1">
      <c r="A206" t="inlineStr">
        <is>
          <t>A 41295-2021</t>
        </is>
      </c>
      <c r="B206" s="1" t="n">
        <v>44424</v>
      </c>
      <c r="C206" s="1" t="n">
        <v>45878</v>
      </c>
      <c r="D206" t="inlineStr">
        <is>
          <t>DALARNAS LÄN</t>
        </is>
      </c>
      <c r="E206" t="inlineStr">
        <is>
          <t>ORSA</t>
        </is>
      </c>
      <c r="G206" t="n">
        <v>3.1</v>
      </c>
      <c r="H206" t="n">
        <v>0</v>
      </c>
      <c r="I206" t="n">
        <v>0</v>
      </c>
      <c r="J206" t="n">
        <v>0</v>
      </c>
      <c r="K206" t="n">
        <v>0</v>
      </c>
      <c r="L206" t="n">
        <v>0</v>
      </c>
      <c r="M206" t="n">
        <v>0</v>
      </c>
      <c r="N206" t="n">
        <v>0</v>
      </c>
      <c r="O206" t="n">
        <v>0</v>
      </c>
      <c r="P206" t="n">
        <v>0</v>
      </c>
      <c r="Q206" t="n">
        <v>0</v>
      </c>
      <c r="R206" s="2" t="inlineStr"/>
    </row>
    <row r="207" ht="15" customHeight="1">
      <c r="A207" t="inlineStr">
        <is>
          <t>A 21747-2025</t>
        </is>
      </c>
      <c r="B207" s="1" t="n">
        <v>45783.60923611111</v>
      </c>
      <c r="C207" s="1" t="n">
        <v>45878</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37838-2024</t>
        </is>
      </c>
      <c r="B208" s="1" t="n">
        <v>45544.36310185185</v>
      </c>
      <c r="C208" s="1" t="n">
        <v>45878</v>
      </c>
      <c r="D208" t="inlineStr">
        <is>
          <t>DALARNAS LÄN</t>
        </is>
      </c>
      <c r="E208" t="inlineStr">
        <is>
          <t>ORSA</t>
        </is>
      </c>
      <c r="G208" t="n">
        <v>2.9</v>
      </c>
      <c r="H208" t="n">
        <v>0</v>
      </c>
      <c r="I208" t="n">
        <v>0</v>
      </c>
      <c r="J208" t="n">
        <v>0</v>
      </c>
      <c r="K208" t="n">
        <v>0</v>
      </c>
      <c r="L208" t="n">
        <v>0</v>
      </c>
      <c r="M208" t="n">
        <v>0</v>
      </c>
      <c r="N208" t="n">
        <v>0</v>
      </c>
      <c r="O208" t="n">
        <v>0</v>
      </c>
      <c r="P208" t="n">
        <v>0</v>
      </c>
      <c r="Q208" t="n">
        <v>0</v>
      </c>
      <c r="R208" s="2" t="inlineStr"/>
    </row>
    <row r="209" ht="15" customHeight="1">
      <c r="A209" t="inlineStr">
        <is>
          <t>A 29976-2025</t>
        </is>
      </c>
      <c r="B209" s="1" t="n">
        <v>45826.49146990741</v>
      </c>
      <c r="C209" s="1" t="n">
        <v>45878</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29984-2025</t>
        </is>
      </c>
      <c r="B210" s="1" t="n">
        <v>45826.49581018519</v>
      </c>
      <c r="C210" s="1" t="n">
        <v>45878</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879-2024</t>
        </is>
      </c>
      <c r="B211" s="1" t="n">
        <v>45301.36821759259</v>
      </c>
      <c r="C211" s="1" t="n">
        <v>45878</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21949-2025</t>
        </is>
      </c>
      <c r="B212" s="1" t="n">
        <v>45784.59369212963</v>
      </c>
      <c r="C212" s="1" t="n">
        <v>45878</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21165-2024</t>
        </is>
      </c>
      <c r="B213" s="1" t="n">
        <v>45440.45225694445</v>
      </c>
      <c r="C213" s="1" t="n">
        <v>45878</v>
      </c>
      <c r="D213" t="inlineStr">
        <is>
          <t>DALARNAS LÄN</t>
        </is>
      </c>
      <c r="E213" t="inlineStr">
        <is>
          <t>ORSA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41835-2024</t>
        </is>
      </c>
      <c r="B214" s="1" t="n">
        <v>45561.40888888889</v>
      </c>
      <c r="C214" s="1" t="n">
        <v>45878</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10004-2023</t>
        </is>
      </c>
      <c r="B215" s="1" t="n">
        <v>44985.60604166667</v>
      </c>
      <c r="C215" s="1" t="n">
        <v>45878</v>
      </c>
      <c r="D215" t="inlineStr">
        <is>
          <t>DALARNAS LÄN</t>
        </is>
      </c>
      <c r="E215" t="inlineStr">
        <is>
          <t>ORSA</t>
        </is>
      </c>
      <c r="G215" t="n">
        <v>2.1</v>
      </c>
      <c r="H215" t="n">
        <v>0</v>
      </c>
      <c r="I215" t="n">
        <v>0</v>
      </c>
      <c r="J215" t="n">
        <v>0</v>
      </c>
      <c r="K215" t="n">
        <v>0</v>
      </c>
      <c r="L215" t="n">
        <v>0</v>
      </c>
      <c r="M215" t="n">
        <v>0</v>
      </c>
      <c r="N215" t="n">
        <v>0</v>
      </c>
      <c r="O215" t="n">
        <v>0</v>
      </c>
      <c r="P215" t="n">
        <v>0</v>
      </c>
      <c r="Q215" t="n">
        <v>0</v>
      </c>
      <c r="R215" s="2" t="inlineStr"/>
    </row>
    <row r="216" ht="15" customHeight="1">
      <c r="A216" t="inlineStr">
        <is>
          <t>A 34169-2023</t>
        </is>
      </c>
      <c r="B216" s="1" t="n">
        <v>45138.3071412037</v>
      </c>
      <c r="C216" s="1" t="n">
        <v>45878</v>
      </c>
      <c r="D216" t="inlineStr">
        <is>
          <t>DALARNAS LÄN</t>
        </is>
      </c>
      <c r="E216" t="inlineStr">
        <is>
          <t>ORSA</t>
        </is>
      </c>
      <c r="F216" t="inlineStr">
        <is>
          <t>Allmännings- och besparingsskogar</t>
        </is>
      </c>
      <c r="G216" t="n">
        <v>0.7</v>
      </c>
      <c r="H216" t="n">
        <v>0</v>
      </c>
      <c r="I216" t="n">
        <v>0</v>
      </c>
      <c r="J216" t="n">
        <v>0</v>
      </c>
      <c r="K216" t="n">
        <v>0</v>
      </c>
      <c r="L216" t="n">
        <v>0</v>
      </c>
      <c r="M216" t="n">
        <v>0</v>
      </c>
      <c r="N216" t="n">
        <v>0</v>
      </c>
      <c r="O216" t="n">
        <v>0</v>
      </c>
      <c r="P216" t="n">
        <v>0</v>
      </c>
      <c r="Q216" t="n">
        <v>0</v>
      </c>
      <c r="R216" s="2" t="inlineStr"/>
    </row>
    <row r="217" ht="15" customHeight="1">
      <c r="A217" t="inlineStr">
        <is>
          <t>A 22332-2025</t>
        </is>
      </c>
      <c r="B217" s="1" t="n">
        <v>45786.43436342593</v>
      </c>
      <c r="C217" s="1" t="n">
        <v>45878</v>
      </c>
      <c r="D217" t="inlineStr">
        <is>
          <t>DALARNAS LÄN</t>
        </is>
      </c>
      <c r="E217" t="inlineStr">
        <is>
          <t>ORSA</t>
        </is>
      </c>
      <c r="G217" t="n">
        <v>5.5</v>
      </c>
      <c r="H217" t="n">
        <v>0</v>
      </c>
      <c r="I217" t="n">
        <v>0</v>
      </c>
      <c r="J217" t="n">
        <v>0</v>
      </c>
      <c r="K217" t="n">
        <v>0</v>
      </c>
      <c r="L217" t="n">
        <v>0</v>
      </c>
      <c r="M217" t="n">
        <v>0</v>
      </c>
      <c r="N217" t="n">
        <v>0</v>
      </c>
      <c r="O217" t="n">
        <v>0</v>
      </c>
      <c r="P217" t="n">
        <v>0</v>
      </c>
      <c r="Q217" t="n">
        <v>0</v>
      </c>
      <c r="R217" s="2" t="inlineStr"/>
    </row>
    <row r="218" ht="15" customHeight="1">
      <c r="A218" t="inlineStr">
        <is>
          <t>A 4566-2025</t>
        </is>
      </c>
      <c r="B218" s="1" t="n">
        <v>45687.46100694445</v>
      </c>
      <c r="C218" s="1" t="n">
        <v>45878</v>
      </c>
      <c r="D218" t="inlineStr">
        <is>
          <t>DALARNAS LÄN</t>
        </is>
      </c>
      <c r="E218" t="inlineStr">
        <is>
          <t>ORSA</t>
        </is>
      </c>
      <c r="G218" t="n">
        <v>2.1</v>
      </c>
      <c r="H218" t="n">
        <v>0</v>
      </c>
      <c r="I218" t="n">
        <v>0</v>
      </c>
      <c r="J218" t="n">
        <v>0</v>
      </c>
      <c r="K218" t="n">
        <v>0</v>
      </c>
      <c r="L218" t="n">
        <v>0</v>
      </c>
      <c r="M218" t="n">
        <v>0</v>
      </c>
      <c r="N218" t="n">
        <v>0</v>
      </c>
      <c r="O218" t="n">
        <v>0</v>
      </c>
      <c r="P218" t="n">
        <v>0</v>
      </c>
      <c r="Q218" t="n">
        <v>0</v>
      </c>
      <c r="R218" s="2" t="inlineStr"/>
    </row>
    <row r="219" ht="15" customHeight="1">
      <c r="A219" t="inlineStr">
        <is>
          <t>A 44904-2024</t>
        </is>
      </c>
      <c r="B219" s="1" t="n">
        <v>45575.38193287037</v>
      </c>
      <c r="C219" s="1" t="n">
        <v>45878</v>
      </c>
      <c r="D219" t="inlineStr">
        <is>
          <t>DALARNAS LÄN</t>
        </is>
      </c>
      <c r="E219" t="inlineStr">
        <is>
          <t>ORSA</t>
        </is>
      </c>
      <c r="F219" t="inlineStr">
        <is>
          <t>Bergvik skog öst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61685-2024</t>
        </is>
      </c>
      <c r="B220" s="1" t="n">
        <v>45647.56972222222</v>
      </c>
      <c r="C220" s="1" t="n">
        <v>45878</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37981-2024</t>
        </is>
      </c>
      <c r="B221" s="1" t="n">
        <v>45544</v>
      </c>
      <c r="C221" s="1" t="n">
        <v>45878</v>
      </c>
      <c r="D221" t="inlineStr">
        <is>
          <t>DALARNAS LÄN</t>
        </is>
      </c>
      <c r="E221" t="inlineStr">
        <is>
          <t>ORSA</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22172-2025</t>
        </is>
      </c>
      <c r="B222" s="1" t="n">
        <v>45785.6050925926</v>
      </c>
      <c r="C222" s="1" t="n">
        <v>45878</v>
      </c>
      <c r="D222" t="inlineStr">
        <is>
          <t>DALARNAS LÄN</t>
        </is>
      </c>
      <c r="E222" t="inlineStr">
        <is>
          <t>ORSA</t>
        </is>
      </c>
      <c r="F222" t="inlineStr">
        <is>
          <t>Bergvik skog öst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33488-2024</t>
        </is>
      </c>
      <c r="B223" s="1" t="n">
        <v>45519.61466435185</v>
      </c>
      <c r="C223" s="1" t="n">
        <v>45878</v>
      </c>
      <c r="D223" t="inlineStr">
        <is>
          <t>DALARNAS LÄN</t>
        </is>
      </c>
      <c r="E223" t="inlineStr">
        <is>
          <t>ORSA</t>
        </is>
      </c>
      <c r="F223" t="inlineStr">
        <is>
          <t>Övriga statliga verk och myndigheter</t>
        </is>
      </c>
      <c r="G223" t="n">
        <v>0.5</v>
      </c>
      <c r="H223" t="n">
        <v>0</v>
      </c>
      <c r="I223" t="n">
        <v>0</v>
      </c>
      <c r="J223" t="n">
        <v>0</v>
      </c>
      <c r="K223" t="n">
        <v>0</v>
      </c>
      <c r="L223" t="n">
        <v>0</v>
      </c>
      <c r="M223" t="n">
        <v>0</v>
      </c>
      <c r="N223" t="n">
        <v>0</v>
      </c>
      <c r="O223" t="n">
        <v>0</v>
      </c>
      <c r="P223" t="n">
        <v>0</v>
      </c>
      <c r="Q223" t="n">
        <v>0</v>
      </c>
      <c r="R223" s="2" t="inlineStr"/>
    </row>
    <row r="224" ht="15" customHeight="1">
      <c r="A224" t="inlineStr">
        <is>
          <t>A 48819-2024</t>
        </is>
      </c>
      <c r="B224" s="1" t="n">
        <v>45593.67824074074</v>
      </c>
      <c r="C224" s="1" t="n">
        <v>45878</v>
      </c>
      <c r="D224" t="inlineStr">
        <is>
          <t>DALARNAS LÄN</t>
        </is>
      </c>
      <c r="E224" t="inlineStr">
        <is>
          <t>ORSA</t>
        </is>
      </c>
      <c r="G224" t="n">
        <v>5</v>
      </c>
      <c r="H224" t="n">
        <v>0</v>
      </c>
      <c r="I224" t="n">
        <v>0</v>
      </c>
      <c r="J224" t="n">
        <v>0</v>
      </c>
      <c r="K224" t="n">
        <v>0</v>
      </c>
      <c r="L224" t="n">
        <v>0</v>
      </c>
      <c r="M224" t="n">
        <v>0</v>
      </c>
      <c r="N224" t="n">
        <v>0</v>
      </c>
      <c r="O224" t="n">
        <v>0</v>
      </c>
      <c r="P224" t="n">
        <v>0</v>
      </c>
      <c r="Q224" t="n">
        <v>0</v>
      </c>
      <c r="R224" s="2" t="inlineStr"/>
    </row>
    <row r="225" ht="15" customHeight="1">
      <c r="A225" t="inlineStr">
        <is>
          <t>A 36089-2023</t>
        </is>
      </c>
      <c r="B225" s="1" t="n">
        <v>45149.51068287037</v>
      </c>
      <c r="C225" s="1" t="n">
        <v>45878</v>
      </c>
      <c r="D225" t="inlineStr">
        <is>
          <t>DALARNAS LÄN</t>
        </is>
      </c>
      <c r="E225" t="inlineStr">
        <is>
          <t>ORSA</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890-2024</t>
        </is>
      </c>
      <c r="B226" s="1" t="n">
        <v>45301.40552083333</v>
      </c>
      <c r="C226" s="1" t="n">
        <v>45878</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62342-2023</t>
        </is>
      </c>
      <c r="B227" s="1" t="n">
        <v>45267.9268287037</v>
      </c>
      <c r="C227" s="1" t="n">
        <v>45878</v>
      </c>
      <c r="D227" t="inlineStr">
        <is>
          <t>DALARNAS LÄN</t>
        </is>
      </c>
      <c r="E227" t="inlineStr">
        <is>
          <t>ORSA</t>
        </is>
      </c>
      <c r="G227" t="n">
        <v>2.5</v>
      </c>
      <c r="H227" t="n">
        <v>0</v>
      </c>
      <c r="I227" t="n">
        <v>0</v>
      </c>
      <c r="J227" t="n">
        <v>0</v>
      </c>
      <c r="K227" t="n">
        <v>0</v>
      </c>
      <c r="L227" t="n">
        <v>0</v>
      </c>
      <c r="M227" t="n">
        <v>0</v>
      </c>
      <c r="N227" t="n">
        <v>0</v>
      </c>
      <c r="O227" t="n">
        <v>0</v>
      </c>
      <c r="P227" t="n">
        <v>0</v>
      </c>
      <c r="Q227" t="n">
        <v>0</v>
      </c>
      <c r="R227" s="2" t="inlineStr"/>
    </row>
    <row r="228" ht="15" customHeight="1">
      <c r="A228" t="inlineStr">
        <is>
          <t>A 55843-2023</t>
        </is>
      </c>
      <c r="B228" s="1" t="n">
        <v>45239</v>
      </c>
      <c r="C228" s="1" t="n">
        <v>45878</v>
      </c>
      <c r="D228" t="inlineStr">
        <is>
          <t>DALARNAS LÄN</t>
        </is>
      </c>
      <c r="E228" t="inlineStr">
        <is>
          <t>ORSA</t>
        </is>
      </c>
      <c r="G228" t="n">
        <v>2.4</v>
      </c>
      <c r="H228" t="n">
        <v>0</v>
      </c>
      <c r="I228" t="n">
        <v>0</v>
      </c>
      <c r="J228" t="n">
        <v>0</v>
      </c>
      <c r="K228" t="n">
        <v>0</v>
      </c>
      <c r="L228" t="n">
        <v>0</v>
      </c>
      <c r="M228" t="n">
        <v>0</v>
      </c>
      <c r="N228" t="n">
        <v>0</v>
      </c>
      <c r="O228" t="n">
        <v>0</v>
      </c>
      <c r="P228" t="n">
        <v>0</v>
      </c>
      <c r="Q228" t="n">
        <v>0</v>
      </c>
      <c r="R228" s="2" t="inlineStr"/>
    </row>
    <row r="229" ht="15" customHeight="1">
      <c r="A229" t="inlineStr">
        <is>
          <t>A 52903-2024</t>
        </is>
      </c>
      <c r="B229" s="1" t="n">
        <v>45610.6875462963</v>
      </c>
      <c r="C229" s="1" t="n">
        <v>45878</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22491-2025</t>
        </is>
      </c>
      <c r="B230" s="1" t="n">
        <v>45786.65040509259</v>
      </c>
      <c r="C230" s="1" t="n">
        <v>45878</v>
      </c>
      <c r="D230" t="inlineStr">
        <is>
          <t>DALARNAS LÄN</t>
        </is>
      </c>
      <c r="E230" t="inlineStr">
        <is>
          <t>ORSA</t>
        </is>
      </c>
      <c r="F230" t="inlineStr">
        <is>
          <t>Bergvik skog öst AB</t>
        </is>
      </c>
      <c r="G230" t="n">
        <v>5.7</v>
      </c>
      <c r="H230" t="n">
        <v>0</v>
      </c>
      <c r="I230" t="n">
        <v>0</v>
      </c>
      <c r="J230" t="n">
        <v>0</v>
      </c>
      <c r="K230" t="n">
        <v>0</v>
      </c>
      <c r="L230" t="n">
        <v>0</v>
      </c>
      <c r="M230" t="n">
        <v>0</v>
      </c>
      <c r="N230" t="n">
        <v>0</v>
      </c>
      <c r="O230" t="n">
        <v>0</v>
      </c>
      <c r="P230" t="n">
        <v>0</v>
      </c>
      <c r="Q230" t="n">
        <v>0</v>
      </c>
      <c r="R230" s="2" t="inlineStr"/>
    </row>
    <row r="231" ht="15" customHeight="1">
      <c r="A231" t="inlineStr">
        <is>
          <t>A 18009-2023</t>
        </is>
      </c>
      <c r="B231" s="1" t="n">
        <v>45040.56190972222</v>
      </c>
      <c r="C231" s="1" t="n">
        <v>45878</v>
      </c>
      <c r="D231" t="inlineStr">
        <is>
          <t>DALARNAS LÄN</t>
        </is>
      </c>
      <c r="E231" t="inlineStr">
        <is>
          <t>ORSA</t>
        </is>
      </c>
      <c r="G231" t="n">
        <v>5.8</v>
      </c>
      <c r="H231" t="n">
        <v>0</v>
      </c>
      <c r="I231" t="n">
        <v>0</v>
      </c>
      <c r="J231" t="n">
        <v>0</v>
      </c>
      <c r="K231" t="n">
        <v>0</v>
      </c>
      <c r="L231" t="n">
        <v>0</v>
      </c>
      <c r="M231" t="n">
        <v>0</v>
      </c>
      <c r="N231" t="n">
        <v>0</v>
      </c>
      <c r="O231" t="n">
        <v>0</v>
      </c>
      <c r="P231" t="n">
        <v>0</v>
      </c>
      <c r="Q231" t="n">
        <v>0</v>
      </c>
      <c r="R231" s="2" t="inlineStr"/>
    </row>
    <row r="232" ht="15" customHeight="1">
      <c r="A232" t="inlineStr">
        <is>
          <t>A 22482-2025</t>
        </is>
      </c>
      <c r="B232" s="1" t="n">
        <v>45786.63901620371</v>
      </c>
      <c r="C232" s="1" t="n">
        <v>45878</v>
      </c>
      <c r="D232" t="inlineStr">
        <is>
          <t>DALARNAS LÄN</t>
        </is>
      </c>
      <c r="E232" t="inlineStr">
        <is>
          <t>ORSA</t>
        </is>
      </c>
      <c r="F232" t="inlineStr">
        <is>
          <t>Bergvik skog öst AB</t>
        </is>
      </c>
      <c r="G232" t="n">
        <v>6.7</v>
      </c>
      <c r="H232" t="n">
        <v>0</v>
      </c>
      <c r="I232" t="n">
        <v>0</v>
      </c>
      <c r="J232" t="n">
        <v>0</v>
      </c>
      <c r="K232" t="n">
        <v>0</v>
      </c>
      <c r="L232" t="n">
        <v>0</v>
      </c>
      <c r="M232" t="n">
        <v>0</v>
      </c>
      <c r="N232" t="n">
        <v>0</v>
      </c>
      <c r="O232" t="n">
        <v>0</v>
      </c>
      <c r="P232" t="n">
        <v>0</v>
      </c>
      <c r="Q232" t="n">
        <v>0</v>
      </c>
      <c r="R232" s="2" t="inlineStr"/>
    </row>
    <row r="233" ht="15" customHeight="1">
      <c r="A233" t="inlineStr">
        <is>
          <t>A 22487-2025</t>
        </is>
      </c>
      <c r="B233" s="1" t="n">
        <v>45786.64663194444</v>
      </c>
      <c r="C233" s="1" t="n">
        <v>45878</v>
      </c>
      <c r="D233" t="inlineStr">
        <is>
          <t>DALARNAS LÄN</t>
        </is>
      </c>
      <c r="E233" t="inlineStr">
        <is>
          <t>ORSA</t>
        </is>
      </c>
      <c r="F233" t="inlineStr">
        <is>
          <t>Bergvik skog öst AB</t>
        </is>
      </c>
      <c r="G233" t="n">
        <v>17.8</v>
      </c>
      <c r="H233" t="n">
        <v>0</v>
      </c>
      <c r="I233" t="n">
        <v>0</v>
      </c>
      <c r="J233" t="n">
        <v>0</v>
      </c>
      <c r="K233" t="n">
        <v>0</v>
      </c>
      <c r="L233" t="n">
        <v>0</v>
      </c>
      <c r="M233" t="n">
        <v>0</v>
      </c>
      <c r="N233" t="n">
        <v>0</v>
      </c>
      <c r="O233" t="n">
        <v>0</v>
      </c>
      <c r="P233" t="n">
        <v>0</v>
      </c>
      <c r="Q233" t="n">
        <v>0</v>
      </c>
      <c r="R233" s="2" t="inlineStr"/>
    </row>
    <row r="234" ht="15" customHeight="1">
      <c r="A234" t="inlineStr">
        <is>
          <t>A 48518-2024</t>
        </is>
      </c>
      <c r="B234" s="1" t="n">
        <v>45593.31915509259</v>
      </c>
      <c r="C234" s="1" t="n">
        <v>45878</v>
      </c>
      <c r="D234" t="inlineStr">
        <is>
          <t>DALARNAS LÄN</t>
        </is>
      </c>
      <c r="E234" t="inlineStr">
        <is>
          <t>ORSA</t>
        </is>
      </c>
      <c r="G234" t="n">
        <v>1.9</v>
      </c>
      <c r="H234" t="n">
        <v>0</v>
      </c>
      <c r="I234" t="n">
        <v>0</v>
      </c>
      <c r="J234" t="n">
        <v>0</v>
      </c>
      <c r="K234" t="n">
        <v>0</v>
      </c>
      <c r="L234" t="n">
        <v>0</v>
      </c>
      <c r="M234" t="n">
        <v>0</v>
      </c>
      <c r="N234" t="n">
        <v>0</v>
      </c>
      <c r="O234" t="n">
        <v>0</v>
      </c>
      <c r="P234" t="n">
        <v>0</v>
      </c>
      <c r="Q234" t="n">
        <v>0</v>
      </c>
      <c r="R234" s="2" t="inlineStr"/>
    </row>
    <row r="235" ht="15" customHeight="1">
      <c r="A235" t="inlineStr">
        <is>
          <t>A 56706-2021</t>
        </is>
      </c>
      <c r="B235" s="1" t="n">
        <v>44481.4037962963</v>
      </c>
      <c r="C235" s="1" t="n">
        <v>45878</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59411-2024</t>
        </is>
      </c>
      <c r="B236" s="1" t="n">
        <v>45638.39675925926</v>
      </c>
      <c r="C236" s="1" t="n">
        <v>45878</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59414-2024</t>
        </is>
      </c>
      <c r="B237" s="1" t="n">
        <v>45638.39965277778</v>
      </c>
      <c r="C237" s="1" t="n">
        <v>45878</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5435-2025</t>
        </is>
      </c>
      <c r="B238" s="1" t="n">
        <v>45692</v>
      </c>
      <c r="C238" s="1" t="n">
        <v>45878</v>
      </c>
      <c r="D238" t="inlineStr">
        <is>
          <t>DALARNAS LÄN</t>
        </is>
      </c>
      <c r="E238" t="inlineStr">
        <is>
          <t>ORSA</t>
        </is>
      </c>
      <c r="G238" t="n">
        <v>7.8</v>
      </c>
      <c r="H238" t="n">
        <v>0</v>
      </c>
      <c r="I238" t="n">
        <v>0</v>
      </c>
      <c r="J238" t="n">
        <v>0</v>
      </c>
      <c r="K238" t="n">
        <v>0</v>
      </c>
      <c r="L238" t="n">
        <v>0</v>
      </c>
      <c r="M238" t="n">
        <v>0</v>
      </c>
      <c r="N238" t="n">
        <v>0</v>
      </c>
      <c r="O238" t="n">
        <v>0</v>
      </c>
      <c r="P238" t="n">
        <v>0</v>
      </c>
      <c r="Q238" t="n">
        <v>0</v>
      </c>
      <c r="R238" s="2" t="inlineStr"/>
    </row>
    <row r="239" ht="15" customHeight="1">
      <c r="A239" t="inlineStr">
        <is>
          <t>A 23056-2025</t>
        </is>
      </c>
      <c r="B239" s="1" t="n">
        <v>45790.73627314815</v>
      </c>
      <c r="C239" s="1" t="n">
        <v>45878</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4553-2025</t>
        </is>
      </c>
      <c r="B240" s="1" t="n">
        <v>45687.42143518518</v>
      </c>
      <c r="C240" s="1" t="n">
        <v>45878</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23055-2025</t>
        </is>
      </c>
      <c r="B241" s="1" t="n">
        <v>45790.73469907408</v>
      </c>
      <c r="C241" s="1" t="n">
        <v>45878</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23057-2025</t>
        </is>
      </c>
      <c r="B242" s="1" t="n">
        <v>45790.73820601852</v>
      </c>
      <c r="C242" s="1" t="n">
        <v>45878</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67755-2020</t>
        </is>
      </c>
      <c r="B243" s="1" t="n">
        <v>44182</v>
      </c>
      <c r="C243" s="1" t="n">
        <v>45878</v>
      </c>
      <c r="D243" t="inlineStr">
        <is>
          <t>DALARNAS LÄN</t>
        </is>
      </c>
      <c r="E243" t="inlineStr">
        <is>
          <t>ORSA</t>
        </is>
      </c>
      <c r="G243" t="n">
        <v>7.5</v>
      </c>
      <c r="H243" t="n">
        <v>0</v>
      </c>
      <c r="I243" t="n">
        <v>0</v>
      </c>
      <c r="J243" t="n">
        <v>0</v>
      </c>
      <c r="K243" t="n">
        <v>0</v>
      </c>
      <c r="L243" t="n">
        <v>0</v>
      </c>
      <c r="M243" t="n">
        <v>0</v>
      </c>
      <c r="N243" t="n">
        <v>0</v>
      </c>
      <c r="O243" t="n">
        <v>0</v>
      </c>
      <c r="P243" t="n">
        <v>0</v>
      </c>
      <c r="Q243" t="n">
        <v>0</v>
      </c>
      <c r="R243" s="2" t="inlineStr"/>
    </row>
    <row r="244" ht="15" customHeight="1">
      <c r="A244" t="inlineStr">
        <is>
          <t>A 67834-2020</t>
        </is>
      </c>
      <c r="B244" s="1" t="n">
        <v>44182</v>
      </c>
      <c r="C244" s="1" t="n">
        <v>45878</v>
      </c>
      <c r="D244" t="inlineStr">
        <is>
          <t>DALARNAS LÄN</t>
        </is>
      </c>
      <c r="E244" t="inlineStr">
        <is>
          <t>ORSA</t>
        </is>
      </c>
      <c r="G244" t="n">
        <v>4</v>
      </c>
      <c r="H244" t="n">
        <v>0</v>
      </c>
      <c r="I244" t="n">
        <v>0</v>
      </c>
      <c r="J244" t="n">
        <v>0</v>
      </c>
      <c r="K244" t="n">
        <v>0</v>
      </c>
      <c r="L244" t="n">
        <v>0</v>
      </c>
      <c r="M244" t="n">
        <v>0</v>
      </c>
      <c r="N244" t="n">
        <v>0</v>
      </c>
      <c r="O244" t="n">
        <v>0</v>
      </c>
      <c r="P244" t="n">
        <v>0</v>
      </c>
      <c r="Q244" t="n">
        <v>0</v>
      </c>
      <c r="R244" s="2" t="inlineStr"/>
    </row>
    <row r="245" ht="15" customHeight="1">
      <c r="A245" t="inlineStr">
        <is>
          <t>A 29025-2023</t>
        </is>
      </c>
      <c r="B245" s="1" t="n">
        <v>45104.70399305555</v>
      </c>
      <c r="C245" s="1" t="n">
        <v>45878</v>
      </c>
      <c r="D245" t="inlineStr">
        <is>
          <t>DALARNAS LÄN</t>
        </is>
      </c>
      <c r="E245" t="inlineStr">
        <is>
          <t>ORSA</t>
        </is>
      </c>
      <c r="G245" t="n">
        <v>6.6</v>
      </c>
      <c r="H245" t="n">
        <v>0</v>
      </c>
      <c r="I245" t="n">
        <v>0</v>
      </c>
      <c r="J245" t="n">
        <v>0</v>
      </c>
      <c r="K245" t="n">
        <v>0</v>
      </c>
      <c r="L245" t="n">
        <v>0</v>
      </c>
      <c r="M245" t="n">
        <v>0</v>
      </c>
      <c r="N245" t="n">
        <v>0</v>
      </c>
      <c r="O245" t="n">
        <v>0</v>
      </c>
      <c r="P245" t="n">
        <v>0</v>
      </c>
      <c r="Q245" t="n">
        <v>0</v>
      </c>
      <c r="R245" s="2" t="inlineStr"/>
    </row>
    <row r="246" ht="15" customHeight="1">
      <c r="A246" t="inlineStr">
        <is>
          <t>A 112-2021</t>
        </is>
      </c>
      <c r="B246" s="1" t="n">
        <v>44200</v>
      </c>
      <c r="C246" s="1" t="n">
        <v>45878</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45878</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23015-2025</t>
        </is>
      </c>
      <c r="B248" s="1" t="n">
        <v>45790.6377662037</v>
      </c>
      <c r="C248" s="1" t="n">
        <v>45878</v>
      </c>
      <c r="D248" t="inlineStr">
        <is>
          <t>DALARNAS LÄN</t>
        </is>
      </c>
      <c r="E248" t="inlineStr">
        <is>
          <t>ORSA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45878</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10644-2025</t>
        </is>
      </c>
      <c r="B250" s="1" t="n">
        <v>45721.66222222222</v>
      </c>
      <c r="C250" s="1" t="n">
        <v>45878</v>
      </c>
      <c r="D250" t="inlineStr">
        <is>
          <t>DALARNAS LÄN</t>
        </is>
      </c>
      <c r="E250" t="inlineStr">
        <is>
          <t>ORSA</t>
        </is>
      </c>
      <c r="F250" t="inlineStr">
        <is>
          <t>Bergvik skog öst AB</t>
        </is>
      </c>
      <c r="G250" t="n">
        <v>5.8</v>
      </c>
      <c r="H250" t="n">
        <v>0</v>
      </c>
      <c r="I250" t="n">
        <v>0</v>
      </c>
      <c r="J250" t="n">
        <v>0</v>
      </c>
      <c r="K250" t="n">
        <v>0</v>
      </c>
      <c r="L250" t="n">
        <v>0</v>
      </c>
      <c r="M250" t="n">
        <v>0</v>
      </c>
      <c r="N250" t="n">
        <v>0</v>
      </c>
      <c r="O250" t="n">
        <v>0</v>
      </c>
      <c r="P250" t="n">
        <v>0</v>
      </c>
      <c r="Q250" t="n">
        <v>0</v>
      </c>
      <c r="R250" s="2" t="inlineStr"/>
    </row>
    <row r="251" ht="15" customHeight="1">
      <c r="A251" t="inlineStr">
        <is>
          <t>A 10645-2025</t>
        </is>
      </c>
      <c r="B251" s="1" t="n">
        <v>45721.66297453704</v>
      </c>
      <c r="C251" s="1" t="n">
        <v>45878</v>
      </c>
      <c r="D251" t="inlineStr">
        <is>
          <t>DALARNAS LÄN</t>
        </is>
      </c>
      <c r="E251" t="inlineStr">
        <is>
          <t>ORSA</t>
        </is>
      </c>
      <c r="F251" t="inlineStr">
        <is>
          <t>Bergvik skog öst AB</t>
        </is>
      </c>
      <c r="G251" t="n">
        <v>5.8</v>
      </c>
      <c r="H251" t="n">
        <v>0</v>
      </c>
      <c r="I251" t="n">
        <v>0</v>
      </c>
      <c r="J251" t="n">
        <v>0</v>
      </c>
      <c r="K251" t="n">
        <v>0</v>
      </c>
      <c r="L251" t="n">
        <v>0</v>
      </c>
      <c r="M251" t="n">
        <v>0</v>
      </c>
      <c r="N251" t="n">
        <v>0</v>
      </c>
      <c r="O251" t="n">
        <v>0</v>
      </c>
      <c r="P251" t="n">
        <v>0</v>
      </c>
      <c r="Q251" t="n">
        <v>0</v>
      </c>
      <c r="R251" s="2" t="inlineStr"/>
    </row>
    <row r="252" ht="15" customHeight="1">
      <c r="A252" t="inlineStr">
        <is>
          <t>A 23053-2025</t>
        </is>
      </c>
      <c r="B252" s="1" t="n">
        <v>45790.73072916667</v>
      </c>
      <c r="C252" s="1" t="n">
        <v>45878</v>
      </c>
      <c r="D252" t="inlineStr">
        <is>
          <t>DALARNAS LÄN</t>
        </is>
      </c>
      <c r="E252" t="inlineStr">
        <is>
          <t>ORSA</t>
        </is>
      </c>
      <c r="G252" t="n">
        <v>3.3</v>
      </c>
      <c r="H252" t="n">
        <v>0</v>
      </c>
      <c r="I252" t="n">
        <v>0</v>
      </c>
      <c r="J252" t="n">
        <v>0</v>
      </c>
      <c r="K252" t="n">
        <v>0</v>
      </c>
      <c r="L252" t="n">
        <v>0</v>
      </c>
      <c r="M252" t="n">
        <v>0</v>
      </c>
      <c r="N252" t="n">
        <v>0</v>
      </c>
      <c r="O252" t="n">
        <v>0</v>
      </c>
      <c r="P252" t="n">
        <v>0</v>
      </c>
      <c r="Q252" t="n">
        <v>0</v>
      </c>
      <c r="R252" s="2" t="inlineStr"/>
    </row>
    <row r="253" ht="15" customHeight="1">
      <c r="A253" t="inlineStr">
        <is>
          <t>A 52033-2023</t>
        </is>
      </c>
      <c r="B253" s="1" t="n">
        <v>45223.62680555556</v>
      </c>
      <c r="C253" s="1" t="n">
        <v>45878</v>
      </c>
      <c r="D253" t="inlineStr">
        <is>
          <t>DALARNAS LÄN</t>
        </is>
      </c>
      <c r="E253" t="inlineStr">
        <is>
          <t>ORSA</t>
        </is>
      </c>
      <c r="G253" t="n">
        <v>11.5</v>
      </c>
      <c r="H253" t="n">
        <v>0</v>
      </c>
      <c r="I253" t="n">
        <v>0</v>
      </c>
      <c r="J253" t="n">
        <v>0</v>
      </c>
      <c r="K253" t="n">
        <v>0</v>
      </c>
      <c r="L253" t="n">
        <v>0</v>
      </c>
      <c r="M253" t="n">
        <v>0</v>
      </c>
      <c r="N253" t="n">
        <v>0</v>
      </c>
      <c r="O253" t="n">
        <v>0</v>
      </c>
      <c r="P253" t="n">
        <v>0</v>
      </c>
      <c r="Q253" t="n">
        <v>0</v>
      </c>
      <c r="R253" s="2" t="inlineStr"/>
    </row>
    <row r="254" ht="15" customHeight="1">
      <c r="A254" t="inlineStr">
        <is>
          <t>A 62289-2023</t>
        </is>
      </c>
      <c r="B254" s="1" t="n">
        <v>45266</v>
      </c>
      <c r="C254" s="1" t="n">
        <v>45878</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17850-2025</t>
        </is>
      </c>
      <c r="B255" s="1" t="n">
        <v>45758.60162037037</v>
      </c>
      <c r="C255" s="1" t="n">
        <v>45878</v>
      </c>
      <c r="D255" t="inlineStr">
        <is>
          <t>DALARNAS LÄN</t>
        </is>
      </c>
      <c r="E255" t="inlineStr">
        <is>
          <t>ORSA</t>
        </is>
      </c>
      <c r="G255" t="n">
        <v>2</v>
      </c>
      <c r="H255" t="n">
        <v>0</v>
      </c>
      <c r="I255" t="n">
        <v>0</v>
      </c>
      <c r="J255" t="n">
        <v>0</v>
      </c>
      <c r="K255" t="n">
        <v>0</v>
      </c>
      <c r="L255" t="n">
        <v>0</v>
      </c>
      <c r="M255" t="n">
        <v>0</v>
      </c>
      <c r="N255" t="n">
        <v>0</v>
      </c>
      <c r="O255" t="n">
        <v>0</v>
      </c>
      <c r="P255" t="n">
        <v>0</v>
      </c>
      <c r="Q255" t="n">
        <v>0</v>
      </c>
      <c r="R255" s="2" t="inlineStr"/>
    </row>
    <row r="256" ht="15" customHeight="1">
      <c r="A256" t="inlineStr">
        <is>
          <t>A 51001-2021</t>
        </is>
      </c>
      <c r="B256" s="1" t="n">
        <v>44460.86221064815</v>
      </c>
      <c r="C256" s="1" t="n">
        <v>45878</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67189-2020</t>
        </is>
      </c>
      <c r="B257" s="1" t="n">
        <v>44180</v>
      </c>
      <c r="C257" s="1" t="n">
        <v>45878</v>
      </c>
      <c r="D257" t="inlineStr">
        <is>
          <t>DALARNAS LÄN</t>
        </is>
      </c>
      <c r="E257" t="inlineStr">
        <is>
          <t>ORSA</t>
        </is>
      </c>
      <c r="F257" t="inlineStr">
        <is>
          <t>Allmännings- och besparingsskogar</t>
        </is>
      </c>
      <c r="G257" t="n">
        <v>5</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45878</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61698-2022</t>
        </is>
      </c>
      <c r="B259" s="1" t="n">
        <v>44917.40038194445</v>
      </c>
      <c r="C259" s="1" t="n">
        <v>45878</v>
      </c>
      <c r="D259" t="inlineStr">
        <is>
          <t>DALARNAS LÄN</t>
        </is>
      </c>
      <c r="E259" t="inlineStr">
        <is>
          <t>ORSA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72284-2021</t>
        </is>
      </c>
      <c r="B260" s="1" t="n">
        <v>44545.36940972223</v>
      </c>
      <c r="C260" s="1" t="n">
        <v>45878</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56975-2023</t>
        </is>
      </c>
      <c r="B261" s="1" t="n">
        <v>45244</v>
      </c>
      <c r="C261" s="1" t="n">
        <v>45878</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58549-2023</t>
        </is>
      </c>
      <c r="B262" s="1" t="n">
        <v>45251.42627314815</v>
      </c>
      <c r="C262" s="1" t="n">
        <v>45878</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44644.48491898148</v>
      </c>
      <c r="C263" s="1" t="n">
        <v>45878</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46454-2024</t>
        </is>
      </c>
      <c r="B264" s="1" t="n">
        <v>45582</v>
      </c>
      <c r="C264" s="1" t="n">
        <v>45878</v>
      </c>
      <c r="D264" t="inlineStr">
        <is>
          <t>DALARNAS LÄN</t>
        </is>
      </c>
      <c r="E264" t="inlineStr">
        <is>
          <t>ORSA</t>
        </is>
      </c>
      <c r="F264" t="inlineStr">
        <is>
          <t>Övriga statliga verk och myndigheter</t>
        </is>
      </c>
      <c r="G264" t="n">
        <v>1</v>
      </c>
      <c r="H264" t="n">
        <v>0</v>
      </c>
      <c r="I264" t="n">
        <v>0</v>
      </c>
      <c r="J264" t="n">
        <v>0</v>
      </c>
      <c r="K264" t="n">
        <v>0</v>
      </c>
      <c r="L264" t="n">
        <v>0</v>
      </c>
      <c r="M264" t="n">
        <v>0</v>
      </c>
      <c r="N264" t="n">
        <v>0</v>
      </c>
      <c r="O264" t="n">
        <v>0</v>
      </c>
      <c r="P264" t="n">
        <v>0</v>
      </c>
      <c r="Q264" t="n">
        <v>0</v>
      </c>
      <c r="R264" s="2" t="inlineStr"/>
    </row>
    <row r="265" ht="15" customHeight="1">
      <c r="A265" t="inlineStr">
        <is>
          <t>A 50714-2023</t>
        </is>
      </c>
      <c r="B265" s="1" t="n">
        <v>45217.56513888889</v>
      </c>
      <c r="C265" s="1" t="n">
        <v>45878</v>
      </c>
      <c r="D265" t="inlineStr">
        <is>
          <t>DALARNAS LÄN</t>
        </is>
      </c>
      <c r="E265" t="inlineStr">
        <is>
          <t>ORSA</t>
        </is>
      </c>
      <c r="G265" t="n">
        <v>1.1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45878</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3720-2023</t>
        </is>
      </c>
      <c r="B267" s="1" t="n">
        <v>44951.36688657408</v>
      </c>
      <c r="C267" s="1" t="n">
        <v>45878</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45878</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5302-2024</t>
        </is>
      </c>
      <c r="B269" s="1" t="n">
        <v>45331.38175925926</v>
      </c>
      <c r="C269" s="1" t="n">
        <v>45878</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13209-2022</t>
        </is>
      </c>
      <c r="B270" s="1" t="n">
        <v>44644.56325231482</v>
      </c>
      <c r="C270" s="1" t="n">
        <v>45878</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23740-2025</t>
        </is>
      </c>
      <c r="B271" s="1" t="n">
        <v>45793.43210648148</v>
      </c>
      <c r="C271" s="1" t="n">
        <v>45878</v>
      </c>
      <c r="D271" t="inlineStr">
        <is>
          <t>DALARNAS LÄN</t>
        </is>
      </c>
      <c r="E271" t="inlineStr">
        <is>
          <t>ORSA</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61333-2024</t>
        </is>
      </c>
      <c r="B272" s="1" t="n">
        <v>45646.35832175926</v>
      </c>
      <c r="C272" s="1" t="n">
        <v>45878</v>
      </c>
      <c r="D272" t="inlineStr">
        <is>
          <t>DALARNAS LÄN</t>
        </is>
      </c>
      <c r="E272" t="inlineStr">
        <is>
          <t>ORSA</t>
        </is>
      </c>
      <c r="G272" t="n">
        <v>11.5</v>
      </c>
      <c r="H272" t="n">
        <v>0</v>
      </c>
      <c r="I272" t="n">
        <v>0</v>
      </c>
      <c r="J272" t="n">
        <v>0</v>
      </c>
      <c r="K272" t="n">
        <v>0</v>
      </c>
      <c r="L272" t="n">
        <v>0</v>
      </c>
      <c r="M272" t="n">
        <v>0</v>
      </c>
      <c r="N272" t="n">
        <v>0</v>
      </c>
      <c r="O272" t="n">
        <v>0</v>
      </c>
      <c r="P272" t="n">
        <v>0</v>
      </c>
      <c r="Q272" t="n">
        <v>0</v>
      </c>
      <c r="R272" s="2" t="inlineStr"/>
    </row>
    <row r="273" ht="15" customHeight="1">
      <c r="A273" t="inlineStr">
        <is>
          <t>A 32325-2025</t>
        </is>
      </c>
      <c r="B273" s="1" t="n">
        <v>45836</v>
      </c>
      <c r="C273" s="1" t="n">
        <v>45878</v>
      </c>
      <c r="D273" t="inlineStr">
        <is>
          <t>DALARNAS LÄN</t>
        </is>
      </c>
      <c r="E273" t="inlineStr">
        <is>
          <t>ORSA</t>
        </is>
      </c>
      <c r="G273" t="n">
        <v>3.8</v>
      </c>
      <c r="H273" t="n">
        <v>0</v>
      </c>
      <c r="I273" t="n">
        <v>0</v>
      </c>
      <c r="J273" t="n">
        <v>0</v>
      </c>
      <c r="K273" t="n">
        <v>0</v>
      </c>
      <c r="L273" t="n">
        <v>0</v>
      </c>
      <c r="M273" t="n">
        <v>0</v>
      </c>
      <c r="N273" t="n">
        <v>0</v>
      </c>
      <c r="O273" t="n">
        <v>0</v>
      </c>
      <c r="P273" t="n">
        <v>0</v>
      </c>
      <c r="Q273" t="n">
        <v>0</v>
      </c>
      <c r="R273" s="2" t="inlineStr"/>
    </row>
    <row r="274" ht="15" customHeight="1">
      <c r="A274" t="inlineStr">
        <is>
          <t>A 55701-2023</t>
        </is>
      </c>
      <c r="B274" s="1" t="n">
        <v>45239.37113425926</v>
      </c>
      <c r="C274" s="1" t="n">
        <v>45878</v>
      </c>
      <c r="D274" t="inlineStr">
        <is>
          <t>DALARNAS LÄN</t>
        </is>
      </c>
      <c r="E274" t="inlineStr">
        <is>
          <t>ORSA</t>
        </is>
      </c>
      <c r="G274" t="n">
        <v>1.7</v>
      </c>
      <c r="H274" t="n">
        <v>0</v>
      </c>
      <c r="I274" t="n">
        <v>0</v>
      </c>
      <c r="J274" t="n">
        <v>0</v>
      </c>
      <c r="K274" t="n">
        <v>0</v>
      </c>
      <c r="L274" t="n">
        <v>0</v>
      </c>
      <c r="M274" t="n">
        <v>0</v>
      </c>
      <c r="N274" t="n">
        <v>0</v>
      </c>
      <c r="O274" t="n">
        <v>0</v>
      </c>
      <c r="P274" t="n">
        <v>0</v>
      </c>
      <c r="Q274" t="n">
        <v>0</v>
      </c>
      <c r="R274" s="2" t="inlineStr"/>
    </row>
    <row r="275" ht="15" customHeight="1">
      <c r="A275" t="inlineStr">
        <is>
          <t>A 12704-2022</t>
        </is>
      </c>
      <c r="B275" s="1" t="n">
        <v>44641</v>
      </c>
      <c r="C275" s="1" t="n">
        <v>45878</v>
      </c>
      <c r="D275" t="inlineStr">
        <is>
          <t>DALARNAS LÄN</t>
        </is>
      </c>
      <c r="E275" t="inlineStr">
        <is>
          <t>ORSA</t>
        </is>
      </c>
      <c r="G275" t="n">
        <v>2.4</v>
      </c>
      <c r="H275" t="n">
        <v>0</v>
      </c>
      <c r="I275" t="n">
        <v>0</v>
      </c>
      <c r="J275" t="n">
        <v>0</v>
      </c>
      <c r="K275" t="n">
        <v>0</v>
      </c>
      <c r="L275" t="n">
        <v>0</v>
      </c>
      <c r="M275" t="n">
        <v>0</v>
      </c>
      <c r="N275" t="n">
        <v>0</v>
      </c>
      <c r="O275" t="n">
        <v>0</v>
      </c>
      <c r="P275" t="n">
        <v>0</v>
      </c>
      <c r="Q275" t="n">
        <v>0</v>
      </c>
      <c r="R275" s="2" t="inlineStr"/>
    </row>
    <row r="276" ht="15" customHeight="1">
      <c r="A276" t="inlineStr">
        <is>
          <t>A 70332-2021</t>
        </is>
      </c>
      <c r="B276" s="1" t="n">
        <v>44536</v>
      </c>
      <c r="C276" s="1" t="n">
        <v>45878</v>
      </c>
      <c r="D276" t="inlineStr">
        <is>
          <t>DALARNAS LÄN</t>
        </is>
      </c>
      <c r="E276" t="inlineStr">
        <is>
          <t>ORSA</t>
        </is>
      </c>
      <c r="G276" t="n">
        <v>7.2</v>
      </c>
      <c r="H276" t="n">
        <v>0</v>
      </c>
      <c r="I276" t="n">
        <v>0</v>
      </c>
      <c r="J276" t="n">
        <v>0</v>
      </c>
      <c r="K276" t="n">
        <v>0</v>
      </c>
      <c r="L276" t="n">
        <v>0</v>
      </c>
      <c r="M276" t="n">
        <v>0</v>
      </c>
      <c r="N276" t="n">
        <v>0</v>
      </c>
      <c r="O276" t="n">
        <v>0</v>
      </c>
      <c r="P276" t="n">
        <v>0</v>
      </c>
      <c r="Q276" t="n">
        <v>0</v>
      </c>
      <c r="R276" s="2" t="inlineStr"/>
    </row>
    <row r="277" ht="15" customHeight="1">
      <c r="A277" t="inlineStr">
        <is>
          <t>A 37852-2024</t>
        </is>
      </c>
      <c r="B277" s="1" t="n">
        <v>45544.3786574074</v>
      </c>
      <c r="C277" s="1" t="n">
        <v>45878</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23350-2024</t>
        </is>
      </c>
      <c r="B278" s="1" t="n">
        <v>45453</v>
      </c>
      <c r="C278" s="1" t="n">
        <v>45878</v>
      </c>
      <c r="D278" t="inlineStr">
        <is>
          <t>DALARNAS LÄN</t>
        </is>
      </c>
      <c r="E278" t="inlineStr">
        <is>
          <t>ORSA</t>
        </is>
      </c>
      <c r="G278" t="n">
        <v>18.7</v>
      </c>
      <c r="H278" t="n">
        <v>0</v>
      </c>
      <c r="I278" t="n">
        <v>0</v>
      </c>
      <c r="J278" t="n">
        <v>0</v>
      </c>
      <c r="K278" t="n">
        <v>0</v>
      </c>
      <c r="L278" t="n">
        <v>0</v>
      </c>
      <c r="M278" t="n">
        <v>0</v>
      </c>
      <c r="N278" t="n">
        <v>0</v>
      </c>
      <c r="O278" t="n">
        <v>0</v>
      </c>
      <c r="P278" t="n">
        <v>0</v>
      </c>
      <c r="Q278" t="n">
        <v>0</v>
      </c>
      <c r="R278" s="2" t="inlineStr"/>
    </row>
    <row r="279" ht="15" customHeight="1">
      <c r="A279" t="inlineStr">
        <is>
          <t>A 1785-2024</t>
        </is>
      </c>
      <c r="B279" s="1" t="n">
        <v>45307</v>
      </c>
      <c r="C279" s="1" t="n">
        <v>45878</v>
      </c>
      <c r="D279" t="inlineStr">
        <is>
          <t>DALARNAS LÄN</t>
        </is>
      </c>
      <c r="E279" t="inlineStr">
        <is>
          <t>ORSA</t>
        </is>
      </c>
      <c r="G279" t="n">
        <v>42.8</v>
      </c>
      <c r="H279" t="n">
        <v>0</v>
      </c>
      <c r="I279" t="n">
        <v>0</v>
      </c>
      <c r="J279" t="n">
        <v>0</v>
      </c>
      <c r="K279" t="n">
        <v>0</v>
      </c>
      <c r="L279" t="n">
        <v>0</v>
      </c>
      <c r="M279" t="n">
        <v>0</v>
      </c>
      <c r="N279" t="n">
        <v>0</v>
      </c>
      <c r="O279" t="n">
        <v>0</v>
      </c>
      <c r="P279" t="n">
        <v>0</v>
      </c>
      <c r="Q279" t="n">
        <v>0</v>
      </c>
      <c r="R279" s="2" t="inlineStr"/>
    </row>
    <row r="280" ht="15" customHeight="1">
      <c r="A280" t="inlineStr">
        <is>
          <t>A 37770-2023</t>
        </is>
      </c>
      <c r="B280" s="1" t="n">
        <v>45159</v>
      </c>
      <c r="C280" s="1" t="n">
        <v>45878</v>
      </c>
      <c r="D280" t="inlineStr">
        <is>
          <t>DALARNAS LÄN</t>
        </is>
      </c>
      <c r="E280" t="inlineStr">
        <is>
          <t>ORSA</t>
        </is>
      </c>
      <c r="G280" t="n">
        <v>2.6</v>
      </c>
      <c r="H280" t="n">
        <v>0</v>
      </c>
      <c r="I280" t="n">
        <v>0</v>
      </c>
      <c r="J280" t="n">
        <v>0</v>
      </c>
      <c r="K280" t="n">
        <v>0</v>
      </c>
      <c r="L280" t="n">
        <v>0</v>
      </c>
      <c r="M280" t="n">
        <v>0</v>
      </c>
      <c r="N280" t="n">
        <v>0</v>
      </c>
      <c r="O280" t="n">
        <v>0</v>
      </c>
      <c r="P280" t="n">
        <v>0</v>
      </c>
      <c r="Q280" t="n">
        <v>0</v>
      </c>
      <c r="R280" s="2" t="inlineStr"/>
    </row>
    <row r="281" ht="15" customHeight="1">
      <c r="A281" t="inlineStr">
        <is>
          <t>A 23875-2025</t>
        </is>
      </c>
      <c r="B281" s="1" t="n">
        <v>45793.68313657407</v>
      </c>
      <c r="C281" s="1" t="n">
        <v>45878</v>
      </c>
      <c r="D281" t="inlineStr">
        <is>
          <t>DALARNAS LÄN</t>
        </is>
      </c>
      <c r="E281" t="inlineStr">
        <is>
          <t>ORSA</t>
        </is>
      </c>
      <c r="G281" t="n">
        <v>0.8</v>
      </c>
      <c r="H281" t="n">
        <v>0</v>
      </c>
      <c r="I281" t="n">
        <v>0</v>
      </c>
      <c r="J281" t="n">
        <v>0</v>
      </c>
      <c r="K281" t="n">
        <v>0</v>
      </c>
      <c r="L281" t="n">
        <v>0</v>
      </c>
      <c r="M281" t="n">
        <v>0</v>
      </c>
      <c r="N281" t="n">
        <v>0</v>
      </c>
      <c r="O281" t="n">
        <v>0</v>
      </c>
      <c r="P281" t="n">
        <v>0</v>
      </c>
      <c r="Q281" t="n">
        <v>0</v>
      </c>
      <c r="R281" s="2" t="inlineStr"/>
    </row>
    <row r="282" ht="15" customHeight="1">
      <c r="A282" t="inlineStr">
        <is>
          <t>A 53703-2024</t>
        </is>
      </c>
      <c r="B282" s="1" t="n">
        <v>45615.3990162037</v>
      </c>
      <c r="C282" s="1" t="n">
        <v>45878</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54519-2023</t>
        </is>
      </c>
      <c r="B283" s="1" t="n">
        <v>45233.58359953704</v>
      </c>
      <c r="C283" s="1" t="n">
        <v>45878</v>
      </c>
      <c r="D283" t="inlineStr">
        <is>
          <t>DALARNAS LÄN</t>
        </is>
      </c>
      <c r="E283" t="inlineStr">
        <is>
          <t>ORSA</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22911-2023</t>
        </is>
      </c>
      <c r="B284" s="1" t="n">
        <v>45072</v>
      </c>
      <c r="C284" s="1" t="n">
        <v>45878</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5434-2025</t>
        </is>
      </c>
      <c r="B285" s="1" t="n">
        <v>45692</v>
      </c>
      <c r="C285" s="1" t="n">
        <v>45878</v>
      </c>
      <c r="D285" t="inlineStr">
        <is>
          <t>DALARNAS LÄN</t>
        </is>
      </c>
      <c r="E285" t="inlineStr">
        <is>
          <t>ORSA</t>
        </is>
      </c>
      <c r="G285" t="n">
        <v>6.9</v>
      </c>
      <c r="H285" t="n">
        <v>0</v>
      </c>
      <c r="I285" t="n">
        <v>0</v>
      </c>
      <c r="J285" t="n">
        <v>0</v>
      </c>
      <c r="K285" t="n">
        <v>0</v>
      </c>
      <c r="L285" t="n">
        <v>0</v>
      </c>
      <c r="M285" t="n">
        <v>0</v>
      </c>
      <c r="N285" t="n">
        <v>0</v>
      </c>
      <c r="O285" t="n">
        <v>0</v>
      </c>
      <c r="P285" t="n">
        <v>0</v>
      </c>
      <c r="Q285" t="n">
        <v>0</v>
      </c>
      <c r="R285" s="2" t="inlineStr"/>
    </row>
    <row r="286" ht="15" customHeight="1">
      <c r="A286" t="inlineStr">
        <is>
          <t>A 33059-2025</t>
        </is>
      </c>
      <c r="B286" s="1" t="n">
        <v>45840.43072916667</v>
      </c>
      <c r="C286" s="1" t="n">
        <v>45878</v>
      </c>
      <c r="D286" t="inlineStr">
        <is>
          <t>DALARNAS LÄN</t>
        </is>
      </c>
      <c r="E286" t="inlineStr">
        <is>
          <t>ORSA</t>
        </is>
      </c>
      <c r="F286" t="inlineStr">
        <is>
          <t>Bergvik skog öst AB</t>
        </is>
      </c>
      <c r="G286" t="n">
        <v>0.8</v>
      </c>
      <c r="H286" t="n">
        <v>0</v>
      </c>
      <c r="I286" t="n">
        <v>0</v>
      </c>
      <c r="J286" t="n">
        <v>0</v>
      </c>
      <c r="K286" t="n">
        <v>0</v>
      </c>
      <c r="L286" t="n">
        <v>0</v>
      </c>
      <c r="M286" t="n">
        <v>0</v>
      </c>
      <c r="N286" t="n">
        <v>0</v>
      </c>
      <c r="O286" t="n">
        <v>0</v>
      </c>
      <c r="P286" t="n">
        <v>0</v>
      </c>
      <c r="Q286" t="n">
        <v>0</v>
      </c>
      <c r="R286" s="2" t="inlineStr"/>
    </row>
    <row r="287" ht="15" customHeight="1">
      <c r="A287" t="inlineStr">
        <is>
          <t>A 10261-2022</t>
        </is>
      </c>
      <c r="B287" s="1" t="n">
        <v>44622.6445949074</v>
      </c>
      <c r="C287" s="1" t="n">
        <v>45878</v>
      </c>
      <c r="D287" t="inlineStr">
        <is>
          <t>DALARNAS LÄN</t>
        </is>
      </c>
      <c r="E287" t="inlineStr">
        <is>
          <t>ORSA</t>
        </is>
      </c>
      <c r="G287" t="n">
        <v>3.1</v>
      </c>
      <c r="H287" t="n">
        <v>0</v>
      </c>
      <c r="I287" t="n">
        <v>0</v>
      </c>
      <c r="J287" t="n">
        <v>0</v>
      </c>
      <c r="K287" t="n">
        <v>0</v>
      </c>
      <c r="L287" t="n">
        <v>0</v>
      </c>
      <c r="M287" t="n">
        <v>0</v>
      </c>
      <c r="N287" t="n">
        <v>0</v>
      </c>
      <c r="O287" t="n">
        <v>0</v>
      </c>
      <c r="P287" t="n">
        <v>0</v>
      </c>
      <c r="Q287" t="n">
        <v>0</v>
      </c>
      <c r="R287" s="2" t="inlineStr"/>
    </row>
    <row r="288" ht="15" customHeight="1">
      <c r="A288" t="inlineStr">
        <is>
          <t>A 23339-2024</t>
        </is>
      </c>
      <c r="B288" s="1" t="n">
        <v>45453.48988425926</v>
      </c>
      <c r="C288" s="1" t="n">
        <v>45878</v>
      </c>
      <c r="D288" t="inlineStr">
        <is>
          <t>DALARNAS LÄN</t>
        </is>
      </c>
      <c r="E288" t="inlineStr">
        <is>
          <t>ORSA</t>
        </is>
      </c>
      <c r="G288" t="n">
        <v>3.8</v>
      </c>
      <c r="H288" t="n">
        <v>0</v>
      </c>
      <c r="I288" t="n">
        <v>0</v>
      </c>
      <c r="J288" t="n">
        <v>0</v>
      </c>
      <c r="K288" t="n">
        <v>0</v>
      </c>
      <c r="L288" t="n">
        <v>0</v>
      </c>
      <c r="M288" t="n">
        <v>0</v>
      </c>
      <c r="N288" t="n">
        <v>0</v>
      </c>
      <c r="O288" t="n">
        <v>0</v>
      </c>
      <c r="P288" t="n">
        <v>0</v>
      </c>
      <c r="Q288" t="n">
        <v>0</v>
      </c>
      <c r="R288" s="2" t="inlineStr"/>
    </row>
    <row r="289" ht="15" customHeight="1">
      <c r="A289" t="inlineStr">
        <is>
          <t>A 32984-2025</t>
        </is>
      </c>
      <c r="B289" s="1" t="n">
        <v>45839.93006944445</v>
      </c>
      <c r="C289" s="1" t="n">
        <v>45878</v>
      </c>
      <c r="D289" t="inlineStr">
        <is>
          <t>DALARNAS LÄN</t>
        </is>
      </c>
      <c r="E289" t="inlineStr">
        <is>
          <t>ORSA</t>
        </is>
      </c>
      <c r="G289" t="n">
        <v>0.5</v>
      </c>
      <c r="H289" t="n">
        <v>0</v>
      </c>
      <c r="I289" t="n">
        <v>0</v>
      </c>
      <c r="J289" t="n">
        <v>0</v>
      </c>
      <c r="K289" t="n">
        <v>0</v>
      </c>
      <c r="L289" t="n">
        <v>0</v>
      </c>
      <c r="M289" t="n">
        <v>0</v>
      </c>
      <c r="N289" t="n">
        <v>0</v>
      </c>
      <c r="O289" t="n">
        <v>0</v>
      </c>
      <c r="P289" t="n">
        <v>0</v>
      </c>
      <c r="Q289" t="n">
        <v>0</v>
      </c>
      <c r="R289" s="2" t="inlineStr"/>
    </row>
    <row r="290" ht="15" customHeight="1">
      <c r="A290" t="inlineStr">
        <is>
          <t>A 32985-2025</t>
        </is>
      </c>
      <c r="B290" s="1" t="n">
        <v>45839.93033564815</v>
      </c>
      <c r="C290" s="1" t="n">
        <v>45878</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24235-2025</t>
        </is>
      </c>
      <c r="B291" s="1" t="n">
        <v>45797.38252314815</v>
      </c>
      <c r="C291" s="1" t="n">
        <v>45878</v>
      </c>
      <c r="D291" t="inlineStr">
        <is>
          <t>DALARNAS LÄN</t>
        </is>
      </c>
      <c r="E291" t="inlineStr">
        <is>
          <t>ORSA</t>
        </is>
      </c>
      <c r="G291" t="n">
        <v>3.1</v>
      </c>
      <c r="H291" t="n">
        <v>0</v>
      </c>
      <c r="I291" t="n">
        <v>0</v>
      </c>
      <c r="J291" t="n">
        <v>0</v>
      </c>
      <c r="K291" t="n">
        <v>0</v>
      </c>
      <c r="L291" t="n">
        <v>0</v>
      </c>
      <c r="M291" t="n">
        <v>0</v>
      </c>
      <c r="N291" t="n">
        <v>0</v>
      </c>
      <c r="O291" t="n">
        <v>0</v>
      </c>
      <c r="P291" t="n">
        <v>0</v>
      </c>
      <c r="Q291" t="n">
        <v>0</v>
      </c>
      <c r="R291" s="2" t="inlineStr"/>
    </row>
    <row r="292" ht="15" customHeight="1">
      <c r="A292" t="inlineStr">
        <is>
          <t>A 8107-2024</t>
        </is>
      </c>
      <c r="B292" s="1" t="n">
        <v>45351</v>
      </c>
      <c r="C292" s="1" t="n">
        <v>45878</v>
      </c>
      <c r="D292" t="inlineStr">
        <is>
          <t>DALARNAS LÄN</t>
        </is>
      </c>
      <c r="E292" t="inlineStr">
        <is>
          <t>ORSA</t>
        </is>
      </c>
      <c r="G292" t="n">
        <v>13.6</v>
      </c>
      <c r="H292" t="n">
        <v>0</v>
      </c>
      <c r="I292" t="n">
        <v>0</v>
      </c>
      <c r="J292" t="n">
        <v>0</v>
      </c>
      <c r="K292" t="n">
        <v>0</v>
      </c>
      <c r="L292" t="n">
        <v>0</v>
      </c>
      <c r="M292" t="n">
        <v>0</v>
      </c>
      <c r="N292" t="n">
        <v>0</v>
      </c>
      <c r="O292" t="n">
        <v>0</v>
      </c>
      <c r="P292" t="n">
        <v>0</v>
      </c>
      <c r="Q292" t="n">
        <v>0</v>
      </c>
      <c r="R292" s="2" t="inlineStr"/>
    </row>
    <row r="293" ht="15" customHeight="1">
      <c r="A293" t="inlineStr">
        <is>
          <t>A 55280-2024</t>
        </is>
      </c>
      <c r="B293" s="1" t="n">
        <v>45621.62524305555</v>
      </c>
      <c r="C293" s="1" t="n">
        <v>45878</v>
      </c>
      <c r="D293" t="inlineStr">
        <is>
          <t>DALARNAS LÄN</t>
        </is>
      </c>
      <c r="E293" t="inlineStr">
        <is>
          <t>ORSA</t>
        </is>
      </c>
      <c r="G293" t="n">
        <v>2.3</v>
      </c>
      <c r="H293" t="n">
        <v>0</v>
      </c>
      <c r="I293" t="n">
        <v>0</v>
      </c>
      <c r="J293" t="n">
        <v>0</v>
      </c>
      <c r="K293" t="n">
        <v>0</v>
      </c>
      <c r="L293" t="n">
        <v>0</v>
      </c>
      <c r="M293" t="n">
        <v>0</v>
      </c>
      <c r="N293" t="n">
        <v>0</v>
      </c>
      <c r="O293" t="n">
        <v>0</v>
      </c>
      <c r="P293" t="n">
        <v>0</v>
      </c>
      <c r="Q293" t="n">
        <v>0</v>
      </c>
      <c r="R293" s="2" t="inlineStr"/>
    </row>
    <row r="294" ht="15" customHeight="1">
      <c r="A294" t="inlineStr">
        <is>
          <t>A 33209-2025</t>
        </is>
      </c>
      <c r="B294" s="1" t="n">
        <v>45840.62648148148</v>
      </c>
      <c r="C294" s="1" t="n">
        <v>45878</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55580-2024</t>
        </is>
      </c>
      <c r="B295" s="1" t="n">
        <v>45622.56038194444</v>
      </c>
      <c r="C295" s="1" t="n">
        <v>45878</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22701-2025</t>
        </is>
      </c>
      <c r="B296" s="1" t="n">
        <v>45787</v>
      </c>
      <c r="C296" s="1" t="n">
        <v>45878</v>
      </c>
      <c r="D296" t="inlineStr">
        <is>
          <t>DALARNAS LÄN</t>
        </is>
      </c>
      <c r="E296" t="inlineStr">
        <is>
          <t>ORSA</t>
        </is>
      </c>
      <c r="G296" t="n">
        <v>23.2</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45878</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24248-2025</t>
        </is>
      </c>
      <c r="B298" s="1" t="n">
        <v>45797.40101851852</v>
      </c>
      <c r="C298" s="1" t="n">
        <v>45878</v>
      </c>
      <c r="D298" t="inlineStr">
        <is>
          <t>DALARNAS LÄN</t>
        </is>
      </c>
      <c r="E298" t="inlineStr">
        <is>
          <t>ORSA</t>
        </is>
      </c>
      <c r="F298" t="inlineStr">
        <is>
          <t>Bergvik skog öst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56803-2024</t>
        </is>
      </c>
      <c r="B299" s="1" t="n">
        <v>45628.47212962963</v>
      </c>
      <c r="C299" s="1" t="n">
        <v>45878</v>
      </c>
      <c r="D299" t="inlineStr">
        <is>
          <t>DALARNAS LÄN</t>
        </is>
      </c>
      <c r="E299" t="inlineStr">
        <is>
          <t>ORSA</t>
        </is>
      </c>
      <c r="G299" t="n">
        <v>1.4</v>
      </c>
      <c r="H299" t="n">
        <v>0</v>
      </c>
      <c r="I299" t="n">
        <v>0</v>
      </c>
      <c r="J299" t="n">
        <v>0</v>
      </c>
      <c r="K299" t="n">
        <v>0</v>
      </c>
      <c r="L299" t="n">
        <v>0</v>
      </c>
      <c r="M299" t="n">
        <v>0</v>
      </c>
      <c r="N299" t="n">
        <v>0</v>
      </c>
      <c r="O299" t="n">
        <v>0</v>
      </c>
      <c r="P299" t="n">
        <v>0</v>
      </c>
      <c r="Q299" t="n">
        <v>0</v>
      </c>
      <c r="R299" s="2" t="inlineStr"/>
    </row>
    <row r="300" ht="15" customHeight="1">
      <c r="A300" t="inlineStr">
        <is>
          <t>A 33374-2025</t>
        </is>
      </c>
      <c r="B300" s="1" t="n">
        <v>45841.39582175926</v>
      </c>
      <c r="C300" s="1" t="n">
        <v>45878</v>
      </c>
      <c r="D300" t="inlineStr">
        <is>
          <t>DALARNAS LÄN</t>
        </is>
      </c>
      <c r="E300" t="inlineStr">
        <is>
          <t>ORSA</t>
        </is>
      </c>
      <c r="G300" t="n">
        <v>1</v>
      </c>
      <c r="H300" t="n">
        <v>0</v>
      </c>
      <c r="I300" t="n">
        <v>0</v>
      </c>
      <c r="J300" t="n">
        <v>0</v>
      </c>
      <c r="K300" t="n">
        <v>0</v>
      </c>
      <c r="L300" t="n">
        <v>0</v>
      </c>
      <c r="M300" t="n">
        <v>0</v>
      </c>
      <c r="N300" t="n">
        <v>0</v>
      </c>
      <c r="O300" t="n">
        <v>0</v>
      </c>
      <c r="P300" t="n">
        <v>0</v>
      </c>
      <c r="Q300" t="n">
        <v>0</v>
      </c>
      <c r="R300" s="2" t="inlineStr"/>
    </row>
    <row r="301" ht="15" customHeight="1">
      <c r="A301" t="inlineStr">
        <is>
          <t>A 33394-2025</t>
        </is>
      </c>
      <c r="B301" s="1" t="n">
        <v>45841.41704861111</v>
      </c>
      <c r="C301" s="1" t="n">
        <v>45878</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45878</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24969-2025</t>
        </is>
      </c>
      <c r="B303" s="1" t="n">
        <v>45799</v>
      </c>
      <c r="C303" s="1" t="n">
        <v>45878</v>
      </c>
      <c r="D303" t="inlineStr">
        <is>
          <t>DALARNAS LÄN</t>
        </is>
      </c>
      <c r="E303" t="inlineStr">
        <is>
          <t>ORSA</t>
        </is>
      </c>
      <c r="F303" t="inlineStr">
        <is>
          <t>Allmännings- och besparingsskogar</t>
        </is>
      </c>
      <c r="G303" t="n">
        <v>2.6</v>
      </c>
      <c r="H303" t="n">
        <v>0</v>
      </c>
      <c r="I303" t="n">
        <v>0</v>
      </c>
      <c r="J303" t="n">
        <v>0</v>
      </c>
      <c r="K303" t="n">
        <v>0</v>
      </c>
      <c r="L303" t="n">
        <v>0</v>
      </c>
      <c r="M303" t="n">
        <v>0</v>
      </c>
      <c r="N303" t="n">
        <v>0</v>
      </c>
      <c r="O303" t="n">
        <v>0</v>
      </c>
      <c r="P303" t="n">
        <v>0</v>
      </c>
      <c r="Q303" t="n">
        <v>0</v>
      </c>
      <c r="R303" s="2" t="inlineStr"/>
    </row>
    <row r="304" ht="15" customHeight="1">
      <c r="A304" t="inlineStr">
        <is>
          <t>A 33884-2025</t>
        </is>
      </c>
      <c r="B304" s="1" t="n">
        <v>45842.57081018519</v>
      </c>
      <c r="C304" s="1" t="n">
        <v>45878</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25211-2025</t>
        </is>
      </c>
      <c r="B305" s="1" t="n">
        <v>45800.46965277778</v>
      </c>
      <c r="C305" s="1" t="n">
        <v>45878</v>
      </c>
      <c r="D305" t="inlineStr">
        <is>
          <t>DALARNAS LÄN</t>
        </is>
      </c>
      <c r="E305" t="inlineStr">
        <is>
          <t>ORSA</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33857-2025</t>
        </is>
      </c>
      <c r="B306" s="1" t="n">
        <v>45842.51953703703</v>
      </c>
      <c r="C306" s="1" t="n">
        <v>45878</v>
      </c>
      <c r="D306" t="inlineStr">
        <is>
          <t>DALARNAS LÄN</t>
        </is>
      </c>
      <c r="E306" t="inlineStr">
        <is>
          <t>ORSA</t>
        </is>
      </c>
      <c r="G306" t="n">
        <v>1.3</v>
      </c>
      <c r="H306" t="n">
        <v>0</v>
      </c>
      <c r="I306" t="n">
        <v>0</v>
      </c>
      <c r="J306" t="n">
        <v>0</v>
      </c>
      <c r="K306" t="n">
        <v>0</v>
      </c>
      <c r="L306" t="n">
        <v>0</v>
      </c>
      <c r="M306" t="n">
        <v>0</v>
      </c>
      <c r="N306" t="n">
        <v>0</v>
      </c>
      <c r="O306" t="n">
        <v>0</v>
      </c>
      <c r="P306" t="n">
        <v>0</v>
      </c>
      <c r="Q306" t="n">
        <v>0</v>
      </c>
      <c r="R306" s="2" t="inlineStr"/>
    </row>
    <row r="307" ht="15" customHeight="1">
      <c r="A307" t="inlineStr">
        <is>
          <t>A 33533-2025</t>
        </is>
      </c>
      <c r="B307" s="1" t="n">
        <v>45841.55677083333</v>
      </c>
      <c r="C307" s="1" t="n">
        <v>45878</v>
      </c>
      <c r="D307" t="inlineStr">
        <is>
          <t>DALARNAS LÄN</t>
        </is>
      </c>
      <c r="E307" t="inlineStr">
        <is>
          <t>ORSA</t>
        </is>
      </c>
      <c r="F307" t="inlineStr">
        <is>
          <t>Bergvik skog öst AB</t>
        </is>
      </c>
      <c r="G307" t="n">
        <v>9.4</v>
      </c>
      <c r="H307" t="n">
        <v>0</v>
      </c>
      <c r="I307" t="n">
        <v>0</v>
      </c>
      <c r="J307" t="n">
        <v>0</v>
      </c>
      <c r="K307" t="n">
        <v>0</v>
      </c>
      <c r="L307" t="n">
        <v>0</v>
      </c>
      <c r="M307" t="n">
        <v>0</v>
      </c>
      <c r="N307" t="n">
        <v>0</v>
      </c>
      <c r="O307" t="n">
        <v>0</v>
      </c>
      <c r="P307" t="n">
        <v>0</v>
      </c>
      <c r="Q307" t="n">
        <v>0</v>
      </c>
      <c r="R307" s="2" t="inlineStr"/>
    </row>
    <row r="308" ht="15" customHeight="1">
      <c r="A308" t="inlineStr">
        <is>
          <t>A 52816-2024</t>
        </is>
      </c>
      <c r="B308" s="1" t="n">
        <v>45610.58322916667</v>
      </c>
      <c r="C308" s="1" t="n">
        <v>45878</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53717-2024</t>
        </is>
      </c>
      <c r="B309" s="1" t="n">
        <v>45615.43141203704</v>
      </c>
      <c r="C309" s="1" t="n">
        <v>45878</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42517-2024</t>
        </is>
      </c>
      <c r="B310" s="1" t="n">
        <v>45565.54078703704</v>
      </c>
      <c r="C310" s="1" t="n">
        <v>45878</v>
      </c>
      <c r="D310" t="inlineStr">
        <is>
          <t>DALARNAS LÄN</t>
        </is>
      </c>
      <c r="E310" t="inlineStr">
        <is>
          <t>ORSA</t>
        </is>
      </c>
      <c r="G310" t="n">
        <v>3</v>
      </c>
      <c r="H310" t="n">
        <v>0</v>
      </c>
      <c r="I310" t="n">
        <v>0</v>
      </c>
      <c r="J310" t="n">
        <v>0</v>
      </c>
      <c r="K310" t="n">
        <v>0</v>
      </c>
      <c r="L310" t="n">
        <v>0</v>
      </c>
      <c r="M310" t="n">
        <v>0</v>
      </c>
      <c r="N310" t="n">
        <v>0</v>
      </c>
      <c r="O310" t="n">
        <v>0</v>
      </c>
      <c r="P310" t="n">
        <v>0</v>
      </c>
      <c r="Q310" t="n">
        <v>0</v>
      </c>
      <c r="R310" s="2" t="inlineStr"/>
    </row>
    <row r="311" ht="15" customHeight="1">
      <c r="A311" t="inlineStr">
        <is>
          <t>A 612-2025</t>
        </is>
      </c>
      <c r="B311" s="1" t="n">
        <v>45660</v>
      </c>
      <c r="C311" s="1" t="n">
        <v>45878</v>
      </c>
      <c r="D311" t="inlineStr">
        <is>
          <t>DALARNAS LÄN</t>
        </is>
      </c>
      <c r="E311" t="inlineStr">
        <is>
          <t>ORSA</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28082-2023</t>
        </is>
      </c>
      <c r="B312" s="1" t="n">
        <v>45099</v>
      </c>
      <c r="C312" s="1" t="n">
        <v>45878</v>
      </c>
      <c r="D312" t="inlineStr">
        <is>
          <t>DALARNAS LÄN</t>
        </is>
      </c>
      <c r="E312" t="inlineStr">
        <is>
          <t>ORSA</t>
        </is>
      </c>
      <c r="G312" t="n">
        <v>0.4</v>
      </c>
      <c r="H312" t="n">
        <v>0</v>
      </c>
      <c r="I312" t="n">
        <v>0</v>
      </c>
      <c r="J312" t="n">
        <v>0</v>
      </c>
      <c r="K312" t="n">
        <v>0</v>
      </c>
      <c r="L312" t="n">
        <v>0</v>
      </c>
      <c r="M312" t="n">
        <v>0</v>
      </c>
      <c r="N312" t="n">
        <v>0</v>
      </c>
      <c r="O312" t="n">
        <v>0</v>
      </c>
      <c r="P312" t="n">
        <v>0</v>
      </c>
      <c r="Q312" t="n">
        <v>0</v>
      </c>
      <c r="R312" s="2" t="inlineStr"/>
    </row>
    <row r="313" ht="15" customHeight="1">
      <c r="A313" t="inlineStr">
        <is>
          <t>A 33835-2025</t>
        </is>
      </c>
      <c r="B313" s="1" t="n">
        <v>45842.47619212963</v>
      </c>
      <c r="C313" s="1" t="n">
        <v>45878</v>
      </c>
      <c r="D313" t="inlineStr">
        <is>
          <t>DALARNAS LÄN</t>
        </is>
      </c>
      <c r="E313" t="inlineStr">
        <is>
          <t>ORSA</t>
        </is>
      </c>
      <c r="G313" t="n">
        <v>15.2</v>
      </c>
      <c r="H313" t="n">
        <v>0</v>
      </c>
      <c r="I313" t="n">
        <v>0</v>
      </c>
      <c r="J313" t="n">
        <v>0</v>
      </c>
      <c r="K313" t="n">
        <v>0</v>
      </c>
      <c r="L313" t="n">
        <v>0</v>
      </c>
      <c r="M313" t="n">
        <v>0</v>
      </c>
      <c r="N313" t="n">
        <v>0</v>
      </c>
      <c r="O313" t="n">
        <v>0</v>
      </c>
      <c r="P313" t="n">
        <v>0</v>
      </c>
      <c r="Q313" t="n">
        <v>0</v>
      </c>
      <c r="R313" s="2" t="inlineStr"/>
    </row>
    <row r="314" ht="15" customHeight="1">
      <c r="A314" t="inlineStr">
        <is>
          <t>A 33951-2025</t>
        </is>
      </c>
      <c r="B314" s="1" t="n">
        <v>45842.66791666667</v>
      </c>
      <c r="C314" s="1" t="n">
        <v>45878</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2717-2024</t>
        </is>
      </c>
      <c r="B315" s="1" t="n">
        <v>45314.49222222222</v>
      </c>
      <c r="C315" s="1" t="n">
        <v>45878</v>
      </c>
      <c r="D315" t="inlineStr">
        <is>
          <t>DALARNAS LÄN</t>
        </is>
      </c>
      <c r="E315" t="inlineStr">
        <is>
          <t>ORSA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25172-2022</t>
        </is>
      </c>
      <c r="B316" s="1" t="n">
        <v>44729.58356481481</v>
      </c>
      <c r="C316" s="1" t="n">
        <v>45878</v>
      </c>
      <c r="D316" t="inlineStr">
        <is>
          <t>DALARNAS LÄN</t>
        </is>
      </c>
      <c r="E316" t="inlineStr">
        <is>
          <t>ORSA</t>
        </is>
      </c>
      <c r="F316" t="inlineStr">
        <is>
          <t>Bergvik skog öst AB</t>
        </is>
      </c>
      <c r="G316" t="n">
        <v>3.6</v>
      </c>
      <c r="H316" t="n">
        <v>0</v>
      </c>
      <c r="I316" t="n">
        <v>0</v>
      </c>
      <c r="J316" t="n">
        <v>0</v>
      </c>
      <c r="K316" t="n">
        <v>0</v>
      </c>
      <c r="L316" t="n">
        <v>0</v>
      </c>
      <c r="M316" t="n">
        <v>0</v>
      </c>
      <c r="N316" t="n">
        <v>0</v>
      </c>
      <c r="O316" t="n">
        <v>0</v>
      </c>
      <c r="P316" t="n">
        <v>0</v>
      </c>
      <c r="Q316" t="n">
        <v>0</v>
      </c>
      <c r="R316" s="2" t="inlineStr"/>
    </row>
    <row r="317" ht="15" customHeight="1">
      <c r="A317" t="inlineStr">
        <is>
          <t>A 56887-2024</t>
        </is>
      </c>
      <c r="B317" s="1" t="n">
        <v>45628.57388888889</v>
      </c>
      <c r="C317" s="1" t="n">
        <v>45878</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986-2025</t>
        </is>
      </c>
      <c r="B318" s="1" t="n">
        <v>45666.42952546296</v>
      </c>
      <c r="C318" s="1" t="n">
        <v>45878</v>
      </c>
      <c r="D318" t="inlineStr">
        <is>
          <t>DALARNAS LÄN</t>
        </is>
      </c>
      <c r="E318" t="inlineStr">
        <is>
          <t>ORSA</t>
        </is>
      </c>
      <c r="G318" t="n">
        <v>5.7</v>
      </c>
      <c r="H318" t="n">
        <v>0</v>
      </c>
      <c r="I318" t="n">
        <v>0</v>
      </c>
      <c r="J318" t="n">
        <v>0</v>
      </c>
      <c r="K318" t="n">
        <v>0</v>
      </c>
      <c r="L318" t="n">
        <v>0</v>
      </c>
      <c r="M318" t="n">
        <v>0</v>
      </c>
      <c r="N318" t="n">
        <v>0</v>
      </c>
      <c r="O318" t="n">
        <v>0</v>
      </c>
      <c r="P318" t="n">
        <v>0</v>
      </c>
      <c r="Q318" t="n">
        <v>0</v>
      </c>
      <c r="R318" s="2" t="inlineStr"/>
    </row>
    <row r="319" ht="15" customHeight="1">
      <c r="A319" t="inlineStr">
        <is>
          <t>A 34001-2025</t>
        </is>
      </c>
      <c r="B319" s="1" t="n">
        <v>45844</v>
      </c>
      <c r="C319" s="1" t="n">
        <v>45878</v>
      </c>
      <c r="D319" t="inlineStr">
        <is>
          <t>DALARNAS LÄN</t>
        </is>
      </c>
      <c r="E319" t="inlineStr">
        <is>
          <t>ORSA</t>
        </is>
      </c>
      <c r="F319" t="inlineStr">
        <is>
          <t>Bergvik skog öst AB</t>
        </is>
      </c>
      <c r="G319" t="n">
        <v>13.4</v>
      </c>
      <c r="H319" t="n">
        <v>0</v>
      </c>
      <c r="I319" t="n">
        <v>0</v>
      </c>
      <c r="J319" t="n">
        <v>0</v>
      </c>
      <c r="K319" t="n">
        <v>0</v>
      </c>
      <c r="L319" t="n">
        <v>0</v>
      </c>
      <c r="M319" t="n">
        <v>0</v>
      </c>
      <c r="N319" t="n">
        <v>0</v>
      </c>
      <c r="O319" t="n">
        <v>0</v>
      </c>
      <c r="P319" t="n">
        <v>0</v>
      </c>
      <c r="Q319" t="n">
        <v>0</v>
      </c>
      <c r="R319" s="2" t="inlineStr"/>
    </row>
    <row r="320" ht="15" customHeight="1">
      <c r="A320" t="inlineStr">
        <is>
          <t>A 42513-2024</t>
        </is>
      </c>
      <c r="B320" s="1" t="n">
        <v>45565.53810185185</v>
      </c>
      <c r="C320" s="1" t="n">
        <v>45878</v>
      </c>
      <c r="D320" t="inlineStr">
        <is>
          <t>DALARNAS LÄN</t>
        </is>
      </c>
      <c r="E320" t="inlineStr">
        <is>
          <t>ORSA</t>
        </is>
      </c>
      <c r="G320" t="n">
        <v>1.6</v>
      </c>
      <c r="H320" t="n">
        <v>0</v>
      </c>
      <c r="I320" t="n">
        <v>0</v>
      </c>
      <c r="J320" t="n">
        <v>0</v>
      </c>
      <c r="K320" t="n">
        <v>0</v>
      </c>
      <c r="L320" t="n">
        <v>0</v>
      </c>
      <c r="M320" t="n">
        <v>0</v>
      </c>
      <c r="N320" t="n">
        <v>0</v>
      </c>
      <c r="O320" t="n">
        <v>0</v>
      </c>
      <c r="P320" t="n">
        <v>0</v>
      </c>
      <c r="Q320" t="n">
        <v>0</v>
      </c>
      <c r="R320" s="2" t="inlineStr"/>
    </row>
    <row r="321" ht="15" customHeight="1">
      <c r="A321" t="inlineStr">
        <is>
          <t>A 30458-2023</t>
        </is>
      </c>
      <c r="B321" s="1" t="n">
        <v>45111</v>
      </c>
      <c r="C321" s="1" t="n">
        <v>45878</v>
      </c>
      <c r="D321" t="inlineStr">
        <is>
          <t>DALARNAS LÄN</t>
        </is>
      </c>
      <c r="E321" t="inlineStr">
        <is>
          <t>ORSA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42238-2023</t>
        </is>
      </c>
      <c r="B322" s="1" t="n">
        <v>45180.34207175926</v>
      </c>
      <c r="C322" s="1" t="n">
        <v>45878</v>
      </c>
      <c r="D322" t="inlineStr">
        <is>
          <t>DALARNAS LÄN</t>
        </is>
      </c>
      <c r="E322" t="inlineStr">
        <is>
          <t>ORSA</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18817-2023</t>
        </is>
      </c>
      <c r="B323" s="1" t="n">
        <v>45043</v>
      </c>
      <c r="C323" s="1" t="n">
        <v>45878</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4738-2025</t>
        </is>
      </c>
      <c r="B324" s="1" t="n">
        <v>45688</v>
      </c>
      <c r="C324" s="1" t="n">
        <v>45878</v>
      </c>
      <c r="D324" t="inlineStr">
        <is>
          <t>DALARNAS LÄN</t>
        </is>
      </c>
      <c r="E324" t="inlineStr">
        <is>
          <t>ORSA</t>
        </is>
      </c>
      <c r="G324" t="n">
        <v>3.7</v>
      </c>
      <c r="H324" t="n">
        <v>0</v>
      </c>
      <c r="I324" t="n">
        <v>0</v>
      </c>
      <c r="J324" t="n">
        <v>0</v>
      </c>
      <c r="K324" t="n">
        <v>0</v>
      </c>
      <c r="L324" t="n">
        <v>0</v>
      </c>
      <c r="M324" t="n">
        <v>0</v>
      </c>
      <c r="N324" t="n">
        <v>0</v>
      </c>
      <c r="O324" t="n">
        <v>0</v>
      </c>
      <c r="P324" t="n">
        <v>0</v>
      </c>
      <c r="Q324" t="n">
        <v>0</v>
      </c>
      <c r="R324" s="2" t="inlineStr"/>
    </row>
    <row r="325" ht="15" customHeight="1">
      <c r="A325" t="inlineStr">
        <is>
          <t>A 34753-2025</t>
        </is>
      </c>
      <c r="B325" s="1" t="n">
        <v>45848.62001157407</v>
      </c>
      <c r="C325" s="1" t="n">
        <v>45878</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34769-2025</t>
        </is>
      </c>
      <c r="B326" s="1" t="n">
        <v>45848.6534837963</v>
      </c>
      <c r="C326" s="1" t="n">
        <v>45878</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34777-2025</t>
        </is>
      </c>
      <c r="B327" s="1" t="n">
        <v>45848.66167824074</v>
      </c>
      <c r="C327" s="1" t="n">
        <v>45878</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34794-2025</t>
        </is>
      </c>
      <c r="B328" s="1" t="n">
        <v>45848.73256944444</v>
      </c>
      <c r="C328" s="1" t="n">
        <v>45878</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7534-2025</t>
        </is>
      </c>
      <c r="B329" s="1" t="n">
        <v>45705.56287037037</v>
      </c>
      <c r="C329" s="1" t="n">
        <v>45878</v>
      </c>
      <c r="D329" t="inlineStr">
        <is>
          <t>DALARNAS LÄN</t>
        </is>
      </c>
      <c r="E329" t="inlineStr">
        <is>
          <t>ORSA</t>
        </is>
      </c>
      <c r="G329" t="n">
        <v>1.1</v>
      </c>
      <c r="H329" t="n">
        <v>0</v>
      </c>
      <c r="I329" t="n">
        <v>0</v>
      </c>
      <c r="J329" t="n">
        <v>0</v>
      </c>
      <c r="K329" t="n">
        <v>0</v>
      </c>
      <c r="L329" t="n">
        <v>0</v>
      </c>
      <c r="M329" t="n">
        <v>0</v>
      </c>
      <c r="N329" t="n">
        <v>0</v>
      </c>
      <c r="O329" t="n">
        <v>0</v>
      </c>
      <c r="P329" t="n">
        <v>0</v>
      </c>
      <c r="Q329" t="n">
        <v>0</v>
      </c>
      <c r="R329" s="2" t="inlineStr"/>
    </row>
    <row r="330" ht="15" customHeight="1">
      <c r="A330" t="inlineStr">
        <is>
          <t>A 31026-2023</t>
        </is>
      </c>
      <c r="B330" s="1" t="n">
        <v>45113.5812962963</v>
      </c>
      <c r="C330" s="1" t="n">
        <v>45878</v>
      </c>
      <c r="D330" t="inlineStr">
        <is>
          <t>DALARNAS LÄN</t>
        </is>
      </c>
      <c r="E330" t="inlineStr">
        <is>
          <t>ORSA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34744-2025</t>
        </is>
      </c>
      <c r="B331" s="1" t="n">
        <v>45848.6125</v>
      </c>
      <c r="C331" s="1" t="n">
        <v>45878</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34764-2025</t>
        </is>
      </c>
      <c r="B332" s="1" t="n">
        <v>45848.64788194445</v>
      </c>
      <c r="C332" s="1" t="n">
        <v>45878</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34779-2025</t>
        </is>
      </c>
      <c r="B333" s="1" t="n">
        <v>45848.66987268518</v>
      </c>
      <c r="C333" s="1" t="n">
        <v>45878</v>
      </c>
      <c r="D333" t="inlineStr">
        <is>
          <t>DALARNAS LÄN</t>
        </is>
      </c>
      <c r="E333" t="inlineStr">
        <is>
          <t>ORSA</t>
        </is>
      </c>
      <c r="G333" t="n">
        <v>0.6</v>
      </c>
      <c r="H333" t="n">
        <v>0</v>
      </c>
      <c r="I333" t="n">
        <v>0</v>
      </c>
      <c r="J333" t="n">
        <v>0</v>
      </c>
      <c r="K333" t="n">
        <v>0</v>
      </c>
      <c r="L333" t="n">
        <v>0</v>
      </c>
      <c r="M333" t="n">
        <v>0</v>
      </c>
      <c r="N333" t="n">
        <v>0</v>
      </c>
      <c r="O333" t="n">
        <v>0</v>
      </c>
      <c r="P333" t="n">
        <v>0</v>
      </c>
      <c r="Q333" t="n">
        <v>0</v>
      </c>
      <c r="R333" s="2" t="inlineStr"/>
    </row>
    <row r="334" ht="15" customHeight="1">
      <c r="A334" t="inlineStr">
        <is>
          <t>A 34781-2025</t>
        </is>
      </c>
      <c r="B334" s="1" t="n">
        <v>45848.67424768519</v>
      </c>
      <c r="C334" s="1" t="n">
        <v>45878</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32125-2024</t>
        </is>
      </c>
      <c r="B335" s="1" t="n">
        <v>45511</v>
      </c>
      <c r="C335" s="1" t="n">
        <v>45878</v>
      </c>
      <c r="D335" t="inlineStr">
        <is>
          <t>DALARNAS LÄN</t>
        </is>
      </c>
      <c r="E335" t="inlineStr">
        <is>
          <t>ORSA</t>
        </is>
      </c>
      <c r="F335" t="inlineStr">
        <is>
          <t>Allmännings- och besparingsskogar</t>
        </is>
      </c>
      <c r="G335" t="n">
        <v>5.2</v>
      </c>
      <c r="H335" t="n">
        <v>0</v>
      </c>
      <c r="I335" t="n">
        <v>0</v>
      </c>
      <c r="J335" t="n">
        <v>0</v>
      </c>
      <c r="K335" t="n">
        <v>0</v>
      </c>
      <c r="L335" t="n">
        <v>0</v>
      </c>
      <c r="M335" t="n">
        <v>0</v>
      </c>
      <c r="N335" t="n">
        <v>0</v>
      </c>
      <c r="O335" t="n">
        <v>0</v>
      </c>
      <c r="P335" t="n">
        <v>0</v>
      </c>
      <c r="Q335" t="n">
        <v>0</v>
      </c>
      <c r="R335" s="2" t="inlineStr"/>
    </row>
    <row r="336" ht="15" customHeight="1">
      <c r="A336" t="inlineStr">
        <is>
          <t>A 61034-2024</t>
        </is>
      </c>
      <c r="B336" s="1" t="n">
        <v>45645.46608796297</v>
      </c>
      <c r="C336" s="1" t="n">
        <v>45878</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51303-2023</t>
        </is>
      </c>
      <c r="B337" s="1" t="n">
        <v>45219.55793981482</v>
      </c>
      <c r="C337" s="1" t="n">
        <v>45878</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21364-2025</t>
        </is>
      </c>
      <c r="B338" s="1" t="n">
        <v>45782</v>
      </c>
      <c r="C338" s="1" t="n">
        <v>45878</v>
      </c>
      <c r="D338" t="inlineStr">
        <is>
          <t>DALARNAS LÄN</t>
        </is>
      </c>
      <c r="E338" t="inlineStr">
        <is>
          <t>ORSA</t>
        </is>
      </c>
      <c r="F338" t="inlineStr">
        <is>
          <t>Allmännings- och besparingsskogar</t>
        </is>
      </c>
      <c r="G338" t="n">
        <v>52.6</v>
      </c>
      <c r="H338" t="n">
        <v>0</v>
      </c>
      <c r="I338" t="n">
        <v>0</v>
      </c>
      <c r="J338" t="n">
        <v>0</v>
      </c>
      <c r="K338" t="n">
        <v>0</v>
      </c>
      <c r="L338" t="n">
        <v>0</v>
      </c>
      <c r="M338" t="n">
        <v>0</v>
      </c>
      <c r="N338" t="n">
        <v>0</v>
      </c>
      <c r="O338" t="n">
        <v>0</v>
      </c>
      <c r="P338" t="n">
        <v>0</v>
      </c>
      <c r="Q338" t="n">
        <v>0</v>
      </c>
      <c r="R338" s="2" t="inlineStr"/>
    </row>
    <row r="339" ht="15" customHeight="1">
      <c r="A339" t="inlineStr">
        <is>
          <t>A 63371-2023</t>
        </is>
      </c>
      <c r="B339" s="1" t="n">
        <v>45274.47642361111</v>
      </c>
      <c r="C339" s="1" t="n">
        <v>45878</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22022-2022</t>
        </is>
      </c>
      <c r="B340" s="1" t="n">
        <v>44711.60145833333</v>
      </c>
      <c r="C340" s="1" t="n">
        <v>45878</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42346-2022</t>
        </is>
      </c>
      <c r="B341" s="1" t="n">
        <v>44831.35561342593</v>
      </c>
      <c r="C341" s="1" t="n">
        <v>45878</v>
      </c>
      <c r="D341" t="inlineStr">
        <is>
          <t>DALARNAS LÄN</t>
        </is>
      </c>
      <c r="E341" t="inlineStr">
        <is>
          <t>ORSA</t>
        </is>
      </c>
      <c r="G341" t="n">
        <v>2.4</v>
      </c>
      <c r="H341" t="n">
        <v>0</v>
      </c>
      <c r="I341" t="n">
        <v>0</v>
      </c>
      <c r="J341" t="n">
        <v>0</v>
      </c>
      <c r="K341" t="n">
        <v>0</v>
      </c>
      <c r="L341" t="n">
        <v>0</v>
      </c>
      <c r="M341" t="n">
        <v>0</v>
      </c>
      <c r="N341" t="n">
        <v>0</v>
      </c>
      <c r="O341" t="n">
        <v>0</v>
      </c>
      <c r="P341" t="n">
        <v>0</v>
      </c>
      <c r="Q341" t="n">
        <v>0</v>
      </c>
      <c r="R341" s="2" t="inlineStr"/>
    </row>
    <row r="342" ht="15" customHeight="1">
      <c r="A342" t="inlineStr">
        <is>
          <t>A 67842-2020</t>
        </is>
      </c>
      <c r="B342" s="1" t="n">
        <v>44182</v>
      </c>
      <c r="C342" s="1" t="n">
        <v>45878</v>
      </c>
      <c r="D342" t="inlineStr">
        <is>
          <t>DALARNAS LÄN</t>
        </is>
      </c>
      <c r="E342" t="inlineStr">
        <is>
          <t>ORSA</t>
        </is>
      </c>
      <c r="G342" t="n">
        <v>10.6</v>
      </c>
      <c r="H342" t="n">
        <v>0</v>
      </c>
      <c r="I342" t="n">
        <v>0</v>
      </c>
      <c r="J342" t="n">
        <v>0</v>
      </c>
      <c r="K342" t="n">
        <v>0</v>
      </c>
      <c r="L342" t="n">
        <v>0</v>
      </c>
      <c r="M342" t="n">
        <v>0</v>
      </c>
      <c r="N342" t="n">
        <v>0</v>
      </c>
      <c r="O342" t="n">
        <v>0</v>
      </c>
      <c r="P342" t="n">
        <v>0</v>
      </c>
      <c r="Q342" t="n">
        <v>0</v>
      </c>
      <c r="R342" s="2" t="inlineStr"/>
    </row>
    <row r="343" ht="15" customHeight="1">
      <c r="A343" t="inlineStr">
        <is>
          <t>A 52925-2024</t>
        </is>
      </c>
      <c r="B343" s="1" t="n">
        <v>45610.73276620371</v>
      </c>
      <c r="C343" s="1" t="n">
        <v>45878</v>
      </c>
      <c r="D343" t="inlineStr">
        <is>
          <t>DALARNAS LÄN</t>
        </is>
      </c>
      <c r="E343" t="inlineStr">
        <is>
          <t>ORSA</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51563-2023</t>
        </is>
      </c>
      <c r="B344" s="1" t="n">
        <v>45222</v>
      </c>
      <c r="C344" s="1" t="n">
        <v>45878</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20302-2023</t>
        </is>
      </c>
      <c r="B345" s="1" t="n">
        <v>45056</v>
      </c>
      <c r="C345" s="1" t="n">
        <v>45878</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6097-2025</t>
        </is>
      </c>
      <c r="B346" s="1" t="n">
        <v>45697</v>
      </c>
      <c r="C346" s="1" t="n">
        <v>45878</v>
      </c>
      <c r="D346" t="inlineStr">
        <is>
          <t>DALARNAS LÄN</t>
        </is>
      </c>
      <c r="E346" t="inlineStr">
        <is>
          <t>ORSA</t>
        </is>
      </c>
      <c r="G346" t="n">
        <v>11.1</v>
      </c>
      <c r="H346" t="n">
        <v>0</v>
      </c>
      <c r="I346" t="n">
        <v>0</v>
      </c>
      <c r="J346" t="n">
        <v>0</v>
      </c>
      <c r="K346" t="n">
        <v>0</v>
      </c>
      <c r="L346" t="n">
        <v>0</v>
      </c>
      <c r="M346" t="n">
        <v>0</v>
      </c>
      <c r="N346" t="n">
        <v>0</v>
      </c>
      <c r="O346" t="n">
        <v>0</v>
      </c>
      <c r="P346" t="n">
        <v>0</v>
      </c>
      <c r="Q346" t="n">
        <v>0</v>
      </c>
      <c r="R346" s="2" t="inlineStr"/>
    </row>
    <row r="347" ht="15" customHeight="1">
      <c r="A347" t="inlineStr">
        <is>
          <t>A 40101-2024</t>
        </is>
      </c>
      <c r="B347" s="1" t="n">
        <v>45554.42622685185</v>
      </c>
      <c r="C347" s="1" t="n">
        <v>45878</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61053-2024</t>
        </is>
      </c>
      <c r="B348" s="1" t="n">
        <v>45645.48501157408</v>
      </c>
      <c r="C348" s="1" t="n">
        <v>45878</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45878</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20349-2021</t>
        </is>
      </c>
      <c r="B350" s="1" t="n">
        <v>44315.41582175926</v>
      </c>
      <c r="C350" s="1" t="n">
        <v>45878</v>
      </c>
      <c r="D350" t="inlineStr">
        <is>
          <t>DALARNAS LÄN</t>
        </is>
      </c>
      <c r="E350" t="inlineStr">
        <is>
          <t>ORSA</t>
        </is>
      </c>
      <c r="G350" t="n">
        <v>2.3</v>
      </c>
      <c r="H350" t="n">
        <v>0</v>
      </c>
      <c r="I350" t="n">
        <v>0</v>
      </c>
      <c r="J350" t="n">
        <v>0</v>
      </c>
      <c r="K350" t="n">
        <v>0</v>
      </c>
      <c r="L350" t="n">
        <v>0</v>
      </c>
      <c r="M350" t="n">
        <v>0</v>
      </c>
      <c r="N350" t="n">
        <v>0</v>
      </c>
      <c r="O350" t="n">
        <v>0</v>
      </c>
      <c r="P350" t="n">
        <v>0</v>
      </c>
      <c r="Q350" t="n">
        <v>0</v>
      </c>
      <c r="R350" s="2" t="inlineStr"/>
    </row>
    <row r="351" ht="15" customHeight="1">
      <c r="A351" t="inlineStr">
        <is>
          <t>A 26741-2025</t>
        </is>
      </c>
      <c r="B351" s="1" t="n">
        <v>45810.52444444445</v>
      </c>
      <c r="C351" s="1" t="n">
        <v>45878</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34964-2025</t>
        </is>
      </c>
      <c r="B352" s="1" t="n">
        <v>45849.6330787037</v>
      </c>
      <c r="C352" s="1" t="n">
        <v>45878</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6490-2025</t>
        </is>
      </c>
      <c r="B353" s="1" t="n">
        <v>45699</v>
      </c>
      <c r="C353" s="1" t="n">
        <v>45878</v>
      </c>
      <c r="D353" t="inlineStr">
        <is>
          <t>DALARNAS LÄN</t>
        </is>
      </c>
      <c r="E353" t="inlineStr">
        <is>
          <t>ORSA</t>
        </is>
      </c>
      <c r="G353" t="n">
        <v>7.5</v>
      </c>
      <c r="H353" t="n">
        <v>0</v>
      </c>
      <c r="I353" t="n">
        <v>0</v>
      </c>
      <c r="J353" t="n">
        <v>0</v>
      </c>
      <c r="K353" t="n">
        <v>0</v>
      </c>
      <c r="L353" t="n">
        <v>0</v>
      </c>
      <c r="M353" t="n">
        <v>0</v>
      </c>
      <c r="N353" t="n">
        <v>0</v>
      </c>
      <c r="O353" t="n">
        <v>0</v>
      </c>
      <c r="P353" t="n">
        <v>0</v>
      </c>
      <c r="Q353" t="n">
        <v>0</v>
      </c>
      <c r="R353" s="2" t="inlineStr"/>
    </row>
    <row r="354" ht="15" customHeight="1">
      <c r="A354" t="inlineStr">
        <is>
          <t>A 27221-2025</t>
        </is>
      </c>
      <c r="B354" s="1" t="n">
        <v>45812.42304398148</v>
      </c>
      <c r="C354" s="1" t="n">
        <v>45878</v>
      </c>
      <c r="D354" t="inlineStr">
        <is>
          <t>DALARNAS LÄN</t>
        </is>
      </c>
      <c r="E354" t="inlineStr">
        <is>
          <t>ORSA</t>
        </is>
      </c>
      <c r="F354" t="inlineStr">
        <is>
          <t>Bergvik skog öst AB</t>
        </is>
      </c>
      <c r="G354" t="n">
        <v>3.7</v>
      </c>
      <c r="H354" t="n">
        <v>0</v>
      </c>
      <c r="I354" t="n">
        <v>0</v>
      </c>
      <c r="J354" t="n">
        <v>0</v>
      </c>
      <c r="K354" t="n">
        <v>0</v>
      </c>
      <c r="L354" t="n">
        <v>0</v>
      </c>
      <c r="M354" t="n">
        <v>0</v>
      </c>
      <c r="N354" t="n">
        <v>0</v>
      </c>
      <c r="O354" t="n">
        <v>0</v>
      </c>
      <c r="P354" t="n">
        <v>0</v>
      </c>
      <c r="Q354" t="n">
        <v>0</v>
      </c>
      <c r="R354" s="2" t="inlineStr"/>
    </row>
    <row r="355" ht="15" customHeight="1">
      <c r="A355" t="inlineStr">
        <is>
          <t>A 27240-2025</t>
        </is>
      </c>
      <c r="B355" s="1" t="n">
        <v>45812.45170138889</v>
      </c>
      <c r="C355" s="1" t="n">
        <v>45878</v>
      </c>
      <c r="D355" t="inlineStr">
        <is>
          <t>DALARNAS LÄN</t>
        </is>
      </c>
      <c r="E355" t="inlineStr">
        <is>
          <t>ORSA</t>
        </is>
      </c>
      <c r="F355" t="inlineStr">
        <is>
          <t>Bergvik skog öst AB</t>
        </is>
      </c>
      <c r="G355" t="n">
        <v>6.8</v>
      </c>
      <c r="H355" t="n">
        <v>0</v>
      </c>
      <c r="I355" t="n">
        <v>0</v>
      </c>
      <c r="J355" t="n">
        <v>0</v>
      </c>
      <c r="K355" t="n">
        <v>0</v>
      </c>
      <c r="L355" t="n">
        <v>0</v>
      </c>
      <c r="M355" t="n">
        <v>0</v>
      </c>
      <c r="N355" t="n">
        <v>0</v>
      </c>
      <c r="O355" t="n">
        <v>0</v>
      </c>
      <c r="P355" t="n">
        <v>0</v>
      </c>
      <c r="Q355" t="n">
        <v>0</v>
      </c>
      <c r="R355" s="2" t="inlineStr"/>
    </row>
    <row r="356" ht="15" customHeight="1">
      <c r="A356" t="inlineStr">
        <is>
          <t>A 47778-2021</t>
        </is>
      </c>
      <c r="B356" s="1" t="n">
        <v>44448</v>
      </c>
      <c r="C356" s="1" t="n">
        <v>45878</v>
      </c>
      <c r="D356" t="inlineStr">
        <is>
          <t>DALARNAS LÄN</t>
        </is>
      </c>
      <c r="E356" t="inlineStr">
        <is>
          <t>ORSA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47564-2023</t>
        </is>
      </c>
      <c r="B357" s="1" t="n">
        <v>45203.40004629629</v>
      </c>
      <c r="C357" s="1" t="n">
        <v>45878</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27313-2025</t>
        </is>
      </c>
      <c r="B358" s="1" t="n">
        <v>45812.58365740741</v>
      </c>
      <c r="C358" s="1" t="n">
        <v>45878</v>
      </c>
      <c r="D358" t="inlineStr">
        <is>
          <t>DALARNAS LÄN</t>
        </is>
      </c>
      <c r="E358" t="inlineStr">
        <is>
          <t>ORSA</t>
        </is>
      </c>
      <c r="F358" t="inlineStr">
        <is>
          <t>Allmännings- och besparingsskogar</t>
        </is>
      </c>
      <c r="G358" t="n">
        <v>1.4</v>
      </c>
      <c r="H358" t="n">
        <v>0</v>
      </c>
      <c r="I358" t="n">
        <v>0</v>
      </c>
      <c r="J358" t="n">
        <v>0</v>
      </c>
      <c r="K358" t="n">
        <v>0</v>
      </c>
      <c r="L358" t="n">
        <v>0</v>
      </c>
      <c r="M358" t="n">
        <v>0</v>
      </c>
      <c r="N358" t="n">
        <v>0</v>
      </c>
      <c r="O358" t="n">
        <v>0</v>
      </c>
      <c r="P358" t="n">
        <v>0</v>
      </c>
      <c r="Q358" t="n">
        <v>0</v>
      </c>
      <c r="R358" s="2" t="inlineStr"/>
    </row>
    <row r="359" ht="15" customHeight="1">
      <c r="A359" t="inlineStr">
        <is>
          <t>A 33057-2025</t>
        </is>
      </c>
      <c r="B359" s="1" t="n">
        <v>45840</v>
      </c>
      <c r="C359" s="1" t="n">
        <v>45878</v>
      </c>
      <c r="D359" t="inlineStr">
        <is>
          <t>DALARNAS LÄN</t>
        </is>
      </c>
      <c r="E359" t="inlineStr">
        <is>
          <t>ORSA</t>
        </is>
      </c>
      <c r="F359" t="inlineStr">
        <is>
          <t>Bergvik skog öst AB</t>
        </is>
      </c>
      <c r="G359" t="n">
        <v>3.3</v>
      </c>
      <c r="H359" t="n">
        <v>0</v>
      </c>
      <c r="I359" t="n">
        <v>0</v>
      </c>
      <c r="J359" t="n">
        <v>0</v>
      </c>
      <c r="K359" t="n">
        <v>0</v>
      </c>
      <c r="L359" t="n">
        <v>0</v>
      </c>
      <c r="M359" t="n">
        <v>0</v>
      </c>
      <c r="N359" t="n">
        <v>0</v>
      </c>
      <c r="O359" t="n">
        <v>0</v>
      </c>
      <c r="P359" t="n">
        <v>0</v>
      </c>
      <c r="Q359" t="n">
        <v>0</v>
      </c>
      <c r="R359" s="2" t="inlineStr"/>
    </row>
    <row r="360" ht="15" customHeight="1">
      <c r="A360" t="inlineStr">
        <is>
          <t>A 27190-2025</t>
        </is>
      </c>
      <c r="B360" s="1" t="n">
        <v>45812.37025462963</v>
      </c>
      <c r="C360" s="1" t="n">
        <v>45878</v>
      </c>
      <c r="D360" t="inlineStr">
        <is>
          <t>DALARNAS LÄN</t>
        </is>
      </c>
      <c r="E360" t="inlineStr">
        <is>
          <t>ORSA</t>
        </is>
      </c>
      <c r="F360" t="inlineStr">
        <is>
          <t>Bergvik skog öst AB</t>
        </is>
      </c>
      <c r="G360" t="n">
        <v>4.9</v>
      </c>
      <c r="H360" t="n">
        <v>0</v>
      </c>
      <c r="I360" t="n">
        <v>0</v>
      </c>
      <c r="J360" t="n">
        <v>0</v>
      </c>
      <c r="K360" t="n">
        <v>0</v>
      </c>
      <c r="L360" t="n">
        <v>0</v>
      </c>
      <c r="M360" t="n">
        <v>0</v>
      </c>
      <c r="N360" t="n">
        <v>0</v>
      </c>
      <c r="O360" t="n">
        <v>0</v>
      </c>
      <c r="P360" t="n">
        <v>0</v>
      </c>
      <c r="Q360" t="n">
        <v>0</v>
      </c>
      <c r="R360" s="2" t="inlineStr"/>
    </row>
    <row r="361" ht="15" customHeight="1">
      <c r="A361" t="inlineStr">
        <is>
          <t>A 597-2024</t>
        </is>
      </c>
      <c r="B361" s="1" t="n">
        <v>45299.63410879629</v>
      </c>
      <c r="C361" s="1" t="n">
        <v>45878</v>
      </c>
      <c r="D361" t="inlineStr">
        <is>
          <t>DALARNAS LÄN</t>
        </is>
      </c>
      <c r="E361" t="inlineStr">
        <is>
          <t>ORSA</t>
        </is>
      </c>
      <c r="G361" t="n">
        <v>4.4</v>
      </c>
      <c r="H361" t="n">
        <v>0</v>
      </c>
      <c r="I361" t="n">
        <v>0</v>
      </c>
      <c r="J361" t="n">
        <v>0</v>
      </c>
      <c r="K361" t="n">
        <v>0</v>
      </c>
      <c r="L361" t="n">
        <v>0</v>
      </c>
      <c r="M361" t="n">
        <v>0</v>
      </c>
      <c r="N361" t="n">
        <v>0</v>
      </c>
      <c r="O361" t="n">
        <v>0</v>
      </c>
      <c r="P361" t="n">
        <v>0</v>
      </c>
      <c r="Q361" t="n">
        <v>0</v>
      </c>
      <c r="R361" s="2" t="inlineStr"/>
    </row>
    <row r="362" ht="15" customHeight="1">
      <c r="A362" t="inlineStr">
        <is>
          <t>A 15772-2025</t>
        </is>
      </c>
      <c r="B362" s="1" t="n">
        <v>45748.59069444444</v>
      </c>
      <c r="C362" s="1" t="n">
        <v>45878</v>
      </c>
      <c r="D362" t="inlineStr">
        <is>
          <t>DALARNAS LÄN</t>
        </is>
      </c>
      <c r="E362" t="inlineStr">
        <is>
          <t>ORSA</t>
        </is>
      </c>
      <c r="F362" t="inlineStr">
        <is>
          <t>Bergvik skog öst AB</t>
        </is>
      </c>
      <c r="G362" t="n">
        <v>3.8</v>
      </c>
      <c r="H362" t="n">
        <v>0</v>
      </c>
      <c r="I362" t="n">
        <v>0</v>
      </c>
      <c r="J362" t="n">
        <v>0</v>
      </c>
      <c r="K362" t="n">
        <v>0</v>
      </c>
      <c r="L362" t="n">
        <v>0</v>
      </c>
      <c r="M362" t="n">
        <v>0</v>
      </c>
      <c r="N362" t="n">
        <v>0</v>
      </c>
      <c r="O362" t="n">
        <v>0</v>
      </c>
      <c r="P362" t="n">
        <v>0</v>
      </c>
      <c r="Q362" t="n">
        <v>0</v>
      </c>
      <c r="R362" s="2" t="inlineStr"/>
    </row>
    <row r="363" ht="15" customHeight="1">
      <c r="A363" t="inlineStr">
        <is>
          <t>A 53229-2023</t>
        </is>
      </c>
      <c r="B363" s="1" t="n">
        <v>45229.48306712963</v>
      </c>
      <c r="C363" s="1" t="n">
        <v>45878</v>
      </c>
      <c r="D363" t="inlineStr">
        <is>
          <t>DALARNAS LÄN</t>
        </is>
      </c>
      <c r="E363" t="inlineStr">
        <is>
          <t>ORSA</t>
        </is>
      </c>
      <c r="F363" t="inlineStr">
        <is>
          <t>Allmännings- och besparingsskogar</t>
        </is>
      </c>
      <c r="G363" t="n">
        <v>0.5</v>
      </c>
      <c r="H363" t="n">
        <v>0</v>
      </c>
      <c r="I363" t="n">
        <v>0</v>
      </c>
      <c r="J363" t="n">
        <v>0</v>
      </c>
      <c r="K363" t="n">
        <v>0</v>
      </c>
      <c r="L363" t="n">
        <v>0</v>
      </c>
      <c r="M363" t="n">
        <v>0</v>
      </c>
      <c r="N363" t="n">
        <v>0</v>
      </c>
      <c r="O363" t="n">
        <v>0</v>
      </c>
      <c r="P363" t="n">
        <v>0</v>
      </c>
      <c r="Q363" t="n">
        <v>0</v>
      </c>
      <c r="R363" s="2" t="inlineStr"/>
    </row>
    <row r="364" ht="15" customHeight="1">
      <c r="A364" t="inlineStr">
        <is>
          <t>A 55538-2023</t>
        </is>
      </c>
      <c r="B364" s="1" t="n">
        <v>45238.5996875</v>
      </c>
      <c r="C364" s="1" t="n">
        <v>45878</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15113-2025</t>
        </is>
      </c>
      <c r="B365" s="1" t="n">
        <v>45744.36179398148</v>
      </c>
      <c r="C365" s="1" t="n">
        <v>45878</v>
      </c>
      <c r="D365" t="inlineStr">
        <is>
          <t>DALARNAS LÄN</t>
        </is>
      </c>
      <c r="E365" t="inlineStr">
        <is>
          <t>ORSA</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51305-2023</t>
        </is>
      </c>
      <c r="B366" s="1" t="n">
        <v>45219</v>
      </c>
      <c r="C366" s="1" t="n">
        <v>45878</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28207-2025</t>
        </is>
      </c>
      <c r="B367" s="1" t="n">
        <v>45818.44871527778</v>
      </c>
      <c r="C367" s="1" t="n">
        <v>45878</v>
      </c>
      <c r="D367" t="inlineStr">
        <is>
          <t>DALARNAS LÄN</t>
        </is>
      </c>
      <c r="E367" t="inlineStr">
        <is>
          <t>ORSA</t>
        </is>
      </c>
      <c r="F367" t="inlineStr">
        <is>
          <t>Bergvik skog öst AB</t>
        </is>
      </c>
      <c r="G367" t="n">
        <v>2.9</v>
      </c>
      <c r="H367" t="n">
        <v>0</v>
      </c>
      <c r="I367" t="n">
        <v>0</v>
      </c>
      <c r="J367" t="n">
        <v>0</v>
      </c>
      <c r="K367" t="n">
        <v>0</v>
      </c>
      <c r="L367" t="n">
        <v>0</v>
      </c>
      <c r="M367" t="n">
        <v>0</v>
      </c>
      <c r="N367" t="n">
        <v>0</v>
      </c>
      <c r="O367" t="n">
        <v>0</v>
      </c>
      <c r="P367" t="n">
        <v>0</v>
      </c>
      <c r="Q367" t="n">
        <v>0</v>
      </c>
      <c r="R367" s="2" t="inlineStr"/>
    </row>
    <row r="368" ht="15" customHeight="1">
      <c r="A368" t="inlineStr">
        <is>
          <t>A 1624-2024</t>
        </is>
      </c>
      <c r="B368" s="1" t="n">
        <v>45306</v>
      </c>
      <c r="C368" s="1" t="n">
        <v>45878</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19505-2022</t>
        </is>
      </c>
      <c r="B369" s="1" t="n">
        <v>44693</v>
      </c>
      <c r="C369" s="1" t="n">
        <v>45878</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35617-2025</t>
        </is>
      </c>
      <c r="B370" s="1" t="n">
        <v>45859.4103125</v>
      </c>
      <c r="C370" s="1" t="n">
        <v>45878</v>
      </c>
      <c r="D370" t="inlineStr">
        <is>
          <t>DALARNAS LÄN</t>
        </is>
      </c>
      <c r="E370" t="inlineStr">
        <is>
          <t>ORSA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27866-2025</t>
        </is>
      </c>
      <c r="B371" s="1" t="n">
        <v>45817.4262962963</v>
      </c>
      <c r="C371" s="1" t="n">
        <v>45878</v>
      </c>
      <c r="D371" t="inlineStr">
        <is>
          <t>DALARNAS LÄN</t>
        </is>
      </c>
      <c r="E371" t="inlineStr">
        <is>
          <t>ORSA</t>
        </is>
      </c>
      <c r="F371" t="inlineStr">
        <is>
          <t>Allmännings- och besparingsskogar</t>
        </is>
      </c>
      <c r="G371" t="n">
        <v>6</v>
      </c>
      <c r="H371" t="n">
        <v>0</v>
      </c>
      <c r="I371" t="n">
        <v>0</v>
      </c>
      <c r="J371" t="n">
        <v>0</v>
      </c>
      <c r="K371" t="n">
        <v>0</v>
      </c>
      <c r="L371" t="n">
        <v>0</v>
      </c>
      <c r="M371" t="n">
        <v>0</v>
      </c>
      <c r="N371" t="n">
        <v>0</v>
      </c>
      <c r="O371" t="n">
        <v>0</v>
      </c>
      <c r="P371" t="n">
        <v>0</v>
      </c>
      <c r="Q371" t="n">
        <v>0</v>
      </c>
      <c r="R371" s="2" t="inlineStr"/>
    </row>
    <row r="372" ht="15" customHeight="1">
      <c r="A372" t="inlineStr">
        <is>
          <t>A 27987-2025</t>
        </is>
      </c>
      <c r="B372" s="1" t="n">
        <v>45817.58361111111</v>
      </c>
      <c r="C372" s="1" t="n">
        <v>45878</v>
      </c>
      <c r="D372" t="inlineStr">
        <is>
          <t>DALARNAS LÄN</t>
        </is>
      </c>
      <c r="E372" t="inlineStr">
        <is>
          <t>ORSA</t>
        </is>
      </c>
      <c r="F372" t="inlineStr">
        <is>
          <t>Allmännings- och besparingsskogar</t>
        </is>
      </c>
      <c r="G372" t="n">
        <v>2.5</v>
      </c>
      <c r="H372" t="n">
        <v>0</v>
      </c>
      <c r="I372" t="n">
        <v>0</v>
      </c>
      <c r="J372" t="n">
        <v>0</v>
      </c>
      <c r="K372" t="n">
        <v>0</v>
      </c>
      <c r="L372" t="n">
        <v>0</v>
      </c>
      <c r="M372" t="n">
        <v>0</v>
      </c>
      <c r="N372" t="n">
        <v>0</v>
      </c>
      <c r="O372" t="n">
        <v>0</v>
      </c>
      <c r="P372" t="n">
        <v>0</v>
      </c>
      <c r="Q372" t="n">
        <v>0</v>
      </c>
      <c r="R372" s="2" t="inlineStr"/>
    </row>
    <row r="373" ht="15" customHeight="1">
      <c r="A373" t="inlineStr">
        <is>
          <t>A 27885-2025</t>
        </is>
      </c>
      <c r="B373" s="1" t="n">
        <v>45817.45034722222</v>
      </c>
      <c r="C373" s="1" t="n">
        <v>45878</v>
      </c>
      <c r="D373" t="inlineStr">
        <is>
          <t>DALARNAS LÄN</t>
        </is>
      </c>
      <c r="E373" t="inlineStr">
        <is>
          <t>ORSA</t>
        </is>
      </c>
      <c r="F373" t="inlineStr">
        <is>
          <t>Allmännings- och besparingsskogar</t>
        </is>
      </c>
      <c r="G373" t="n">
        <v>3.4</v>
      </c>
      <c r="H373" t="n">
        <v>0</v>
      </c>
      <c r="I373" t="n">
        <v>0</v>
      </c>
      <c r="J373" t="n">
        <v>0</v>
      </c>
      <c r="K373" t="n">
        <v>0</v>
      </c>
      <c r="L373" t="n">
        <v>0</v>
      </c>
      <c r="M373" t="n">
        <v>0</v>
      </c>
      <c r="N373" t="n">
        <v>0</v>
      </c>
      <c r="O373" t="n">
        <v>0</v>
      </c>
      <c r="P373" t="n">
        <v>0</v>
      </c>
      <c r="Q373" t="n">
        <v>0</v>
      </c>
      <c r="R373" s="2" t="inlineStr"/>
    </row>
    <row r="374" ht="15" customHeight="1">
      <c r="A374" t="inlineStr">
        <is>
          <t>A 19024-2021</t>
        </is>
      </c>
      <c r="B374" s="1" t="n">
        <v>44308.5053587963</v>
      </c>
      <c r="C374" s="1" t="n">
        <v>45878</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10048-2023</t>
        </is>
      </c>
      <c r="B375" s="1" t="n">
        <v>44985.67237268519</v>
      </c>
      <c r="C375" s="1" t="n">
        <v>45878</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19108-2025</t>
        </is>
      </c>
      <c r="B376" s="1" t="n">
        <v>45768</v>
      </c>
      <c r="C376" s="1" t="n">
        <v>45878</v>
      </c>
      <c r="D376" t="inlineStr">
        <is>
          <t>DALARNAS LÄN</t>
        </is>
      </c>
      <c r="E376" t="inlineStr">
        <is>
          <t>ORSA</t>
        </is>
      </c>
      <c r="F376" t="inlineStr">
        <is>
          <t>Bergvik skog väst AB</t>
        </is>
      </c>
      <c r="G376" t="n">
        <v>14.3</v>
      </c>
      <c r="H376" t="n">
        <v>0</v>
      </c>
      <c r="I376" t="n">
        <v>0</v>
      </c>
      <c r="J376" t="n">
        <v>0</v>
      </c>
      <c r="K376" t="n">
        <v>0</v>
      </c>
      <c r="L376" t="n">
        <v>0</v>
      </c>
      <c r="M376" t="n">
        <v>0</v>
      </c>
      <c r="N376" t="n">
        <v>0</v>
      </c>
      <c r="O376" t="n">
        <v>0</v>
      </c>
      <c r="P376" t="n">
        <v>0</v>
      </c>
      <c r="Q376" t="n">
        <v>0</v>
      </c>
      <c r="R376" s="2" t="inlineStr"/>
    </row>
    <row r="377" ht="15" customHeight="1">
      <c r="A377" t="inlineStr">
        <is>
          <t>A 31031-2023</t>
        </is>
      </c>
      <c r="B377" s="1" t="n">
        <v>45113</v>
      </c>
      <c r="C377" s="1" t="n">
        <v>45878</v>
      </c>
      <c r="D377" t="inlineStr">
        <is>
          <t>DALARNAS LÄN</t>
        </is>
      </c>
      <c r="E377" t="inlineStr">
        <is>
          <t>ORSA</t>
        </is>
      </c>
      <c r="F377" t="inlineStr">
        <is>
          <t>Bergvik skog öst AB</t>
        </is>
      </c>
      <c r="G377" t="n">
        <v>0.4</v>
      </c>
      <c r="H377" t="n">
        <v>0</v>
      </c>
      <c r="I377" t="n">
        <v>0</v>
      </c>
      <c r="J377" t="n">
        <v>0</v>
      </c>
      <c r="K377" t="n">
        <v>0</v>
      </c>
      <c r="L377" t="n">
        <v>0</v>
      </c>
      <c r="M377" t="n">
        <v>0</v>
      </c>
      <c r="N377" t="n">
        <v>0</v>
      </c>
      <c r="O377" t="n">
        <v>0</v>
      </c>
      <c r="P377" t="n">
        <v>0</v>
      </c>
      <c r="Q377" t="n">
        <v>0</v>
      </c>
      <c r="R377" s="2" t="inlineStr"/>
    </row>
    <row r="378" ht="15" customHeight="1">
      <c r="A378" t="inlineStr">
        <is>
          <t>A 28317-2025</t>
        </is>
      </c>
      <c r="B378" s="1" t="n">
        <v>45818.6300462963</v>
      </c>
      <c r="C378" s="1" t="n">
        <v>45878</v>
      </c>
      <c r="D378" t="inlineStr">
        <is>
          <t>DALARNAS LÄN</t>
        </is>
      </c>
      <c r="E378" t="inlineStr">
        <is>
          <t>ORSA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28388-2024</t>
        </is>
      </c>
      <c r="B379" s="1" t="n">
        <v>45477.59960648148</v>
      </c>
      <c r="C379" s="1" t="n">
        <v>45878</v>
      </c>
      <c r="D379" t="inlineStr">
        <is>
          <t>DALARNAS LÄN</t>
        </is>
      </c>
      <c r="E379" t="inlineStr">
        <is>
          <t>ORSA</t>
        </is>
      </c>
      <c r="F379" t="inlineStr">
        <is>
          <t>Bergvik skog öst AB</t>
        </is>
      </c>
      <c r="G379" t="n">
        <v>3.8</v>
      </c>
      <c r="H379" t="n">
        <v>0</v>
      </c>
      <c r="I379" t="n">
        <v>0</v>
      </c>
      <c r="J379" t="n">
        <v>0</v>
      </c>
      <c r="K379" t="n">
        <v>0</v>
      </c>
      <c r="L379" t="n">
        <v>0</v>
      </c>
      <c r="M379" t="n">
        <v>0</v>
      </c>
      <c r="N379" t="n">
        <v>0</v>
      </c>
      <c r="O379" t="n">
        <v>0</v>
      </c>
      <c r="P379" t="n">
        <v>0</v>
      </c>
      <c r="Q379" t="n">
        <v>0</v>
      </c>
      <c r="R379" s="2" t="inlineStr"/>
    </row>
    <row r="380" ht="15" customHeight="1">
      <c r="A380" t="inlineStr">
        <is>
          <t>A 35619-2025</t>
        </is>
      </c>
      <c r="B380" s="1" t="n">
        <v>45859.4140162037</v>
      </c>
      <c r="C380" s="1" t="n">
        <v>45878</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28609-2025</t>
        </is>
      </c>
      <c r="B381" s="1" t="n">
        <v>45819.60303240741</v>
      </c>
      <c r="C381" s="1" t="n">
        <v>45878</v>
      </c>
      <c r="D381" t="inlineStr">
        <is>
          <t>DALARNAS LÄN</t>
        </is>
      </c>
      <c r="E381" t="inlineStr">
        <is>
          <t>ORSA</t>
        </is>
      </c>
      <c r="F381" t="inlineStr">
        <is>
          <t>Bergvik skog öst AB</t>
        </is>
      </c>
      <c r="G381" t="n">
        <v>9.1</v>
      </c>
      <c r="H381" t="n">
        <v>0</v>
      </c>
      <c r="I381" t="n">
        <v>0</v>
      </c>
      <c r="J381" t="n">
        <v>0</v>
      </c>
      <c r="K381" t="n">
        <v>0</v>
      </c>
      <c r="L381" t="n">
        <v>0</v>
      </c>
      <c r="M381" t="n">
        <v>0</v>
      </c>
      <c r="N381" t="n">
        <v>0</v>
      </c>
      <c r="O381" t="n">
        <v>0</v>
      </c>
      <c r="P381" t="n">
        <v>0</v>
      </c>
      <c r="Q381" t="n">
        <v>0</v>
      </c>
      <c r="R381" s="2" t="inlineStr"/>
    </row>
    <row r="382" ht="15" customHeight="1">
      <c r="A382" t="inlineStr">
        <is>
          <t>A 28635-2025</t>
        </is>
      </c>
      <c r="B382" s="1" t="n">
        <v>45819.63112268518</v>
      </c>
      <c r="C382" s="1" t="n">
        <v>45878</v>
      </c>
      <c r="D382" t="inlineStr">
        <is>
          <t>DALARNAS LÄN</t>
        </is>
      </c>
      <c r="E382" t="inlineStr">
        <is>
          <t>ORSA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35935-2025</t>
        </is>
      </c>
      <c r="B383" s="1" t="n">
        <v>45862.6353125</v>
      </c>
      <c r="C383" s="1" t="n">
        <v>45878</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593-2024</t>
        </is>
      </c>
      <c r="B384" s="1" t="n">
        <v>45299.63049768518</v>
      </c>
      <c r="C384" s="1" t="n">
        <v>45878</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35939-2025</t>
        </is>
      </c>
      <c r="B385" s="1" t="n">
        <v>45862.64581018518</v>
      </c>
      <c r="C385" s="1" t="n">
        <v>45878</v>
      </c>
      <c r="D385" t="inlineStr">
        <is>
          <t>DALARNAS LÄN</t>
        </is>
      </c>
      <c r="E385" t="inlineStr">
        <is>
          <t>ORSA</t>
        </is>
      </c>
      <c r="G385" t="n">
        <v>5.6</v>
      </c>
      <c r="H385" t="n">
        <v>0</v>
      </c>
      <c r="I385" t="n">
        <v>0</v>
      </c>
      <c r="J385" t="n">
        <v>0</v>
      </c>
      <c r="K385" t="n">
        <v>0</v>
      </c>
      <c r="L385" t="n">
        <v>0</v>
      </c>
      <c r="M385" t="n">
        <v>0</v>
      </c>
      <c r="N385" t="n">
        <v>0</v>
      </c>
      <c r="O385" t="n">
        <v>0</v>
      </c>
      <c r="P385" t="n">
        <v>0</v>
      </c>
      <c r="Q385" t="n">
        <v>0</v>
      </c>
      <c r="R385" s="2" t="inlineStr"/>
    </row>
    <row r="386" ht="15" customHeight="1">
      <c r="A386" t="inlineStr">
        <is>
          <t>A 35933-2025</t>
        </is>
      </c>
      <c r="B386" s="1" t="n">
        <v>45862.62653935186</v>
      </c>
      <c r="C386" s="1" t="n">
        <v>45878</v>
      </c>
      <c r="D386" t="inlineStr">
        <is>
          <t>DALARNAS LÄN</t>
        </is>
      </c>
      <c r="E386" t="inlineStr">
        <is>
          <t>ORSA</t>
        </is>
      </c>
      <c r="G386" t="n">
        <v>1.6</v>
      </c>
      <c r="H386" t="n">
        <v>0</v>
      </c>
      <c r="I386" t="n">
        <v>0</v>
      </c>
      <c r="J386" t="n">
        <v>0</v>
      </c>
      <c r="K386" t="n">
        <v>0</v>
      </c>
      <c r="L386" t="n">
        <v>0</v>
      </c>
      <c r="M386" t="n">
        <v>0</v>
      </c>
      <c r="N386" t="n">
        <v>0</v>
      </c>
      <c r="O386" t="n">
        <v>0</v>
      </c>
      <c r="P386" t="n">
        <v>0</v>
      </c>
      <c r="Q386" t="n">
        <v>0</v>
      </c>
      <c r="R386" s="2" t="inlineStr"/>
    </row>
    <row r="387" ht="15" customHeight="1">
      <c r="A387" t="inlineStr">
        <is>
          <t>A 35940-2025</t>
        </is>
      </c>
      <c r="B387" s="1" t="n">
        <v>45862.65081018519</v>
      </c>
      <c r="C387" s="1" t="n">
        <v>45878</v>
      </c>
      <c r="D387" t="inlineStr">
        <is>
          <t>DALARNAS LÄN</t>
        </is>
      </c>
      <c r="E387" t="inlineStr">
        <is>
          <t>ORSA</t>
        </is>
      </c>
      <c r="G387" t="n">
        <v>5.1</v>
      </c>
      <c r="H387" t="n">
        <v>0</v>
      </c>
      <c r="I387" t="n">
        <v>0</v>
      </c>
      <c r="J387" t="n">
        <v>0</v>
      </c>
      <c r="K387" t="n">
        <v>0</v>
      </c>
      <c r="L387" t="n">
        <v>0</v>
      </c>
      <c r="M387" t="n">
        <v>0</v>
      </c>
      <c r="N387" t="n">
        <v>0</v>
      </c>
      <c r="O387" t="n">
        <v>0</v>
      </c>
      <c r="P387" t="n">
        <v>0</v>
      </c>
      <c r="Q387" t="n">
        <v>0</v>
      </c>
      <c r="R387" s="2" t="inlineStr"/>
    </row>
    <row r="388" ht="15" customHeight="1">
      <c r="A388" t="inlineStr">
        <is>
          <t>A 34708-2021</t>
        </is>
      </c>
      <c r="B388" s="1" t="n">
        <v>44382</v>
      </c>
      <c r="C388" s="1" t="n">
        <v>45878</v>
      </c>
      <c r="D388" t="inlineStr">
        <is>
          <t>DALARNAS LÄN</t>
        </is>
      </c>
      <c r="E388" t="inlineStr">
        <is>
          <t>ORSA</t>
        </is>
      </c>
      <c r="G388" t="n">
        <v>4.3</v>
      </c>
      <c r="H388" t="n">
        <v>0</v>
      </c>
      <c r="I388" t="n">
        <v>0</v>
      </c>
      <c r="J388" t="n">
        <v>0</v>
      </c>
      <c r="K388" t="n">
        <v>0</v>
      </c>
      <c r="L388" t="n">
        <v>0</v>
      </c>
      <c r="M388" t="n">
        <v>0</v>
      </c>
      <c r="N388" t="n">
        <v>0</v>
      </c>
      <c r="O388" t="n">
        <v>0</v>
      </c>
      <c r="P388" t="n">
        <v>0</v>
      </c>
      <c r="Q388" t="n">
        <v>0</v>
      </c>
      <c r="R388" s="2" t="inlineStr"/>
    </row>
    <row r="389" ht="15" customHeight="1">
      <c r="A389" t="inlineStr">
        <is>
          <t>A 6939-2021</t>
        </is>
      </c>
      <c r="B389" s="1" t="n">
        <v>44237</v>
      </c>
      <c r="C389" s="1" t="n">
        <v>45878</v>
      </c>
      <c r="D389" t="inlineStr">
        <is>
          <t>DALARNAS LÄN</t>
        </is>
      </c>
      <c r="E389" t="inlineStr">
        <is>
          <t>ORSA</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47732-2022</t>
        </is>
      </c>
      <c r="B390" s="1" t="n">
        <v>44854.63668981481</v>
      </c>
      <c r="C390" s="1" t="n">
        <v>45878</v>
      </c>
      <c r="D390" t="inlineStr">
        <is>
          <t>DALARNAS LÄN</t>
        </is>
      </c>
      <c r="E390" t="inlineStr">
        <is>
          <t>ORSA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37830-2024</t>
        </is>
      </c>
      <c r="B391" s="1" t="n">
        <v>45544.34504629629</v>
      </c>
      <c r="C391" s="1" t="n">
        <v>45878</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45272-2022</t>
        </is>
      </c>
      <c r="B392" s="1" t="n">
        <v>44844</v>
      </c>
      <c r="C392" s="1" t="n">
        <v>45878</v>
      </c>
      <c r="D392" t="inlineStr">
        <is>
          <t>DALARNAS LÄN</t>
        </is>
      </c>
      <c r="E392" t="inlineStr">
        <is>
          <t>ORSA</t>
        </is>
      </c>
      <c r="G392" t="n">
        <v>0.3</v>
      </c>
      <c r="H392" t="n">
        <v>0</v>
      </c>
      <c r="I392" t="n">
        <v>0</v>
      </c>
      <c r="J392" t="n">
        <v>0</v>
      </c>
      <c r="K392" t="n">
        <v>0</v>
      </c>
      <c r="L392" t="n">
        <v>0</v>
      </c>
      <c r="M392" t="n">
        <v>0</v>
      </c>
      <c r="N392" t="n">
        <v>0</v>
      </c>
      <c r="O392" t="n">
        <v>0</v>
      </c>
      <c r="P392" t="n">
        <v>0</v>
      </c>
      <c r="Q392" t="n">
        <v>0</v>
      </c>
      <c r="R392" s="2" t="inlineStr"/>
    </row>
    <row r="393" ht="15" customHeight="1">
      <c r="A393" t="inlineStr">
        <is>
          <t>A 61279-2023</t>
        </is>
      </c>
      <c r="B393" s="1" t="n">
        <v>45264.5270949074</v>
      </c>
      <c r="C393" s="1" t="n">
        <v>45878</v>
      </c>
      <c r="D393" t="inlineStr">
        <is>
          <t>DALARNAS LÄN</t>
        </is>
      </c>
      <c r="E393" t="inlineStr">
        <is>
          <t>ORSA</t>
        </is>
      </c>
      <c r="G393" t="n">
        <v>0.2</v>
      </c>
      <c r="H393" t="n">
        <v>0</v>
      </c>
      <c r="I393" t="n">
        <v>0</v>
      </c>
      <c r="J393" t="n">
        <v>0</v>
      </c>
      <c r="K393" t="n">
        <v>0</v>
      </c>
      <c r="L393" t="n">
        <v>0</v>
      </c>
      <c r="M393" t="n">
        <v>0</v>
      </c>
      <c r="N393" t="n">
        <v>0</v>
      </c>
      <c r="O393" t="n">
        <v>0</v>
      </c>
      <c r="P393" t="n">
        <v>0</v>
      </c>
      <c r="Q393" t="n">
        <v>0</v>
      </c>
      <c r="R393" s="2" t="inlineStr"/>
    </row>
    <row r="394" ht="15" customHeight="1">
      <c r="A394" t="inlineStr">
        <is>
          <t>A 23461-2023</t>
        </is>
      </c>
      <c r="B394" s="1" t="n">
        <v>45076</v>
      </c>
      <c r="C394" s="1" t="n">
        <v>45878</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45878</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36188-2025</t>
        </is>
      </c>
      <c r="B396" s="1" t="n">
        <v>45867.42059027778</v>
      </c>
      <c r="C396" s="1" t="n">
        <v>45878</v>
      </c>
      <c r="D396" t="inlineStr">
        <is>
          <t>DALARNAS LÄN</t>
        </is>
      </c>
      <c r="E396" t="inlineStr">
        <is>
          <t>ORSA</t>
        </is>
      </c>
      <c r="G396" t="n">
        <v>7.8</v>
      </c>
      <c r="H396" t="n">
        <v>0</v>
      </c>
      <c r="I396" t="n">
        <v>0</v>
      </c>
      <c r="J396" t="n">
        <v>0</v>
      </c>
      <c r="K396" t="n">
        <v>0</v>
      </c>
      <c r="L396" t="n">
        <v>0</v>
      </c>
      <c r="M396" t="n">
        <v>0</v>
      </c>
      <c r="N396" t="n">
        <v>0</v>
      </c>
      <c r="O396" t="n">
        <v>0</v>
      </c>
      <c r="P396" t="n">
        <v>0</v>
      </c>
      <c r="Q396" t="n">
        <v>0</v>
      </c>
      <c r="R396" s="2" t="inlineStr"/>
    </row>
    <row r="397" ht="15" customHeight="1">
      <c r="A397" t="inlineStr">
        <is>
          <t>A 4202-2025</t>
        </is>
      </c>
      <c r="B397" s="1" t="n">
        <v>45685.46236111111</v>
      </c>
      <c r="C397" s="1" t="n">
        <v>45878</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4204-2025</t>
        </is>
      </c>
      <c r="B398" s="1" t="n">
        <v>45685.46390046296</v>
      </c>
      <c r="C398" s="1" t="n">
        <v>45878</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45878</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15769-2025</t>
        </is>
      </c>
      <c r="B400" s="1" t="n">
        <v>45748.58792824074</v>
      </c>
      <c r="C400" s="1" t="n">
        <v>45878</v>
      </c>
      <c r="D400" t="inlineStr">
        <is>
          <t>DALARNAS LÄN</t>
        </is>
      </c>
      <c r="E400" t="inlineStr">
        <is>
          <t>ORSA</t>
        </is>
      </c>
      <c r="F400" t="inlineStr">
        <is>
          <t>Bergvik skog öst AB</t>
        </is>
      </c>
      <c r="G400" t="n">
        <v>4.7</v>
      </c>
      <c r="H400" t="n">
        <v>0</v>
      </c>
      <c r="I400" t="n">
        <v>0</v>
      </c>
      <c r="J400" t="n">
        <v>0</v>
      </c>
      <c r="K400" t="n">
        <v>0</v>
      </c>
      <c r="L400" t="n">
        <v>0</v>
      </c>
      <c r="M400" t="n">
        <v>0</v>
      </c>
      <c r="N400" t="n">
        <v>0</v>
      </c>
      <c r="O400" t="n">
        <v>0</v>
      </c>
      <c r="P400" t="n">
        <v>0</v>
      </c>
      <c r="Q400" t="n">
        <v>0</v>
      </c>
      <c r="R400" s="2" t="inlineStr"/>
    </row>
    <row r="401" ht="15" customHeight="1">
      <c r="A401" t="inlineStr">
        <is>
          <t>A 29933-2025</t>
        </is>
      </c>
      <c r="B401" s="1" t="n">
        <v>45826.44121527778</v>
      </c>
      <c r="C401" s="1" t="n">
        <v>45878</v>
      </c>
      <c r="D401" t="inlineStr">
        <is>
          <t>DALARNAS LÄN</t>
        </is>
      </c>
      <c r="E401" t="inlineStr">
        <is>
          <t>ORSA</t>
        </is>
      </c>
      <c r="G401" t="n">
        <v>1.8</v>
      </c>
      <c r="H401" t="n">
        <v>0</v>
      </c>
      <c r="I401" t="n">
        <v>0</v>
      </c>
      <c r="J401" t="n">
        <v>0</v>
      </c>
      <c r="K401" t="n">
        <v>0</v>
      </c>
      <c r="L401" t="n">
        <v>0</v>
      </c>
      <c r="M401" t="n">
        <v>0</v>
      </c>
      <c r="N401" t="n">
        <v>0</v>
      </c>
      <c r="O401" t="n">
        <v>0</v>
      </c>
      <c r="P401" t="n">
        <v>0</v>
      </c>
      <c r="Q401" t="n">
        <v>0</v>
      </c>
      <c r="R401" s="2" t="inlineStr"/>
    </row>
    <row r="402" ht="15" customHeight="1">
      <c r="A402" t="inlineStr">
        <is>
          <t>A 37931-2023</t>
        </is>
      </c>
      <c r="B402" s="1" t="n">
        <v>45160.51721064815</v>
      </c>
      <c r="C402" s="1" t="n">
        <v>45878</v>
      </c>
      <c r="D402" t="inlineStr">
        <is>
          <t>DALARNAS LÄN</t>
        </is>
      </c>
      <c r="E402" t="inlineStr">
        <is>
          <t>ORSA</t>
        </is>
      </c>
      <c r="G402" t="n">
        <v>2.6</v>
      </c>
      <c r="H402" t="n">
        <v>0</v>
      </c>
      <c r="I402" t="n">
        <v>0</v>
      </c>
      <c r="J402" t="n">
        <v>0</v>
      </c>
      <c r="K402" t="n">
        <v>0</v>
      </c>
      <c r="L402" t="n">
        <v>0</v>
      </c>
      <c r="M402" t="n">
        <v>0</v>
      </c>
      <c r="N402" t="n">
        <v>0</v>
      </c>
      <c r="O402" t="n">
        <v>0</v>
      </c>
      <c r="P402" t="n">
        <v>0</v>
      </c>
      <c r="Q402" t="n">
        <v>0</v>
      </c>
      <c r="R402" s="2" t="inlineStr"/>
    </row>
    <row r="403" ht="15" customHeight="1">
      <c r="A403" t="inlineStr">
        <is>
          <t>A 7628-2025</t>
        </is>
      </c>
      <c r="B403" s="1" t="n">
        <v>45705.73394675926</v>
      </c>
      <c r="C403" s="1" t="n">
        <v>45878</v>
      </c>
      <c r="D403" t="inlineStr">
        <is>
          <t>DALARNAS LÄN</t>
        </is>
      </c>
      <c r="E403" t="inlineStr">
        <is>
          <t>ORSA</t>
        </is>
      </c>
      <c r="G403" t="n">
        <v>1.8</v>
      </c>
      <c r="H403" t="n">
        <v>0</v>
      </c>
      <c r="I403" t="n">
        <v>0</v>
      </c>
      <c r="J403" t="n">
        <v>0</v>
      </c>
      <c r="K403" t="n">
        <v>0</v>
      </c>
      <c r="L403" t="n">
        <v>0</v>
      </c>
      <c r="M403" t="n">
        <v>0</v>
      </c>
      <c r="N403" t="n">
        <v>0</v>
      </c>
      <c r="O403" t="n">
        <v>0</v>
      </c>
      <c r="P403" t="n">
        <v>0</v>
      </c>
      <c r="Q403" t="n">
        <v>0</v>
      </c>
      <c r="R403" s="2" t="inlineStr"/>
    </row>
    <row r="404" ht="15" customHeight="1">
      <c r="A404" t="inlineStr">
        <is>
          <t>A 15766-2025</t>
        </is>
      </c>
      <c r="B404" s="1" t="n">
        <v>45748.58409722222</v>
      </c>
      <c r="C404" s="1" t="n">
        <v>45878</v>
      </c>
      <c r="D404" t="inlineStr">
        <is>
          <t>DALARNAS LÄN</t>
        </is>
      </c>
      <c r="E404" t="inlineStr">
        <is>
          <t>ORSA</t>
        </is>
      </c>
      <c r="F404" t="inlineStr">
        <is>
          <t>Bergvik skog öst AB</t>
        </is>
      </c>
      <c r="G404" t="n">
        <v>9</v>
      </c>
      <c r="H404" t="n">
        <v>0</v>
      </c>
      <c r="I404" t="n">
        <v>0</v>
      </c>
      <c r="J404" t="n">
        <v>0</v>
      </c>
      <c r="K404" t="n">
        <v>0</v>
      </c>
      <c r="L404" t="n">
        <v>0</v>
      </c>
      <c r="M404" t="n">
        <v>0</v>
      </c>
      <c r="N404" t="n">
        <v>0</v>
      </c>
      <c r="O404" t="n">
        <v>0</v>
      </c>
      <c r="P404" t="n">
        <v>0</v>
      </c>
      <c r="Q404" t="n">
        <v>0</v>
      </c>
      <c r="R404" s="2" t="inlineStr"/>
    </row>
    <row r="405" ht="15" customHeight="1">
      <c r="A405" t="inlineStr">
        <is>
          <t>A 8579-2025</t>
        </is>
      </c>
      <c r="B405" s="1" t="n">
        <v>45709</v>
      </c>
      <c r="C405" s="1" t="n">
        <v>45878</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26301-2023</t>
        </is>
      </c>
      <c r="B406" s="1" t="n">
        <v>45091</v>
      </c>
      <c r="C406" s="1" t="n">
        <v>45878</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36570-2025</t>
        </is>
      </c>
      <c r="B407" s="1" t="n">
        <v>45870.38728009259</v>
      </c>
      <c r="C407" s="1" t="n">
        <v>45878</v>
      </c>
      <c r="D407" t="inlineStr">
        <is>
          <t>DALARNAS LÄN</t>
        </is>
      </c>
      <c r="E407" t="inlineStr">
        <is>
          <t>ORSA</t>
        </is>
      </c>
      <c r="F407" t="inlineStr">
        <is>
          <t>Bergvik skog öst AB</t>
        </is>
      </c>
      <c r="G407" t="n">
        <v>2.2</v>
      </c>
      <c r="H407" t="n">
        <v>0</v>
      </c>
      <c r="I407" t="n">
        <v>0</v>
      </c>
      <c r="J407" t="n">
        <v>0</v>
      </c>
      <c r="K407" t="n">
        <v>0</v>
      </c>
      <c r="L407" t="n">
        <v>0</v>
      </c>
      <c r="M407" t="n">
        <v>0</v>
      </c>
      <c r="N407" t="n">
        <v>0</v>
      </c>
      <c r="O407" t="n">
        <v>0</v>
      </c>
      <c r="P407" t="n">
        <v>0</v>
      </c>
      <c r="Q407" t="n">
        <v>0</v>
      </c>
      <c r="R407" s="2" t="inlineStr"/>
    </row>
    <row r="408" ht="15" customHeight="1">
      <c r="A408" t="inlineStr">
        <is>
          <t>A 25761-2021</t>
        </is>
      </c>
      <c r="B408" s="1" t="n">
        <v>44343</v>
      </c>
      <c r="C408" s="1" t="n">
        <v>45878</v>
      </c>
      <c r="D408" t="inlineStr">
        <is>
          <t>DALARNAS LÄN</t>
        </is>
      </c>
      <c r="E408" t="inlineStr">
        <is>
          <t>ORSA</t>
        </is>
      </c>
      <c r="G408" t="n">
        <v>3.4</v>
      </c>
      <c r="H408" t="n">
        <v>0</v>
      </c>
      <c r="I408" t="n">
        <v>0</v>
      </c>
      <c r="J408" t="n">
        <v>0</v>
      </c>
      <c r="K408" t="n">
        <v>0</v>
      </c>
      <c r="L408" t="n">
        <v>0</v>
      </c>
      <c r="M408" t="n">
        <v>0</v>
      </c>
      <c r="N408" t="n">
        <v>0</v>
      </c>
      <c r="O408" t="n">
        <v>0</v>
      </c>
      <c r="P408" t="n">
        <v>0</v>
      </c>
      <c r="Q408" t="n">
        <v>0</v>
      </c>
      <c r="R408" s="2" t="inlineStr"/>
    </row>
    <row r="409" ht="15" customHeight="1">
      <c r="A409" t="inlineStr">
        <is>
          <t>A 33265-2021</t>
        </is>
      </c>
      <c r="B409" s="1" t="n">
        <v>44377</v>
      </c>
      <c r="C409" s="1" t="n">
        <v>45878</v>
      </c>
      <c r="D409" t="inlineStr">
        <is>
          <t>DALARNAS LÄN</t>
        </is>
      </c>
      <c r="E409" t="inlineStr">
        <is>
          <t>ORSA</t>
        </is>
      </c>
      <c r="G409" t="n">
        <v>1.9</v>
      </c>
      <c r="H409" t="n">
        <v>0</v>
      </c>
      <c r="I409" t="n">
        <v>0</v>
      </c>
      <c r="J409" t="n">
        <v>0</v>
      </c>
      <c r="K409" t="n">
        <v>0</v>
      </c>
      <c r="L409" t="n">
        <v>0</v>
      </c>
      <c r="M409" t="n">
        <v>0</v>
      </c>
      <c r="N409" t="n">
        <v>0</v>
      </c>
      <c r="O409" t="n">
        <v>0</v>
      </c>
      <c r="P409" t="n">
        <v>0</v>
      </c>
      <c r="Q409" t="n">
        <v>0</v>
      </c>
      <c r="R409" s="2" t="inlineStr"/>
    </row>
    <row r="410" ht="15" customHeight="1">
      <c r="A410" t="inlineStr">
        <is>
          <t>A 15114-2025</t>
        </is>
      </c>
      <c r="B410" s="1" t="n">
        <v>45744.36232638889</v>
      </c>
      <c r="C410" s="1" t="n">
        <v>45878</v>
      </c>
      <c r="D410" t="inlineStr">
        <is>
          <t>DALARNAS LÄN</t>
        </is>
      </c>
      <c r="E410" t="inlineStr">
        <is>
          <t>ORSA</t>
        </is>
      </c>
      <c r="F410" t="inlineStr">
        <is>
          <t>Allmännings- och besparingsskogar</t>
        </is>
      </c>
      <c r="G410" t="n">
        <v>1.9</v>
      </c>
      <c r="H410" t="n">
        <v>0</v>
      </c>
      <c r="I410" t="n">
        <v>0</v>
      </c>
      <c r="J410" t="n">
        <v>0</v>
      </c>
      <c r="K410" t="n">
        <v>0</v>
      </c>
      <c r="L410" t="n">
        <v>0</v>
      </c>
      <c r="M410" t="n">
        <v>0</v>
      </c>
      <c r="N410" t="n">
        <v>0</v>
      </c>
      <c r="O410" t="n">
        <v>0</v>
      </c>
      <c r="P410" t="n">
        <v>0</v>
      </c>
      <c r="Q410" t="n">
        <v>0</v>
      </c>
      <c r="R410" s="2" t="inlineStr"/>
    </row>
    <row r="411" ht="15" customHeight="1">
      <c r="A411" t="inlineStr">
        <is>
          <t>A 17518-2025</t>
        </is>
      </c>
      <c r="B411" s="1" t="n">
        <v>45757.57597222222</v>
      </c>
      <c r="C411" s="1" t="n">
        <v>45878</v>
      </c>
      <c r="D411" t="inlineStr">
        <is>
          <t>DALARNAS LÄN</t>
        </is>
      </c>
      <c r="E411" t="inlineStr">
        <is>
          <t>ORSA</t>
        </is>
      </c>
      <c r="F411" t="inlineStr">
        <is>
          <t>Bergvik skog öst AB</t>
        </is>
      </c>
      <c r="G411" t="n">
        <v>7.3</v>
      </c>
      <c r="H411" t="n">
        <v>0</v>
      </c>
      <c r="I411" t="n">
        <v>0</v>
      </c>
      <c r="J411" t="n">
        <v>0</v>
      </c>
      <c r="K411" t="n">
        <v>0</v>
      </c>
      <c r="L411" t="n">
        <v>0</v>
      </c>
      <c r="M411" t="n">
        <v>0</v>
      </c>
      <c r="N411" t="n">
        <v>0</v>
      </c>
      <c r="O411" t="n">
        <v>0</v>
      </c>
      <c r="P411" t="n">
        <v>0</v>
      </c>
      <c r="Q411" t="n">
        <v>0</v>
      </c>
      <c r="R411" s="2" t="inlineStr"/>
    </row>
    <row r="412" ht="15" customHeight="1">
      <c r="A412" t="inlineStr">
        <is>
          <t>A 49781-2023</t>
        </is>
      </c>
      <c r="B412" s="1" t="n">
        <v>45212.60275462963</v>
      </c>
      <c r="C412" s="1" t="n">
        <v>45878</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49814-2023</t>
        </is>
      </c>
      <c r="B413" s="1" t="n">
        <v>45212.67149305555</v>
      </c>
      <c r="C413" s="1" t="n">
        <v>45878</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17508-2025</t>
        </is>
      </c>
      <c r="B414" s="1" t="n">
        <v>45757.55929398148</v>
      </c>
      <c r="C414" s="1" t="n">
        <v>45878</v>
      </c>
      <c r="D414" t="inlineStr">
        <is>
          <t>DALARNAS LÄN</t>
        </is>
      </c>
      <c r="E414" t="inlineStr">
        <is>
          <t>ORSA</t>
        </is>
      </c>
      <c r="F414" t="inlineStr">
        <is>
          <t>Bergvik skog öst AB</t>
        </is>
      </c>
      <c r="G414" t="n">
        <v>9.4</v>
      </c>
      <c r="H414" t="n">
        <v>0</v>
      </c>
      <c r="I414" t="n">
        <v>0</v>
      </c>
      <c r="J414" t="n">
        <v>0</v>
      </c>
      <c r="K414" t="n">
        <v>0</v>
      </c>
      <c r="L414" t="n">
        <v>0</v>
      </c>
      <c r="M414" t="n">
        <v>0</v>
      </c>
      <c r="N414" t="n">
        <v>0</v>
      </c>
      <c r="O414" t="n">
        <v>0</v>
      </c>
      <c r="P414" t="n">
        <v>0</v>
      </c>
      <c r="Q414" t="n">
        <v>0</v>
      </c>
      <c r="R414" s="2" t="inlineStr"/>
    </row>
    <row r="415" ht="15" customHeight="1">
      <c r="A415" t="inlineStr">
        <is>
          <t>A 63917-2023</t>
        </is>
      </c>
      <c r="B415" s="1" t="n">
        <v>45278</v>
      </c>
      <c r="C415" s="1" t="n">
        <v>45878</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30751-2025</t>
        </is>
      </c>
      <c r="B416" s="1" t="n">
        <v>45831.58921296296</v>
      </c>
      <c r="C416" s="1" t="n">
        <v>45878</v>
      </c>
      <c r="D416" t="inlineStr">
        <is>
          <t>DALARNAS LÄN</t>
        </is>
      </c>
      <c r="E416" t="inlineStr">
        <is>
          <t>ORSA</t>
        </is>
      </c>
      <c r="G416" t="n">
        <v>5.2</v>
      </c>
      <c r="H416" t="n">
        <v>0</v>
      </c>
      <c r="I416" t="n">
        <v>0</v>
      </c>
      <c r="J416" t="n">
        <v>0</v>
      </c>
      <c r="K416" t="n">
        <v>0</v>
      </c>
      <c r="L416" t="n">
        <v>0</v>
      </c>
      <c r="M416" t="n">
        <v>0</v>
      </c>
      <c r="N416" t="n">
        <v>0</v>
      </c>
      <c r="O416" t="n">
        <v>0</v>
      </c>
      <c r="P416" t="n">
        <v>0</v>
      </c>
      <c r="Q416" t="n">
        <v>0</v>
      </c>
      <c r="R416" s="2" t="inlineStr"/>
    </row>
    <row r="417" ht="15" customHeight="1">
      <c r="A417" t="inlineStr">
        <is>
          <t>A 52912-2023</t>
        </is>
      </c>
      <c r="B417" s="1" t="n">
        <v>45226.51766203704</v>
      </c>
      <c r="C417" s="1" t="n">
        <v>45878</v>
      </c>
      <c r="D417" t="inlineStr">
        <is>
          <t>DALARNAS LÄN</t>
        </is>
      </c>
      <c r="E417" t="inlineStr">
        <is>
          <t>ORSA</t>
        </is>
      </c>
      <c r="G417" t="n">
        <v>10.9</v>
      </c>
      <c r="H417" t="n">
        <v>0</v>
      </c>
      <c r="I417" t="n">
        <v>0</v>
      </c>
      <c r="J417" t="n">
        <v>0</v>
      </c>
      <c r="K417" t="n">
        <v>0</v>
      </c>
      <c r="L417" t="n">
        <v>0</v>
      </c>
      <c r="M417" t="n">
        <v>0</v>
      </c>
      <c r="N417" t="n">
        <v>0</v>
      </c>
      <c r="O417" t="n">
        <v>0</v>
      </c>
      <c r="P417" t="n">
        <v>0</v>
      </c>
      <c r="Q417" t="n">
        <v>0</v>
      </c>
      <c r="R417" s="2" t="inlineStr"/>
    </row>
    <row r="418" ht="15" customHeight="1">
      <c r="A418" t="inlineStr">
        <is>
          <t>A 10832-2022</t>
        </is>
      </c>
      <c r="B418" s="1" t="n">
        <v>44627</v>
      </c>
      <c r="C418" s="1" t="n">
        <v>45878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10359-2023</t>
        </is>
      </c>
      <c r="B419" s="1" t="n">
        <v>44987.37292824074</v>
      </c>
      <c r="C419" s="1" t="n">
        <v>45878</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31365-2025</t>
        </is>
      </c>
      <c r="B420" s="1" t="n">
        <v>45833.43884259259</v>
      </c>
      <c r="C420" s="1" t="n">
        <v>45878</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36633-2025</t>
        </is>
      </c>
      <c r="B421" s="1" t="n">
        <v>45870</v>
      </c>
      <c r="C421" s="1" t="n">
        <v>45878</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45878</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31634-2025</t>
        </is>
      </c>
      <c r="B423" s="1" t="n">
        <v>45834</v>
      </c>
      <c r="C423" s="1" t="n">
        <v>45878</v>
      </c>
      <c r="D423" t="inlineStr">
        <is>
          <t>DALARNAS LÄN</t>
        </is>
      </c>
      <c r="E423" t="inlineStr">
        <is>
          <t>ORSA</t>
        </is>
      </c>
      <c r="G423" t="n">
        <v>2</v>
      </c>
      <c r="H423" t="n">
        <v>0</v>
      </c>
      <c r="I423" t="n">
        <v>0</v>
      </c>
      <c r="J423" t="n">
        <v>0</v>
      </c>
      <c r="K423" t="n">
        <v>0</v>
      </c>
      <c r="L423" t="n">
        <v>0</v>
      </c>
      <c r="M423" t="n">
        <v>0</v>
      </c>
      <c r="N423" t="n">
        <v>0</v>
      </c>
      <c r="O423" t="n">
        <v>0</v>
      </c>
      <c r="P423" t="n">
        <v>0</v>
      </c>
      <c r="Q423" t="n">
        <v>0</v>
      </c>
      <c r="R423" s="2" t="inlineStr"/>
    </row>
    <row r="424" ht="15" customHeight="1">
      <c r="A424" t="inlineStr">
        <is>
          <t>A 31659-2025</t>
        </is>
      </c>
      <c r="B424" s="1" t="n">
        <v>45834.35421296296</v>
      </c>
      <c r="C424" s="1" t="n">
        <v>45878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49270-2024</t>
        </is>
      </c>
      <c r="B425" s="1" t="n">
        <v>45595.49896990741</v>
      </c>
      <c r="C425" s="1" t="n">
        <v>45878</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50061-2024</t>
        </is>
      </c>
      <c r="B426" s="1" t="n">
        <v>45600.34721064815</v>
      </c>
      <c r="C426" s="1" t="n">
        <v>45878</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56810-2024</t>
        </is>
      </c>
      <c r="B427" s="1" t="n">
        <v>45628</v>
      </c>
      <c r="C427" s="1" t="n">
        <v>45878</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56811-2024</t>
        </is>
      </c>
      <c r="B428" s="1" t="n">
        <v>45628</v>
      </c>
      <c r="C428" s="1" t="n">
        <v>45878</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3168-2024</t>
        </is>
      </c>
      <c r="B429" s="1" t="n">
        <v>45316.62863425926</v>
      </c>
      <c r="C429" s="1" t="n">
        <v>45878</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17421-2025</t>
        </is>
      </c>
      <c r="B430" s="1" t="n">
        <v>45757.38532407407</v>
      </c>
      <c r="C430" s="1" t="n">
        <v>45878</v>
      </c>
      <c r="D430" t="inlineStr">
        <is>
          <t>DALARNAS LÄN</t>
        </is>
      </c>
      <c r="E430" t="inlineStr">
        <is>
          <t>ORSA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63543-2020</t>
        </is>
      </c>
      <c r="B431" s="1" t="n">
        <v>44165</v>
      </c>
      <c r="C431" s="1" t="n">
        <v>45878</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45878</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72310-2021</t>
        </is>
      </c>
      <c r="B433" s="1" t="n">
        <v>44545</v>
      </c>
      <c r="C433" s="1" t="n">
        <v>45878</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34374-2024</t>
        </is>
      </c>
      <c r="B434" s="1" t="n">
        <v>45525.40091435185</v>
      </c>
      <c r="C434" s="1" t="n">
        <v>45878</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27146-2021</t>
        </is>
      </c>
      <c r="B435" s="1" t="n">
        <v>44350</v>
      </c>
      <c r="C435" s="1" t="n">
        <v>45878</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21216-2023</t>
        </is>
      </c>
      <c r="B436" s="1" t="n">
        <v>45062</v>
      </c>
      <c r="C436" s="1" t="n">
        <v>45878</v>
      </c>
      <c r="D436" t="inlineStr">
        <is>
          <t>DALARNAS LÄN</t>
        </is>
      </c>
      <c r="E436" t="inlineStr">
        <is>
          <t>ORSA</t>
        </is>
      </c>
      <c r="F436" t="inlineStr">
        <is>
          <t>Bergvik skog öst AB</t>
        </is>
      </c>
      <c r="G436" t="n">
        <v>3.8</v>
      </c>
      <c r="H436" t="n">
        <v>0</v>
      </c>
      <c r="I436" t="n">
        <v>0</v>
      </c>
      <c r="J436" t="n">
        <v>0</v>
      </c>
      <c r="K436" t="n">
        <v>0</v>
      </c>
      <c r="L436" t="n">
        <v>0</v>
      </c>
      <c r="M436" t="n">
        <v>0</v>
      </c>
      <c r="N436" t="n">
        <v>0</v>
      </c>
      <c r="O436" t="n">
        <v>0</v>
      </c>
      <c r="P436" t="n">
        <v>0</v>
      </c>
      <c r="Q436" t="n">
        <v>0</v>
      </c>
      <c r="R436" s="2" t="inlineStr"/>
    </row>
    <row r="437" ht="15" customHeight="1">
      <c r="A437" t="inlineStr">
        <is>
          <t>A 10374-2023</t>
        </is>
      </c>
      <c r="B437" s="1" t="n">
        <v>44987.41359953704</v>
      </c>
      <c r="C437" s="1" t="n">
        <v>45878</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55691-2022</t>
        </is>
      </c>
      <c r="B438" s="1" t="n">
        <v>44888</v>
      </c>
      <c r="C438" s="1" t="n">
        <v>45878</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3166-2024</t>
        </is>
      </c>
      <c r="B439" s="1" t="n">
        <v>45316.62592592592</v>
      </c>
      <c r="C439" s="1" t="n">
        <v>45878</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24083-2021</t>
        </is>
      </c>
      <c r="B440" s="1" t="n">
        <v>44336</v>
      </c>
      <c r="C440" s="1" t="n">
        <v>45878</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25591-2022</t>
        </is>
      </c>
      <c r="B441" s="1" t="n">
        <v>44732.67958333333</v>
      </c>
      <c r="C441" s="1" t="n">
        <v>45878</v>
      </c>
      <c r="D441" t="inlineStr">
        <is>
          <t>DALARNAS LÄN</t>
        </is>
      </c>
      <c r="E441" t="inlineStr">
        <is>
          <t>ORSA</t>
        </is>
      </c>
      <c r="G441" t="n">
        <v>6</v>
      </c>
      <c r="H441" t="n">
        <v>0</v>
      </c>
      <c r="I441" t="n">
        <v>0</v>
      </c>
      <c r="J441" t="n">
        <v>0</v>
      </c>
      <c r="K441" t="n">
        <v>0</v>
      </c>
      <c r="L441" t="n">
        <v>0</v>
      </c>
      <c r="M441" t="n">
        <v>0</v>
      </c>
      <c r="N441" t="n">
        <v>0</v>
      </c>
      <c r="O441" t="n">
        <v>0</v>
      </c>
      <c r="P441" t="n">
        <v>0</v>
      </c>
      <c r="Q441" t="n">
        <v>0</v>
      </c>
      <c r="R441" s="2" t="inlineStr"/>
    </row>
    <row r="442" ht="15" customHeight="1">
      <c r="A442" t="inlineStr">
        <is>
          <t>A 3951-2023</t>
        </is>
      </c>
      <c r="B442" s="1" t="n">
        <v>44952.38577546296</v>
      </c>
      <c r="C442" s="1" t="n">
        <v>45878</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56942-2024</t>
        </is>
      </c>
      <c r="B443" s="1" t="n">
        <v>45628.62292824074</v>
      </c>
      <c r="C443" s="1" t="n">
        <v>45878</v>
      </c>
      <c r="D443" t="inlineStr">
        <is>
          <t>DALARNAS LÄN</t>
        </is>
      </c>
      <c r="E443" t="inlineStr">
        <is>
          <t>ORSA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3107-2025</t>
        </is>
      </c>
      <c r="B444" s="1" t="n">
        <v>45678.68400462963</v>
      </c>
      <c r="C444" s="1" t="n">
        <v>45878</v>
      </c>
      <c r="D444" t="inlineStr">
        <is>
          <t>DALARNAS LÄN</t>
        </is>
      </c>
      <c r="E444" t="inlineStr">
        <is>
          <t>ORSA</t>
        </is>
      </c>
      <c r="G444" t="n">
        <v>2.1</v>
      </c>
      <c r="H444" t="n">
        <v>0</v>
      </c>
      <c r="I444" t="n">
        <v>0</v>
      </c>
      <c r="J444" t="n">
        <v>0</v>
      </c>
      <c r="K444" t="n">
        <v>0</v>
      </c>
      <c r="L444" t="n">
        <v>0</v>
      </c>
      <c r="M444" t="n">
        <v>0</v>
      </c>
      <c r="N444" t="n">
        <v>0</v>
      </c>
      <c r="O444" t="n">
        <v>0</v>
      </c>
      <c r="P444" t="n">
        <v>0</v>
      </c>
      <c r="Q444" t="n">
        <v>0</v>
      </c>
      <c r="R444" s="2" t="inlineStr"/>
    </row>
    <row r="445" ht="15" customHeight="1">
      <c r="A445" t="inlineStr">
        <is>
          <t>A 21905-2022</t>
        </is>
      </c>
      <c r="B445" s="1" t="n">
        <v>44711</v>
      </c>
      <c r="C445" s="1" t="n">
        <v>45878</v>
      </c>
      <c r="D445" t="inlineStr">
        <is>
          <t>DALARNAS LÄN</t>
        </is>
      </c>
      <c r="E445" t="inlineStr">
        <is>
          <t>ORSA</t>
        </is>
      </c>
      <c r="F445" t="inlineStr">
        <is>
          <t>Allmännings- och besparingsskogar</t>
        </is>
      </c>
      <c r="G445" t="n">
        <v>3.1</v>
      </c>
      <c r="H445" t="n">
        <v>0</v>
      </c>
      <c r="I445" t="n">
        <v>0</v>
      </c>
      <c r="J445" t="n">
        <v>0</v>
      </c>
      <c r="K445" t="n">
        <v>0</v>
      </c>
      <c r="L445" t="n">
        <v>0</v>
      </c>
      <c r="M445" t="n">
        <v>0</v>
      </c>
      <c r="N445" t="n">
        <v>0</v>
      </c>
      <c r="O445" t="n">
        <v>0</v>
      </c>
      <c r="P445" t="n">
        <v>0</v>
      </c>
      <c r="Q445" t="n">
        <v>0</v>
      </c>
      <c r="R445" s="2" t="inlineStr"/>
    </row>
    <row r="446" ht="15" customHeight="1">
      <c r="A446" t="inlineStr">
        <is>
          <t>A 50742-2023</t>
        </is>
      </c>
      <c r="B446" s="1" t="n">
        <v>45217.58891203703</v>
      </c>
      <c r="C446" s="1" t="n">
        <v>45878</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27163-2023</t>
        </is>
      </c>
      <c r="B447" s="1" t="n">
        <v>45096.4878125</v>
      </c>
      <c r="C447" s="1" t="n">
        <v>45878</v>
      </c>
      <c r="D447" t="inlineStr">
        <is>
          <t>DALARNAS LÄN</t>
        </is>
      </c>
      <c r="E447" t="inlineStr">
        <is>
          <t>ORSA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31688-2024</t>
        </is>
      </c>
      <c r="B448" s="1" t="n">
        <v>45507.46103009259</v>
      </c>
      <c r="C448" s="1" t="n">
        <v>45878</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c r="A449" t="inlineStr">
        <is>
          <t>A 48447-2023</t>
        </is>
      </c>
      <c r="B449" s="1" t="n">
        <v>45206.39274305556</v>
      </c>
      <c r="C449" s="1" t="n">
        <v>45878</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2025-08-09T18:50:19Z</dcterms:created>
  <dcterms:modified xmlns:dcterms="http://purl.org/dc/terms/" xmlns:xsi="http://www.w3.org/2001/XMLSchema-instance" xsi:type="dcterms:W3CDTF">2025-08-09T18:50:20Z</dcterms:modified>
</cp:coreProperties>
</file>