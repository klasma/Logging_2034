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45892</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45892</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45892</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45892</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45892</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45892</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31124-2025</t>
        </is>
      </c>
      <c r="B17" s="1" t="n">
        <v>45832.62706018519</v>
      </c>
      <c r="C17" s="1" t="n">
        <v>45892</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31137-2025</t>
        </is>
      </c>
      <c r="B18" s="1" t="n">
        <v>45832.63605324074</v>
      </c>
      <c r="C18" s="1" t="n">
        <v>45892</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45892</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45892</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7507-2025</t>
        </is>
      </c>
      <c r="B21" s="1" t="n">
        <v>45705</v>
      </c>
      <c r="C21" s="1" t="n">
        <v>45892</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707-2024</t>
        </is>
      </c>
      <c r="B22" s="1" t="n">
        <v>45300</v>
      </c>
      <c r="C22" s="1" t="n">
        <v>45892</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53634-2021</t>
        </is>
      </c>
      <c r="B23" s="1" t="n">
        <v>44469</v>
      </c>
      <c r="C23" s="1" t="n">
        <v>45892</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22647-2022</t>
        </is>
      </c>
      <c r="B24" s="1" t="n">
        <v>44714</v>
      </c>
      <c r="C24" s="1" t="n">
        <v>45892</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33841-2023</t>
        </is>
      </c>
      <c r="B25" s="1" t="n">
        <v>45133.66758101852</v>
      </c>
      <c r="C25" s="1" t="n">
        <v>45892</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50728-2022</t>
        </is>
      </c>
      <c r="B26" s="1" t="n">
        <v>44867</v>
      </c>
      <c r="C26" s="1" t="n">
        <v>45892</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33366-2023</t>
        </is>
      </c>
      <c r="B27" s="1" t="n">
        <v>45128</v>
      </c>
      <c r="C27" s="1" t="n">
        <v>45892</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3421-2021</t>
        </is>
      </c>
      <c r="B28" s="1" t="n">
        <v>44218</v>
      </c>
      <c r="C28" s="1" t="n">
        <v>45892</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48499-2024</t>
        </is>
      </c>
      <c r="B29" s="1" t="n">
        <v>45592</v>
      </c>
      <c r="C29" s="1" t="n">
        <v>45892</v>
      </c>
      <c r="D29" t="inlineStr">
        <is>
          <t>DALARNAS LÄN</t>
        </is>
      </c>
      <c r="E29" t="inlineStr">
        <is>
          <t>ORSA</t>
        </is>
      </c>
      <c r="G29" t="n">
        <v>11.1</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48499-2024 artfynd.xlsx", "A 48499-2024")</f>
        <v/>
      </c>
      <c r="T29">
        <f>HYPERLINK("https://klasma.github.io/Logging_2034/kartor/A 48499-2024 karta.png", "A 48499-2024")</f>
        <v/>
      </c>
      <c r="V29">
        <f>HYPERLINK("https://klasma.github.io/Logging_2034/klagomål/A 48499-2024 FSC-klagomål.docx", "A 48499-2024")</f>
        <v/>
      </c>
      <c r="W29">
        <f>HYPERLINK("https://klasma.github.io/Logging_2034/klagomålsmail/A 48499-2024 FSC-klagomål mail.docx", "A 48499-2024")</f>
        <v/>
      </c>
      <c r="X29">
        <f>HYPERLINK("https://klasma.github.io/Logging_2034/tillsyn/A 48499-2024 tillsynsbegäran.docx", "A 48499-2024")</f>
        <v/>
      </c>
      <c r="Y29">
        <f>HYPERLINK("https://klasma.github.io/Logging_2034/tillsynsmail/A 48499-2024 tillsynsbegäran mail.docx", "A 48499-2024")</f>
        <v/>
      </c>
      <c r="Z29">
        <f>HYPERLINK("https://klasma.github.io/Logging_2034/fåglar/A 48499-2024 prioriterade fågelarter.docx", "A 48499-2024")</f>
        <v/>
      </c>
    </row>
    <row r="30" ht="15" customHeight="1">
      <c r="A30" t="inlineStr">
        <is>
          <t>A 7619-2025</t>
        </is>
      </c>
      <c r="B30" s="1" t="n">
        <v>45705</v>
      </c>
      <c r="C30" s="1" t="n">
        <v>45892</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45892</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35570-2024</t>
        </is>
      </c>
      <c r="B32" s="1" t="n">
        <v>45531</v>
      </c>
      <c r="C32" s="1" t="n">
        <v>45892</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31336-2025</t>
        </is>
      </c>
      <c r="B33" s="1" t="n">
        <v>45833</v>
      </c>
      <c r="C33" s="1" t="n">
        <v>45892</v>
      </c>
      <c r="D33" t="inlineStr">
        <is>
          <t>DALARNAS LÄN</t>
        </is>
      </c>
      <c r="E33" t="inlineStr">
        <is>
          <t>ORSA</t>
        </is>
      </c>
      <c r="G33" t="n">
        <v>12.8</v>
      </c>
      <c r="H33" t="n">
        <v>1</v>
      </c>
      <c r="I33" t="n">
        <v>0</v>
      </c>
      <c r="J33" t="n">
        <v>3</v>
      </c>
      <c r="K33" t="n">
        <v>0</v>
      </c>
      <c r="L33" t="n">
        <v>0</v>
      </c>
      <c r="M33" t="n">
        <v>0</v>
      </c>
      <c r="N33" t="n">
        <v>0</v>
      </c>
      <c r="O33" t="n">
        <v>3</v>
      </c>
      <c r="P33" t="n">
        <v>0</v>
      </c>
      <c r="Q33" t="n">
        <v>3</v>
      </c>
      <c r="R33" s="2" t="inlineStr">
        <is>
          <t>Garnlav
Granticka
Spillkråka</t>
        </is>
      </c>
      <c r="S33">
        <f>HYPERLINK("https://klasma.github.io/Logging_2034/artfynd/A 31336-2025 artfynd.xlsx", "A 31336-2025")</f>
        <v/>
      </c>
      <c r="T33">
        <f>HYPERLINK("https://klasma.github.io/Logging_2034/kartor/A 31336-2025 karta.png", "A 31336-2025")</f>
        <v/>
      </c>
      <c r="V33">
        <f>HYPERLINK("https://klasma.github.io/Logging_2034/klagomål/A 31336-2025 FSC-klagomål.docx", "A 31336-2025")</f>
        <v/>
      </c>
      <c r="W33">
        <f>HYPERLINK("https://klasma.github.io/Logging_2034/klagomålsmail/A 31336-2025 FSC-klagomål mail.docx", "A 31336-2025")</f>
        <v/>
      </c>
      <c r="X33">
        <f>HYPERLINK("https://klasma.github.io/Logging_2034/tillsyn/A 31336-2025 tillsynsbegäran.docx", "A 31336-2025")</f>
        <v/>
      </c>
      <c r="Y33">
        <f>HYPERLINK("https://klasma.github.io/Logging_2034/tillsynsmail/A 31336-2025 tillsynsbegäran mail.docx", "A 31336-2025")</f>
        <v/>
      </c>
      <c r="Z33">
        <f>HYPERLINK("https://klasma.github.io/Logging_2034/fåglar/A 31336-2025 prioriterade fågelarter.docx", "A 31336-2025")</f>
        <v/>
      </c>
    </row>
    <row r="34" ht="15" customHeight="1">
      <c r="A34" t="inlineStr">
        <is>
          <t>A 31161-2025</t>
        </is>
      </c>
      <c r="B34" s="1" t="n">
        <v>45832.65506944444</v>
      </c>
      <c r="C34" s="1" t="n">
        <v>45892</v>
      </c>
      <c r="D34" t="inlineStr">
        <is>
          <t>DALARNAS LÄN</t>
        </is>
      </c>
      <c r="E34" t="inlineStr">
        <is>
          <t>ORSA</t>
        </is>
      </c>
      <c r="G34" t="n">
        <v>1.7</v>
      </c>
      <c r="H34" t="n">
        <v>1</v>
      </c>
      <c r="I34" t="n">
        <v>1</v>
      </c>
      <c r="J34" t="n">
        <v>2</v>
      </c>
      <c r="K34" t="n">
        <v>0</v>
      </c>
      <c r="L34" t="n">
        <v>0</v>
      </c>
      <c r="M34" t="n">
        <v>0</v>
      </c>
      <c r="N34" t="n">
        <v>0</v>
      </c>
      <c r="O34" t="n">
        <v>2</v>
      </c>
      <c r="P34" t="n">
        <v>0</v>
      </c>
      <c r="Q34" t="n">
        <v>3</v>
      </c>
      <c r="R34" s="2" t="inlineStr">
        <is>
          <t>Garnlav
Tretåig hackspett
Bronshjon</t>
        </is>
      </c>
      <c r="S34">
        <f>HYPERLINK("https://klasma.github.io/Logging_2034/artfynd/A 31161-2025 artfynd.xlsx", "A 31161-2025")</f>
        <v/>
      </c>
      <c r="T34">
        <f>HYPERLINK("https://klasma.github.io/Logging_2034/kartor/A 31161-2025 karta.png", "A 31161-2025")</f>
        <v/>
      </c>
      <c r="V34">
        <f>HYPERLINK("https://klasma.github.io/Logging_2034/klagomål/A 31161-2025 FSC-klagomål.docx", "A 31161-2025")</f>
        <v/>
      </c>
      <c r="W34">
        <f>HYPERLINK("https://klasma.github.io/Logging_2034/klagomålsmail/A 31161-2025 FSC-klagomål mail.docx", "A 31161-2025")</f>
        <v/>
      </c>
      <c r="X34">
        <f>HYPERLINK("https://klasma.github.io/Logging_2034/tillsyn/A 31161-2025 tillsynsbegäran.docx", "A 31161-2025")</f>
        <v/>
      </c>
      <c r="Y34">
        <f>HYPERLINK("https://klasma.github.io/Logging_2034/tillsynsmail/A 31161-2025 tillsynsbegäran mail.docx", "A 31161-2025")</f>
        <v/>
      </c>
      <c r="Z34">
        <f>HYPERLINK("https://klasma.github.io/Logging_2034/fåglar/A 31161-2025 prioriterade fågelarter.docx", "A 31161-2025")</f>
        <v/>
      </c>
    </row>
    <row r="35" ht="15" customHeight="1">
      <c r="A35" t="inlineStr">
        <is>
          <t>A 63810-2021</t>
        </is>
      </c>
      <c r="B35" s="1" t="n">
        <v>44509</v>
      </c>
      <c r="C35" s="1" t="n">
        <v>45892</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6029-2024</t>
        </is>
      </c>
      <c r="B36" s="1" t="n">
        <v>45336</v>
      </c>
      <c r="C36" s="1" t="n">
        <v>45892</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48343-2022</t>
        </is>
      </c>
      <c r="B37" s="1" t="n">
        <v>44858</v>
      </c>
      <c r="C37" s="1" t="n">
        <v>45892</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31164-2025</t>
        </is>
      </c>
      <c r="B38" s="1" t="n">
        <v>45832.65702546296</v>
      </c>
      <c r="C38" s="1" t="n">
        <v>45892</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37887-2023</t>
        </is>
      </c>
      <c r="B39" s="1" t="n">
        <v>45160</v>
      </c>
      <c r="C39" s="1" t="n">
        <v>45892</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45892</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45892</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45892</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45892</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45892</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45892</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45892</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45892</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45892</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45892</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45892</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45892</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45892</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45892</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45892</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45892</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45892</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45892</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45892</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45892</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45892</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45892</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45892</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45892</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45892</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45892</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45892</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45892</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45892</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45892</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45892</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45892</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45892</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14535-2022</t>
        </is>
      </c>
      <c r="B73" s="1" t="n">
        <v>44655.44512731482</v>
      </c>
      <c r="C73" s="1" t="n">
        <v>45892</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169-2022</t>
        </is>
      </c>
      <c r="B74" s="1" t="n">
        <v>44564</v>
      </c>
      <c r="C74" s="1" t="n">
        <v>45892</v>
      </c>
      <c r="D74" t="inlineStr">
        <is>
          <t>DALARNAS LÄN</t>
        </is>
      </c>
      <c r="E74" t="inlineStr">
        <is>
          <t>ORSA</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45892</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44035-2022</t>
        </is>
      </c>
      <c r="B76" s="1" t="n">
        <v>44838.94439814815</v>
      </c>
      <c r="C76" s="1" t="n">
        <v>45892</v>
      </c>
      <c r="D76" t="inlineStr">
        <is>
          <t>DALARNAS LÄN</t>
        </is>
      </c>
      <c r="E76" t="inlineStr">
        <is>
          <t>ORSA</t>
        </is>
      </c>
      <c r="G76" t="n">
        <v>5.8</v>
      </c>
      <c r="H76" t="n">
        <v>0</v>
      </c>
      <c r="I76" t="n">
        <v>0</v>
      </c>
      <c r="J76" t="n">
        <v>0</v>
      </c>
      <c r="K76" t="n">
        <v>0</v>
      </c>
      <c r="L76" t="n">
        <v>0</v>
      </c>
      <c r="M76" t="n">
        <v>0</v>
      </c>
      <c r="N76" t="n">
        <v>0</v>
      </c>
      <c r="O76" t="n">
        <v>0</v>
      </c>
      <c r="P76" t="n">
        <v>0</v>
      </c>
      <c r="Q76" t="n">
        <v>0</v>
      </c>
      <c r="R76" s="2" t="inlineStr"/>
    </row>
    <row r="77" ht="15" customHeight="1">
      <c r="A77" t="inlineStr">
        <is>
          <t>A 21678-2021</t>
        </is>
      </c>
      <c r="B77" s="1" t="n">
        <v>44322</v>
      </c>
      <c r="C77" s="1" t="n">
        <v>45892</v>
      </c>
      <c r="D77" t="inlineStr">
        <is>
          <t>DALARNAS LÄN</t>
        </is>
      </c>
      <c r="E77" t="inlineStr">
        <is>
          <t>ORSA</t>
        </is>
      </c>
      <c r="G77" t="n">
        <v>11.4</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45892</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45892</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45892</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45892</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41425-2021</t>
        </is>
      </c>
      <c r="B82" s="1" t="n">
        <v>44424.71729166667</v>
      </c>
      <c r="C82" s="1" t="n">
        <v>45892</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45892</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45892</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45892</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23344-2022</t>
        </is>
      </c>
      <c r="B86" s="1" t="n">
        <v>44720.54599537037</v>
      </c>
      <c r="C86" s="1" t="n">
        <v>45892</v>
      </c>
      <c r="D86" t="inlineStr">
        <is>
          <t>DALARNAS LÄN</t>
        </is>
      </c>
      <c r="E86" t="inlineStr">
        <is>
          <t>ORSA</t>
        </is>
      </c>
      <c r="G86" t="n">
        <v>0.2</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45892</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45892</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45892</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45892</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41079-2020</t>
        </is>
      </c>
      <c r="B91" s="1" t="n">
        <v>44071</v>
      </c>
      <c r="C91" s="1" t="n">
        <v>45892</v>
      </c>
      <c r="D91" t="inlineStr">
        <is>
          <t>DALARNAS LÄN</t>
        </is>
      </c>
      <c r="E91" t="inlineStr">
        <is>
          <t>ORSA</t>
        </is>
      </c>
      <c r="G91" t="n">
        <v>2.2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45892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45892</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45892</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66536-2020</t>
        </is>
      </c>
      <c r="B95" s="1" t="n">
        <v>44179</v>
      </c>
      <c r="C95" s="1" t="n">
        <v>45892</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45892</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45892</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61000-2021</t>
        </is>
      </c>
      <c r="B98" s="1" t="n">
        <v>44497</v>
      </c>
      <c r="C98" s="1" t="n">
        <v>45892</v>
      </c>
      <c r="D98" t="inlineStr">
        <is>
          <t>DALARNAS LÄN</t>
        </is>
      </c>
      <c r="E98" t="inlineStr">
        <is>
          <t>ORSA</t>
        </is>
      </c>
      <c r="G98" t="n">
        <v>4.4</v>
      </c>
      <c r="H98" t="n">
        <v>0</v>
      </c>
      <c r="I98" t="n">
        <v>0</v>
      </c>
      <c r="J98" t="n">
        <v>0</v>
      </c>
      <c r="K98" t="n">
        <v>0</v>
      </c>
      <c r="L98" t="n">
        <v>0</v>
      </c>
      <c r="M98" t="n">
        <v>0</v>
      </c>
      <c r="N98" t="n">
        <v>0</v>
      </c>
      <c r="O98" t="n">
        <v>0</v>
      </c>
      <c r="P98" t="n">
        <v>0</v>
      </c>
      <c r="Q98" t="n">
        <v>0</v>
      </c>
      <c r="R98" s="2" t="inlineStr"/>
    </row>
    <row r="99" ht="15" customHeight="1">
      <c r="A99" t="inlineStr">
        <is>
          <t>A 61005-2021</t>
        </is>
      </c>
      <c r="B99" s="1" t="n">
        <v>44497</v>
      </c>
      <c r="C99" s="1" t="n">
        <v>45892</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18708-2021</t>
        </is>
      </c>
      <c r="B100" s="1" t="n">
        <v>44307</v>
      </c>
      <c r="C100" s="1" t="n">
        <v>45892</v>
      </c>
      <c r="D100" t="inlineStr">
        <is>
          <t>DALARNAS LÄN</t>
        </is>
      </c>
      <c r="E100" t="inlineStr">
        <is>
          <t>ORSA</t>
        </is>
      </c>
      <c r="G100" t="n">
        <v>2.8</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45892</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45892</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17521-2025</t>
        </is>
      </c>
      <c r="B103" s="1" t="n">
        <v>45757.57952546296</v>
      </c>
      <c r="C103" s="1" t="n">
        <v>45892</v>
      </c>
      <c r="D103" t="inlineStr">
        <is>
          <t>DALARNAS LÄN</t>
        </is>
      </c>
      <c r="E103" t="inlineStr">
        <is>
          <t>ORSA</t>
        </is>
      </c>
      <c r="F103" t="inlineStr">
        <is>
          <t>Bergvik skog öst AB</t>
        </is>
      </c>
      <c r="G103" t="n">
        <v>3.6</v>
      </c>
      <c r="H103" t="n">
        <v>0</v>
      </c>
      <c r="I103" t="n">
        <v>0</v>
      </c>
      <c r="J103" t="n">
        <v>0</v>
      </c>
      <c r="K103" t="n">
        <v>0</v>
      </c>
      <c r="L103" t="n">
        <v>0</v>
      </c>
      <c r="M103" t="n">
        <v>0</v>
      </c>
      <c r="N103" t="n">
        <v>0</v>
      </c>
      <c r="O103" t="n">
        <v>0</v>
      </c>
      <c r="P103" t="n">
        <v>0</v>
      </c>
      <c r="Q103" t="n">
        <v>0</v>
      </c>
      <c r="R103" s="2" t="inlineStr"/>
    </row>
    <row r="104" ht="15" customHeight="1">
      <c r="A104" t="inlineStr">
        <is>
          <t>A 4454-2021</t>
        </is>
      </c>
      <c r="B104" s="1" t="n">
        <v>44224</v>
      </c>
      <c r="C104" s="1" t="n">
        <v>45892</v>
      </c>
      <c r="D104" t="inlineStr">
        <is>
          <t>DALARNAS LÄN</t>
        </is>
      </c>
      <c r="E104" t="inlineStr">
        <is>
          <t>ORSA</t>
        </is>
      </c>
      <c r="G104" t="n">
        <v>1.2</v>
      </c>
      <c r="H104" t="n">
        <v>0</v>
      </c>
      <c r="I104" t="n">
        <v>0</v>
      </c>
      <c r="J104" t="n">
        <v>0</v>
      </c>
      <c r="K104" t="n">
        <v>0</v>
      </c>
      <c r="L104" t="n">
        <v>0</v>
      </c>
      <c r="M104" t="n">
        <v>0</v>
      </c>
      <c r="N104" t="n">
        <v>0</v>
      </c>
      <c r="O104" t="n">
        <v>0</v>
      </c>
      <c r="P104" t="n">
        <v>0</v>
      </c>
      <c r="Q104" t="n">
        <v>0</v>
      </c>
      <c r="R104" s="2" t="inlineStr"/>
    </row>
    <row r="105" ht="15" customHeight="1">
      <c r="A105" t="inlineStr">
        <is>
          <t>A 3166-2024</t>
        </is>
      </c>
      <c r="B105" s="1" t="n">
        <v>45316.62592592592</v>
      </c>
      <c r="C105" s="1" t="n">
        <v>45892</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56711-2021</t>
        </is>
      </c>
      <c r="B106" s="1" t="n">
        <v>44481.41222222222</v>
      </c>
      <c r="C106" s="1" t="n">
        <v>45892</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52925-2024</t>
        </is>
      </c>
      <c r="B107" s="1" t="n">
        <v>45610.73276620371</v>
      </c>
      <c r="C107" s="1" t="n">
        <v>45892</v>
      </c>
      <c r="D107" t="inlineStr">
        <is>
          <t>DALARNAS LÄN</t>
        </is>
      </c>
      <c r="E107" t="inlineStr">
        <is>
          <t>ORSA</t>
        </is>
      </c>
      <c r="F107" t="inlineStr">
        <is>
          <t>Allmännings- och besparingsskogar</t>
        </is>
      </c>
      <c r="G107" t="n">
        <v>2.5</v>
      </c>
      <c r="H107" t="n">
        <v>0</v>
      </c>
      <c r="I107" t="n">
        <v>0</v>
      </c>
      <c r="J107" t="n">
        <v>0</v>
      </c>
      <c r="K107" t="n">
        <v>0</v>
      </c>
      <c r="L107" t="n">
        <v>0</v>
      </c>
      <c r="M107" t="n">
        <v>0</v>
      </c>
      <c r="N107" t="n">
        <v>0</v>
      </c>
      <c r="O107" t="n">
        <v>0</v>
      </c>
      <c r="P107" t="n">
        <v>0</v>
      </c>
      <c r="Q107" t="n">
        <v>0</v>
      </c>
      <c r="R107" s="2" t="inlineStr"/>
    </row>
    <row r="108" ht="15" customHeight="1">
      <c r="A108" t="inlineStr">
        <is>
          <t>A 52931-2024</t>
        </is>
      </c>
      <c r="B108" s="1" t="n">
        <v>45610.74833333334</v>
      </c>
      <c r="C108" s="1" t="n">
        <v>45892</v>
      </c>
      <c r="D108" t="inlineStr">
        <is>
          <t>DALARNAS LÄN</t>
        </is>
      </c>
      <c r="E108" t="inlineStr">
        <is>
          <t>ORSA</t>
        </is>
      </c>
      <c r="F108" t="inlineStr">
        <is>
          <t>Allmännings- och besparingsskogar</t>
        </is>
      </c>
      <c r="G108" t="n">
        <v>27.5</v>
      </c>
      <c r="H108" t="n">
        <v>0</v>
      </c>
      <c r="I108" t="n">
        <v>0</v>
      </c>
      <c r="J108" t="n">
        <v>0</v>
      </c>
      <c r="K108" t="n">
        <v>0</v>
      </c>
      <c r="L108" t="n">
        <v>0</v>
      </c>
      <c r="M108" t="n">
        <v>0</v>
      </c>
      <c r="N108" t="n">
        <v>0</v>
      </c>
      <c r="O108" t="n">
        <v>0</v>
      </c>
      <c r="P108" t="n">
        <v>0</v>
      </c>
      <c r="Q108" t="n">
        <v>0</v>
      </c>
      <c r="R108" s="2" t="inlineStr"/>
    </row>
    <row r="109" ht="15" customHeight="1">
      <c r="A109" t="inlineStr">
        <is>
          <t>A 49781-2023</t>
        </is>
      </c>
      <c r="B109" s="1" t="n">
        <v>45212.60275462963</v>
      </c>
      <c r="C109" s="1" t="n">
        <v>45892</v>
      </c>
      <c r="D109" t="inlineStr">
        <is>
          <t>DALARNAS LÄN</t>
        </is>
      </c>
      <c r="E109" t="inlineStr">
        <is>
          <t>ORSA</t>
        </is>
      </c>
      <c r="G109" t="n">
        <v>0.9</v>
      </c>
      <c r="H109" t="n">
        <v>0</v>
      </c>
      <c r="I109" t="n">
        <v>0</v>
      </c>
      <c r="J109" t="n">
        <v>0</v>
      </c>
      <c r="K109" t="n">
        <v>0</v>
      </c>
      <c r="L109" t="n">
        <v>0</v>
      </c>
      <c r="M109" t="n">
        <v>0</v>
      </c>
      <c r="N109" t="n">
        <v>0</v>
      </c>
      <c r="O109" t="n">
        <v>0</v>
      </c>
      <c r="P109" t="n">
        <v>0</v>
      </c>
      <c r="Q109" t="n">
        <v>0</v>
      </c>
      <c r="R109" s="2" t="inlineStr"/>
    </row>
    <row r="110" ht="15" customHeight="1">
      <c r="A110" t="inlineStr">
        <is>
          <t>A 56887-2024</t>
        </is>
      </c>
      <c r="B110" s="1" t="n">
        <v>45628.57388888889</v>
      </c>
      <c r="C110" s="1" t="n">
        <v>45892</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16383-2024</t>
        </is>
      </c>
      <c r="B111" s="1" t="n">
        <v>45407.61697916667</v>
      </c>
      <c r="C111" s="1" t="n">
        <v>45892</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6476-2025</t>
        </is>
      </c>
      <c r="B112" s="1" t="n">
        <v>45699</v>
      </c>
      <c r="C112" s="1" t="n">
        <v>45892</v>
      </c>
      <c r="D112" t="inlineStr">
        <is>
          <t>DALARNAS LÄN</t>
        </is>
      </c>
      <c r="E112" t="inlineStr">
        <is>
          <t>ORSA</t>
        </is>
      </c>
      <c r="G112" t="n">
        <v>1.2</v>
      </c>
      <c r="H112" t="n">
        <v>0</v>
      </c>
      <c r="I112" t="n">
        <v>0</v>
      </c>
      <c r="J112" t="n">
        <v>0</v>
      </c>
      <c r="K112" t="n">
        <v>0</v>
      </c>
      <c r="L112" t="n">
        <v>0</v>
      </c>
      <c r="M112" t="n">
        <v>0</v>
      </c>
      <c r="N112" t="n">
        <v>0</v>
      </c>
      <c r="O112" t="n">
        <v>0</v>
      </c>
      <c r="P112" t="n">
        <v>0</v>
      </c>
      <c r="Q112" t="n">
        <v>0</v>
      </c>
      <c r="R112" s="2" t="inlineStr"/>
    </row>
    <row r="113" ht="15" customHeight="1">
      <c r="A113" t="inlineStr">
        <is>
          <t>A 6479-2025</t>
        </is>
      </c>
      <c r="B113" s="1" t="n">
        <v>45699</v>
      </c>
      <c r="C113" s="1" t="n">
        <v>45892</v>
      </c>
      <c r="D113" t="inlineStr">
        <is>
          <t>DALARNAS LÄN</t>
        </is>
      </c>
      <c r="E113" t="inlineStr">
        <is>
          <t>ORSA</t>
        </is>
      </c>
      <c r="G113" t="n">
        <v>3.2</v>
      </c>
      <c r="H113" t="n">
        <v>0</v>
      </c>
      <c r="I113" t="n">
        <v>0</v>
      </c>
      <c r="J113" t="n">
        <v>0</v>
      </c>
      <c r="K113" t="n">
        <v>0</v>
      </c>
      <c r="L113" t="n">
        <v>0</v>
      </c>
      <c r="M113" t="n">
        <v>0</v>
      </c>
      <c r="N113" t="n">
        <v>0</v>
      </c>
      <c r="O113" t="n">
        <v>0</v>
      </c>
      <c r="P113" t="n">
        <v>0</v>
      </c>
      <c r="Q113" t="n">
        <v>0</v>
      </c>
      <c r="R113" s="2" t="inlineStr"/>
    </row>
    <row r="114" ht="15" customHeight="1">
      <c r="A114" t="inlineStr">
        <is>
          <t>A 56807-2024</t>
        </is>
      </c>
      <c r="B114" s="1" t="n">
        <v>45628.47519675926</v>
      </c>
      <c r="C114" s="1" t="n">
        <v>45892</v>
      </c>
      <c r="D114" t="inlineStr">
        <is>
          <t>DALARNAS LÄN</t>
        </is>
      </c>
      <c r="E114" t="inlineStr">
        <is>
          <t>ORSA</t>
        </is>
      </c>
      <c r="G114" t="n">
        <v>1.9</v>
      </c>
      <c r="H114" t="n">
        <v>0</v>
      </c>
      <c r="I114" t="n">
        <v>0</v>
      </c>
      <c r="J114" t="n">
        <v>0</v>
      </c>
      <c r="K114" t="n">
        <v>0</v>
      </c>
      <c r="L114" t="n">
        <v>0</v>
      </c>
      <c r="M114" t="n">
        <v>0</v>
      </c>
      <c r="N114" t="n">
        <v>0</v>
      </c>
      <c r="O114" t="n">
        <v>0</v>
      </c>
      <c r="P114" t="n">
        <v>0</v>
      </c>
      <c r="Q114" t="n">
        <v>0</v>
      </c>
      <c r="R114" s="2" t="inlineStr"/>
    </row>
    <row r="115" ht="15" customHeight="1">
      <c r="A115" t="inlineStr">
        <is>
          <t>A 2563-2025</t>
        </is>
      </c>
      <c r="B115" s="1" t="n">
        <v>45674.65692129629</v>
      </c>
      <c r="C115" s="1" t="n">
        <v>45892</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52643-2024</t>
        </is>
      </c>
      <c r="B116" s="1" t="n">
        <v>45610.34175925926</v>
      </c>
      <c r="C116" s="1" t="n">
        <v>45892</v>
      </c>
      <c r="D116" t="inlineStr">
        <is>
          <t>DALARNAS LÄN</t>
        </is>
      </c>
      <c r="E116" t="inlineStr">
        <is>
          <t>ORSA</t>
        </is>
      </c>
      <c r="G116" t="n">
        <v>1.5</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45892</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47732-2021</t>
        </is>
      </c>
      <c r="B118" s="1" t="n">
        <v>44448.52815972222</v>
      </c>
      <c r="C118" s="1" t="n">
        <v>45892</v>
      </c>
      <c r="D118" t="inlineStr">
        <is>
          <t>DALARNAS LÄN</t>
        </is>
      </c>
      <c r="E118" t="inlineStr">
        <is>
          <t>ORSA</t>
        </is>
      </c>
      <c r="G118" t="n">
        <v>0.8</v>
      </c>
      <c r="H118" t="n">
        <v>0</v>
      </c>
      <c r="I118" t="n">
        <v>0</v>
      </c>
      <c r="J118" t="n">
        <v>0</v>
      </c>
      <c r="K118" t="n">
        <v>0</v>
      </c>
      <c r="L118" t="n">
        <v>0</v>
      </c>
      <c r="M118" t="n">
        <v>0</v>
      </c>
      <c r="N118" t="n">
        <v>0</v>
      </c>
      <c r="O118" t="n">
        <v>0</v>
      </c>
      <c r="P118" t="n">
        <v>0</v>
      </c>
      <c r="Q118" t="n">
        <v>0</v>
      </c>
      <c r="R118" s="2" t="inlineStr"/>
    </row>
    <row r="119" ht="15" customHeight="1">
      <c r="A119" t="inlineStr">
        <is>
          <t>A 31170-2023</t>
        </is>
      </c>
      <c r="B119" s="1" t="n">
        <v>45113.84923611111</v>
      </c>
      <c r="C119" s="1" t="n">
        <v>45892</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31171-2023</t>
        </is>
      </c>
      <c r="B120" s="1" t="n">
        <v>45113.85704861111</v>
      </c>
      <c r="C120" s="1" t="n">
        <v>45892</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72284-2021</t>
        </is>
      </c>
      <c r="B121" s="1" t="n">
        <v>44545.36940972223</v>
      </c>
      <c r="C121" s="1" t="n">
        <v>45892</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40101-2024</t>
        </is>
      </c>
      <c r="B122" s="1" t="n">
        <v>45554.42622685185</v>
      </c>
      <c r="C122" s="1" t="n">
        <v>45892</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17503-2025</t>
        </is>
      </c>
      <c r="B123" s="1" t="n">
        <v>45757.55321759259</v>
      </c>
      <c r="C123" s="1" t="n">
        <v>45892</v>
      </c>
      <c r="D123" t="inlineStr">
        <is>
          <t>DALARNAS LÄN</t>
        </is>
      </c>
      <c r="E123" t="inlineStr">
        <is>
          <t>ORSA</t>
        </is>
      </c>
      <c r="G123" t="n">
        <v>0.8</v>
      </c>
      <c r="H123" t="n">
        <v>0</v>
      </c>
      <c r="I123" t="n">
        <v>0</v>
      </c>
      <c r="J123" t="n">
        <v>0</v>
      </c>
      <c r="K123" t="n">
        <v>0</v>
      </c>
      <c r="L123" t="n">
        <v>0</v>
      </c>
      <c r="M123" t="n">
        <v>0</v>
      </c>
      <c r="N123" t="n">
        <v>0</v>
      </c>
      <c r="O123" t="n">
        <v>0</v>
      </c>
      <c r="P123" t="n">
        <v>0</v>
      </c>
      <c r="Q123" t="n">
        <v>0</v>
      </c>
      <c r="R123" s="2" t="inlineStr"/>
    </row>
    <row r="124" ht="15" customHeight="1">
      <c r="A124" t="inlineStr">
        <is>
          <t>A 37830-2024</t>
        </is>
      </c>
      <c r="B124" s="1" t="n">
        <v>45544.34504629629</v>
      </c>
      <c r="C124" s="1" t="n">
        <v>45892</v>
      </c>
      <c r="D124" t="inlineStr">
        <is>
          <t>DALARNAS LÄN</t>
        </is>
      </c>
      <c r="E124" t="inlineStr">
        <is>
          <t>ORSA</t>
        </is>
      </c>
      <c r="G124" t="n">
        <v>0.8</v>
      </c>
      <c r="H124" t="n">
        <v>0</v>
      </c>
      <c r="I124" t="n">
        <v>0</v>
      </c>
      <c r="J124" t="n">
        <v>0</v>
      </c>
      <c r="K124" t="n">
        <v>0</v>
      </c>
      <c r="L124" t="n">
        <v>0</v>
      </c>
      <c r="M124" t="n">
        <v>0</v>
      </c>
      <c r="N124" t="n">
        <v>0</v>
      </c>
      <c r="O124" t="n">
        <v>0</v>
      </c>
      <c r="P124" t="n">
        <v>0</v>
      </c>
      <c r="Q124" t="n">
        <v>0</v>
      </c>
      <c r="R124" s="2" t="inlineStr"/>
    </row>
    <row r="125" ht="15" customHeight="1">
      <c r="A125" t="inlineStr">
        <is>
          <t>A 5435-2025</t>
        </is>
      </c>
      <c r="B125" s="1" t="n">
        <v>45692</v>
      </c>
      <c r="C125" s="1" t="n">
        <v>45892</v>
      </c>
      <c r="D125" t="inlineStr">
        <is>
          <t>DALARNAS LÄN</t>
        </is>
      </c>
      <c r="E125" t="inlineStr">
        <is>
          <t>ORSA</t>
        </is>
      </c>
      <c r="G125" t="n">
        <v>7.8</v>
      </c>
      <c r="H125" t="n">
        <v>0</v>
      </c>
      <c r="I125" t="n">
        <v>0</v>
      </c>
      <c r="J125" t="n">
        <v>0</v>
      </c>
      <c r="K125" t="n">
        <v>0</v>
      </c>
      <c r="L125" t="n">
        <v>0</v>
      </c>
      <c r="M125" t="n">
        <v>0</v>
      </c>
      <c r="N125" t="n">
        <v>0</v>
      </c>
      <c r="O125" t="n">
        <v>0</v>
      </c>
      <c r="P125" t="n">
        <v>0</v>
      </c>
      <c r="Q125" t="n">
        <v>0</v>
      </c>
      <c r="R125" s="2" t="inlineStr"/>
    </row>
    <row r="126" ht="15" customHeight="1">
      <c r="A126" t="inlineStr">
        <is>
          <t>A 21905-2022</t>
        </is>
      </c>
      <c r="B126" s="1" t="n">
        <v>44711</v>
      </c>
      <c r="C126" s="1" t="n">
        <v>45892</v>
      </c>
      <c r="D126" t="inlineStr">
        <is>
          <t>DALARNAS LÄN</t>
        </is>
      </c>
      <c r="E126" t="inlineStr">
        <is>
          <t>ORSA</t>
        </is>
      </c>
      <c r="F126" t="inlineStr">
        <is>
          <t>Allmännings- och besparingsskogar</t>
        </is>
      </c>
      <c r="G126" t="n">
        <v>3.1</v>
      </c>
      <c r="H126" t="n">
        <v>0</v>
      </c>
      <c r="I126" t="n">
        <v>0</v>
      </c>
      <c r="J126" t="n">
        <v>0</v>
      </c>
      <c r="K126" t="n">
        <v>0</v>
      </c>
      <c r="L126" t="n">
        <v>0</v>
      </c>
      <c r="M126" t="n">
        <v>0</v>
      </c>
      <c r="N126" t="n">
        <v>0</v>
      </c>
      <c r="O126" t="n">
        <v>0</v>
      </c>
      <c r="P126" t="n">
        <v>0</v>
      </c>
      <c r="Q126" t="n">
        <v>0</v>
      </c>
      <c r="R126" s="2" t="inlineStr"/>
    </row>
    <row r="127" ht="15" customHeight="1">
      <c r="A127" t="inlineStr">
        <is>
          <t>A 48516-2024</t>
        </is>
      </c>
      <c r="B127" s="1" t="n">
        <v>45593.31292824074</v>
      </c>
      <c r="C127" s="1" t="n">
        <v>45892</v>
      </c>
      <c r="D127" t="inlineStr">
        <is>
          <t>DALARNAS LÄN</t>
        </is>
      </c>
      <c r="E127" t="inlineStr">
        <is>
          <t>ORSA</t>
        </is>
      </c>
      <c r="G127" t="n">
        <v>3.3</v>
      </c>
      <c r="H127" t="n">
        <v>0</v>
      </c>
      <c r="I127" t="n">
        <v>0</v>
      </c>
      <c r="J127" t="n">
        <v>0</v>
      </c>
      <c r="K127" t="n">
        <v>0</v>
      </c>
      <c r="L127" t="n">
        <v>0</v>
      </c>
      <c r="M127" t="n">
        <v>0</v>
      </c>
      <c r="N127" t="n">
        <v>0</v>
      </c>
      <c r="O127" t="n">
        <v>0</v>
      </c>
      <c r="P127" t="n">
        <v>0</v>
      </c>
      <c r="Q127" t="n">
        <v>0</v>
      </c>
      <c r="R127" s="2" t="inlineStr"/>
    </row>
    <row r="128" ht="15" customHeight="1">
      <c r="A128" t="inlineStr">
        <is>
          <t>A 48521-2024</t>
        </is>
      </c>
      <c r="B128" s="1" t="n">
        <v>45593.32871527778</v>
      </c>
      <c r="C128" s="1" t="n">
        <v>45892</v>
      </c>
      <c r="D128" t="inlineStr">
        <is>
          <t>DALARNAS LÄN</t>
        </is>
      </c>
      <c r="E128" t="inlineStr">
        <is>
          <t>ORSA</t>
        </is>
      </c>
      <c r="G128" t="n">
        <v>1.6</v>
      </c>
      <c r="H128" t="n">
        <v>0</v>
      </c>
      <c r="I128" t="n">
        <v>0</v>
      </c>
      <c r="J128" t="n">
        <v>0</v>
      </c>
      <c r="K128" t="n">
        <v>0</v>
      </c>
      <c r="L128" t="n">
        <v>0</v>
      </c>
      <c r="M128" t="n">
        <v>0</v>
      </c>
      <c r="N128" t="n">
        <v>0</v>
      </c>
      <c r="O128" t="n">
        <v>0</v>
      </c>
      <c r="P128" t="n">
        <v>0</v>
      </c>
      <c r="Q128" t="n">
        <v>0</v>
      </c>
      <c r="R128" s="2" t="inlineStr"/>
    </row>
    <row r="129" ht="15" customHeight="1">
      <c r="A129" t="inlineStr">
        <is>
          <t>A 48525-2024</t>
        </is>
      </c>
      <c r="B129" s="1" t="n">
        <v>45593.33947916667</v>
      </c>
      <c r="C129" s="1" t="n">
        <v>45892</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61333-2024</t>
        </is>
      </c>
      <c r="B130" s="1" t="n">
        <v>45646.35832175926</v>
      </c>
      <c r="C130" s="1" t="n">
        <v>45892</v>
      </c>
      <c r="D130" t="inlineStr">
        <is>
          <t>DALARNAS LÄN</t>
        </is>
      </c>
      <c r="E130" t="inlineStr">
        <is>
          <t>ORSA</t>
        </is>
      </c>
      <c r="G130" t="n">
        <v>11.5</v>
      </c>
      <c r="H130" t="n">
        <v>0</v>
      </c>
      <c r="I130" t="n">
        <v>0</v>
      </c>
      <c r="J130" t="n">
        <v>0</v>
      </c>
      <c r="K130" t="n">
        <v>0</v>
      </c>
      <c r="L130" t="n">
        <v>0</v>
      </c>
      <c r="M130" t="n">
        <v>0</v>
      </c>
      <c r="N130" t="n">
        <v>0</v>
      </c>
      <c r="O130" t="n">
        <v>0</v>
      </c>
      <c r="P130" t="n">
        <v>0</v>
      </c>
      <c r="Q130" t="n">
        <v>0</v>
      </c>
      <c r="R130" s="2" t="inlineStr"/>
    </row>
    <row r="131" ht="15" customHeight="1">
      <c r="A131" t="inlineStr">
        <is>
          <t>A 50742-2023</t>
        </is>
      </c>
      <c r="B131" s="1" t="n">
        <v>45217.58891203703</v>
      </c>
      <c r="C131" s="1" t="n">
        <v>45892</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17421-2025</t>
        </is>
      </c>
      <c r="B132" s="1" t="n">
        <v>45757.38532407407</v>
      </c>
      <c r="C132" s="1" t="n">
        <v>45892</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52776-2022</t>
        </is>
      </c>
      <c r="B133" s="1" t="n">
        <v>44875.36341435185</v>
      </c>
      <c r="C133" s="1" t="n">
        <v>45892</v>
      </c>
      <c r="D133" t="inlineStr">
        <is>
          <t>DALARNAS LÄN</t>
        </is>
      </c>
      <c r="E133" t="inlineStr">
        <is>
          <t>ORSA</t>
        </is>
      </c>
      <c r="F133" t="inlineStr">
        <is>
          <t>Allmännings- och besparingsskogar</t>
        </is>
      </c>
      <c r="G133" t="n">
        <v>4.4</v>
      </c>
      <c r="H133" t="n">
        <v>0</v>
      </c>
      <c r="I133" t="n">
        <v>0</v>
      </c>
      <c r="J133" t="n">
        <v>0</v>
      </c>
      <c r="K133" t="n">
        <v>0</v>
      </c>
      <c r="L133" t="n">
        <v>0</v>
      </c>
      <c r="M133" t="n">
        <v>0</v>
      </c>
      <c r="N133" t="n">
        <v>0</v>
      </c>
      <c r="O133" t="n">
        <v>0</v>
      </c>
      <c r="P133" t="n">
        <v>0</v>
      </c>
      <c r="Q133" t="n">
        <v>0</v>
      </c>
      <c r="R133" s="2" t="inlineStr"/>
    </row>
    <row r="134" ht="15" customHeight="1">
      <c r="A134" t="inlineStr">
        <is>
          <t>A 6492-2025</t>
        </is>
      </c>
      <c r="B134" s="1" t="n">
        <v>45699</v>
      </c>
      <c r="C134" s="1" t="n">
        <v>45892</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35477-2023</t>
        </is>
      </c>
      <c r="B135" s="1" t="n">
        <v>45146</v>
      </c>
      <c r="C135" s="1" t="n">
        <v>45892</v>
      </c>
      <c r="D135" t="inlineStr">
        <is>
          <t>DALARNAS LÄN</t>
        </is>
      </c>
      <c r="E135" t="inlineStr">
        <is>
          <t>ORSA</t>
        </is>
      </c>
      <c r="G135" t="n">
        <v>7.7</v>
      </c>
      <c r="H135" t="n">
        <v>0</v>
      </c>
      <c r="I135" t="n">
        <v>0</v>
      </c>
      <c r="J135" t="n">
        <v>0</v>
      </c>
      <c r="K135" t="n">
        <v>0</v>
      </c>
      <c r="L135" t="n">
        <v>0</v>
      </c>
      <c r="M135" t="n">
        <v>0</v>
      </c>
      <c r="N135" t="n">
        <v>0</v>
      </c>
      <c r="O135" t="n">
        <v>0</v>
      </c>
      <c r="P135" t="n">
        <v>0</v>
      </c>
      <c r="Q135" t="n">
        <v>0</v>
      </c>
      <c r="R135" s="2" t="inlineStr"/>
    </row>
    <row r="136" ht="15" customHeight="1">
      <c r="A136" t="inlineStr">
        <is>
          <t>A 10645-2025</t>
        </is>
      </c>
      <c r="B136" s="1" t="n">
        <v>45721.66297453704</v>
      </c>
      <c r="C136" s="1" t="n">
        <v>45892</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41832-2024</t>
        </is>
      </c>
      <c r="B137" s="1" t="n">
        <v>45561.40730324074</v>
      </c>
      <c r="C137" s="1" t="n">
        <v>45892</v>
      </c>
      <c r="D137" t="inlineStr">
        <is>
          <t>DALARNAS LÄN</t>
        </is>
      </c>
      <c r="E137" t="inlineStr">
        <is>
          <t>ORSA</t>
        </is>
      </c>
      <c r="G137" t="n">
        <v>0.5</v>
      </c>
      <c r="H137" t="n">
        <v>0</v>
      </c>
      <c r="I137" t="n">
        <v>0</v>
      </c>
      <c r="J137" t="n">
        <v>0</v>
      </c>
      <c r="K137" t="n">
        <v>0</v>
      </c>
      <c r="L137" t="n">
        <v>0</v>
      </c>
      <c r="M137" t="n">
        <v>0</v>
      </c>
      <c r="N137" t="n">
        <v>0</v>
      </c>
      <c r="O137" t="n">
        <v>0</v>
      </c>
      <c r="P137" t="n">
        <v>0</v>
      </c>
      <c r="Q137" t="n">
        <v>0</v>
      </c>
      <c r="R137" s="2" t="inlineStr"/>
    </row>
    <row r="138" ht="15" customHeight="1">
      <c r="A138" t="inlineStr">
        <is>
          <t>A 53758-2024</t>
        </is>
      </c>
      <c r="B138" s="1" t="n">
        <v>45615.50483796297</v>
      </c>
      <c r="C138" s="1" t="n">
        <v>45892</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55691-2022</t>
        </is>
      </c>
      <c r="B139" s="1" t="n">
        <v>44888</v>
      </c>
      <c r="C139" s="1" t="n">
        <v>45892</v>
      </c>
      <c r="D139" t="inlineStr">
        <is>
          <t>DALARNAS LÄN</t>
        </is>
      </c>
      <c r="E139" t="inlineStr">
        <is>
          <t>ORSA</t>
        </is>
      </c>
      <c r="G139" t="n">
        <v>0.4</v>
      </c>
      <c r="H139" t="n">
        <v>0</v>
      </c>
      <c r="I139" t="n">
        <v>0</v>
      </c>
      <c r="J139" t="n">
        <v>0</v>
      </c>
      <c r="K139" t="n">
        <v>0</v>
      </c>
      <c r="L139" t="n">
        <v>0</v>
      </c>
      <c r="M139" t="n">
        <v>0</v>
      </c>
      <c r="N139" t="n">
        <v>0</v>
      </c>
      <c r="O139" t="n">
        <v>0</v>
      </c>
      <c r="P139" t="n">
        <v>0</v>
      </c>
      <c r="Q139" t="n">
        <v>0</v>
      </c>
      <c r="R139" s="2" t="inlineStr"/>
    </row>
    <row r="140" ht="15" customHeight="1">
      <c r="A140" t="inlineStr">
        <is>
          <t>A 29499-2024</t>
        </is>
      </c>
      <c r="B140" s="1" t="n">
        <v>45484</v>
      </c>
      <c r="C140" s="1" t="n">
        <v>45892</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37838-2024</t>
        </is>
      </c>
      <c r="B141" s="1" t="n">
        <v>45544.36310185185</v>
      </c>
      <c r="C141" s="1" t="n">
        <v>45892</v>
      </c>
      <c r="D141" t="inlineStr">
        <is>
          <t>DALARNAS LÄN</t>
        </is>
      </c>
      <c r="E141" t="inlineStr">
        <is>
          <t>ORSA</t>
        </is>
      </c>
      <c r="G141" t="n">
        <v>2.9</v>
      </c>
      <c r="H141" t="n">
        <v>0</v>
      </c>
      <c r="I141" t="n">
        <v>0</v>
      </c>
      <c r="J141" t="n">
        <v>0</v>
      </c>
      <c r="K141" t="n">
        <v>0</v>
      </c>
      <c r="L141" t="n">
        <v>0</v>
      </c>
      <c r="M141" t="n">
        <v>0</v>
      </c>
      <c r="N141" t="n">
        <v>0</v>
      </c>
      <c r="O141" t="n">
        <v>0</v>
      </c>
      <c r="P141" t="n">
        <v>0</v>
      </c>
      <c r="Q141" t="n">
        <v>0</v>
      </c>
      <c r="R141" s="2" t="inlineStr"/>
    </row>
    <row r="142" ht="15" customHeight="1">
      <c r="A142" t="inlineStr">
        <is>
          <t>A 593-2024</t>
        </is>
      </c>
      <c r="B142" s="1" t="n">
        <v>45299.63049768518</v>
      </c>
      <c r="C142" s="1" t="n">
        <v>45892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49270-2024</t>
        </is>
      </c>
      <c r="B143" s="1" t="n">
        <v>45595.49896990741</v>
      </c>
      <c r="C143" s="1" t="n">
        <v>45892</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34708-2021</t>
        </is>
      </c>
      <c r="B144" s="1" t="n">
        <v>44382</v>
      </c>
      <c r="C144" s="1" t="n">
        <v>45892</v>
      </c>
      <c r="D144" t="inlineStr">
        <is>
          <t>DALARNAS LÄN</t>
        </is>
      </c>
      <c r="E144" t="inlineStr">
        <is>
          <t>ORSA</t>
        </is>
      </c>
      <c r="G144" t="n">
        <v>4.3</v>
      </c>
      <c r="H144" t="n">
        <v>0</v>
      </c>
      <c r="I144" t="n">
        <v>0</v>
      </c>
      <c r="J144" t="n">
        <v>0</v>
      </c>
      <c r="K144" t="n">
        <v>0</v>
      </c>
      <c r="L144" t="n">
        <v>0</v>
      </c>
      <c r="M144" t="n">
        <v>0</v>
      </c>
      <c r="N144" t="n">
        <v>0</v>
      </c>
      <c r="O144" t="n">
        <v>0</v>
      </c>
      <c r="P144" t="n">
        <v>0</v>
      </c>
      <c r="Q144" t="n">
        <v>0</v>
      </c>
      <c r="R144" s="2" t="inlineStr"/>
    </row>
    <row r="145" ht="15" customHeight="1">
      <c r="A145" t="inlineStr">
        <is>
          <t>A 18037-2023</t>
        </is>
      </c>
      <c r="B145" s="1" t="n">
        <v>45040</v>
      </c>
      <c r="C145" s="1" t="n">
        <v>45892</v>
      </c>
      <c r="D145" t="inlineStr">
        <is>
          <t>DALARNAS LÄN</t>
        </is>
      </c>
      <c r="E145" t="inlineStr">
        <is>
          <t>ORSA</t>
        </is>
      </c>
      <c r="G145" t="n">
        <v>6.6</v>
      </c>
      <c r="H145" t="n">
        <v>0</v>
      </c>
      <c r="I145" t="n">
        <v>0</v>
      </c>
      <c r="J145" t="n">
        <v>0</v>
      </c>
      <c r="K145" t="n">
        <v>0</v>
      </c>
      <c r="L145" t="n">
        <v>0</v>
      </c>
      <c r="M145" t="n">
        <v>0</v>
      </c>
      <c r="N145" t="n">
        <v>0</v>
      </c>
      <c r="O145" t="n">
        <v>0</v>
      </c>
      <c r="P145" t="n">
        <v>0</v>
      </c>
      <c r="Q145" t="n">
        <v>0</v>
      </c>
      <c r="R145" s="2" t="inlineStr"/>
    </row>
    <row r="146" ht="15" customHeight="1">
      <c r="A146" t="inlineStr">
        <is>
          <t>A 52816-2024</t>
        </is>
      </c>
      <c r="B146" s="1" t="n">
        <v>45610.58322916667</v>
      </c>
      <c r="C146" s="1" t="n">
        <v>45892</v>
      </c>
      <c r="D146" t="inlineStr">
        <is>
          <t>DALARNAS LÄN</t>
        </is>
      </c>
      <c r="E146" t="inlineStr">
        <is>
          <t>ORSA</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53229-2023</t>
        </is>
      </c>
      <c r="B147" s="1" t="n">
        <v>45229.48306712963</v>
      </c>
      <c r="C147" s="1" t="n">
        <v>45892</v>
      </c>
      <c r="D147" t="inlineStr">
        <is>
          <t>DALARNAS LÄN</t>
        </is>
      </c>
      <c r="E147" t="inlineStr">
        <is>
          <t>ORSA</t>
        </is>
      </c>
      <c r="F147" t="inlineStr">
        <is>
          <t>Allmännings- och besparingsskogar</t>
        </is>
      </c>
      <c r="G147" t="n">
        <v>0.5</v>
      </c>
      <c r="H147" t="n">
        <v>0</v>
      </c>
      <c r="I147" t="n">
        <v>0</v>
      </c>
      <c r="J147" t="n">
        <v>0</v>
      </c>
      <c r="K147" t="n">
        <v>0</v>
      </c>
      <c r="L147" t="n">
        <v>0</v>
      </c>
      <c r="M147" t="n">
        <v>0</v>
      </c>
      <c r="N147" t="n">
        <v>0</v>
      </c>
      <c r="O147" t="n">
        <v>0</v>
      </c>
      <c r="P147" t="n">
        <v>0</v>
      </c>
      <c r="Q147" t="n">
        <v>0</v>
      </c>
      <c r="R147" s="2" t="inlineStr"/>
    </row>
    <row r="148" ht="15" customHeight="1">
      <c r="A148" t="inlineStr">
        <is>
          <t>A 50734-2023</t>
        </is>
      </c>
      <c r="B148" s="1" t="n">
        <v>45217.58043981482</v>
      </c>
      <c r="C148" s="1" t="n">
        <v>45892</v>
      </c>
      <c r="D148" t="inlineStr">
        <is>
          <t>DALARNAS LÄN</t>
        </is>
      </c>
      <c r="E148" t="inlineStr">
        <is>
          <t>ORSA</t>
        </is>
      </c>
      <c r="G148" t="n">
        <v>0.9</v>
      </c>
      <c r="H148" t="n">
        <v>0</v>
      </c>
      <c r="I148" t="n">
        <v>0</v>
      </c>
      <c r="J148" t="n">
        <v>0</v>
      </c>
      <c r="K148" t="n">
        <v>0</v>
      </c>
      <c r="L148" t="n">
        <v>0</v>
      </c>
      <c r="M148" t="n">
        <v>0</v>
      </c>
      <c r="N148" t="n">
        <v>0</v>
      </c>
      <c r="O148" t="n">
        <v>0</v>
      </c>
      <c r="P148" t="n">
        <v>0</v>
      </c>
      <c r="Q148" t="n">
        <v>0</v>
      </c>
      <c r="R148" s="2" t="inlineStr"/>
    </row>
    <row r="149" ht="15" customHeight="1">
      <c r="A149" t="inlineStr">
        <is>
          <t>A 50905-2021</t>
        </is>
      </c>
      <c r="B149" s="1" t="n">
        <v>44460</v>
      </c>
      <c r="C149" s="1" t="n">
        <v>45892</v>
      </c>
      <c r="D149" t="inlineStr">
        <is>
          <t>DALARNAS LÄN</t>
        </is>
      </c>
      <c r="E149" t="inlineStr">
        <is>
          <t>ORSA</t>
        </is>
      </c>
      <c r="G149" t="n">
        <v>2.1</v>
      </c>
      <c r="H149" t="n">
        <v>0</v>
      </c>
      <c r="I149" t="n">
        <v>0</v>
      </c>
      <c r="J149" t="n">
        <v>0</v>
      </c>
      <c r="K149" t="n">
        <v>0</v>
      </c>
      <c r="L149" t="n">
        <v>0</v>
      </c>
      <c r="M149" t="n">
        <v>0</v>
      </c>
      <c r="N149" t="n">
        <v>0</v>
      </c>
      <c r="O149" t="n">
        <v>0</v>
      </c>
      <c r="P149" t="n">
        <v>0</v>
      </c>
      <c r="Q149" t="n">
        <v>0</v>
      </c>
      <c r="R149" s="2" t="inlineStr"/>
    </row>
    <row r="150" ht="15" customHeight="1">
      <c r="A150" t="inlineStr">
        <is>
          <t>A 2717-2024</t>
        </is>
      </c>
      <c r="B150" s="1" t="n">
        <v>45314.49222222222</v>
      </c>
      <c r="C150" s="1" t="n">
        <v>45892</v>
      </c>
      <c r="D150" t="inlineStr">
        <is>
          <t>DALARNAS LÄN</t>
        </is>
      </c>
      <c r="E150" t="inlineStr">
        <is>
          <t>ORSA</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27163-2023</t>
        </is>
      </c>
      <c r="B151" s="1" t="n">
        <v>45096.4878125</v>
      </c>
      <c r="C151" s="1" t="n">
        <v>45892</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36569-2021</t>
        </is>
      </c>
      <c r="B152" s="1" t="n">
        <v>44391</v>
      </c>
      <c r="C152" s="1" t="n">
        <v>45892</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22022-2022</t>
        </is>
      </c>
      <c r="B153" s="1" t="n">
        <v>44711.60145833333</v>
      </c>
      <c r="C153" s="1" t="n">
        <v>45892</v>
      </c>
      <c r="D153" t="inlineStr">
        <is>
          <t>DALARNAS LÄN</t>
        </is>
      </c>
      <c r="E153" t="inlineStr">
        <is>
          <t>ORSA</t>
        </is>
      </c>
      <c r="F153" t="inlineStr">
        <is>
          <t>Bergvik skog öst AB</t>
        </is>
      </c>
      <c r="G153" t="n">
        <v>1.9</v>
      </c>
      <c r="H153" t="n">
        <v>0</v>
      </c>
      <c r="I153" t="n">
        <v>0</v>
      </c>
      <c r="J153" t="n">
        <v>0</v>
      </c>
      <c r="K153" t="n">
        <v>0</v>
      </c>
      <c r="L153" t="n">
        <v>0</v>
      </c>
      <c r="M153" t="n">
        <v>0</v>
      </c>
      <c r="N153" t="n">
        <v>0</v>
      </c>
      <c r="O153" t="n">
        <v>0</v>
      </c>
      <c r="P153" t="n">
        <v>0</v>
      </c>
      <c r="Q153" t="n">
        <v>0</v>
      </c>
      <c r="R153" s="2" t="inlineStr"/>
    </row>
    <row r="154" ht="15" customHeight="1">
      <c r="A154" t="inlineStr">
        <is>
          <t>A 56810-2024</t>
        </is>
      </c>
      <c r="B154" s="1" t="n">
        <v>45628</v>
      </c>
      <c r="C154" s="1" t="n">
        <v>45892</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56811-2024</t>
        </is>
      </c>
      <c r="B155" s="1" t="n">
        <v>45628</v>
      </c>
      <c r="C155" s="1" t="n">
        <v>45892</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46454-2024</t>
        </is>
      </c>
      <c r="B156" s="1" t="n">
        <v>45582</v>
      </c>
      <c r="C156" s="1" t="n">
        <v>45892</v>
      </c>
      <c r="D156" t="inlineStr">
        <is>
          <t>DALARNAS LÄN</t>
        </is>
      </c>
      <c r="E156" t="inlineStr">
        <is>
          <t>ORSA</t>
        </is>
      </c>
      <c r="F156" t="inlineStr">
        <is>
          <t>Övriga statliga verk och myndigheter</t>
        </is>
      </c>
      <c r="G156" t="n">
        <v>1</v>
      </c>
      <c r="H156" t="n">
        <v>0</v>
      </c>
      <c r="I156" t="n">
        <v>0</v>
      </c>
      <c r="J156" t="n">
        <v>0</v>
      </c>
      <c r="K156" t="n">
        <v>0</v>
      </c>
      <c r="L156" t="n">
        <v>0</v>
      </c>
      <c r="M156" t="n">
        <v>0</v>
      </c>
      <c r="N156" t="n">
        <v>0</v>
      </c>
      <c r="O156" t="n">
        <v>0</v>
      </c>
      <c r="P156" t="n">
        <v>0</v>
      </c>
      <c r="Q156" t="n">
        <v>0</v>
      </c>
      <c r="R156" s="2" t="inlineStr"/>
    </row>
    <row r="157" ht="15" customHeight="1">
      <c r="A157" t="inlineStr">
        <is>
          <t>A 56803-2024</t>
        </is>
      </c>
      <c r="B157" s="1" t="n">
        <v>45628.47212962963</v>
      </c>
      <c r="C157" s="1" t="n">
        <v>45892</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18009-2023</t>
        </is>
      </c>
      <c r="B158" s="1" t="n">
        <v>45040.56190972222</v>
      </c>
      <c r="C158" s="1" t="n">
        <v>45892</v>
      </c>
      <c r="D158" t="inlineStr">
        <is>
          <t>DALARNAS LÄN</t>
        </is>
      </c>
      <c r="E158" t="inlineStr">
        <is>
          <t>ORSA</t>
        </is>
      </c>
      <c r="G158" t="n">
        <v>5.8</v>
      </c>
      <c r="H158" t="n">
        <v>0</v>
      </c>
      <c r="I158" t="n">
        <v>0</v>
      </c>
      <c r="J158" t="n">
        <v>0</v>
      </c>
      <c r="K158" t="n">
        <v>0</v>
      </c>
      <c r="L158" t="n">
        <v>0</v>
      </c>
      <c r="M158" t="n">
        <v>0</v>
      </c>
      <c r="N158" t="n">
        <v>0</v>
      </c>
      <c r="O158" t="n">
        <v>0</v>
      </c>
      <c r="P158" t="n">
        <v>0</v>
      </c>
      <c r="Q158" t="n">
        <v>0</v>
      </c>
      <c r="R158" s="2" t="inlineStr"/>
    </row>
    <row r="159" ht="15" customHeight="1">
      <c r="A159" t="inlineStr">
        <is>
          <t>A 9836-2022</t>
        </is>
      </c>
      <c r="B159" s="1" t="n">
        <v>44620</v>
      </c>
      <c r="C159" s="1" t="n">
        <v>45892</v>
      </c>
      <c r="D159" t="inlineStr">
        <is>
          <t>DALARNAS LÄN</t>
        </is>
      </c>
      <c r="E159" t="inlineStr">
        <is>
          <t>ORSA</t>
        </is>
      </c>
      <c r="G159" t="n">
        <v>1</v>
      </c>
      <c r="H159" t="n">
        <v>0</v>
      </c>
      <c r="I159" t="n">
        <v>0</v>
      </c>
      <c r="J159" t="n">
        <v>0</v>
      </c>
      <c r="K159" t="n">
        <v>0</v>
      </c>
      <c r="L159" t="n">
        <v>0</v>
      </c>
      <c r="M159" t="n">
        <v>0</v>
      </c>
      <c r="N159" t="n">
        <v>0</v>
      </c>
      <c r="O159" t="n">
        <v>0</v>
      </c>
      <c r="P159" t="n">
        <v>0</v>
      </c>
      <c r="Q159" t="n">
        <v>0</v>
      </c>
      <c r="R159" s="2" t="inlineStr"/>
    </row>
    <row r="160" ht="15" customHeight="1">
      <c r="A160" t="inlineStr">
        <is>
          <t>A 1624-2024</t>
        </is>
      </c>
      <c r="B160" s="1" t="n">
        <v>45306</v>
      </c>
      <c r="C160" s="1" t="n">
        <v>45892</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47134-2024</t>
        </is>
      </c>
      <c r="B161" s="1" t="n">
        <v>45586.58081018519</v>
      </c>
      <c r="C161" s="1" t="n">
        <v>45892</v>
      </c>
      <c r="D161" t="inlineStr">
        <is>
          <t>DALARNAS LÄN</t>
        </is>
      </c>
      <c r="E161" t="inlineStr">
        <is>
          <t>ORSA</t>
        </is>
      </c>
      <c r="G161" t="n">
        <v>0.3</v>
      </c>
      <c r="H161" t="n">
        <v>0</v>
      </c>
      <c r="I161" t="n">
        <v>0</v>
      </c>
      <c r="J161" t="n">
        <v>0</v>
      </c>
      <c r="K161" t="n">
        <v>0</v>
      </c>
      <c r="L161" t="n">
        <v>0</v>
      </c>
      <c r="M161" t="n">
        <v>0</v>
      </c>
      <c r="N161" t="n">
        <v>0</v>
      </c>
      <c r="O161" t="n">
        <v>0</v>
      </c>
      <c r="P161" t="n">
        <v>0</v>
      </c>
      <c r="Q161" t="n">
        <v>0</v>
      </c>
      <c r="R161" s="2" t="inlineStr"/>
    </row>
    <row r="162" ht="15" customHeight="1">
      <c r="A162" t="inlineStr">
        <is>
          <t>A 5921-2025</t>
        </is>
      </c>
      <c r="B162" s="1" t="n">
        <v>45695</v>
      </c>
      <c r="C162" s="1" t="n">
        <v>45892</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41295-2021</t>
        </is>
      </c>
      <c r="B163" s="1" t="n">
        <v>44424</v>
      </c>
      <c r="C163" s="1" t="n">
        <v>45892</v>
      </c>
      <c r="D163" t="inlineStr">
        <is>
          <t>DALARNAS LÄN</t>
        </is>
      </c>
      <c r="E163" t="inlineStr">
        <is>
          <t>ORSA</t>
        </is>
      </c>
      <c r="G163" t="n">
        <v>3.1</v>
      </c>
      <c r="H163" t="n">
        <v>0</v>
      </c>
      <c r="I163" t="n">
        <v>0</v>
      </c>
      <c r="J163" t="n">
        <v>0</v>
      </c>
      <c r="K163" t="n">
        <v>0</v>
      </c>
      <c r="L163" t="n">
        <v>0</v>
      </c>
      <c r="M163" t="n">
        <v>0</v>
      </c>
      <c r="N163" t="n">
        <v>0</v>
      </c>
      <c r="O163" t="n">
        <v>0</v>
      </c>
      <c r="P163" t="n">
        <v>0</v>
      </c>
      <c r="Q163" t="n">
        <v>0</v>
      </c>
      <c r="R163" s="2" t="inlineStr"/>
    </row>
    <row r="164" ht="15" customHeight="1">
      <c r="A164" t="inlineStr">
        <is>
          <t>A 31031-2023</t>
        </is>
      </c>
      <c r="B164" s="1" t="n">
        <v>45113</v>
      </c>
      <c r="C164" s="1" t="n">
        <v>45892</v>
      </c>
      <c r="D164" t="inlineStr">
        <is>
          <t>DALARNAS LÄN</t>
        </is>
      </c>
      <c r="E164" t="inlineStr">
        <is>
          <t>ORSA</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890-2024</t>
        </is>
      </c>
      <c r="B165" s="1" t="n">
        <v>45301.40552083333</v>
      </c>
      <c r="C165" s="1" t="n">
        <v>45892</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27542-2021</t>
        </is>
      </c>
      <c r="B166" s="1" t="n">
        <v>44351</v>
      </c>
      <c r="C166" s="1" t="n">
        <v>45892</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42238-2023</t>
        </is>
      </c>
      <c r="B167" s="1" t="n">
        <v>45180.34207175926</v>
      </c>
      <c r="C167" s="1" t="n">
        <v>45892</v>
      </c>
      <c r="D167" t="inlineStr">
        <is>
          <t>DALARNAS LÄN</t>
        </is>
      </c>
      <c r="E167" t="inlineStr">
        <is>
          <t>ORSA</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13575-2025</t>
        </is>
      </c>
      <c r="B168" s="1" t="n">
        <v>45736.57871527778</v>
      </c>
      <c r="C168" s="1" t="n">
        <v>45892</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15870-2025</t>
        </is>
      </c>
      <c r="B169" s="1" t="n">
        <v>45749.37135416667</v>
      </c>
      <c r="C169" s="1" t="n">
        <v>45892</v>
      </c>
      <c r="D169" t="inlineStr">
        <is>
          <t>DALARNAS LÄN</t>
        </is>
      </c>
      <c r="E169" t="inlineStr">
        <is>
          <t>ORSA</t>
        </is>
      </c>
      <c r="F169" t="inlineStr">
        <is>
          <t>Bergvik skog öst AB</t>
        </is>
      </c>
      <c r="G169" t="n">
        <v>2.7</v>
      </c>
      <c r="H169" t="n">
        <v>0</v>
      </c>
      <c r="I169" t="n">
        <v>0</v>
      </c>
      <c r="J169" t="n">
        <v>0</v>
      </c>
      <c r="K169" t="n">
        <v>0</v>
      </c>
      <c r="L169" t="n">
        <v>0</v>
      </c>
      <c r="M169" t="n">
        <v>0</v>
      </c>
      <c r="N169" t="n">
        <v>0</v>
      </c>
      <c r="O169" t="n">
        <v>0</v>
      </c>
      <c r="P169" t="n">
        <v>0</v>
      </c>
      <c r="Q169" t="n">
        <v>0</v>
      </c>
      <c r="R169" s="2" t="inlineStr"/>
    </row>
    <row r="170" ht="15" customHeight="1">
      <c r="A170" t="inlineStr">
        <is>
          <t>A 10832-2022</t>
        </is>
      </c>
      <c r="B170" s="1" t="n">
        <v>44627</v>
      </c>
      <c r="C170" s="1" t="n">
        <v>45892</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45892</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17500-2025</t>
        </is>
      </c>
      <c r="B172" s="1" t="n">
        <v>45757.54954861111</v>
      </c>
      <c r="C172" s="1" t="n">
        <v>45892</v>
      </c>
      <c r="D172" t="inlineStr">
        <is>
          <t>DALARNAS LÄN</t>
        </is>
      </c>
      <c r="E172" t="inlineStr">
        <is>
          <t>ORSA</t>
        </is>
      </c>
      <c r="G172" t="n">
        <v>1.9</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45537.65519675926</v>
      </c>
      <c r="C173" s="1" t="n">
        <v>45892</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55701-2023</t>
        </is>
      </c>
      <c r="B174" s="1" t="n">
        <v>45239.37113425926</v>
      </c>
      <c r="C174" s="1" t="n">
        <v>45892</v>
      </c>
      <c r="D174" t="inlineStr">
        <is>
          <t>DALARNAS LÄN</t>
        </is>
      </c>
      <c r="E174" t="inlineStr">
        <is>
          <t>ORSA</t>
        </is>
      </c>
      <c r="G174" t="n">
        <v>1.7</v>
      </c>
      <c r="H174" t="n">
        <v>0</v>
      </c>
      <c r="I174" t="n">
        <v>0</v>
      </c>
      <c r="J174" t="n">
        <v>0</v>
      </c>
      <c r="K174" t="n">
        <v>0</v>
      </c>
      <c r="L174" t="n">
        <v>0</v>
      </c>
      <c r="M174" t="n">
        <v>0</v>
      </c>
      <c r="N174" t="n">
        <v>0</v>
      </c>
      <c r="O174" t="n">
        <v>0</v>
      </c>
      <c r="P174" t="n">
        <v>0</v>
      </c>
      <c r="Q174" t="n">
        <v>0</v>
      </c>
      <c r="R174" s="2" t="inlineStr"/>
    </row>
    <row r="175" ht="15" customHeight="1">
      <c r="A175" t="inlineStr">
        <is>
          <t>A 63543-2020</t>
        </is>
      </c>
      <c r="B175" s="1" t="n">
        <v>44165</v>
      </c>
      <c r="C175" s="1" t="n">
        <v>45892</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48990-2023</t>
        </is>
      </c>
      <c r="B176" s="1" t="n">
        <v>45209.64740740741</v>
      </c>
      <c r="C176" s="1" t="n">
        <v>45892</v>
      </c>
      <c r="D176" t="inlineStr">
        <is>
          <t>DALARNAS LÄN</t>
        </is>
      </c>
      <c r="E176" t="inlineStr">
        <is>
          <t>ORSA</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45892</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19108-2025</t>
        </is>
      </c>
      <c r="B178" s="1" t="n">
        <v>45768</v>
      </c>
      <c r="C178" s="1" t="n">
        <v>45892</v>
      </c>
      <c r="D178" t="inlineStr">
        <is>
          <t>DALARNAS LÄN</t>
        </is>
      </c>
      <c r="E178" t="inlineStr">
        <is>
          <t>ORSA</t>
        </is>
      </c>
      <c r="F178" t="inlineStr">
        <is>
          <t>Bergvik skog väst AB</t>
        </is>
      </c>
      <c r="G178" t="n">
        <v>14.3</v>
      </c>
      <c r="H178" t="n">
        <v>0</v>
      </c>
      <c r="I178" t="n">
        <v>0</v>
      </c>
      <c r="J178" t="n">
        <v>0</v>
      </c>
      <c r="K178" t="n">
        <v>0</v>
      </c>
      <c r="L178" t="n">
        <v>0</v>
      </c>
      <c r="M178" t="n">
        <v>0</v>
      </c>
      <c r="N178" t="n">
        <v>0</v>
      </c>
      <c r="O178" t="n">
        <v>0</v>
      </c>
      <c r="P178" t="n">
        <v>0</v>
      </c>
      <c r="Q178" t="n">
        <v>0</v>
      </c>
      <c r="R178" s="2" t="inlineStr"/>
    </row>
    <row r="179" ht="15" customHeight="1">
      <c r="A179" t="inlineStr">
        <is>
          <t>A 52649-2024</t>
        </is>
      </c>
      <c r="B179" s="1" t="n">
        <v>45610.3468287037</v>
      </c>
      <c r="C179" s="1" t="n">
        <v>45892</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58853-2022</t>
        </is>
      </c>
      <c r="B180" s="1" t="n">
        <v>44903</v>
      </c>
      <c r="C180" s="1" t="n">
        <v>45892</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20808-2025</t>
        </is>
      </c>
      <c r="B181" s="1" t="n">
        <v>45776</v>
      </c>
      <c r="C181" s="1" t="n">
        <v>45892</v>
      </c>
      <c r="D181" t="inlineStr">
        <is>
          <t>DALARNAS LÄN</t>
        </is>
      </c>
      <c r="E181" t="inlineStr">
        <is>
          <t>ORSA</t>
        </is>
      </c>
      <c r="F181" t="inlineStr">
        <is>
          <t>Bergvik skog väst AB</t>
        </is>
      </c>
      <c r="G181" t="n">
        <v>14.3</v>
      </c>
      <c r="H181" t="n">
        <v>0</v>
      </c>
      <c r="I181" t="n">
        <v>0</v>
      </c>
      <c r="J181" t="n">
        <v>0</v>
      </c>
      <c r="K181" t="n">
        <v>0</v>
      </c>
      <c r="L181" t="n">
        <v>0</v>
      </c>
      <c r="M181" t="n">
        <v>0</v>
      </c>
      <c r="N181" t="n">
        <v>0</v>
      </c>
      <c r="O181" t="n">
        <v>0</v>
      </c>
      <c r="P181" t="n">
        <v>0</v>
      </c>
      <c r="Q181" t="n">
        <v>0</v>
      </c>
      <c r="R181" s="2" t="inlineStr"/>
    </row>
    <row r="182" ht="15" customHeight="1">
      <c r="A182" t="inlineStr">
        <is>
          <t>A 30291-2024</t>
        </is>
      </c>
      <c r="B182" s="1" t="n">
        <v>45490.64978009259</v>
      </c>
      <c r="C182" s="1" t="n">
        <v>45892</v>
      </c>
      <c r="D182" t="inlineStr">
        <is>
          <t>DALARNAS LÄN</t>
        </is>
      </c>
      <c r="E182" t="inlineStr">
        <is>
          <t>ORSA</t>
        </is>
      </c>
      <c r="F182" t="inlineStr">
        <is>
          <t>Bergvik skog öst AB</t>
        </is>
      </c>
      <c r="G182" t="n">
        <v>7.5</v>
      </c>
      <c r="H182" t="n">
        <v>0</v>
      </c>
      <c r="I182" t="n">
        <v>0</v>
      </c>
      <c r="J182" t="n">
        <v>0</v>
      </c>
      <c r="K182" t="n">
        <v>0</v>
      </c>
      <c r="L182" t="n">
        <v>0</v>
      </c>
      <c r="M182" t="n">
        <v>0</v>
      </c>
      <c r="N182" t="n">
        <v>0</v>
      </c>
      <c r="O182" t="n">
        <v>0</v>
      </c>
      <c r="P182" t="n">
        <v>0</v>
      </c>
      <c r="Q182" t="n">
        <v>0</v>
      </c>
      <c r="R182" s="2" t="inlineStr"/>
    </row>
    <row r="183" ht="15" customHeight="1">
      <c r="A183" t="inlineStr">
        <is>
          <t>A 8430-2024</t>
        </is>
      </c>
      <c r="B183" s="1" t="n">
        <v>45353.41157407407</v>
      </c>
      <c r="C183" s="1" t="n">
        <v>45892</v>
      </c>
      <c r="D183" t="inlineStr">
        <is>
          <t>DALARNAS LÄN</t>
        </is>
      </c>
      <c r="E183" t="inlineStr">
        <is>
          <t>ORSA</t>
        </is>
      </c>
      <c r="G183" t="n">
        <v>14.4</v>
      </c>
      <c r="H183" t="n">
        <v>0</v>
      </c>
      <c r="I183" t="n">
        <v>0</v>
      </c>
      <c r="J183" t="n">
        <v>0</v>
      </c>
      <c r="K183" t="n">
        <v>0</v>
      </c>
      <c r="L183" t="n">
        <v>0</v>
      </c>
      <c r="M183" t="n">
        <v>0</v>
      </c>
      <c r="N183" t="n">
        <v>0</v>
      </c>
      <c r="O183" t="n">
        <v>0</v>
      </c>
      <c r="P183" t="n">
        <v>0</v>
      </c>
      <c r="Q183" t="n">
        <v>0</v>
      </c>
      <c r="R183" s="2" t="inlineStr"/>
    </row>
    <row r="184" ht="15" customHeight="1">
      <c r="A184" t="inlineStr">
        <is>
          <t>A 10359-2023</t>
        </is>
      </c>
      <c r="B184" s="1" t="n">
        <v>44987.37292824074</v>
      </c>
      <c r="C184" s="1" t="n">
        <v>45892</v>
      </c>
      <c r="D184" t="inlineStr">
        <is>
          <t>DALARNAS LÄN</t>
        </is>
      </c>
      <c r="E184" t="inlineStr">
        <is>
          <t>ORSA</t>
        </is>
      </c>
      <c r="G184" t="n">
        <v>2.5</v>
      </c>
      <c r="H184" t="n">
        <v>0</v>
      </c>
      <c r="I184" t="n">
        <v>0</v>
      </c>
      <c r="J184" t="n">
        <v>0</v>
      </c>
      <c r="K184" t="n">
        <v>0</v>
      </c>
      <c r="L184" t="n">
        <v>0</v>
      </c>
      <c r="M184" t="n">
        <v>0</v>
      </c>
      <c r="N184" t="n">
        <v>0</v>
      </c>
      <c r="O184" t="n">
        <v>0</v>
      </c>
      <c r="P184" t="n">
        <v>0</v>
      </c>
      <c r="Q184" t="n">
        <v>0</v>
      </c>
      <c r="R184" s="2" t="inlineStr"/>
    </row>
    <row r="185" ht="15" customHeight="1">
      <c r="A185" t="inlineStr">
        <is>
          <t>A 21747-2025</t>
        </is>
      </c>
      <c r="B185" s="1" t="n">
        <v>45783.60923611111</v>
      </c>
      <c r="C185" s="1" t="n">
        <v>45892</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21376-2025</t>
        </is>
      </c>
      <c r="B186" s="1" t="n">
        <v>45782.45069444444</v>
      </c>
      <c r="C186" s="1" t="n">
        <v>45892</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21335-2025</t>
        </is>
      </c>
      <c r="B187" s="1" t="n">
        <v>45782.37519675926</v>
      </c>
      <c r="C187" s="1" t="n">
        <v>45892</v>
      </c>
      <c r="D187" t="inlineStr">
        <is>
          <t>DALARNAS LÄN</t>
        </is>
      </c>
      <c r="E187" t="inlineStr">
        <is>
          <t>ORSA</t>
        </is>
      </c>
      <c r="F187" t="inlineStr">
        <is>
          <t>Bergvik skog väst AB</t>
        </is>
      </c>
      <c r="G187" t="n">
        <v>14.3</v>
      </c>
      <c r="H187" t="n">
        <v>0</v>
      </c>
      <c r="I187" t="n">
        <v>0</v>
      </c>
      <c r="J187" t="n">
        <v>0</v>
      </c>
      <c r="K187" t="n">
        <v>0</v>
      </c>
      <c r="L187" t="n">
        <v>0</v>
      </c>
      <c r="M187" t="n">
        <v>0</v>
      </c>
      <c r="N187" t="n">
        <v>0</v>
      </c>
      <c r="O187" t="n">
        <v>0</v>
      </c>
      <c r="P187" t="n">
        <v>0</v>
      </c>
      <c r="Q187" t="n">
        <v>0</v>
      </c>
      <c r="R187" s="2" t="inlineStr"/>
    </row>
    <row r="188" ht="15" customHeight="1">
      <c r="A188" t="inlineStr">
        <is>
          <t>A 3951-2023</t>
        </is>
      </c>
      <c r="B188" s="1" t="n">
        <v>44952.38577546296</v>
      </c>
      <c r="C188" s="1" t="n">
        <v>45892</v>
      </c>
      <c r="D188" t="inlineStr">
        <is>
          <t>DALARNAS LÄN</t>
        </is>
      </c>
      <c r="E188" t="inlineStr">
        <is>
          <t>ORSA</t>
        </is>
      </c>
      <c r="G188" t="n">
        <v>0.8</v>
      </c>
      <c r="H188" t="n">
        <v>0</v>
      </c>
      <c r="I188" t="n">
        <v>0</v>
      </c>
      <c r="J188" t="n">
        <v>0</v>
      </c>
      <c r="K188" t="n">
        <v>0</v>
      </c>
      <c r="L188" t="n">
        <v>0</v>
      </c>
      <c r="M188" t="n">
        <v>0</v>
      </c>
      <c r="N188" t="n">
        <v>0</v>
      </c>
      <c r="O188" t="n">
        <v>0</v>
      </c>
      <c r="P188" t="n">
        <v>0</v>
      </c>
      <c r="Q188" t="n">
        <v>0</v>
      </c>
      <c r="R188" s="2" t="inlineStr"/>
    </row>
    <row r="189" ht="15" customHeight="1">
      <c r="A189" t="inlineStr">
        <is>
          <t>A 10004-2023</t>
        </is>
      </c>
      <c r="B189" s="1" t="n">
        <v>44985.60604166667</v>
      </c>
      <c r="C189" s="1" t="n">
        <v>45892</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879-2024</t>
        </is>
      </c>
      <c r="B190" s="1" t="n">
        <v>45301.36821759259</v>
      </c>
      <c r="C190" s="1" t="n">
        <v>45892</v>
      </c>
      <c r="D190" t="inlineStr">
        <is>
          <t>DALARNAS LÄN</t>
        </is>
      </c>
      <c r="E190" t="inlineStr">
        <is>
          <t>ORSA</t>
        </is>
      </c>
      <c r="G190" t="n">
        <v>2.1</v>
      </c>
      <c r="H190" t="n">
        <v>0</v>
      </c>
      <c r="I190" t="n">
        <v>0</v>
      </c>
      <c r="J190" t="n">
        <v>0</v>
      </c>
      <c r="K190" t="n">
        <v>0</v>
      </c>
      <c r="L190" t="n">
        <v>0</v>
      </c>
      <c r="M190" t="n">
        <v>0</v>
      </c>
      <c r="N190" t="n">
        <v>0</v>
      </c>
      <c r="O190" t="n">
        <v>0</v>
      </c>
      <c r="P190" t="n">
        <v>0</v>
      </c>
      <c r="Q190" t="n">
        <v>0</v>
      </c>
      <c r="R190" s="2" t="inlineStr"/>
    </row>
    <row r="191" ht="15" customHeight="1">
      <c r="A191" t="inlineStr">
        <is>
          <t>A 41835-2024</t>
        </is>
      </c>
      <c r="B191" s="1" t="n">
        <v>45561.40888888889</v>
      </c>
      <c r="C191" s="1" t="n">
        <v>45892</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22172-2025</t>
        </is>
      </c>
      <c r="B192" s="1" t="n">
        <v>45785.6050925926</v>
      </c>
      <c r="C192" s="1" t="n">
        <v>45892</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4566-2025</t>
        </is>
      </c>
      <c r="B193" s="1" t="n">
        <v>45687.46100694445</v>
      </c>
      <c r="C193" s="1" t="n">
        <v>45892</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57533-2022</t>
        </is>
      </c>
      <c r="B194" s="1" t="n">
        <v>44896.68393518519</v>
      </c>
      <c r="C194" s="1" t="n">
        <v>45892</v>
      </c>
      <c r="D194" t="inlineStr">
        <is>
          <t>DALARNAS LÄN</t>
        </is>
      </c>
      <c r="E194" t="inlineStr">
        <is>
          <t>ORSA</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1304-2024</t>
        </is>
      </c>
      <c r="B195" s="1" t="n">
        <v>45303</v>
      </c>
      <c r="C195" s="1" t="n">
        <v>45892</v>
      </c>
      <c r="D195" t="inlineStr">
        <is>
          <t>DALARNAS LÄN</t>
        </is>
      </c>
      <c r="E195" t="inlineStr">
        <is>
          <t>ORSA</t>
        </is>
      </c>
      <c r="G195" t="n">
        <v>3.8</v>
      </c>
      <c r="H195" t="n">
        <v>0</v>
      </c>
      <c r="I195" t="n">
        <v>0</v>
      </c>
      <c r="J195" t="n">
        <v>0</v>
      </c>
      <c r="K195" t="n">
        <v>0</v>
      </c>
      <c r="L195" t="n">
        <v>0</v>
      </c>
      <c r="M195" t="n">
        <v>0</v>
      </c>
      <c r="N195" t="n">
        <v>0</v>
      </c>
      <c r="O195" t="n">
        <v>0</v>
      </c>
      <c r="P195" t="n">
        <v>0</v>
      </c>
      <c r="Q195" t="n">
        <v>0</v>
      </c>
      <c r="R195" s="2" t="inlineStr"/>
    </row>
    <row r="196" ht="15" customHeight="1">
      <c r="A196" t="inlineStr">
        <is>
          <t>A 29976-2025</t>
        </is>
      </c>
      <c r="B196" s="1" t="n">
        <v>45826.49146990741</v>
      </c>
      <c r="C196" s="1" t="n">
        <v>45892</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29984-2025</t>
        </is>
      </c>
      <c r="B197" s="1" t="n">
        <v>45826.49581018519</v>
      </c>
      <c r="C197" s="1" t="n">
        <v>45892</v>
      </c>
      <c r="D197" t="inlineStr">
        <is>
          <t>DALARNAS LÄN</t>
        </is>
      </c>
      <c r="E197" t="inlineStr">
        <is>
          <t>ORSA</t>
        </is>
      </c>
      <c r="G197" t="n">
        <v>0.7</v>
      </c>
      <c r="H197" t="n">
        <v>0</v>
      </c>
      <c r="I197" t="n">
        <v>0</v>
      </c>
      <c r="J197" t="n">
        <v>0</v>
      </c>
      <c r="K197" t="n">
        <v>0</v>
      </c>
      <c r="L197" t="n">
        <v>0</v>
      </c>
      <c r="M197" t="n">
        <v>0</v>
      </c>
      <c r="N197" t="n">
        <v>0</v>
      </c>
      <c r="O197" t="n">
        <v>0</v>
      </c>
      <c r="P197" t="n">
        <v>0</v>
      </c>
      <c r="Q197" t="n">
        <v>0</v>
      </c>
      <c r="R197" s="2" t="inlineStr"/>
    </row>
    <row r="198" ht="15" customHeight="1">
      <c r="A198" t="inlineStr">
        <is>
          <t>A 51289-2023</t>
        </is>
      </c>
      <c r="B198" s="1" t="n">
        <v>45219.54077546296</v>
      </c>
      <c r="C198" s="1" t="n">
        <v>45892</v>
      </c>
      <c r="D198" t="inlineStr">
        <is>
          <t>DALARNAS LÄN</t>
        </is>
      </c>
      <c r="E198" t="inlineStr">
        <is>
          <t>ORSA</t>
        </is>
      </c>
      <c r="G198" t="n">
        <v>1.5</v>
      </c>
      <c r="H198" t="n">
        <v>0</v>
      </c>
      <c r="I198" t="n">
        <v>0</v>
      </c>
      <c r="J198" t="n">
        <v>0</v>
      </c>
      <c r="K198" t="n">
        <v>0</v>
      </c>
      <c r="L198" t="n">
        <v>0</v>
      </c>
      <c r="M198" t="n">
        <v>0</v>
      </c>
      <c r="N198" t="n">
        <v>0</v>
      </c>
      <c r="O198" t="n">
        <v>0</v>
      </c>
      <c r="P198" t="n">
        <v>0</v>
      </c>
      <c r="Q198" t="n">
        <v>0</v>
      </c>
      <c r="R198" s="2" t="inlineStr"/>
    </row>
    <row r="199" ht="15" customHeight="1">
      <c r="A199" t="inlineStr">
        <is>
          <t>A 47778-2021</t>
        </is>
      </c>
      <c r="B199" s="1" t="n">
        <v>44448</v>
      </c>
      <c r="C199" s="1" t="n">
        <v>45892</v>
      </c>
      <c r="D199" t="inlineStr">
        <is>
          <t>DALARNAS LÄN</t>
        </is>
      </c>
      <c r="E199" t="inlineStr">
        <is>
          <t>ORSA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21949-2025</t>
        </is>
      </c>
      <c r="B200" s="1" t="n">
        <v>45784.59369212963</v>
      </c>
      <c r="C200" s="1" t="n">
        <v>45892</v>
      </c>
      <c r="D200" t="inlineStr">
        <is>
          <t>DALARNAS LÄN</t>
        </is>
      </c>
      <c r="E200" t="inlineStr">
        <is>
          <t>ORSA</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21165-2024</t>
        </is>
      </c>
      <c r="B201" s="1" t="n">
        <v>45440.45225694445</v>
      </c>
      <c r="C201" s="1" t="n">
        <v>45892</v>
      </c>
      <c r="D201" t="inlineStr">
        <is>
          <t>DALARNAS LÄN</t>
        </is>
      </c>
      <c r="E201" t="inlineStr">
        <is>
          <t>ORSA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23339-2024</t>
        </is>
      </c>
      <c r="B202" s="1" t="n">
        <v>45453.48988425926</v>
      </c>
      <c r="C202" s="1" t="n">
        <v>45892</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37647-2023</t>
        </is>
      </c>
      <c r="B203" s="1" t="n">
        <v>45159</v>
      </c>
      <c r="C203" s="1" t="n">
        <v>45892</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50714-2023</t>
        </is>
      </c>
      <c r="B204" s="1" t="n">
        <v>45217.56513888889</v>
      </c>
      <c r="C204" s="1" t="n">
        <v>45892</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22332-2025</t>
        </is>
      </c>
      <c r="B205" s="1" t="n">
        <v>45786.43436342593</v>
      </c>
      <c r="C205" s="1" t="n">
        <v>45892</v>
      </c>
      <c r="D205" t="inlineStr">
        <is>
          <t>DALARNAS LÄN</t>
        </is>
      </c>
      <c r="E205" t="inlineStr">
        <is>
          <t>ORSA</t>
        </is>
      </c>
      <c r="G205" t="n">
        <v>5.5</v>
      </c>
      <c r="H205" t="n">
        <v>0</v>
      </c>
      <c r="I205" t="n">
        <v>0</v>
      </c>
      <c r="J205" t="n">
        <v>0</v>
      </c>
      <c r="K205" t="n">
        <v>0</v>
      </c>
      <c r="L205" t="n">
        <v>0</v>
      </c>
      <c r="M205" t="n">
        <v>0</v>
      </c>
      <c r="N205" t="n">
        <v>0</v>
      </c>
      <c r="O205" t="n">
        <v>0</v>
      </c>
      <c r="P205" t="n">
        <v>0</v>
      </c>
      <c r="Q205" t="n">
        <v>0</v>
      </c>
      <c r="R205" s="2" t="inlineStr"/>
    </row>
    <row r="206" ht="15" customHeight="1">
      <c r="A206" t="inlineStr">
        <is>
          <t>A 15772-2025</t>
        </is>
      </c>
      <c r="B206" s="1" t="n">
        <v>45748.59069444444</v>
      </c>
      <c r="C206" s="1" t="n">
        <v>45892</v>
      </c>
      <c r="D206" t="inlineStr">
        <is>
          <t>DALARNAS LÄN</t>
        </is>
      </c>
      <c r="E206" t="inlineStr">
        <is>
          <t>ORSA</t>
        </is>
      </c>
      <c r="F206" t="inlineStr">
        <is>
          <t>Bergvik skog öst AB</t>
        </is>
      </c>
      <c r="G206" t="n">
        <v>3.8</v>
      </c>
      <c r="H206" t="n">
        <v>0</v>
      </c>
      <c r="I206" t="n">
        <v>0</v>
      </c>
      <c r="J206" t="n">
        <v>0</v>
      </c>
      <c r="K206" t="n">
        <v>0</v>
      </c>
      <c r="L206" t="n">
        <v>0</v>
      </c>
      <c r="M206" t="n">
        <v>0</v>
      </c>
      <c r="N206" t="n">
        <v>0</v>
      </c>
      <c r="O206" t="n">
        <v>0</v>
      </c>
      <c r="P206" t="n">
        <v>0</v>
      </c>
      <c r="Q206" t="n">
        <v>0</v>
      </c>
      <c r="R206" s="2" t="inlineStr"/>
    </row>
    <row r="207" ht="15" customHeight="1">
      <c r="A207" t="inlineStr">
        <is>
          <t>A 44904-2024</t>
        </is>
      </c>
      <c r="B207" s="1" t="n">
        <v>45575.38193287037</v>
      </c>
      <c r="C207" s="1" t="n">
        <v>45892</v>
      </c>
      <c r="D207" t="inlineStr">
        <is>
          <t>DALARNAS LÄN</t>
        </is>
      </c>
      <c r="E207" t="inlineStr">
        <is>
          <t>ORSA</t>
        </is>
      </c>
      <c r="F207" t="inlineStr">
        <is>
          <t>Bergvik skog öst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51305-2023</t>
        </is>
      </c>
      <c r="B208" s="1" t="n">
        <v>45219</v>
      </c>
      <c r="C208" s="1" t="n">
        <v>45892</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31026-2023</t>
        </is>
      </c>
      <c r="B209" s="1" t="n">
        <v>45113.5812962963</v>
      </c>
      <c r="C209" s="1" t="n">
        <v>45892</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22487-2025</t>
        </is>
      </c>
      <c r="B210" s="1" t="n">
        <v>45786.64663194444</v>
      </c>
      <c r="C210" s="1" t="n">
        <v>45892</v>
      </c>
      <c r="D210" t="inlineStr">
        <is>
          <t>DALARNAS LÄN</t>
        </is>
      </c>
      <c r="E210" t="inlineStr">
        <is>
          <t>ORSA</t>
        </is>
      </c>
      <c r="F210" t="inlineStr">
        <is>
          <t>Bergvik skog öst AB</t>
        </is>
      </c>
      <c r="G210" t="n">
        <v>17.8</v>
      </c>
      <c r="H210" t="n">
        <v>0</v>
      </c>
      <c r="I210" t="n">
        <v>0</v>
      </c>
      <c r="J210" t="n">
        <v>0</v>
      </c>
      <c r="K210" t="n">
        <v>0</v>
      </c>
      <c r="L210" t="n">
        <v>0</v>
      </c>
      <c r="M210" t="n">
        <v>0</v>
      </c>
      <c r="N210" t="n">
        <v>0</v>
      </c>
      <c r="O210" t="n">
        <v>0</v>
      </c>
      <c r="P210" t="n">
        <v>0</v>
      </c>
      <c r="Q210" t="n">
        <v>0</v>
      </c>
      <c r="R210" s="2" t="inlineStr"/>
    </row>
    <row r="211" ht="15" customHeight="1">
      <c r="A211" t="inlineStr">
        <is>
          <t>A 22491-2025</t>
        </is>
      </c>
      <c r="B211" s="1" t="n">
        <v>45786.65040509259</v>
      </c>
      <c r="C211" s="1" t="n">
        <v>45892</v>
      </c>
      <c r="D211" t="inlineStr">
        <is>
          <t>DALARNAS LÄN</t>
        </is>
      </c>
      <c r="E211" t="inlineStr">
        <is>
          <t>ORSA</t>
        </is>
      </c>
      <c r="F211" t="inlineStr">
        <is>
          <t>Bergvik skog öst AB</t>
        </is>
      </c>
      <c r="G211" t="n">
        <v>5.7</v>
      </c>
      <c r="H211" t="n">
        <v>0</v>
      </c>
      <c r="I211" t="n">
        <v>0</v>
      </c>
      <c r="J211" t="n">
        <v>0</v>
      </c>
      <c r="K211" t="n">
        <v>0</v>
      </c>
      <c r="L211" t="n">
        <v>0</v>
      </c>
      <c r="M211" t="n">
        <v>0</v>
      </c>
      <c r="N211" t="n">
        <v>0</v>
      </c>
      <c r="O211" t="n">
        <v>0</v>
      </c>
      <c r="P211" t="n">
        <v>0</v>
      </c>
      <c r="Q211" t="n">
        <v>0</v>
      </c>
      <c r="R211" s="2" t="inlineStr"/>
    </row>
    <row r="212" ht="15" customHeight="1">
      <c r="A212" t="inlineStr">
        <is>
          <t>A 55843-2023</t>
        </is>
      </c>
      <c r="B212" s="1" t="n">
        <v>45239</v>
      </c>
      <c r="C212" s="1" t="n">
        <v>45892</v>
      </c>
      <c r="D212" t="inlineStr">
        <is>
          <t>DALARNAS LÄN</t>
        </is>
      </c>
      <c r="E212" t="inlineStr">
        <is>
          <t>ORSA</t>
        </is>
      </c>
      <c r="G212" t="n">
        <v>2.4</v>
      </c>
      <c r="H212" t="n">
        <v>0</v>
      </c>
      <c r="I212" t="n">
        <v>0</v>
      </c>
      <c r="J212" t="n">
        <v>0</v>
      </c>
      <c r="K212" t="n">
        <v>0</v>
      </c>
      <c r="L212" t="n">
        <v>0</v>
      </c>
      <c r="M212" t="n">
        <v>0</v>
      </c>
      <c r="N212" t="n">
        <v>0</v>
      </c>
      <c r="O212" t="n">
        <v>0</v>
      </c>
      <c r="P212" t="n">
        <v>0</v>
      </c>
      <c r="Q212" t="n">
        <v>0</v>
      </c>
      <c r="R212" s="2" t="inlineStr"/>
    </row>
    <row r="213" ht="15" customHeight="1">
      <c r="A213" t="inlineStr">
        <is>
          <t>A 30458-2023</t>
        </is>
      </c>
      <c r="B213" s="1" t="n">
        <v>45111</v>
      </c>
      <c r="C213" s="1" t="n">
        <v>45892</v>
      </c>
      <c r="D213" t="inlineStr">
        <is>
          <t>DALARNAS LÄN</t>
        </is>
      </c>
      <c r="E213" t="inlineStr">
        <is>
          <t>ORSA</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14680-2023</t>
        </is>
      </c>
      <c r="B214" s="1" t="n">
        <v>45014.30054398148</v>
      </c>
      <c r="C214" s="1" t="n">
        <v>45892</v>
      </c>
      <c r="D214" t="inlineStr">
        <is>
          <t>DALARNAS LÄN</t>
        </is>
      </c>
      <c r="E214" t="inlineStr">
        <is>
          <t>ORSA</t>
        </is>
      </c>
      <c r="G214" t="n">
        <v>4.2</v>
      </c>
      <c r="H214" t="n">
        <v>0</v>
      </c>
      <c r="I214" t="n">
        <v>0</v>
      </c>
      <c r="J214" t="n">
        <v>0</v>
      </c>
      <c r="K214" t="n">
        <v>0</v>
      </c>
      <c r="L214" t="n">
        <v>0</v>
      </c>
      <c r="M214" t="n">
        <v>0</v>
      </c>
      <c r="N214" t="n">
        <v>0</v>
      </c>
      <c r="O214" t="n">
        <v>0</v>
      </c>
      <c r="P214" t="n">
        <v>0</v>
      </c>
      <c r="Q214" t="n">
        <v>0</v>
      </c>
      <c r="R214" s="2" t="inlineStr"/>
    </row>
    <row r="215" ht="15" customHeight="1">
      <c r="A215" t="inlineStr">
        <is>
          <t>A 4738-2025</t>
        </is>
      </c>
      <c r="B215" s="1" t="n">
        <v>45688</v>
      </c>
      <c r="C215" s="1" t="n">
        <v>45892</v>
      </c>
      <c r="D215" t="inlineStr">
        <is>
          <t>DALARNAS LÄN</t>
        </is>
      </c>
      <c r="E215" t="inlineStr">
        <is>
          <t>ORSA</t>
        </is>
      </c>
      <c r="G215" t="n">
        <v>3.7</v>
      </c>
      <c r="H215" t="n">
        <v>0</v>
      </c>
      <c r="I215" t="n">
        <v>0</v>
      </c>
      <c r="J215" t="n">
        <v>0</v>
      </c>
      <c r="K215" t="n">
        <v>0</v>
      </c>
      <c r="L215" t="n">
        <v>0</v>
      </c>
      <c r="M215" t="n">
        <v>0</v>
      </c>
      <c r="N215" t="n">
        <v>0</v>
      </c>
      <c r="O215" t="n">
        <v>0</v>
      </c>
      <c r="P215" t="n">
        <v>0</v>
      </c>
      <c r="Q215" t="n">
        <v>0</v>
      </c>
      <c r="R215" s="2" t="inlineStr"/>
    </row>
    <row r="216" ht="15" customHeight="1">
      <c r="A216" t="inlineStr">
        <is>
          <t>A 22482-2025</t>
        </is>
      </c>
      <c r="B216" s="1" t="n">
        <v>45786.63901620371</v>
      </c>
      <c r="C216" s="1" t="n">
        <v>45892</v>
      </c>
      <c r="D216" t="inlineStr">
        <is>
          <t>DALARNAS LÄN</t>
        </is>
      </c>
      <c r="E216" t="inlineStr">
        <is>
          <t>ORSA</t>
        </is>
      </c>
      <c r="F216" t="inlineStr">
        <is>
          <t>Bergvik skog öst AB</t>
        </is>
      </c>
      <c r="G216" t="n">
        <v>6.7</v>
      </c>
      <c r="H216" t="n">
        <v>0</v>
      </c>
      <c r="I216" t="n">
        <v>0</v>
      </c>
      <c r="J216" t="n">
        <v>0</v>
      </c>
      <c r="K216" t="n">
        <v>0</v>
      </c>
      <c r="L216" t="n">
        <v>0</v>
      </c>
      <c r="M216" t="n">
        <v>0</v>
      </c>
      <c r="N216" t="n">
        <v>0</v>
      </c>
      <c r="O216" t="n">
        <v>0</v>
      </c>
      <c r="P216" t="n">
        <v>0</v>
      </c>
      <c r="Q216" t="n">
        <v>0</v>
      </c>
      <c r="R216" s="2" t="inlineStr"/>
    </row>
    <row r="217" ht="15" customHeight="1">
      <c r="A217" t="inlineStr">
        <is>
          <t>A 2948-2025</t>
        </is>
      </c>
      <c r="B217" s="1" t="n">
        <v>45678.42868055555</v>
      </c>
      <c r="C217" s="1" t="n">
        <v>45892</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23056-2025</t>
        </is>
      </c>
      <c r="B218" s="1" t="n">
        <v>45790.73627314815</v>
      </c>
      <c r="C218" s="1" t="n">
        <v>45892</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17850-2025</t>
        </is>
      </c>
      <c r="B219" s="1" t="n">
        <v>45758.60162037037</v>
      </c>
      <c r="C219" s="1" t="n">
        <v>45892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23015-2025</t>
        </is>
      </c>
      <c r="B220" s="1" t="n">
        <v>45790.6377662037</v>
      </c>
      <c r="C220" s="1" t="n">
        <v>45892</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67834-2020</t>
        </is>
      </c>
      <c r="B221" s="1" t="n">
        <v>44182</v>
      </c>
      <c r="C221" s="1" t="n">
        <v>45892</v>
      </c>
      <c r="D221" t="inlineStr">
        <is>
          <t>DALARNAS LÄN</t>
        </is>
      </c>
      <c r="E221" t="inlineStr">
        <is>
          <t>ORSA</t>
        </is>
      </c>
      <c r="G221" t="n">
        <v>4</v>
      </c>
      <c r="H221" t="n">
        <v>0</v>
      </c>
      <c r="I221" t="n">
        <v>0</v>
      </c>
      <c r="J221" t="n">
        <v>0</v>
      </c>
      <c r="K221" t="n">
        <v>0</v>
      </c>
      <c r="L221" t="n">
        <v>0</v>
      </c>
      <c r="M221" t="n">
        <v>0</v>
      </c>
      <c r="N221" t="n">
        <v>0</v>
      </c>
      <c r="O221" t="n">
        <v>0</v>
      </c>
      <c r="P221" t="n">
        <v>0</v>
      </c>
      <c r="Q221" t="n">
        <v>0</v>
      </c>
      <c r="R221" s="2" t="inlineStr"/>
    </row>
    <row r="222" ht="15" customHeight="1">
      <c r="A222" t="inlineStr">
        <is>
          <t>A 58549-2023</t>
        </is>
      </c>
      <c r="B222" s="1" t="n">
        <v>45251.42627314815</v>
      </c>
      <c r="C222" s="1" t="n">
        <v>45892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23053-2025</t>
        </is>
      </c>
      <c r="B223" s="1" t="n">
        <v>45790.73072916667</v>
      </c>
      <c r="C223" s="1" t="n">
        <v>45892</v>
      </c>
      <c r="D223" t="inlineStr">
        <is>
          <t>DALARNAS LÄN</t>
        </is>
      </c>
      <c r="E223" t="inlineStr">
        <is>
          <t>ORSA</t>
        </is>
      </c>
      <c r="G223" t="n">
        <v>3.3</v>
      </c>
      <c r="H223" t="n">
        <v>0</v>
      </c>
      <c r="I223" t="n">
        <v>0</v>
      </c>
      <c r="J223" t="n">
        <v>0</v>
      </c>
      <c r="K223" t="n">
        <v>0</v>
      </c>
      <c r="L223" t="n">
        <v>0</v>
      </c>
      <c r="M223" t="n">
        <v>0</v>
      </c>
      <c r="N223" t="n">
        <v>0</v>
      </c>
      <c r="O223" t="n">
        <v>0</v>
      </c>
      <c r="P223" t="n">
        <v>0</v>
      </c>
      <c r="Q223" t="n">
        <v>0</v>
      </c>
      <c r="R223" s="2" t="inlineStr"/>
    </row>
    <row r="224" ht="15" customHeight="1">
      <c r="A224" t="inlineStr">
        <is>
          <t>A 62289-2023</t>
        </is>
      </c>
      <c r="B224" s="1" t="n">
        <v>45266</v>
      </c>
      <c r="C224" s="1" t="n">
        <v>45892</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23055-2025</t>
        </is>
      </c>
      <c r="B225" s="1" t="n">
        <v>45790.73469907408</v>
      </c>
      <c r="C225" s="1" t="n">
        <v>45892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23057-2025</t>
        </is>
      </c>
      <c r="B226" s="1" t="n">
        <v>45790.73820601852</v>
      </c>
      <c r="C226" s="1" t="n">
        <v>45892</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5302-2024</t>
        </is>
      </c>
      <c r="B227" s="1" t="n">
        <v>45331.38175925926</v>
      </c>
      <c r="C227" s="1" t="n">
        <v>45892</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23740-2025</t>
        </is>
      </c>
      <c r="B228" s="1" t="n">
        <v>45793.43210648148</v>
      </c>
      <c r="C228" s="1" t="n">
        <v>45892</v>
      </c>
      <c r="D228" t="inlineStr">
        <is>
          <t>DALARNAS LÄN</t>
        </is>
      </c>
      <c r="E228" t="inlineStr">
        <is>
          <t>ORSA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61698-2022</t>
        </is>
      </c>
      <c r="B229" s="1" t="n">
        <v>44917.40038194445</v>
      </c>
      <c r="C229" s="1" t="n">
        <v>45892</v>
      </c>
      <c r="D229" t="inlineStr">
        <is>
          <t>DALARNAS LÄN</t>
        </is>
      </c>
      <c r="E229" t="inlineStr">
        <is>
          <t>ORSA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61034-2024</t>
        </is>
      </c>
      <c r="B230" s="1" t="n">
        <v>45645.46608796297</v>
      </c>
      <c r="C230" s="1" t="n">
        <v>45892</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41291-2021</t>
        </is>
      </c>
      <c r="B231" s="1" t="n">
        <v>44424</v>
      </c>
      <c r="C231" s="1" t="n">
        <v>45892</v>
      </c>
      <c r="D231" t="inlineStr">
        <is>
          <t>DALARNAS LÄN</t>
        </is>
      </c>
      <c r="E231" t="inlineStr">
        <is>
          <t>ORSA</t>
        </is>
      </c>
      <c r="G231" t="n">
        <v>2</v>
      </c>
      <c r="H231" t="n">
        <v>0</v>
      </c>
      <c r="I231" t="n">
        <v>0</v>
      </c>
      <c r="J231" t="n">
        <v>0</v>
      </c>
      <c r="K231" t="n">
        <v>0</v>
      </c>
      <c r="L231" t="n">
        <v>0</v>
      </c>
      <c r="M231" t="n">
        <v>0</v>
      </c>
      <c r="N231" t="n">
        <v>0</v>
      </c>
      <c r="O231" t="n">
        <v>0</v>
      </c>
      <c r="P231" t="n">
        <v>0</v>
      </c>
      <c r="Q231" t="n">
        <v>0</v>
      </c>
      <c r="R231" s="2" t="inlineStr"/>
    </row>
    <row r="232" ht="15" customHeight="1">
      <c r="A232" t="inlineStr">
        <is>
          <t>A 21446-2024</t>
        </is>
      </c>
      <c r="B232" s="1" t="n">
        <v>45441.45840277777</v>
      </c>
      <c r="C232" s="1" t="n">
        <v>45892</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32125-2024</t>
        </is>
      </c>
      <c r="B233" s="1" t="n">
        <v>45511</v>
      </c>
      <c r="C233" s="1" t="n">
        <v>45892</v>
      </c>
      <c r="D233" t="inlineStr">
        <is>
          <t>DALARNAS LÄN</t>
        </is>
      </c>
      <c r="E233" t="inlineStr">
        <is>
          <t>ORSA</t>
        </is>
      </c>
      <c r="F233" t="inlineStr">
        <is>
          <t>Allmännings- och besparingsskogar</t>
        </is>
      </c>
      <c r="G233" t="n">
        <v>5.2</v>
      </c>
      <c r="H233" t="n">
        <v>0</v>
      </c>
      <c r="I233" t="n">
        <v>0</v>
      </c>
      <c r="J233" t="n">
        <v>0</v>
      </c>
      <c r="K233" t="n">
        <v>0</v>
      </c>
      <c r="L233" t="n">
        <v>0</v>
      </c>
      <c r="M233" t="n">
        <v>0</v>
      </c>
      <c r="N233" t="n">
        <v>0</v>
      </c>
      <c r="O233" t="n">
        <v>0</v>
      </c>
      <c r="P233" t="n">
        <v>0</v>
      </c>
      <c r="Q233" t="n">
        <v>0</v>
      </c>
      <c r="R233" s="2" t="inlineStr"/>
    </row>
    <row r="234" ht="15" customHeight="1">
      <c r="A234" t="inlineStr">
        <is>
          <t>A 23875-2025</t>
        </is>
      </c>
      <c r="B234" s="1" t="n">
        <v>45793.68313657407</v>
      </c>
      <c r="C234" s="1" t="n">
        <v>45892</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51563-2023</t>
        </is>
      </c>
      <c r="B235" s="1" t="n">
        <v>45222</v>
      </c>
      <c r="C235" s="1" t="n">
        <v>45892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5434-2025</t>
        </is>
      </c>
      <c r="B236" s="1" t="n">
        <v>45692</v>
      </c>
      <c r="C236" s="1" t="n">
        <v>45892</v>
      </c>
      <c r="D236" t="inlineStr">
        <is>
          <t>DALARNAS LÄN</t>
        </is>
      </c>
      <c r="E236" t="inlineStr">
        <is>
          <t>ORSA</t>
        </is>
      </c>
      <c r="G236" t="n">
        <v>6.9</v>
      </c>
      <c r="H236" t="n">
        <v>0</v>
      </c>
      <c r="I236" t="n">
        <v>0</v>
      </c>
      <c r="J236" t="n">
        <v>0</v>
      </c>
      <c r="K236" t="n">
        <v>0</v>
      </c>
      <c r="L236" t="n">
        <v>0</v>
      </c>
      <c r="M236" t="n">
        <v>0</v>
      </c>
      <c r="N236" t="n">
        <v>0</v>
      </c>
      <c r="O236" t="n">
        <v>0</v>
      </c>
      <c r="P236" t="n">
        <v>0</v>
      </c>
      <c r="Q236" t="n">
        <v>0</v>
      </c>
      <c r="R236" s="2" t="inlineStr"/>
    </row>
    <row r="237" ht="15" customHeight="1">
      <c r="A237" t="inlineStr">
        <is>
          <t>A 56975-2023</t>
        </is>
      </c>
      <c r="B237" s="1" t="n">
        <v>45244</v>
      </c>
      <c r="C237" s="1" t="n">
        <v>45892</v>
      </c>
      <c r="D237" t="inlineStr">
        <is>
          <t>DALARNAS LÄN</t>
        </is>
      </c>
      <c r="E237" t="inlineStr">
        <is>
          <t>ORSA</t>
        </is>
      </c>
      <c r="G237" t="n">
        <v>1.6</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45892</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61279-2023</t>
        </is>
      </c>
      <c r="B239" s="1" t="n">
        <v>45264.5270949074</v>
      </c>
      <c r="C239" s="1" t="n">
        <v>45892</v>
      </c>
      <c r="D239" t="inlineStr">
        <is>
          <t>DALARNAS LÄN</t>
        </is>
      </c>
      <c r="E239" t="inlineStr">
        <is>
          <t>ORSA</t>
        </is>
      </c>
      <c r="G239" t="n">
        <v>0.2</v>
      </c>
      <c r="H239" t="n">
        <v>0</v>
      </c>
      <c r="I239" t="n">
        <v>0</v>
      </c>
      <c r="J239" t="n">
        <v>0</v>
      </c>
      <c r="K239" t="n">
        <v>0</v>
      </c>
      <c r="L239" t="n">
        <v>0</v>
      </c>
      <c r="M239" t="n">
        <v>0</v>
      </c>
      <c r="N239" t="n">
        <v>0</v>
      </c>
      <c r="O239" t="n">
        <v>0</v>
      </c>
      <c r="P239" t="n">
        <v>0</v>
      </c>
      <c r="Q239" t="n">
        <v>0</v>
      </c>
      <c r="R239" s="2" t="inlineStr"/>
    </row>
    <row r="240" ht="15" customHeight="1">
      <c r="A240" t="inlineStr">
        <is>
          <t>A 1785-2024</t>
        </is>
      </c>
      <c r="B240" s="1" t="n">
        <v>45307</v>
      </c>
      <c r="C240" s="1" t="n">
        <v>45892</v>
      </c>
      <c r="D240" t="inlineStr">
        <is>
          <t>DALARNAS LÄN</t>
        </is>
      </c>
      <c r="E240" t="inlineStr">
        <is>
          <t>ORSA</t>
        </is>
      </c>
      <c r="G240" t="n">
        <v>42.8</v>
      </c>
      <c r="H240" t="n">
        <v>0</v>
      </c>
      <c r="I240" t="n">
        <v>0</v>
      </c>
      <c r="J240" t="n">
        <v>0</v>
      </c>
      <c r="K240" t="n">
        <v>0</v>
      </c>
      <c r="L240" t="n">
        <v>0</v>
      </c>
      <c r="M240" t="n">
        <v>0</v>
      </c>
      <c r="N240" t="n">
        <v>0</v>
      </c>
      <c r="O240" t="n">
        <v>0</v>
      </c>
      <c r="P240" t="n">
        <v>0</v>
      </c>
      <c r="Q240" t="n">
        <v>0</v>
      </c>
      <c r="R240" s="2" t="inlineStr"/>
    </row>
    <row r="241" ht="15" customHeight="1">
      <c r="A241" t="inlineStr">
        <is>
          <t>A 24248-2025</t>
        </is>
      </c>
      <c r="B241" s="1" t="n">
        <v>45797.40101851852</v>
      </c>
      <c r="C241" s="1" t="n">
        <v>45892</v>
      </c>
      <c r="D241" t="inlineStr">
        <is>
          <t>DALARNAS LÄN</t>
        </is>
      </c>
      <c r="E241" t="inlineStr">
        <is>
          <t>ORSA</t>
        </is>
      </c>
      <c r="F241" t="inlineStr">
        <is>
          <t>Bergvik skog öst AB</t>
        </is>
      </c>
      <c r="G241" t="n">
        <v>4.3</v>
      </c>
      <c r="H241" t="n">
        <v>0</v>
      </c>
      <c r="I241" t="n">
        <v>0</v>
      </c>
      <c r="J241" t="n">
        <v>0</v>
      </c>
      <c r="K241" t="n">
        <v>0</v>
      </c>
      <c r="L241" t="n">
        <v>0</v>
      </c>
      <c r="M241" t="n">
        <v>0</v>
      </c>
      <c r="N241" t="n">
        <v>0</v>
      </c>
      <c r="O241" t="n">
        <v>0</v>
      </c>
      <c r="P241" t="n">
        <v>0</v>
      </c>
      <c r="Q241" t="n">
        <v>0</v>
      </c>
      <c r="R241" s="2" t="inlineStr"/>
    </row>
    <row r="242" ht="15" customHeight="1">
      <c r="A242" t="inlineStr">
        <is>
          <t>A 53703-2024</t>
        </is>
      </c>
      <c r="B242" s="1" t="n">
        <v>45615.3990162037</v>
      </c>
      <c r="C242" s="1" t="n">
        <v>45892</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63371-2023</t>
        </is>
      </c>
      <c r="B243" s="1" t="n">
        <v>45274.47642361111</v>
      </c>
      <c r="C243" s="1" t="n">
        <v>45892</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24235-2025</t>
        </is>
      </c>
      <c r="B244" s="1" t="n">
        <v>45797.38252314815</v>
      </c>
      <c r="C244" s="1" t="n">
        <v>45892</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12704-2022</t>
        </is>
      </c>
      <c r="B245" s="1" t="n">
        <v>44641</v>
      </c>
      <c r="C245" s="1" t="n">
        <v>45892</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16392-2024</t>
        </is>
      </c>
      <c r="B246" s="1" t="n">
        <v>45407.62380787037</v>
      </c>
      <c r="C246" s="1" t="n">
        <v>45892</v>
      </c>
      <c r="D246" t="inlineStr">
        <is>
          <t>DALARNAS LÄN</t>
        </is>
      </c>
      <c r="E246" t="inlineStr">
        <is>
          <t>ORSA</t>
        </is>
      </c>
      <c r="G246" t="n">
        <v>3.4</v>
      </c>
      <c r="H246" t="n">
        <v>0</v>
      </c>
      <c r="I246" t="n">
        <v>0</v>
      </c>
      <c r="J246" t="n">
        <v>0</v>
      </c>
      <c r="K246" t="n">
        <v>0</v>
      </c>
      <c r="L246" t="n">
        <v>0</v>
      </c>
      <c r="M246" t="n">
        <v>0</v>
      </c>
      <c r="N246" t="n">
        <v>0</v>
      </c>
      <c r="O246" t="n">
        <v>0</v>
      </c>
      <c r="P246" t="n">
        <v>0</v>
      </c>
      <c r="Q246" t="n">
        <v>0</v>
      </c>
      <c r="R246" s="2" t="inlineStr"/>
    </row>
    <row r="247" ht="15" customHeight="1">
      <c r="A247" t="inlineStr">
        <is>
          <t>A 38611-2022</t>
        </is>
      </c>
      <c r="B247" s="1" t="n">
        <v>44813.60177083333</v>
      </c>
      <c r="C247" s="1" t="n">
        <v>45892</v>
      </c>
      <c r="D247" t="inlineStr">
        <is>
          <t>DALARNAS LÄN</t>
        </is>
      </c>
      <c r="E247" t="inlineStr">
        <is>
          <t>ORSA</t>
        </is>
      </c>
      <c r="G247" t="n">
        <v>3.6</v>
      </c>
      <c r="H247" t="n">
        <v>0</v>
      </c>
      <c r="I247" t="n">
        <v>0</v>
      </c>
      <c r="J247" t="n">
        <v>0</v>
      </c>
      <c r="K247" t="n">
        <v>0</v>
      </c>
      <c r="L247" t="n">
        <v>0</v>
      </c>
      <c r="M247" t="n">
        <v>0</v>
      </c>
      <c r="N247" t="n">
        <v>0</v>
      </c>
      <c r="O247" t="n">
        <v>0</v>
      </c>
      <c r="P247" t="n">
        <v>0</v>
      </c>
      <c r="Q247" t="n">
        <v>0</v>
      </c>
      <c r="R247" s="2" t="inlineStr"/>
    </row>
    <row r="248" ht="15" customHeight="1">
      <c r="A248" t="inlineStr">
        <is>
          <t>A 22701-2025</t>
        </is>
      </c>
      <c r="B248" s="1" t="n">
        <v>45787</v>
      </c>
      <c r="C248" s="1" t="n">
        <v>45892</v>
      </c>
      <c r="D248" t="inlineStr">
        <is>
          <t>DALARNAS LÄN</t>
        </is>
      </c>
      <c r="E248" t="inlineStr">
        <is>
          <t>ORSA</t>
        </is>
      </c>
      <c r="G248" t="n">
        <v>23.2</v>
      </c>
      <c r="H248" t="n">
        <v>0</v>
      </c>
      <c r="I248" t="n">
        <v>0</v>
      </c>
      <c r="J248" t="n">
        <v>0</v>
      </c>
      <c r="K248" t="n">
        <v>0</v>
      </c>
      <c r="L248" t="n">
        <v>0</v>
      </c>
      <c r="M248" t="n">
        <v>0</v>
      </c>
      <c r="N248" t="n">
        <v>0</v>
      </c>
      <c r="O248" t="n">
        <v>0</v>
      </c>
      <c r="P248" t="n">
        <v>0</v>
      </c>
      <c r="Q248" t="n">
        <v>0</v>
      </c>
      <c r="R248" s="2" t="inlineStr"/>
    </row>
    <row r="249" ht="15" customHeight="1">
      <c r="A249" t="inlineStr">
        <is>
          <t>A 20349-2021</t>
        </is>
      </c>
      <c r="B249" s="1" t="n">
        <v>44315.41582175926</v>
      </c>
      <c r="C249" s="1" t="n">
        <v>45892</v>
      </c>
      <c r="D249" t="inlineStr">
        <is>
          <t>DALARNAS LÄN</t>
        </is>
      </c>
      <c r="E249" t="inlineStr">
        <is>
          <t>ORSA</t>
        </is>
      </c>
      <c r="G249" t="n">
        <v>2.3</v>
      </c>
      <c r="H249" t="n">
        <v>0</v>
      </c>
      <c r="I249" t="n">
        <v>0</v>
      </c>
      <c r="J249" t="n">
        <v>0</v>
      </c>
      <c r="K249" t="n">
        <v>0</v>
      </c>
      <c r="L249" t="n">
        <v>0</v>
      </c>
      <c r="M249" t="n">
        <v>0</v>
      </c>
      <c r="N249" t="n">
        <v>0</v>
      </c>
      <c r="O249" t="n">
        <v>0</v>
      </c>
      <c r="P249" t="n">
        <v>0</v>
      </c>
      <c r="Q249" t="n">
        <v>0</v>
      </c>
      <c r="R249" s="2" t="inlineStr"/>
    </row>
    <row r="250" ht="15" customHeight="1">
      <c r="A250" t="inlineStr">
        <is>
          <t>A 8579-2025</t>
        </is>
      </c>
      <c r="B250" s="1" t="n">
        <v>45709</v>
      </c>
      <c r="C250" s="1" t="n">
        <v>45892</v>
      </c>
      <c r="D250" t="inlineStr">
        <is>
          <t>DALARNAS LÄN</t>
        </is>
      </c>
      <c r="E250" t="inlineStr">
        <is>
          <t>ORSA</t>
        </is>
      </c>
      <c r="G250" t="n">
        <v>1.2</v>
      </c>
      <c r="H250" t="n">
        <v>0</v>
      </c>
      <c r="I250" t="n">
        <v>0</v>
      </c>
      <c r="J250" t="n">
        <v>0</v>
      </c>
      <c r="K250" t="n">
        <v>0</v>
      </c>
      <c r="L250" t="n">
        <v>0</v>
      </c>
      <c r="M250" t="n">
        <v>0</v>
      </c>
      <c r="N250" t="n">
        <v>0</v>
      </c>
      <c r="O250" t="n">
        <v>0</v>
      </c>
      <c r="P250" t="n">
        <v>0</v>
      </c>
      <c r="Q250" t="n">
        <v>0</v>
      </c>
      <c r="R250" s="2" t="inlineStr"/>
    </row>
    <row r="251" ht="15" customHeight="1">
      <c r="A251" t="inlineStr">
        <is>
          <t>A 33673-2023</t>
        </is>
      </c>
      <c r="B251" s="1" t="n">
        <v>45132</v>
      </c>
      <c r="C251" s="1" t="n">
        <v>45892</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61699-2020</t>
        </is>
      </c>
      <c r="B252" s="1" t="n">
        <v>44158</v>
      </c>
      <c r="C252" s="1" t="n">
        <v>45892</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24083-2021</t>
        </is>
      </c>
      <c r="B253" s="1" t="n">
        <v>44336</v>
      </c>
      <c r="C253" s="1" t="n">
        <v>45892</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45892</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45892</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59411-2024</t>
        </is>
      </c>
      <c r="B256" s="1" t="n">
        <v>45638.39675925926</v>
      </c>
      <c r="C256" s="1" t="n">
        <v>45892</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59414-2024</t>
        </is>
      </c>
      <c r="B257" s="1" t="n">
        <v>45638.39965277778</v>
      </c>
      <c r="C257" s="1" t="n">
        <v>45892</v>
      </c>
      <c r="D257" t="inlineStr">
        <is>
          <t>DALARNAS LÄN</t>
        </is>
      </c>
      <c r="E257" t="inlineStr">
        <is>
          <t>ORSA</t>
        </is>
      </c>
      <c r="G257" t="n">
        <v>0.8</v>
      </c>
      <c r="H257" t="n">
        <v>0</v>
      </c>
      <c r="I257" t="n">
        <v>0</v>
      </c>
      <c r="J257" t="n">
        <v>0</v>
      </c>
      <c r="K257" t="n">
        <v>0</v>
      </c>
      <c r="L257" t="n">
        <v>0</v>
      </c>
      <c r="M257" t="n">
        <v>0</v>
      </c>
      <c r="N257" t="n">
        <v>0</v>
      </c>
      <c r="O257" t="n">
        <v>0</v>
      </c>
      <c r="P257" t="n">
        <v>0</v>
      </c>
      <c r="Q257" t="n">
        <v>0</v>
      </c>
      <c r="R257" s="2" t="inlineStr"/>
    </row>
    <row r="258" ht="15" customHeight="1">
      <c r="A258" t="inlineStr">
        <is>
          <t>A 67755-2020</t>
        </is>
      </c>
      <c r="B258" s="1" t="n">
        <v>44182</v>
      </c>
      <c r="C258" s="1" t="n">
        <v>45892</v>
      </c>
      <c r="D258" t="inlineStr">
        <is>
          <t>DALARNAS LÄN</t>
        </is>
      </c>
      <c r="E258" t="inlineStr">
        <is>
          <t>ORSA</t>
        </is>
      </c>
      <c r="G258" t="n">
        <v>7.5</v>
      </c>
      <c r="H258" t="n">
        <v>0</v>
      </c>
      <c r="I258" t="n">
        <v>0</v>
      </c>
      <c r="J258" t="n">
        <v>0</v>
      </c>
      <c r="K258" t="n">
        <v>0</v>
      </c>
      <c r="L258" t="n">
        <v>0</v>
      </c>
      <c r="M258" t="n">
        <v>0</v>
      </c>
      <c r="N258" t="n">
        <v>0</v>
      </c>
      <c r="O258" t="n">
        <v>0</v>
      </c>
      <c r="P258" t="n">
        <v>0</v>
      </c>
      <c r="Q258" t="n">
        <v>0</v>
      </c>
      <c r="R258" s="2" t="inlineStr"/>
    </row>
    <row r="259" ht="15" customHeight="1">
      <c r="A259" t="inlineStr">
        <is>
          <t>A 28388-2024</t>
        </is>
      </c>
      <c r="B259" s="1" t="n">
        <v>45477.59960648148</v>
      </c>
      <c r="C259" s="1" t="n">
        <v>45892</v>
      </c>
      <c r="D259" t="inlineStr">
        <is>
          <t>DALARNAS LÄN</t>
        </is>
      </c>
      <c r="E259" t="inlineStr">
        <is>
          <t>ORSA</t>
        </is>
      </c>
      <c r="F259" t="inlineStr">
        <is>
          <t>Bergvik skog öst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24969-2025</t>
        </is>
      </c>
      <c r="B260" s="1" t="n">
        <v>45799</v>
      </c>
      <c r="C260" s="1" t="n">
        <v>45892</v>
      </c>
      <c r="D260" t="inlineStr">
        <is>
          <t>DALARNAS LÄN</t>
        </is>
      </c>
      <c r="E260" t="inlineStr">
        <is>
          <t>ORSA</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612-2025</t>
        </is>
      </c>
      <c r="B261" s="1" t="n">
        <v>45660</v>
      </c>
      <c r="C261" s="1" t="n">
        <v>45892</v>
      </c>
      <c r="D261" t="inlineStr">
        <is>
          <t>DALARNAS LÄN</t>
        </is>
      </c>
      <c r="E261" t="inlineStr">
        <is>
          <t>ORSA</t>
        </is>
      </c>
      <c r="F261" t="inlineStr">
        <is>
          <t>Allmännings- och besparingsskogar</t>
        </is>
      </c>
      <c r="G261" t="n">
        <v>0.8</v>
      </c>
      <c r="H261" t="n">
        <v>0</v>
      </c>
      <c r="I261" t="n">
        <v>0</v>
      </c>
      <c r="J261" t="n">
        <v>0</v>
      </c>
      <c r="K261" t="n">
        <v>0</v>
      </c>
      <c r="L261" t="n">
        <v>0</v>
      </c>
      <c r="M261" t="n">
        <v>0</v>
      </c>
      <c r="N261" t="n">
        <v>0</v>
      </c>
      <c r="O261" t="n">
        <v>0</v>
      </c>
      <c r="P261" t="n">
        <v>0</v>
      </c>
      <c r="Q261" t="n">
        <v>0</v>
      </c>
      <c r="R261" s="2" t="inlineStr"/>
    </row>
    <row r="262" ht="15" customHeight="1">
      <c r="A262" t="inlineStr">
        <is>
          <t>A 52903-2024</t>
        </is>
      </c>
      <c r="B262" s="1" t="n">
        <v>45610.6875462963</v>
      </c>
      <c r="C262" s="1" t="n">
        <v>45892</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4202-2025</t>
        </is>
      </c>
      <c r="B263" s="1" t="n">
        <v>45685.46236111111</v>
      </c>
      <c r="C263" s="1" t="n">
        <v>45892</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4204-2025</t>
        </is>
      </c>
      <c r="B264" s="1" t="n">
        <v>45685.46390046296</v>
      </c>
      <c r="C264" s="1" t="n">
        <v>45892</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25211-2025</t>
        </is>
      </c>
      <c r="B265" s="1" t="n">
        <v>45800.46965277778</v>
      </c>
      <c r="C265" s="1" t="n">
        <v>45892</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55538-2023</t>
        </is>
      </c>
      <c r="B266" s="1" t="n">
        <v>45238.5996875</v>
      </c>
      <c r="C266" s="1" t="n">
        <v>45892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18817-2023</t>
        </is>
      </c>
      <c r="B267" s="1" t="n">
        <v>45043</v>
      </c>
      <c r="C267" s="1" t="n">
        <v>45892</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48819-2024</t>
        </is>
      </c>
      <c r="B268" s="1" t="n">
        <v>45593.67824074074</v>
      </c>
      <c r="C268" s="1" t="n">
        <v>45892</v>
      </c>
      <c r="D268" t="inlineStr">
        <is>
          <t>DALARNAS LÄN</t>
        </is>
      </c>
      <c r="E268" t="inlineStr">
        <is>
          <t>ORSA</t>
        </is>
      </c>
      <c r="G268" t="n">
        <v>5</v>
      </c>
      <c r="H268" t="n">
        <v>0</v>
      </c>
      <c r="I268" t="n">
        <v>0</v>
      </c>
      <c r="J268" t="n">
        <v>0</v>
      </c>
      <c r="K268" t="n">
        <v>0</v>
      </c>
      <c r="L268" t="n">
        <v>0</v>
      </c>
      <c r="M268" t="n">
        <v>0</v>
      </c>
      <c r="N268" t="n">
        <v>0</v>
      </c>
      <c r="O268" t="n">
        <v>0</v>
      </c>
      <c r="P268" t="n">
        <v>0</v>
      </c>
      <c r="Q268" t="n">
        <v>0</v>
      </c>
      <c r="R268" s="2" t="inlineStr"/>
    </row>
    <row r="269" ht="15" customHeight="1">
      <c r="A269" t="inlineStr">
        <is>
          <t>A 55580-2024</t>
        </is>
      </c>
      <c r="B269" s="1" t="n">
        <v>45622.56038194444</v>
      </c>
      <c r="C269" s="1" t="n">
        <v>45892</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8107-2024</t>
        </is>
      </c>
      <c r="B270" s="1" t="n">
        <v>45351</v>
      </c>
      <c r="C270" s="1" t="n">
        <v>45892</v>
      </c>
      <c r="D270" t="inlineStr">
        <is>
          <t>DALARNAS LÄN</t>
        </is>
      </c>
      <c r="E270" t="inlineStr">
        <is>
          <t>ORSA</t>
        </is>
      </c>
      <c r="G270" t="n">
        <v>13.6</v>
      </c>
      <c r="H270" t="n">
        <v>0</v>
      </c>
      <c r="I270" t="n">
        <v>0</v>
      </c>
      <c r="J270" t="n">
        <v>0</v>
      </c>
      <c r="K270" t="n">
        <v>0</v>
      </c>
      <c r="L270" t="n">
        <v>0</v>
      </c>
      <c r="M270" t="n">
        <v>0</v>
      </c>
      <c r="N270" t="n">
        <v>0</v>
      </c>
      <c r="O270" t="n">
        <v>0</v>
      </c>
      <c r="P270" t="n">
        <v>0</v>
      </c>
      <c r="Q270" t="n">
        <v>0</v>
      </c>
      <c r="R270" s="2" t="inlineStr"/>
    </row>
    <row r="271" ht="15" customHeight="1">
      <c r="A271" t="inlineStr">
        <is>
          <t>A 55280-2024</t>
        </is>
      </c>
      <c r="B271" s="1" t="n">
        <v>45621.62524305555</v>
      </c>
      <c r="C271" s="1" t="n">
        <v>45892</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48518-2024</t>
        </is>
      </c>
      <c r="B272" s="1" t="n">
        <v>45593.31915509259</v>
      </c>
      <c r="C272" s="1" t="n">
        <v>45892</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19024-2021</t>
        </is>
      </c>
      <c r="B273" s="1" t="n">
        <v>44308.5053587963</v>
      </c>
      <c r="C273" s="1" t="n">
        <v>45892</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26741-2025</t>
        </is>
      </c>
      <c r="B274" s="1" t="n">
        <v>45810.52444444445</v>
      </c>
      <c r="C274" s="1" t="n">
        <v>45892</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25761-2021</t>
        </is>
      </c>
      <c r="B275" s="1" t="n">
        <v>44343</v>
      </c>
      <c r="C275" s="1" t="n">
        <v>45892</v>
      </c>
      <c r="D275" t="inlineStr">
        <is>
          <t>DALARNAS LÄN</t>
        </is>
      </c>
      <c r="E275" t="inlineStr">
        <is>
          <t>ORSA</t>
        </is>
      </c>
      <c r="G275" t="n">
        <v>3.4</v>
      </c>
      <c r="H275" t="n">
        <v>0</v>
      </c>
      <c r="I275" t="n">
        <v>0</v>
      </c>
      <c r="J275" t="n">
        <v>0</v>
      </c>
      <c r="K275" t="n">
        <v>0</v>
      </c>
      <c r="L275" t="n">
        <v>0</v>
      </c>
      <c r="M275" t="n">
        <v>0</v>
      </c>
      <c r="N275" t="n">
        <v>0</v>
      </c>
      <c r="O275" t="n">
        <v>0</v>
      </c>
      <c r="P275" t="n">
        <v>0</v>
      </c>
      <c r="Q275" t="n">
        <v>0</v>
      </c>
      <c r="R275" s="2" t="inlineStr"/>
    </row>
    <row r="276" ht="15" customHeight="1">
      <c r="A276" t="inlineStr">
        <is>
          <t>A 50392-2024</t>
        </is>
      </c>
      <c r="B276" s="1" t="n">
        <v>45601.33789351852</v>
      </c>
      <c r="C276" s="1" t="n">
        <v>45892</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45892</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10374-2023</t>
        </is>
      </c>
      <c r="B278" s="1" t="n">
        <v>44987.41359953704</v>
      </c>
      <c r="C278" s="1" t="n">
        <v>45892</v>
      </c>
      <c r="D278" t="inlineStr">
        <is>
          <t>DALARNAS LÄN</t>
        </is>
      </c>
      <c r="E278" t="inlineStr">
        <is>
          <t>ORSA</t>
        </is>
      </c>
      <c r="G278" t="n">
        <v>1.8</v>
      </c>
      <c r="H278" t="n">
        <v>0</v>
      </c>
      <c r="I278" t="n">
        <v>0</v>
      </c>
      <c r="J278" t="n">
        <v>0</v>
      </c>
      <c r="K278" t="n">
        <v>0</v>
      </c>
      <c r="L278" t="n">
        <v>0</v>
      </c>
      <c r="M278" t="n">
        <v>0</v>
      </c>
      <c r="N278" t="n">
        <v>0</v>
      </c>
      <c r="O278" t="n">
        <v>0</v>
      </c>
      <c r="P278" t="n">
        <v>0</v>
      </c>
      <c r="Q278" t="n">
        <v>0</v>
      </c>
      <c r="R278" s="2" t="inlineStr"/>
    </row>
    <row r="279" ht="15" customHeight="1">
      <c r="A279" t="inlineStr">
        <is>
          <t>A 28923-2024</t>
        </is>
      </c>
      <c r="B279" s="1" t="n">
        <v>45481</v>
      </c>
      <c r="C279" s="1" t="n">
        <v>45892</v>
      </c>
      <c r="D279" t="inlineStr">
        <is>
          <t>DALARNAS LÄN</t>
        </is>
      </c>
      <c r="E279" t="inlineStr">
        <is>
          <t>ORSA</t>
        </is>
      </c>
      <c r="F279" t="inlineStr">
        <is>
          <t>Allmännings- och besparingsskogar</t>
        </is>
      </c>
      <c r="G279" t="n">
        <v>13.9</v>
      </c>
      <c r="H279" t="n">
        <v>0</v>
      </c>
      <c r="I279" t="n">
        <v>0</v>
      </c>
      <c r="J279" t="n">
        <v>0</v>
      </c>
      <c r="K279" t="n">
        <v>0</v>
      </c>
      <c r="L279" t="n">
        <v>0</v>
      </c>
      <c r="M279" t="n">
        <v>0</v>
      </c>
      <c r="N279" t="n">
        <v>0</v>
      </c>
      <c r="O279" t="n">
        <v>0</v>
      </c>
      <c r="P279" t="n">
        <v>0</v>
      </c>
      <c r="Q279" t="n">
        <v>0</v>
      </c>
      <c r="R279" s="2" t="inlineStr"/>
    </row>
    <row r="280" ht="15" customHeight="1">
      <c r="A280" t="inlineStr">
        <is>
          <t>A 15113-2025</t>
        </is>
      </c>
      <c r="B280" s="1" t="n">
        <v>45744.36179398148</v>
      </c>
      <c r="C280" s="1" t="n">
        <v>45892</v>
      </c>
      <c r="D280" t="inlineStr">
        <is>
          <t>DALARNAS LÄN</t>
        </is>
      </c>
      <c r="E280" t="inlineStr">
        <is>
          <t>ORSA</t>
        </is>
      </c>
      <c r="F280" t="inlineStr">
        <is>
          <t>Allmännings- och besparingsskogar</t>
        </is>
      </c>
      <c r="G280" t="n">
        <v>3.3</v>
      </c>
      <c r="H280" t="n">
        <v>0</v>
      </c>
      <c r="I280" t="n">
        <v>0</v>
      </c>
      <c r="J280" t="n">
        <v>0</v>
      </c>
      <c r="K280" t="n">
        <v>0</v>
      </c>
      <c r="L280" t="n">
        <v>0</v>
      </c>
      <c r="M280" t="n">
        <v>0</v>
      </c>
      <c r="N280" t="n">
        <v>0</v>
      </c>
      <c r="O280" t="n">
        <v>0</v>
      </c>
      <c r="P280" t="n">
        <v>0</v>
      </c>
      <c r="Q280" t="n">
        <v>0</v>
      </c>
      <c r="R280" s="2" t="inlineStr"/>
    </row>
    <row r="281" ht="15" customHeight="1">
      <c r="A281" t="inlineStr">
        <is>
          <t>A 19932-2021</t>
        </is>
      </c>
      <c r="B281" s="1" t="n">
        <v>44313.60207175926</v>
      </c>
      <c r="C281" s="1" t="n">
        <v>45892</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45892</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45892</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20302-2023</t>
        </is>
      </c>
      <c r="B284" s="1" t="n">
        <v>45056</v>
      </c>
      <c r="C284" s="1" t="n">
        <v>45892</v>
      </c>
      <c r="D284" t="inlineStr">
        <is>
          <t>DALARNAS LÄN</t>
        </is>
      </c>
      <c r="E284" t="inlineStr">
        <is>
          <t>ORSA</t>
        </is>
      </c>
      <c r="G284" t="n">
        <v>2.1</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45892</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20588-2025</t>
        </is>
      </c>
      <c r="B286" s="1" t="n">
        <v>45775</v>
      </c>
      <c r="C286" s="1" t="n">
        <v>45892</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20589-2025</t>
        </is>
      </c>
      <c r="B287" s="1" t="n">
        <v>45775</v>
      </c>
      <c r="C287" s="1" t="n">
        <v>45892</v>
      </c>
      <c r="D287" t="inlineStr">
        <is>
          <t>DALARNAS LÄN</t>
        </is>
      </c>
      <c r="E287" t="inlineStr">
        <is>
          <t>ORSA</t>
        </is>
      </c>
      <c r="G287" t="n">
        <v>2</v>
      </c>
      <c r="H287" t="n">
        <v>0</v>
      </c>
      <c r="I287" t="n">
        <v>0</v>
      </c>
      <c r="J287" t="n">
        <v>0</v>
      </c>
      <c r="K287" t="n">
        <v>0</v>
      </c>
      <c r="L287" t="n">
        <v>0</v>
      </c>
      <c r="M287" t="n">
        <v>0</v>
      </c>
      <c r="N287" t="n">
        <v>0</v>
      </c>
      <c r="O287" t="n">
        <v>0</v>
      </c>
      <c r="P287" t="n">
        <v>0</v>
      </c>
      <c r="Q287" t="n">
        <v>0</v>
      </c>
      <c r="R287" s="2" t="inlineStr"/>
    </row>
    <row r="288" ht="15" customHeight="1">
      <c r="A288" t="inlineStr">
        <is>
          <t>A 3107-2025</t>
        </is>
      </c>
      <c r="B288" s="1" t="n">
        <v>45678.68400462963</v>
      </c>
      <c r="C288" s="1" t="n">
        <v>45892</v>
      </c>
      <c r="D288" t="inlineStr">
        <is>
          <t>DALARNAS LÄN</t>
        </is>
      </c>
      <c r="E288" t="inlineStr">
        <is>
          <t>ORSA</t>
        </is>
      </c>
      <c r="G288" t="n">
        <v>2.1</v>
      </c>
      <c r="H288" t="n">
        <v>0</v>
      </c>
      <c r="I288" t="n">
        <v>0</v>
      </c>
      <c r="J288" t="n">
        <v>0</v>
      </c>
      <c r="K288" t="n">
        <v>0</v>
      </c>
      <c r="L288" t="n">
        <v>0</v>
      </c>
      <c r="M288" t="n">
        <v>0</v>
      </c>
      <c r="N288" t="n">
        <v>0</v>
      </c>
      <c r="O288" t="n">
        <v>0</v>
      </c>
      <c r="P288" t="n">
        <v>0</v>
      </c>
      <c r="Q288" t="n">
        <v>0</v>
      </c>
      <c r="R288" s="2" t="inlineStr"/>
    </row>
    <row r="289" ht="15" customHeight="1">
      <c r="A289" t="inlineStr">
        <is>
          <t>A 52912-2023</t>
        </is>
      </c>
      <c r="B289" s="1" t="n">
        <v>45226.51766203704</v>
      </c>
      <c r="C289" s="1" t="n">
        <v>45892</v>
      </c>
      <c r="D289" t="inlineStr">
        <is>
          <t>DALARNAS LÄN</t>
        </is>
      </c>
      <c r="E289" t="inlineStr">
        <is>
          <t>ORSA</t>
        </is>
      </c>
      <c r="G289" t="n">
        <v>10.9</v>
      </c>
      <c r="H289" t="n">
        <v>0</v>
      </c>
      <c r="I289" t="n">
        <v>0</v>
      </c>
      <c r="J289" t="n">
        <v>0</v>
      </c>
      <c r="K289" t="n">
        <v>0</v>
      </c>
      <c r="L289" t="n">
        <v>0</v>
      </c>
      <c r="M289" t="n">
        <v>0</v>
      </c>
      <c r="N289" t="n">
        <v>0</v>
      </c>
      <c r="O289" t="n">
        <v>0</v>
      </c>
      <c r="P289" t="n">
        <v>0</v>
      </c>
      <c r="Q289" t="n">
        <v>0</v>
      </c>
      <c r="R289" s="2" t="inlineStr"/>
    </row>
    <row r="290" ht="15" customHeight="1">
      <c r="A290" t="inlineStr">
        <is>
          <t>A 21364-2025</t>
        </is>
      </c>
      <c r="B290" s="1" t="n">
        <v>45782</v>
      </c>
      <c r="C290" s="1" t="n">
        <v>45892</v>
      </c>
      <c r="D290" t="inlineStr">
        <is>
          <t>DALARNAS LÄN</t>
        </is>
      </c>
      <c r="E290" t="inlineStr">
        <is>
          <t>ORSA</t>
        </is>
      </c>
      <c r="F290" t="inlineStr">
        <is>
          <t>Allmännings- och besparingsskogar</t>
        </is>
      </c>
      <c r="G290" t="n">
        <v>52.6</v>
      </c>
      <c r="H290" t="n">
        <v>0</v>
      </c>
      <c r="I290" t="n">
        <v>0</v>
      </c>
      <c r="J290" t="n">
        <v>0</v>
      </c>
      <c r="K290" t="n">
        <v>0</v>
      </c>
      <c r="L290" t="n">
        <v>0</v>
      </c>
      <c r="M290" t="n">
        <v>0</v>
      </c>
      <c r="N290" t="n">
        <v>0</v>
      </c>
      <c r="O290" t="n">
        <v>0</v>
      </c>
      <c r="P290" t="n">
        <v>0</v>
      </c>
      <c r="Q290" t="n">
        <v>0</v>
      </c>
      <c r="R290" s="2" t="inlineStr"/>
    </row>
    <row r="291" ht="15" customHeight="1">
      <c r="A291" t="inlineStr">
        <is>
          <t>A 37981-2024</t>
        </is>
      </c>
      <c r="B291" s="1" t="n">
        <v>45544</v>
      </c>
      <c r="C291" s="1" t="n">
        <v>45892</v>
      </c>
      <c r="D291" t="inlineStr">
        <is>
          <t>DALARNAS LÄN</t>
        </is>
      </c>
      <c r="E291" t="inlineStr">
        <is>
          <t>ORSA</t>
        </is>
      </c>
      <c r="F291" t="inlineStr">
        <is>
          <t>Allmännings- och besparingsskogar</t>
        </is>
      </c>
      <c r="G291" t="n">
        <v>1.2</v>
      </c>
      <c r="H291" t="n">
        <v>0</v>
      </c>
      <c r="I291" t="n">
        <v>0</v>
      </c>
      <c r="J291" t="n">
        <v>0</v>
      </c>
      <c r="K291" t="n">
        <v>0</v>
      </c>
      <c r="L291" t="n">
        <v>0</v>
      </c>
      <c r="M291" t="n">
        <v>0</v>
      </c>
      <c r="N291" t="n">
        <v>0</v>
      </c>
      <c r="O291" t="n">
        <v>0</v>
      </c>
      <c r="P291" t="n">
        <v>0</v>
      </c>
      <c r="Q291" t="n">
        <v>0</v>
      </c>
      <c r="R291" s="2" t="inlineStr"/>
    </row>
    <row r="292" ht="15" customHeight="1">
      <c r="A292" t="inlineStr">
        <is>
          <t>A 597-2024</t>
        </is>
      </c>
      <c r="B292" s="1" t="n">
        <v>45299.63410879629</v>
      </c>
      <c r="C292" s="1" t="n">
        <v>45892</v>
      </c>
      <c r="D292" t="inlineStr">
        <is>
          <t>DALARNAS LÄN</t>
        </is>
      </c>
      <c r="E292" t="inlineStr">
        <is>
          <t>ORSA</t>
        </is>
      </c>
      <c r="G292" t="n">
        <v>4.4</v>
      </c>
      <c r="H292" t="n">
        <v>0</v>
      </c>
      <c r="I292" t="n">
        <v>0</v>
      </c>
      <c r="J292" t="n">
        <v>0</v>
      </c>
      <c r="K292" t="n">
        <v>0</v>
      </c>
      <c r="L292" t="n">
        <v>0</v>
      </c>
      <c r="M292" t="n">
        <v>0</v>
      </c>
      <c r="N292" t="n">
        <v>0</v>
      </c>
      <c r="O292" t="n">
        <v>0</v>
      </c>
      <c r="P292" t="n">
        <v>0</v>
      </c>
      <c r="Q292" t="n">
        <v>0</v>
      </c>
      <c r="R292" s="2" t="inlineStr"/>
    </row>
    <row r="293" ht="15" customHeight="1">
      <c r="A293" t="inlineStr">
        <is>
          <t>A 27190-2025</t>
        </is>
      </c>
      <c r="B293" s="1" t="n">
        <v>45812.37025462963</v>
      </c>
      <c r="C293" s="1" t="n">
        <v>45892</v>
      </c>
      <c r="D293" t="inlineStr">
        <is>
          <t>DALARNAS LÄN</t>
        </is>
      </c>
      <c r="E293" t="inlineStr">
        <is>
          <t>ORSA</t>
        </is>
      </c>
      <c r="F293" t="inlineStr">
        <is>
          <t>Bergvik skog öst AB</t>
        </is>
      </c>
      <c r="G293" t="n">
        <v>4.9</v>
      </c>
      <c r="H293" t="n">
        <v>0</v>
      </c>
      <c r="I293" t="n">
        <v>0</v>
      </c>
      <c r="J293" t="n">
        <v>0</v>
      </c>
      <c r="K293" t="n">
        <v>0</v>
      </c>
      <c r="L293" t="n">
        <v>0</v>
      </c>
      <c r="M293" t="n">
        <v>0</v>
      </c>
      <c r="N293" t="n">
        <v>0</v>
      </c>
      <c r="O293" t="n">
        <v>0</v>
      </c>
      <c r="P293" t="n">
        <v>0</v>
      </c>
      <c r="Q293" t="n">
        <v>0</v>
      </c>
      <c r="R293" s="2" t="inlineStr"/>
    </row>
    <row r="294" ht="15" customHeight="1">
      <c r="A294" t="inlineStr">
        <is>
          <t>A 27221-2025</t>
        </is>
      </c>
      <c r="B294" s="1" t="n">
        <v>45812.42304398148</v>
      </c>
      <c r="C294" s="1" t="n">
        <v>45892</v>
      </c>
      <c r="D294" t="inlineStr">
        <is>
          <t>DALARNAS LÄN</t>
        </is>
      </c>
      <c r="E294" t="inlineStr">
        <is>
          <t>ORSA</t>
        </is>
      </c>
      <c r="F294" t="inlineStr">
        <is>
          <t>Bergvik skog öst AB</t>
        </is>
      </c>
      <c r="G294" t="n">
        <v>3.7</v>
      </c>
      <c r="H294" t="n">
        <v>0</v>
      </c>
      <c r="I294" t="n">
        <v>0</v>
      </c>
      <c r="J294" t="n">
        <v>0</v>
      </c>
      <c r="K294" t="n">
        <v>0</v>
      </c>
      <c r="L294" t="n">
        <v>0</v>
      </c>
      <c r="M294" t="n">
        <v>0</v>
      </c>
      <c r="N294" t="n">
        <v>0</v>
      </c>
      <c r="O294" t="n">
        <v>0</v>
      </c>
      <c r="P294" t="n">
        <v>0</v>
      </c>
      <c r="Q294" t="n">
        <v>0</v>
      </c>
      <c r="R294" s="2" t="inlineStr"/>
    </row>
    <row r="295" ht="15" customHeight="1">
      <c r="A295" t="inlineStr">
        <is>
          <t>A 27240-2025</t>
        </is>
      </c>
      <c r="B295" s="1" t="n">
        <v>45812.45170138889</v>
      </c>
      <c r="C295" s="1" t="n">
        <v>45892</v>
      </c>
      <c r="D295" t="inlineStr">
        <is>
          <t>DALARNAS LÄN</t>
        </is>
      </c>
      <c r="E295" t="inlineStr">
        <is>
          <t>ORSA</t>
        </is>
      </c>
      <c r="F295" t="inlineStr">
        <is>
          <t>Bergvik skog öst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6490-2025</t>
        </is>
      </c>
      <c r="B296" s="1" t="n">
        <v>45699</v>
      </c>
      <c r="C296" s="1" t="n">
        <v>45892</v>
      </c>
      <c r="D296" t="inlineStr">
        <is>
          <t>DALARNAS LÄN</t>
        </is>
      </c>
      <c r="E296" t="inlineStr">
        <is>
          <t>ORSA</t>
        </is>
      </c>
      <c r="G296" t="n">
        <v>7.5</v>
      </c>
      <c r="H296" t="n">
        <v>0</v>
      </c>
      <c r="I296" t="n">
        <v>0</v>
      </c>
      <c r="J296" t="n">
        <v>0</v>
      </c>
      <c r="K296" t="n">
        <v>0</v>
      </c>
      <c r="L296" t="n">
        <v>0</v>
      </c>
      <c r="M296" t="n">
        <v>0</v>
      </c>
      <c r="N296" t="n">
        <v>0</v>
      </c>
      <c r="O296" t="n">
        <v>0</v>
      </c>
      <c r="P296" t="n">
        <v>0</v>
      </c>
      <c r="Q296" t="n">
        <v>0</v>
      </c>
      <c r="R296" s="2" t="inlineStr"/>
    </row>
    <row r="297" ht="15" customHeight="1">
      <c r="A297" t="inlineStr">
        <is>
          <t>A 27313-2025</t>
        </is>
      </c>
      <c r="B297" s="1" t="n">
        <v>45812.58365740741</v>
      </c>
      <c r="C297" s="1" t="n">
        <v>45892</v>
      </c>
      <c r="D297" t="inlineStr">
        <is>
          <t>DALARNAS LÄN</t>
        </is>
      </c>
      <c r="E297" t="inlineStr">
        <is>
          <t>ORSA</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45892</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33265-2021</t>
        </is>
      </c>
      <c r="B299" s="1" t="n">
        <v>44377</v>
      </c>
      <c r="C299" s="1" t="n">
        <v>45892</v>
      </c>
      <c r="D299" t="inlineStr">
        <is>
          <t>DALARNAS LÄN</t>
        </is>
      </c>
      <c r="E299" t="inlineStr">
        <is>
          <t>ORSA</t>
        </is>
      </c>
      <c r="G299" t="n">
        <v>1.9</v>
      </c>
      <c r="H299" t="n">
        <v>0</v>
      </c>
      <c r="I299" t="n">
        <v>0</v>
      </c>
      <c r="J299" t="n">
        <v>0</v>
      </c>
      <c r="K299" t="n">
        <v>0</v>
      </c>
      <c r="L299" t="n">
        <v>0</v>
      </c>
      <c r="M299" t="n">
        <v>0</v>
      </c>
      <c r="N299" t="n">
        <v>0</v>
      </c>
      <c r="O299" t="n">
        <v>0</v>
      </c>
      <c r="P299" t="n">
        <v>0</v>
      </c>
      <c r="Q299" t="n">
        <v>0</v>
      </c>
      <c r="R299" s="2" t="inlineStr"/>
    </row>
    <row r="300" ht="15" customHeight="1">
      <c r="A300" t="inlineStr">
        <is>
          <t>A 51915-2022</t>
        </is>
      </c>
      <c r="B300" s="1" t="n">
        <v>44872.62795138889</v>
      </c>
      <c r="C300" s="1" t="n">
        <v>45892</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58842-2024</t>
        </is>
      </c>
      <c r="B301" s="1" t="n">
        <v>45636.3859837963</v>
      </c>
      <c r="C301" s="1" t="n">
        <v>45892</v>
      </c>
      <c r="D301" t="inlineStr">
        <is>
          <t>DALARNAS LÄN</t>
        </is>
      </c>
      <c r="E301" t="inlineStr">
        <is>
          <t>ORSA</t>
        </is>
      </c>
      <c r="G301" t="n">
        <v>2.8</v>
      </c>
      <c r="H301" t="n">
        <v>0</v>
      </c>
      <c r="I301" t="n">
        <v>0</v>
      </c>
      <c r="J301" t="n">
        <v>0</v>
      </c>
      <c r="K301" t="n">
        <v>0</v>
      </c>
      <c r="L301" t="n">
        <v>0</v>
      </c>
      <c r="M301" t="n">
        <v>0</v>
      </c>
      <c r="N301" t="n">
        <v>0</v>
      </c>
      <c r="O301" t="n">
        <v>0</v>
      </c>
      <c r="P301" t="n">
        <v>0</v>
      </c>
      <c r="Q301" t="n">
        <v>0</v>
      </c>
      <c r="R301" s="2" t="inlineStr"/>
    </row>
    <row r="302" ht="15" customHeight="1">
      <c r="A302" t="inlineStr">
        <is>
          <t>A 27866-2025</t>
        </is>
      </c>
      <c r="B302" s="1" t="n">
        <v>45817.4262962963</v>
      </c>
      <c r="C302" s="1" t="n">
        <v>45892</v>
      </c>
      <c r="D302" t="inlineStr">
        <is>
          <t>DALARNAS LÄN</t>
        </is>
      </c>
      <c r="E302" t="inlineStr">
        <is>
          <t>ORSA</t>
        </is>
      </c>
      <c r="F302" t="inlineStr">
        <is>
          <t>Allmännings- och besparingsskogar</t>
        </is>
      </c>
      <c r="G302" t="n">
        <v>6</v>
      </c>
      <c r="H302" t="n">
        <v>0</v>
      </c>
      <c r="I302" t="n">
        <v>0</v>
      </c>
      <c r="J302" t="n">
        <v>0</v>
      </c>
      <c r="K302" t="n">
        <v>0</v>
      </c>
      <c r="L302" t="n">
        <v>0</v>
      </c>
      <c r="M302" t="n">
        <v>0</v>
      </c>
      <c r="N302" t="n">
        <v>0</v>
      </c>
      <c r="O302" t="n">
        <v>0</v>
      </c>
      <c r="P302" t="n">
        <v>0</v>
      </c>
      <c r="Q302" t="n">
        <v>0</v>
      </c>
      <c r="R302" s="2" t="inlineStr"/>
    </row>
    <row r="303" ht="15" customHeight="1">
      <c r="A303" t="inlineStr">
        <is>
          <t>A 986-2025</t>
        </is>
      </c>
      <c r="B303" s="1" t="n">
        <v>45666.42952546296</v>
      </c>
      <c r="C303" s="1" t="n">
        <v>45892</v>
      </c>
      <c r="D303" t="inlineStr">
        <is>
          <t>DALARNAS LÄN</t>
        </is>
      </c>
      <c r="E303" t="inlineStr">
        <is>
          <t>ORSA</t>
        </is>
      </c>
      <c r="G303" t="n">
        <v>5.7</v>
      </c>
      <c r="H303" t="n">
        <v>0</v>
      </c>
      <c r="I303" t="n">
        <v>0</v>
      </c>
      <c r="J303" t="n">
        <v>0</v>
      </c>
      <c r="K303" t="n">
        <v>0</v>
      </c>
      <c r="L303" t="n">
        <v>0</v>
      </c>
      <c r="M303" t="n">
        <v>0</v>
      </c>
      <c r="N303" t="n">
        <v>0</v>
      </c>
      <c r="O303" t="n">
        <v>0</v>
      </c>
      <c r="P303" t="n">
        <v>0</v>
      </c>
      <c r="Q303" t="n">
        <v>0</v>
      </c>
      <c r="R303" s="2" t="inlineStr"/>
    </row>
    <row r="304" ht="15" customHeight="1">
      <c r="A304" t="inlineStr">
        <is>
          <t>A 37931-2023</t>
        </is>
      </c>
      <c r="B304" s="1" t="n">
        <v>45160.51721064815</v>
      </c>
      <c r="C304" s="1" t="n">
        <v>45892</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48447-2023</t>
        </is>
      </c>
      <c r="B305" s="1" t="n">
        <v>45206.39274305556</v>
      </c>
      <c r="C305" s="1" t="n">
        <v>45892</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17508-2025</t>
        </is>
      </c>
      <c r="B306" s="1" t="n">
        <v>45757.55929398148</v>
      </c>
      <c r="C306" s="1" t="n">
        <v>45892</v>
      </c>
      <c r="D306" t="inlineStr">
        <is>
          <t>DALARNAS LÄN</t>
        </is>
      </c>
      <c r="E306" t="inlineStr">
        <is>
          <t>ORSA</t>
        </is>
      </c>
      <c r="F306" t="inlineStr">
        <is>
          <t>Bergvik skog öst AB</t>
        </is>
      </c>
      <c r="G306" t="n">
        <v>9.4</v>
      </c>
      <c r="H306" t="n">
        <v>0</v>
      </c>
      <c r="I306" t="n">
        <v>0</v>
      </c>
      <c r="J306" t="n">
        <v>0</v>
      </c>
      <c r="K306" t="n">
        <v>0</v>
      </c>
      <c r="L306" t="n">
        <v>0</v>
      </c>
      <c r="M306" t="n">
        <v>0</v>
      </c>
      <c r="N306" t="n">
        <v>0</v>
      </c>
      <c r="O306" t="n">
        <v>0</v>
      </c>
      <c r="P306" t="n">
        <v>0</v>
      </c>
      <c r="Q306" t="n">
        <v>0</v>
      </c>
      <c r="R306" s="2" t="inlineStr"/>
    </row>
    <row r="307" ht="15" customHeight="1">
      <c r="A307" t="inlineStr">
        <is>
          <t>A 42513-2024</t>
        </is>
      </c>
      <c r="B307" s="1" t="n">
        <v>45565.53810185185</v>
      </c>
      <c r="C307" s="1" t="n">
        <v>45892</v>
      </c>
      <c r="D307" t="inlineStr">
        <is>
          <t>DALARNAS LÄN</t>
        </is>
      </c>
      <c r="E307" t="inlineStr">
        <is>
          <t>ORSA</t>
        </is>
      </c>
      <c r="G307" t="n">
        <v>1.6</v>
      </c>
      <c r="H307" t="n">
        <v>0</v>
      </c>
      <c r="I307" t="n">
        <v>0</v>
      </c>
      <c r="J307" t="n">
        <v>0</v>
      </c>
      <c r="K307" t="n">
        <v>0</v>
      </c>
      <c r="L307" t="n">
        <v>0</v>
      </c>
      <c r="M307" t="n">
        <v>0</v>
      </c>
      <c r="N307" t="n">
        <v>0</v>
      </c>
      <c r="O307" t="n">
        <v>0</v>
      </c>
      <c r="P307" t="n">
        <v>0</v>
      </c>
      <c r="Q307" t="n">
        <v>0</v>
      </c>
      <c r="R307" s="2" t="inlineStr"/>
    </row>
    <row r="308" ht="15" customHeight="1">
      <c r="A308" t="inlineStr">
        <is>
          <t>A 42517-2024</t>
        </is>
      </c>
      <c r="B308" s="1" t="n">
        <v>45565.54078703704</v>
      </c>
      <c r="C308" s="1" t="n">
        <v>45892</v>
      </c>
      <c r="D308" t="inlineStr">
        <is>
          <t>DALARNAS LÄN</t>
        </is>
      </c>
      <c r="E308" t="inlineStr">
        <is>
          <t>ORSA</t>
        </is>
      </c>
      <c r="G308" t="n">
        <v>3</v>
      </c>
      <c r="H308" t="n">
        <v>0</v>
      </c>
      <c r="I308" t="n">
        <v>0</v>
      </c>
      <c r="J308" t="n">
        <v>0</v>
      </c>
      <c r="K308" t="n">
        <v>0</v>
      </c>
      <c r="L308" t="n">
        <v>0</v>
      </c>
      <c r="M308" t="n">
        <v>0</v>
      </c>
      <c r="N308" t="n">
        <v>0</v>
      </c>
      <c r="O308" t="n">
        <v>0</v>
      </c>
      <c r="P308" t="n">
        <v>0</v>
      </c>
      <c r="Q308" t="n">
        <v>0</v>
      </c>
      <c r="R308" s="2" t="inlineStr"/>
    </row>
    <row r="309" ht="15" customHeight="1">
      <c r="A309" t="inlineStr">
        <is>
          <t>A 3318-2023</t>
        </is>
      </c>
      <c r="B309" s="1" t="n">
        <v>44949.41788194444</v>
      </c>
      <c r="C309" s="1" t="n">
        <v>45892</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3720-2023</t>
        </is>
      </c>
      <c r="B310" s="1" t="n">
        <v>44951.36688657408</v>
      </c>
      <c r="C310" s="1" t="n">
        <v>45892</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27885-2025</t>
        </is>
      </c>
      <c r="B311" s="1" t="n">
        <v>45817.45034722222</v>
      </c>
      <c r="C311" s="1" t="n">
        <v>45892</v>
      </c>
      <c r="D311" t="inlineStr">
        <is>
          <t>DALARNAS LÄN</t>
        </is>
      </c>
      <c r="E311" t="inlineStr">
        <is>
          <t>ORSA</t>
        </is>
      </c>
      <c r="F311" t="inlineStr">
        <is>
          <t>Allmännings- och besparingsskogar</t>
        </is>
      </c>
      <c r="G311" t="n">
        <v>3.4</v>
      </c>
      <c r="H311" t="n">
        <v>0</v>
      </c>
      <c r="I311" t="n">
        <v>0</v>
      </c>
      <c r="J311" t="n">
        <v>0</v>
      </c>
      <c r="K311" t="n">
        <v>0</v>
      </c>
      <c r="L311" t="n">
        <v>0</v>
      </c>
      <c r="M311" t="n">
        <v>0</v>
      </c>
      <c r="N311" t="n">
        <v>0</v>
      </c>
      <c r="O311" t="n">
        <v>0</v>
      </c>
      <c r="P311" t="n">
        <v>0</v>
      </c>
      <c r="Q311" t="n">
        <v>0</v>
      </c>
      <c r="R311" s="2" t="inlineStr"/>
    </row>
    <row r="312" ht="15" customHeight="1">
      <c r="A312" t="inlineStr">
        <is>
          <t>A 27987-2025</t>
        </is>
      </c>
      <c r="B312" s="1" t="n">
        <v>45817.58361111111</v>
      </c>
      <c r="C312" s="1" t="n">
        <v>45892</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62342-2023</t>
        </is>
      </c>
      <c r="B313" s="1" t="n">
        <v>45267.9268287037</v>
      </c>
      <c r="C313" s="1" t="n">
        <v>45892</v>
      </c>
      <c r="D313" t="inlineStr">
        <is>
          <t>DALARNAS LÄN</t>
        </is>
      </c>
      <c r="E313" t="inlineStr">
        <is>
          <t>ORSA</t>
        </is>
      </c>
      <c r="G313" t="n">
        <v>2.5</v>
      </c>
      <c r="H313" t="n">
        <v>0</v>
      </c>
      <c r="I313" t="n">
        <v>0</v>
      </c>
      <c r="J313" t="n">
        <v>0</v>
      </c>
      <c r="K313" t="n">
        <v>0</v>
      </c>
      <c r="L313" t="n">
        <v>0</v>
      </c>
      <c r="M313" t="n">
        <v>0</v>
      </c>
      <c r="N313" t="n">
        <v>0</v>
      </c>
      <c r="O313" t="n">
        <v>0</v>
      </c>
      <c r="P313" t="n">
        <v>0</v>
      </c>
      <c r="Q313" t="n">
        <v>0</v>
      </c>
      <c r="R313" s="2" t="inlineStr"/>
    </row>
    <row r="314" ht="15" customHeight="1">
      <c r="A314" t="inlineStr">
        <is>
          <t>A 67842-2020</t>
        </is>
      </c>
      <c r="B314" s="1" t="n">
        <v>44182</v>
      </c>
      <c r="C314" s="1" t="n">
        <v>45892</v>
      </c>
      <c r="D314" t="inlineStr">
        <is>
          <t>DALARNAS LÄN</t>
        </is>
      </c>
      <c r="E314" t="inlineStr">
        <is>
          <t>ORSA</t>
        </is>
      </c>
      <c r="G314" t="n">
        <v>10.6</v>
      </c>
      <c r="H314" t="n">
        <v>0</v>
      </c>
      <c r="I314" t="n">
        <v>0</v>
      </c>
      <c r="J314" t="n">
        <v>0</v>
      </c>
      <c r="K314" t="n">
        <v>0</v>
      </c>
      <c r="L314" t="n">
        <v>0</v>
      </c>
      <c r="M314" t="n">
        <v>0</v>
      </c>
      <c r="N314" t="n">
        <v>0</v>
      </c>
      <c r="O314" t="n">
        <v>0</v>
      </c>
      <c r="P314" t="n">
        <v>0</v>
      </c>
      <c r="Q314" t="n">
        <v>0</v>
      </c>
      <c r="R314" s="2" t="inlineStr"/>
    </row>
    <row r="315" ht="15" customHeight="1">
      <c r="A315" t="inlineStr">
        <is>
          <t>A 52044-2023</t>
        </is>
      </c>
      <c r="B315" s="1" t="n">
        <v>45223.6365625</v>
      </c>
      <c r="C315" s="1" t="n">
        <v>45892</v>
      </c>
      <c r="D315" t="inlineStr">
        <is>
          <t>DALARNAS LÄN</t>
        </is>
      </c>
      <c r="E315" t="inlineStr">
        <is>
          <t>ORSA</t>
        </is>
      </c>
      <c r="G315" t="n">
        <v>2.6</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45859.4140162037</v>
      </c>
      <c r="C316" s="1" t="n">
        <v>45892</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33384-2022</t>
        </is>
      </c>
      <c r="B317" s="1" t="n">
        <v>44788</v>
      </c>
      <c r="C317" s="1" t="n">
        <v>45892</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35617-2025</t>
        </is>
      </c>
      <c r="B318" s="1" t="n">
        <v>45859.4103125</v>
      </c>
      <c r="C318" s="1" t="n">
        <v>45892</v>
      </c>
      <c r="D318" t="inlineStr">
        <is>
          <t>DALARNAS LÄN</t>
        </is>
      </c>
      <c r="E318" t="inlineStr">
        <is>
          <t>ORSA</t>
        </is>
      </c>
      <c r="F318" t="inlineStr">
        <is>
          <t>Bergvik skog öst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33488-2024</t>
        </is>
      </c>
      <c r="B319" s="1" t="n">
        <v>45519.61466435185</v>
      </c>
      <c r="C319" s="1" t="n">
        <v>45892</v>
      </c>
      <c r="D319" t="inlineStr">
        <is>
          <t>DALARNAS LÄN</t>
        </is>
      </c>
      <c r="E319" t="inlineStr">
        <is>
          <t>ORSA</t>
        </is>
      </c>
      <c r="F319" t="inlineStr">
        <is>
          <t>Övriga statliga verk och myndigheter</t>
        </is>
      </c>
      <c r="G319" t="n">
        <v>0.5</v>
      </c>
      <c r="H319" t="n">
        <v>0</v>
      </c>
      <c r="I319" t="n">
        <v>0</v>
      </c>
      <c r="J319" t="n">
        <v>0</v>
      </c>
      <c r="K319" t="n">
        <v>0</v>
      </c>
      <c r="L319" t="n">
        <v>0</v>
      </c>
      <c r="M319" t="n">
        <v>0</v>
      </c>
      <c r="N319" t="n">
        <v>0</v>
      </c>
      <c r="O319" t="n">
        <v>0</v>
      </c>
      <c r="P319" t="n">
        <v>0</v>
      </c>
      <c r="Q319" t="n">
        <v>0</v>
      </c>
      <c r="R319" s="2" t="inlineStr"/>
    </row>
    <row r="320" ht="15" customHeight="1">
      <c r="A320" t="inlineStr">
        <is>
          <t>A 28207-2025</t>
        </is>
      </c>
      <c r="B320" s="1" t="n">
        <v>45818.44871527778</v>
      </c>
      <c r="C320" s="1" t="n">
        <v>45892</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28635-2025</t>
        </is>
      </c>
      <c r="B321" s="1" t="n">
        <v>45819.63112268518</v>
      </c>
      <c r="C321" s="1" t="n">
        <v>45892</v>
      </c>
      <c r="D321" t="inlineStr">
        <is>
          <t>DALARNAS LÄN</t>
        </is>
      </c>
      <c r="E321" t="inlineStr">
        <is>
          <t>ORSA</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28317-2025</t>
        </is>
      </c>
      <c r="B322" s="1" t="n">
        <v>45818.6300462963</v>
      </c>
      <c r="C322" s="1" t="n">
        <v>45892</v>
      </c>
      <c r="D322" t="inlineStr">
        <is>
          <t>DALARNAS LÄN</t>
        </is>
      </c>
      <c r="E322" t="inlineStr">
        <is>
          <t>ORSA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44985.67237268519</v>
      </c>
      <c r="C323" s="1" t="n">
        <v>45892</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15766-2025</t>
        </is>
      </c>
      <c r="B324" s="1" t="n">
        <v>45748.58409722222</v>
      </c>
      <c r="C324" s="1" t="n">
        <v>45892</v>
      </c>
      <c r="D324" t="inlineStr">
        <is>
          <t>DALARNAS LÄN</t>
        </is>
      </c>
      <c r="E324" t="inlineStr">
        <is>
          <t>ORSA</t>
        </is>
      </c>
      <c r="F324" t="inlineStr">
        <is>
          <t>Bergvik skog öst AB</t>
        </is>
      </c>
      <c r="G324" t="n">
        <v>9</v>
      </c>
      <c r="H324" t="n">
        <v>0</v>
      </c>
      <c r="I324" t="n">
        <v>0</v>
      </c>
      <c r="J324" t="n">
        <v>0</v>
      </c>
      <c r="K324" t="n">
        <v>0</v>
      </c>
      <c r="L324" t="n">
        <v>0</v>
      </c>
      <c r="M324" t="n">
        <v>0</v>
      </c>
      <c r="N324" t="n">
        <v>0</v>
      </c>
      <c r="O324" t="n">
        <v>0</v>
      </c>
      <c r="P324" t="n">
        <v>0</v>
      </c>
      <c r="Q324" t="n">
        <v>0</v>
      </c>
      <c r="R324" s="2" t="inlineStr"/>
    </row>
    <row r="325" ht="15" customHeight="1">
      <c r="A325" t="inlineStr">
        <is>
          <t>A 51001-2021</t>
        </is>
      </c>
      <c r="B325" s="1" t="n">
        <v>44460.86221064815</v>
      </c>
      <c r="C325" s="1" t="n">
        <v>45892</v>
      </c>
      <c r="D325" t="inlineStr">
        <is>
          <t>DALARNAS LÄN</t>
        </is>
      </c>
      <c r="E325" t="inlineStr">
        <is>
          <t>ORSA</t>
        </is>
      </c>
      <c r="G325" t="n">
        <v>2.6</v>
      </c>
      <c r="H325" t="n">
        <v>0</v>
      </c>
      <c r="I325" t="n">
        <v>0</v>
      </c>
      <c r="J325" t="n">
        <v>0</v>
      </c>
      <c r="K325" t="n">
        <v>0</v>
      </c>
      <c r="L325" t="n">
        <v>0</v>
      </c>
      <c r="M325" t="n">
        <v>0</v>
      </c>
      <c r="N325" t="n">
        <v>0</v>
      </c>
      <c r="O325" t="n">
        <v>0</v>
      </c>
      <c r="P325" t="n">
        <v>0</v>
      </c>
      <c r="Q325" t="n">
        <v>0</v>
      </c>
      <c r="R325" s="2" t="inlineStr"/>
    </row>
    <row r="326" ht="15" customHeight="1">
      <c r="A326" t="inlineStr">
        <is>
          <t>A 892-2024</t>
        </is>
      </c>
      <c r="B326" s="1" t="n">
        <v>45301</v>
      </c>
      <c r="C326" s="1" t="n">
        <v>45892</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28609-2025</t>
        </is>
      </c>
      <c r="B327" s="1" t="n">
        <v>45819.60303240741</v>
      </c>
      <c r="C327" s="1" t="n">
        <v>45892</v>
      </c>
      <c r="D327" t="inlineStr">
        <is>
          <t>DALARNAS LÄN</t>
        </is>
      </c>
      <c r="E327" t="inlineStr">
        <is>
          <t>ORSA</t>
        </is>
      </c>
      <c r="F327" t="inlineStr">
        <is>
          <t>Bergvik skog öst AB</t>
        </is>
      </c>
      <c r="G327" t="n">
        <v>9.1</v>
      </c>
      <c r="H327" t="n">
        <v>0</v>
      </c>
      <c r="I327" t="n">
        <v>0</v>
      </c>
      <c r="J327" t="n">
        <v>0</v>
      </c>
      <c r="K327" t="n">
        <v>0</v>
      </c>
      <c r="L327" t="n">
        <v>0</v>
      </c>
      <c r="M327" t="n">
        <v>0</v>
      </c>
      <c r="N327" t="n">
        <v>0</v>
      </c>
      <c r="O327" t="n">
        <v>0</v>
      </c>
      <c r="P327" t="n">
        <v>0</v>
      </c>
      <c r="Q327" t="n">
        <v>0</v>
      </c>
      <c r="R327" s="2" t="inlineStr"/>
    </row>
    <row r="328" ht="15" customHeight="1">
      <c r="A328" t="inlineStr">
        <is>
          <t>A 16585-2023</t>
        </is>
      </c>
      <c r="B328" s="1" t="n">
        <v>45030</v>
      </c>
      <c r="C328" s="1" t="n">
        <v>45892</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35933-2025</t>
        </is>
      </c>
      <c r="B329" s="1" t="n">
        <v>45862.62653935186</v>
      </c>
      <c r="C329" s="1" t="n">
        <v>45892</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35935-2025</t>
        </is>
      </c>
      <c r="B330" s="1" t="n">
        <v>45862.6353125</v>
      </c>
      <c r="C330" s="1" t="n">
        <v>45892</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35939-2025</t>
        </is>
      </c>
      <c r="B331" s="1" t="n">
        <v>45862.64581018518</v>
      </c>
      <c r="C331" s="1" t="n">
        <v>45892</v>
      </c>
      <c r="D331" t="inlineStr">
        <is>
          <t>DALARNAS LÄN</t>
        </is>
      </c>
      <c r="E331" t="inlineStr">
        <is>
          <t>ORSA</t>
        </is>
      </c>
      <c r="G331" t="n">
        <v>5.6</v>
      </c>
      <c r="H331" t="n">
        <v>0</v>
      </c>
      <c r="I331" t="n">
        <v>0</v>
      </c>
      <c r="J331" t="n">
        <v>0</v>
      </c>
      <c r="K331" t="n">
        <v>0</v>
      </c>
      <c r="L331" t="n">
        <v>0</v>
      </c>
      <c r="M331" t="n">
        <v>0</v>
      </c>
      <c r="N331" t="n">
        <v>0</v>
      </c>
      <c r="O331" t="n">
        <v>0</v>
      </c>
      <c r="P331" t="n">
        <v>0</v>
      </c>
      <c r="Q331" t="n">
        <v>0</v>
      </c>
      <c r="R331" s="2" t="inlineStr"/>
    </row>
    <row r="332" ht="15" customHeight="1">
      <c r="A332" t="inlineStr">
        <is>
          <t>A 47564-2023</t>
        </is>
      </c>
      <c r="B332" s="1" t="n">
        <v>45203.40004629629</v>
      </c>
      <c r="C332" s="1" t="n">
        <v>45892</v>
      </c>
      <c r="D332" t="inlineStr">
        <is>
          <t>DALARNAS LÄN</t>
        </is>
      </c>
      <c r="E332" t="inlineStr">
        <is>
          <t>ORSA</t>
        </is>
      </c>
      <c r="F332" t="inlineStr">
        <is>
          <t>Allmännings- och besparingsskogar</t>
        </is>
      </c>
      <c r="G332" t="n">
        <v>0.8</v>
      </c>
      <c r="H332" t="n">
        <v>0</v>
      </c>
      <c r="I332" t="n">
        <v>0</v>
      </c>
      <c r="J332" t="n">
        <v>0</v>
      </c>
      <c r="K332" t="n">
        <v>0</v>
      </c>
      <c r="L332" t="n">
        <v>0</v>
      </c>
      <c r="M332" t="n">
        <v>0</v>
      </c>
      <c r="N332" t="n">
        <v>0</v>
      </c>
      <c r="O332" t="n">
        <v>0</v>
      </c>
      <c r="P332" t="n">
        <v>0</v>
      </c>
      <c r="Q332" t="n">
        <v>0</v>
      </c>
      <c r="R332" s="2" t="inlineStr"/>
    </row>
    <row r="333" ht="15" customHeight="1">
      <c r="A333" t="inlineStr">
        <is>
          <t>A 50061-2024</t>
        </is>
      </c>
      <c r="B333" s="1" t="n">
        <v>45600.34721064815</v>
      </c>
      <c r="C333" s="1" t="n">
        <v>45892</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54519-2023</t>
        </is>
      </c>
      <c r="B334" s="1" t="n">
        <v>45233.58359953704</v>
      </c>
      <c r="C334" s="1" t="n">
        <v>45892</v>
      </c>
      <c r="D334" t="inlineStr">
        <is>
          <t>DALARNAS LÄN</t>
        </is>
      </c>
      <c r="E334" t="inlineStr">
        <is>
          <t>ORSA</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35940-2025</t>
        </is>
      </c>
      <c r="B335" s="1" t="n">
        <v>45862.65081018519</v>
      </c>
      <c r="C335" s="1" t="n">
        <v>45892</v>
      </c>
      <c r="D335" t="inlineStr">
        <is>
          <t>DALARNAS LÄN</t>
        </is>
      </c>
      <c r="E335" t="inlineStr">
        <is>
          <t>ORSA</t>
        </is>
      </c>
      <c r="G335" t="n">
        <v>5.1</v>
      </c>
      <c r="H335" t="n">
        <v>0</v>
      </c>
      <c r="I335" t="n">
        <v>0</v>
      </c>
      <c r="J335" t="n">
        <v>0</v>
      </c>
      <c r="K335" t="n">
        <v>0</v>
      </c>
      <c r="L335" t="n">
        <v>0</v>
      </c>
      <c r="M335" t="n">
        <v>0</v>
      </c>
      <c r="N335" t="n">
        <v>0</v>
      </c>
      <c r="O335" t="n">
        <v>0</v>
      </c>
      <c r="P335" t="n">
        <v>0</v>
      </c>
      <c r="Q335" t="n">
        <v>0</v>
      </c>
      <c r="R335" s="2" t="inlineStr"/>
    </row>
    <row r="336" ht="15" customHeight="1">
      <c r="A336" t="inlineStr">
        <is>
          <t>A 13185-2022</t>
        </is>
      </c>
      <c r="B336" s="1" t="n">
        <v>44644.48491898148</v>
      </c>
      <c r="C336" s="1" t="n">
        <v>45892</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3168-2024</t>
        </is>
      </c>
      <c r="B337" s="1" t="n">
        <v>45316.62863425926</v>
      </c>
      <c r="C337" s="1" t="n">
        <v>45892</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12101-2025</t>
        </is>
      </c>
      <c r="B338" s="1" t="n">
        <v>45729.33743055556</v>
      </c>
      <c r="C338" s="1" t="n">
        <v>45892</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61277-2023</t>
        </is>
      </c>
      <c r="B339" s="1" t="n">
        <v>45264.52465277778</v>
      </c>
      <c r="C339" s="1" t="n">
        <v>45892</v>
      </c>
      <c r="D339" t="inlineStr">
        <is>
          <t>DALARNAS LÄN</t>
        </is>
      </c>
      <c r="E339" t="inlineStr">
        <is>
          <t>ORSA</t>
        </is>
      </c>
      <c r="G339" t="n">
        <v>0.7</v>
      </c>
      <c r="H339" t="n">
        <v>0</v>
      </c>
      <c r="I339" t="n">
        <v>0</v>
      </c>
      <c r="J339" t="n">
        <v>0</v>
      </c>
      <c r="K339" t="n">
        <v>0</v>
      </c>
      <c r="L339" t="n">
        <v>0</v>
      </c>
      <c r="M339" t="n">
        <v>0</v>
      </c>
      <c r="N339" t="n">
        <v>0</v>
      </c>
      <c r="O339" t="n">
        <v>0</v>
      </c>
      <c r="P339" t="n">
        <v>0</v>
      </c>
      <c r="Q339" t="n">
        <v>0</v>
      </c>
      <c r="R339" s="2" t="inlineStr"/>
    </row>
    <row r="340" ht="15" customHeight="1">
      <c r="A340" t="inlineStr">
        <is>
          <t>A 10644-2025</t>
        </is>
      </c>
      <c r="B340" s="1" t="n">
        <v>45721.66222222222</v>
      </c>
      <c r="C340" s="1" t="n">
        <v>45892</v>
      </c>
      <c r="D340" t="inlineStr">
        <is>
          <t>DALARNAS LÄN</t>
        </is>
      </c>
      <c r="E340" t="inlineStr">
        <is>
          <t>ORSA</t>
        </is>
      </c>
      <c r="F340" t="inlineStr">
        <is>
          <t>Bergvik skog öst AB</t>
        </is>
      </c>
      <c r="G340" t="n">
        <v>5.8</v>
      </c>
      <c r="H340" t="n">
        <v>0</v>
      </c>
      <c r="I340" t="n">
        <v>0</v>
      </c>
      <c r="J340" t="n">
        <v>0</v>
      </c>
      <c r="K340" t="n">
        <v>0</v>
      </c>
      <c r="L340" t="n">
        <v>0</v>
      </c>
      <c r="M340" t="n">
        <v>0</v>
      </c>
      <c r="N340" t="n">
        <v>0</v>
      </c>
      <c r="O340" t="n">
        <v>0</v>
      </c>
      <c r="P340" t="n">
        <v>0</v>
      </c>
      <c r="Q340" t="n">
        <v>0</v>
      </c>
      <c r="R340" s="2" t="inlineStr"/>
    </row>
    <row r="341" ht="15" customHeight="1">
      <c r="A341" t="inlineStr">
        <is>
          <t>A 33945-2022</t>
        </is>
      </c>
      <c r="B341" s="1" t="n">
        <v>44790.66212962963</v>
      </c>
      <c r="C341" s="1" t="n">
        <v>45892</v>
      </c>
      <c r="D341" t="inlineStr">
        <is>
          <t>DALARNAS LÄN</t>
        </is>
      </c>
      <c r="E341" t="inlineStr">
        <is>
          <t>ORSA</t>
        </is>
      </c>
      <c r="F341" t="inlineStr">
        <is>
          <t>Bergvik skog öst AB</t>
        </is>
      </c>
      <c r="G341" t="n">
        <v>1.9</v>
      </c>
      <c r="H341" t="n">
        <v>0</v>
      </c>
      <c r="I341" t="n">
        <v>0</v>
      </c>
      <c r="J341" t="n">
        <v>0</v>
      </c>
      <c r="K341" t="n">
        <v>0</v>
      </c>
      <c r="L341" t="n">
        <v>0</v>
      </c>
      <c r="M341" t="n">
        <v>0</v>
      </c>
      <c r="N341" t="n">
        <v>0</v>
      </c>
      <c r="O341" t="n">
        <v>0</v>
      </c>
      <c r="P341" t="n">
        <v>0</v>
      </c>
      <c r="Q341" t="n">
        <v>0</v>
      </c>
      <c r="R341" s="2" t="inlineStr"/>
    </row>
    <row r="342" ht="15" customHeight="1">
      <c r="A342" t="inlineStr">
        <is>
          <t>A 61053-2024</t>
        </is>
      </c>
      <c r="B342" s="1" t="n">
        <v>45645.48501157408</v>
      </c>
      <c r="C342" s="1" t="n">
        <v>45892</v>
      </c>
      <c r="D342" t="inlineStr">
        <is>
          <t>DALARNAS LÄN</t>
        </is>
      </c>
      <c r="E342" t="inlineStr">
        <is>
          <t>ORSA</t>
        </is>
      </c>
      <c r="G342" t="n">
        <v>2.6</v>
      </c>
      <c r="H342" t="n">
        <v>0</v>
      </c>
      <c r="I342" t="n">
        <v>0</v>
      </c>
      <c r="J342" t="n">
        <v>0</v>
      </c>
      <c r="K342" t="n">
        <v>0</v>
      </c>
      <c r="L342" t="n">
        <v>0</v>
      </c>
      <c r="M342" t="n">
        <v>0</v>
      </c>
      <c r="N342" t="n">
        <v>0</v>
      </c>
      <c r="O342" t="n">
        <v>0</v>
      </c>
      <c r="P342" t="n">
        <v>0</v>
      </c>
      <c r="Q342" t="n">
        <v>0</v>
      </c>
      <c r="R342" s="2" t="inlineStr"/>
    </row>
    <row r="343" ht="15" customHeight="1">
      <c r="A343" t="inlineStr">
        <is>
          <t>A 22911-2023</t>
        </is>
      </c>
      <c r="B343" s="1" t="n">
        <v>45072</v>
      </c>
      <c r="C343" s="1" t="n">
        <v>45892</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34125-2023</t>
        </is>
      </c>
      <c r="B344" s="1" t="n">
        <v>45135</v>
      </c>
      <c r="C344" s="1" t="n">
        <v>45892</v>
      </c>
      <c r="D344" t="inlineStr">
        <is>
          <t>DALARNAS LÄN</t>
        </is>
      </c>
      <c r="E344" t="inlineStr">
        <is>
          <t>ORSA</t>
        </is>
      </c>
      <c r="G344" t="n">
        <v>2.7</v>
      </c>
      <c r="H344" t="n">
        <v>0</v>
      </c>
      <c r="I344" t="n">
        <v>0</v>
      </c>
      <c r="J344" t="n">
        <v>0</v>
      </c>
      <c r="K344" t="n">
        <v>0</v>
      </c>
      <c r="L344" t="n">
        <v>0</v>
      </c>
      <c r="M344" t="n">
        <v>0</v>
      </c>
      <c r="N344" t="n">
        <v>0</v>
      </c>
      <c r="O344" t="n">
        <v>0</v>
      </c>
      <c r="P344" t="n">
        <v>0</v>
      </c>
      <c r="Q344" t="n">
        <v>0</v>
      </c>
      <c r="R344" s="2" t="inlineStr"/>
    </row>
    <row r="345" ht="15" customHeight="1">
      <c r="A345" t="inlineStr">
        <is>
          <t>A 28974-2024</t>
        </is>
      </c>
      <c r="B345" s="1" t="n">
        <v>45481.45445601852</v>
      </c>
      <c r="C345" s="1" t="n">
        <v>45892</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51303-2023</t>
        </is>
      </c>
      <c r="B346" s="1" t="n">
        <v>45219.55793981482</v>
      </c>
      <c r="C346" s="1" t="n">
        <v>45892</v>
      </c>
      <c r="D346" t="inlineStr">
        <is>
          <t>DALARNAS LÄN</t>
        </is>
      </c>
      <c r="E346" t="inlineStr">
        <is>
          <t>ORSA</t>
        </is>
      </c>
      <c r="G346" t="n">
        <v>1.8</v>
      </c>
      <c r="H346" t="n">
        <v>0</v>
      </c>
      <c r="I346" t="n">
        <v>0</v>
      </c>
      <c r="J346" t="n">
        <v>0</v>
      </c>
      <c r="K346" t="n">
        <v>0</v>
      </c>
      <c r="L346" t="n">
        <v>0</v>
      </c>
      <c r="M346" t="n">
        <v>0</v>
      </c>
      <c r="N346" t="n">
        <v>0</v>
      </c>
      <c r="O346" t="n">
        <v>0</v>
      </c>
      <c r="P346" t="n">
        <v>0</v>
      </c>
      <c r="Q346" t="n">
        <v>0</v>
      </c>
      <c r="R346" s="2" t="inlineStr"/>
    </row>
    <row r="347" ht="15" customHeight="1">
      <c r="A347" t="inlineStr">
        <is>
          <t>A 29933-2025</t>
        </is>
      </c>
      <c r="B347" s="1" t="n">
        <v>45826.44121527778</v>
      </c>
      <c r="C347" s="1" t="n">
        <v>45892</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45892</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18312-2024</t>
        </is>
      </c>
      <c r="B349" s="1" t="n">
        <v>45422.48225694444</v>
      </c>
      <c r="C349" s="1" t="n">
        <v>45892</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29844-2025</t>
        </is>
      </c>
      <c r="B350" s="1" t="n">
        <v>45826</v>
      </c>
      <c r="C350" s="1" t="n">
        <v>45892</v>
      </c>
      <c r="D350" t="inlineStr">
        <is>
          <t>DALARNAS LÄN</t>
        </is>
      </c>
      <c r="E350" t="inlineStr">
        <is>
          <t>ORSA</t>
        </is>
      </c>
      <c r="F350" t="inlineStr">
        <is>
          <t>Allmännings- och besparingsskogar</t>
        </is>
      </c>
      <c r="G350" t="n">
        <v>53.9</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45892</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36570-2025</t>
        </is>
      </c>
      <c r="B352" s="1" t="n">
        <v>45870.38728009259</v>
      </c>
      <c r="C352" s="1" t="n">
        <v>45892</v>
      </c>
      <c r="D352" t="inlineStr">
        <is>
          <t>DALARNAS LÄN</t>
        </is>
      </c>
      <c r="E352" t="inlineStr">
        <is>
          <t>ORSA</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51574-2023</t>
        </is>
      </c>
      <c r="B353" s="1" t="n">
        <v>45222.45090277777</v>
      </c>
      <c r="C353" s="1" t="n">
        <v>45892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31365-2025</t>
        </is>
      </c>
      <c r="B354" s="1" t="n">
        <v>45833.43884259259</v>
      </c>
      <c r="C354" s="1" t="n">
        <v>45892</v>
      </c>
      <c r="D354" t="inlineStr">
        <is>
          <t>DALARNAS LÄN</t>
        </is>
      </c>
      <c r="E354" t="inlineStr">
        <is>
          <t>ORSA</t>
        </is>
      </c>
      <c r="G354" t="n">
        <v>1.6</v>
      </c>
      <c r="H354" t="n">
        <v>0</v>
      </c>
      <c r="I354" t="n">
        <v>0</v>
      </c>
      <c r="J354" t="n">
        <v>0</v>
      </c>
      <c r="K354" t="n">
        <v>0</v>
      </c>
      <c r="L354" t="n">
        <v>0</v>
      </c>
      <c r="M354" t="n">
        <v>0</v>
      </c>
      <c r="N354" t="n">
        <v>0</v>
      </c>
      <c r="O354" t="n">
        <v>0</v>
      </c>
      <c r="P354" t="n">
        <v>0</v>
      </c>
      <c r="Q354" t="n">
        <v>0</v>
      </c>
      <c r="R354" s="2" t="inlineStr"/>
    </row>
    <row r="355" ht="15" customHeight="1">
      <c r="A355" t="inlineStr">
        <is>
          <t>A 72310-2021</t>
        </is>
      </c>
      <c r="B355" s="1" t="n">
        <v>44545</v>
      </c>
      <c r="C355" s="1" t="n">
        <v>45892</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60803-2022</t>
        </is>
      </c>
      <c r="B356" s="1" t="n">
        <v>44914</v>
      </c>
      <c r="C356" s="1" t="n">
        <v>45892</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36633-2025</t>
        </is>
      </c>
      <c r="B357" s="1" t="n">
        <v>45870</v>
      </c>
      <c r="C357" s="1" t="n">
        <v>45892</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15769-2025</t>
        </is>
      </c>
      <c r="B358" s="1" t="n">
        <v>45748.58792824074</v>
      </c>
      <c r="C358" s="1" t="n">
        <v>45892</v>
      </c>
      <c r="D358" t="inlineStr">
        <is>
          <t>DALARNAS LÄN</t>
        </is>
      </c>
      <c r="E358" t="inlineStr">
        <is>
          <t>ORSA</t>
        </is>
      </c>
      <c r="F358" t="inlineStr">
        <is>
          <t>Bergvik skog öst AB</t>
        </is>
      </c>
      <c r="G358" t="n">
        <v>4.7</v>
      </c>
      <c r="H358" t="n">
        <v>0</v>
      </c>
      <c r="I358" t="n">
        <v>0</v>
      </c>
      <c r="J358" t="n">
        <v>0</v>
      </c>
      <c r="K358" t="n">
        <v>0</v>
      </c>
      <c r="L358" t="n">
        <v>0</v>
      </c>
      <c r="M358" t="n">
        <v>0</v>
      </c>
      <c r="N358" t="n">
        <v>0</v>
      </c>
      <c r="O358" t="n">
        <v>0</v>
      </c>
      <c r="P358" t="n">
        <v>0</v>
      </c>
      <c r="Q358" t="n">
        <v>0</v>
      </c>
      <c r="R358" s="2" t="inlineStr"/>
    </row>
    <row r="359" ht="15" customHeight="1">
      <c r="A359" t="inlineStr">
        <is>
          <t>A 7628-2025</t>
        </is>
      </c>
      <c r="B359" s="1" t="n">
        <v>45705.73394675926</v>
      </c>
      <c r="C359" s="1" t="n">
        <v>45892</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19505-2022</t>
        </is>
      </c>
      <c r="B360" s="1" t="n">
        <v>44693</v>
      </c>
      <c r="C360" s="1" t="n">
        <v>45892</v>
      </c>
      <c r="D360" t="inlineStr">
        <is>
          <t>DALARNAS LÄN</t>
        </is>
      </c>
      <c r="E360" t="inlineStr">
        <is>
          <t>ORSA</t>
        </is>
      </c>
      <c r="G360" t="n">
        <v>2.7</v>
      </c>
      <c r="H360" t="n">
        <v>0</v>
      </c>
      <c r="I360" t="n">
        <v>0</v>
      </c>
      <c r="J360" t="n">
        <v>0</v>
      </c>
      <c r="K360" t="n">
        <v>0</v>
      </c>
      <c r="L360" t="n">
        <v>0</v>
      </c>
      <c r="M360" t="n">
        <v>0</v>
      </c>
      <c r="N360" t="n">
        <v>0</v>
      </c>
      <c r="O360" t="n">
        <v>0</v>
      </c>
      <c r="P360" t="n">
        <v>0</v>
      </c>
      <c r="Q360" t="n">
        <v>0</v>
      </c>
      <c r="R360" s="2" t="inlineStr"/>
    </row>
    <row r="361" ht="15" customHeight="1">
      <c r="A361" t="inlineStr">
        <is>
          <t>A 37181-2025</t>
        </is>
      </c>
      <c r="B361" s="1" t="n">
        <v>45875.62668981482</v>
      </c>
      <c r="C361" s="1" t="n">
        <v>45892</v>
      </c>
      <c r="D361" t="inlineStr">
        <is>
          <t>DALARNAS LÄN</t>
        </is>
      </c>
      <c r="E361" t="inlineStr">
        <is>
          <t>ORSA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61685-2024</t>
        </is>
      </c>
      <c r="B362" s="1" t="n">
        <v>45647.56972222222</v>
      </c>
      <c r="C362" s="1" t="n">
        <v>45892</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6939-2021</t>
        </is>
      </c>
      <c r="B363" s="1" t="n">
        <v>44237</v>
      </c>
      <c r="C363" s="1" t="n">
        <v>45892</v>
      </c>
      <c r="D363" t="inlineStr">
        <is>
          <t>DALARNAS LÄN</t>
        </is>
      </c>
      <c r="E363" t="inlineStr">
        <is>
          <t>ORSA</t>
        </is>
      </c>
      <c r="F363" t="inlineStr">
        <is>
          <t>Övriga statliga verk och myndigheter</t>
        </is>
      </c>
      <c r="G363" t="n">
        <v>1.5</v>
      </c>
      <c r="H363" t="n">
        <v>0</v>
      </c>
      <c r="I363" t="n">
        <v>0</v>
      </c>
      <c r="J363" t="n">
        <v>0</v>
      </c>
      <c r="K363" t="n">
        <v>0</v>
      </c>
      <c r="L363" t="n">
        <v>0</v>
      </c>
      <c r="M363" t="n">
        <v>0</v>
      </c>
      <c r="N363" t="n">
        <v>0</v>
      </c>
      <c r="O363" t="n">
        <v>0</v>
      </c>
      <c r="P363" t="n">
        <v>0</v>
      </c>
      <c r="Q363" t="n">
        <v>0</v>
      </c>
      <c r="R363" s="2" t="inlineStr"/>
    </row>
    <row r="364" ht="15" customHeight="1">
      <c r="A364" t="inlineStr">
        <is>
          <t>A 37457-2025</t>
        </is>
      </c>
      <c r="B364" s="1" t="n">
        <v>45877.56829861111</v>
      </c>
      <c r="C364" s="1" t="n">
        <v>45892</v>
      </c>
      <c r="D364" t="inlineStr">
        <is>
          <t>DALARNAS LÄN</t>
        </is>
      </c>
      <c r="E364" t="inlineStr">
        <is>
          <t>ORSA</t>
        </is>
      </c>
      <c r="F364" t="inlineStr">
        <is>
          <t>Allmännings- och besparingsskogar</t>
        </is>
      </c>
      <c r="G364" t="n">
        <v>6.5</v>
      </c>
      <c r="H364" t="n">
        <v>0</v>
      </c>
      <c r="I364" t="n">
        <v>0</v>
      </c>
      <c r="J364" t="n">
        <v>0</v>
      </c>
      <c r="K364" t="n">
        <v>0</v>
      </c>
      <c r="L364" t="n">
        <v>0</v>
      </c>
      <c r="M364" t="n">
        <v>0</v>
      </c>
      <c r="N364" t="n">
        <v>0</v>
      </c>
      <c r="O364" t="n">
        <v>0</v>
      </c>
      <c r="P364" t="n">
        <v>0</v>
      </c>
      <c r="Q364" t="n">
        <v>0</v>
      </c>
      <c r="R364" s="2" t="inlineStr"/>
    </row>
    <row r="365" ht="15" customHeight="1">
      <c r="A365" t="inlineStr">
        <is>
          <t>A 34169-2023</t>
        </is>
      </c>
      <c r="B365" s="1" t="n">
        <v>45138.3071412037</v>
      </c>
      <c r="C365" s="1" t="n">
        <v>45892</v>
      </c>
      <c r="D365" t="inlineStr">
        <is>
          <t>DALARNAS LÄN</t>
        </is>
      </c>
      <c r="E365" t="inlineStr">
        <is>
          <t>ORSA</t>
        </is>
      </c>
      <c r="F365" t="inlineStr">
        <is>
          <t>Allmännings- och besparingsskogar</t>
        </is>
      </c>
      <c r="G365" t="n">
        <v>0.7</v>
      </c>
      <c r="H365" t="n">
        <v>0</v>
      </c>
      <c r="I365" t="n">
        <v>0</v>
      </c>
      <c r="J365" t="n">
        <v>0</v>
      </c>
      <c r="K365" t="n">
        <v>0</v>
      </c>
      <c r="L365" t="n">
        <v>0</v>
      </c>
      <c r="M365" t="n">
        <v>0</v>
      </c>
      <c r="N365" t="n">
        <v>0</v>
      </c>
      <c r="O365" t="n">
        <v>0</v>
      </c>
      <c r="P365" t="n">
        <v>0</v>
      </c>
      <c r="Q365" t="n">
        <v>0</v>
      </c>
      <c r="R365" s="2" t="inlineStr"/>
    </row>
    <row r="366" ht="15" customHeight="1">
      <c r="A366" t="inlineStr">
        <is>
          <t>A 31634-2025</t>
        </is>
      </c>
      <c r="B366" s="1" t="n">
        <v>45834</v>
      </c>
      <c r="C366" s="1" t="n">
        <v>45892</v>
      </c>
      <c r="D366" t="inlineStr">
        <is>
          <t>DALARNAS LÄN</t>
        </is>
      </c>
      <c r="E366" t="inlineStr">
        <is>
          <t>ORSA</t>
        </is>
      </c>
      <c r="G366" t="n">
        <v>2</v>
      </c>
      <c r="H366" t="n">
        <v>0</v>
      </c>
      <c r="I366" t="n">
        <v>0</v>
      </c>
      <c r="J366" t="n">
        <v>0</v>
      </c>
      <c r="K366" t="n">
        <v>0</v>
      </c>
      <c r="L366" t="n">
        <v>0</v>
      </c>
      <c r="M366" t="n">
        <v>0</v>
      </c>
      <c r="N366" t="n">
        <v>0</v>
      </c>
      <c r="O366" t="n">
        <v>0</v>
      </c>
      <c r="P366" t="n">
        <v>0</v>
      </c>
      <c r="Q366" t="n">
        <v>0</v>
      </c>
      <c r="R366" s="2" t="inlineStr"/>
    </row>
    <row r="367" ht="15" customHeight="1">
      <c r="A367" t="inlineStr">
        <is>
          <t>A 7534-2025</t>
        </is>
      </c>
      <c r="B367" s="1" t="n">
        <v>45705.56287037037</v>
      </c>
      <c r="C367" s="1" t="n">
        <v>45892</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27146-2021</t>
        </is>
      </c>
      <c r="B368" s="1" t="n">
        <v>44350</v>
      </c>
      <c r="C368" s="1" t="n">
        <v>45892</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58793-2023</t>
        </is>
      </c>
      <c r="B369" s="1" t="n">
        <v>45252.34607638889</v>
      </c>
      <c r="C369" s="1" t="n">
        <v>45892</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15914-2021</t>
        </is>
      </c>
      <c r="B370" s="1" t="n">
        <v>44287</v>
      </c>
      <c r="C370" s="1" t="n">
        <v>45892</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45892</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37439-2025</t>
        </is>
      </c>
      <c r="B372" s="1" t="n">
        <v>45877.53644675926</v>
      </c>
      <c r="C372" s="1" t="n">
        <v>45892</v>
      </c>
      <c r="D372" t="inlineStr">
        <is>
          <t>DALARNAS LÄN</t>
        </is>
      </c>
      <c r="E372" t="inlineStr">
        <is>
          <t>ORSA</t>
        </is>
      </c>
      <c r="F372" t="inlineStr">
        <is>
          <t>Allmännings- och besparingsskogar</t>
        </is>
      </c>
      <c r="G372" t="n">
        <v>7.9</v>
      </c>
      <c r="H372" t="n">
        <v>0</v>
      </c>
      <c r="I372" t="n">
        <v>0</v>
      </c>
      <c r="J372" t="n">
        <v>0</v>
      </c>
      <c r="K372" t="n">
        <v>0</v>
      </c>
      <c r="L372" t="n">
        <v>0</v>
      </c>
      <c r="M372" t="n">
        <v>0</v>
      </c>
      <c r="N372" t="n">
        <v>0</v>
      </c>
      <c r="O372" t="n">
        <v>0</v>
      </c>
      <c r="P372" t="n">
        <v>0</v>
      </c>
      <c r="Q372" t="n">
        <v>0</v>
      </c>
      <c r="R372" s="2" t="inlineStr"/>
    </row>
    <row r="373" ht="15" customHeight="1">
      <c r="A373" t="inlineStr">
        <is>
          <t>A 36427-2023</t>
        </is>
      </c>
      <c r="B373" s="1" t="n">
        <v>45152.60333333333</v>
      </c>
      <c r="C373" s="1" t="n">
        <v>45892</v>
      </c>
      <c r="D373" t="inlineStr">
        <is>
          <t>DALARNAS LÄN</t>
        </is>
      </c>
      <c r="E373" t="inlineStr">
        <is>
          <t>ORSA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31659-2025</t>
        </is>
      </c>
      <c r="B374" s="1" t="n">
        <v>45834.35421296296</v>
      </c>
      <c r="C374" s="1" t="n">
        <v>45892</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29025-2023</t>
        </is>
      </c>
      <c r="B375" s="1" t="n">
        <v>45104.70399305555</v>
      </c>
      <c r="C375" s="1" t="n">
        <v>45892</v>
      </c>
      <c r="D375" t="inlineStr">
        <is>
          <t>DALARNAS LÄN</t>
        </is>
      </c>
      <c r="E375" t="inlineStr">
        <is>
          <t>ORSA</t>
        </is>
      </c>
      <c r="G375" t="n">
        <v>6.6</v>
      </c>
      <c r="H375" t="n">
        <v>0</v>
      </c>
      <c r="I375" t="n">
        <v>0</v>
      </c>
      <c r="J375" t="n">
        <v>0</v>
      </c>
      <c r="K375" t="n">
        <v>0</v>
      </c>
      <c r="L375" t="n">
        <v>0</v>
      </c>
      <c r="M375" t="n">
        <v>0</v>
      </c>
      <c r="N375" t="n">
        <v>0</v>
      </c>
      <c r="O375" t="n">
        <v>0</v>
      </c>
      <c r="P375" t="n">
        <v>0</v>
      </c>
      <c r="Q375" t="n">
        <v>0</v>
      </c>
      <c r="R375" s="2" t="inlineStr"/>
    </row>
    <row r="376" ht="15" customHeight="1">
      <c r="A376" t="inlineStr">
        <is>
          <t>A 6171-2025</t>
        </is>
      </c>
      <c r="B376" s="1" t="n">
        <v>45698.43287037037</v>
      </c>
      <c r="C376" s="1" t="n">
        <v>45892</v>
      </c>
      <c r="D376" t="inlineStr">
        <is>
          <t>DALARNAS LÄN</t>
        </is>
      </c>
      <c r="E376" t="inlineStr">
        <is>
          <t>ORSA</t>
        </is>
      </c>
      <c r="G376" t="n">
        <v>11.1</v>
      </c>
      <c r="H376" t="n">
        <v>0</v>
      </c>
      <c r="I376" t="n">
        <v>0</v>
      </c>
      <c r="J376" t="n">
        <v>0</v>
      </c>
      <c r="K376" t="n">
        <v>0</v>
      </c>
      <c r="L376" t="n">
        <v>0</v>
      </c>
      <c r="M376" t="n">
        <v>0</v>
      </c>
      <c r="N376" t="n">
        <v>0</v>
      </c>
      <c r="O376" t="n">
        <v>0</v>
      </c>
      <c r="P376" t="n">
        <v>0</v>
      </c>
      <c r="Q376" t="n">
        <v>0</v>
      </c>
      <c r="R376" s="2" t="inlineStr"/>
    </row>
    <row r="377" ht="15" customHeight="1">
      <c r="A377" t="inlineStr">
        <is>
          <t>A 30382-2023</t>
        </is>
      </c>
      <c r="B377" s="1" t="n">
        <v>45111</v>
      </c>
      <c r="C377" s="1" t="n">
        <v>45892</v>
      </c>
      <c r="D377" t="inlineStr">
        <is>
          <t>DALARNAS LÄN</t>
        </is>
      </c>
      <c r="E377" t="inlineStr">
        <is>
          <t>ORSA</t>
        </is>
      </c>
      <c r="F377" t="inlineStr">
        <is>
          <t>Bergvik skog öst AB</t>
        </is>
      </c>
      <c r="G377" t="n">
        <v>1.4</v>
      </c>
      <c r="H377" t="n">
        <v>0</v>
      </c>
      <c r="I377" t="n">
        <v>0</v>
      </c>
      <c r="J377" t="n">
        <v>0</v>
      </c>
      <c r="K377" t="n">
        <v>0</v>
      </c>
      <c r="L377" t="n">
        <v>0</v>
      </c>
      <c r="M377" t="n">
        <v>0</v>
      </c>
      <c r="N377" t="n">
        <v>0</v>
      </c>
      <c r="O377" t="n">
        <v>0</v>
      </c>
      <c r="P377" t="n">
        <v>0</v>
      </c>
      <c r="Q377" t="n">
        <v>0</v>
      </c>
      <c r="R377" s="2" t="inlineStr"/>
    </row>
    <row r="378" ht="15" customHeight="1">
      <c r="A378" t="inlineStr">
        <is>
          <t>A 13209-2022</t>
        </is>
      </c>
      <c r="B378" s="1" t="n">
        <v>44644.56325231482</v>
      </c>
      <c r="C378" s="1" t="n">
        <v>45892</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26301-2023</t>
        </is>
      </c>
      <c r="B379" s="1" t="n">
        <v>45091</v>
      </c>
      <c r="C379" s="1" t="n">
        <v>45892</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13236-2022</t>
        </is>
      </c>
      <c r="B380" s="1" t="n">
        <v>44644.61106481482</v>
      </c>
      <c r="C380" s="1" t="n">
        <v>45892</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45892</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37852-2024</t>
        </is>
      </c>
      <c r="B382" s="1" t="n">
        <v>45544.3786574074</v>
      </c>
      <c r="C382" s="1" t="n">
        <v>45892</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37496-2025</t>
        </is>
      </c>
      <c r="B383" s="1" t="n">
        <v>45877.64424768519</v>
      </c>
      <c r="C383" s="1" t="n">
        <v>45892</v>
      </c>
      <c r="D383" t="inlineStr">
        <is>
          <t>DALARNAS LÄN</t>
        </is>
      </c>
      <c r="E383" t="inlineStr">
        <is>
          <t>ORSA</t>
        </is>
      </c>
      <c r="F383" t="inlineStr">
        <is>
          <t>Bergvik skog öst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53717-2024</t>
        </is>
      </c>
      <c r="B384" s="1" t="n">
        <v>45615.43141203704</v>
      </c>
      <c r="C384" s="1" t="n">
        <v>45892</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31688-2024</t>
        </is>
      </c>
      <c r="B385" s="1" t="n">
        <v>45507.46103009259</v>
      </c>
      <c r="C385" s="1" t="n">
        <v>45892</v>
      </c>
      <c r="D385" t="inlineStr">
        <is>
          <t>DALARNAS LÄN</t>
        </is>
      </c>
      <c r="E385" t="inlineStr">
        <is>
          <t>ORSA</t>
        </is>
      </c>
      <c r="G385" t="n">
        <v>0.7</v>
      </c>
      <c r="H385" t="n">
        <v>0</v>
      </c>
      <c r="I385" t="n">
        <v>0</v>
      </c>
      <c r="J385" t="n">
        <v>0</v>
      </c>
      <c r="K385" t="n">
        <v>0</v>
      </c>
      <c r="L385" t="n">
        <v>0</v>
      </c>
      <c r="M385" t="n">
        <v>0</v>
      </c>
      <c r="N385" t="n">
        <v>0</v>
      </c>
      <c r="O385" t="n">
        <v>0</v>
      </c>
      <c r="P385" t="n">
        <v>0</v>
      </c>
      <c r="Q385" t="n">
        <v>0</v>
      </c>
      <c r="R385" s="2" t="inlineStr"/>
    </row>
    <row r="386" ht="15" customHeight="1">
      <c r="A386" t="inlineStr">
        <is>
          <t>A 37445-2025</t>
        </is>
      </c>
      <c r="B386" s="1" t="n">
        <v>45877.54615740741</v>
      </c>
      <c r="C386" s="1" t="n">
        <v>45892</v>
      </c>
      <c r="D386" t="inlineStr">
        <is>
          <t>DALARNAS LÄN</t>
        </is>
      </c>
      <c r="E386" t="inlineStr">
        <is>
          <t>ORSA</t>
        </is>
      </c>
      <c r="F386" t="inlineStr">
        <is>
          <t>Bergvik skog öst AB</t>
        </is>
      </c>
      <c r="G386" t="n">
        <v>13.4</v>
      </c>
      <c r="H386" t="n">
        <v>0</v>
      </c>
      <c r="I386" t="n">
        <v>0</v>
      </c>
      <c r="J386" t="n">
        <v>0</v>
      </c>
      <c r="K386" t="n">
        <v>0</v>
      </c>
      <c r="L386" t="n">
        <v>0</v>
      </c>
      <c r="M386" t="n">
        <v>0</v>
      </c>
      <c r="N386" t="n">
        <v>0</v>
      </c>
      <c r="O386" t="n">
        <v>0</v>
      </c>
      <c r="P386" t="n">
        <v>0</v>
      </c>
      <c r="Q386" t="n">
        <v>0</v>
      </c>
      <c r="R386" s="2" t="inlineStr"/>
    </row>
    <row r="387" ht="15" customHeight="1">
      <c r="A387" t="inlineStr">
        <is>
          <t>A 56706-2021</t>
        </is>
      </c>
      <c r="B387" s="1" t="n">
        <v>44481.4037962963</v>
      </c>
      <c r="C387" s="1" t="n">
        <v>45892</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47579-2023</t>
        </is>
      </c>
      <c r="B388" s="1" t="n">
        <v>45203.42181712963</v>
      </c>
      <c r="C388" s="1" t="n">
        <v>45892</v>
      </c>
      <c r="D388" t="inlineStr">
        <is>
          <t>DALARNAS LÄN</t>
        </is>
      </c>
      <c r="E388" t="inlineStr">
        <is>
          <t>ORSA</t>
        </is>
      </c>
      <c r="G388" t="n">
        <v>2.9</v>
      </c>
      <c r="H388" t="n">
        <v>0</v>
      </c>
      <c r="I388" t="n">
        <v>0</v>
      </c>
      <c r="J388" t="n">
        <v>0</v>
      </c>
      <c r="K388" t="n">
        <v>0</v>
      </c>
      <c r="L388" t="n">
        <v>0</v>
      </c>
      <c r="M388" t="n">
        <v>0</v>
      </c>
      <c r="N388" t="n">
        <v>0</v>
      </c>
      <c r="O388" t="n">
        <v>0</v>
      </c>
      <c r="P388" t="n">
        <v>0</v>
      </c>
      <c r="Q388" t="n">
        <v>0</v>
      </c>
      <c r="R388" s="2" t="inlineStr"/>
    </row>
    <row r="389" ht="15" customHeight="1">
      <c r="A389" t="inlineStr">
        <is>
          <t>A 50999-2021</t>
        </is>
      </c>
      <c r="B389" s="1" t="n">
        <v>44460.85565972222</v>
      </c>
      <c r="C389" s="1" t="n">
        <v>45892</v>
      </c>
      <c r="D389" t="inlineStr">
        <is>
          <t>DALARNAS LÄN</t>
        </is>
      </c>
      <c r="E389" t="inlineStr">
        <is>
          <t>ORSA</t>
        </is>
      </c>
      <c r="G389" t="n">
        <v>3</v>
      </c>
      <c r="H389" t="n">
        <v>0</v>
      </c>
      <c r="I389" t="n">
        <v>0</v>
      </c>
      <c r="J389" t="n">
        <v>0</v>
      </c>
      <c r="K389" t="n">
        <v>0</v>
      </c>
      <c r="L389" t="n">
        <v>0</v>
      </c>
      <c r="M389" t="n">
        <v>0</v>
      </c>
      <c r="N389" t="n">
        <v>0</v>
      </c>
      <c r="O389" t="n">
        <v>0</v>
      </c>
      <c r="P389" t="n">
        <v>0</v>
      </c>
      <c r="Q389" t="n">
        <v>0</v>
      </c>
      <c r="R389" s="2" t="inlineStr"/>
    </row>
    <row r="390" ht="15" customHeight="1">
      <c r="A390" t="inlineStr">
        <is>
          <t>A 27877-2021</t>
        </is>
      </c>
      <c r="B390" s="1" t="n">
        <v>44354.6446875</v>
      </c>
      <c r="C390" s="1" t="n">
        <v>45892</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32325-2025</t>
        </is>
      </c>
      <c r="B391" s="1" t="n">
        <v>45836</v>
      </c>
      <c r="C391" s="1" t="n">
        <v>45892</v>
      </c>
      <c r="D391" t="inlineStr">
        <is>
          <t>DALARNAS LÄN</t>
        </is>
      </c>
      <c r="E391" t="inlineStr">
        <is>
          <t>ORSA</t>
        </is>
      </c>
      <c r="G391" t="n">
        <v>3.8</v>
      </c>
      <c r="H391" t="n">
        <v>0</v>
      </c>
      <c r="I391" t="n">
        <v>0</v>
      </c>
      <c r="J391" t="n">
        <v>0</v>
      </c>
      <c r="K391" t="n">
        <v>0</v>
      </c>
      <c r="L391" t="n">
        <v>0</v>
      </c>
      <c r="M391" t="n">
        <v>0</v>
      </c>
      <c r="N391" t="n">
        <v>0</v>
      </c>
      <c r="O391" t="n">
        <v>0</v>
      </c>
      <c r="P391" t="n">
        <v>0</v>
      </c>
      <c r="Q391" t="n">
        <v>0</v>
      </c>
      <c r="R391" s="2" t="inlineStr"/>
    </row>
    <row r="392" ht="15" customHeight="1">
      <c r="A392" t="inlineStr">
        <is>
          <t>A 37893-2025</t>
        </is>
      </c>
      <c r="B392" s="1" t="n">
        <v>45881.54469907407</v>
      </c>
      <c r="C392" s="1" t="n">
        <v>45892</v>
      </c>
      <c r="D392" t="inlineStr">
        <is>
          <t>DALARNAS LÄN</t>
        </is>
      </c>
      <c r="E392" t="inlineStr">
        <is>
          <t>ORSA</t>
        </is>
      </c>
      <c r="G392" t="n">
        <v>4.4</v>
      </c>
      <c r="H392" t="n">
        <v>0</v>
      </c>
      <c r="I392" t="n">
        <v>0</v>
      </c>
      <c r="J392" t="n">
        <v>0</v>
      </c>
      <c r="K392" t="n">
        <v>0</v>
      </c>
      <c r="L392" t="n">
        <v>0</v>
      </c>
      <c r="M392" t="n">
        <v>0</v>
      </c>
      <c r="N392" t="n">
        <v>0</v>
      </c>
      <c r="O392" t="n">
        <v>0</v>
      </c>
      <c r="P392" t="n">
        <v>0</v>
      </c>
      <c r="Q392" t="n">
        <v>0</v>
      </c>
      <c r="R392" s="2" t="inlineStr"/>
    </row>
    <row r="393" ht="15" customHeight="1">
      <c r="A393" t="inlineStr">
        <is>
          <t>A 37899-2025</t>
        </is>
      </c>
      <c r="B393" s="1" t="n">
        <v>45881.56083333334</v>
      </c>
      <c r="C393" s="1" t="n">
        <v>45892</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37906-2025</t>
        </is>
      </c>
      <c r="B394" s="1" t="n">
        <v>45881.56803240741</v>
      </c>
      <c r="C394" s="1" t="n">
        <v>45892</v>
      </c>
      <c r="D394" t="inlineStr">
        <is>
          <t>DALARNAS LÄN</t>
        </is>
      </c>
      <c r="E394" t="inlineStr">
        <is>
          <t>ORSA</t>
        </is>
      </c>
      <c r="G394" t="n">
        <v>1</v>
      </c>
      <c r="H394" t="n">
        <v>0</v>
      </c>
      <c r="I394" t="n">
        <v>0</v>
      </c>
      <c r="J394" t="n">
        <v>0</v>
      </c>
      <c r="K394" t="n">
        <v>0</v>
      </c>
      <c r="L394" t="n">
        <v>0</v>
      </c>
      <c r="M394" t="n">
        <v>0</v>
      </c>
      <c r="N394" t="n">
        <v>0</v>
      </c>
      <c r="O394" t="n">
        <v>0</v>
      </c>
      <c r="P394" t="n">
        <v>0</v>
      </c>
      <c r="Q394" t="n">
        <v>0</v>
      </c>
      <c r="R394" s="2" t="inlineStr"/>
    </row>
    <row r="395" ht="15" customHeight="1">
      <c r="A395" t="inlineStr">
        <is>
          <t>A 37897-2025</t>
        </is>
      </c>
      <c r="B395" s="1" t="n">
        <v>45881.55274305555</v>
      </c>
      <c r="C395" s="1" t="n">
        <v>45892</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45892</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32984-2025</t>
        </is>
      </c>
      <c r="B397" s="1" t="n">
        <v>45839.93006944445</v>
      </c>
      <c r="C397" s="1" t="n">
        <v>45892</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32985-2025</t>
        </is>
      </c>
      <c r="B398" s="1" t="n">
        <v>45839.93033564815</v>
      </c>
      <c r="C398" s="1" t="n">
        <v>45892</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38047-2025</t>
        </is>
      </c>
      <c r="B399" s="1" t="n">
        <v>45882.4021875</v>
      </c>
      <c r="C399" s="1" t="n">
        <v>45892</v>
      </c>
      <c r="D399" t="inlineStr">
        <is>
          <t>DALARNAS LÄN</t>
        </is>
      </c>
      <c r="E399" t="inlineStr">
        <is>
          <t>ORSA</t>
        </is>
      </c>
      <c r="G399" t="n">
        <v>6.9</v>
      </c>
      <c r="H399" t="n">
        <v>0</v>
      </c>
      <c r="I399" t="n">
        <v>0</v>
      </c>
      <c r="J399" t="n">
        <v>0</v>
      </c>
      <c r="K399" t="n">
        <v>0</v>
      </c>
      <c r="L399" t="n">
        <v>0</v>
      </c>
      <c r="M399" t="n">
        <v>0</v>
      </c>
      <c r="N399" t="n">
        <v>0</v>
      </c>
      <c r="O399" t="n">
        <v>0</v>
      </c>
      <c r="P399" t="n">
        <v>0</v>
      </c>
      <c r="Q399" t="n">
        <v>0</v>
      </c>
      <c r="R399" s="2" t="inlineStr"/>
    </row>
    <row r="400" ht="15" customHeight="1">
      <c r="A400" t="inlineStr">
        <is>
          <t>A 4553-2025</t>
        </is>
      </c>
      <c r="B400" s="1" t="n">
        <v>45687.42143518518</v>
      </c>
      <c r="C400" s="1" t="n">
        <v>45892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15114-2025</t>
        </is>
      </c>
      <c r="B401" s="1" t="n">
        <v>45744.36232638889</v>
      </c>
      <c r="C401" s="1" t="n">
        <v>45892</v>
      </c>
      <c r="D401" t="inlineStr">
        <is>
          <t>DALARNAS LÄN</t>
        </is>
      </c>
      <c r="E401" t="inlineStr">
        <is>
          <t>ORSA</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33158-2025</t>
        </is>
      </c>
      <c r="B402" s="1" t="n">
        <v>45840</v>
      </c>
      <c r="C402" s="1" t="n">
        <v>45892</v>
      </c>
      <c r="D402" t="inlineStr">
        <is>
          <t>DALARNAS LÄN</t>
        </is>
      </c>
      <c r="E402" t="inlineStr">
        <is>
          <t>ORSA</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33394-2025</t>
        </is>
      </c>
      <c r="B403" s="1" t="n">
        <v>45841.41704861111</v>
      </c>
      <c r="C403" s="1" t="n">
        <v>45892</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33059-2025</t>
        </is>
      </c>
      <c r="B404" s="1" t="n">
        <v>45840.43072916667</v>
      </c>
      <c r="C404" s="1" t="n">
        <v>45892</v>
      </c>
      <c r="D404" t="inlineStr">
        <is>
          <t>DALARNAS LÄN</t>
        </is>
      </c>
      <c r="E404" t="inlineStr">
        <is>
          <t>ORSA</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33057-2025</t>
        </is>
      </c>
      <c r="B405" s="1" t="n">
        <v>45840</v>
      </c>
      <c r="C405" s="1" t="n">
        <v>45892</v>
      </c>
      <c r="D405" t="inlineStr">
        <is>
          <t>DALARNAS LÄN</t>
        </is>
      </c>
      <c r="E405" t="inlineStr">
        <is>
          <t>ORSA</t>
        </is>
      </c>
      <c r="F405" t="inlineStr">
        <is>
          <t>Bergvik skog öst AB</t>
        </is>
      </c>
      <c r="G405" t="n">
        <v>3.3</v>
      </c>
      <c r="H405" t="n">
        <v>0</v>
      </c>
      <c r="I405" t="n">
        <v>0</v>
      </c>
      <c r="J405" t="n">
        <v>0</v>
      </c>
      <c r="K405" t="n">
        <v>0</v>
      </c>
      <c r="L405" t="n">
        <v>0</v>
      </c>
      <c r="M405" t="n">
        <v>0</v>
      </c>
      <c r="N405" t="n">
        <v>0</v>
      </c>
      <c r="O405" t="n">
        <v>0</v>
      </c>
      <c r="P405" t="n">
        <v>0</v>
      </c>
      <c r="Q405" t="n">
        <v>0</v>
      </c>
      <c r="R405" s="2" t="inlineStr"/>
    </row>
    <row r="406" ht="15" customHeight="1">
      <c r="A406" t="inlineStr">
        <is>
          <t>A 51567-2023</t>
        </is>
      </c>
      <c r="B406" s="1" t="n">
        <v>45222.44800925926</v>
      </c>
      <c r="C406" s="1" t="n">
        <v>45892</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33209-2025</t>
        </is>
      </c>
      <c r="B407" s="1" t="n">
        <v>45840.62648148148</v>
      </c>
      <c r="C407" s="1" t="n">
        <v>45892</v>
      </c>
      <c r="D407" t="inlineStr">
        <is>
          <t>DALARNAS LÄN</t>
        </is>
      </c>
      <c r="E407" t="inlineStr">
        <is>
          <t>ORSA</t>
        </is>
      </c>
      <c r="G407" t="n">
        <v>1.3</v>
      </c>
      <c r="H407" t="n">
        <v>0</v>
      </c>
      <c r="I407" t="n">
        <v>0</v>
      </c>
      <c r="J407" t="n">
        <v>0</v>
      </c>
      <c r="K407" t="n">
        <v>0</v>
      </c>
      <c r="L407" t="n">
        <v>0</v>
      </c>
      <c r="M407" t="n">
        <v>0</v>
      </c>
      <c r="N407" t="n">
        <v>0</v>
      </c>
      <c r="O407" t="n">
        <v>0</v>
      </c>
      <c r="P407" t="n">
        <v>0</v>
      </c>
      <c r="Q407" t="n">
        <v>0</v>
      </c>
      <c r="R407" s="2" t="inlineStr"/>
    </row>
    <row r="408" ht="15" customHeight="1">
      <c r="A408" t="inlineStr">
        <is>
          <t>A 17518-2025</t>
        </is>
      </c>
      <c r="B408" s="1" t="n">
        <v>45757.57597222222</v>
      </c>
      <c r="C408" s="1" t="n">
        <v>45892</v>
      </c>
      <c r="D408" t="inlineStr">
        <is>
          <t>DALARNAS LÄN</t>
        </is>
      </c>
      <c r="E408" t="inlineStr">
        <is>
          <t>ORSA</t>
        </is>
      </c>
      <c r="F408" t="inlineStr">
        <is>
          <t>Bergvik skog öst AB</t>
        </is>
      </c>
      <c r="G408" t="n">
        <v>7.3</v>
      </c>
      <c r="H408" t="n">
        <v>0</v>
      </c>
      <c r="I408" t="n">
        <v>0</v>
      </c>
      <c r="J408" t="n">
        <v>0</v>
      </c>
      <c r="K408" t="n">
        <v>0</v>
      </c>
      <c r="L408" t="n">
        <v>0</v>
      </c>
      <c r="M408" t="n">
        <v>0</v>
      </c>
      <c r="N408" t="n">
        <v>0</v>
      </c>
      <c r="O408" t="n">
        <v>0</v>
      </c>
      <c r="P408" t="n">
        <v>0</v>
      </c>
      <c r="Q408" t="n">
        <v>0</v>
      </c>
      <c r="R408" s="2" t="inlineStr"/>
    </row>
    <row r="409" ht="15" customHeight="1">
      <c r="A409" t="inlineStr">
        <is>
          <t>A 33214-2025</t>
        </is>
      </c>
      <c r="B409" s="1" t="n">
        <v>45840.6295949074</v>
      </c>
      <c r="C409" s="1" t="n">
        <v>45892</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45892</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33374-2025</t>
        </is>
      </c>
      <c r="B411" s="1" t="n">
        <v>45841.39582175926</v>
      </c>
      <c r="C411" s="1" t="n">
        <v>45892</v>
      </c>
      <c r="D411" t="inlineStr">
        <is>
          <t>DALARNAS LÄN</t>
        </is>
      </c>
      <c r="E411" t="inlineStr">
        <is>
          <t>ORSA</t>
        </is>
      </c>
      <c r="G411" t="n">
        <v>1</v>
      </c>
      <c r="H411" t="n">
        <v>0</v>
      </c>
      <c r="I411" t="n">
        <v>0</v>
      </c>
      <c r="J411" t="n">
        <v>0</v>
      </c>
      <c r="K411" t="n">
        <v>0</v>
      </c>
      <c r="L411" t="n">
        <v>0</v>
      </c>
      <c r="M411" t="n">
        <v>0</v>
      </c>
      <c r="N411" t="n">
        <v>0</v>
      </c>
      <c r="O411" t="n">
        <v>0</v>
      </c>
      <c r="P411" t="n">
        <v>0</v>
      </c>
      <c r="Q411" t="n">
        <v>0</v>
      </c>
      <c r="R411" s="2" t="inlineStr"/>
    </row>
    <row r="412" ht="15" customHeight="1">
      <c r="A412" t="inlineStr">
        <is>
          <t>A 9466-2023</t>
        </is>
      </c>
      <c r="B412" s="1" t="n">
        <v>44981</v>
      </c>
      <c r="C412" s="1" t="n">
        <v>45892</v>
      </c>
      <c r="D412" t="inlineStr">
        <is>
          <t>DALARNAS LÄN</t>
        </is>
      </c>
      <c r="E412" t="inlineStr">
        <is>
          <t>ORSA</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23461-2023</t>
        </is>
      </c>
      <c r="B413" s="1" t="n">
        <v>45076</v>
      </c>
      <c r="C413" s="1" t="n">
        <v>45892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6097-2025</t>
        </is>
      </c>
      <c r="B414" s="1" t="n">
        <v>45697</v>
      </c>
      <c r="C414" s="1" t="n">
        <v>45892</v>
      </c>
      <c r="D414" t="inlineStr">
        <is>
          <t>DALARNAS LÄN</t>
        </is>
      </c>
      <c r="E414" t="inlineStr">
        <is>
          <t>ORSA</t>
        </is>
      </c>
      <c r="G414" t="n">
        <v>11.1</v>
      </c>
      <c r="H414" t="n">
        <v>0</v>
      </c>
      <c r="I414" t="n">
        <v>0</v>
      </c>
      <c r="J414" t="n">
        <v>0</v>
      </c>
      <c r="K414" t="n">
        <v>0</v>
      </c>
      <c r="L414" t="n">
        <v>0</v>
      </c>
      <c r="M414" t="n">
        <v>0</v>
      </c>
      <c r="N414" t="n">
        <v>0</v>
      </c>
      <c r="O414" t="n">
        <v>0</v>
      </c>
      <c r="P414" t="n">
        <v>0</v>
      </c>
      <c r="Q414" t="n">
        <v>0</v>
      </c>
      <c r="R414" s="2" t="inlineStr"/>
    </row>
    <row r="415" ht="15" customHeight="1">
      <c r="A415" t="inlineStr">
        <is>
          <t>A 38672-2025</t>
        </is>
      </c>
      <c r="B415" s="1" t="n">
        <v>45884.63340277778</v>
      </c>
      <c r="C415" s="1" t="n">
        <v>45892</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38844-2025</t>
        </is>
      </c>
      <c r="B416" s="1" t="n">
        <v>45887.54075231482</v>
      </c>
      <c r="C416" s="1" t="n">
        <v>45892</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33884-2025</t>
        </is>
      </c>
      <c r="B417" s="1" t="n">
        <v>45842.57081018519</v>
      </c>
      <c r="C417" s="1" t="n">
        <v>45892</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38840-2025</t>
        </is>
      </c>
      <c r="B418" s="1" t="n">
        <v>45887.5375</v>
      </c>
      <c r="C418" s="1" t="n">
        <v>45892</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30290-2024</t>
        </is>
      </c>
      <c r="B419" s="1" t="n">
        <v>45490.64681712963</v>
      </c>
      <c r="C419" s="1" t="n">
        <v>45892</v>
      </c>
      <c r="D419" t="inlineStr">
        <is>
          <t>DALARNAS LÄN</t>
        </is>
      </c>
      <c r="E419" t="inlineStr">
        <is>
          <t>ORSA</t>
        </is>
      </c>
      <c r="F419" t="inlineStr">
        <is>
          <t>Bergvik skog öst AB</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33951-2025</t>
        </is>
      </c>
      <c r="B420" s="1" t="n">
        <v>45842.66791666667</v>
      </c>
      <c r="C420" s="1" t="n">
        <v>45892</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33835-2025</t>
        </is>
      </c>
      <c r="B421" s="1" t="n">
        <v>45842.47619212963</v>
      </c>
      <c r="C421" s="1" t="n">
        <v>45892</v>
      </c>
      <c r="D421" t="inlineStr">
        <is>
          <t>DALARNAS LÄN</t>
        </is>
      </c>
      <c r="E421" t="inlineStr">
        <is>
          <t>ORSA</t>
        </is>
      </c>
      <c r="G421" t="n">
        <v>15.2</v>
      </c>
      <c r="H421" t="n">
        <v>0</v>
      </c>
      <c r="I421" t="n">
        <v>0</v>
      </c>
      <c r="J421" t="n">
        <v>0</v>
      </c>
      <c r="K421" t="n">
        <v>0</v>
      </c>
      <c r="L421" t="n">
        <v>0</v>
      </c>
      <c r="M421" t="n">
        <v>0</v>
      </c>
      <c r="N421" t="n">
        <v>0</v>
      </c>
      <c r="O421" t="n">
        <v>0</v>
      </c>
      <c r="P421" t="n">
        <v>0</v>
      </c>
      <c r="Q421" t="n">
        <v>0</v>
      </c>
      <c r="R421" s="2" t="inlineStr"/>
    </row>
    <row r="422" ht="15" customHeight="1">
      <c r="A422" t="inlineStr">
        <is>
          <t>A 33857-2025</t>
        </is>
      </c>
      <c r="B422" s="1" t="n">
        <v>45842.51953703703</v>
      </c>
      <c r="C422" s="1" t="n">
        <v>45892</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37836-2024</t>
        </is>
      </c>
      <c r="B423" s="1" t="n">
        <v>45544.35747685185</v>
      </c>
      <c r="C423" s="1" t="n">
        <v>45892</v>
      </c>
      <c r="D423" t="inlineStr">
        <is>
          <t>DALARNAS LÄN</t>
        </is>
      </c>
      <c r="E423" t="inlineStr">
        <is>
          <t>ORSA</t>
        </is>
      </c>
      <c r="G423" t="n">
        <v>2.3</v>
      </c>
      <c r="H423" t="n">
        <v>0</v>
      </c>
      <c r="I423" t="n">
        <v>0</v>
      </c>
      <c r="J423" t="n">
        <v>0</v>
      </c>
      <c r="K423" t="n">
        <v>0</v>
      </c>
      <c r="L423" t="n">
        <v>0</v>
      </c>
      <c r="M423" t="n">
        <v>0</v>
      </c>
      <c r="N423" t="n">
        <v>0</v>
      </c>
      <c r="O423" t="n">
        <v>0</v>
      </c>
      <c r="P423" t="n">
        <v>0</v>
      </c>
      <c r="Q423" t="n">
        <v>0</v>
      </c>
      <c r="R423" s="2" t="inlineStr"/>
    </row>
    <row r="424" ht="15" customHeight="1">
      <c r="A424" t="inlineStr">
        <is>
          <t>A 13580-2025</t>
        </is>
      </c>
      <c r="B424" s="1" t="n">
        <v>45736.58362268518</v>
      </c>
      <c r="C424" s="1" t="n">
        <v>45892</v>
      </c>
      <c r="D424" t="inlineStr">
        <is>
          <t>DALARNAS LÄN</t>
        </is>
      </c>
      <c r="E424" t="inlineStr">
        <is>
          <t>ORSA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34374-2024</t>
        </is>
      </c>
      <c r="B425" s="1" t="n">
        <v>45525.40091435185</v>
      </c>
      <c r="C425" s="1" t="n">
        <v>45892</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52033-2023</t>
        </is>
      </c>
      <c r="B426" s="1" t="n">
        <v>45223.62680555556</v>
      </c>
      <c r="C426" s="1" t="n">
        <v>45892</v>
      </c>
      <c r="D426" t="inlineStr">
        <is>
          <t>DALARNAS LÄN</t>
        </is>
      </c>
      <c r="E426" t="inlineStr">
        <is>
          <t>ORSA</t>
        </is>
      </c>
      <c r="G426" t="n">
        <v>11.5</v>
      </c>
      <c r="H426" t="n">
        <v>0</v>
      </c>
      <c r="I426" t="n">
        <v>0</v>
      </c>
      <c r="J426" t="n">
        <v>0</v>
      </c>
      <c r="K426" t="n">
        <v>0</v>
      </c>
      <c r="L426" t="n">
        <v>0</v>
      </c>
      <c r="M426" t="n">
        <v>0</v>
      </c>
      <c r="N426" t="n">
        <v>0</v>
      </c>
      <c r="O426" t="n">
        <v>0</v>
      </c>
      <c r="P426" t="n">
        <v>0</v>
      </c>
      <c r="Q426" t="n">
        <v>0</v>
      </c>
      <c r="R426" s="2" t="inlineStr"/>
    </row>
    <row r="427" ht="15" customHeight="1">
      <c r="A427" t="inlineStr">
        <is>
          <t>A 38688-2025</t>
        </is>
      </c>
      <c r="B427" s="1" t="n">
        <v>45884.66097222222</v>
      </c>
      <c r="C427" s="1" t="n">
        <v>45892</v>
      </c>
      <c r="D427" t="inlineStr">
        <is>
          <t>DALARNAS LÄN</t>
        </is>
      </c>
      <c r="E427" t="inlineStr">
        <is>
          <t>ORSA</t>
        </is>
      </c>
      <c r="F427" t="inlineStr">
        <is>
          <t>Allmännings- och besparingsskogar</t>
        </is>
      </c>
      <c r="G427" t="n">
        <v>10.2</v>
      </c>
      <c r="H427" t="n">
        <v>0</v>
      </c>
      <c r="I427" t="n">
        <v>0</v>
      </c>
      <c r="J427" t="n">
        <v>0</v>
      </c>
      <c r="K427" t="n">
        <v>0</v>
      </c>
      <c r="L427" t="n">
        <v>0</v>
      </c>
      <c r="M427" t="n">
        <v>0</v>
      </c>
      <c r="N427" t="n">
        <v>0</v>
      </c>
      <c r="O427" t="n">
        <v>0</v>
      </c>
      <c r="P427" t="n">
        <v>0</v>
      </c>
      <c r="Q427" t="n">
        <v>0</v>
      </c>
      <c r="R427" s="2" t="inlineStr"/>
    </row>
    <row r="428" ht="15" customHeight="1">
      <c r="A428" t="inlineStr">
        <is>
          <t>A 38588-2025</t>
        </is>
      </c>
      <c r="B428" s="1" t="n">
        <v>45884.47355324074</v>
      </c>
      <c r="C428" s="1" t="n">
        <v>45892</v>
      </c>
      <c r="D428" t="inlineStr">
        <is>
          <t>DALARNAS LÄN</t>
        </is>
      </c>
      <c r="E428" t="inlineStr">
        <is>
          <t>ORSA</t>
        </is>
      </c>
      <c r="F428" t="inlineStr">
        <is>
          <t>Bergvik skog öst AB</t>
        </is>
      </c>
      <c r="G428" t="n">
        <v>9.5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45892</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54546-2024</t>
        </is>
      </c>
      <c r="B430" s="1" t="n">
        <v>45617.61476851852</v>
      </c>
      <c r="C430" s="1" t="n">
        <v>45892</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55534-2023</t>
        </is>
      </c>
      <c r="B431" s="1" t="n">
        <v>45238</v>
      </c>
      <c r="C431" s="1" t="n">
        <v>45892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63917-2023</t>
        </is>
      </c>
      <c r="B432" s="1" t="n">
        <v>45278</v>
      </c>
      <c r="C432" s="1" t="n">
        <v>45892</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16992-2025</t>
        </is>
      </c>
      <c r="B433" s="1" t="n">
        <v>45755.50215277778</v>
      </c>
      <c r="C433" s="1" t="n">
        <v>45892</v>
      </c>
      <c r="D433" t="inlineStr">
        <is>
          <t>DALARNAS LÄN</t>
        </is>
      </c>
      <c r="E433" t="inlineStr">
        <is>
          <t>ORSA</t>
        </is>
      </c>
      <c r="G433" t="n">
        <v>1.5</v>
      </c>
      <c r="H433" t="n">
        <v>0</v>
      </c>
      <c r="I433" t="n">
        <v>0</v>
      </c>
      <c r="J433" t="n">
        <v>0</v>
      </c>
      <c r="K433" t="n">
        <v>0</v>
      </c>
      <c r="L433" t="n">
        <v>0</v>
      </c>
      <c r="M433" t="n">
        <v>0</v>
      </c>
      <c r="N433" t="n">
        <v>0</v>
      </c>
      <c r="O433" t="n">
        <v>0</v>
      </c>
      <c r="P433" t="n">
        <v>0</v>
      </c>
      <c r="Q433" t="n">
        <v>0</v>
      </c>
      <c r="R433" s="2" t="inlineStr"/>
    </row>
    <row r="434" ht="15" customHeight="1">
      <c r="A434" t="inlineStr">
        <is>
          <t>A 10261-2022</t>
        </is>
      </c>
      <c r="B434" s="1" t="n">
        <v>44622.6445949074</v>
      </c>
      <c r="C434" s="1" t="n">
        <v>45892</v>
      </c>
      <c r="D434" t="inlineStr">
        <is>
          <t>DALARNAS LÄN</t>
        </is>
      </c>
      <c r="E434" t="inlineStr">
        <is>
          <t>ORSA</t>
        </is>
      </c>
      <c r="G434" t="n">
        <v>3.1</v>
      </c>
      <c r="H434" t="n">
        <v>0</v>
      </c>
      <c r="I434" t="n">
        <v>0</v>
      </c>
      <c r="J434" t="n">
        <v>0</v>
      </c>
      <c r="K434" t="n">
        <v>0</v>
      </c>
      <c r="L434" t="n">
        <v>0</v>
      </c>
      <c r="M434" t="n">
        <v>0</v>
      </c>
      <c r="N434" t="n">
        <v>0</v>
      </c>
      <c r="O434" t="n">
        <v>0</v>
      </c>
      <c r="P434" t="n">
        <v>0</v>
      </c>
      <c r="Q434" t="n">
        <v>0</v>
      </c>
      <c r="R434" s="2" t="inlineStr"/>
    </row>
    <row r="435" ht="15" customHeight="1">
      <c r="A435" t="inlineStr">
        <is>
          <t>A 17848-2025</t>
        </is>
      </c>
      <c r="B435" s="1" t="n">
        <v>45758.59981481481</v>
      </c>
      <c r="C435" s="1" t="n">
        <v>45892</v>
      </c>
      <c r="D435" t="inlineStr">
        <is>
          <t>DALARNAS LÄN</t>
        </is>
      </c>
      <c r="E435" t="inlineStr">
        <is>
          <t>ORSA</t>
        </is>
      </c>
      <c r="G435" t="n">
        <v>1.6</v>
      </c>
      <c r="H435" t="n">
        <v>0</v>
      </c>
      <c r="I435" t="n">
        <v>0</v>
      </c>
      <c r="J435" t="n">
        <v>0</v>
      </c>
      <c r="K435" t="n">
        <v>0</v>
      </c>
      <c r="L435" t="n">
        <v>0</v>
      </c>
      <c r="M435" t="n">
        <v>0</v>
      </c>
      <c r="N435" t="n">
        <v>0</v>
      </c>
      <c r="O435" t="n">
        <v>0</v>
      </c>
      <c r="P435" t="n">
        <v>0</v>
      </c>
      <c r="Q435" t="n">
        <v>0</v>
      </c>
      <c r="R435" s="2" t="inlineStr"/>
    </row>
    <row r="436" ht="15" customHeight="1">
      <c r="A436" t="inlineStr">
        <is>
          <t>A 34744-2025</t>
        </is>
      </c>
      <c r="B436" s="1" t="n">
        <v>45848.6125</v>
      </c>
      <c r="C436" s="1" t="n">
        <v>45892</v>
      </c>
      <c r="D436" t="inlineStr">
        <is>
          <t>DALARNAS LÄN</t>
        </is>
      </c>
      <c r="E436" t="inlineStr">
        <is>
          <t>ORSA</t>
        </is>
      </c>
      <c r="G436" t="n">
        <v>1.7</v>
      </c>
      <c r="H436" t="n">
        <v>0</v>
      </c>
      <c r="I436" t="n">
        <v>0</v>
      </c>
      <c r="J436" t="n">
        <v>0</v>
      </c>
      <c r="K436" t="n">
        <v>0</v>
      </c>
      <c r="L436" t="n">
        <v>0</v>
      </c>
      <c r="M436" t="n">
        <v>0</v>
      </c>
      <c r="N436" t="n">
        <v>0</v>
      </c>
      <c r="O436" t="n">
        <v>0</v>
      </c>
      <c r="P436" t="n">
        <v>0</v>
      </c>
      <c r="Q436" t="n">
        <v>0</v>
      </c>
      <c r="R436" s="2" t="inlineStr"/>
    </row>
    <row r="437" ht="15" customHeight="1">
      <c r="A437" t="inlineStr">
        <is>
          <t>A 34769-2025</t>
        </is>
      </c>
      <c r="B437" s="1" t="n">
        <v>45848.6534837963</v>
      </c>
      <c r="C437" s="1" t="n">
        <v>45892</v>
      </c>
      <c r="D437" t="inlineStr">
        <is>
          <t>DALARNAS LÄN</t>
        </is>
      </c>
      <c r="E437" t="inlineStr">
        <is>
          <t>ORSA</t>
        </is>
      </c>
      <c r="G437" t="n">
        <v>0.4</v>
      </c>
      <c r="H437" t="n">
        <v>0</v>
      </c>
      <c r="I437" t="n">
        <v>0</v>
      </c>
      <c r="J437" t="n">
        <v>0</v>
      </c>
      <c r="K437" t="n">
        <v>0</v>
      </c>
      <c r="L437" t="n">
        <v>0</v>
      </c>
      <c r="M437" t="n">
        <v>0</v>
      </c>
      <c r="N437" t="n">
        <v>0</v>
      </c>
      <c r="O437" t="n">
        <v>0</v>
      </c>
      <c r="P437" t="n">
        <v>0</v>
      </c>
      <c r="Q437" t="n">
        <v>0</v>
      </c>
      <c r="R437" s="2" t="inlineStr"/>
    </row>
    <row r="438" ht="15" customHeight="1">
      <c r="A438" t="inlineStr">
        <is>
          <t>A 34777-2025</t>
        </is>
      </c>
      <c r="B438" s="1" t="n">
        <v>45848.66167824074</v>
      </c>
      <c r="C438" s="1" t="n">
        <v>45892</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39682-2025</t>
        </is>
      </c>
      <c r="B439" s="1" t="n">
        <v>45890.66075231481</v>
      </c>
      <c r="C439" s="1" t="n">
        <v>45892</v>
      </c>
      <c r="D439" t="inlineStr">
        <is>
          <t>DALARNAS LÄN</t>
        </is>
      </c>
      <c r="E439" t="inlineStr">
        <is>
          <t>ORSA</t>
        </is>
      </c>
      <c r="G439" t="n">
        <v>6.6</v>
      </c>
      <c r="H439" t="n">
        <v>0</v>
      </c>
      <c r="I439" t="n">
        <v>0</v>
      </c>
      <c r="J439" t="n">
        <v>0</v>
      </c>
      <c r="K439" t="n">
        <v>0</v>
      </c>
      <c r="L439" t="n">
        <v>0</v>
      </c>
      <c r="M439" t="n">
        <v>0</v>
      </c>
      <c r="N439" t="n">
        <v>0</v>
      </c>
      <c r="O439" t="n">
        <v>0</v>
      </c>
      <c r="P439" t="n">
        <v>0</v>
      </c>
      <c r="Q439" t="n">
        <v>0</v>
      </c>
      <c r="R439" s="2" t="inlineStr"/>
    </row>
    <row r="440" ht="15" customHeight="1">
      <c r="A440" t="inlineStr">
        <is>
          <t>A 34794-2025</t>
        </is>
      </c>
      <c r="B440" s="1" t="n">
        <v>45848.73256944444</v>
      </c>
      <c r="C440" s="1" t="n">
        <v>45892</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34779-2025</t>
        </is>
      </c>
      <c r="B441" s="1" t="n">
        <v>45848.66987268518</v>
      </c>
      <c r="C441" s="1" t="n">
        <v>45892</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34753-2025</t>
        </is>
      </c>
      <c r="B442" s="1" t="n">
        <v>45848.62001157407</v>
      </c>
      <c r="C442" s="1" t="n">
        <v>45892</v>
      </c>
      <c r="D442" t="inlineStr">
        <is>
          <t>DALARNAS LÄN</t>
        </is>
      </c>
      <c r="E442" t="inlineStr">
        <is>
          <t>ORSA</t>
        </is>
      </c>
      <c r="G442" t="n">
        <v>1.4</v>
      </c>
      <c r="H442" t="n">
        <v>0</v>
      </c>
      <c r="I442" t="n">
        <v>0</v>
      </c>
      <c r="J442" t="n">
        <v>0</v>
      </c>
      <c r="K442" t="n">
        <v>0</v>
      </c>
      <c r="L442" t="n">
        <v>0</v>
      </c>
      <c r="M442" t="n">
        <v>0</v>
      </c>
      <c r="N442" t="n">
        <v>0</v>
      </c>
      <c r="O442" t="n">
        <v>0</v>
      </c>
      <c r="P442" t="n">
        <v>0</v>
      </c>
      <c r="Q442" t="n">
        <v>0</v>
      </c>
      <c r="R442" s="2" t="inlineStr"/>
    </row>
    <row r="443" ht="15" customHeight="1">
      <c r="A443" t="inlineStr">
        <is>
          <t>A 61684-2024</t>
        </is>
      </c>
      <c r="B443" s="1" t="n">
        <v>45647.56491898148</v>
      </c>
      <c r="C443" s="1" t="n">
        <v>45892</v>
      </c>
      <c r="D443" t="inlineStr">
        <is>
          <t>DALARNAS LÄN</t>
        </is>
      </c>
      <c r="E443" t="inlineStr">
        <is>
          <t>ORSA</t>
        </is>
      </c>
      <c r="G443" t="n">
        <v>5.8</v>
      </c>
      <c r="H443" t="n">
        <v>0</v>
      </c>
      <c r="I443" t="n">
        <v>0</v>
      </c>
      <c r="J443" t="n">
        <v>0</v>
      </c>
      <c r="K443" t="n">
        <v>0</v>
      </c>
      <c r="L443" t="n">
        <v>0</v>
      </c>
      <c r="M443" t="n">
        <v>0</v>
      </c>
      <c r="N443" t="n">
        <v>0</v>
      </c>
      <c r="O443" t="n">
        <v>0</v>
      </c>
      <c r="P443" t="n">
        <v>0</v>
      </c>
      <c r="Q443" t="n">
        <v>0</v>
      </c>
      <c r="R443" s="2" t="inlineStr"/>
    </row>
    <row r="444" ht="15" customHeight="1">
      <c r="A444" t="inlineStr">
        <is>
          <t>A 34764-2025</t>
        </is>
      </c>
      <c r="B444" s="1" t="n">
        <v>45848.64788194445</v>
      </c>
      <c r="C444" s="1" t="n">
        <v>45892</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34781-2025</t>
        </is>
      </c>
      <c r="B445" s="1" t="n">
        <v>45848.67424768519</v>
      </c>
      <c r="C445" s="1" t="n">
        <v>45892</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11784-2024</t>
        </is>
      </c>
      <c r="B446" s="1" t="n">
        <v>45374.67886574074</v>
      </c>
      <c r="C446" s="1" t="n">
        <v>45892</v>
      </c>
      <c r="D446" t="inlineStr">
        <is>
          <t>DALARNAS LÄN</t>
        </is>
      </c>
      <c r="E446" t="inlineStr">
        <is>
          <t>ORSA</t>
        </is>
      </c>
      <c r="G446" t="n">
        <v>1.7</v>
      </c>
      <c r="H446" t="n">
        <v>0</v>
      </c>
      <c r="I446" t="n">
        <v>0</v>
      </c>
      <c r="J446" t="n">
        <v>0</v>
      </c>
      <c r="K446" t="n">
        <v>0</v>
      </c>
      <c r="L446" t="n">
        <v>0</v>
      </c>
      <c r="M446" t="n">
        <v>0</v>
      </c>
      <c r="N446" t="n">
        <v>0</v>
      </c>
      <c r="O446" t="n">
        <v>0</v>
      </c>
      <c r="P446" t="n">
        <v>0</v>
      </c>
      <c r="Q446" t="n">
        <v>0</v>
      </c>
      <c r="R446" s="2" t="inlineStr"/>
    </row>
    <row r="447" ht="15" customHeight="1">
      <c r="A447" t="inlineStr">
        <is>
          <t>A 55338-2022</t>
        </is>
      </c>
      <c r="B447" s="1" t="n">
        <v>44887.45185185185</v>
      </c>
      <c r="C447" s="1" t="n">
        <v>45892</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34964-2025</t>
        </is>
      </c>
      <c r="B448" s="1" t="n">
        <v>45849.6330787037</v>
      </c>
      <c r="C448" s="1" t="n">
        <v>45892</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48985-2023</t>
        </is>
      </c>
      <c r="B449" s="1" t="n">
        <v>45209.64077546296</v>
      </c>
      <c r="C449" s="1" t="n">
        <v>45892</v>
      </c>
      <c r="D449" t="inlineStr">
        <is>
          <t>DALARNAS LÄN</t>
        </is>
      </c>
      <c r="E449" t="inlineStr">
        <is>
          <t>ORSA</t>
        </is>
      </c>
      <c r="F449" t="inlineStr">
        <is>
          <t>Allmännings- och besparingsskogar</t>
        </is>
      </c>
      <c r="G449" t="n">
        <v>2.1</v>
      </c>
      <c r="H449" t="n">
        <v>0</v>
      </c>
      <c r="I449" t="n">
        <v>0</v>
      </c>
      <c r="J449" t="n">
        <v>0</v>
      </c>
      <c r="K449" t="n">
        <v>0</v>
      </c>
      <c r="L449" t="n">
        <v>0</v>
      </c>
      <c r="M449" t="n">
        <v>0</v>
      </c>
      <c r="N449" t="n">
        <v>0</v>
      </c>
      <c r="O449" t="n">
        <v>0</v>
      </c>
      <c r="P449" t="n">
        <v>0</v>
      </c>
      <c r="Q449" t="n">
        <v>0</v>
      </c>
      <c r="R449" s="2" t="inlineStr"/>
    </row>
    <row r="450" ht="15" customHeight="1">
      <c r="A450" t="inlineStr">
        <is>
          <t>A 42346-2022</t>
        </is>
      </c>
      <c r="B450" s="1" t="n">
        <v>44831.35561342593</v>
      </c>
      <c r="C450" s="1" t="n">
        <v>45892</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28451-2023</t>
        </is>
      </c>
      <c r="B451" s="1" t="n">
        <v>45103.33896990741</v>
      </c>
      <c r="C451" s="1" t="n">
        <v>45892</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23350-2024</t>
        </is>
      </c>
      <c r="B452" s="1" t="n">
        <v>45453</v>
      </c>
      <c r="C452" s="1" t="n">
        <v>45892</v>
      </c>
      <c r="D452" t="inlineStr">
        <is>
          <t>DALARNAS LÄN</t>
        </is>
      </c>
      <c r="E452" t="inlineStr">
        <is>
          <t>ORSA</t>
        </is>
      </c>
      <c r="G452" t="n">
        <v>18.7</v>
      </c>
      <c r="H452" t="n">
        <v>0</v>
      </c>
      <c r="I452" t="n">
        <v>0</v>
      </c>
      <c r="J452" t="n">
        <v>0</v>
      </c>
      <c r="K452" t="n">
        <v>0</v>
      </c>
      <c r="L452" t="n">
        <v>0</v>
      </c>
      <c r="M452" t="n">
        <v>0</v>
      </c>
      <c r="N452" t="n">
        <v>0</v>
      </c>
      <c r="O452" t="n">
        <v>0</v>
      </c>
      <c r="P452" t="n">
        <v>0</v>
      </c>
      <c r="Q452" t="n">
        <v>0</v>
      </c>
      <c r="R452" s="2" t="inlineStr"/>
    </row>
    <row r="453" ht="15" customHeight="1">
      <c r="A453" t="inlineStr">
        <is>
          <t>A 56942-2024</t>
        </is>
      </c>
      <c r="B453" s="1" t="n">
        <v>45628.62292824074</v>
      </c>
      <c r="C453" s="1" t="n">
        <v>45892</v>
      </c>
      <c r="D453" t="inlineStr">
        <is>
          <t>DALARNAS LÄN</t>
        </is>
      </c>
      <c r="E453" t="inlineStr">
        <is>
          <t>ORSA</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49814-2023</t>
        </is>
      </c>
      <c r="B454" s="1" t="n">
        <v>45212.67149305555</v>
      </c>
      <c r="C454" s="1" t="n">
        <v>45892</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25591-2022</t>
        </is>
      </c>
      <c r="B455" s="1" t="n">
        <v>44732.67958333333</v>
      </c>
      <c r="C455" s="1" t="n">
        <v>45892</v>
      </c>
      <c r="D455" t="inlineStr">
        <is>
          <t>DALARNAS LÄN</t>
        </is>
      </c>
      <c r="E455" t="inlineStr">
        <is>
          <t>ORSA</t>
        </is>
      </c>
      <c r="G455" t="n">
        <v>6</v>
      </c>
      <c r="H455" t="n">
        <v>0</v>
      </c>
      <c r="I455" t="n">
        <v>0</v>
      </c>
      <c r="J455" t="n">
        <v>0</v>
      </c>
      <c r="K455" t="n">
        <v>0</v>
      </c>
      <c r="L455" t="n">
        <v>0</v>
      </c>
      <c r="M455" t="n">
        <v>0</v>
      </c>
      <c r="N455" t="n">
        <v>0</v>
      </c>
      <c r="O455" t="n">
        <v>0</v>
      </c>
      <c r="P455" t="n">
        <v>0</v>
      </c>
      <c r="Q455" t="n">
        <v>0</v>
      </c>
      <c r="R455" s="2" t="inlineStr"/>
    </row>
    <row r="456" ht="15" customHeight="1">
      <c r="A456" t="inlineStr">
        <is>
          <t>A 67189-2020</t>
        </is>
      </c>
      <c r="B456" s="1" t="n">
        <v>44180</v>
      </c>
      <c r="C456" s="1" t="n">
        <v>45892</v>
      </c>
      <c r="D456" t="inlineStr">
        <is>
          <t>DALARNAS LÄN</t>
        </is>
      </c>
      <c r="E456" t="inlineStr">
        <is>
          <t>ORSA</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60189-2022</t>
        </is>
      </c>
      <c r="B457" s="1" t="n">
        <v>44910.36798611111</v>
      </c>
      <c r="C457" s="1" t="n">
        <v>45892</v>
      </c>
      <c r="D457" t="inlineStr">
        <is>
          <t>DALARNAS LÄN</t>
        </is>
      </c>
      <c r="E457" t="inlineStr">
        <is>
          <t>ORSA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16777-2024</t>
        </is>
      </c>
      <c r="B458" s="1" t="n">
        <v>45411</v>
      </c>
      <c r="C458" s="1" t="n">
        <v>45892</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7626-2025</t>
        </is>
      </c>
      <c r="B459" s="1" t="n">
        <v>45705.72799768519</v>
      </c>
      <c r="C459" s="1" t="n">
        <v>45892</v>
      </c>
      <c r="D459" t="inlineStr">
        <is>
          <t>DALARNAS LÄN</t>
        </is>
      </c>
      <c r="E459" t="inlineStr">
        <is>
          <t>ORSA</t>
        </is>
      </c>
      <c r="G459" t="n">
        <v>15.5</v>
      </c>
      <c r="H459" t="n">
        <v>0</v>
      </c>
      <c r="I459" t="n">
        <v>0</v>
      </c>
      <c r="J459" t="n">
        <v>0</v>
      </c>
      <c r="K459" t="n">
        <v>0</v>
      </c>
      <c r="L459" t="n">
        <v>0</v>
      </c>
      <c r="M459" t="n">
        <v>0</v>
      </c>
      <c r="N459" t="n">
        <v>0</v>
      </c>
      <c r="O459" t="n">
        <v>0</v>
      </c>
      <c r="P459" t="n">
        <v>0</v>
      </c>
      <c r="Q459" t="n">
        <v>0</v>
      </c>
      <c r="R459" s="2" t="inlineStr"/>
    </row>
    <row r="460" ht="15" customHeight="1">
      <c r="A460" t="inlineStr">
        <is>
          <t>A 53102-2021</t>
        </is>
      </c>
      <c r="B460" s="1" t="n">
        <v>44467</v>
      </c>
      <c r="C460" s="1" t="n">
        <v>45892</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c r="A461" t="inlineStr">
        <is>
          <t>A 6047-2023</t>
        </is>
      </c>
      <c r="B461" s="1" t="n">
        <v>44964</v>
      </c>
      <c r="C461" s="1" t="n">
        <v>45892</v>
      </c>
      <c r="D461" t="inlineStr">
        <is>
          <t>DALARNAS LÄN</t>
        </is>
      </c>
      <c r="E461" t="inlineStr">
        <is>
          <t>ORSA</t>
        </is>
      </c>
      <c r="F461" t="inlineStr">
        <is>
          <t>Bergvik skog öst AB</t>
        </is>
      </c>
      <c r="G461" t="n">
        <v>0.2</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2025-08-23T08:36:33Z</dcterms:created>
  <dcterms:modified xmlns:dcterms="http://purl.org/dc/terms/" xmlns:xsi="http://www.w3.org/2001/XMLSchema-instance" xsi:type="dcterms:W3CDTF">2025-08-23T08:36:34Z</dcterms:modified>
</cp:coreProperties>
</file>