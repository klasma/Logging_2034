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45928</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45928</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45928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45928</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45928</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45928</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45928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45928</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45928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45928</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45928</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45928</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45928</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45928</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45928</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45928</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7507-2025</t>
        </is>
      </c>
      <c r="B20" s="1" t="n">
        <v>45705</v>
      </c>
      <c r="C20" s="1" t="n">
        <v>45928</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45928</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45928</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707-2024</t>
        </is>
      </c>
      <c r="B23" s="1" t="n">
        <v>45300</v>
      </c>
      <c r="C23" s="1" t="n">
        <v>45928</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45928</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45928</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22172-2025</t>
        </is>
      </c>
      <c r="B26" s="1" t="n">
        <v>45785.6050925926</v>
      </c>
      <c r="C26" s="1" t="n">
        <v>45928</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33841-2023</t>
        </is>
      </c>
      <c r="B27" s="1" t="n">
        <v>45133.66758101852</v>
      </c>
      <c r="C27" s="1" t="n">
        <v>45928</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45928</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3421-2021</t>
        </is>
      </c>
      <c r="B29" s="1" t="n">
        <v>44218</v>
      </c>
      <c r="C29" s="1" t="n">
        <v>45928</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22701-2025</t>
        </is>
      </c>
      <c r="B30" s="1" t="n">
        <v>45787</v>
      </c>
      <c r="C30" s="1" t="n">
        <v>45928</v>
      </c>
      <c r="D30" t="inlineStr">
        <is>
          <t>DALARNAS LÄN</t>
        </is>
      </c>
      <c r="E30" t="inlineStr">
        <is>
          <t>ORSA</t>
        </is>
      </c>
      <c r="G30" t="n">
        <v>23.2</v>
      </c>
      <c r="H30" t="n">
        <v>2</v>
      </c>
      <c r="I30" t="n">
        <v>1</v>
      </c>
      <c r="J30" t="n">
        <v>3</v>
      </c>
      <c r="K30" t="n">
        <v>0</v>
      </c>
      <c r="L30" t="n">
        <v>0</v>
      </c>
      <c r="M30" t="n">
        <v>0</v>
      </c>
      <c r="N30" t="n">
        <v>0</v>
      </c>
      <c r="O30" t="n">
        <v>3</v>
      </c>
      <c r="P30" t="n">
        <v>0</v>
      </c>
      <c r="Q30" t="n">
        <v>4</v>
      </c>
      <c r="R30" s="2" t="inlineStr">
        <is>
          <t>Garnlav
Spillkråka
Tretåig hackspett
Mindre märgborre</t>
        </is>
      </c>
      <c r="S30">
        <f>HYPERLINK("https://klasma.github.io/Logging_2034/artfynd/A 22701-2025 artfynd.xlsx", "A 22701-2025")</f>
        <v/>
      </c>
      <c r="T30">
        <f>HYPERLINK("https://klasma.github.io/Logging_2034/kartor/A 22701-2025 karta.png", "A 22701-2025")</f>
        <v/>
      </c>
      <c r="V30">
        <f>HYPERLINK("https://klasma.github.io/Logging_2034/klagomål/A 22701-2025 FSC-klagomål.docx", "A 22701-2025")</f>
        <v/>
      </c>
      <c r="W30">
        <f>HYPERLINK("https://klasma.github.io/Logging_2034/klagomålsmail/A 22701-2025 FSC-klagomål mail.docx", "A 22701-2025")</f>
        <v/>
      </c>
      <c r="X30">
        <f>HYPERLINK("https://klasma.github.io/Logging_2034/tillsyn/A 22701-2025 tillsynsbegäran.docx", "A 22701-2025")</f>
        <v/>
      </c>
      <c r="Y30">
        <f>HYPERLINK("https://klasma.github.io/Logging_2034/tillsynsmail/A 22701-2025 tillsynsbegäran mail.docx", "A 22701-2025")</f>
        <v/>
      </c>
      <c r="Z30">
        <f>HYPERLINK("https://klasma.github.io/Logging_2034/fåglar/A 22701-2025 prioriterade fågelarter.docx", "A 22701-2025")</f>
        <v/>
      </c>
    </row>
    <row r="31" ht="15" customHeight="1">
      <c r="A31" t="inlineStr">
        <is>
          <t>A 7618-2025</t>
        </is>
      </c>
      <c r="B31" s="1" t="n">
        <v>45705</v>
      </c>
      <c r="C31" s="1" t="n">
        <v>45928</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7619-2025</t>
        </is>
      </c>
      <c r="B32" s="1" t="n">
        <v>45705</v>
      </c>
      <c r="C32" s="1" t="n">
        <v>45928</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48499-2024</t>
        </is>
      </c>
      <c r="B33" s="1" t="n">
        <v>45592</v>
      </c>
      <c r="C33" s="1" t="n">
        <v>45928</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33366-2023</t>
        </is>
      </c>
      <c r="B34" s="1" t="n">
        <v>45128</v>
      </c>
      <c r="C34" s="1" t="n">
        <v>45928</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35570-2024</t>
        </is>
      </c>
      <c r="B35" s="1" t="n">
        <v>45531</v>
      </c>
      <c r="C35" s="1" t="n">
        <v>45928</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31161-2025</t>
        </is>
      </c>
      <c r="B36" s="1" t="n">
        <v>45832.65506944444</v>
      </c>
      <c r="C36" s="1" t="n">
        <v>45928</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31336-2025</t>
        </is>
      </c>
      <c r="B37" s="1" t="n">
        <v>45833</v>
      </c>
      <c r="C37" s="1" t="n">
        <v>45928</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48343-2022</t>
        </is>
      </c>
      <c r="B38" s="1" t="n">
        <v>44858</v>
      </c>
      <c r="C38" s="1" t="n">
        <v>45928</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63810-2021</t>
        </is>
      </c>
      <c r="B39" s="1" t="n">
        <v>44509</v>
      </c>
      <c r="C39" s="1" t="n">
        <v>45928</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45928</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6029-2024</t>
        </is>
      </c>
      <c r="B41" s="1" t="n">
        <v>45336</v>
      </c>
      <c r="C41" s="1" t="n">
        <v>45928</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30493-2024</t>
        </is>
      </c>
      <c r="B42" s="1" t="n">
        <v>45492.34811342593</v>
      </c>
      <c r="C42" s="1" t="n">
        <v>45928</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41799-2025</t>
        </is>
      </c>
      <c r="B43" s="1" t="n">
        <v>45902.6065162037</v>
      </c>
      <c r="C43" s="1" t="n">
        <v>45928</v>
      </c>
      <c r="D43" t="inlineStr">
        <is>
          <t>DALARNAS LÄN</t>
        </is>
      </c>
      <c r="E43" t="inlineStr">
        <is>
          <t>ORSA</t>
        </is>
      </c>
      <c r="G43" t="n">
        <v>4</v>
      </c>
      <c r="H43" t="n">
        <v>0</v>
      </c>
      <c r="I43" t="n">
        <v>0</v>
      </c>
      <c r="J43" t="n">
        <v>1</v>
      </c>
      <c r="K43" t="n">
        <v>0</v>
      </c>
      <c r="L43" t="n">
        <v>0</v>
      </c>
      <c r="M43" t="n">
        <v>0</v>
      </c>
      <c r="N43" t="n">
        <v>0</v>
      </c>
      <c r="O43" t="n">
        <v>1</v>
      </c>
      <c r="P43" t="n">
        <v>0</v>
      </c>
      <c r="Q43" t="n">
        <v>1</v>
      </c>
      <c r="R43" s="2" t="inlineStr">
        <is>
          <t>Blå taggsvamp</t>
        </is>
      </c>
      <c r="S43">
        <f>HYPERLINK("https://klasma.github.io/Logging_2034/artfynd/A 41799-2025 artfynd.xlsx", "A 41799-2025")</f>
        <v/>
      </c>
      <c r="T43">
        <f>HYPERLINK("https://klasma.github.io/Logging_2034/kartor/A 41799-2025 karta.png", "A 41799-2025")</f>
        <v/>
      </c>
      <c r="V43">
        <f>HYPERLINK("https://klasma.github.io/Logging_2034/klagomål/A 41799-2025 FSC-klagomål.docx", "A 41799-2025")</f>
        <v/>
      </c>
      <c r="W43">
        <f>HYPERLINK("https://klasma.github.io/Logging_2034/klagomålsmail/A 41799-2025 FSC-klagomål mail.docx", "A 41799-2025")</f>
        <v/>
      </c>
      <c r="X43">
        <f>HYPERLINK("https://klasma.github.io/Logging_2034/tillsyn/A 41799-2025 tillsynsbegäran.docx", "A 41799-2025")</f>
        <v/>
      </c>
      <c r="Y43">
        <f>HYPERLINK("https://klasma.github.io/Logging_2034/tillsynsmail/A 41799-2025 tillsynsbegäran mail.docx", "A 41799-2025")</f>
        <v/>
      </c>
    </row>
    <row r="44" ht="15" customHeight="1">
      <c r="A44" t="inlineStr">
        <is>
          <t>A 41553-2025</t>
        </is>
      </c>
      <c r="B44" s="1" t="n">
        <v>45901.59108796297</v>
      </c>
      <c r="C44" s="1" t="n">
        <v>45928</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45928</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45029-2025</t>
        </is>
      </c>
      <c r="B46" s="1" t="n">
        <v>45918.69835648148</v>
      </c>
      <c r="C46" s="1" t="n">
        <v>45928</v>
      </c>
      <c r="D46" t="inlineStr">
        <is>
          <t>DALARNAS LÄN</t>
        </is>
      </c>
      <c r="E46" t="inlineStr">
        <is>
          <t>ORSA</t>
        </is>
      </c>
      <c r="G46" t="n">
        <v>1.4</v>
      </c>
      <c r="H46" t="n">
        <v>1</v>
      </c>
      <c r="I46" t="n">
        <v>0</v>
      </c>
      <c r="J46" t="n">
        <v>1</v>
      </c>
      <c r="K46" t="n">
        <v>0</v>
      </c>
      <c r="L46" t="n">
        <v>0</v>
      </c>
      <c r="M46" t="n">
        <v>0</v>
      </c>
      <c r="N46" t="n">
        <v>0</v>
      </c>
      <c r="O46" t="n">
        <v>1</v>
      </c>
      <c r="P46" t="n">
        <v>0</v>
      </c>
      <c r="Q46" t="n">
        <v>1</v>
      </c>
      <c r="R46" s="2" t="inlineStr">
        <is>
          <t>Spillkråka</t>
        </is>
      </c>
      <c r="S46">
        <f>HYPERLINK("https://klasma.github.io/Logging_2034/artfynd/A 45029-2025 artfynd.xlsx", "A 45029-2025")</f>
        <v/>
      </c>
      <c r="T46">
        <f>HYPERLINK("https://klasma.github.io/Logging_2034/kartor/A 45029-2025 karta.png", "A 45029-2025")</f>
        <v/>
      </c>
      <c r="V46">
        <f>HYPERLINK("https://klasma.github.io/Logging_2034/klagomål/A 45029-2025 FSC-klagomål.docx", "A 45029-2025")</f>
        <v/>
      </c>
      <c r="W46">
        <f>HYPERLINK("https://klasma.github.io/Logging_2034/klagomålsmail/A 45029-2025 FSC-klagomål mail.docx", "A 45029-2025")</f>
        <v/>
      </c>
      <c r="X46">
        <f>HYPERLINK("https://klasma.github.io/Logging_2034/tillsyn/A 45029-2025 tillsynsbegäran.docx", "A 45029-2025")</f>
        <v/>
      </c>
      <c r="Y46">
        <f>HYPERLINK("https://klasma.github.io/Logging_2034/tillsynsmail/A 45029-2025 tillsynsbegäran mail.docx", "A 45029-2025")</f>
        <v/>
      </c>
      <c r="Z46">
        <f>HYPERLINK("https://klasma.github.io/Logging_2034/fåglar/A 45029-2025 prioriterade fågelarter.docx", "A 45029-2025")</f>
        <v/>
      </c>
    </row>
    <row r="47" ht="15" customHeight="1">
      <c r="A47" t="inlineStr">
        <is>
          <t>A 37887-2023</t>
        </is>
      </c>
      <c r="B47" s="1" t="n">
        <v>45160</v>
      </c>
      <c r="C47" s="1" t="n">
        <v>45928</v>
      </c>
      <c r="D47" t="inlineStr">
        <is>
          <t>DALARNAS LÄN</t>
        </is>
      </c>
      <c r="E47" t="inlineStr">
        <is>
          <t>ORSA</t>
        </is>
      </c>
      <c r="F47" t="inlineStr">
        <is>
          <t>Allmännings- och besparingsskogar</t>
        </is>
      </c>
      <c r="G47" t="n">
        <v>20.5</v>
      </c>
      <c r="H47" t="n">
        <v>1</v>
      </c>
      <c r="I47" t="n">
        <v>0</v>
      </c>
      <c r="J47" t="n">
        <v>1</v>
      </c>
      <c r="K47" t="n">
        <v>0</v>
      </c>
      <c r="L47" t="n">
        <v>0</v>
      </c>
      <c r="M47" t="n">
        <v>0</v>
      </c>
      <c r="N47" t="n">
        <v>0</v>
      </c>
      <c r="O47" t="n">
        <v>1</v>
      </c>
      <c r="P47" t="n">
        <v>0</v>
      </c>
      <c r="Q47" t="n">
        <v>1</v>
      </c>
      <c r="R47" s="2" t="inlineStr">
        <is>
          <t>Varglav</t>
        </is>
      </c>
      <c r="S47">
        <f>HYPERLINK("https://klasma.github.io/Logging_2034/artfynd/A 37887-2023 artfynd.xlsx", "A 37887-2023")</f>
        <v/>
      </c>
      <c r="T47">
        <f>HYPERLINK("https://klasma.github.io/Logging_2034/kartor/A 37887-2023 karta.png", "A 37887-2023")</f>
        <v/>
      </c>
      <c r="V47">
        <f>HYPERLINK("https://klasma.github.io/Logging_2034/klagomål/A 37887-2023 FSC-klagomål.docx", "A 37887-2023")</f>
        <v/>
      </c>
      <c r="W47">
        <f>HYPERLINK("https://klasma.github.io/Logging_2034/klagomålsmail/A 37887-2023 FSC-klagomål mail.docx", "A 37887-2023")</f>
        <v/>
      </c>
      <c r="X47">
        <f>HYPERLINK("https://klasma.github.io/Logging_2034/tillsyn/A 37887-2023 tillsynsbegäran.docx", "A 37887-2023")</f>
        <v/>
      </c>
      <c r="Y47">
        <f>HYPERLINK("https://klasma.github.io/Logging_2034/tillsynsmail/A 37887-2023 tillsynsbegäran mail.docx", "A 37887-2023")</f>
        <v/>
      </c>
    </row>
    <row r="48" ht="15" customHeight="1">
      <c r="A48" t="inlineStr">
        <is>
          <t>A 34713-2021</t>
        </is>
      </c>
      <c r="B48" s="1" t="n">
        <v>44382</v>
      </c>
      <c r="C48" s="1" t="n">
        <v>45928</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45928</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45928</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45928</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45928</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45928</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45928</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45928</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39920-2021</t>
        </is>
      </c>
      <c r="B56" s="1" t="n">
        <v>44417</v>
      </c>
      <c r="C56" s="1" t="n">
        <v>45928</v>
      </c>
      <c r="D56" t="inlineStr">
        <is>
          <t>DALARNAS LÄN</t>
        </is>
      </c>
      <c r="E56" t="inlineStr">
        <is>
          <t>ORSA</t>
        </is>
      </c>
      <c r="F56" t="inlineStr">
        <is>
          <t>Kyrkan</t>
        </is>
      </c>
      <c r="G56" t="n">
        <v>2.2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45928</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45928</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45928</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45928</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50843-2021</t>
        </is>
      </c>
      <c r="B61" s="1" t="n">
        <v>44460.52704861111</v>
      </c>
      <c r="C61" s="1" t="n">
        <v>45928</v>
      </c>
      <c r="D61" t="inlineStr">
        <is>
          <t>DALARNAS LÄN</t>
        </is>
      </c>
      <c r="E61" t="inlineStr">
        <is>
          <t>ORSA</t>
        </is>
      </c>
      <c r="G61" t="n">
        <v>2.5</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45928</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45928</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45928</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45928</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45928</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45928</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45928</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45928</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45928</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45928</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45928</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45928</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45928</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45928</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45928</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45928</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45928</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45928</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45928</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45928</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45928</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45928</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45928</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23725-2022</t>
        </is>
      </c>
      <c r="B85" s="1" t="n">
        <v>44722.33388888889</v>
      </c>
      <c r="C85" s="1" t="n">
        <v>45928</v>
      </c>
      <c r="D85" t="inlineStr">
        <is>
          <t>DALARNAS LÄN</t>
        </is>
      </c>
      <c r="E85" t="inlineStr">
        <is>
          <t>ORSA</t>
        </is>
      </c>
      <c r="F85" t="inlineStr">
        <is>
          <t>Bergvik skog öst AB</t>
        </is>
      </c>
      <c r="G85" t="n">
        <v>0.9</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45928</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45928</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45928</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66536-2020</t>
        </is>
      </c>
      <c r="B89" s="1" t="n">
        <v>44179</v>
      </c>
      <c r="C89" s="1" t="n">
        <v>45928</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45928</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26215-2022</t>
        </is>
      </c>
      <c r="B91" s="1" t="n">
        <v>44735.4421412037</v>
      </c>
      <c r="C91" s="1" t="n">
        <v>45928</v>
      </c>
      <c r="D91" t="inlineStr">
        <is>
          <t>DALARNAS LÄN</t>
        </is>
      </c>
      <c r="E91" t="inlineStr">
        <is>
          <t>ORSA</t>
        </is>
      </c>
      <c r="F91" t="inlineStr">
        <is>
          <t>Bergvik skog öst AB</t>
        </is>
      </c>
      <c r="G91" t="n">
        <v>0.6</v>
      </c>
      <c r="H91" t="n">
        <v>0</v>
      </c>
      <c r="I91" t="n">
        <v>0</v>
      </c>
      <c r="J91" t="n">
        <v>0</v>
      </c>
      <c r="K91" t="n">
        <v>0</v>
      </c>
      <c r="L91" t="n">
        <v>0</v>
      </c>
      <c r="M91" t="n">
        <v>0</v>
      </c>
      <c r="N91" t="n">
        <v>0</v>
      </c>
      <c r="O91" t="n">
        <v>0</v>
      </c>
      <c r="P91" t="n">
        <v>0</v>
      </c>
      <c r="Q91" t="n">
        <v>0</v>
      </c>
      <c r="R91" s="2" t="inlineStr"/>
    </row>
    <row r="92" ht="15" customHeight="1">
      <c r="A92" t="inlineStr">
        <is>
          <t>A 61000-2021</t>
        </is>
      </c>
      <c r="B92" s="1" t="n">
        <v>44497</v>
      </c>
      <c r="C92" s="1" t="n">
        <v>45928</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61005-2021</t>
        </is>
      </c>
      <c r="B93" s="1" t="n">
        <v>44497</v>
      </c>
      <c r="C93" s="1" t="n">
        <v>45928</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45928</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45928</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56807-2024</t>
        </is>
      </c>
      <c r="B96" s="1" t="n">
        <v>45628.47519675926</v>
      </c>
      <c r="C96" s="1" t="n">
        <v>45928</v>
      </c>
      <c r="D96" t="inlineStr">
        <is>
          <t>DALARNAS LÄN</t>
        </is>
      </c>
      <c r="E96" t="inlineStr">
        <is>
          <t>ORSA</t>
        </is>
      </c>
      <c r="G96" t="n">
        <v>1.9</v>
      </c>
      <c r="H96" t="n">
        <v>0</v>
      </c>
      <c r="I96" t="n">
        <v>0</v>
      </c>
      <c r="J96" t="n">
        <v>0</v>
      </c>
      <c r="K96" t="n">
        <v>0</v>
      </c>
      <c r="L96" t="n">
        <v>0</v>
      </c>
      <c r="M96" t="n">
        <v>0</v>
      </c>
      <c r="N96" t="n">
        <v>0</v>
      </c>
      <c r="O96" t="n">
        <v>0</v>
      </c>
      <c r="P96" t="n">
        <v>0</v>
      </c>
      <c r="Q96" t="n">
        <v>0</v>
      </c>
      <c r="R96" s="2" t="inlineStr"/>
    </row>
    <row r="97" ht="15" customHeight="1">
      <c r="A97" t="inlineStr">
        <is>
          <t>A 38611-2022</t>
        </is>
      </c>
      <c r="B97" s="1" t="n">
        <v>44813.60177083333</v>
      </c>
      <c r="C97" s="1" t="n">
        <v>45928</v>
      </c>
      <c r="D97" t="inlineStr">
        <is>
          <t>DALARNAS LÄN</t>
        </is>
      </c>
      <c r="E97" t="inlineStr">
        <is>
          <t>ORSA</t>
        </is>
      </c>
      <c r="G97" t="n">
        <v>3.6</v>
      </c>
      <c r="H97" t="n">
        <v>0</v>
      </c>
      <c r="I97" t="n">
        <v>0</v>
      </c>
      <c r="J97" t="n">
        <v>0</v>
      </c>
      <c r="K97" t="n">
        <v>0</v>
      </c>
      <c r="L97" t="n">
        <v>0</v>
      </c>
      <c r="M97" t="n">
        <v>0</v>
      </c>
      <c r="N97" t="n">
        <v>0</v>
      </c>
      <c r="O97" t="n">
        <v>0</v>
      </c>
      <c r="P97" t="n">
        <v>0</v>
      </c>
      <c r="Q97" t="n">
        <v>0</v>
      </c>
      <c r="R97" s="2" t="inlineStr"/>
    </row>
    <row r="98" ht="15" customHeight="1">
      <c r="A98" t="inlineStr">
        <is>
          <t>A 2948-2025</t>
        </is>
      </c>
      <c r="B98" s="1" t="n">
        <v>45678.42868055555</v>
      </c>
      <c r="C98" s="1" t="n">
        <v>45928</v>
      </c>
      <c r="D98" t="inlineStr">
        <is>
          <t>DALARNAS LÄN</t>
        </is>
      </c>
      <c r="E98" t="inlineStr">
        <is>
          <t>ORSA</t>
        </is>
      </c>
      <c r="G98" t="n">
        <v>2</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45928</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4454-2021</t>
        </is>
      </c>
      <c r="B100" s="1" t="n">
        <v>44224</v>
      </c>
      <c r="C100" s="1" t="n">
        <v>45928</v>
      </c>
      <c r="D100" t="inlineStr">
        <is>
          <t>DALARNAS LÄN</t>
        </is>
      </c>
      <c r="E100" t="inlineStr">
        <is>
          <t>ORSA</t>
        </is>
      </c>
      <c r="G100" t="n">
        <v>1.2</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45928</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6171-2025</t>
        </is>
      </c>
      <c r="B102" s="1" t="n">
        <v>45698.43287037037</v>
      </c>
      <c r="C102" s="1" t="n">
        <v>45928</v>
      </c>
      <c r="D102" t="inlineStr">
        <is>
          <t>DALARNAS LÄN</t>
        </is>
      </c>
      <c r="E102" t="inlineStr">
        <is>
          <t>ORSA</t>
        </is>
      </c>
      <c r="G102" t="n">
        <v>11.1</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45928</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19932-2021</t>
        </is>
      </c>
      <c r="B104" s="1" t="n">
        <v>44313.60207175926</v>
      </c>
      <c r="C104" s="1" t="n">
        <v>45928</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45928</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45928</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14535-2022</t>
        </is>
      </c>
      <c r="B107" s="1" t="n">
        <v>44655.44512731482</v>
      </c>
      <c r="C107" s="1" t="n">
        <v>45928</v>
      </c>
      <c r="D107" t="inlineStr">
        <is>
          <t>DALARNAS LÄN</t>
        </is>
      </c>
      <c r="E107" t="inlineStr">
        <is>
          <t>ORSA</t>
        </is>
      </c>
      <c r="G107" t="n">
        <v>0.4</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45928</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45928</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27542-2021</t>
        </is>
      </c>
      <c r="B110" s="1" t="n">
        <v>44351</v>
      </c>
      <c r="C110" s="1" t="n">
        <v>45928</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48985-2023</t>
        </is>
      </c>
      <c r="B111" s="1" t="n">
        <v>45209.64077546296</v>
      </c>
      <c r="C111" s="1" t="n">
        <v>45928</v>
      </c>
      <c r="D111" t="inlineStr">
        <is>
          <t>DALARNAS LÄN</t>
        </is>
      </c>
      <c r="E111" t="inlineStr">
        <is>
          <t>ORSA</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52776-2022</t>
        </is>
      </c>
      <c r="B112" s="1" t="n">
        <v>44875.36341435185</v>
      </c>
      <c r="C112" s="1" t="n">
        <v>45928</v>
      </c>
      <c r="D112" t="inlineStr">
        <is>
          <t>DALARNAS LÄN</t>
        </is>
      </c>
      <c r="E112" t="inlineStr">
        <is>
          <t>ORSA</t>
        </is>
      </c>
      <c r="F112" t="inlineStr">
        <is>
          <t>Allmännings- och besparingsskogar</t>
        </is>
      </c>
      <c r="G112" t="n">
        <v>4.4</v>
      </c>
      <c r="H112" t="n">
        <v>0</v>
      </c>
      <c r="I112" t="n">
        <v>0</v>
      </c>
      <c r="J112" t="n">
        <v>0</v>
      </c>
      <c r="K112" t="n">
        <v>0</v>
      </c>
      <c r="L112" t="n">
        <v>0</v>
      </c>
      <c r="M112" t="n">
        <v>0</v>
      </c>
      <c r="N112" t="n">
        <v>0</v>
      </c>
      <c r="O112" t="n">
        <v>0</v>
      </c>
      <c r="P112" t="n">
        <v>0</v>
      </c>
      <c r="Q112" t="n">
        <v>0</v>
      </c>
      <c r="R112" s="2" t="inlineStr"/>
    </row>
    <row r="113" ht="15" customHeight="1">
      <c r="A113" t="inlineStr">
        <is>
          <t>A 44035-2022</t>
        </is>
      </c>
      <c r="B113" s="1" t="n">
        <v>44838.94439814815</v>
      </c>
      <c r="C113" s="1" t="n">
        <v>45928</v>
      </c>
      <c r="D113" t="inlineStr">
        <is>
          <t>DALARNAS LÄN</t>
        </is>
      </c>
      <c r="E113" t="inlineStr">
        <is>
          <t>ORSA</t>
        </is>
      </c>
      <c r="G113" t="n">
        <v>5.8</v>
      </c>
      <c r="H113" t="n">
        <v>0</v>
      </c>
      <c r="I113" t="n">
        <v>0</v>
      </c>
      <c r="J113" t="n">
        <v>0</v>
      </c>
      <c r="K113" t="n">
        <v>0</v>
      </c>
      <c r="L113" t="n">
        <v>0</v>
      </c>
      <c r="M113" t="n">
        <v>0</v>
      </c>
      <c r="N113" t="n">
        <v>0</v>
      </c>
      <c r="O113" t="n">
        <v>0</v>
      </c>
      <c r="P113" t="n">
        <v>0</v>
      </c>
      <c r="Q113" t="n">
        <v>0</v>
      </c>
      <c r="R113" s="2" t="inlineStr"/>
    </row>
    <row r="114" ht="15" customHeight="1">
      <c r="A114" t="inlineStr">
        <is>
          <t>A 16392-2024</t>
        </is>
      </c>
      <c r="B114" s="1" t="n">
        <v>45407.62380787037</v>
      </c>
      <c r="C114" s="1" t="n">
        <v>45928</v>
      </c>
      <c r="D114" t="inlineStr">
        <is>
          <t>DALARNAS LÄN</t>
        </is>
      </c>
      <c r="E114" t="inlineStr">
        <is>
          <t>ORSA</t>
        </is>
      </c>
      <c r="G114" t="n">
        <v>3.4</v>
      </c>
      <c r="H114" t="n">
        <v>0</v>
      </c>
      <c r="I114" t="n">
        <v>0</v>
      </c>
      <c r="J114" t="n">
        <v>0</v>
      </c>
      <c r="K114" t="n">
        <v>0</v>
      </c>
      <c r="L114" t="n">
        <v>0</v>
      </c>
      <c r="M114" t="n">
        <v>0</v>
      </c>
      <c r="N114" t="n">
        <v>0</v>
      </c>
      <c r="O114" t="n">
        <v>0</v>
      </c>
      <c r="P114" t="n">
        <v>0</v>
      </c>
      <c r="Q114" t="n">
        <v>0</v>
      </c>
      <c r="R114" s="2" t="inlineStr"/>
    </row>
    <row r="115" ht="15" customHeight="1">
      <c r="A115" t="inlineStr">
        <is>
          <t>A 56975-2023</t>
        </is>
      </c>
      <c r="B115" s="1" t="n">
        <v>45244</v>
      </c>
      <c r="C115" s="1" t="n">
        <v>45928</v>
      </c>
      <c r="D115" t="inlineStr">
        <is>
          <t>DALARNAS LÄN</t>
        </is>
      </c>
      <c r="E115" t="inlineStr">
        <is>
          <t>ORSA</t>
        </is>
      </c>
      <c r="G115" t="n">
        <v>1.6</v>
      </c>
      <c r="H115" t="n">
        <v>0</v>
      </c>
      <c r="I115" t="n">
        <v>0</v>
      </c>
      <c r="J115" t="n">
        <v>0</v>
      </c>
      <c r="K115" t="n">
        <v>0</v>
      </c>
      <c r="L115" t="n">
        <v>0</v>
      </c>
      <c r="M115" t="n">
        <v>0</v>
      </c>
      <c r="N115" t="n">
        <v>0</v>
      </c>
      <c r="O115" t="n">
        <v>0</v>
      </c>
      <c r="P115" t="n">
        <v>0</v>
      </c>
      <c r="Q115" t="n">
        <v>0</v>
      </c>
      <c r="R115" s="2" t="inlineStr"/>
    </row>
    <row r="116" ht="15" customHeight="1">
      <c r="A116" t="inlineStr">
        <is>
          <t>A 41425-2021</t>
        </is>
      </c>
      <c r="B116" s="1" t="n">
        <v>44424.71729166667</v>
      </c>
      <c r="C116" s="1" t="n">
        <v>45928</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18312-2024</t>
        </is>
      </c>
      <c r="B117" s="1" t="n">
        <v>45422.48225694444</v>
      </c>
      <c r="C117" s="1" t="n">
        <v>45928</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46244-2022</t>
        </is>
      </c>
      <c r="B118" s="1" t="n">
        <v>44847.62055555556</v>
      </c>
      <c r="C118" s="1" t="n">
        <v>45928</v>
      </c>
      <c r="D118" t="inlineStr">
        <is>
          <t>DALARNAS LÄN</t>
        </is>
      </c>
      <c r="E118" t="inlineStr">
        <is>
          <t>ORSA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3452-2021</t>
        </is>
      </c>
      <c r="B119" s="1" t="n">
        <v>44218</v>
      </c>
      <c r="C119" s="1" t="n">
        <v>45928</v>
      </c>
      <c r="D119" t="inlineStr">
        <is>
          <t>DALARNAS LÄN</t>
        </is>
      </c>
      <c r="E119" t="inlineStr">
        <is>
          <t>ORSA</t>
        </is>
      </c>
      <c r="G119" t="n">
        <v>12.5</v>
      </c>
      <c r="H119" t="n">
        <v>0</v>
      </c>
      <c r="I119" t="n">
        <v>0</v>
      </c>
      <c r="J119" t="n">
        <v>0</v>
      </c>
      <c r="K119" t="n">
        <v>0</v>
      </c>
      <c r="L119" t="n">
        <v>0</v>
      </c>
      <c r="M119" t="n">
        <v>0</v>
      </c>
      <c r="N119" t="n">
        <v>0</v>
      </c>
      <c r="O119" t="n">
        <v>0</v>
      </c>
      <c r="P119" t="n">
        <v>0</v>
      </c>
      <c r="Q119" t="n">
        <v>0</v>
      </c>
      <c r="R119" s="2" t="inlineStr"/>
    </row>
    <row r="120" ht="15" customHeight="1">
      <c r="A120" t="inlineStr">
        <is>
          <t>A 23344-2022</t>
        </is>
      </c>
      <c r="B120" s="1" t="n">
        <v>44720.54599537037</v>
      </c>
      <c r="C120" s="1" t="n">
        <v>45928</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52044-2023</t>
        </is>
      </c>
      <c r="B121" s="1" t="n">
        <v>45223.6365625</v>
      </c>
      <c r="C121" s="1" t="n">
        <v>45928</v>
      </c>
      <c r="D121" t="inlineStr">
        <is>
          <t>DALARNAS LÄN</t>
        </is>
      </c>
      <c r="E121" t="inlineStr">
        <is>
          <t>ORSA</t>
        </is>
      </c>
      <c r="G121" t="n">
        <v>2.6</v>
      </c>
      <c r="H121" t="n">
        <v>0</v>
      </c>
      <c r="I121" t="n">
        <v>0</v>
      </c>
      <c r="J121" t="n">
        <v>0</v>
      </c>
      <c r="K121" t="n">
        <v>0</v>
      </c>
      <c r="L121" t="n">
        <v>0</v>
      </c>
      <c r="M121" t="n">
        <v>0</v>
      </c>
      <c r="N121" t="n">
        <v>0</v>
      </c>
      <c r="O121" t="n">
        <v>0</v>
      </c>
      <c r="P121" t="n">
        <v>0</v>
      </c>
      <c r="Q121" t="n">
        <v>0</v>
      </c>
      <c r="R121" s="2" t="inlineStr"/>
    </row>
    <row r="122" ht="15" customHeight="1">
      <c r="A122" t="inlineStr">
        <is>
          <t>A 40577-2025</t>
        </is>
      </c>
      <c r="B122" s="1" t="n">
        <v>45896.51028935185</v>
      </c>
      <c r="C122" s="1" t="n">
        <v>45928</v>
      </c>
      <c r="D122" t="inlineStr">
        <is>
          <t>DALARNAS LÄN</t>
        </is>
      </c>
      <c r="E122" t="inlineStr">
        <is>
          <t>ORSA</t>
        </is>
      </c>
      <c r="F122" t="inlineStr">
        <is>
          <t>Allmännings- och besparingsskogar</t>
        </is>
      </c>
      <c r="G122" t="n">
        <v>13.8</v>
      </c>
      <c r="H122" t="n">
        <v>0</v>
      </c>
      <c r="I122" t="n">
        <v>0</v>
      </c>
      <c r="J122" t="n">
        <v>0</v>
      </c>
      <c r="K122" t="n">
        <v>0</v>
      </c>
      <c r="L122" t="n">
        <v>0</v>
      </c>
      <c r="M122" t="n">
        <v>0</v>
      </c>
      <c r="N122" t="n">
        <v>0</v>
      </c>
      <c r="O122" t="n">
        <v>0</v>
      </c>
      <c r="P122" t="n">
        <v>0</v>
      </c>
      <c r="Q122" t="n">
        <v>0</v>
      </c>
      <c r="R122" s="2" t="inlineStr"/>
    </row>
    <row r="123" ht="15" customHeight="1">
      <c r="A123" t="inlineStr">
        <is>
          <t>A 10359-2023</t>
        </is>
      </c>
      <c r="B123" s="1" t="n">
        <v>44987.37292824074</v>
      </c>
      <c r="C123" s="1" t="n">
        <v>45928</v>
      </c>
      <c r="D123" t="inlineStr">
        <is>
          <t>DALARNAS LÄN</t>
        </is>
      </c>
      <c r="E123" t="inlineStr">
        <is>
          <t>ORSA</t>
        </is>
      </c>
      <c r="G123" t="n">
        <v>2.5</v>
      </c>
      <c r="H123" t="n">
        <v>0</v>
      </c>
      <c r="I123" t="n">
        <v>0</v>
      </c>
      <c r="J123" t="n">
        <v>0</v>
      </c>
      <c r="K123" t="n">
        <v>0</v>
      </c>
      <c r="L123" t="n">
        <v>0</v>
      </c>
      <c r="M123" t="n">
        <v>0</v>
      </c>
      <c r="N123" t="n">
        <v>0</v>
      </c>
      <c r="O123" t="n">
        <v>0</v>
      </c>
      <c r="P123" t="n">
        <v>0</v>
      </c>
      <c r="Q123" t="n">
        <v>0</v>
      </c>
      <c r="R123" s="2" t="inlineStr"/>
    </row>
    <row r="124" ht="15" customHeight="1">
      <c r="A124" t="inlineStr">
        <is>
          <t>A 3720-2023</t>
        </is>
      </c>
      <c r="B124" s="1" t="n">
        <v>44951.36688657408</v>
      </c>
      <c r="C124" s="1" t="n">
        <v>45928</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49270-2024</t>
        </is>
      </c>
      <c r="B125" s="1" t="n">
        <v>45595.49896990741</v>
      </c>
      <c r="C125" s="1" t="n">
        <v>45928</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50061-2024</t>
        </is>
      </c>
      <c r="B126" s="1" t="n">
        <v>45600.34721064815</v>
      </c>
      <c r="C126" s="1" t="n">
        <v>45928</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56810-2024</t>
        </is>
      </c>
      <c r="B127" s="1" t="n">
        <v>45628</v>
      </c>
      <c r="C127" s="1" t="n">
        <v>45928</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56811-2024</t>
        </is>
      </c>
      <c r="B128" s="1" t="n">
        <v>45628</v>
      </c>
      <c r="C128" s="1" t="n">
        <v>45928</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55701-2023</t>
        </is>
      </c>
      <c r="B129" s="1" t="n">
        <v>45239.37113425926</v>
      </c>
      <c r="C129" s="1" t="n">
        <v>45928</v>
      </c>
      <c r="D129" t="inlineStr">
        <is>
          <t>DALARNAS LÄN</t>
        </is>
      </c>
      <c r="E129" t="inlineStr">
        <is>
          <t>ORSA</t>
        </is>
      </c>
      <c r="G129" t="n">
        <v>1.7</v>
      </c>
      <c r="H129" t="n">
        <v>0</v>
      </c>
      <c r="I129" t="n">
        <v>0</v>
      </c>
      <c r="J129" t="n">
        <v>0</v>
      </c>
      <c r="K129" t="n">
        <v>0</v>
      </c>
      <c r="L129" t="n">
        <v>0</v>
      </c>
      <c r="M129" t="n">
        <v>0</v>
      </c>
      <c r="N129" t="n">
        <v>0</v>
      </c>
      <c r="O129" t="n">
        <v>0</v>
      </c>
      <c r="P129" t="n">
        <v>0</v>
      </c>
      <c r="Q129" t="n">
        <v>0</v>
      </c>
      <c r="R129" s="2" t="inlineStr"/>
    </row>
    <row r="130" ht="15" customHeight="1">
      <c r="A130" t="inlineStr">
        <is>
          <t>A 3168-2024</t>
        </is>
      </c>
      <c r="B130" s="1" t="n">
        <v>45316.62863425926</v>
      </c>
      <c r="C130" s="1" t="n">
        <v>45928</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17421-2025</t>
        </is>
      </c>
      <c r="B131" s="1" t="n">
        <v>45757.38532407407</v>
      </c>
      <c r="C131" s="1" t="n">
        <v>45928</v>
      </c>
      <c r="D131" t="inlineStr">
        <is>
          <t>DALARNAS LÄN</t>
        </is>
      </c>
      <c r="E131" t="inlineStr">
        <is>
          <t>ORSA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45928</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37852-2024</t>
        </is>
      </c>
      <c r="B133" s="1" t="n">
        <v>45544.3786574074</v>
      </c>
      <c r="C133" s="1" t="n">
        <v>45928</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23350-2024</t>
        </is>
      </c>
      <c r="B134" s="1" t="n">
        <v>45453</v>
      </c>
      <c r="C134" s="1" t="n">
        <v>45928</v>
      </c>
      <c r="D134" t="inlineStr">
        <is>
          <t>DALARNAS LÄN</t>
        </is>
      </c>
      <c r="E134" t="inlineStr">
        <is>
          <t>ORSA</t>
        </is>
      </c>
      <c r="G134" t="n">
        <v>18.7</v>
      </c>
      <c r="H134" t="n">
        <v>0</v>
      </c>
      <c r="I134" t="n">
        <v>0</v>
      </c>
      <c r="J134" t="n">
        <v>0</v>
      </c>
      <c r="K134" t="n">
        <v>0</v>
      </c>
      <c r="L134" t="n">
        <v>0</v>
      </c>
      <c r="M134" t="n">
        <v>0</v>
      </c>
      <c r="N134" t="n">
        <v>0</v>
      </c>
      <c r="O134" t="n">
        <v>0</v>
      </c>
      <c r="P134" t="n">
        <v>0</v>
      </c>
      <c r="Q134" t="n">
        <v>0</v>
      </c>
      <c r="R134" s="2" t="inlineStr"/>
    </row>
    <row r="135" ht="15" customHeight="1">
      <c r="A135" t="inlineStr">
        <is>
          <t>A 35619-2025</t>
        </is>
      </c>
      <c r="B135" s="1" t="n">
        <v>45859</v>
      </c>
      <c r="C135" s="1" t="n">
        <v>45928</v>
      </c>
      <c r="D135" t="inlineStr">
        <is>
          <t>DALARNAS LÄN</t>
        </is>
      </c>
      <c r="E135" t="inlineStr">
        <is>
          <t>ORSA</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50905-2021</t>
        </is>
      </c>
      <c r="B136" s="1" t="n">
        <v>44460</v>
      </c>
      <c r="C136" s="1" t="n">
        <v>45928</v>
      </c>
      <c r="D136" t="inlineStr">
        <is>
          <t>DALARNAS LÄN</t>
        </is>
      </c>
      <c r="E136" t="inlineStr">
        <is>
          <t>ORSA</t>
        </is>
      </c>
      <c r="G136" t="n">
        <v>2.1</v>
      </c>
      <c r="H136" t="n">
        <v>0</v>
      </c>
      <c r="I136" t="n">
        <v>0</v>
      </c>
      <c r="J136" t="n">
        <v>0</v>
      </c>
      <c r="K136" t="n">
        <v>0</v>
      </c>
      <c r="L136" t="n">
        <v>0</v>
      </c>
      <c r="M136" t="n">
        <v>0</v>
      </c>
      <c r="N136" t="n">
        <v>0</v>
      </c>
      <c r="O136" t="n">
        <v>0</v>
      </c>
      <c r="P136" t="n">
        <v>0</v>
      </c>
      <c r="Q136" t="n">
        <v>0</v>
      </c>
      <c r="R136" s="2" t="inlineStr"/>
    </row>
    <row r="137" ht="15" customHeight="1">
      <c r="A137" t="inlineStr">
        <is>
          <t>A 41666-2025</t>
        </is>
      </c>
      <c r="B137" s="1" t="n">
        <v>45902.35822916667</v>
      </c>
      <c r="C137" s="1" t="n">
        <v>45928</v>
      </c>
      <c r="D137" t="inlineStr">
        <is>
          <t>DALARNAS LÄN</t>
        </is>
      </c>
      <c r="E137" t="inlineStr">
        <is>
          <t>ORSA</t>
        </is>
      </c>
      <c r="G137" t="n">
        <v>1.4</v>
      </c>
      <c r="H137" t="n">
        <v>0</v>
      </c>
      <c r="I137" t="n">
        <v>0</v>
      </c>
      <c r="J137" t="n">
        <v>0</v>
      </c>
      <c r="K137" t="n">
        <v>0</v>
      </c>
      <c r="L137" t="n">
        <v>0</v>
      </c>
      <c r="M137" t="n">
        <v>0</v>
      </c>
      <c r="N137" t="n">
        <v>0</v>
      </c>
      <c r="O137" t="n">
        <v>0</v>
      </c>
      <c r="P137" t="n">
        <v>0</v>
      </c>
      <c r="Q137" t="n">
        <v>0</v>
      </c>
      <c r="R137" s="2" t="inlineStr"/>
    </row>
    <row r="138" ht="15" customHeight="1">
      <c r="A138" t="inlineStr">
        <is>
          <t>A 72310-2021</t>
        </is>
      </c>
      <c r="B138" s="1" t="n">
        <v>44545</v>
      </c>
      <c r="C138" s="1" t="n">
        <v>45928</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54519-2023</t>
        </is>
      </c>
      <c r="B139" s="1" t="n">
        <v>45233.58359953704</v>
      </c>
      <c r="C139" s="1" t="n">
        <v>45928</v>
      </c>
      <c r="D139" t="inlineStr">
        <is>
          <t>DALARNAS LÄN</t>
        </is>
      </c>
      <c r="E139" t="inlineStr">
        <is>
          <t>ORSA</t>
        </is>
      </c>
      <c r="F139" t="inlineStr">
        <is>
          <t>Allmännings- och besparingsskogar</t>
        </is>
      </c>
      <c r="G139" t="n">
        <v>0.5</v>
      </c>
      <c r="H139" t="n">
        <v>0</v>
      </c>
      <c r="I139" t="n">
        <v>0</v>
      </c>
      <c r="J139" t="n">
        <v>0</v>
      </c>
      <c r="K139" t="n">
        <v>0</v>
      </c>
      <c r="L139" t="n">
        <v>0</v>
      </c>
      <c r="M139" t="n">
        <v>0</v>
      </c>
      <c r="N139" t="n">
        <v>0</v>
      </c>
      <c r="O139" t="n">
        <v>0</v>
      </c>
      <c r="P139" t="n">
        <v>0</v>
      </c>
      <c r="Q139" t="n">
        <v>0</v>
      </c>
      <c r="R139" s="2" t="inlineStr"/>
    </row>
    <row r="140" ht="15" customHeight="1">
      <c r="A140" t="inlineStr">
        <is>
          <t>A 42226-2025</t>
        </is>
      </c>
      <c r="B140" s="1" t="n">
        <v>45904.53831018518</v>
      </c>
      <c r="C140" s="1" t="n">
        <v>45928</v>
      </c>
      <c r="D140" t="inlineStr">
        <is>
          <t>DALARNAS LÄN</t>
        </is>
      </c>
      <c r="E140" t="inlineStr">
        <is>
          <t>ORSA</t>
        </is>
      </c>
      <c r="F140" t="inlineStr">
        <is>
          <t>Allmännings- och besparingsskogar</t>
        </is>
      </c>
      <c r="G140" t="n">
        <v>18</v>
      </c>
      <c r="H140" t="n">
        <v>0</v>
      </c>
      <c r="I140" t="n">
        <v>0</v>
      </c>
      <c r="J140" t="n">
        <v>0</v>
      </c>
      <c r="K140" t="n">
        <v>0</v>
      </c>
      <c r="L140" t="n">
        <v>0</v>
      </c>
      <c r="M140" t="n">
        <v>0</v>
      </c>
      <c r="N140" t="n">
        <v>0</v>
      </c>
      <c r="O140" t="n">
        <v>0</v>
      </c>
      <c r="P140" t="n">
        <v>0</v>
      </c>
      <c r="Q140" t="n">
        <v>0</v>
      </c>
      <c r="R140" s="2" t="inlineStr"/>
    </row>
    <row r="141" ht="15" customHeight="1">
      <c r="A141" t="inlineStr">
        <is>
          <t>A 35939-2025</t>
        </is>
      </c>
      <c r="B141" s="1" t="n">
        <v>45862.64581018518</v>
      </c>
      <c r="C141" s="1" t="n">
        <v>45928</v>
      </c>
      <c r="D141" t="inlineStr">
        <is>
          <t>DALARNAS LÄN</t>
        </is>
      </c>
      <c r="E141" t="inlineStr">
        <is>
          <t>ORSA</t>
        </is>
      </c>
      <c r="G141" t="n">
        <v>5.6</v>
      </c>
      <c r="H141" t="n">
        <v>0</v>
      </c>
      <c r="I141" t="n">
        <v>0</v>
      </c>
      <c r="J141" t="n">
        <v>0</v>
      </c>
      <c r="K141" t="n">
        <v>0</v>
      </c>
      <c r="L141" t="n">
        <v>0</v>
      </c>
      <c r="M141" t="n">
        <v>0</v>
      </c>
      <c r="N141" t="n">
        <v>0</v>
      </c>
      <c r="O141" t="n">
        <v>0</v>
      </c>
      <c r="P141" t="n">
        <v>0</v>
      </c>
      <c r="Q141" t="n">
        <v>0</v>
      </c>
      <c r="R141" s="2" t="inlineStr"/>
    </row>
    <row r="142" ht="15" customHeight="1">
      <c r="A142" t="inlineStr">
        <is>
          <t>A 41971-2025</t>
        </is>
      </c>
      <c r="B142" s="1" t="n">
        <v>45903.48930555556</v>
      </c>
      <c r="C142" s="1" t="n">
        <v>45928</v>
      </c>
      <c r="D142" t="inlineStr">
        <is>
          <t>DALARNAS LÄN</t>
        </is>
      </c>
      <c r="E142" t="inlineStr">
        <is>
          <t>ORSA</t>
        </is>
      </c>
      <c r="G142" t="n">
        <v>15.8</v>
      </c>
      <c r="H142" t="n">
        <v>0</v>
      </c>
      <c r="I142" t="n">
        <v>0</v>
      </c>
      <c r="J142" t="n">
        <v>0</v>
      </c>
      <c r="K142" t="n">
        <v>0</v>
      </c>
      <c r="L142" t="n">
        <v>0</v>
      </c>
      <c r="M142" t="n">
        <v>0</v>
      </c>
      <c r="N142" t="n">
        <v>0</v>
      </c>
      <c r="O142" t="n">
        <v>0</v>
      </c>
      <c r="P142" t="n">
        <v>0</v>
      </c>
      <c r="Q142" t="n">
        <v>0</v>
      </c>
      <c r="R142" s="2" t="inlineStr"/>
    </row>
    <row r="143" ht="15" customHeight="1">
      <c r="A143" t="inlineStr">
        <is>
          <t>A 22911-2023</t>
        </is>
      </c>
      <c r="B143" s="1" t="n">
        <v>45072</v>
      </c>
      <c r="C143" s="1" t="n">
        <v>45928</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41991-2025</t>
        </is>
      </c>
      <c r="B144" s="1" t="n">
        <v>45903.54532407408</v>
      </c>
      <c r="C144" s="1" t="n">
        <v>45928</v>
      </c>
      <c r="D144" t="inlineStr">
        <is>
          <t>DALARNAS LÄN</t>
        </is>
      </c>
      <c r="E144" t="inlineStr">
        <is>
          <t>ORSA</t>
        </is>
      </c>
      <c r="G144" t="n">
        <v>1.4</v>
      </c>
      <c r="H144" t="n">
        <v>0</v>
      </c>
      <c r="I144" t="n">
        <v>0</v>
      </c>
      <c r="J144" t="n">
        <v>0</v>
      </c>
      <c r="K144" t="n">
        <v>0</v>
      </c>
      <c r="L144" t="n">
        <v>0</v>
      </c>
      <c r="M144" t="n">
        <v>0</v>
      </c>
      <c r="N144" t="n">
        <v>0</v>
      </c>
      <c r="O144" t="n">
        <v>0</v>
      </c>
      <c r="P144" t="n">
        <v>0</v>
      </c>
      <c r="Q144" t="n">
        <v>0</v>
      </c>
      <c r="R144" s="2" t="inlineStr"/>
    </row>
    <row r="145" ht="15" customHeight="1">
      <c r="A145" t="inlineStr">
        <is>
          <t>A 35940-2025</t>
        </is>
      </c>
      <c r="B145" s="1" t="n">
        <v>45862.65081018519</v>
      </c>
      <c r="C145" s="1" t="n">
        <v>45928</v>
      </c>
      <c r="D145" t="inlineStr">
        <is>
          <t>DALARNAS LÄN</t>
        </is>
      </c>
      <c r="E145" t="inlineStr">
        <is>
          <t>ORSA</t>
        </is>
      </c>
      <c r="G145" t="n">
        <v>5.1</v>
      </c>
      <c r="H145" t="n">
        <v>0</v>
      </c>
      <c r="I145" t="n">
        <v>0</v>
      </c>
      <c r="J145" t="n">
        <v>0</v>
      </c>
      <c r="K145" t="n">
        <v>0</v>
      </c>
      <c r="L145" t="n">
        <v>0</v>
      </c>
      <c r="M145" t="n">
        <v>0</v>
      </c>
      <c r="N145" t="n">
        <v>0</v>
      </c>
      <c r="O145" t="n">
        <v>0</v>
      </c>
      <c r="P145" t="n">
        <v>0</v>
      </c>
      <c r="Q145" t="n">
        <v>0</v>
      </c>
      <c r="R145" s="2" t="inlineStr"/>
    </row>
    <row r="146" ht="15" customHeight="1">
      <c r="A146" t="inlineStr">
        <is>
          <t>A 35933-2025</t>
        </is>
      </c>
      <c r="B146" s="1" t="n">
        <v>45862.62653935186</v>
      </c>
      <c r="C146" s="1" t="n">
        <v>45928</v>
      </c>
      <c r="D146" t="inlineStr">
        <is>
          <t>DALARNAS LÄN</t>
        </is>
      </c>
      <c r="E146" t="inlineStr">
        <is>
          <t>ORSA</t>
        </is>
      </c>
      <c r="G146" t="n">
        <v>1.6</v>
      </c>
      <c r="H146" t="n">
        <v>0</v>
      </c>
      <c r="I146" t="n">
        <v>0</v>
      </c>
      <c r="J146" t="n">
        <v>0</v>
      </c>
      <c r="K146" t="n">
        <v>0</v>
      </c>
      <c r="L146" t="n">
        <v>0</v>
      </c>
      <c r="M146" t="n">
        <v>0</v>
      </c>
      <c r="N146" t="n">
        <v>0</v>
      </c>
      <c r="O146" t="n">
        <v>0</v>
      </c>
      <c r="P146" t="n">
        <v>0</v>
      </c>
      <c r="Q146" t="n">
        <v>0</v>
      </c>
      <c r="R146" s="2" t="inlineStr"/>
    </row>
    <row r="147" ht="15" customHeight="1">
      <c r="A147" t="inlineStr">
        <is>
          <t>A 35935-2025</t>
        </is>
      </c>
      <c r="B147" s="1" t="n">
        <v>45862.6353125</v>
      </c>
      <c r="C147" s="1" t="n">
        <v>45928</v>
      </c>
      <c r="D147" t="inlineStr">
        <is>
          <t>DALARNAS LÄN</t>
        </is>
      </c>
      <c r="E147" t="inlineStr">
        <is>
          <t>ORSA</t>
        </is>
      </c>
      <c r="G147" t="n">
        <v>0.6</v>
      </c>
      <c r="H147" t="n">
        <v>0</v>
      </c>
      <c r="I147" t="n">
        <v>0</v>
      </c>
      <c r="J147" t="n">
        <v>0</v>
      </c>
      <c r="K147" t="n">
        <v>0</v>
      </c>
      <c r="L147" t="n">
        <v>0</v>
      </c>
      <c r="M147" t="n">
        <v>0</v>
      </c>
      <c r="N147" t="n">
        <v>0</v>
      </c>
      <c r="O147" t="n">
        <v>0</v>
      </c>
      <c r="P147" t="n">
        <v>0</v>
      </c>
      <c r="Q147" t="n">
        <v>0</v>
      </c>
      <c r="R147" s="2" t="inlineStr"/>
    </row>
    <row r="148" ht="15" customHeight="1">
      <c r="A148" t="inlineStr">
        <is>
          <t>A 10261-2022</t>
        </is>
      </c>
      <c r="B148" s="1" t="n">
        <v>44622.6445949074</v>
      </c>
      <c r="C148" s="1" t="n">
        <v>45928</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47126-2021</t>
        </is>
      </c>
      <c r="B149" s="1" t="n">
        <v>44446.78168981482</v>
      </c>
      <c r="C149" s="1" t="n">
        <v>45928</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41919-2025</t>
        </is>
      </c>
      <c r="B150" s="1" t="n">
        <v>45903.42372685186</v>
      </c>
      <c r="C150" s="1" t="n">
        <v>45928</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41927-2025</t>
        </is>
      </c>
      <c r="B151" s="1" t="n">
        <v>45903.4290625</v>
      </c>
      <c r="C151" s="1" t="n">
        <v>45928</v>
      </c>
      <c r="D151" t="inlineStr">
        <is>
          <t>DALARNAS LÄN</t>
        </is>
      </c>
      <c r="E151" t="inlineStr">
        <is>
          <t>ORSA</t>
        </is>
      </c>
      <c r="G151" t="n">
        <v>2.4</v>
      </c>
      <c r="H151" t="n">
        <v>0</v>
      </c>
      <c r="I151" t="n">
        <v>0</v>
      </c>
      <c r="J151" t="n">
        <v>0</v>
      </c>
      <c r="K151" t="n">
        <v>0</v>
      </c>
      <c r="L151" t="n">
        <v>0</v>
      </c>
      <c r="M151" t="n">
        <v>0</v>
      </c>
      <c r="N151" t="n">
        <v>0</v>
      </c>
      <c r="O151" t="n">
        <v>0</v>
      </c>
      <c r="P151" t="n">
        <v>0</v>
      </c>
      <c r="Q151" t="n">
        <v>0</v>
      </c>
      <c r="R151" s="2" t="inlineStr"/>
    </row>
    <row r="152" ht="15" customHeight="1">
      <c r="A152" t="inlineStr">
        <is>
          <t>A 50714-2023</t>
        </is>
      </c>
      <c r="B152" s="1" t="n">
        <v>45217.56513888889</v>
      </c>
      <c r="C152" s="1" t="n">
        <v>45928</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34374-2024</t>
        </is>
      </c>
      <c r="B153" s="1" t="n">
        <v>45525.40091435185</v>
      </c>
      <c r="C153" s="1" t="n">
        <v>45928</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30290-2024</t>
        </is>
      </c>
      <c r="B154" s="1" t="n">
        <v>45490.64681712963</v>
      </c>
      <c r="C154" s="1" t="n">
        <v>45928</v>
      </c>
      <c r="D154" t="inlineStr">
        <is>
          <t>DALARNAS LÄN</t>
        </is>
      </c>
      <c r="E154" t="inlineStr">
        <is>
          <t>ORSA</t>
        </is>
      </c>
      <c r="F154" t="inlineStr">
        <is>
          <t>Bergvik skog öst AB</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55338-2022</t>
        </is>
      </c>
      <c r="B155" s="1" t="n">
        <v>44887.45185185185</v>
      </c>
      <c r="C155" s="1" t="n">
        <v>45928</v>
      </c>
      <c r="D155" t="inlineStr">
        <is>
          <t>DALARNAS LÄN</t>
        </is>
      </c>
      <c r="E155" t="inlineStr">
        <is>
          <t>ORSA</t>
        </is>
      </c>
      <c r="G155" t="n">
        <v>2</v>
      </c>
      <c r="H155" t="n">
        <v>0</v>
      </c>
      <c r="I155" t="n">
        <v>0</v>
      </c>
      <c r="J155" t="n">
        <v>0</v>
      </c>
      <c r="K155" t="n">
        <v>0</v>
      </c>
      <c r="L155" t="n">
        <v>0</v>
      </c>
      <c r="M155" t="n">
        <v>0</v>
      </c>
      <c r="N155" t="n">
        <v>0</v>
      </c>
      <c r="O155" t="n">
        <v>0</v>
      </c>
      <c r="P155" t="n">
        <v>0</v>
      </c>
      <c r="Q155" t="n">
        <v>0</v>
      </c>
      <c r="R155" s="2" t="inlineStr"/>
    </row>
    <row r="156" ht="15" customHeight="1">
      <c r="A156" t="inlineStr">
        <is>
          <t>A 36682-2024</t>
        </is>
      </c>
      <c r="B156" s="1" t="n">
        <v>45537.65519675926</v>
      </c>
      <c r="C156" s="1" t="n">
        <v>45928</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27146-2021</t>
        </is>
      </c>
      <c r="B157" s="1" t="n">
        <v>44350</v>
      </c>
      <c r="C157" s="1" t="n">
        <v>45928</v>
      </c>
      <c r="D157" t="inlineStr">
        <is>
          <t>DALARNAS LÄN</t>
        </is>
      </c>
      <c r="E157" t="inlineStr">
        <is>
          <t>ORSA</t>
        </is>
      </c>
      <c r="G157" t="n">
        <v>1</v>
      </c>
      <c r="H157" t="n">
        <v>0</v>
      </c>
      <c r="I157" t="n">
        <v>0</v>
      </c>
      <c r="J157" t="n">
        <v>0</v>
      </c>
      <c r="K157" t="n">
        <v>0</v>
      </c>
      <c r="L157" t="n">
        <v>0</v>
      </c>
      <c r="M157" t="n">
        <v>0</v>
      </c>
      <c r="N157" t="n">
        <v>0</v>
      </c>
      <c r="O157" t="n">
        <v>0</v>
      </c>
      <c r="P157" t="n">
        <v>0</v>
      </c>
      <c r="Q157" t="n">
        <v>0</v>
      </c>
      <c r="R157" s="2" t="inlineStr"/>
    </row>
    <row r="158" ht="15" customHeight="1">
      <c r="A158" t="inlineStr">
        <is>
          <t>A 21216-2023</t>
        </is>
      </c>
      <c r="B158" s="1" t="n">
        <v>45062</v>
      </c>
      <c r="C158" s="1" t="n">
        <v>45928</v>
      </c>
      <c r="D158" t="inlineStr">
        <is>
          <t>DALARNAS LÄN</t>
        </is>
      </c>
      <c r="E158" t="inlineStr">
        <is>
          <t>ORSA</t>
        </is>
      </c>
      <c r="F158" t="inlineStr">
        <is>
          <t>Bergvik skog öst AB</t>
        </is>
      </c>
      <c r="G158" t="n">
        <v>3.8</v>
      </c>
      <c r="H158" t="n">
        <v>0</v>
      </c>
      <c r="I158" t="n">
        <v>0</v>
      </c>
      <c r="J158" t="n">
        <v>0</v>
      </c>
      <c r="K158" t="n">
        <v>0</v>
      </c>
      <c r="L158" t="n">
        <v>0</v>
      </c>
      <c r="M158" t="n">
        <v>0</v>
      </c>
      <c r="N158" t="n">
        <v>0</v>
      </c>
      <c r="O158" t="n">
        <v>0</v>
      </c>
      <c r="P158" t="n">
        <v>0</v>
      </c>
      <c r="Q158" t="n">
        <v>0</v>
      </c>
      <c r="R158" s="2" t="inlineStr"/>
    </row>
    <row r="159" ht="15" customHeight="1">
      <c r="A159" t="inlineStr">
        <is>
          <t>A 10374-2023</t>
        </is>
      </c>
      <c r="B159" s="1" t="n">
        <v>44987.41359953704</v>
      </c>
      <c r="C159" s="1" t="n">
        <v>45928</v>
      </c>
      <c r="D159" t="inlineStr">
        <is>
          <t>DALARNAS LÄN</t>
        </is>
      </c>
      <c r="E159" t="inlineStr">
        <is>
          <t>ORSA</t>
        </is>
      </c>
      <c r="G159" t="n">
        <v>1.8</v>
      </c>
      <c r="H159" t="n">
        <v>0</v>
      </c>
      <c r="I159" t="n">
        <v>0</v>
      </c>
      <c r="J159" t="n">
        <v>0</v>
      </c>
      <c r="K159" t="n">
        <v>0</v>
      </c>
      <c r="L159" t="n">
        <v>0</v>
      </c>
      <c r="M159" t="n">
        <v>0</v>
      </c>
      <c r="N159" t="n">
        <v>0</v>
      </c>
      <c r="O159" t="n">
        <v>0</v>
      </c>
      <c r="P159" t="n">
        <v>0</v>
      </c>
      <c r="Q159" t="n">
        <v>0</v>
      </c>
      <c r="R159" s="2" t="inlineStr"/>
    </row>
    <row r="160" ht="15" customHeight="1">
      <c r="A160" t="inlineStr">
        <is>
          <t>A 30291-2024</t>
        </is>
      </c>
      <c r="B160" s="1" t="n">
        <v>45490.64978009259</v>
      </c>
      <c r="C160" s="1" t="n">
        <v>45928</v>
      </c>
      <c r="D160" t="inlineStr">
        <is>
          <t>DALARNAS LÄN</t>
        </is>
      </c>
      <c r="E160" t="inlineStr">
        <is>
          <t>ORSA</t>
        </is>
      </c>
      <c r="F160" t="inlineStr">
        <is>
          <t>Bergvik skog öst AB</t>
        </is>
      </c>
      <c r="G160" t="n">
        <v>7.5</v>
      </c>
      <c r="H160" t="n">
        <v>0</v>
      </c>
      <c r="I160" t="n">
        <v>0</v>
      </c>
      <c r="J160" t="n">
        <v>0</v>
      </c>
      <c r="K160" t="n">
        <v>0</v>
      </c>
      <c r="L160" t="n">
        <v>0</v>
      </c>
      <c r="M160" t="n">
        <v>0</v>
      </c>
      <c r="N160" t="n">
        <v>0</v>
      </c>
      <c r="O160" t="n">
        <v>0</v>
      </c>
      <c r="P160" t="n">
        <v>0</v>
      </c>
      <c r="Q160" t="n">
        <v>0</v>
      </c>
      <c r="R160" s="2" t="inlineStr"/>
    </row>
    <row r="161" ht="15" customHeight="1">
      <c r="A161" t="inlineStr">
        <is>
          <t>A 55691-2022</t>
        </is>
      </c>
      <c r="B161" s="1" t="n">
        <v>44888</v>
      </c>
      <c r="C161" s="1" t="n">
        <v>45928</v>
      </c>
      <c r="D161" t="inlineStr">
        <is>
          <t>DALARNAS LÄN</t>
        </is>
      </c>
      <c r="E161" t="inlineStr">
        <is>
          <t>ORSA</t>
        </is>
      </c>
      <c r="G161" t="n">
        <v>0.4</v>
      </c>
      <c r="H161" t="n">
        <v>0</v>
      </c>
      <c r="I161" t="n">
        <v>0</v>
      </c>
      <c r="J161" t="n">
        <v>0</v>
      </c>
      <c r="K161" t="n">
        <v>0</v>
      </c>
      <c r="L161" t="n">
        <v>0</v>
      </c>
      <c r="M161" t="n">
        <v>0</v>
      </c>
      <c r="N161" t="n">
        <v>0</v>
      </c>
      <c r="O161" t="n">
        <v>0</v>
      </c>
      <c r="P161" t="n">
        <v>0</v>
      </c>
      <c r="Q161" t="n">
        <v>0</v>
      </c>
      <c r="R161" s="2" t="inlineStr"/>
    </row>
    <row r="162" ht="15" customHeight="1">
      <c r="A162" t="inlineStr">
        <is>
          <t>A 43778-2025</t>
        </is>
      </c>
      <c r="B162" s="1" t="n">
        <v>45912.5147337963</v>
      </c>
      <c r="C162" s="1" t="n">
        <v>45928</v>
      </c>
      <c r="D162" t="inlineStr">
        <is>
          <t>DALARNAS LÄN</t>
        </is>
      </c>
      <c r="E162" t="inlineStr">
        <is>
          <t>ORSA</t>
        </is>
      </c>
      <c r="G162" t="n">
        <v>1.1</v>
      </c>
      <c r="H162" t="n">
        <v>0</v>
      </c>
      <c r="I162" t="n">
        <v>0</v>
      </c>
      <c r="J162" t="n">
        <v>0</v>
      </c>
      <c r="K162" t="n">
        <v>0</v>
      </c>
      <c r="L162" t="n">
        <v>0</v>
      </c>
      <c r="M162" t="n">
        <v>0</v>
      </c>
      <c r="N162" t="n">
        <v>0</v>
      </c>
      <c r="O162" t="n">
        <v>0</v>
      </c>
      <c r="P162" t="n">
        <v>0</v>
      </c>
      <c r="Q162" t="n">
        <v>0</v>
      </c>
      <c r="R162" s="2" t="inlineStr"/>
    </row>
    <row r="163" ht="15" customHeight="1">
      <c r="A163" t="inlineStr">
        <is>
          <t>A 36570-2025</t>
        </is>
      </c>
      <c r="B163" s="1" t="n">
        <v>45870.38728009259</v>
      </c>
      <c r="C163" s="1" t="n">
        <v>45928</v>
      </c>
      <c r="D163" t="inlineStr">
        <is>
          <t>DALARNAS LÄN</t>
        </is>
      </c>
      <c r="E163" t="inlineStr">
        <is>
          <t>ORSA</t>
        </is>
      </c>
      <c r="F163" t="inlineStr">
        <is>
          <t>Bergvik skog öst AB</t>
        </is>
      </c>
      <c r="G163" t="n">
        <v>2.2</v>
      </c>
      <c r="H163" t="n">
        <v>0</v>
      </c>
      <c r="I163" t="n">
        <v>0</v>
      </c>
      <c r="J163" t="n">
        <v>0</v>
      </c>
      <c r="K163" t="n">
        <v>0</v>
      </c>
      <c r="L163" t="n">
        <v>0</v>
      </c>
      <c r="M163" t="n">
        <v>0</v>
      </c>
      <c r="N163" t="n">
        <v>0</v>
      </c>
      <c r="O163" t="n">
        <v>0</v>
      </c>
      <c r="P163" t="n">
        <v>0</v>
      </c>
      <c r="Q163" t="n">
        <v>0</v>
      </c>
      <c r="R163" s="2" t="inlineStr"/>
    </row>
    <row r="164" ht="15" customHeight="1">
      <c r="A164" t="inlineStr">
        <is>
          <t>A 37836-2024</t>
        </is>
      </c>
      <c r="B164" s="1" t="n">
        <v>45544.35747685185</v>
      </c>
      <c r="C164" s="1" t="n">
        <v>45928</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36633-2025</t>
        </is>
      </c>
      <c r="B165" s="1" t="n">
        <v>45870</v>
      </c>
      <c r="C165" s="1" t="n">
        <v>45928</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3166-2024</t>
        </is>
      </c>
      <c r="B166" s="1" t="n">
        <v>45316.62592592592</v>
      </c>
      <c r="C166" s="1" t="n">
        <v>45928</v>
      </c>
      <c r="D166" t="inlineStr">
        <is>
          <t>DALARNAS LÄN</t>
        </is>
      </c>
      <c r="E166" t="inlineStr">
        <is>
          <t>ORSA</t>
        </is>
      </c>
      <c r="G166" t="n">
        <v>0.7</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45928</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28974-2024</t>
        </is>
      </c>
      <c r="B168" s="1" t="n">
        <v>45481.45445601852</v>
      </c>
      <c r="C168" s="1" t="n">
        <v>45928</v>
      </c>
      <c r="D168" t="inlineStr">
        <is>
          <t>DALARNAS LÄN</t>
        </is>
      </c>
      <c r="E168" t="inlineStr">
        <is>
          <t>ORSA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21446-2024</t>
        </is>
      </c>
      <c r="B169" s="1" t="n">
        <v>45441.45840277777</v>
      </c>
      <c r="C169" s="1" t="n">
        <v>45928</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52816-2024</t>
        </is>
      </c>
      <c r="B170" s="1" t="n">
        <v>45610.58322916667</v>
      </c>
      <c r="C170" s="1" t="n">
        <v>45928</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42517-2024</t>
        </is>
      </c>
      <c r="B171" s="1" t="n">
        <v>45565.54078703704</v>
      </c>
      <c r="C171" s="1" t="n">
        <v>45928</v>
      </c>
      <c r="D171" t="inlineStr">
        <is>
          <t>DALARNAS LÄN</t>
        </is>
      </c>
      <c r="E171" t="inlineStr">
        <is>
          <t>ORSA</t>
        </is>
      </c>
      <c r="G171" t="n">
        <v>3</v>
      </c>
      <c r="H171" t="n">
        <v>0</v>
      </c>
      <c r="I171" t="n">
        <v>0</v>
      </c>
      <c r="J171" t="n">
        <v>0</v>
      </c>
      <c r="K171" t="n">
        <v>0</v>
      </c>
      <c r="L171" t="n">
        <v>0</v>
      </c>
      <c r="M171" t="n">
        <v>0</v>
      </c>
      <c r="N171" t="n">
        <v>0</v>
      </c>
      <c r="O171" t="n">
        <v>0</v>
      </c>
      <c r="P171" t="n">
        <v>0</v>
      </c>
      <c r="Q171" t="n">
        <v>0</v>
      </c>
      <c r="R171" s="2" t="inlineStr"/>
    </row>
    <row r="172" ht="15" customHeight="1">
      <c r="A172" t="inlineStr">
        <is>
          <t>A 41291-2021</t>
        </is>
      </c>
      <c r="B172" s="1" t="n">
        <v>44424</v>
      </c>
      <c r="C172" s="1" t="n">
        <v>45928</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28082-2023</t>
        </is>
      </c>
      <c r="B173" s="1" t="n">
        <v>45099</v>
      </c>
      <c r="C173" s="1" t="n">
        <v>45928</v>
      </c>
      <c r="D173" t="inlineStr">
        <is>
          <t>DALARNAS LÄN</t>
        </is>
      </c>
      <c r="E173" t="inlineStr">
        <is>
          <t>ORSA</t>
        </is>
      </c>
      <c r="G173" t="n">
        <v>0.4</v>
      </c>
      <c r="H173" t="n">
        <v>0</v>
      </c>
      <c r="I173" t="n">
        <v>0</v>
      </c>
      <c r="J173" t="n">
        <v>0</v>
      </c>
      <c r="K173" t="n">
        <v>0</v>
      </c>
      <c r="L173" t="n">
        <v>0</v>
      </c>
      <c r="M173" t="n">
        <v>0</v>
      </c>
      <c r="N173" t="n">
        <v>0</v>
      </c>
      <c r="O173" t="n">
        <v>0</v>
      </c>
      <c r="P173" t="n">
        <v>0</v>
      </c>
      <c r="Q173" t="n">
        <v>0</v>
      </c>
      <c r="R173" s="2" t="inlineStr"/>
    </row>
    <row r="174" ht="15" customHeight="1">
      <c r="A174" t="inlineStr">
        <is>
          <t>A 50999-2021</t>
        </is>
      </c>
      <c r="B174" s="1" t="n">
        <v>44460.85565972222</v>
      </c>
      <c r="C174" s="1" t="n">
        <v>45928</v>
      </c>
      <c r="D174" t="inlineStr">
        <is>
          <t>DALARNAS LÄN</t>
        </is>
      </c>
      <c r="E174" t="inlineStr">
        <is>
          <t>ORSA</t>
        </is>
      </c>
      <c r="G174" t="n">
        <v>3</v>
      </c>
      <c r="H174" t="n">
        <v>0</v>
      </c>
      <c r="I174" t="n">
        <v>0</v>
      </c>
      <c r="J174" t="n">
        <v>0</v>
      </c>
      <c r="K174" t="n">
        <v>0</v>
      </c>
      <c r="L174" t="n">
        <v>0</v>
      </c>
      <c r="M174" t="n">
        <v>0</v>
      </c>
      <c r="N174" t="n">
        <v>0</v>
      </c>
      <c r="O174" t="n">
        <v>0</v>
      </c>
      <c r="P174" t="n">
        <v>0</v>
      </c>
      <c r="Q174" t="n">
        <v>0</v>
      </c>
      <c r="R174" s="2" t="inlineStr"/>
    </row>
    <row r="175" ht="15" customHeight="1">
      <c r="A175" t="inlineStr">
        <is>
          <t>A 2717-2024</t>
        </is>
      </c>
      <c r="B175" s="1" t="n">
        <v>45314.49222222222</v>
      </c>
      <c r="C175" s="1" t="n">
        <v>45928</v>
      </c>
      <c r="D175" t="inlineStr">
        <is>
          <t>DALARNAS LÄN</t>
        </is>
      </c>
      <c r="E175" t="inlineStr">
        <is>
          <t>ORSA</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56887-2024</t>
        </is>
      </c>
      <c r="B176" s="1" t="n">
        <v>45628.57388888889</v>
      </c>
      <c r="C176" s="1" t="n">
        <v>45928</v>
      </c>
      <c r="D176" t="inlineStr">
        <is>
          <t>DALARNAS LÄN</t>
        </is>
      </c>
      <c r="E176" t="inlineStr">
        <is>
          <t>ORSA</t>
        </is>
      </c>
      <c r="F176" t="inlineStr">
        <is>
          <t>Bergvik skog öst AB</t>
        </is>
      </c>
      <c r="G176" t="n">
        <v>0.6</v>
      </c>
      <c r="H176" t="n">
        <v>0</v>
      </c>
      <c r="I176" t="n">
        <v>0</v>
      </c>
      <c r="J176" t="n">
        <v>0</v>
      </c>
      <c r="K176" t="n">
        <v>0</v>
      </c>
      <c r="L176" t="n">
        <v>0</v>
      </c>
      <c r="M176" t="n">
        <v>0</v>
      </c>
      <c r="N176" t="n">
        <v>0</v>
      </c>
      <c r="O176" t="n">
        <v>0</v>
      </c>
      <c r="P176" t="n">
        <v>0</v>
      </c>
      <c r="Q176" t="n">
        <v>0</v>
      </c>
      <c r="R176" s="2" t="inlineStr"/>
    </row>
    <row r="177" ht="15" customHeight="1">
      <c r="A177" t="inlineStr">
        <is>
          <t>A 25591-2022</t>
        </is>
      </c>
      <c r="B177" s="1" t="n">
        <v>44732.67958333333</v>
      </c>
      <c r="C177" s="1" t="n">
        <v>45928</v>
      </c>
      <c r="D177" t="inlineStr">
        <is>
          <t>DALARNAS LÄN</t>
        </is>
      </c>
      <c r="E177" t="inlineStr">
        <is>
          <t>ORSA</t>
        </is>
      </c>
      <c r="G177" t="n">
        <v>6</v>
      </c>
      <c r="H177" t="n">
        <v>0</v>
      </c>
      <c r="I177" t="n">
        <v>0</v>
      </c>
      <c r="J177" t="n">
        <v>0</v>
      </c>
      <c r="K177" t="n">
        <v>0</v>
      </c>
      <c r="L177" t="n">
        <v>0</v>
      </c>
      <c r="M177" t="n">
        <v>0</v>
      </c>
      <c r="N177" t="n">
        <v>0</v>
      </c>
      <c r="O177" t="n">
        <v>0</v>
      </c>
      <c r="P177" t="n">
        <v>0</v>
      </c>
      <c r="Q177" t="n">
        <v>0</v>
      </c>
      <c r="R177" s="2" t="inlineStr"/>
    </row>
    <row r="178" ht="15" customHeight="1">
      <c r="A178" t="inlineStr">
        <is>
          <t>A 44531-2025</t>
        </is>
      </c>
      <c r="B178" s="1" t="n">
        <v>45916.77120370371</v>
      </c>
      <c r="C178" s="1" t="n">
        <v>45928</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42513-2024</t>
        </is>
      </c>
      <c r="B179" s="1" t="n">
        <v>45565.53810185185</v>
      </c>
      <c r="C179" s="1" t="n">
        <v>45928</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43967-2025</t>
        </is>
      </c>
      <c r="B180" s="1" t="n">
        <v>45915.40188657407</v>
      </c>
      <c r="C180" s="1" t="n">
        <v>45928</v>
      </c>
      <c r="D180" t="inlineStr">
        <is>
          <t>DALARNAS LÄN</t>
        </is>
      </c>
      <c r="E180" t="inlineStr">
        <is>
          <t>ORSA</t>
        </is>
      </c>
      <c r="F180" t="inlineStr">
        <is>
          <t>Allmännings- och besparingsskogar</t>
        </is>
      </c>
      <c r="G180" t="n">
        <v>8.4</v>
      </c>
      <c r="H180" t="n">
        <v>0</v>
      </c>
      <c r="I180" t="n">
        <v>0</v>
      </c>
      <c r="J180" t="n">
        <v>0</v>
      </c>
      <c r="K180" t="n">
        <v>0</v>
      </c>
      <c r="L180" t="n">
        <v>0</v>
      </c>
      <c r="M180" t="n">
        <v>0</v>
      </c>
      <c r="N180" t="n">
        <v>0</v>
      </c>
      <c r="O180" t="n">
        <v>0</v>
      </c>
      <c r="P180" t="n">
        <v>0</v>
      </c>
      <c r="Q180" t="n">
        <v>0</v>
      </c>
      <c r="R180" s="2" t="inlineStr"/>
    </row>
    <row r="181" ht="15" customHeight="1">
      <c r="A181" t="inlineStr">
        <is>
          <t>A 44121-2025</t>
        </is>
      </c>
      <c r="B181" s="1" t="n">
        <v>45915.57792824074</v>
      </c>
      <c r="C181" s="1" t="n">
        <v>45928</v>
      </c>
      <c r="D181" t="inlineStr">
        <is>
          <t>DALARNAS LÄN</t>
        </is>
      </c>
      <c r="E181" t="inlineStr">
        <is>
          <t>ORSA</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44129-2025</t>
        </is>
      </c>
      <c r="B182" s="1" t="n">
        <v>45915.58392361111</v>
      </c>
      <c r="C182" s="1" t="n">
        <v>45928</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41295-2021</t>
        </is>
      </c>
      <c r="B183" s="1" t="n">
        <v>44424</v>
      </c>
      <c r="C183" s="1" t="n">
        <v>45928</v>
      </c>
      <c r="D183" t="inlineStr">
        <is>
          <t>DALARNAS LÄN</t>
        </is>
      </c>
      <c r="E183" t="inlineStr">
        <is>
          <t>ORSA</t>
        </is>
      </c>
      <c r="G183" t="n">
        <v>3.1</v>
      </c>
      <c r="H183" t="n">
        <v>0</v>
      </c>
      <c r="I183" t="n">
        <v>0</v>
      </c>
      <c r="J183" t="n">
        <v>0</v>
      </c>
      <c r="K183" t="n">
        <v>0</v>
      </c>
      <c r="L183" t="n">
        <v>0</v>
      </c>
      <c r="M183" t="n">
        <v>0</v>
      </c>
      <c r="N183" t="n">
        <v>0</v>
      </c>
      <c r="O183" t="n">
        <v>0</v>
      </c>
      <c r="P183" t="n">
        <v>0</v>
      </c>
      <c r="Q183" t="n">
        <v>0</v>
      </c>
      <c r="R183" s="2" t="inlineStr"/>
    </row>
    <row r="184" ht="15" customHeight="1">
      <c r="A184" t="inlineStr">
        <is>
          <t>A 3951-2023</t>
        </is>
      </c>
      <c r="B184" s="1" t="n">
        <v>44952.38577546296</v>
      </c>
      <c r="C184" s="1" t="n">
        <v>45928</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44053-2025</t>
        </is>
      </c>
      <c r="B185" s="1" t="n">
        <v>45915.51239583334</v>
      </c>
      <c r="C185" s="1" t="n">
        <v>45928</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44117-2025</t>
        </is>
      </c>
      <c r="B186" s="1" t="n">
        <v>45915.57677083334</v>
      </c>
      <c r="C186" s="1" t="n">
        <v>45928</v>
      </c>
      <c r="D186" t="inlineStr">
        <is>
          <t>DALARNAS LÄN</t>
        </is>
      </c>
      <c r="E186" t="inlineStr">
        <is>
          <t>ORSA</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44119-2025</t>
        </is>
      </c>
      <c r="B187" s="1" t="n">
        <v>45915.57738425926</v>
      </c>
      <c r="C187" s="1" t="n">
        <v>45928</v>
      </c>
      <c r="D187" t="inlineStr">
        <is>
          <t>DALARNAS LÄN</t>
        </is>
      </c>
      <c r="E187" t="inlineStr">
        <is>
          <t>ORSA</t>
        </is>
      </c>
      <c r="F187" t="inlineStr">
        <is>
          <t>Allmännings- och besparingsskogar</t>
        </is>
      </c>
      <c r="G187" t="n">
        <v>1.5</v>
      </c>
      <c r="H187" t="n">
        <v>0</v>
      </c>
      <c r="I187" t="n">
        <v>0</v>
      </c>
      <c r="J187" t="n">
        <v>0</v>
      </c>
      <c r="K187" t="n">
        <v>0</v>
      </c>
      <c r="L187" t="n">
        <v>0</v>
      </c>
      <c r="M187" t="n">
        <v>0</v>
      </c>
      <c r="N187" t="n">
        <v>0</v>
      </c>
      <c r="O187" t="n">
        <v>0</v>
      </c>
      <c r="P187" t="n">
        <v>0</v>
      </c>
      <c r="Q187" t="n">
        <v>0</v>
      </c>
      <c r="R187" s="2" t="inlineStr"/>
    </row>
    <row r="188" ht="15" customHeight="1">
      <c r="A188" t="inlineStr">
        <is>
          <t>A 43965-2025</t>
        </is>
      </c>
      <c r="B188" s="1" t="n">
        <v>45915.40027777778</v>
      </c>
      <c r="C188" s="1" t="n">
        <v>45928</v>
      </c>
      <c r="D188" t="inlineStr">
        <is>
          <t>DALARNAS LÄN</t>
        </is>
      </c>
      <c r="E188" t="inlineStr">
        <is>
          <t>ORSA</t>
        </is>
      </c>
      <c r="F188" t="inlineStr">
        <is>
          <t>Allmännings- och besparingsskogar</t>
        </is>
      </c>
      <c r="G188" t="n">
        <v>11.5</v>
      </c>
      <c r="H188" t="n">
        <v>0</v>
      </c>
      <c r="I188" t="n">
        <v>0</v>
      </c>
      <c r="J188" t="n">
        <v>0</v>
      </c>
      <c r="K188" t="n">
        <v>0</v>
      </c>
      <c r="L188" t="n">
        <v>0</v>
      </c>
      <c r="M188" t="n">
        <v>0</v>
      </c>
      <c r="N188" t="n">
        <v>0</v>
      </c>
      <c r="O188" t="n">
        <v>0</v>
      </c>
      <c r="P188" t="n">
        <v>0</v>
      </c>
      <c r="Q188" t="n">
        <v>0</v>
      </c>
      <c r="R188" s="2" t="inlineStr"/>
    </row>
    <row r="189" ht="15" customHeight="1">
      <c r="A189" t="inlineStr">
        <is>
          <t>A 56942-2024</t>
        </is>
      </c>
      <c r="B189" s="1" t="n">
        <v>45628.62292824074</v>
      </c>
      <c r="C189" s="1" t="n">
        <v>45928</v>
      </c>
      <c r="D189" t="inlineStr">
        <is>
          <t>DALARNAS LÄN</t>
        </is>
      </c>
      <c r="E189" t="inlineStr">
        <is>
          <t>ORSA</t>
        </is>
      </c>
      <c r="F189" t="inlineStr">
        <is>
          <t>Bergvik skog öst AB</t>
        </is>
      </c>
      <c r="G189" t="n">
        <v>0.7</v>
      </c>
      <c r="H189" t="n">
        <v>0</v>
      </c>
      <c r="I189" t="n">
        <v>0</v>
      </c>
      <c r="J189" t="n">
        <v>0</v>
      </c>
      <c r="K189" t="n">
        <v>0</v>
      </c>
      <c r="L189" t="n">
        <v>0</v>
      </c>
      <c r="M189" t="n">
        <v>0</v>
      </c>
      <c r="N189" t="n">
        <v>0</v>
      </c>
      <c r="O189" t="n">
        <v>0</v>
      </c>
      <c r="P189" t="n">
        <v>0</v>
      </c>
      <c r="Q189" t="n">
        <v>0</v>
      </c>
      <c r="R189" s="2" t="inlineStr"/>
    </row>
    <row r="190" ht="15" customHeight="1">
      <c r="A190" t="inlineStr">
        <is>
          <t>A 45031-2025</t>
        </is>
      </c>
      <c r="B190" s="1" t="n">
        <v>45918.70020833334</v>
      </c>
      <c r="C190" s="1" t="n">
        <v>45928</v>
      </c>
      <c r="D190" t="inlineStr">
        <is>
          <t>DALARNAS LÄN</t>
        </is>
      </c>
      <c r="E190" t="inlineStr">
        <is>
          <t>ORSA</t>
        </is>
      </c>
      <c r="G190" t="n">
        <v>5</v>
      </c>
      <c r="H190" t="n">
        <v>0</v>
      </c>
      <c r="I190" t="n">
        <v>0</v>
      </c>
      <c r="J190" t="n">
        <v>0</v>
      </c>
      <c r="K190" t="n">
        <v>0</v>
      </c>
      <c r="L190" t="n">
        <v>0</v>
      </c>
      <c r="M190" t="n">
        <v>0</v>
      </c>
      <c r="N190" t="n">
        <v>0</v>
      </c>
      <c r="O190" t="n">
        <v>0</v>
      </c>
      <c r="P190" t="n">
        <v>0</v>
      </c>
      <c r="Q190" t="n">
        <v>0</v>
      </c>
      <c r="R190" s="2" t="inlineStr"/>
    </row>
    <row r="191" ht="15" customHeight="1">
      <c r="A191" t="inlineStr">
        <is>
          <t>A 37181-2025</t>
        </is>
      </c>
      <c r="B191" s="1" t="n">
        <v>45875.62668981482</v>
      </c>
      <c r="C191" s="1" t="n">
        <v>45928</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34169-2023</t>
        </is>
      </c>
      <c r="B192" s="1" t="n">
        <v>45138.3071412037</v>
      </c>
      <c r="C192" s="1" t="n">
        <v>45928</v>
      </c>
      <c r="D192" t="inlineStr">
        <is>
          <t>DALARNAS LÄN</t>
        </is>
      </c>
      <c r="E192" t="inlineStr">
        <is>
          <t>ORSA</t>
        </is>
      </c>
      <c r="F192" t="inlineStr">
        <is>
          <t>Allmännings- och besparingsskogar</t>
        </is>
      </c>
      <c r="G192" t="n">
        <v>0.7</v>
      </c>
      <c r="H192" t="n">
        <v>0</v>
      </c>
      <c r="I192" t="n">
        <v>0</v>
      </c>
      <c r="J192" t="n">
        <v>0</v>
      </c>
      <c r="K192" t="n">
        <v>0</v>
      </c>
      <c r="L192" t="n">
        <v>0</v>
      </c>
      <c r="M192" t="n">
        <v>0</v>
      </c>
      <c r="N192" t="n">
        <v>0</v>
      </c>
      <c r="O192" t="n">
        <v>0</v>
      </c>
      <c r="P192" t="n">
        <v>0</v>
      </c>
      <c r="Q192" t="n">
        <v>0</v>
      </c>
      <c r="R192" s="2" t="inlineStr"/>
    </row>
    <row r="193" ht="15" customHeight="1">
      <c r="A193" t="inlineStr">
        <is>
          <t>A 3107-2025</t>
        </is>
      </c>
      <c r="B193" s="1" t="n">
        <v>45678.68400462963</v>
      </c>
      <c r="C193" s="1" t="n">
        <v>45928</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21905-2022</t>
        </is>
      </c>
      <c r="B194" s="1" t="n">
        <v>44711</v>
      </c>
      <c r="C194" s="1" t="n">
        <v>45928</v>
      </c>
      <c r="D194" t="inlineStr">
        <is>
          <t>DALARNAS LÄN</t>
        </is>
      </c>
      <c r="E194" t="inlineStr">
        <is>
          <t>ORSA</t>
        </is>
      </c>
      <c r="F194" t="inlineStr">
        <is>
          <t>Allmännings- och besparingsskogar</t>
        </is>
      </c>
      <c r="G194" t="n">
        <v>3.1</v>
      </c>
      <c r="H194" t="n">
        <v>0</v>
      </c>
      <c r="I194" t="n">
        <v>0</v>
      </c>
      <c r="J194" t="n">
        <v>0</v>
      </c>
      <c r="K194" t="n">
        <v>0</v>
      </c>
      <c r="L194" t="n">
        <v>0</v>
      </c>
      <c r="M194" t="n">
        <v>0</v>
      </c>
      <c r="N194" t="n">
        <v>0</v>
      </c>
      <c r="O194" t="n">
        <v>0</v>
      </c>
      <c r="P194" t="n">
        <v>0</v>
      </c>
      <c r="Q194" t="n">
        <v>0</v>
      </c>
      <c r="R194" s="2" t="inlineStr"/>
    </row>
    <row r="195" ht="15" customHeight="1">
      <c r="A195" t="inlineStr">
        <is>
          <t>A 45155-2025</t>
        </is>
      </c>
      <c r="B195" s="1" t="n">
        <v>45919.47872685185</v>
      </c>
      <c r="C195" s="1" t="n">
        <v>45928</v>
      </c>
      <c r="D195" t="inlineStr">
        <is>
          <t>DALARNAS LÄN</t>
        </is>
      </c>
      <c r="E195" t="inlineStr">
        <is>
          <t>ORSA</t>
        </is>
      </c>
      <c r="G195" t="n">
        <v>1.5</v>
      </c>
      <c r="H195" t="n">
        <v>0</v>
      </c>
      <c r="I195" t="n">
        <v>0</v>
      </c>
      <c r="J195" t="n">
        <v>0</v>
      </c>
      <c r="K195" t="n">
        <v>0</v>
      </c>
      <c r="L195" t="n">
        <v>0</v>
      </c>
      <c r="M195" t="n">
        <v>0</v>
      </c>
      <c r="N195" t="n">
        <v>0</v>
      </c>
      <c r="O195" t="n">
        <v>0</v>
      </c>
      <c r="P195" t="n">
        <v>0</v>
      </c>
      <c r="Q195" t="n">
        <v>0</v>
      </c>
      <c r="R195" s="2" t="inlineStr"/>
    </row>
    <row r="196" ht="15" customHeight="1">
      <c r="A196" t="inlineStr">
        <is>
          <t>A 37445-2025</t>
        </is>
      </c>
      <c r="B196" s="1" t="n">
        <v>45877.54615740741</v>
      </c>
      <c r="C196" s="1" t="n">
        <v>45928</v>
      </c>
      <c r="D196" t="inlineStr">
        <is>
          <t>DALARNAS LÄN</t>
        </is>
      </c>
      <c r="E196" t="inlineStr">
        <is>
          <t>ORSA</t>
        </is>
      </c>
      <c r="F196" t="inlineStr">
        <is>
          <t>Bergvik skog öst AB</t>
        </is>
      </c>
      <c r="G196" t="n">
        <v>13.4</v>
      </c>
      <c r="H196" t="n">
        <v>0</v>
      </c>
      <c r="I196" t="n">
        <v>0</v>
      </c>
      <c r="J196" t="n">
        <v>0</v>
      </c>
      <c r="K196" t="n">
        <v>0</v>
      </c>
      <c r="L196" t="n">
        <v>0</v>
      </c>
      <c r="M196" t="n">
        <v>0</v>
      </c>
      <c r="N196" t="n">
        <v>0</v>
      </c>
      <c r="O196" t="n">
        <v>0</v>
      </c>
      <c r="P196" t="n">
        <v>0</v>
      </c>
      <c r="Q196" t="n">
        <v>0</v>
      </c>
      <c r="R196" s="2" t="inlineStr"/>
    </row>
    <row r="197" ht="15" customHeight="1">
      <c r="A197" t="inlineStr">
        <is>
          <t>A 61685-2024</t>
        </is>
      </c>
      <c r="B197" s="1" t="n">
        <v>45647.56972222222</v>
      </c>
      <c r="C197" s="1" t="n">
        <v>45928</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37981-2024</t>
        </is>
      </c>
      <c r="B198" s="1" t="n">
        <v>45544</v>
      </c>
      <c r="C198" s="1" t="n">
        <v>45928</v>
      </c>
      <c r="D198" t="inlineStr">
        <is>
          <t>DALARNAS LÄN</t>
        </is>
      </c>
      <c r="E198" t="inlineStr">
        <is>
          <t>ORSA</t>
        </is>
      </c>
      <c r="F198" t="inlineStr">
        <is>
          <t>Allmännings- och besparingsskogar</t>
        </is>
      </c>
      <c r="G198" t="n">
        <v>1.2</v>
      </c>
      <c r="H198" t="n">
        <v>0</v>
      </c>
      <c r="I198" t="n">
        <v>0</v>
      </c>
      <c r="J198" t="n">
        <v>0</v>
      </c>
      <c r="K198" t="n">
        <v>0</v>
      </c>
      <c r="L198" t="n">
        <v>0</v>
      </c>
      <c r="M198" t="n">
        <v>0</v>
      </c>
      <c r="N198" t="n">
        <v>0</v>
      </c>
      <c r="O198" t="n">
        <v>0</v>
      </c>
      <c r="P198" t="n">
        <v>0</v>
      </c>
      <c r="Q198" t="n">
        <v>0</v>
      </c>
      <c r="R198" s="2" t="inlineStr"/>
    </row>
    <row r="199" ht="15" customHeight="1">
      <c r="A199" t="inlineStr">
        <is>
          <t>A 61034-2024</t>
        </is>
      </c>
      <c r="B199" s="1" t="n">
        <v>45645.46608796297</v>
      </c>
      <c r="C199" s="1" t="n">
        <v>45928</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37439-2025</t>
        </is>
      </c>
      <c r="B200" s="1" t="n">
        <v>45877.53644675926</v>
      </c>
      <c r="C200" s="1" t="n">
        <v>45928</v>
      </c>
      <c r="D200" t="inlineStr">
        <is>
          <t>DALARNAS LÄN</t>
        </is>
      </c>
      <c r="E200" t="inlineStr">
        <is>
          <t>ORSA</t>
        </is>
      </c>
      <c r="F200" t="inlineStr">
        <is>
          <t>Allmännings- och besparingsskogar</t>
        </is>
      </c>
      <c r="G200" t="n">
        <v>7.9</v>
      </c>
      <c r="H200" t="n">
        <v>0</v>
      </c>
      <c r="I200" t="n">
        <v>0</v>
      </c>
      <c r="J200" t="n">
        <v>0</v>
      </c>
      <c r="K200" t="n">
        <v>0</v>
      </c>
      <c r="L200" t="n">
        <v>0</v>
      </c>
      <c r="M200" t="n">
        <v>0</v>
      </c>
      <c r="N200" t="n">
        <v>0</v>
      </c>
      <c r="O200" t="n">
        <v>0</v>
      </c>
      <c r="P200" t="n">
        <v>0</v>
      </c>
      <c r="Q200" t="n">
        <v>0</v>
      </c>
      <c r="R200" s="2" t="inlineStr"/>
    </row>
    <row r="201" ht="15" customHeight="1">
      <c r="A201" t="inlineStr">
        <is>
          <t>A 50742-2023</t>
        </is>
      </c>
      <c r="B201" s="1" t="n">
        <v>45217.58891203703</v>
      </c>
      <c r="C201" s="1" t="n">
        <v>45928</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27163-2023</t>
        </is>
      </c>
      <c r="B202" s="1" t="n">
        <v>45096.4878125</v>
      </c>
      <c r="C202" s="1" t="n">
        <v>45928</v>
      </c>
      <c r="D202" t="inlineStr">
        <is>
          <t>DALARNAS LÄN</t>
        </is>
      </c>
      <c r="E202" t="inlineStr">
        <is>
          <t>ORSA</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42346-2022</t>
        </is>
      </c>
      <c r="B203" s="1" t="n">
        <v>44831.35561342593</v>
      </c>
      <c r="C203" s="1" t="n">
        <v>45928</v>
      </c>
      <c r="D203" t="inlineStr">
        <is>
          <t>DALARNAS LÄN</t>
        </is>
      </c>
      <c r="E203" t="inlineStr">
        <is>
          <t>ORSA</t>
        </is>
      </c>
      <c r="G203" t="n">
        <v>2.4</v>
      </c>
      <c r="H203" t="n">
        <v>0</v>
      </c>
      <c r="I203" t="n">
        <v>0</v>
      </c>
      <c r="J203" t="n">
        <v>0</v>
      </c>
      <c r="K203" t="n">
        <v>0</v>
      </c>
      <c r="L203" t="n">
        <v>0</v>
      </c>
      <c r="M203" t="n">
        <v>0</v>
      </c>
      <c r="N203" t="n">
        <v>0</v>
      </c>
      <c r="O203" t="n">
        <v>0</v>
      </c>
      <c r="P203" t="n">
        <v>0</v>
      </c>
      <c r="Q203" t="n">
        <v>0</v>
      </c>
      <c r="R203" s="2" t="inlineStr"/>
    </row>
    <row r="204" ht="15" customHeight="1">
      <c r="A204" t="inlineStr">
        <is>
          <t>A 52925-2024</t>
        </is>
      </c>
      <c r="B204" s="1" t="n">
        <v>45610.73276620371</v>
      </c>
      <c r="C204" s="1" t="n">
        <v>45928</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33488-2024</t>
        </is>
      </c>
      <c r="B205" s="1" t="n">
        <v>45519.61466435185</v>
      </c>
      <c r="C205" s="1" t="n">
        <v>45928</v>
      </c>
      <c r="D205" t="inlineStr">
        <is>
          <t>DALARNAS LÄN</t>
        </is>
      </c>
      <c r="E205" t="inlineStr">
        <is>
          <t>ORSA</t>
        </is>
      </c>
      <c r="F205" t="inlineStr">
        <is>
          <t>Övriga statliga verk och myndigheter</t>
        </is>
      </c>
      <c r="G205" t="n">
        <v>0.5</v>
      </c>
      <c r="H205" t="n">
        <v>0</v>
      </c>
      <c r="I205" t="n">
        <v>0</v>
      </c>
      <c r="J205" t="n">
        <v>0</v>
      </c>
      <c r="K205" t="n">
        <v>0</v>
      </c>
      <c r="L205" t="n">
        <v>0</v>
      </c>
      <c r="M205" t="n">
        <v>0</v>
      </c>
      <c r="N205" t="n">
        <v>0</v>
      </c>
      <c r="O205" t="n">
        <v>0</v>
      </c>
      <c r="P205" t="n">
        <v>0</v>
      </c>
      <c r="Q205" t="n">
        <v>0</v>
      </c>
      <c r="R205" s="2" t="inlineStr"/>
    </row>
    <row r="206" ht="15" customHeight="1">
      <c r="A206" t="inlineStr">
        <is>
          <t>A 890-2024</t>
        </is>
      </c>
      <c r="B206" s="1" t="n">
        <v>45301.40552083333</v>
      </c>
      <c r="C206" s="1" t="n">
        <v>45928</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37496-2025</t>
        </is>
      </c>
      <c r="B207" s="1" t="n">
        <v>45877.64424768519</v>
      </c>
      <c r="C207" s="1" t="n">
        <v>45928</v>
      </c>
      <c r="D207" t="inlineStr">
        <is>
          <t>DALARNAS LÄN</t>
        </is>
      </c>
      <c r="E207" t="inlineStr">
        <is>
          <t>ORSA</t>
        </is>
      </c>
      <c r="F207" t="inlineStr">
        <is>
          <t>Bergvik skog öst AB</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37457-2025</t>
        </is>
      </c>
      <c r="B208" s="1" t="n">
        <v>45877.56829861111</v>
      </c>
      <c r="C208" s="1" t="n">
        <v>45928</v>
      </c>
      <c r="D208" t="inlineStr">
        <is>
          <t>DALARNAS LÄN</t>
        </is>
      </c>
      <c r="E208" t="inlineStr">
        <is>
          <t>ORSA</t>
        </is>
      </c>
      <c r="F208" t="inlineStr">
        <is>
          <t>Allmännings- och besparingsskogar</t>
        </is>
      </c>
      <c r="G208" t="n">
        <v>6.5</v>
      </c>
      <c r="H208" t="n">
        <v>0</v>
      </c>
      <c r="I208" t="n">
        <v>0</v>
      </c>
      <c r="J208" t="n">
        <v>0</v>
      </c>
      <c r="K208" t="n">
        <v>0</v>
      </c>
      <c r="L208" t="n">
        <v>0</v>
      </c>
      <c r="M208" t="n">
        <v>0</v>
      </c>
      <c r="N208" t="n">
        <v>0</v>
      </c>
      <c r="O208" t="n">
        <v>0</v>
      </c>
      <c r="P208" t="n">
        <v>0</v>
      </c>
      <c r="Q208" t="n">
        <v>0</v>
      </c>
      <c r="R208" s="2" t="inlineStr"/>
    </row>
    <row r="209" ht="15" customHeight="1">
      <c r="A209" t="inlineStr">
        <is>
          <t>A 31688-2024</t>
        </is>
      </c>
      <c r="B209" s="1" t="n">
        <v>45507.46103009259</v>
      </c>
      <c r="C209" s="1" t="n">
        <v>45928</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37897-2025</t>
        </is>
      </c>
      <c r="B210" s="1" t="n">
        <v>45881.55274305555</v>
      </c>
      <c r="C210" s="1" t="n">
        <v>45928</v>
      </c>
      <c r="D210" t="inlineStr">
        <is>
          <t>DALARNAS LÄN</t>
        </is>
      </c>
      <c r="E210" t="inlineStr">
        <is>
          <t>ORSA</t>
        </is>
      </c>
      <c r="G210" t="n">
        <v>1.9</v>
      </c>
      <c r="H210" t="n">
        <v>0</v>
      </c>
      <c r="I210" t="n">
        <v>0</v>
      </c>
      <c r="J210" t="n">
        <v>0</v>
      </c>
      <c r="K210" t="n">
        <v>0</v>
      </c>
      <c r="L210" t="n">
        <v>0</v>
      </c>
      <c r="M210" t="n">
        <v>0</v>
      </c>
      <c r="N210" t="n">
        <v>0</v>
      </c>
      <c r="O210" t="n">
        <v>0</v>
      </c>
      <c r="P210" t="n">
        <v>0</v>
      </c>
      <c r="Q210" t="n">
        <v>0</v>
      </c>
      <c r="R210" s="2" t="inlineStr"/>
    </row>
    <row r="211" ht="15" customHeight="1">
      <c r="A211" t="inlineStr">
        <is>
          <t>A 6097-2025</t>
        </is>
      </c>
      <c r="B211" s="1" t="n">
        <v>45697</v>
      </c>
      <c r="C211" s="1" t="n">
        <v>45928</v>
      </c>
      <c r="D211" t="inlineStr">
        <is>
          <t>DALARNAS LÄN</t>
        </is>
      </c>
      <c r="E211" t="inlineStr">
        <is>
          <t>ORSA</t>
        </is>
      </c>
      <c r="G211" t="n">
        <v>11.1</v>
      </c>
      <c r="H211" t="n">
        <v>0</v>
      </c>
      <c r="I211" t="n">
        <v>0</v>
      </c>
      <c r="J211" t="n">
        <v>0</v>
      </c>
      <c r="K211" t="n">
        <v>0</v>
      </c>
      <c r="L211" t="n">
        <v>0</v>
      </c>
      <c r="M211" t="n">
        <v>0</v>
      </c>
      <c r="N211" t="n">
        <v>0</v>
      </c>
      <c r="O211" t="n">
        <v>0</v>
      </c>
      <c r="P211" t="n">
        <v>0</v>
      </c>
      <c r="Q211" t="n">
        <v>0</v>
      </c>
      <c r="R211" s="2" t="inlineStr"/>
    </row>
    <row r="212" ht="15" customHeight="1">
      <c r="A212" t="inlineStr">
        <is>
          <t>A 40101-2024</t>
        </is>
      </c>
      <c r="B212" s="1" t="n">
        <v>45554.42622685185</v>
      </c>
      <c r="C212" s="1" t="n">
        <v>45928</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61053-2024</t>
        </is>
      </c>
      <c r="B213" s="1" t="n">
        <v>45645.48501157408</v>
      </c>
      <c r="C213" s="1" t="n">
        <v>45928</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37899-2025</t>
        </is>
      </c>
      <c r="B214" s="1" t="n">
        <v>45881.56083333334</v>
      </c>
      <c r="C214" s="1" t="n">
        <v>45928</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48447-2023</t>
        </is>
      </c>
      <c r="B215" s="1" t="n">
        <v>45206.39274305556</v>
      </c>
      <c r="C215" s="1" t="n">
        <v>45928</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45803-2025</t>
        </is>
      </c>
      <c r="B216" s="1" t="n">
        <v>45923.58125</v>
      </c>
      <c r="C216" s="1" t="n">
        <v>45928</v>
      </c>
      <c r="D216" t="inlineStr">
        <is>
          <t>DALARNAS LÄN</t>
        </is>
      </c>
      <c r="E216" t="inlineStr">
        <is>
          <t>ORSA</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37893-2025</t>
        </is>
      </c>
      <c r="B217" s="1" t="n">
        <v>45881.54469907407</v>
      </c>
      <c r="C217" s="1" t="n">
        <v>45928</v>
      </c>
      <c r="D217" t="inlineStr">
        <is>
          <t>DALARNAS LÄN</t>
        </is>
      </c>
      <c r="E217" t="inlineStr">
        <is>
          <t>ORSA</t>
        </is>
      </c>
      <c r="G217" t="n">
        <v>4.4</v>
      </c>
      <c r="H217" t="n">
        <v>0</v>
      </c>
      <c r="I217" t="n">
        <v>0</v>
      </c>
      <c r="J217" t="n">
        <v>0</v>
      </c>
      <c r="K217" t="n">
        <v>0</v>
      </c>
      <c r="L217" t="n">
        <v>0</v>
      </c>
      <c r="M217" t="n">
        <v>0</v>
      </c>
      <c r="N217" t="n">
        <v>0</v>
      </c>
      <c r="O217" t="n">
        <v>0</v>
      </c>
      <c r="P217" t="n">
        <v>0</v>
      </c>
      <c r="Q217" t="n">
        <v>0</v>
      </c>
      <c r="R217" s="2" t="inlineStr"/>
    </row>
    <row r="218" ht="15" customHeight="1">
      <c r="A218" t="inlineStr">
        <is>
          <t>A 37906-2025</t>
        </is>
      </c>
      <c r="B218" s="1" t="n">
        <v>45881.56803240741</v>
      </c>
      <c r="C218" s="1" t="n">
        <v>45928</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20349-2021</t>
        </is>
      </c>
      <c r="B219" s="1" t="n">
        <v>44315.41582175926</v>
      </c>
      <c r="C219" s="1" t="n">
        <v>45928</v>
      </c>
      <c r="D219" t="inlineStr">
        <is>
          <t>DALARNAS LÄN</t>
        </is>
      </c>
      <c r="E219" t="inlineStr">
        <is>
          <t>ORSA</t>
        </is>
      </c>
      <c r="G219" t="n">
        <v>2.3</v>
      </c>
      <c r="H219" t="n">
        <v>0</v>
      </c>
      <c r="I219" t="n">
        <v>0</v>
      </c>
      <c r="J219" t="n">
        <v>0</v>
      </c>
      <c r="K219" t="n">
        <v>0</v>
      </c>
      <c r="L219" t="n">
        <v>0</v>
      </c>
      <c r="M219" t="n">
        <v>0</v>
      </c>
      <c r="N219" t="n">
        <v>0</v>
      </c>
      <c r="O219" t="n">
        <v>0</v>
      </c>
      <c r="P219" t="n">
        <v>0</v>
      </c>
      <c r="Q219" t="n">
        <v>0</v>
      </c>
      <c r="R219" s="2" t="inlineStr"/>
    </row>
    <row r="220" ht="15" customHeight="1">
      <c r="A220" t="inlineStr">
        <is>
          <t>A 35477-2023</t>
        </is>
      </c>
      <c r="B220" s="1" t="n">
        <v>45146</v>
      </c>
      <c r="C220" s="1" t="n">
        <v>45928</v>
      </c>
      <c r="D220" t="inlineStr">
        <is>
          <t>DALARNAS LÄN</t>
        </is>
      </c>
      <c r="E220" t="inlineStr">
        <is>
          <t>ORSA</t>
        </is>
      </c>
      <c r="G220" t="n">
        <v>7.7</v>
      </c>
      <c r="H220" t="n">
        <v>0</v>
      </c>
      <c r="I220" t="n">
        <v>0</v>
      </c>
      <c r="J220" t="n">
        <v>0</v>
      </c>
      <c r="K220" t="n">
        <v>0</v>
      </c>
      <c r="L220" t="n">
        <v>0</v>
      </c>
      <c r="M220" t="n">
        <v>0</v>
      </c>
      <c r="N220" t="n">
        <v>0</v>
      </c>
      <c r="O220" t="n">
        <v>0</v>
      </c>
      <c r="P220" t="n">
        <v>0</v>
      </c>
      <c r="Q220" t="n">
        <v>0</v>
      </c>
      <c r="R220" s="2" t="inlineStr"/>
    </row>
    <row r="221" ht="15" customHeight="1">
      <c r="A221" t="inlineStr">
        <is>
          <t>A 37647-2023</t>
        </is>
      </c>
      <c r="B221" s="1" t="n">
        <v>45159</v>
      </c>
      <c r="C221" s="1" t="n">
        <v>45928</v>
      </c>
      <c r="D221" t="inlineStr">
        <is>
          <t>DALARNAS LÄN</t>
        </is>
      </c>
      <c r="E221" t="inlineStr">
        <is>
          <t>ORSA</t>
        </is>
      </c>
      <c r="F221" t="inlineStr">
        <is>
          <t>Allmännings- och besparingsskogar</t>
        </is>
      </c>
      <c r="G221" t="n">
        <v>2.1</v>
      </c>
      <c r="H221" t="n">
        <v>0</v>
      </c>
      <c r="I221" t="n">
        <v>0</v>
      </c>
      <c r="J221" t="n">
        <v>0</v>
      </c>
      <c r="K221" t="n">
        <v>0</v>
      </c>
      <c r="L221" t="n">
        <v>0</v>
      </c>
      <c r="M221" t="n">
        <v>0</v>
      </c>
      <c r="N221" t="n">
        <v>0</v>
      </c>
      <c r="O221" t="n">
        <v>0</v>
      </c>
      <c r="P221" t="n">
        <v>0</v>
      </c>
      <c r="Q221" t="n">
        <v>0</v>
      </c>
      <c r="R221" s="2" t="inlineStr"/>
    </row>
    <row r="222" ht="15" customHeight="1">
      <c r="A222" t="inlineStr">
        <is>
          <t>A 46242-2025</t>
        </is>
      </c>
      <c r="B222" s="1" t="n">
        <v>45925.31876157408</v>
      </c>
      <c r="C222" s="1" t="n">
        <v>45928</v>
      </c>
      <c r="D222" t="inlineStr">
        <is>
          <t>DALARNAS LÄN</t>
        </is>
      </c>
      <c r="E222" t="inlineStr">
        <is>
          <t>ORSA</t>
        </is>
      </c>
      <c r="G222" t="n">
        <v>5.6</v>
      </c>
      <c r="H222" t="n">
        <v>0</v>
      </c>
      <c r="I222" t="n">
        <v>0</v>
      </c>
      <c r="J222" t="n">
        <v>0</v>
      </c>
      <c r="K222" t="n">
        <v>0</v>
      </c>
      <c r="L222" t="n">
        <v>0</v>
      </c>
      <c r="M222" t="n">
        <v>0</v>
      </c>
      <c r="N222" t="n">
        <v>0</v>
      </c>
      <c r="O222" t="n">
        <v>0</v>
      </c>
      <c r="P222" t="n">
        <v>0</v>
      </c>
      <c r="Q222" t="n">
        <v>0</v>
      </c>
      <c r="R222" s="2" t="inlineStr"/>
    </row>
    <row r="223" ht="15" customHeight="1">
      <c r="A223" t="inlineStr">
        <is>
          <t>A 33673-2023</t>
        </is>
      </c>
      <c r="B223" s="1" t="n">
        <v>45132</v>
      </c>
      <c r="C223" s="1" t="n">
        <v>45928</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45928</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4553-2025</t>
        </is>
      </c>
      <c r="B225" s="1" t="n">
        <v>45687.42143518518</v>
      </c>
      <c r="C225" s="1" t="n">
        <v>45928</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67755-2020</t>
        </is>
      </c>
      <c r="B226" s="1" t="n">
        <v>44182</v>
      </c>
      <c r="C226" s="1" t="n">
        <v>45928</v>
      </c>
      <c r="D226" t="inlineStr">
        <is>
          <t>DALARNAS LÄN</t>
        </is>
      </c>
      <c r="E226" t="inlineStr">
        <is>
          <t>ORSA</t>
        </is>
      </c>
      <c r="G226" t="n">
        <v>7.5</v>
      </c>
      <c r="H226" t="n">
        <v>0</v>
      </c>
      <c r="I226" t="n">
        <v>0</v>
      </c>
      <c r="J226" t="n">
        <v>0</v>
      </c>
      <c r="K226" t="n">
        <v>0</v>
      </c>
      <c r="L226" t="n">
        <v>0</v>
      </c>
      <c r="M226" t="n">
        <v>0</v>
      </c>
      <c r="N226" t="n">
        <v>0</v>
      </c>
      <c r="O226" t="n">
        <v>0</v>
      </c>
      <c r="P226" t="n">
        <v>0</v>
      </c>
      <c r="Q226" t="n">
        <v>0</v>
      </c>
      <c r="R226" s="2" t="inlineStr"/>
    </row>
    <row r="227" ht="15" customHeight="1">
      <c r="A227" t="inlineStr">
        <is>
          <t>A 67834-2020</t>
        </is>
      </c>
      <c r="B227" s="1" t="n">
        <v>44182</v>
      </c>
      <c r="C227" s="1" t="n">
        <v>45928</v>
      </c>
      <c r="D227" t="inlineStr">
        <is>
          <t>DALARNAS LÄN</t>
        </is>
      </c>
      <c r="E227" t="inlineStr">
        <is>
          <t>ORSA</t>
        </is>
      </c>
      <c r="G227" t="n">
        <v>4</v>
      </c>
      <c r="H227" t="n">
        <v>0</v>
      </c>
      <c r="I227" t="n">
        <v>0</v>
      </c>
      <c r="J227" t="n">
        <v>0</v>
      </c>
      <c r="K227" t="n">
        <v>0</v>
      </c>
      <c r="L227" t="n">
        <v>0</v>
      </c>
      <c r="M227" t="n">
        <v>0</v>
      </c>
      <c r="N227" t="n">
        <v>0</v>
      </c>
      <c r="O227" t="n">
        <v>0</v>
      </c>
      <c r="P227" t="n">
        <v>0</v>
      </c>
      <c r="Q227" t="n">
        <v>0</v>
      </c>
      <c r="R227" s="2" t="inlineStr"/>
    </row>
    <row r="228" ht="15" customHeight="1">
      <c r="A228" t="inlineStr">
        <is>
          <t>A 29025-2023</t>
        </is>
      </c>
      <c r="B228" s="1" t="n">
        <v>45104.70399305555</v>
      </c>
      <c r="C228" s="1" t="n">
        <v>45928</v>
      </c>
      <c r="D228" t="inlineStr">
        <is>
          <t>DALARNAS LÄN</t>
        </is>
      </c>
      <c r="E228" t="inlineStr">
        <is>
          <t>ORSA</t>
        </is>
      </c>
      <c r="G228" t="n">
        <v>6.6</v>
      </c>
      <c r="H228" t="n">
        <v>0</v>
      </c>
      <c r="I228" t="n">
        <v>0</v>
      </c>
      <c r="J228" t="n">
        <v>0</v>
      </c>
      <c r="K228" t="n">
        <v>0</v>
      </c>
      <c r="L228" t="n">
        <v>0</v>
      </c>
      <c r="M228" t="n">
        <v>0</v>
      </c>
      <c r="N228" t="n">
        <v>0</v>
      </c>
      <c r="O228" t="n">
        <v>0</v>
      </c>
      <c r="P228" t="n">
        <v>0</v>
      </c>
      <c r="Q228" t="n">
        <v>0</v>
      </c>
      <c r="R228" s="2" t="inlineStr"/>
    </row>
    <row r="229" ht="15" customHeight="1">
      <c r="A229" t="inlineStr">
        <is>
          <t>A 112-2021</t>
        </is>
      </c>
      <c r="B229" s="1" t="n">
        <v>44200</v>
      </c>
      <c r="C229" s="1" t="n">
        <v>45928</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47134-2024</t>
        </is>
      </c>
      <c r="B230" s="1" t="n">
        <v>45586.58081018519</v>
      </c>
      <c r="C230" s="1" t="n">
        <v>45928</v>
      </c>
      <c r="D230" t="inlineStr">
        <is>
          <t>DALARNAS LÄN</t>
        </is>
      </c>
      <c r="E230" t="inlineStr">
        <is>
          <t>ORSA</t>
        </is>
      </c>
      <c r="G230" t="n">
        <v>0.3</v>
      </c>
      <c r="H230" t="n">
        <v>0</v>
      </c>
      <c r="I230" t="n">
        <v>0</v>
      </c>
      <c r="J230" t="n">
        <v>0</v>
      </c>
      <c r="K230" t="n">
        <v>0</v>
      </c>
      <c r="L230" t="n">
        <v>0</v>
      </c>
      <c r="M230" t="n">
        <v>0</v>
      </c>
      <c r="N230" t="n">
        <v>0</v>
      </c>
      <c r="O230" t="n">
        <v>0</v>
      </c>
      <c r="P230" t="n">
        <v>0</v>
      </c>
      <c r="Q230" t="n">
        <v>0</v>
      </c>
      <c r="R230" s="2" t="inlineStr"/>
    </row>
    <row r="231" ht="15" customHeight="1">
      <c r="A231" t="inlineStr">
        <is>
          <t>A 58853-2022</t>
        </is>
      </c>
      <c r="B231" s="1" t="n">
        <v>44903</v>
      </c>
      <c r="C231" s="1" t="n">
        <v>45928</v>
      </c>
      <c r="D231" t="inlineStr">
        <is>
          <t>DALARNAS LÄN</t>
        </is>
      </c>
      <c r="E231" t="inlineStr">
        <is>
          <t>ORSA</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53758-2024</t>
        </is>
      </c>
      <c r="B232" s="1" t="n">
        <v>45615.50483796297</v>
      </c>
      <c r="C232" s="1" t="n">
        <v>45928</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53102-2021</t>
        </is>
      </c>
      <c r="B233" s="1" t="n">
        <v>44467</v>
      </c>
      <c r="C233" s="1" t="n">
        <v>45928</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1304-2024</t>
        </is>
      </c>
      <c r="B234" s="1" t="n">
        <v>45303</v>
      </c>
      <c r="C234" s="1" t="n">
        <v>45928</v>
      </c>
      <c r="D234" t="inlineStr">
        <is>
          <t>DALARNAS LÄN</t>
        </is>
      </c>
      <c r="E234" t="inlineStr">
        <is>
          <t>ORSA</t>
        </is>
      </c>
      <c r="G234" t="n">
        <v>3.8</v>
      </c>
      <c r="H234" t="n">
        <v>0</v>
      </c>
      <c r="I234" t="n">
        <v>0</v>
      </c>
      <c r="J234" t="n">
        <v>0</v>
      </c>
      <c r="K234" t="n">
        <v>0</v>
      </c>
      <c r="L234" t="n">
        <v>0</v>
      </c>
      <c r="M234" t="n">
        <v>0</v>
      </c>
      <c r="N234" t="n">
        <v>0</v>
      </c>
      <c r="O234" t="n">
        <v>0</v>
      </c>
      <c r="P234" t="n">
        <v>0</v>
      </c>
      <c r="Q234" t="n">
        <v>0</v>
      </c>
      <c r="R234" s="2" t="inlineStr"/>
    </row>
    <row r="235" ht="15" customHeight="1">
      <c r="A235" t="inlineStr">
        <is>
          <t>A 19024-2021</t>
        </is>
      </c>
      <c r="B235" s="1" t="n">
        <v>44308.5053587963</v>
      </c>
      <c r="C235" s="1" t="n">
        <v>45928</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10048-2023</t>
        </is>
      </c>
      <c r="B236" s="1" t="n">
        <v>44985.67237268519</v>
      </c>
      <c r="C236" s="1" t="n">
        <v>45928</v>
      </c>
      <c r="D236" t="inlineStr">
        <is>
          <t>DALARNAS LÄN</t>
        </is>
      </c>
      <c r="E236" t="inlineStr">
        <is>
          <t>ORSA</t>
        </is>
      </c>
      <c r="G236" t="n">
        <v>4.8</v>
      </c>
      <c r="H236" t="n">
        <v>0</v>
      </c>
      <c r="I236" t="n">
        <v>0</v>
      </c>
      <c r="J236" t="n">
        <v>0</v>
      </c>
      <c r="K236" t="n">
        <v>0</v>
      </c>
      <c r="L236" t="n">
        <v>0</v>
      </c>
      <c r="M236" t="n">
        <v>0</v>
      </c>
      <c r="N236" t="n">
        <v>0</v>
      </c>
      <c r="O236" t="n">
        <v>0</v>
      </c>
      <c r="P236" t="n">
        <v>0</v>
      </c>
      <c r="Q236" t="n">
        <v>0</v>
      </c>
      <c r="R236" s="2" t="inlineStr"/>
    </row>
    <row r="237" ht="15" customHeight="1">
      <c r="A237" t="inlineStr">
        <is>
          <t>A 52033-2023</t>
        </is>
      </c>
      <c r="B237" s="1" t="n">
        <v>45223.62680555556</v>
      </c>
      <c r="C237" s="1" t="n">
        <v>45928</v>
      </c>
      <c r="D237" t="inlineStr">
        <is>
          <t>DALARNAS LÄN</t>
        </is>
      </c>
      <c r="E237" t="inlineStr">
        <is>
          <t>ORSA</t>
        </is>
      </c>
      <c r="G237" t="n">
        <v>11.5</v>
      </c>
      <c r="H237" t="n">
        <v>0</v>
      </c>
      <c r="I237" t="n">
        <v>0</v>
      </c>
      <c r="J237" t="n">
        <v>0</v>
      </c>
      <c r="K237" t="n">
        <v>0</v>
      </c>
      <c r="L237" t="n">
        <v>0</v>
      </c>
      <c r="M237" t="n">
        <v>0</v>
      </c>
      <c r="N237" t="n">
        <v>0</v>
      </c>
      <c r="O237" t="n">
        <v>0</v>
      </c>
      <c r="P237" t="n">
        <v>0</v>
      </c>
      <c r="Q237" t="n">
        <v>0</v>
      </c>
      <c r="R237" s="2" t="inlineStr"/>
    </row>
    <row r="238" ht="15" customHeight="1">
      <c r="A238" t="inlineStr">
        <is>
          <t>A 31031-2023</t>
        </is>
      </c>
      <c r="B238" s="1" t="n">
        <v>45113</v>
      </c>
      <c r="C238" s="1" t="n">
        <v>45928</v>
      </c>
      <c r="D238" t="inlineStr">
        <is>
          <t>DALARNAS LÄN</t>
        </is>
      </c>
      <c r="E238" t="inlineStr">
        <is>
          <t>ORSA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28388-2024</t>
        </is>
      </c>
      <c r="B239" s="1" t="n">
        <v>45477.59960648148</v>
      </c>
      <c r="C239" s="1" t="n">
        <v>45928</v>
      </c>
      <c r="D239" t="inlineStr">
        <is>
          <t>DALARNAS LÄN</t>
        </is>
      </c>
      <c r="E239" t="inlineStr">
        <is>
          <t>ORSA</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51001-2021</t>
        </is>
      </c>
      <c r="B240" s="1" t="n">
        <v>44460.86221064815</v>
      </c>
      <c r="C240" s="1" t="n">
        <v>45928</v>
      </c>
      <c r="D240" t="inlineStr">
        <is>
          <t>DALARNAS LÄN</t>
        </is>
      </c>
      <c r="E240" t="inlineStr">
        <is>
          <t>ORSA</t>
        </is>
      </c>
      <c r="G240" t="n">
        <v>2.6</v>
      </c>
      <c r="H240" t="n">
        <v>0</v>
      </c>
      <c r="I240" t="n">
        <v>0</v>
      </c>
      <c r="J240" t="n">
        <v>0</v>
      </c>
      <c r="K240" t="n">
        <v>0</v>
      </c>
      <c r="L240" t="n">
        <v>0</v>
      </c>
      <c r="M240" t="n">
        <v>0</v>
      </c>
      <c r="N240" t="n">
        <v>0</v>
      </c>
      <c r="O240" t="n">
        <v>0</v>
      </c>
      <c r="P240" t="n">
        <v>0</v>
      </c>
      <c r="Q240" t="n">
        <v>0</v>
      </c>
      <c r="R240" s="2" t="inlineStr"/>
    </row>
    <row r="241" ht="15" customHeight="1">
      <c r="A241" t="inlineStr">
        <is>
          <t>A 67189-2020</t>
        </is>
      </c>
      <c r="B241" s="1" t="n">
        <v>44180</v>
      </c>
      <c r="C241" s="1" t="n">
        <v>45928</v>
      </c>
      <c r="D241" t="inlineStr">
        <is>
          <t>DALARNAS LÄN</t>
        </is>
      </c>
      <c r="E241" t="inlineStr">
        <is>
          <t>ORSA</t>
        </is>
      </c>
      <c r="F241" t="inlineStr">
        <is>
          <t>Allmännings- och besparingsskogar</t>
        </is>
      </c>
      <c r="G241" t="n">
        <v>5</v>
      </c>
      <c r="H241" t="n">
        <v>0</v>
      </c>
      <c r="I241" t="n">
        <v>0</v>
      </c>
      <c r="J241" t="n">
        <v>0</v>
      </c>
      <c r="K241" t="n">
        <v>0</v>
      </c>
      <c r="L241" t="n">
        <v>0</v>
      </c>
      <c r="M241" t="n">
        <v>0</v>
      </c>
      <c r="N241" t="n">
        <v>0</v>
      </c>
      <c r="O241" t="n">
        <v>0</v>
      </c>
      <c r="P241" t="n">
        <v>0</v>
      </c>
      <c r="Q241" t="n">
        <v>0</v>
      </c>
      <c r="R241" s="2" t="inlineStr"/>
    </row>
    <row r="242" ht="15" customHeight="1">
      <c r="A242" t="inlineStr">
        <is>
          <t>A 27877-2021</t>
        </is>
      </c>
      <c r="B242" s="1" t="n">
        <v>44354.6446875</v>
      </c>
      <c r="C242" s="1" t="n">
        <v>45928</v>
      </c>
      <c r="D242" t="inlineStr">
        <is>
          <t>DALARNAS LÄN</t>
        </is>
      </c>
      <c r="E242" t="inlineStr">
        <is>
          <t>ORSA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61698-2022</t>
        </is>
      </c>
      <c r="B243" s="1" t="n">
        <v>44917.40038194445</v>
      </c>
      <c r="C243" s="1" t="n">
        <v>45928</v>
      </c>
      <c r="D243" t="inlineStr">
        <is>
          <t>DALARNAS LÄN</t>
        </is>
      </c>
      <c r="E243" t="inlineStr">
        <is>
          <t>ORSA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17848-2025</t>
        </is>
      </c>
      <c r="B244" s="1" t="n">
        <v>45758.59981481481</v>
      </c>
      <c r="C244" s="1" t="n">
        <v>45928</v>
      </c>
      <c r="D244" t="inlineStr">
        <is>
          <t>DALARNAS LÄN</t>
        </is>
      </c>
      <c r="E244" t="inlineStr">
        <is>
          <t>ORSA</t>
        </is>
      </c>
      <c r="G244" t="n">
        <v>1.6</v>
      </c>
      <c r="H244" t="n">
        <v>0</v>
      </c>
      <c r="I244" t="n">
        <v>0</v>
      </c>
      <c r="J244" t="n">
        <v>0</v>
      </c>
      <c r="K244" t="n">
        <v>0</v>
      </c>
      <c r="L244" t="n">
        <v>0</v>
      </c>
      <c r="M244" t="n">
        <v>0</v>
      </c>
      <c r="N244" t="n">
        <v>0</v>
      </c>
      <c r="O244" t="n">
        <v>0</v>
      </c>
      <c r="P244" t="n">
        <v>0</v>
      </c>
      <c r="Q244" t="n">
        <v>0</v>
      </c>
      <c r="R244" s="2" t="inlineStr"/>
    </row>
    <row r="245" ht="15" customHeight="1">
      <c r="A245" t="inlineStr">
        <is>
          <t>A 892-2024</t>
        </is>
      </c>
      <c r="B245" s="1" t="n">
        <v>45301</v>
      </c>
      <c r="C245" s="1" t="n">
        <v>45928</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34708-2021</t>
        </is>
      </c>
      <c r="B246" s="1" t="n">
        <v>44382</v>
      </c>
      <c r="C246" s="1" t="n">
        <v>45928</v>
      </c>
      <c r="D246" t="inlineStr">
        <is>
          <t>DALARNAS LÄN</t>
        </is>
      </c>
      <c r="E246" t="inlineStr">
        <is>
          <t>ORSA</t>
        </is>
      </c>
      <c r="G246" t="n">
        <v>4.3</v>
      </c>
      <c r="H246" t="n">
        <v>0</v>
      </c>
      <c r="I246" t="n">
        <v>0</v>
      </c>
      <c r="J246" t="n">
        <v>0</v>
      </c>
      <c r="K246" t="n">
        <v>0</v>
      </c>
      <c r="L246" t="n">
        <v>0</v>
      </c>
      <c r="M246" t="n">
        <v>0</v>
      </c>
      <c r="N246" t="n">
        <v>0</v>
      </c>
      <c r="O246" t="n">
        <v>0</v>
      </c>
      <c r="P246" t="n">
        <v>0</v>
      </c>
      <c r="Q246" t="n">
        <v>0</v>
      </c>
      <c r="R246" s="2" t="inlineStr"/>
    </row>
    <row r="247" ht="15" customHeight="1">
      <c r="A247" t="inlineStr">
        <is>
          <t>A 16777-2024</t>
        </is>
      </c>
      <c r="B247" s="1" t="n">
        <v>45411</v>
      </c>
      <c r="C247" s="1" t="n">
        <v>45928</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48516-2024</t>
        </is>
      </c>
      <c r="B248" s="1" t="n">
        <v>45593.31292824074</v>
      </c>
      <c r="C248" s="1" t="n">
        <v>45928</v>
      </c>
      <c r="D248" t="inlineStr">
        <is>
          <t>DALARNAS LÄN</t>
        </is>
      </c>
      <c r="E248" t="inlineStr">
        <is>
          <t>ORSA</t>
        </is>
      </c>
      <c r="G248" t="n">
        <v>3.3</v>
      </c>
      <c r="H248" t="n">
        <v>0</v>
      </c>
      <c r="I248" t="n">
        <v>0</v>
      </c>
      <c r="J248" t="n">
        <v>0</v>
      </c>
      <c r="K248" t="n">
        <v>0</v>
      </c>
      <c r="L248" t="n">
        <v>0</v>
      </c>
      <c r="M248" t="n">
        <v>0</v>
      </c>
      <c r="N248" t="n">
        <v>0</v>
      </c>
      <c r="O248" t="n">
        <v>0</v>
      </c>
      <c r="P248" t="n">
        <v>0</v>
      </c>
      <c r="Q248" t="n">
        <v>0</v>
      </c>
      <c r="R248" s="2" t="inlineStr"/>
    </row>
    <row r="249" ht="15" customHeight="1">
      <c r="A249" t="inlineStr">
        <is>
          <t>A 48521-2024</t>
        </is>
      </c>
      <c r="B249" s="1" t="n">
        <v>45593.32871527778</v>
      </c>
      <c r="C249" s="1" t="n">
        <v>45928</v>
      </c>
      <c r="D249" t="inlineStr">
        <is>
          <t>DALARNAS LÄN</t>
        </is>
      </c>
      <c r="E249" t="inlineStr">
        <is>
          <t>ORSA</t>
        </is>
      </c>
      <c r="G249" t="n">
        <v>1.6</v>
      </c>
      <c r="H249" t="n">
        <v>0</v>
      </c>
      <c r="I249" t="n">
        <v>0</v>
      </c>
      <c r="J249" t="n">
        <v>0</v>
      </c>
      <c r="K249" t="n">
        <v>0</v>
      </c>
      <c r="L249" t="n">
        <v>0</v>
      </c>
      <c r="M249" t="n">
        <v>0</v>
      </c>
      <c r="N249" t="n">
        <v>0</v>
      </c>
      <c r="O249" t="n">
        <v>0</v>
      </c>
      <c r="P249" t="n">
        <v>0</v>
      </c>
      <c r="Q249" t="n">
        <v>0</v>
      </c>
      <c r="R249" s="2" t="inlineStr"/>
    </row>
    <row r="250" ht="15" customHeight="1">
      <c r="A250" t="inlineStr">
        <is>
          <t>A 48525-2024</t>
        </is>
      </c>
      <c r="B250" s="1" t="n">
        <v>45593.33947916667</v>
      </c>
      <c r="C250" s="1" t="n">
        <v>45928</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38672-2025</t>
        </is>
      </c>
      <c r="B251" s="1" t="n">
        <v>45884.63340277778</v>
      </c>
      <c r="C251" s="1" t="n">
        <v>45928</v>
      </c>
      <c r="D251" t="inlineStr">
        <is>
          <t>DALARNAS LÄN</t>
        </is>
      </c>
      <c r="E251" t="inlineStr">
        <is>
          <t>ORSA</t>
        </is>
      </c>
      <c r="G251" t="n">
        <v>4.6</v>
      </c>
      <c r="H251" t="n">
        <v>0</v>
      </c>
      <c r="I251" t="n">
        <v>0</v>
      </c>
      <c r="J251" t="n">
        <v>0</v>
      </c>
      <c r="K251" t="n">
        <v>0</v>
      </c>
      <c r="L251" t="n">
        <v>0</v>
      </c>
      <c r="M251" t="n">
        <v>0</v>
      </c>
      <c r="N251" t="n">
        <v>0</v>
      </c>
      <c r="O251" t="n">
        <v>0</v>
      </c>
      <c r="P251" t="n">
        <v>0</v>
      </c>
      <c r="Q251" t="n">
        <v>0</v>
      </c>
      <c r="R251" s="2" t="inlineStr"/>
    </row>
    <row r="252" ht="15" customHeight="1">
      <c r="A252" t="inlineStr">
        <is>
          <t>A 37830-2024</t>
        </is>
      </c>
      <c r="B252" s="1" t="n">
        <v>45544.34504629629</v>
      </c>
      <c r="C252" s="1" t="n">
        <v>45928</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52643-2024</t>
        </is>
      </c>
      <c r="B253" s="1" t="n">
        <v>45610.34175925926</v>
      </c>
      <c r="C253" s="1" t="n">
        <v>45928</v>
      </c>
      <c r="D253" t="inlineStr">
        <is>
          <t>DALARNAS LÄN</t>
        </is>
      </c>
      <c r="E253" t="inlineStr">
        <is>
          <t>ORSA</t>
        </is>
      </c>
      <c r="G253" t="n">
        <v>1.5</v>
      </c>
      <c r="H253" t="n">
        <v>0</v>
      </c>
      <c r="I253" t="n">
        <v>0</v>
      </c>
      <c r="J253" t="n">
        <v>0</v>
      </c>
      <c r="K253" t="n">
        <v>0</v>
      </c>
      <c r="L253" t="n">
        <v>0</v>
      </c>
      <c r="M253" t="n">
        <v>0</v>
      </c>
      <c r="N253" t="n">
        <v>0</v>
      </c>
      <c r="O253" t="n">
        <v>0</v>
      </c>
      <c r="P253" t="n">
        <v>0</v>
      </c>
      <c r="Q253" t="n">
        <v>0</v>
      </c>
      <c r="R253" s="2" t="inlineStr"/>
    </row>
    <row r="254" ht="15" customHeight="1">
      <c r="A254" t="inlineStr">
        <is>
          <t>A 45272-2022</t>
        </is>
      </c>
      <c r="B254" s="1" t="n">
        <v>44844</v>
      </c>
      <c r="C254" s="1" t="n">
        <v>45928</v>
      </c>
      <c r="D254" t="inlineStr">
        <is>
          <t>DALARNAS LÄN</t>
        </is>
      </c>
      <c r="E254" t="inlineStr">
        <is>
          <t>ORSA</t>
        </is>
      </c>
      <c r="G254" t="n">
        <v>0.3</v>
      </c>
      <c r="H254" t="n">
        <v>0</v>
      </c>
      <c r="I254" t="n">
        <v>0</v>
      </c>
      <c r="J254" t="n">
        <v>0</v>
      </c>
      <c r="K254" t="n">
        <v>0</v>
      </c>
      <c r="L254" t="n">
        <v>0</v>
      </c>
      <c r="M254" t="n">
        <v>0</v>
      </c>
      <c r="N254" t="n">
        <v>0</v>
      </c>
      <c r="O254" t="n">
        <v>0</v>
      </c>
      <c r="P254" t="n">
        <v>0</v>
      </c>
      <c r="Q254" t="n">
        <v>0</v>
      </c>
      <c r="R254" s="2" t="inlineStr"/>
    </row>
    <row r="255" ht="15" customHeight="1">
      <c r="A255" t="inlineStr">
        <is>
          <t>A 38688-2025</t>
        </is>
      </c>
      <c r="B255" s="1" t="n">
        <v>45884.66097222222</v>
      </c>
      <c r="C255" s="1" t="n">
        <v>45928</v>
      </c>
      <c r="D255" t="inlineStr">
        <is>
          <t>DALARNAS LÄN</t>
        </is>
      </c>
      <c r="E255" t="inlineStr">
        <is>
          <t>ORSA</t>
        </is>
      </c>
      <c r="F255" t="inlineStr">
        <is>
          <t>Allmännings- och besparingsskogar</t>
        </is>
      </c>
      <c r="G255" t="n">
        <v>10.2</v>
      </c>
      <c r="H255" t="n">
        <v>0</v>
      </c>
      <c r="I255" t="n">
        <v>0</v>
      </c>
      <c r="J255" t="n">
        <v>0</v>
      </c>
      <c r="K255" t="n">
        <v>0</v>
      </c>
      <c r="L255" t="n">
        <v>0</v>
      </c>
      <c r="M255" t="n">
        <v>0</v>
      </c>
      <c r="N255" t="n">
        <v>0</v>
      </c>
      <c r="O255" t="n">
        <v>0</v>
      </c>
      <c r="P255" t="n">
        <v>0</v>
      </c>
      <c r="Q255" t="n">
        <v>0</v>
      </c>
      <c r="R255" s="2" t="inlineStr"/>
    </row>
    <row r="256" ht="15" customHeight="1">
      <c r="A256" t="inlineStr">
        <is>
          <t>A 4202-2025</t>
        </is>
      </c>
      <c r="B256" s="1" t="n">
        <v>45685.46236111111</v>
      </c>
      <c r="C256" s="1" t="n">
        <v>45928</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4204-2025</t>
        </is>
      </c>
      <c r="B257" s="1" t="n">
        <v>45685.46390046296</v>
      </c>
      <c r="C257" s="1" t="n">
        <v>45928</v>
      </c>
      <c r="D257" t="inlineStr">
        <is>
          <t>DALARNAS LÄN</t>
        </is>
      </c>
      <c r="E257" t="inlineStr">
        <is>
          <t>ORSA</t>
        </is>
      </c>
      <c r="G257" t="n">
        <v>1.8</v>
      </c>
      <c r="H257" t="n">
        <v>0</v>
      </c>
      <c r="I257" t="n">
        <v>0</v>
      </c>
      <c r="J257" t="n">
        <v>0</v>
      </c>
      <c r="K257" t="n">
        <v>0</v>
      </c>
      <c r="L257" t="n">
        <v>0</v>
      </c>
      <c r="M257" t="n">
        <v>0</v>
      </c>
      <c r="N257" t="n">
        <v>0</v>
      </c>
      <c r="O257" t="n">
        <v>0</v>
      </c>
      <c r="P257" t="n">
        <v>0</v>
      </c>
      <c r="Q257" t="n">
        <v>0</v>
      </c>
      <c r="R257" s="2" t="inlineStr"/>
    </row>
    <row r="258" ht="15" customHeight="1">
      <c r="A258" t="inlineStr">
        <is>
          <t>A 15769-2025</t>
        </is>
      </c>
      <c r="B258" s="1" t="n">
        <v>45748.58792824074</v>
      </c>
      <c r="C258" s="1" t="n">
        <v>45928</v>
      </c>
      <c r="D258" t="inlineStr">
        <is>
          <t>DALARNAS LÄN</t>
        </is>
      </c>
      <c r="E258" t="inlineStr">
        <is>
          <t>ORSA</t>
        </is>
      </c>
      <c r="F258" t="inlineStr">
        <is>
          <t>Bergvik skog öst AB</t>
        </is>
      </c>
      <c r="G258" t="n">
        <v>4.7</v>
      </c>
      <c r="H258" t="n">
        <v>0</v>
      </c>
      <c r="I258" t="n">
        <v>0</v>
      </c>
      <c r="J258" t="n">
        <v>0</v>
      </c>
      <c r="K258" t="n">
        <v>0</v>
      </c>
      <c r="L258" t="n">
        <v>0</v>
      </c>
      <c r="M258" t="n">
        <v>0</v>
      </c>
      <c r="N258" t="n">
        <v>0</v>
      </c>
      <c r="O258" t="n">
        <v>0</v>
      </c>
      <c r="P258" t="n">
        <v>0</v>
      </c>
      <c r="Q258" t="n">
        <v>0</v>
      </c>
      <c r="R258" s="2" t="inlineStr"/>
    </row>
    <row r="259" ht="15" customHeight="1">
      <c r="A259" t="inlineStr">
        <is>
          <t>A 9466-2023</t>
        </is>
      </c>
      <c r="B259" s="1" t="n">
        <v>44981</v>
      </c>
      <c r="C259" s="1" t="n">
        <v>45928</v>
      </c>
      <c r="D259" t="inlineStr">
        <is>
          <t>DALARNAS LÄN</t>
        </is>
      </c>
      <c r="E259" t="inlineStr">
        <is>
          <t>ORSA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46421-2025</t>
        </is>
      </c>
      <c r="B260" s="1" t="n">
        <v>45925.59936342593</v>
      </c>
      <c r="C260" s="1" t="n">
        <v>45928</v>
      </c>
      <c r="D260" t="inlineStr">
        <is>
          <t>DALARNAS LÄN</t>
        </is>
      </c>
      <c r="E260" t="inlineStr">
        <is>
          <t>ORSA</t>
        </is>
      </c>
      <c r="F260" t="inlineStr">
        <is>
          <t>Allmännings- och besparingsskogar</t>
        </is>
      </c>
      <c r="G260" t="n">
        <v>6.2</v>
      </c>
      <c r="H260" t="n">
        <v>0</v>
      </c>
      <c r="I260" t="n">
        <v>0</v>
      </c>
      <c r="J260" t="n">
        <v>0</v>
      </c>
      <c r="K260" t="n">
        <v>0</v>
      </c>
      <c r="L260" t="n">
        <v>0</v>
      </c>
      <c r="M260" t="n">
        <v>0</v>
      </c>
      <c r="N260" t="n">
        <v>0</v>
      </c>
      <c r="O260" t="n">
        <v>0</v>
      </c>
      <c r="P260" t="n">
        <v>0</v>
      </c>
      <c r="Q260" t="n">
        <v>0</v>
      </c>
      <c r="R260" s="2" t="inlineStr"/>
    </row>
    <row r="261" ht="15" customHeight="1">
      <c r="A261" t="inlineStr">
        <is>
          <t>A 38588-2025</t>
        </is>
      </c>
      <c r="B261" s="1" t="n">
        <v>45884.47355324074</v>
      </c>
      <c r="C261" s="1" t="n">
        <v>45928</v>
      </c>
      <c r="D261" t="inlineStr">
        <is>
          <t>DALARNAS LÄN</t>
        </is>
      </c>
      <c r="E261" t="inlineStr">
        <is>
          <t>ORSA</t>
        </is>
      </c>
      <c r="F261" t="inlineStr">
        <is>
          <t>Bergvik skog öst AB</t>
        </is>
      </c>
      <c r="G261" t="n">
        <v>9.5</v>
      </c>
      <c r="H261" t="n">
        <v>0</v>
      </c>
      <c r="I261" t="n">
        <v>0</v>
      </c>
      <c r="J261" t="n">
        <v>0</v>
      </c>
      <c r="K261" t="n">
        <v>0</v>
      </c>
      <c r="L261" t="n">
        <v>0</v>
      </c>
      <c r="M261" t="n">
        <v>0</v>
      </c>
      <c r="N261" t="n">
        <v>0</v>
      </c>
      <c r="O261" t="n">
        <v>0</v>
      </c>
      <c r="P261" t="n">
        <v>0</v>
      </c>
      <c r="Q261" t="n">
        <v>0</v>
      </c>
      <c r="R261" s="2" t="inlineStr"/>
    </row>
    <row r="262" ht="15" customHeight="1">
      <c r="A262" t="inlineStr">
        <is>
          <t>A 46402-2025</t>
        </is>
      </c>
      <c r="B262" s="1" t="n">
        <v>45925.56084490741</v>
      </c>
      <c r="C262" s="1" t="n">
        <v>45928</v>
      </c>
      <c r="D262" t="inlineStr">
        <is>
          <t>DALARNAS LÄN</t>
        </is>
      </c>
      <c r="E262" t="inlineStr">
        <is>
          <t>ORSA</t>
        </is>
      </c>
      <c r="F262" t="inlineStr">
        <is>
          <t>Allmännings- och besparingsskogar</t>
        </is>
      </c>
      <c r="G262" t="n">
        <v>0.7</v>
      </c>
      <c r="H262" t="n">
        <v>0</v>
      </c>
      <c r="I262" t="n">
        <v>0</v>
      </c>
      <c r="J262" t="n">
        <v>0</v>
      </c>
      <c r="K262" t="n">
        <v>0</v>
      </c>
      <c r="L262" t="n">
        <v>0</v>
      </c>
      <c r="M262" t="n">
        <v>0</v>
      </c>
      <c r="N262" t="n">
        <v>0</v>
      </c>
      <c r="O262" t="n">
        <v>0</v>
      </c>
      <c r="P262" t="n">
        <v>0</v>
      </c>
      <c r="Q262" t="n">
        <v>0</v>
      </c>
      <c r="R262" s="2" t="inlineStr"/>
    </row>
    <row r="263" ht="15" customHeight="1">
      <c r="A263" t="inlineStr">
        <is>
          <t>A 46277-2025</t>
        </is>
      </c>
      <c r="B263" s="1" t="n">
        <v>45925.37229166667</v>
      </c>
      <c r="C263" s="1" t="n">
        <v>45928</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46272-2025</t>
        </is>
      </c>
      <c r="B264" s="1" t="n">
        <v>45925.36988425926</v>
      </c>
      <c r="C264" s="1" t="n">
        <v>45928</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46279-2025</t>
        </is>
      </c>
      <c r="B265" s="1" t="n">
        <v>45925.37534722222</v>
      </c>
      <c r="C265" s="1" t="n">
        <v>45928</v>
      </c>
      <c r="D265" t="inlineStr">
        <is>
          <t>DALARNAS LÄN</t>
        </is>
      </c>
      <c r="E265" t="inlineStr">
        <is>
          <t>ORSA</t>
        </is>
      </c>
      <c r="G265" t="n">
        <v>2.2</v>
      </c>
      <c r="H265" t="n">
        <v>0</v>
      </c>
      <c r="I265" t="n">
        <v>0</v>
      </c>
      <c r="J265" t="n">
        <v>0</v>
      </c>
      <c r="K265" t="n">
        <v>0</v>
      </c>
      <c r="L265" t="n">
        <v>0</v>
      </c>
      <c r="M265" t="n">
        <v>0</v>
      </c>
      <c r="N265" t="n">
        <v>0</v>
      </c>
      <c r="O265" t="n">
        <v>0</v>
      </c>
      <c r="P265" t="n">
        <v>0</v>
      </c>
      <c r="Q265" t="n">
        <v>0</v>
      </c>
      <c r="R265" s="2" t="inlineStr"/>
    </row>
    <row r="266" ht="15" customHeight="1">
      <c r="A266" t="inlineStr">
        <is>
          <t>A 21301-2023</t>
        </is>
      </c>
      <c r="B266" s="1" t="n">
        <v>45062.66613425926</v>
      </c>
      <c r="C266" s="1" t="n">
        <v>45928</v>
      </c>
      <c r="D266" t="inlineStr">
        <is>
          <t>DALARNAS LÄN</t>
        </is>
      </c>
      <c r="E266" t="inlineStr">
        <is>
          <t>ORSA</t>
        </is>
      </c>
      <c r="G266" t="n">
        <v>2.2</v>
      </c>
      <c r="H266" t="n">
        <v>0</v>
      </c>
      <c r="I266" t="n">
        <v>0</v>
      </c>
      <c r="J266" t="n">
        <v>0</v>
      </c>
      <c r="K266" t="n">
        <v>0</v>
      </c>
      <c r="L266" t="n">
        <v>0</v>
      </c>
      <c r="M266" t="n">
        <v>0</v>
      </c>
      <c r="N266" t="n">
        <v>0</v>
      </c>
      <c r="O266" t="n">
        <v>0</v>
      </c>
      <c r="P266" t="n">
        <v>0</v>
      </c>
      <c r="Q266" t="n">
        <v>0</v>
      </c>
      <c r="R266" s="2" t="inlineStr"/>
    </row>
    <row r="267" ht="15" customHeight="1">
      <c r="A267" t="inlineStr">
        <is>
          <t>A 37931-2023</t>
        </is>
      </c>
      <c r="B267" s="1" t="n">
        <v>45160.51721064815</v>
      </c>
      <c r="C267" s="1" t="n">
        <v>45928</v>
      </c>
      <c r="D267" t="inlineStr">
        <is>
          <t>DALARNAS LÄN</t>
        </is>
      </c>
      <c r="E267" t="inlineStr">
        <is>
          <t>ORSA</t>
        </is>
      </c>
      <c r="G267" t="n">
        <v>2.6</v>
      </c>
      <c r="H267" t="n">
        <v>0</v>
      </c>
      <c r="I267" t="n">
        <v>0</v>
      </c>
      <c r="J267" t="n">
        <v>0</v>
      </c>
      <c r="K267" t="n">
        <v>0</v>
      </c>
      <c r="L267" t="n">
        <v>0</v>
      </c>
      <c r="M267" t="n">
        <v>0</v>
      </c>
      <c r="N267" t="n">
        <v>0</v>
      </c>
      <c r="O267" t="n">
        <v>0</v>
      </c>
      <c r="P267" t="n">
        <v>0</v>
      </c>
      <c r="Q267" t="n">
        <v>0</v>
      </c>
      <c r="R267" s="2" t="inlineStr"/>
    </row>
    <row r="268" ht="15" customHeight="1">
      <c r="A268" t="inlineStr">
        <is>
          <t>A 36569-2021</t>
        </is>
      </c>
      <c r="B268" s="1" t="n">
        <v>44391</v>
      </c>
      <c r="C268" s="1" t="n">
        <v>45928</v>
      </c>
      <c r="D268" t="inlineStr">
        <is>
          <t>DALARNAS LÄN</t>
        </is>
      </c>
      <c r="E268" t="inlineStr">
        <is>
          <t>ORSA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7628-2025</t>
        </is>
      </c>
      <c r="B269" s="1" t="n">
        <v>45705.73394675926</v>
      </c>
      <c r="C269" s="1" t="n">
        <v>45928</v>
      </c>
      <c r="D269" t="inlineStr">
        <is>
          <t>DALARNAS LÄN</t>
        </is>
      </c>
      <c r="E269" t="inlineStr">
        <is>
          <t>ORSA</t>
        </is>
      </c>
      <c r="G269" t="n">
        <v>1.8</v>
      </c>
      <c r="H269" t="n">
        <v>0</v>
      </c>
      <c r="I269" t="n">
        <v>0</v>
      </c>
      <c r="J269" t="n">
        <v>0</v>
      </c>
      <c r="K269" t="n">
        <v>0</v>
      </c>
      <c r="L269" t="n">
        <v>0</v>
      </c>
      <c r="M269" t="n">
        <v>0</v>
      </c>
      <c r="N269" t="n">
        <v>0</v>
      </c>
      <c r="O269" t="n">
        <v>0</v>
      </c>
      <c r="P269" t="n">
        <v>0</v>
      </c>
      <c r="Q269" t="n">
        <v>0</v>
      </c>
      <c r="R269" s="2" t="inlineStr"/>
    </row>
    <row r="270" ht="15" customHeight="1">
      <c r="A270" t="inlineStr">
        <is>
          <t>A 15766-2025</t>
        </is>
      </c>
      <c r="B270" s="1" t="n">
        <v>45748.58409722222</v>
      </c>
      <c r="C270" s="1" t="n">
        <v>45928</v>
      </c>
      <c r="D270" t="inlineStr">
        <is>
          <t>DALARNAS LÄN</t>
        </is>
      </c>
      <c r="E270" t="inlineStr">
        <is>
          <t>ORSA</t>
        </is>
      </c>
      <c r="F270" t="inlineStr">
        <is>
          <t>Bergvik skog öst AB</t>
        </is>
      </c>
      <c r="G270" t="n">
        <v>9</v>
      </c>
      <c r="H270" t="n">
        <v>0</v>
      </c>
      <c r="I270" t="n">
        <v>0</v>
      </c>
      <c r="J270" t="n">
        <v>0</v>
      </c>
      <c r="K270" t="n">
        <v>0</v>
      </c>
      <c r="L270" t="n">
        <v>0</v>
      </c>
      <c r="M270" t="n">
        <v>0</v>
      </c>
      <c r="N270" t="n">
        <v>0</v>
      </c>
      <c r="O270" t="n">
        <v>0</v>
      </c>
      <c r="P270" t="n">
        <v>0</v>
      </c>
      <c r="Q270" t="n">
        <v>0</v>
      </c>
      <c r="R270" s="2" t="inlineStr"/>
    </row>
    <row r="271" ht="15" customHeight="1">
      <c r="A271" t="inlineStr">
        <is>
          <t>A 8579-2025</t>
        </is>
      </c>
      <c r="B271" s="1" t="n">
        <v>45709</v>
      </c>
      <c r="C271" s="1" t="n">
        <v>45928</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26301-2023</t>
        </is>
      </c>
      <c r="B272" s="1" t="n">
        <v>45091</v>
      </c>
      <c r="C272" s="1" t="n">
        <v>45928</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56711-2021</t>
        </is>
      </c>
      <c r="B273" s="1" t="n">
        <v>44481.41222222222</v>
      </c>
      <c r="C273" s="1" t="n">
        <v>45928</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33265-2021</t>
        </is>
      </c>
      <c r="B274" s="1" t="n">
        <v>44377</v>
      </c>
      <c r="C274" s="1" t="n">
        <v>45928</v>
      </c>
      <c r="D274" t="inlineStr">
        <is>
          <t>DALARNAS LÄN</t>
        </is>
      </c>
      <c r="E274" t="inlineStr">
        <is>
          <t>ORSA</t>
        </is>
      </c>
      <c r="G274" t="n">
        <v>1.9</v>
      </c>
      <c r="H274" t="n">
        <v>0</v>
      </c>
      <c r="I274" t="n">
        <v>0</v>
      </c>
      <c r="J274" t="n">
        <v>0</v>
      </c>
      <c r="K274" t="n">
        <v>0</v>
      </c>
      <c r="L274" t="n">
        <v>0</v>
      </c>
      <c r="M274" t="n">
        <v>0</v>
      </c>
      <c r="N274" t="n">
        <v>0</v>
      </c>
      <c r="O274" t="n">
        <v>0</v>
      </c>
      <c r="P274" t="n">
        <v>0</v>
      </c>
      <c r="Q274" t="n">
        <v>0</v>
      </c>
      <c r="R274" s="2" t="inlineStr"/>
    </row>
    <row r="275" ht="15" customHeight="1">
      <c r="A275" t="inlineStr">
        <is>
          <t>A 17518-2025</t>
        </is>
      </c>
      <c r="B275" s="1" t="n">
        <v>45757.57597222222</v>
      </c>
      <c r="C275" s="1" t="n">
        <v>45928</v>
      </c>
      <c r="D275" t="inlineStr">
        <is>
          <t>DALARNAS LÄN</t>
        </is>
      </c>
      <c r="E275" t="inlineStr">
        <is>
          <t>ORSA</t>
        </is>
      </c>
      <c r="F275" t="inlineStr">
        <is>
          <t>Bergvik skog öst AB</t>
        </is>
      </c>
      <c r="G275" t="n">
        <v>7.3</v>
      </c>
      <c r="H275" t="n">
        <v>0</v>
      </c>
      <c r="I275" t="n">
        <v>0</v>
      </c>
      <c r="J275" t="n">
        <v>0</v>
      </c>
      <c r="K275" t="n">
        <v>0</v>
      </c>
      <c r="L275" t="n">
        <v>0</v>
      </c>
      <c r="M275" t="n">
        <v>0</v>
      </c>
      <c r="N275" t="n">
        <v>0</v>
      </c>
      <c r="O275" t="n">
        <v>0</v>
      </c>
      <c r="P275" t="n">
        <v>0</v>
      </c>
      <c r="Q275" t="n">
        <v>0</v>
      </c>
      <c r="R275" s="2" t="inlineStr"/>
    </row>
    <row r="276" ht="15" customHeight="1">
      <c r="A276" t="inlineStr">
        <is>
          <t>A 49781-2023</t>
        </is>
      </c>
      <c r="B276" s="1" t="n">
        <v>45212.60275462963</v>
      </c>
      <c r="C276" s="1" t="n">
        <v>45928</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49814-2023</t>
        </is>
      </c>
      <c r="B277" s="1" t="n">
        <v>45212.67149305555</v>
      </c>
      <c r="C277" s="1" t="n">
        <v>45928</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47579-2023</t>
        </is>
      </c>
      <c r="B278" s="1" t="n">
        <v>45203.42181712963</v>
      </c>
      <c r="C278" s="1" t="n">
        <v>45928</v>
      </c>
      <c r="D278" t="inlineStr">
        <is>
          <t>DALARNAS LÄN</t>
        </is>
      </c>
      <c r="E278" t="inlineStr">
        <is>
          <t>ORSA</t>
        </is>
      </c>
      <c r="G278" t="n">
        <v>2.9</v>
      </c>
      <c r="H278" t="n">
        <v>0</v>
      </c>
      <c r="I278" t="n">
        <v>0</v>
      </c>
      <c r="J278" t="n">
        <v>0</v>
      </c>
      <c r="K278" t="n">
        <v>0</v>
      </c>
      <c r="L278" t="n">
        <v>0</v>
      </c>
      <c r="M278" t="n">
        <v>0</v>
      </c>
      <c r="N278" t="n">
        <v>0</v>
      </c>
      <c r="O278" t="n">
        <v>0</v>
      </c>
      <c r="P278" t="n">
        <v>0</v>
      </c>
      <c r="Q278" t="n">
        <v>0</v>
      </c>
      <c r="R278" s="2" t="inlineStr"/>
    </row>
    <row r="279" ht="15" customHeight="1">
      <c r="A279" t="inlineStr">
        <is>
          <t>A 15914-2021</t>
        </is>
      </c>
      <c r="B279" s="1" t="n">
        <v>44287</v>
      </c>
      <c r="C279" s="1" t="n">
        <v>45928</v>
      </c>
      <c r="D279" t="inlineStr">
        <is>
          <t>DALARNAS LÄN</t>
        </is>
      </c>
      <c r="E279" t="inlineStr">
        <is>
          <t>ORSA</t>
        </is>
      </c>
      <c r="G279" t="n">
        <v>1.3</v>
      </c>
      <c r="H279" t="n">
        <v>0</v>
      </c>
      <c r="I279" t="n">
        <v>0</v>
      </c>
      <c r="J279" t="n">
        <v>0</v>
      </c>
      <c r="K279" t="n">
        <v>0</v>
      </c>
      <c r="L279" t="n">
        <v>0</v>
      </c>
      <c r="M279" t="n">
        <v>0</v>
      </c>
      <c r="N279" t="n">
        <v>0</v>
      </c>
      <c r="O279" t="n">
        <v>0</v>
      </c>
      <c r="P279" t="n">
        <v>0</v>
      </c>
      <c r="Q279" t="n">
        <v>0</v>
      </c>
      <c r="R279" s="2" t="inlineStr"/>
    </row>
    <row r="280" ht="15" customHeight="1">
      <c r="A280" t="inlineStr">
        <is>
          <t>A 51289-2023</t>
        </is>
      </c>
      <c r="B280" s="1" t="n">
        <v>45219.54077546296</v>
      </c>
      <c r="C280" s="1" t="n">
        <v>45928</v>
      </c>
      <c r="D280" t="inlineStr">
        <is>
          <t>DALARNAS LÄN</t>
        </is>
      </c>
      <c r="E280" t="inlineStr">
        <is>
          <t>ORSA</t>
        </is>
      </c>
      <c r="G280" t="n">
        <v>1.5</v>
      </c>
      <c r="H280" t="n">
        <v>0</v>
      </c>
      <c r="I280" t="n">
        <v>0</v>
      </c>
      <c r="J280" t="n">
        <v>0</v>
      </c>
      <c r="K280" t="n">
        <v>0</v>
      </c>
      <c r="L280" t="n">
        <v>0</v>
      </c>
      <c r="M280" t="n">
        <v>0</v>
      </c>
      <c r="N280" t="n">
        <v>0</v>
      </c>
      <c r="O280" t="n">
        <v>0</v>
      </c>
      <c r="P280" t="n">
        <v>0</v>
      </c>
      <c r="Q280" t="n">
        <v>0</v>
      </c>
      <c r="R280" s="2" t="inlineStr"/>
    </row>
    <row r="281" ht="15" customHeight="1">
      <c r="A281" t="inlineStr">
        <is>
          <t>A 48990-2023</t>
        </is>
      </c>
      <c r="B281" s="1" t="n">
        <v>45209.64740740741</v>
      </c>
      <c r="C281" s="1" t="n">
        <v>45928</v>
      </c>
      <c r="D281" t="inlineStr">
        <is>
          <t>DALARNAS LÄN</t>
        </is>
      </c>
      <c r="E281" t="inlineStr">
        <is>
          <t>ORSA</t>
        </is>
      </c>
      <c r="F281" t="inlineStr">
        <is>
          <t>Allmännings- och besparingsskogar</t>
        </is>
      </c>
      <c r="G281" t="n">
        <v>0.9</v>
      </c>
      <c r="H281" t="n">
        <v>0</v>
      </c>
      <c r="I281" t="n">
        <v>0</v>
      </c>
      <c r="J281" t="n">
        <v>0</v>
      </c>
      <c r="K281" t="n">
        <v>0</v>
      </c>
      <c r="L281" t="n">
        <v>0</v>
      </c>
      <c r="M281" t="n">
        <v>0</v>
      </c>
      <c r="N281" t="n">
        <v>0</v>
      </c>
      <c r="O281" t="n">
        <v>0</v>
      </c>
      <c r="P281" t="n">
        <v>0</v>
      </c>
      <c r="Q281" t="n">
        <v>0</v>
      </c>
      <c r="R281" s="2" t="inlineStr"/>
    </row>
    <row r="282" ht="15" customHeight="1">
      <c r="A282" t="inlineStr">
        <is>
          <t>A 61684-2024</t>
        </is>
      </c>
      <c r="B282" s="1" t="n">
        <v>45647.56491898148</v>
      </c>
      <c r="C282" s="1" t="n">
        <v>45928</v>
      </c>
      <c r="D282" t="inlineStr">
        <is>
          <t>DALARNAS LÄN</t>
        </is>
      </c>
      <c r="E282" t="inlineStr">
        <is>
          <t>ORSA</t>
        </is>
      </c>
      <c r="G282" t="n">
        <v>5.8</v>
      </c>
      <c r="H282" t="n">
        <v>0</v>
      </c>
      <c r="I282" t="n">
        <v>0</v>
      </c>
      <c r="J282" t="n">
        <v>0</v>
      </c>
      <c r="K282" t="n">
        <v>0</v>
      </c>
      <c r="L282" t="n">
        <v>0</v>
      </c>
      <c r="M282" t="n">
        <v>0</v>
      </c>
      <c r="N282" t="n">
        <v>0</v>
      </c>
      <c r="O282" t="n">
        <v>0</v>
      </c>
      <c r="P282" t="n">
        <v>0</v>
      </c>
      <c r="Q282" t="n">
        <v>0</v>
      </c>
      <c r="R282" s="2" t="inlineStr"/>
    </row>
    <row r="283" ht="15" customHeight="1">
      <c r="A283" t="inlineStr">
        <is>
          <t>A 31170-2023</t>
        </is>
      </c>
      <c r="B283" s="1" t="n">
        <v>45113.84923611111</v>
      </c>
      <c r="C283" s="1" t="n">
        <v>45928</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31171-2023</t>
        </is>
      </c>
      <c r="B284" s="1" t="n">
        <v>45113.85704861111</v>
      </c>
      <c r="C284" s="1" t="n">
        <v>45928</v>
      </c>
      <c r="D284" t="inlineStr">
        <is>
          <t>DALARNAS LÄN</t>
        </is>
      </c>
      <c r="E284" t="inlineStr">
        <is>
          <t>ORSA</t>
        </is>
      </c>
      <c r="G284" t="n">
        <v>1.4</v>
      </c>
      <c r="H284" t="n">
        <v>0</v>
      </c>
      <c r="I284" t="n">
        <v>0</v>
      </c>
      <c r="J284" t="n">
        <v>0</v>
      </c>
      <c r="K284" t="n">
        <v>0</v>
      </c>
      <c r="L284" t="n">
        <v>0</v>
      </c>
      <c r="M284" t="n">
        <v>0</v>
      </c>
      <c r="N284" t="n">
        <v>0</v>
      </c>
      <c r="O284" t="n">
        <v>0</v>
      </c>
      <c r="P284" t="n">
        <v>0</v>
      </c>
      <c r="Q284" t="n">
        <v>0</v>
      </c>
      <c r="R284" s="2" t="inlineStr"/>
    </row>
    <row r="285" ht="15" customHeight="1">
      <c r="A285" t="inlineStr">
        <is>
          <t>A 47732-2021</t>
        </is>
      </c>
      <c r="B285" s="1" t="n">
        <v>44448.52815972222</v>
      </c>
      <c r="C285" s="1" t="n">
        <v>45928</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50734-2023</t>
        </is>
      </c>
      <c r="B286" s="1" t="n">
        <v>45217.58043981482</v>
      </c>
      <c r="C286" s="1" t="n">
        <v>45928</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6492-2025</t>
        </is>
      </c>
      <c r="B287" s="1" t="n">
        <v>45699</v>
      </c>
      <c r="C287" s="1" t="n">
        <v>45928</v>
      </c>
      <c r="D287" t="inlineStr">
        <is>
          <t>DALARNAS LÄN</t>
        </is>
      </c>
      <c r="E287" t="inlineStr">
        <is>
          <t>ORSA</t>
        </is>
      </c>
      <c r="G287" t="n">
        <v>0.8</v>
      </c>
      <c r="H287" t="n">
        <v>0</v>
      </c>
      <c r="I287" t="n">
        <v>0</v>
      </c>
      <c r="J287" t="n">
        <v>0</v>
      </c>
      <c r="K287" t="n">
        <v>0</v>
      </c>
      <c r="L287" t="n">
        <v>0</v>
      </c>
      <c r="M287" t="n">
        <v>0</v>
      </c>
      <c r="N287" t="n">
        <v>0</v>
      </c>
      <c r="O287" t="n">
        <v>0</v>
      </c>
      <c r="P287" t="n">
        <v>0</v>
      </c>
      <c r="Q287" t="n">
        <v>0</v>
      </c>
      <c r="R287" s="2" t="inlineStr"/>
    </row>
    <row r="288" ht="15" customHeight="1">
      <c r="A288" t="inlineStr">
        <is>
          <t>A 13580-2025</t>
        </is>
      </c>
      <c r="B288" s="1" t="n">
        <v>45736.58362268518</v>
      </c>
      <c r="C288" s="1" t="n">
        <v>45928</v>
      </c>
      <c r="D288" t="inlineStr">
        <is>
          <t>DALARNAS LÄN</t>
        </is>
      </c>
      <c r="E288" t="inlineStr">
        <is>
          <t>ORSA</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51574-2023</t>
        </is>
      </c>
      <c r="B289" s="1" t="n">
        <v>45222.45090277777</v>
      </c>
      <c r="C289" s="1" t="n">
        <v>45928</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60189-2022</t>
        </is>
      </c>
      <c r="B290" s="1" t="n">
        <v>44910.36798611111</v>
      </c>
      <c r="C290" s="1" t="n">
        <v>45928</v>
      </c>
      <c r="D290" t="inlineStr">
        <is>
          <t>DALARNAS LÄN</t>
        </is>
      </c>
      <c r="E290" t="inlineStr">
        <is>
          <t>ORSA</t>
        </is>
      </c>
      <c r="F290" t="inlineStr">
        <is>
          <t>Bergvik skog öst AB</t>
        </is>
      </c>
      <c r="G290" t="n">
        <v>1.5</v>
      </c>
      <c r="H290" t="n">
        <v>0</v>
      </c>
      <c r="I290" t="n">
        <v>0</v>
      </c>
      <c r="J290" t="n">
        <v>0</v>
      </c>
      <c r="K290" t="n">
        <v>0</v>
      </c>
      <c r="L290" t="n">
        <v>0</v>
      </c>
      <c r="M290" t="n">
        <v>0</v>
      </c>
      <c r="N290" t="n">
        <v>0</v>
      </c>
      <c r="O290" t="n">
        <v>0</v>
      </c>
      <c r="P290" t="n">
        <v>0</v>
      </c>
      <c r="Q290" t="n">
        <v>0</v>
      </c>
      <c r="R290" s="2" t="inlineStr"/>
    </row>
    <row r="291" ht="15" customHeight="1">
      <c r="A291" t="inlineStr">
        <is>
          <t>A 2563-2025</t>
        </is>
      </c>
      <c r="B291" s="1" t="n">
        <v>45674.65692129629</v>
      </c>
      <c r="C291" s="1" t="n">
        <v>45928</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55534-2023</t>
        </is>
      </c>
      <c r="B292" s="1" t="n">
        <v>45238</v>
      </c>
      <c r="C292" s="1" t="n">
        <v>45928</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13575-2025</t>
        </is>
      </c>
      <c r="B293" s="1" t="n">
        <v>45736.57871527778</v>
      </c>
      <c r="C293" s="1" t="n">
        <v>45928</v>
      </c>
      <c r="D293" t="inlineStr">
        <is>
          <t>DALARNAS LÄN</t>
        </is>
      </c>
      <c r="E293" t="inlineStr">
        <is>
          <t>ORSA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16992-2025</t>
        </is>
      </c>
      <c r="B294" s="1" t="n">
        <v>45755.50215277778</v>
      </c>
      <c r="C294" s="1" t="n">
        <v>45928</v>
      </c>
      <c r="D294" t="inlineStr">
        <is>
          <t>DALARNAS LÄN</t>
        </is>
      </c>
      <c r="E294" t="inlineStr">
        <is>
          <t>ORSA</t>
        </is>
      </c>
      <c r="G294" t="n">
        <v>1.5</v>
      </c>
      <c r="H294" t="n">
        <v>0</v>
      </c>
      <c r="I294" t="n">
        <v>0</v>
      </c>
      <c r="J294" t="n">
        <v>0</v>
      </c>
      <c r="K294" t="n">
        <v>0</v>
      </c>
      <c r="L294" t="n">
        <v>0</v>
      </c>
      <c r="M294" t="n">
        <v>0</v>
      </c>
      <c r="N294" t="n">
        <v>0</v>
      </c>
      <c r="O294" t="n">
        <v>0</v>
      </c>
      <c r="P294" t="n">
        <v>0</v>
      </c>
      <c r="Q294" t="n">
        <v>0</v>
      </c>
      <c r="R294" s="2" t="inlineStr"/>
    </row>
    <row r="295" ht="15" customHeight="1">
      <c r="A295" t="inlineStr">
        <is>
          <t>A 30382-2023</t>
        </is>
      </c>
      <c r="B295" s="1" t="n">
        <v>45111</v>
      </c>
      <c r="C295" s="1" t="n">
        <v>45928</v>
      </c>
      <c r="D295" t="inlineStr">
        <is>
          <t>DALARNAS LÄN</t>
        </is>
      </c>
      <c r="E295" t="inlineStr">
        <is>
          <t>ORSA</t>
        </is>
      </c>
      <c r="F295" t="inlineStr">
        <is>
          <t>Bergvik skog öst AB</t>
        </is>
      </c>
      <c r="G295" t="n">
        <v>1.4</v>
      </c>
      <c r="H295" t="n">
        <v>0</v>
      </c>
      <c r="I295" t="n">
        <v>0</v>
      </c>
      <c r="J295" t="n">
        <v>0</v>
      </c>
      <c r="K295" t="n">
        <v>0</v>
      </c>
      <c r="L295" t="n">
        <v>0</v>
      </c>
      <c r="M295" t="n">
        <v>0</v>
      </c>
      <c r="N295" t="n">
        <v>0</v>
      </c>
      <c r="O295" t="n">
        <v>0</v>
      </c>
      <c r="P295" t="n">
        <v>0</v>
      </c>
      <c r="Q295" t="n">
        <v>0</v>
      </c>
      <c r="R295" s="2" t="inlineStr"/>
    </row>
    <row r="296" ht="15" customHeight="1">
      <c r="A296" t="inlineStr">
        <is>
          <t>A 20589-2025</t>
        </is>
      </c>
      <c r="B296" s="1" t="n">
        <v>45775</v>
      </c>
      <c r="C296" s="1" t="n">
        <v>45928</v>
      </c>
      <c r="D296" t="inlineStr">
        <is>
          <t>DALARNAS LÄN</t>
        </is>
      </c>
      <c r="E296" t="inlineStr">
        <is>
          <t>ORSA</t>
        </is>
      </c>
      <c r="G296" t="n">
        <v>2</v>
      </c>
      <c r="H296" t="n">
        <v>0</v>
      </c>
      <c r="I296" t="n">
        <v>0</v>
      </c>
      <c r="J296" t="n">
        <v>0</v>
      </c>
      <c r="K296" t="n">
        <v>0</v>
      </c>
      <c r="L296" t="n">
        <v>0</v>
      </c>
      <c r="M296" t="n">
        <v>0</v>
      </c>
      <c r="N296" t="n">
        <v>0</v>
      </c>
      <c r="O296" t="n">
        <v>0</v>
      </c>
      <c r="P296" t="n">
        <v>0</v>
      </c>
      <c r="Q296" t="n">
        <v>0</v>
      </c>
      <c r="R296" s="2" t="inlineStr"/>
    </row>
    <row r="297" ht="15" customHeight="1">
      <c r="A297" t="inlineStr">
        <is>
          <t>A 17503-2025</t>
        </is>
      </c>
      <c r="B297" s="1" t="n">
        <v>45757.55321759259</v>
      </c>
      <c r="C297" s="1" t="n">
        <v>45928</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54546-2024</t>
        </is>
      </c>
      <c r="B298" s="1" t="n">
        <v>45617.61476851852</v>
      </c>
      <c r="C298" s="1" t="n">
        <v>45928</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52931-2024</t>
        </is>
      </c>
      <c r="B299" s="1" t="n">
        <v>45610.74833333334</v>
      </c>
      <c r="C299" s="1" t="n">
        <v>45928</v>
      </c>
      <c r="D299" t="inlineStr">
        <is>
          <t>DALARNAS LÄN</t>
        </is>
      </c>
      <c r="E299" t="inlineStr">
        <is>
          <t>ORSA</t>
        </is>
      </c>
      <c r="F299" t="inlineStr">
        <is>
          <t>Allmännings- och besparingsskogar</t>
        </is>
      </c>
      <c r="G299" t="n">
        <v>27.5</v>
      </c>
      <c r="H299" t="n">
        <v>0</v>
      </c>
      <c r="I299" t="n">
        <v>0</v>
      </c>
      <c r="J299" t="n">
        <v>0</v>
      </c>
      <c r="K299" t="n">
        <v>0</v>
      </c>
      <c r="L299" t="n">
        <v>0</v>
      </c>
      <c r="M299" t="n">
        <v>0</v>
      </c>
      <c r="N299" t="n">
        <v>0</v>
      </c>
      <c r="O299" t="n">
        <v>0</v>
      </c>
      <c r="P299" t="n">
        <v>0</v>
      </c>
      <c r="Q299" t="n">
        <v>0</v>
      </c>
      <c r="R299" s="2" t="inlineStr"/>
    </row>
    <row r="300" ht="15" customHeight="1">
      <c r="A300" t="inlineStr">
        <is>
          <t>A 60803-2022</t>
        </is>
      </c>
      <c r="B300" s="1" t="n">
        <v>44914</v>
      </c>
      <c r="C300" s="1" t="n">
        <v>45928</v>
      </c>
      <c r="D300" t="inlineStr">
        <is>
          <t>DALARNAS LÄN</t>
        </is>
      </c>
      <c r="E300" t="inlineStr">
        <is>
          <t>ORSA</t>
        </is>
      </c>
      <c r="G300" t="n">
        <v>1.2</v>
      </c>
      <c r="H300" t="n">
        <v>0</v>
      </c>
      <c r="I300" t="n">
        <v>0</v>
      </c>
      <c r="J300" t="n">
        <v>0</v>
      </c>
      <c r="K300" t="n">
        <v>0</v>
      </c>
      <c r="L300" t="n">
        <v>0</v>
      </c>
      <c r="M300" t="n">
        <v>0</v>
      </c>
      <c r="N300" t="n">
        <v>0</v>
      </c>
      <c r="O300" t="n">
        <v>0</v>
      </c>
      <c r="P300" t="n">
        <v>0</v>
      </c>
      <c r="Q300" t="n">
        <v>0</v>
      </c>
      <c r="R300" s="2" t="inlineStr"/>
    </row>
    <row r="301" ht="15" customHeight="1">
      <c r="A301" t="inlineStr">
        <is>
          <t>A 51915-2022</t>
        </is>
      </c>
      <c r="B301" s="1" t="n">
        <v>44872.62795138889</v>
      </c>
      <c r="C301" s="1" t="n">
        <v>45928</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61699-2020</t>
        </is>
      </c>
      <c r="B302" s="1" t="n">
        <v>44158</v>
      </c>
      <c r="C302" s="1" t="n">
        <v>45928</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34125-2023</t>
        </is>
      </c>
      <c r="B303" s="1" t="n">
        <v>45135</v>
      </c>
      <c r="C303" s="1" t="n">
        <v>45928</v>
      </c>
      <c r="D303" t="inlineStr">
        <is>
          <t>DALARNAS LÄN</t>
        </is>
      </c>
      <c r="E303" t="inlineStr">
        <is>
          <t>ORSA</t>
        </is>
      </c>
      <c r="G303" t="n">
        <v>2.7</v>
      </c>
      <c r="H303" t="n">
        <v>0</v>
      </c>
      <c r="I303" t="n">
        <v>0</v>
      </c>
      <c r="J303" t="n">
        <v>0</v>
      </c>
      <c r="K303" t="n">
        <v>0</v>
      </c>
      <c r="L303" t="n">
        <v>0</v>
      </c>
      <c r="M303" t="n">
        <v>0</v>
      </c>
      <c r="N303" t="n">
        <v>0</v>
      </c>
      <c r="O303" t="n">
        <v>0</v>
      </c>
      <c r="P303" t="n">
        <v>0</v>
      </c>
      <c r="Q303" t="n">
        <v>0</v>
      </c>
      <c r="R303" s="2" t="inlineStr"/>
    </row>
    <row r="304" ht="15" customHeight="1">
      <c r="A304" t="inlineStr">
        <is>
          <t>A 6476-2025</t>
        </is>
      </c>
      <c r="B304" s="1" t="n">
        <v>45699</v>
      </c>
      <c r="C304" s="1" t="n">
        <v>45928</v>
      </c>
      <c r="D304" t="inlineStr">
        <is>
          <t>DALARNAS LÄN</t>
        </is>
      </c>
      <c r="E304" t="inlineStr">
        <is>
          <t>ORSA</t>
        </is>
      </c>
      <c r="G304" t="n">
        <v>1.2</v>
      </c>
      <c r="H304" t="n">
        <v>0</v>
      </c>
      <c r="I304" t="n">
        <v>0</v>
      </c>
      <c r="J304" t="n">
        <v>0</v>
      </c>
      <c r="K304" t="n">
        <v>0</v>
      </c>
      <c r="L304" t="n">
        <v>0</v>
      </c>
      <c r="M304" t="n">
        <v>0</v>
      </c>
      <c r="N304" t="n">
        <v>0</v>
      </c>
      <c r="O304" t="n">
        <v>0</v>
      </c>
      <c r="P304" t="n">
        <v>0</v>
      </c>
      <c r="Q304" t="n">
        <v>0</v>
      </c>
      <c r="R304" s="2" t="inlineStr"/>
    </row>
    <row r="305" ht="15" customHeight="1">
      <c r="A305" t="inlineStr">
        <is>
          <t>A 6479-2025</t>
        </is>
      </c>
      <c r="B305" s="1" t="n">
        <v>45699</v>
      </c>
      <c r="C305" s="1" t="n">
        <v>45928</v>
      </c>
      <c r="D305" t="inlineStr">
        <is>
          <t>DALARNAS LÄN</t>
        </is>
      </c>
      <c r="E305" t="inlineStr">
        <is>
          <t>ORSA</t>
        </is>
      </c>
      <c r="G305" t="n">
        <v>3.2</v>
      </c>
      <c r="H305" t="n">
        <v>0</v>
      </c>
      <c r="I305" t="n">
        <v>0</v>
      </c>
      <c r="J305" t="n">
        <v>0</v>
      </c>
      <c r="K305" t="n">
        <v>0</v>
      </c>
      <c r="L305" t="n">
        <v>0</v>
      </c>
      <c r="M305" t="n">
        <v>0</v>
      </c>
      <c r="N305" t="n">
        <v>0</v>
      </c>
      <c r="O305" t="n">
        <v>0</v>
      </c>
      <c r="P305" t="n">
        <v>0</v>
      </c>
      <c r="Q305" t="n">
        <v>0</v>
      </c>
      <c r="R305" s="2" t="inlineStr"/>
    </row>
    <row r="306" ht="15" customHeight="1">
      <c r="A306" t="inlineStr">
        <is>
          <t>A 20588-2025</t>
        </is>
      </c>
      <c r="B306" s="1" t="n">
        <v>45775</v>
      </c>
      <c r="C306" s="1" t="n">
        <v>45928</v>
      </c>
      <c r="D306" t="inlineStr">
        <is>
          <t>DALARNAS LÄN</t>
        </is>
      </c>
      <c r="E306" t="inlineStr">
        <is>
          <t>ORSA</t>
        </is>
      </c>
      <c r="G306" t="n">
        <v>1.7</v>
      </c>
      <c r="H306" t="n">
        <v>0</v>
      </c>
      <c r="I306" t="n">
        <v>0</v>
      </c>
      <c r="J306" t="n">
        <v>0</v>
      </c>
      <c r="K306" t="n">
        <v>0</v>
      </c>
      <c r="L306" t="n">
        <v>0</v>
      </c>
      <c r="M306" t="n">
        <v>0</v>
      </c>
      <c r="N306" t="n">
        <v>0</v>
      </c>
      <c r="O306" t="n">
        <v>0</v>
      </c>
      <c r="P306" t="n">
        <v>0</v>
      </c>
      <c r="Q306" t="n">
        <v>0</v>
      </c>
      <c r="R306" s="2" t="inlineStr"/>
    </row>
    <row r="307" ht="15" customHeight="1">
      <c r="A307" t="inlineStr">
        <is>
          <t>A 29485-2022</t>
        </is>
      </c>
      <c r="B307" s="1" t="n">
        <v>44753</v>
      </c>
      <c r="C307" s="1" t="n">
        <v>45928</v>
      </c>
      <c r="D307" t="inlineStr">
        <is>
          <t>DALARNAS LÄN</t>
        </is>
      </c>
      <c r="E307" t="inlineStr">
        <is>
          <t>ORSA</t>
        </is>
      </c>
      <c r="G307" t="n">
        <v>1.2</v>
      </c>
      <c r="H307" t="n">
        <v>0</v>
      </c>
      <c r="I307" t="n">
        <v>0</v>
      </c>
      <c r="J307" t="n">
        <v>0</v>
      </c>
      <c r="K307" t="n">
        <v>0</v>
      </c>
      <c r="L307" t="n">
        <v>0</v>
      </c>
      <c r="M307" t="n">
        <v>0</v>
      </c>
      <c r="N307" t="n">
        <v>0</v>
      </c>
      <c r="O307" t="n">
        <v>0</v>
      </c>
      <c r="P307" t="n">
        <v>0</v>
      </c>
      <c r="Q307" t="n">
        <v>0</v>
      </c>
      <c r="R307" s="2" t="inlineStr"/>
    </row>
    <row r="308" ht="15" customHeight="1">
      <c r="A308" t="inlineStr">
        <is>
          <t>A 13236-2022</t>
        </is>
      </c>
      <c r="B308" s="1" t="n">
        <v>44644.61106481482</v>
      </c>
      <c r="C308" s="1" t="n">
        <v>45928</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12101-2025</t>
        </is>
      </c>
      <c r="B309" s="1" t="n">
        <v>45729.33743055556</v>
      </c>
      <c r="C309" s="1" t="n">
        <v>45928</v>
      </c>
      <c r="D309" t="inlineStr">
        <is>
          <t>DALARNAS LÄN</t>
        </is>
      </c>
      <c r="E309" t="inlineStr">
        <is>
          <t>ORSA</t>
        </is>
      </c>
      <c r="G309" t="n">
        <v>1</v>
      </c>
      <c r="H309" t="n">
        <v>0</v>
      </c>
      <c r="I309" t="n">
        <v>0</v>
      </c>
      <c r="J309" t="n">
        <v>0</v>
      </c>
      <c r="K309" t="n">
        <v>0</v>
      </c>
      <c r="L309" t="n">
        <v>0</v>
      </c>
      <c r="M309" t="n">
        <v>0</v>
      </c>
      <c r="N309" t="n">
        <v>0</v>
      </c>
      <c r="O309" t="n">
        <v>0</v>
      </c>
      <c r="P309" t="n">
        <v>0</v>
      </c>
      <c r="Q309" t="n">
        <v>0</v>
      </c>
      <c r="R309" s="2" t="inlineStr"/>
    </row>
    <row r="310" ht="15" customHeight="1">
      <c r="A310" t="inlineStr">
        <is>
          <t>A 29499-2024</t>
        </is>
      </c>
      <c r="B310" s="1" t="n">
        <v>45484</v>
      </c>
      <c r="C310" s="1" t="n">
        <v>45928</v>
      </c>
      <c r="D310" t="inlineStr">
        <is>
          <t>DALARNAS LÄN</t>
        </is>
      </c>
      <c r="E310" t="inlineStr">
        <is>
          <t>ORSA</t>
        </is>
      </c>
      <c r="G310" t="n">
        <v>1.7</v>
      </c>
      <c r="H310" t="n">
        <v>0</v>
      </c>
      <c r="I310" t="n">
        <v>0</v>
      </c>
      <c r="J310" t="n">
        <v>0</v>
      </c>
      <c r="K310" t="n">
        <v>0</v>
      </c>
      <c r="L310" t="n">
        <v>0</v>
      </c>
      <c r="M310" t="n">
        <v>0</v>
      </c>
      <c r="N310" t="n">
        <v>0</v>
      </c>
      <c r="O310" t="n">
        <v>0</v>
      </c>
      <c r="P310" t="n">
        <v>0</v>
      </c>
      <c r="Q310" t="n">
        <v>0</v>
      </c>
      <c r="R310" s="2" t="inlineStr"/>
    </row>
    <row r="311" ht="15" customHeight="1">
      <c r="A311" t="inlineStr">
        <is>
          <t>A 5921-2025</t>
        </is>
      </c>
      <c r="B311" s="1" t="n">
        <v>45695</v>
      </c>
      <c r="C311" s="1" t="n">
        <v>45928</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7626-2025</t>
        </is>
      </c>
      <c r="B312" s="1" t="n">
        <v>45705.72799768519</v>
      </c>
      <c r="C312" s="1" t="n">
        <v>45928</v>
      </c>
      <c r="D312" t="inlineStr">
        <is>
          <t>DALARNAS LÄN</t>
        </is>
      </c>
      <c r="E312" t="inlineStr">
        <is>
          <t>ORSA</t>
        </is>
      </c>
      <c r="G312" t="n">
        <v>15.5</v>
      </c>
      <c r="H312" t="n">
        <v>0</v>
      </c>
      <c r="I312" t="n">
        <v>0</v>
      </c>
      <c r="J312" t="n">
        <v>0</v>
      </c>
      <c r="K312" t="n">
        <v>0</v>
      </c>
      <c r="L312" t="n">
        <v>0</v>
      </c>
      <c r="M312" t="n">
        <v>0</v>
      </c>
      <c r="N312" t="n">
        <v>0</v>
      </c>
      <c r="O312" t="n">
        <v>0</v>
      </c>
      <c r="P312" t="n">
        <v>0</v>
      </c>
      <c r="Q312" t="n">
        <v>0</v>
      </c>
      <c r="R312" s="2" t="inlineStr"/>
    </row>
    <row r="313" ht="15" customHeight="1">
      <c r="A313" t="inlineStr">
        <is>
          <t>A 17500-2025</t>
        </is>
      </c>
      <c r="B313" s="1" t="n">
        <v>45757.54954861111</v>
      </c>
      <c r="C313" s="1" t="n">
        <v>45928</v>
      </c>
      <c r="D313" t="inlineStr">
        <is>
          <t>DALARNAS LÄN</t>
        </is>
      </c>
      <c r="E313" t="inlineStr">
        <is>
          <t>ORSA</t>
        </is>
      </c>
      <c r="G313" t="n">
        <v>1.9</v>
      </c>
      <c r="H313" t="n">
        <v>0</v>
      </c>
      <c r="I313" t="n">
        <v>0</v>
      </c>
      <c r="J313" t="n">
        <v>0</v>
      </c>
      <c r="K313" t="n">
        <v>0</v>
      </c>
      <c r="L313" t="n">
        <v>0</v>
      </c>
      <c r="M313" t="n">
        <v>0</v>
      </c>
      <c r="N313" t="n">
        <v>0</v>
      </c>
      <c r="O313" t="n">
        <v>0</v>
      </c>
      <c r="P313" t="n">
        <v>0</v>
      </c>
      <c r="Q313" t="n">
        <v>0</v>
      </c>
      <c r="R313" s="2" t="inlineStr"/>
    </row>
    <row r="314" ht="15" customHeight="1">
      <c r="A314" t="inlineStr">
        <is>
          <t>A 17521-2025</t>
        </is>
      </c>
      <c r="B314" s="1" t="n">
        <v>45757.57952546296</v>
      </c>
      <c r="C314" s="1" t="n">
        <v>45928</v>
      </c>
      <c r="D314" t="inlineStr">
        <is>
          <t>DALARNAS LÄN</t>
        </is>
      </c>
      <c r="E314" t="inlineStr">
        <is>
          <t>ORSA</t>
        </is>
      </c>
      <c r="F314" t="inlineStr">
        <is>
          <t>Bergvik skog öst AB</t>
        </is>
      </c>
      <c r="G314" t="n">
        <v>3.6</v>
      </c>
      <c r="H314" t="n">
        <v>0</v>
      </c>
      <c r="I314" t="n">
        <v>0</v>
      </c>
      <c r="J314" t="n">
        <v>0</v>
      </c>
      <c r="K314" t="n">
        <v>0</v>
      </c>
      <c r="L314" t="n">
        <v>0</v>
      </c>
      <c r="M314" t="n">
        <v>0</v>
      </c>
      <c r="N314" t="n">
        <v>0</v>
      </c>
      <c r="O314" t="n">
        <v>0</v>
      </c>
      <c r="P314" t="n">
        <v>0</v>
      </c>
      <c r="Q314" t="n">
        <v>0</v>
      </c>
      <c r="R314" s="2" t="inlineStr"/>
    </row>
    <row r="315" ht="15" customHeight="1">
      <c r="A315" t="inlineStr">
        <is>
          <t>A 28451-2023</t>
        </is>
      </c>
      <c r="B315" s="1" t="n">
        <v>45103.33896990741</v>
      </c>
      <c r="C315" s="1" t="n">
        <v>45928</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50392-2024</t>
        </is>
      </c>
      <c r="B316" s="1" t="n">
        <v>45601.33789351852</v>
      </c>
      <c r="C316" s="1" t="n">
        <v>45928</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61277-2023</t>
        </is>
      </c>
      <c r="B317" s="1" t="n">
        <v>45264.52465277778</v>
      </c>
      <c r="C317" s="1" t="n">
        <v>45928</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20808-2025</t>
        </is>
      </c>
      <c r="B318" s="1" t="n">
        <v>45776</v>
      </c>
      <c r="C318" s="1" t="n">
        <v>45928</v>
      </c>
      <c r="D318" t="inlineStr">
        <is>
          <t>DALARNAS LÄN</t>
        </is>
      </c>
      <c r="E318" t="inlineStr">
        <is>
          <t>ORSA</t>
        </is>
      </c>
      <c r="F318" t="inlineStr">
        <is>
          <t>Bergvik skog väst AB</t>
        </is>
      </c>
      <c r="G318" t="n">
        <v>14.3</v>
      </c>
      <c r="H318" t="n">
        <v>0</v>
      </c>
      <c r="I318" t="n">
        <v>0</v>
      </c>
      <c r="J318" t="n">
        <v>0</v>
      </c>
      <c r="K318" t="n">
        <v>0</v>
      </c>
      <c r="L318" t="n">
        <v>0</v>
      </c>
      <c r="M318" t="n">
        <v>0</v>
      </c>
      <c r="N318" t="n">
        <v>0</v>
      </c>
      <c r="O318" t="n">
        <v>0</v>
      </c>
      <c r="P318" t="n">
        <v>0</v>
      </c>
      <c r="Q318" t="n">
        <v>0</v>
      </c>
      <c r="R318" s="2" t="inlineStr"/>
    </row>
    <row r="319" ht="15" customHeight="1">
      <c r="A319" t="inlineStr">
        <is>
          <t>A 21376-2025</t>
        </is>
      </c>
      <c r="B319" s="1" t="n">
        <v>45782.45069444444</v>
      </c>
      <c r="C319" s="1" t="n">
        <v>45928</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21335-2025</t>
        </is>
      </c>
      <c r="B320" s="1" t="n">
        <v>45782.37519675926</v>
      </c>
      <c r="C320" s="1" t="n">
        <v>45928</v>
      </c>
      <c r="D320" t="inlineStr">
        <is>
          <t>DALARNAS LÄN</t>
        </is>
      </c>
      <c r="E320" t="inlineStr">
        <is>
          <t>ORSA</t>
        </is>
      </c>
      <c r="F320" t="inlineStr">
        <is>
          <t>Bergvik skog väst AB</t>
        </is>
      </c>
      <c r="G320" t="n">
        <v>14.3</v>
      </c>
      <c r="H320" t="n">
        <v>0</v>
      </c>
      <c r="I320" t="n">
        <v>0</v>
      </c>
      <c r="J320" t="n">
        <v>0</v>
      </c>
      <c r="K320" t="n">
        <v>0</v>
      </c>
      <c r="L320" t="n">
        <v>0</v>
      </c>
      <c r="M320" t="n">
        <v>0</v>
      </c>
      <c r="N320" t="n">
        <v>0</v>
      </c>
      <c r="O320" t="n">
        <v>0</v>
      </c>
      <c r="P320" t="n">
        <v>0</v>
      </c>
      <c r="Q320" t="n">
        <v>0</v>
      </c>
      <c r="R320" s="2" t="inlineStr"/>
    </row>
    <row r="321" ht="15" customHeight="1">
      <c r="A321" t="inlineStr">
        <is>
          <t>A 21747-2025</t>
        </is>
      </c>
      <c r="B321" s="1" t="n">
        <v>45783.60923611111</v>
      </c>
      <c r="C321" s="1" t="n">
        <v>45928</v>
      </c>
      <c r="D321" t="inlineStr">
        <is>
          <t>DALARNAS LÄN</t>
        </is>
      </c>
      <c r="E321" t="inlineStr">
        <is>
          <t>ORSA</t>
        </is>
      </c>
      <c r="G321" t="n">
        <v>1.2</v>
      </c>
      <c r="H321" t="n">
        <v>0</v>
      </c>
      <c r="I321" t="n">
        <v>0</v>
      </c>
      <c r="J321" t="n">
        <v>0</v>
      </c>
      <c r="K321" t="n">
        <v>0</v>
      </c>
      <c r="L321" t="n">
        <v>0</v>
      </c>
      <c r="M321" t="n">
        <v>0</v>
      </c>
      <c r="N321" t="n">
        <v>0</v>
      </c>
      <c r="O321" t="n">
        <v>0</v>
      </c>
      <c r="P321" t="n">
        <v>0</v>
      </c>
      <c r="Q321" t="n">
        <v>0</v>
      </c>
      <c r="R321" s="2" t="inlineStr"/>
    </row>
    <row r="322" ht="15" customHeight="1">
      <c r="A322" t="inlineStr">
        <is>
          <t>A 8429-2024</t>
        </is>
      </c>
      <c r="B322" s="1" t="n">
        <v>45353.38880787037</v>
      </c>
      <c r="C322" s="1" t="n">
        <v>45928</v>
      </c>
      <c r="D322" t="inlineStr">
        <is>
          <t>DALARNAS LÄN</t>
        </is>
      </c>
      <c r="E322" t="inlineStr">
        <is>
          <t>ORSA</t>
        </is>
      </c>
      <c r="G322" t="n">
        <v>0.3</v>
      </c>
      <c r="H322" t="n">
        <v>0</v>
      </c>
      <c r="I322" t="n">
        <v>0</v>
      </c>
      <c r="J322" t="n">
        <v>0</v>
      </c>
      <c r="K322" t="n">
        <v>0</v>
      </c>
      <c r="L322" t="n">
        <v>0</v>
      </c>
      <c r="M322" t="n">
        <v>0</v>
      </c>
      <c r="N322" t="n">
        <v>0</v>
      </c>
      <c r="O322" t="n">
        <v>0</v>
      </c>
      <c r="P322" t="n">
        <v>0</v>
      </c>
      <c r="Q322" t="n">
        <v>0</v>
      </c>
      <c r="R322" s="2" t="inlineStr"/>
    </row>
    <row r="323" ht="15" customHeight="1">
      <c r="A323" t="inlineStr">
        <is>
          <t>A 29984-2025</t>
        </is>
      </c>
      <c r="B323" s="1" t="n">
        <v>45826.49581018519</v>
      </c>
      <c r="C323" s="1" t="n">
        <v>45928</v>
      </c>
      <c r="D323" t="inlineStr">
        <is>
          <t>DALARNAS LÄN</t>
        </is>
      </c>
      <c r="E323" t="inlineStr">
        <is>
          <t>ORSA</t>
        </is>
      </c>
      <c r="G323" t="n">
        <v>0.7</v>
      </c>
      <c r="H323" t="n">
        <v>0</v>
      </c>
      <c r="I323" t="n">
        <v>0</v>
      </c>
      <c r="J323" t="n">
        <v>0</v>
      </c>
      <c r="K323" t="n">
        <v>0</v>
      </c>
      <c r="L323" t="n">
        <v>0</v>
      </c>
      <c r="M323" t="n">
        <v>0</v>
      </c>
      <c r="N323" t="n">
        <v>0</v>
      </c>
      <c r="O323" t="n">
        <v>0</v>
      </c>
      <c r="P323" t="n">
        <v>0</v>
      </c>
      <c r="Q323" t="n">
        <v>0</v>
      </c>
      <c r="R323" s="2" t="inlineStr"/>
    </row>
    <row r="324" ht="15" customHeight="1">
      <c r="A324" t="inlineStr">
        <is>
          <t>A 879-2024</t>
        </is>
      </c>
      <c r="B324" s="1" t="n">
        <v>45301.36821759259</v>
      </c>
      <c r="C324" s="1" t="n">
        <v>45928</v>
      </c>
      <c r="D324" t="inlineStr">
        <is>
          <t>DALARNAS LÄN</t>
        </is>
      </c>
      <c r="E324" t="inlineStr">
        <is>
          <t>ORSA</t>
        </is>
      </c>
      <c r="G324" t="n">
        <v>2.1</v>
      </c>
      <c r="H324" t="n">
        <v>0</v>
      </c>
      <c r="I324" t="n">
        <v>0</v>
      </c>
      <c r="J324" t="n">
        <v>0</v>
      </c>
      <c r="K324" t="n">
        <v>0</v>
      </c>
      <c r="L324" t="n">
        <v>0</v>
      </c>
      <c r="M324" t="n">
        <v>0</v>
      </c>
      <c r="N324" t="n">
        <v>0</v>
      </c>
      <c r="O324" t="n">
        <v>0</v>
      </c>
      <c r="P324" t="n">
        <v>0</v>
      </c>
      <c r="Q324" t="n">
        <v>0</v>
      </c>
      <c r="R324" s="2" t="inlineStr"/>
    </row>
    <row r="325" ht="15" customHeight="1">
      <c r="A325" t="inlineStr">
        <is>
          <t>A 21949-2025</t>
        </is>
      </c>
      <c r="B325" s="1" t="n">
        <v>45784.59369212963</v>
      </c>
      <c r="C325" s="1" t="n">
        <v>45928</v>
      </c>
      <c r="D325" t="inlineStr">
        <is>
          <t>DALARNAS LÄN</t>
        </is>
      </c>
      <c r="E325" t="inlineStr">
        <is>
          <t>ORSA</t>
        </is>
      </c>
      <c r="F325" t="inlineStr">
        <is>
          <t>Bergvik skog öst AB</t>
        </is>
      </c>
      <c r="G325" t="n">
        <v>11</v>
      </c>
      <c r="H325" t="n">
        <v>0</v>
      </c>
      <c r="I325" t="n">
        <v>0</v>
      </c>
      <c r="J325" t="n">
        <v>0</v>
      </c>
      <c r="K325" t="n">
        <v>0</v>
      </c>
      <c r="L325" t="n">
        <v>0</v>
      </c>
      <c r="M325" t="n">
        <v>0</v>
      </c>
      <c r="N325" t="n">
        <v>0</v>
      </c>
      <c r="O325" t="n">
        <v>0</v>
      </c>
      <c r="P325" t="n">
        <v>0</v>
      </c>
      <c r="Q325" t="n">
        <v>0</v>
      </c>
      <c r="R325" s="2" t="inlineStr"/>
    </row>
    <row r="326" ht="15" customHeight="1">
      <c r="A326" t="inlineStr">
        <is>
          <t>A 21165-2024</t>
        </is>
      </c>
      <c r="B326" s="1" t="n">
        <v>45440.45225694445</v>
      </c>
      <c r="C326" s="1" t="n">
        <v>45928</v>
      </c>
      <c r="D326" t="inlineStr">
        <is>
          <t>DALARNAS LÄN</t>
        </is>
      </c>
      <c r="E326" t="inlineStr">
        <is>
          <t>ORSA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41835-2024</t>
        </is>
      </c>
      <c r="B327" s="1" t="n">
        <v>45561.40888888889</v>
      </c>
      <c r="C327" s="1" t="n">
        <v>45928</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28155-2023</t>
        </is>
      </c>
      <c r="B328" s="1" t="n">
        <v>45099</v>
      </c>
      <c r="C328" s="1" t="n">
        <v>45928</v>
      </c>
      <c r="D328" t="inlineStr">
        <is>
          <t>DALARNAS LÄN</t>
        </is>
      </c>
      <c r="E328" t="inlineStr">
        <is>
          <t>ORSA</t>
        </is>
      </c>
      <c r="F328" t="inlineStr">
        <is>
          <t>Bergvik skog öst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10004-2023</t>
        </is>
      </c>
      <c r="B329" s="1" t="n">
        <v>44985.60604166667</v>
      </c>
      <c r="C329" s="1" t="n">
        <v>45928</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51567-2023</t>
        </is>
      </c>
      <c r="B330" s="1" t="n">
        <v>45222.44800925926</v>
      </c>
      <c r="C330" s="1" t="n">
        <v>45928</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4566-2025</t>
        </is>
      </c>
      <c r="B331" s="1" t="n">
        <v>45687.46100694445</v>
      </c>
      <c r="C331" s="1" t="n">
        <v>45928</v>
      </c>
      <c r="D331" t="inlineStr">
        <is>
          <t>DALARNAS LÄN</t>
        </is>
      </c>
      <c r="E331" t="inlineStr">
        <is>
          <t>ORSA</t>
        </is>
      </c>
      <c r="G331" t="n">
        <v>2.1</v>
      </c>
      <c r="H331" t="n">
        <v>0</v>
      </c>
      <c r="I331" t="n">
        <v>0</v>
      </c>
      <c r="J331" t="n">
        <v>0</v>
      </c>
      <c r="K331" t="n">
        <v>0</v>
      </c>
      <c r="L331" t="n">
        <v>0</v>
      </c>
      <c r="M331" t="n">
        <v>0</v>
      </c>
      <c r="N331" t="n">
        <v>0</v>
      </c>
      <c r="O331" t="n">
        <v>0</v>
      </c>
      <c r="P331" t="n">
        <v>0</v>
      </c>
      <c r="Q331" t="n">
        <v>0</v>
      </c>
      <c r="R331" s="2" t="inlineStr"/>
    </row>
    <row r="332" ht="15" customHeight="1">
      <c r="A332" t="inlineStr">
        <is>
          <t>A 44904-2024</t>
        </is>
      </c>
      <c r="B332" s="1" t="n">
        <v>45575.38193287037</v>
      </c>
      <c r="C332" s="1" t="n">
        <v>45928</v>
      </c>
      <c r="D332" t="inlineStr">
        <is>
          <t>DALARNAS LÄN</t>
        </is>
      </c>
      <c r="E332" t="inlineStr">
        <is>
          <t>ORSA</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15870-2025</t>
        </is>
      </c>
      <c r="B333" s="1" t="n">
        <v>45749.37135416667</v>
      </c>
      <c r="C333" s="1" t="n">
        <v>45928</v>
      </c>
      <c r="D333" t="inlineStr">
        <is>
          <t>DALARNAS LÄN</t>
        </is>
      </c>
      <c r="E333" t="inlineStr">
        <is>
          <t>ORSA</t>
        </is>
      </c>
      <c r="F333" t="inlineStr">
        <is>
          <t>Bergvik skog öst AB</t>
        </is>
      </c>
      <c r="G333" t="n">
        <v>2.7</v>
      </c>
      <c r="H333" t="n">
        <v>0</v>
      </c>
      <c r="I333" t="n">
        <v>0</v>
      </c>
      <c r="J333" t="n">
        <v>0</v>
      </c>
      <c r="K333" t="n">
        <v>0</v>
      </c>
      <c r="L333" t="n">
        <v>0</v>
      </c>
      <c r="M333" t="n">
        <v>0</v>
      </c>
      <c r="N333" t="n">
        <v>0</v>
      </c>
      <c r="O333" t="n">
        <v>0</v>
      </c>
      <c r="P333" t="n">
        <v>0</v>
      </c>
      <c r="Q333" t="n">
        <v>0</v>
      </c>
      <c r="R333" s="2" t="inlineStr"/>
    </row>
    <row r="334" ht="15" customHeight="1">
      <c r="A334" t="inlineStr">
        <is>
          <t>A 6047-2023</t>
        </is>
      </c>
      <c r="B334" s="1" t="n">
        <v>44964</v>
      </c>
      <c r="C334" s="1" t="n">
        <v>45928</v>
      </c>
      <c r="D334" t="inlineStr">
        <is>
          <t>DALARNAS LÄN</t>
        </is>
      </c>
      <c r="E334" t="inlineStr">
        <is>
          <t>ORSA</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33384-2022</t>
        </is>
      </c>
      <c r="B335" s="1" t="n">
        <v>44788</v>
      </c>
      <c r="C335" s="1" t="n">
        <v>45928</v>
      </c>
      <c r="D335" t="inlineStr">
        <is>
          <t>DALARNAS LÄN</t>
        </is>
      </c>
      <c r="E335" t="inlineStr">
        <is>
          <t>ORSA</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55843-2023</t>
        </is>
      </c>
      <c r="B336" s="1" t="n">
        <v>45239</v>
      </c>
      <c r="C336" s="1" t="n">
        <v>45928</v>
      </c>
      <c r="D336" t="inlineStr">
        <is>
          <t>DALARNAS LÄN</t>
        </is>
      </c>
      <c r="E336" t="inlineStr">
        <is>
          <t>ORSA</t>
        </is>
      </c>
      <c r="G336" t="n">
        <v>2.4</v>
      </c>
      <c r="H336" t="n">
        <v>0</v>
      </c>
      <c r="I336" t="n">
        <v>0</v>
      </c>
      <c r="J336" t="n">
        <v>0</v>
      </c>
      <c r="K336" t="n">
        <v>0</v>
      </c>
      <c r="L336" t="n">
        <v>0</v>
      </c>
      <c r="M336" t="n">
        <v>0</v>
      </c>
      <c r="N336" t="n">
        <v>0</v>
      </c>
      <c r="O336" t="n">
        <v>0</v>
      </c>
      <c r="P336" t="n">
        <v>0</v>
      </c>
      <c r="Q336" t="n">
        <v>0</v>
      </c>
      <c r="R336" s="2" t="inlineStr"/>
    </row>
    <row r="337" ht="15" customHeight="1">
      <c r="A337" t="inlineStr">
        <is>
          <t>A 22491-2025</t>
        </is>
      </c>
      <c r="B337" s="1" t="n">
        <v>45786.65040509259</v>
      </c>
      <c r="C337" s="1" t="n">
        <v>45928</v>
      </c>
      <c r="D337" t="inlineStr">
        <is>
          <t>DALARNAS LÄN</t>
        </is>
      </c>
      <c r="E337" t="inlineStr">
        <is>
          <t>ORSA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22482-2025</t>
        </is>
      </c>
      <c r="B338" s="1" t="n">
        <v>45786.63901620371</v>
      </c>
      <c r="C338" s="1" t="n">
        <v>45928</v>
      </c>
      <c r="D338" t="inlineStr">
        <is>
          <t>DALARNAS LÄN</t>
        </is>
      </c>
      <c r="E338" t="inlineStr">
        <is>
          <t>ORSA</t>
        </is>
      </c>
      <c r="F338" t="inlineStr">
        <is>
          <t>Bergvik skog öst AB</t>
        </is>
      </c>
      <c r="G338" t="n">
        <v>6.7</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45014.30054398148</v>
      </c>
      <c r="C339" s="1" t="n">
        <v>45928</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31172-2023</t>
        </is>
      </c>
      <c r="B340" s="1" t="n">
        <v>45113.8637037037</v>
      </c>
      <c r="C340" s="1" t="n">
        <v>45928</v>
      </c>
      <c r="D340" t="inlineStr">
        <is>
          <t>DALARNAS LÄN</t>
        </is>
      </c>
      <c r="E340" t="inlineStr">
        <is>
          <t>ORSA</t>
        </is>
      </c>
      <c r="G340" t="n">
        <v>2.9</v>
      </c>
      <c r="H340" t="n">
        <v>0</v>
      </c>
      <c r="I340" t="n">
        <v>0</v>
      </c>
      <c r="J340" t="n">
        <v>0</v>
      </c>
      <c r="K340" t="n">
        <v>0</v>
      </c>
      <c r="L340" t="n">
        <v>0</v>
      </c>
      <c r="M340" t="n">
        <v>0</v>
      </c>
      <c r="N340" t="n">
        <v>0</v>
      </c>
      <c r="O340" t="n">
        <v>0</v>
      </c>
      <c r="P340" t="n">
        <v>0</v>
      </c>
      <c r="Q340" t="n">
        <v>0</v>
      </c>
      <c r="R340" s="2" t="inlineStr"/>
    </row>
    <row r="341" ht="15" customHeight="1">
      <c r="A341" t="inlineStr">
        <is>
          <t>A 22487-2025</t>
        </is>
      </c>
      <c r="B341" s="1" t="n">
        <v>45786.64663194444</v>
      </c>
      <c r="C341" s="1" t="n">
        <v>45928</v>
      </c>
      <c r="D341" t="inlineStr">
        <is>
          <t>DALARNAS LÄN</t>
        </is>
      </c>
      <c r="E341" t="inlineStr">
        <is>
          <t>ORSA</t>
        </is>
      </c>
      <c r="F341" t="inlineStr">
        <is>
          <t>Bergvik skog öst AB</t>
        </is>
      </c>
      <c r="G341" t="n">
        <v>17.8</v>
      </c>
      <c r="H341" t="n">
        <v>0</v>
      </c>
      <c r="I341" t="n">
        <v>0</v>
      </c>
      <c r="J341" t="n">
        <v>0</v>
      </c>
      <c r="K341" t="n">
        <v>0</v>
      </c>
      <c r="L341" t="n">
        <v>0</v>
      </c>
      <c r="M341" t="n">
        <v>0</v>
      </c>
      <c r="N341" t="n">
        <v>0</v>
      </c>
      <c r="O341" t="n">
        <v>0</v>
      </c>
      <c r="P341" t="n">
        <v>0</v>
      </c>
      <c r="Q341" t="n">
        <v>0</v>
      </c>
      <c r="R341" s="2" t="inlineStr"/>
    </row>
    <row r="342" ht="15" customHeight="1">
      <c r="A342" t="inlineStr">
        <is>
          <t>A 23056-2025</t>
        </is>
      </c>
      <c r="B342" s="1" t="n">
        <v>45790.73627314815</v>
      </c>
      <c r="C342" s="1" t="n">
        <v>45928</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23055-2025</t>
        </is>
      </c>
      <c r="B343" s="1" t="n">
        <v>45790.73469907408</v>
      </c>
      <c r="C343" s="1" t="n">
        <v>45928</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23057-2025</t>
        </is>
      </c>
      <c r="B344" s="1" t="n">
        <v>45790.73820601852</v>
      </c>
      <c r="C344" s="1" t="n">
        <v>45928</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23015-2025</t>
        </is>
      </c>
      <c r="B345" s="1" t="n">
        <v>45790.6377662037</v>
      </c>
      <c r="C345" s="1" t="n">
        <v>45928</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23053-2025</t>
        </is>
      </c>
      <c r="B346" s="1" t="n">
        <v>45790.73072916667</v>
      </c>
      <c r="C346" s="1" t="n">
        <v>45928</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62289-2023</t>
        </is>
      </c>
      <c r="B347" s="1" t="n">
        <v>45266</v>
      </c>
      <c r="C347" s="1" t="n">
        <v>45928</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57533-2022</t>
        </is>
      </c>
      <c r="B348" s="1" t="n">
        <v>44896.68393518519</v>
      </c>
      <c r="C348" s="1" t="n">
        <v>45928</v>
      </c>
      <c r="D348" t="inlineStr">
        <is>
          <t>DALARNAS LÄN</t>
        </is>
      </c>
      <c r="E348" t="inlineStr">
        <is>
          <t>ORSA</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58549-2023</t>
        </is>
      </c>
      <c r="B349" s="1" t="n">
        <v>45251.42627314815</v>
      </c>
      <c r="C349" s="1" t="n">
        <v>45928</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8430-2024</t>
        </is>
      </c>
      <c r="B350" s="1" t="n">
        <v>45353.41157407407</v>
      </c>
      <c r="C350" s="1" t="n">
        <v>45928</v>
      </c>
      <c r="D350" t="inlineStr">
        <is>
          <t>DALARNAS LÄN</t>
        </is>
      </c>
      <c r="E350" t="inlineStr">
        <is>
          <t>ORSA</t>
        </is>
      </c>
      <c r="G350" t="n">
        <v>14.4</v>
      </c>
      <c r="H350" t="n">
        <v>0</v>
      </c>
      <c r="I350" t="n">
        <v>0</v>
      </c>
      <c r="J350" t="n">
        <v>0</v>
      </c>
      <c r="K350" t="n">
        <v>0</v>
      </c>
      <c r="L350" t="n">
        <v>0</v>
      </c>
      <c r="M350" t="n">
        <v>0</v>
      </c>
      <c r="N350" t="n">
        <v>0</v>
      </c>
      <c r="O350" t="n">
        <v>0</v>
      </c>
      <c r="P350" t="n">
        <v>0</v>
      </c>
      <c r="Q350" t="n">
        <v>0</v>
      </c>
      <c r="R350" s="2" t="inlineStr"/>
    </row>
    <row r="351" ht="15" customHeight="1">
      <c r="A351" t="inlineStr">
        <is>
          <t>A 41832-2024</t>
        </is>
      </c>
      <c r="B351" s="1" t="n">
        <v>45561.40730324074</v>
      </c>
      <c r="C351" s="1" t="n">
        <v>45928</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36427-2023</t>
        </is>
      </c>
      <c r="B352" s="1" t="n">
        <v>45152.60333333333</v>
      </c>
      <c r="C352" s="1" t="n">
        <v>45928</v>
      </c>
      <c r="D352" t="inlineStr">
        <is>
          <t>DALARNAS LÄN</t>
        </is>
      </c>
      <c r="E352" t="inlineStr">
        <is>
          <t>ORSA</t>
        </is>
      </c>
      <c r="F352" t="inlineStr">
        <is>
          <t>Bergvik skog öst AB</t>
        </is>
      </c>
      <c r="G352" t="n">
        <v>1.2</v>
      </c>
      <c r="H352" t="n">
        <v>0</v>
      </c>
      <c r="I352" t="n">
        <v>0</v>
      </c>
      <c r="J352" t="n">
        <v>0</v>
      </c>
      <c r="K352" t="n">
        <v>0</v>
      </c>
      <c r="L352" t="n">
        <v>0</v>
      </c>
      <c r="M352" t="n">
        <v>0</v>
      </c>
      <c r="N352" t="n">
        <v>0</v>
      </c>
      <c r="O352" t="n">
        <v>0</v>
      </c>
      <c r="P352" t="n">
        <v>0</v>
      </c>
      <c r="Q352" t="n">
        <v>0</v>
      </c>
      <c r="R352" s="2" t="inlineStr"/>
    </row>
    <row r="353" ht="15" customHeight="1">
      <c r="A353" t="inlineStr">
        <is>
          <t>A 5302-2024</t>
        </is>
      </c>
      <c r="B353" s="1" t="n">
        <v>45331.38175925926</v>
      </c>
      <c r="C353" s="1" t="n">
        <v>45928</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33945-2022</t>
        </is>
      </c>
      <c r="B354" s="1" t="n">
        <v>44790.66212962963</v>
      </c>
      <c r="C354" s="1" t="n">
        <v>45928</v>
      </c>
      <c r="D354" t="inlineStr">
        <is>
          <t>DALARNAS LÄN</t>
        </is>
      </c>
      <c r="E354" t="inlineStr">
        <is>
          <t>ORSA</t>
        </is>
      </c>
      <c r="F354" t="inlineStr">
        <is>
          <t>Bergvik skog öst AB</t>
        </is>
      </c>
      <c r="G354" t="n">
        <v>1.9</v>
      </c>
      <c r="H354" t="n">
        <v>0</v>
      </c>
      <c r="I354" t="n">
        <v>0</v>
      </c>
      <c r="J354" t="n">
        <v>0</v>
      </c>
      <c r="K354" t="n">
        <v>0</v>
      </c>
      <c r="L354" t="n">
        <v>0</v>
      </c>
      <c r="M354" t="n">
        <v>0</v>
      </c>
      <c r="N354" t="n">
        <v>0</v>
      </c>
      <c r="O354" t="n">
        <v>0</v>
      </c>
      <c r="P354" t="n">
        <v>0</v>
      </c>
      <c r="Q354" t="n">
        <v>0</v>
      </c>
      <c r="R354" s="2" t="inlineStr"/>
    </row>
    <row r="355" ht="15" customHeight="1">
      <c r="A355" t="inlineStr">
        <is>
          <t>A 16585-2023</t>
        </is>
      </c>
      <c r="B355" s="1" t="n">
        <v>45030</v>
      </c>
      <c r="C355" s="1" t="n">
        <v>45928</v>
      </c>
      <c r="D355" t="inlineStr">
        <is>
          <t>DALARNAS LÄN</t>
        </is>
      </c>
      <c r="E355" t="inlineStr">
        <is>
          <t>ORSA</t>
        </is>
      </c>
      <c r="G355" t="n">
        <v>1</v>
      </c>
      <c r="H355" t="n">
        <v>0</v>
      </c>
      <c r="I355" t="n">
        <v>0</v>
      </c>
      <c r="J355" t="n">
        <v>0</v>
      </c>
      <c r="K355" t="n">
        <v>0</v>
      </c>
      <c r="L355" t="n">
        <v>0</v>
      </c>
      <c r="M355" t="n">
        <v>0</v>
      </c>
      <c r="N355" t="n">
        <v>0</v>
      </c>
      <c r="O355" t="n">
        <v>0</v>
      </c>
      <c r="P355" t="n">
        <v>0</v>
      </c>
      <c r="Q355" t="n">
        <v>0</v>
      </c>
      <c r="R355" s="2" t="inlineStr"/>
    </row>
    <row r="356" ht="15" customHeight="1">
      <c r="A356" t="inlineStr">
        <is>
          <t>A 23740-2025</t>
        </is>
      </c>
      <c r="B356" s="1" t="n">
        <v>45793.43210648148</v>
      </c>
      <c r="C356" s="1" t="n">
        <v>45928</v>
      </c>
      <c r="D356" t="inlineStr">
        <is>
          <t>DALARNAS LÄN</t>
        </is>
      </c>
      <c r="E356" t="inlineStr">
        <is>
          <t>ORSA</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70332-2021</t>
        </is>
      </c>
      <c r="B357" s="1" t="n">
        <v>44536</v>
      </c>
      <c r="C357" s="1" t="n">
        <v>45928</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1785-2024</t>
        </is>
      </c>
      <c r="B358" s="1" t="n">
        <v>45307</v>
      </c>
      <c r="C358" s="1" t="n">
        <v>45928</v>
      </c>
      <c r="D358" t="inlineStr">
        <is>
          <t>DALARNAS LÄN</t>
        </is>
      </c>
      <c r="E358" t="inlineStr">
        <is>
          <t>ORSA</t>
        </is>
      </c>
      <c r="G358" t="n">
        <v>42.8</v>
      </c>
      <c r="H358" t="n">
        <v>0</v>
      </c>
      <c r="I358" t="n">
        <v>0</v>
      </c>
      <c r="J358" t="n">
        <v>0</v>
      </c>
      <c r="K358" t="n">
        <v>0</v>
      </c>
      <c r="L358" t="n">
        <v>0</v>
      </c>
      <c r="M358" t="n">
        <v>0</v>
      </c>
      <c r="N358" t="n">
        <v>0</v>
      </c>
      <c r="O358" t="n">
        <v>0</v>
      </c>
      <c r="P358" t="n">
        <v>0</v>
      </c>
      <c r="Q358" t="n">
        <v>0</v>
      </c>
      <c r="R358" s="2" t="inlineStr"/>
    </row>
    <row r="359" ht="15" customHeight="1">
      <c r="A359" t="inlineStr">
        <is>
          <t>A 23875-2025</t>
        </is>
      </c>
      <c r="B359" s="1" t="n">
        <v>45793.68313657407</v>
      </c>
      <c r="C359" s="1" t="n">
        <v>45928</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53703-2024</t>
        </is>
      </c>
      <c r="B360" s="1" t="n">
        <v>45615.3990162037</v>
      </c>
      <c r="C360" s="1" t="n">
        <v>45928</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5434-2025</t>
        </is>
      </c>
      <c r="B361" s="1" t="n">
        <v>45692</v>
      </c>
      <c r="C361" s="1" t="n">
        <v>45928</v>
      </c>
      <c r="D361" t="inlineStr">
        <is>
          <t>DALARNAS LÄN</t>
        </is>
      </c>
      <c r="E361" t="inlineStr">
        <is>
          <t>ORSA</t>
        </is>
      </c>
      <c r="G361" t="n">
        <v>6.9</v>
      </c>
      <c r="H361" t="n">
        <v>0</v>
      </c>
      <c r="I361" t="n">
        <v>0</v>
      </c>
      <c r="J361" t="n">
        <v>0</v>
      </c>
      <c r="K361" t="n">
        <v>0</v>
      </c>
      <c r="L361" t="n">
        <v>0</v>
      </c>
      <c r="M361" t="n">
        <v>0</v>
      </c>
      <c r="N361" t="n">
        <v>0</v>
      </c>
      <c r="O361" t="n">
        <v>0</v>
      </c>
      <c r="P361" t="n">
        <v>0</v>
      </c>
      <c r="Q361" t="n">
        <v>0</v>
      </c>
      <c r="R361" s="2" t="inlineStr"/>
    </row>
    <row r="362" ht="15" customHeight="1">
      <c r="A362" t="inlineStr">
        <is>
          <t>A 37838-2024</t>
        </is>
      </c>
      <c r="B362" s="1" t="n">
        <v>45544.36310185185</v>
      </c>
      <c r="C362" s="1" t="n">
        <v>45928</v>
      </c>
      <c r="D362" t="inlineStr">
        <is>
          <t>DALARNAS LÄN</t>
        </is>
      </c>
      <c r="E362" t="inlineStr">
        <is>
          <t>ORSA</t>
        </is>
      </c>
      <c r="G362" t="n">
        <v>2.9</v>
      </c>
      <c r="H362" t="n">
        <v>0</v>
      </c>
      <c r="I362" t="n">
        <v>0</v>
      </c>
      <c r="J362" t="n">
        <v>0</v>
      </c>
      <c r="K362" t="n">
        <v>0</v>
      </c>
      <c r="L362" t="n">
        <v>0</v>
      </c>
      <c r="M362" t="n">
        <v>0</v>
      </c>
      <c r="N362" t="n">
        <v>0</v>
      </c>
      <c r="O362" t="n">
        <v>0</v>
      </c>
      <c r="P362" t="n">
        <v>0</v>
      </c>
      <c r="Q362" t="n">
        <v>0</v>
      </c>
      <c r="R362" s="2" t="inlineStr"/>
    </row>
    <row r="363" ht="15" customHeight="1">
      <c r="A363" t="inlineStr">
        <is>
          <t>A 24235-2025</t>
        </is>
      </c>
      <c r="B363" s="1" t="n">
        <v>45797.38252314815</v>
      </c>
      <c r="C363" s="1" t="n">
        <v>45928</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24248-2025</t>
        </is>
      </c>
      <c r="B364" s="1" t="n">
        <v>45797.40101851852</v>
      </c>
      <c r="C364" s="1" t="n">
        <v>45928</v>
      </c>
      <c r="D364" t="inlineStr">
        <is>
          <t>DALARNAS LÄN</t>
        </is>
      </c>
      <c r="E364" t="inlineStr">
        <is>
          <t>ORSA</t>
        </is>
      </c>
      <c r="F364" t="inlineStr">
        <is>
          <t>Bergvik skog öst AB</t>
        </is>
      </c>
      <c r="G364" t="n">
        <v>4.3</v>
      </c>
      <c r="H364" t="n">
        <v>0</v>
      </c>
      <c r="I364" t="n">
        <v>0</v>
      </c>
      <c r="J364" t="n">
        <v>0</v>
      </c>
      <c r="K364" t="n">
        <v>0</v>
      </c>
      <c r="L364" t="n">
        <v>0</v>
      </c>
      <c r="M364" t="n">
        <v>0</v>
      </c>
      <c r="N364" t="n">
        <v>0</v>
      </c>
      <c r="O364" t="n">
        <v>0</v>
      </c>
      <c r="P364" t="n">
        <v>0</v>
      </c>
      <c r="Q364" t="n">
        <v>0</v>
      </c>
      <c r="R364" s="2" t="inlineStr"/>
    </row>
    <row r="365" ht="15" customHeight="1">
      <c r="A365" t="inlineStr">
        <is>
          <t>A 24969-2025</t>
        </is>
      </c>
      <c r="B365" s="1" t="n">
        <v>45799</v>
      </c>
      <c r="C365" s="1" t="n">
        <v>45928</v>
      </c>
      <c r="D365" t="inlineStr">
        <is>
          <t>DALARNAS LÄN</t>
        </is>
      </c>
      <c r="E365" t="inlineStr">
        <is>
          <t>ORSA</t>
        </is>
      </c>
      <c r="F365" t="inlineStr">
        <is>
          <t>Allmännings- och besparingsskogar</t>
        </is>
      </c>
      <c r="G365" t="n">
        <v>2.6</v>
      </c>
      <c r="H365" t="n">
        <v>0</v>
      </c>
      <c r="I365" t="n">
        <v>0</v>
      </c>
      <c r="J365" t="n">
        <v>0</v>
      </c>
      <c r="K365" t="n">
        <v>0</v>
      </c>
      <c r="L365" t="n">
        <v>0</v>
      </c>
      <c r="M365" t="n">
        <v>0</v>
      </c>
      <c r="N365" t="n">
        <v>0</v>
      </c>
      <c r="O365" t="n">
        <v>0</v>
      </c>
      <c r="P365" t="n">
        <v>0</v>
      </c>
      <c r="Q365" t="n">
        <v>0</v>
      </c>
      <c r="R365" s="2" t="inlineStr"/>
    </row>
    <row r="366" ht="15" customHeight="1">
      <c r="A366" t="inlineStr">
        <is>
          <t>A 25211-2025</t>
        </is>
      </c>
      <c r="B366" s="1" t="n">
        <v>45800.46965277778</v>
      </c>
      <c r="C366" s="1" t="n">
        <v>45928</v>
      </c>
      <c r="D366" t="inlineStr">
        <is>
          <t>DALARNAS LÄN</t>
        </is>
      </c>
      <c r="E366" t="inlineStr">
        <is>
          <t>ORSA</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45928</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48819-2024</t>
        </is>
      </c>
      <c r="B368" s="1" t="n">
        <v>45593.67824074074</v>
      </c>
      <c r="C368" s="1" t="n">
        <v>45928</v>
      </c>
      <c r="D368" t="inlineStr">
        <is>
          <t>DALARNAS LÄN</t>
        </is>
      </c>
      <c r="E368" t="inlineStr">
        <is>
          <t>ORSA</t>
        </is>
      </c>
      <c r="G368" t="n">
        <v>5</v>
      </c>
      <c r="H368" t="n">
        <v>0</v>
      </c>
      <c r="I368" t="n">
        <v>0</v>
      </c>
      <c r="J368" t="n">
        <v>0</v>
      </c>
      <c r="K368" t="n">
        <v>0</v>
      </c>
      <c r="L368" t="n">
        <v>0</v>
      </c>
      <c r="M368" t="n">
        <v>0</v>
      </c>
      <c r="N368" t="n">
        <v>0</v>
      </c>
      <c r="O368" t="n">
        <v>0</v>
      </c>
      <c r="P368" t="n">
        <v>0</v>
      </c>
      <c r="Q368" t="n">
        <v>0</v>
      </c>
      <c r="R368" s="2" t="inlineStr"/>
    </row>
    <row r="369" ht="15" customHeight="1">
      <c r="A369" t="inlineStr">
        <is>
          <t>A 36089-2023</t>
        </is>
      </c>
      <c r="B369" s="1" t="n">
        <v>45149.51068287037</v>
      </c>
      <c r="C369" s="1" t="n">
        <v>45928</v>
      </c>
      <c r="D369" t="inlineStr">
        <is>
          <t>DALARNAS LÄN</t>
        </is>
      </c>
      <c r="E369" t="inlineStr">
        <is>
          <t>ORSA</t>
        </is>
      </c>
      <c r="F369" t="inlineStr">
        <is>
          <t>Allmännings- och besparingsskogar</t>
        </is>
      </c>
      <c r="G369" t="n">
        <v>1.2</v>
      </c>
      <c r="H369" t="n">
        <v>0</v>
      </c>
      <c r="I369" t="n">
        <v>0</v>
      </c>
      <c r="J369" t="n">
        <v>0</v>
      </c>
      <c r="K369" t="n">
        <v>0</v>
      </c>
      <c r="L369" t="n">
        <v>0</v>
      </c>
      <c r="M369" t="n">
        <v>0</v>
      </c>
      <c r="N369" t="n">
        <v>0</v>
      </c>
      <c r="O369" t="n">
        <v>0</v>
      </c>
      <c r="P369" t="n">
        <v>0</v>
      </c>
      <c r="Q369" t="n">
        <v>0</v>
      </c>
      <c r="R369" s="2" t="inlineStr"/>
    </row>
    <row r="370" ht="15" customHeight="1">
      <c r="A370" t="inlineStr">
        <is>
          <t>A 21364-2025</t>
        </is>
      </c>
      <c r="B370" s="1" t="n">
        <v>45782</v>
      </c>
      <c r="C370" s="1" t="n">
        <v>45928</v>
      </c>
      <c r="D370" t="inlineStr">
        <is>
          <t>DALARNAS LÄN</t>
        </is>
      </c>
      <c r="E370" t="inlineStr">
        <is>
          <t>ORSA</t>
        </is>
      </c>
      <c r="F370" t="inlineStr">
        <is>
          <t>Allmännings- och besparingsskogar</t>
        </is>
      </c>
      <c r="G370" t="n">
        <v>52.6</v>
      </c>
      <c r="H370" t="n">
        <v>0</v>
      </c>
      <c r="I370" t="n">
        <v>0</v>
      </c>
      <c r="J370" t="n">
        <v>0</v>
      </c>
      <c r="K370" t="n">
        <v>0</v>
      </c>
      <c r="L370" t="n">
        <v>0</v>
      </c>
      <c r="M370" t="n">
        <v>0</v>
      </c>
      <c r="N370" t="n">
        <v>0</v>
      </c>
      <c r="O370" t="n">
        <v>0</v>
      </c>
      <c r="P370" t="n">
        <v>0</v>
      </c>
      <c r="Q370" t="n">
        <v>0</v>
      </c>
      <c r="R370" s="2" t="inlineStr"/>
    </row>
    <row r="371" ht="15" customHeight="1">
      <c r="A371" t="inlineStr">
        <is>
          <t>A 62342-2023</t>
        </is>
      </c>
      <c r="B371" s="1" t="n">
        <v>45267.9268287037</v>
      </c>
      <c r="C371" s="1" t="n">
        <v>45928</v>
      </c>
      <c r="D371" t="inlineStr">
        <is>
          <t>DALARNAS LÄN</t>
        </is>
      </c>
      <c r="E371" t="inlineStr">
        <is>
          <t>ORSA</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52903-2024</t>
        </is>
      </c>
      <c r="B372" s="1" t="n">
        <v>45610.6875462963</v>
      </c>
      <c r="C372" s="1" t="n">
        <v>45928</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20302-2023</t>
        </is>
      </c>
      <c r="B373" s="1" t="n">
        <v>45056</v>
      </c>
      <c r="C373" s="1" t="n">
        <v>45928</v>
      </c>
      <c r="D373" t="inlineStr">
        <is>
          <t>DALARNAS LÄN</t>
        </is>
      </c>
      <c r="E373" t="inlineStr">
        <is>
          <t>ORSA</t>
        </is>
      </c>
      <c r="G373" t="n">
        <v>2.1</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45040.56190972222</v>
      </c>
      <c r="C374" s="1" t="n">
        <v>45928</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26741-2025</t>
        </is>
      </c>
      <c r="B375" s="1" t="n">
        <v>45810.52444444445</v>
      </c>
      <c r="C375" s="1" t="n">
        <v>45928</v>
      </c>
      <c r="D375" t="inlineStr">
        <is>
          <t>DALARNAS LÄN</t>
        </is>
      </c>
      <c r="E375" t="inlineStr">
        <is>
          <t>ORSA</t>
        </is>
      </c>
      <c r="G375" t="n">
        <v>0.7</v>
      </c>
      <c r="H375" t="n">
        <v>0</v>
      </c>
      <c r="I375" t="n">
        <v>0</v>
      </c>
      <c r="J375" t="n">
        <v>0</v>
      </c>
      <c r="K375" t="n">
        <v>0</v>
      </c>
      <c r="L375" t="n">
        <v>0</v>
      </c>
      <c r="M375" t="n">
        <v>0</v>
      </c>
      <c r="N375" t="n">
        <v>0</v>
      </c>
      <c r="O375" t="n">
        <v>0</v>
      </c>
      <c r="P375" t="n">
        <v>0</v>
      </c>
      <c r="Q375" t="n">
        <v>0</v>
      </c>
      <c r="R375" s="2" t="inlineStr"/>
    </row>
    <row r="376" ht="15" customHeight="1">
      <c r="A376" t="inlineStr">
        <is>
          <t>A 48518-2024</t>
        </is>
      </c>
      <c r="B376" s="1" t="n">
        <v>45593.31915509259</v>
      </c>
      <c r="C376" s="1" t="n">
        <v>45928</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56706-2021</t>
        </is>
      </c>
      <c r="B377" s="1" t="n">
        <v>44481.4037962963</v>
      </c>
      <c r="C377" s="1" t="n">
        <v>45928</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59411-2024</t>
        </is>
      </c>
      <c r="B378" s="1" t="n">
        <v>45638.39675925926</v>
      </c>
      <c r="C378" s="1" t="n">
        <v>45928</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59414-2024</t>
        </is>
      </c>
      <c r="B379" s="1" t="n">
        <v>45638.39965277778</v>
      </c>
      <c r="C379" s="1" t="n">
        <v>45928</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6490-2025</t>
        </is>
      </c>
      <c r="B380" s="1" t="n">
        <v>45699</v>
      </c>
      <c r="C380" s="1" t="n">
        <v>45928</v>
      </c>
      <c r="D380" t="inlineStr">
        <is>
          <t>DALARNAS LÄN</t>
        </is>
      </c>
      <c r="E380" t="inlineStr">
        <is>
          <t>ORSA</t>
        </is>
      </c>
      <c r="G380" t="n">
        <v>7.5</v>
      </c>
      <c r="H380" t="n">
        <v>0</v>
      </c>
      <c r="I380" t="n">
        <v>0</v>
      </c>
      <c r="J380" t="n">
        <v>0</v>
      </c>
      <c r="K380" t="n">
        <v>0</v>
      </c>
      <c r="L380" t="n">
        <v>0</v>
      </c>
      <c r="M380" t="n">
        <v>0</v>
      </c>
      <c r="N380" t="n">
        <v>0</v>
      </c>
      <c r="O380" t="n">
        <v>0</v>
      </c>
      <c r="P380" t="n">
        <v>0</v>
      </c>
      <c r="Q380" t="n">
        <v>0</v>
      </c>
      <c r="R380" s="2" t="inlineStr"/>
    </row>
    <row r="381" ht="15" customHeight="1">
      <c r="A381" t="inlineStr">
        <is>
          <t>A 27221-2025</t>
        </is>
      </c>
      <c r="B381" s="1" t="n">
        <v>45812.42304398148</v>
      </c>
      <c r="C381" s="1" t="n">
        <v>45928</v>
      </c>
      <c r="D381" t="inlineStr">
        <is>
          <t>DALARNAS LÄN</t>
        </is>
      </c>
      <c r="E381" t="inlineStr">
        <is>
          <t>ORSA</t>
        </is>
      </c>
      <c r="F381" t="inlineStr">
        <is>
          <t>Bergvik skog öst AB</t>
        </is>
      </c>
      <c r="G381" t="n">
        <v>3.7</v>
      </c>
      <c r="H381" t="n">
        <v>0</v>
      </c>
      <c r="I381" t="n">
        <v>0</v>
      </c>
      <c r="J381" t="n">
        <v>0</v>
      </c>
      <c r="K381" t="n">
        <v>0</v>
      </c>
      <c r="L381" t="n">
        <v>0</v>
      </c>
      <c r="M381" t="n">
        <v>0</v>
      </c>
      <c r="N381" t="n">
        <v>0</v>
      </c>
      <c r="O381" t="n">
        <v>0</v>
      </c>
      <c r="P381" t="n">
        <v>0</v>
      </c>
      <c r="Q381" t="n">
        <v>0</v>
      </c>
      <c r="R381" s="2" t="inlineStr"/>
    </row>
    <row r="382" ht="15" customHeight="1">
      <c r="A382" t="inlineStr">
        <is>
          <t>A 27240-2025</t>
        </is>
      </c>
      <c r="B382" s="1" t="n">
        <v>45812.45170138889</v>
      </c>
      <c r="C382" s="1" t="n">
        <v>45928</v>
      </c>
      <c r="D382" t="inlineStr">
        <is>
          <t>DALARNAS LÄN</t>
        </is>
      </c>
      <c r="E382" t="inlineStr">
        <is>
          <t>ORSA</t>
        </is>
      </c>
      <c r="F382" t="inlineStr">
        <is>
          <t>Bergvik skog öst AB</t>
        </is>
      </c>
      <c r="G382" t="n">
        <v>6.8</v>
      </c>
      <c r="H382" t="n">
        <v>0</v>
      </c>
      <c r="I382" t="n">
        <v>0</v>
      </c>
      <c r="J382" t="n">
        <v>0</v>
      </c>
      <c r="K382" t="n">
        <v>0</v>
      </c>
      <c r="L382" t="n">
        <v>0</v>
      </c>
      <c r="M382" t="n">
        <v>0</v>
      </c>
      <c r="N382" t="n">
        <v>0</v>
      </c>
      <c r="O382" t="n">
        <v>0</v>
      </c>
      <c r="P382" t="n">
        <v>0</v>
      </c>
      <c r="Q382" t="n">
        <v>0</v>
      </c>
      <c r="R382" s="2" t="inlineStr"/>
    </row>
    <row r="383" ht="15" customHeight="1">
      <c r="A383" t="inlineStr">
        <is>
          <t>A 27313-2025</t>
        </is>
      </c>
      <c r="B383" s="1" t="n">
        <v>45812.58365740741</v>
      </c>
      <c r="C383" s="1" t="n">
        <v>45928</v>
      </c>
      <c r="D383" t="inlineStr">
        <is>
          <t>DALARNAS LÄN</t>
        </is>
      </c>
      <c r="E383" t="inlineStr">
        <is>
          <t>ORSA</t>
        </is>
      </c>
      <c r="F383" t="inlineStr">
        <is>
          <t>Allmännings- och besparingsskogar</t>
        </is>
      </c>
      <c r="G383" t="n">
        <v>1.4</v>
      </c>
      <c r="H383" t="n">
        <v>0</v>
      </c>
      <c r="I383" t="n">
        <v>0</v>
      </c>
      <c r="J383" t="n">
        <v>0</v>
      </c>
      <c r="K383" t="n">
        <v>0</v>
      </c>
      <c r="L383" t="n">
        <v>0</v>
      </c>
      <c r="M383" t="n">
        <v>0</v>
      </c>
      <c r="N383" t="n">
        <v>0</v>
      </c>
      <c r="O383" t="n">
        <v>0</v>
      </c>
      <c r="P383" t="n">
        <v>0</v>
      </c>
      <c r="Q383" t="n">
        <v>0</v>
      </c>
      <c r="R383" s="2" t="inlineStr"/>
    </row>
    <row r="384" ht="15" customHeight="1">
      <c r="A384" t="inlineStr">
        <is>
          <t>A 27190-2025</t>
        </is>
      </c>
      <c r="B384" s="1" t="n">
        <v>45812.37025462963</v>
      </c>
      <c r="C384" s="1" t="n">
        <v>45928</v>
      </c>
      <c r="D384" t="inlineStr">
        <is>
          <t>DALARNAS LÄN</t>
        </is>
      </c>
      <c r="E384" t="inlineStr">
        <is>
          <t>ORSA</t>
        </is>
      </c>
      <c r="F384" t="inlineStr">
        <is>
          <t>Bergvik skog öst AB</t>
        </is>
      </c>
      <c r="G384" t="n">
        <v>4.9</v>
      </c>
      <c r="H384" t="n">
        <v>0</v>
      </c>
      <c r="I384" t="n">
        <v>0</v>
      </c>
      <c r="J384" t="n">
        <v>0</v>
      </c>
      <c r="K384" t="n">
        <v>0</v>
      </c>
      <c r="L384" t="n">
        <v>0</v>
      </c>
      <c r="M384" t="n">
        <v>0</v>
      </c>
      <c r="N384" t="n">
        <v>0</v>
      </c>
      <c r="O384" t="n">
        <v>0</v>
      </c>
      <c r="P384" t="n">
        <v>0</v>
      </c>
      <c r="Q384" t="n">
        <v>0</v>
      </c>
      <c r="R384" s="2" t="inlineStr"/>
    </row>
    <row r="385" ht="15" customHeight="1">
      <c r="A385" t="inlineStr">
        <is>
          <t>A 9836-2022</t>
        </is>
      </c>
      <c r="B385" s="1" t="n">
        <v>44620</v>
      </c>
      <c r="C385" s="1" t="n">
        <v>45928</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28207-2025</t>
        </is>
      </c>
      <c r="B386" s="1" t="n">
        <v>45818.44871527778</v>
      </c>
      <c r="C386" s="1" t="n">
        <v>45928</v>
      </c>
      <c r="D386" t="inlineStr">
        <is>
          <t>DALARNAS LÄN</t>
        </is>
      </c>
      <c r="E386" t="inlineStr">
        <is>
          <t>ORSA</t>
        </is>
      </c>
      <c r="F386" t="inlineStr">
        <is>
          <t>Bergvik skog öst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27866-2025</t>
        </is>
      </c>
      <c r="B387" s="1" t="n">
        <v>45817.4262962963</v>
      </c>
      <c r="C387" s="1" t="n">
        <v>45928</v>
      </c>
      <c r="D387" t="inlineStr">
        <is>
          <t>DALARNAS LÄN</t>
        </is>
      </c>
      <c r="E387" t="inlineStr">
        <is>
          <t>ORSA</t>
        </is>
      </c>
      <c r="F387" t="inlineStr">
        <is>
          <t>Allmännings- och besparingsskogar</t>
        </is>
      </c>
      <c r="G387" t="n">
        <v>6</v>
      </c>
      <c r="H387" t="n">
        <v>0</v>
      </c>
      <c r="I387" t="n">
        <v>0</v>
      </c>
      <c r="J387" t="n">
        <v>0</v>
      </c>
      <c r="K387" t="n">
        <v>0</v>
      </c>
      <c r="L387" t="n">
        <v>0</v>
      </c>
      <c r="M387" t="n">
        <v>0</v>
      </c>
      <c r="N387" t="n">
        <v>0</v>
      </c>
      <c r="O387" t="n">
        <v>0</v>
      </c>
      <c r="P387" t="n">
        <v>0</v>
      </c>
      <c r="Q387" t="n">
        <v>0</v>
      </c>
      <c r="R387" s="2" t="inlineStr"/>
    </row>
    <row r="388" ht="15" customHeight="1">
      <c r="A388" t="inlineStr">
        <is>
          <t>A 27987-2025</t>
        </is>
      </c>
      <c r="B388" s="1" t="n">
        <v>45817.58361111111</v>
      </c>
      <c r="C388" s="1" t="n">
        <v>45928</v>
      </c>
      <c r="D388" t="inlineStr">
        <is>
          <t>DALARNAS LÄN</t>
        </is>
      </c>
      <c r="E388" t="inlineStr">
        <is>
          <t>ORSA</t>
        </is>
      </c>
      <c r="F388" t="inlineStr">
        <is>
          <t>Allmännings- och besparingsskogar</t>
        </is>
      </c>
      <c r="G388" t="n">
        <v>2.5</v>
      </c>
      <c r="H388" t="n">
        <v>0</v>
      </c>
      <c r="I388" t="n">
        <v>0</v>
      </c>
      <c r="J388" t="n">
        <v>0</v>
      </c>
      <c r="K388" t="n">
        <v>0</v>
      </c>
      <c r="L388" t="n">
        <v>0</v>
      </c>
      <c r="M388" t="n">
        <v>0</v>
      </c>
      <c r="N388" t="n">
        <v>0</v>
      </c>
      <c r="O388" t="n">
        <v>0</v>
      </c>
      <c r="P388" t="n">
        <v>0</v>
      </c>
      <c r="Q388" t="n">
        <v>0</v>
      </c>
      <c r="R388" s="2" t="inlineStr"/>
    </row>
    <row r="389" ht="15" customHeight="1">
      <c r="A389" t="inlineStr">
        <is>
          <t>A 28923-2024</t>
        </is>
      </c>
      <c r="B389" s="1" t="n">
        <v>45481</v>
      </c>
      <c r="C389" s="1" t="n">
        <v>45928</v>
      </c>
      <c r="D389" t="inlineStr">
        <is>
          <t>DALARNAS LÄN</t>
        </is>
      </c>
      <c r="E389" t="inlineStr">
        <is>
          <t>ORSA</t>
        </is>
      </c>
      <c r="F389" t="inlineStr">
        <is>
          <t>Allmännings- och besparingsskogar</t>
        </is>
      </c>
      <c r="G389" t="n">
        <v>13.9</v>
      </c>
      <c r="H389" t="n">
        <v>0</v>
      </c>
      <c r="I389" t="n">
        <v>0</v>
      </c>
      <c r="J389" t="n">
        <v>0</v>
      </c>
      <c r="K389" t="n">
        <v>0</v>
      </c>
      <c r="L389" t="n">
        <v>0</v>
      </c>
      <c r="M389" t="n">
        <v>0</v>
      </c>
      <c r="N389" t="n">
        <v>0</v>
      </c>
      <c r="O389" t="n">
        <v>0</v>
      </c>
      <c r="P389" t="n">
        <v>0</v>
      </c>
      <c r="Q389" t="n">
        <v>0</v>
      </c>
      <c r="R389" s="2" t="inlineStr"/>
    </row>
    <row r="390" ht="15" customHeight="1">
      <c r="A390" t="inlineStr">
        <is>
          <t>A 27885-2025</t>
        </is>
      </c>
      <c r="B390" s="1" t="n">
        <v>45817.45034722222</v>
      </c>
      <c r="C390" s="1" t="n">
        <v>45928</v>
      </c>
      <c r="D390" t="inlineStr">
        <is>
          <t>DALARNAS LÄN</t>
        </is>
      </c>
      <c r="E390" t="inlineStr">
        <is>
          <t>ORSA</t>
        </is>
      </c>
      <c r="F390" t="inlineStr">
        <is>
          <t>Allmännings- och besparingsskogar</t>
        </is>
      </c>
      <c r="G390" t="n">
        <v>3.4</v>
      </c>
      <c r="H390" t="n">
        <v>0</v>
      </c>
      <c r="I390" t="n">
        <v>0</v>
      </c>
      <c r="J390" t="n">
        <v>0</v>
      </c>
      <c r="K390" t="n">
        <v>0</v>
      </c>
      <c r="L390" t="n">
        <v>0</v>
      </c>
      <c r="M390" t="n">
        <v>0</v>
      </c>
      <c r="N390" t="n">
        <v>0</v>
      </c>
      <c r="O390" t="n">
        <v>0</v>
      </c>
      <c r="P390" t="n">
        <v>0</v>
      </c>
      <c r="Q390" t="n">
        <v>0</v>
      </c>
      <c r="R390" s="2" t="inlineStr"/>
    </row>
    <row r="391" ht="15" customHeight="1">
      <c r="A391" t="inlineStr">
        <is>
          <t>A 10644-2025</t>
        </is>
      </c>
      <c r="B391" s="1" t="n">
        <v>45721.66222222222</v>
      </c>
      <c r="C391" s="1" t="n">
        <v>45928</v>
      </c>
      <c r="D391" t="inlineStr">
        <is>
          <t>DALARNAS LÄN</t>
        </is>
      </c>
      <c r="E391" t="inlineStr">
        <is>
          <t>ORSA</t>
        </is>
      </c>
      <c r="F391" t="inlineStr">
        <is>
          <t>Bergvik skog öst AB</t>
        </is>
      </c>
      <c r="G391" t="n">
        <v>5.8</v>
      </c>
      <c r="H391" t="n">
        <v>0</v>
      </c>
      <c r="I391" t="n">
        <v>0</v>
      </c>
      <c r="J391" t="n">
        <v>0</v>
      </c>
      <c r="K391" t="n">
        <v>0</v>
      </c>
      <c r="L391" t="n">
        <v>0</v>
      </c>
      <c r="M391" t="n">
        <v>0</v>
      </c>
      <c r="N391" t="n">
        <v>0</v>
      </c>
      <c r="O391" t="n">
        <v>0</v>
      </c>
      <c r="P391" t="n">
        <v>0</v>
      </c>
      <c r="Q391" t="n">
        <v>0</v>
      </c>
      <c r="R391" s="2" t="inlineStr"/>
    </row>
    <row r="392" ht="15" customHeight="1">
      <c r="A392" t="inlineStr">
        <is>
          <t>A 10645-2025</t>
        </is>
      </c>
      <c r="B392" s="1" t="n">
        <v>45721.66297453704</v>
      </c>
      <c r="C392" s="1" t="n">
        <v>45928</v>
      </c>
      <c r="D392" t="inlineStr">
        <is>
          <t>DALARNAS LÄN</t>
        </is>
      </c>
      <c r="E392" t="inlineStr">
        <is>
          <t>ORSA</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17850-2025</t>
        </is>
      </c>
      <c r="B393" s="1" t="n">
        <v>45758.60162037037</v>
      </c>
      <c r="C393" s="1" t="n">
        <v>45928</v>
      </c>
      <c r="D393" t="inlineStr">
        <is>
          <t>DALARNAS LÄN</t>
        </is>
      </c>
      <c r="E393" t="inlineStr">
        <is>
          <t>ORSA</t>
        </is>
      </c>
      <c r="G393" t="n">
        <v>2</v>
      </c>
      <c r="H393" t="n">
        <v>0</v>
      </c>
      <c r="I393" t="n">
        <v>0</v>
      </c>
      <c r="J393" t="n">
        <v>0</v>
      </c>
      <c r="K393" t="n">
        <v>0</v>
      </c>
      <c r="L393" t="n">
        <v>0</v>
      </c>
      <c r="M393" t="n">
        <v>0</v>
      </c>
      <c r="N393" t="n">
        <v>0</v>
      </c>
      <c r="O393" t="n">
        <v>0</v>
      </c>
      <c r="P393" t="n">
        <v>0</v>
      </c>
      <c r="Q393" t="n">
        <v>0</v>
      </c>
      <c r="R393" s="2" t="inlineStr"/>
    </row>
    <row r="394" ht="15" customHeight="1">
      <c r="A394" t="inlineStr">
        <is>
          <t>A 28317-2025</t>
        </is>
      </c>
      <c r="B394" s="1" t="n">
        <v>45818.6300462963</v>
      </c>
      <c r="C394" s="1" t="n">
        <v>45928</v>
      </c>
      <c r="D394" t="inlineStr">
        <is>
          <t>DALARNAS LÄN</t>
        </is>
      </c>
      <c r="E394" t="inlineStr">
        <is>
          <t>ORSA</t>
        </is>
      </c>
      <c r="F394" t="inlineStr">
        <is>
          <t>Bergvik skog öst AB</t>
        </is>
      </c>
      <c r="G394" t="n">
        <v>1</v>
      </c>
      <c r="H394" t="n">
        <v>0</v>
      </c>
      <c r="I394" t="n">
        <v>0</v>
      </c>
      <c r="J394" t="n">
        <v>0</v>
      </c>
      <c r="K394" t="n">
        <v>0</v>
      </c>
      <c r="L394" t="n">
        <v>0</v>
      </c>
      <c r="M394" t="n">
        <v>0</v>
      </c>
      <c r="N394" t="n">
        <v>0</v>
      </c>
      <c r="O394" t="n">
        <v>0</v>
      </c>
      <c r="P394" t="n">
        <v>0</v>
      </c>
      <c r="Q394" t="n">
        <v>0</v>
      </c>
      <c r="R394" s="2" t="inlineStr"/>
    </row>
    <row r="395" ht="15" customHeight="1">
      <c r="A395" t="inlineStr">
        <is>
          <t>A 28609-2025</t>
        </is>
      </c>
      <c r="B395" s="1" t="n">
        <v>45819.60303240741</v>
      </c>
      <c r="C395" s="1" t="n">
        <v>45928</v>
      </c>
      <c r="D395" t="inlineStr">
        <is>
          <t>DALARNAS LÄN</t>
        </is>
      </c>
      <c r="E395" t="inlineStr">
        <is>
          <t>ORSA</t>
        </is>
      </c>
      <c r="F395" t="inlineStr">
        <is>
          <t>Bergvik skog öst AB</t>
        </is>
      </c>
      <c r="G395" t="n">
        <v>9.1</v>
      </c>
      <c r="H395" t="n">
        <v>0</v>
      </c>
      <c r="I395" t="n">
        <v>0</v>
      </c>
      <c r="J395" t="n">
        <v>0</v>
      </c>
      <c r="K395" t="n">
        <v>0</v>
      </c>
      <c r="L395" t="n">
        <v>0</v>
      </c>
      <c r="M395" t="n">
        <v>0</v>
      </c>
      <c r="N395" t="n">
        <v>0</v>
      </c>
      <c r="O395" t="n">
        <v>0</v>
      </c>
      <c r="P395" t="n">
        <v>0</v>
      </c>
      <c r="Q395" t="n">
        <v>0</v>
      </c>
      <c r="R395" s="2" t="inlineStr"/>
    </row>
    <row r="396" ht="15" customHeight="1">
      <c r="A396" t="inlineStr">
        <is>
          <t>A 28635-2025</t>
        </is>
      </c>
      <c r="B396" s="1" t="n">
        <v>45819.63112268518</v>
      </c>
      <c r="C396" s="1" t="n">
        <v>45928</v>
      </c>
      <c r="D396" t="inlineStr">
        <is>
          <t>DALARNAS LÄN</t>
        </is>
      </c>
      <c r="E396" t="inlineStr">
        <is>
          <t>ORSA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51994-2023</t>
        </is>
      </c>
      <c r="B397" s="1" t="n">
        <v>45223.5884375</v>
      </c>
      <c r="C397" s="1" t="n">
        <v>45928</v>
      </c>
      <c r="D397" t="inlineStr">
        <is>
          <t>DALARNAS LÄN</t>
        </is>
      </c>
      <c r="E397" t="inlineStr">
        <is>
          <t>ORSA</t>
        </is>
      </c>
      <c r="G397" t="n">
        <v>10.7</v>
      </c>
      <c r="H397" t="n">
        <v>0</v>
      </c>
      <c r="I397" t="n">
        <v>0</v>
      </c>
      <c r="J397" t="n">
        <v>0</v>
      </c>
      <c r="K397" t="n">
        <v>0</v>
      </c>
      <c r="L397" t="n">
        <v>0</v>
      </c>
      <c r="M397" t="n">
        <v>0</v>
      </c>
      <c r="N397" t="n">
        <v>0</v>
      </c>
      <c r="O397" t="n">
        <v>0</v>
      </c>
      <c r="P397" t="n">
        <v>0</v>
      </c>
      <c r="Q397" t="n">
        <v>0</v>
      </c>
      <c r="R397" s="2" t="inlineStr"/>
    </row>
    <row r="398" ht="15" customHeight="1">
      <c r="A398" t="inlineStr">
        <is>
          <t>A 72284-2021</t>
        </is>
      </c>
      <c r="B398" s="1" t="n">
        <v>44545.36940972223</v>
      </c>
      <c r="C398" s="1" t="n">
        <v>45928</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29844-2025</t>
        </is>
      </c>
      <c r="B399" s="1" t="n">
        <v>45826</v>
      </c>
      <c r="C399" s="1" t="n">
        <v>45928</v>
      </c>
      <c r="D399" t="inlineStr">
        <is>
          <t>DALARNAS LÄN</t>
        </is>
      </c>
      <c r="E399" t="inlineStr">
        <is>
          <t>ORSA</t>
        </is>
      </c>
      <c r="F399" t="inlineStr">
        <is>
          <t>Allmännings- och besparingsskogar</t>
        </is>
      </c>
      <c r="G399" t="n">
        <v>53.9</v>
      </c>
      <c r="H399" t="n">
        <v>0</v>
      </c>
      <c r="I399" t="n">
        <v>0</v>
      </c>
      <c r="J399" t="n">
        <v>0</v>
      </c>
      <c r="K399" t="n">
        <v>0</v>
      </c>
      <c r="L399" t="n">
        <v>0</v>
      </c>
      <c r="M399" t="n">
        <v>0</v>
      </c>
      <c r="N399" t="n">
        <v>0</v>
      </c>
      <c r="O399" t="n">
        <v>0</v>
      </c>
      <c r="P399" t="n">
        <v>0</v>
      </c>
      <c r="Q399" t="n">
        <v>0</v>
      </c>
      <c r="R399" s="2" t="inlineStr"/>
    </row>
    <row r="400" ht="15" customHeight="1">
      <c r="A400" t="inlineStr">
        <is>
          <t>A 29933-2025</t>
        </is>
      </c>
      <c r="B400" s="1" t="n">
        <v>45826.44121527778</v>
      </c>
      <c r="C400" s="1" t="n">
        <v>45928</v>
      </c>
      <c r="D400" t="inlineStr">
        <is>
          <t>DALARNAS LÄN</t>
        </is>
      </c>
      <c r="E400" t="inlineStr">
        <is>
          <t>ORSA</t>
        </is>
      </c>
      <c r="G400" t="n">
        <v>1.8</v>
      </c>
      <c r="H400" t="n">
        <v>0</v>
      </c>
      <c r="I400" t="n">
        <v>0</v>
      </c>
      <c r="J400" t="n">
        <v>0</v>
      </c>
      <c r="K400" t="n">
        <v>0</v>
      </c>
      <c r="L400" t="n">
        <v>0</v>
      </c>
      <c r="M400" t="n">
        <v>0</v>
      </c>
      <c r="N400" t="n">
        <v>0</v>
      </c>
      <c r="O400" t="n">
        <v>0</v>
      </c>
      <c r="P400" t="n">
        <v>0</v>
      </c>
      <c r="Q400" t="n">
        <v>0</v>
      </c>
      <c r="R400" s="2" t="inlineStr"/>
    </row>
    <row r="401" ht="15" customHeight="1">
      <c r="A401" t="inlineStr">
        <is>
          <t>A 13185-2022</t>
        </is>
      </c>
      <c r="B401" s="1" t="n">
        <v>44644.48491898148</v>
      </c>
      <c r="C401" s="1" t="n">
        <v>45928</v>
      </c>
      <c r="D401" t="inlineStr">
        <is>
          <t>DALARNAS LÄN</t>
        </is>
      </c>
      <c r="E401" t="inlineStr">
        <is>
          <t>ORSA</t>
        </is>
      </c>
      <c r="G401" t="n">
        <v>0.6</v>
      </c>
      <c r="H401" t="n">
        <v>0</v>
      </c>
      <c r="I401" t="n">
        <v>0</v>
      </c>
      <c r="J401" t="n">
        <v>0</v>
      </c>
      <c r="K401" t="n">
        <v>0</v>
      </c>
      <c r="L401" t="n">
        <v>0</v>
      </c>
      <c r="M401" t="n">
        <v>0</v>
      </c>
      <c r="N401" t="n">
        <v>0</v>
      </c>
      <c r="O401" t="n">
        <v>0</v>
      </c>
      <c r="P401" t="n">
        <v>0</v>
      </c>
      <c r="Q401" t="n">
        <v>0</v>
      </c>
      <c r="R401" s="2" t="inlineStr"/>
    </row>
    <row r="402" ht="15" customHeight="1">
      <c r="A402" t="inlineStr">
        <is>
          <t>A 46454-2024</t>
        </is>
      </c>
      <c r="B402" s="1" t="n">
        <v>45582</v>
      </c>
      <c r="C402" s="1" t="n">
        <v>45928</v>
      </c>
      <c r="D402" t="inlineStr">
        <is>
          <t>DALARNAS LÄN</t>
        </is>
      </c>
      <c r="E402" t="inlineStr">
        <is>
          <t>ORSA</t>
        </is>
      </c>
      <c r="F402" t="inlineStr">
        <is>
          <t>Övriga statliga verk och myndigheter</t>
        </is>
      </c>
      <c r="G402" t="n">
        <v>1</v>
      </c>
      <c r="H402" t="n">
        <v>0</v>
      </c>
      <c r="I402" t="n">
        <v>0</v>
      </c>
      <c r="J402" t="n">
        <v>0</v>
      </c>
      <c r="K402" t="n">
        <v>0</v>
      </c>
      <c r="L402" t="n">
        <v>0</v>
      </c>
      <c r="M402" t="n">
        <v>0</v>
      </c>
      <c r="N402" t="n">
        <v>0</v>
      </c>
      <c r="O402" t="n">
        <v>0</v>
      </c>
      <c r="P402" t="n">
        <v>0</v>
      </c>
      <c r="Q402" t="n">
        <v>0</v>
      </c>
      <c r="R402" s="2" t="inlineStr"/>
    </row>
    <row r="403" ht="15" customHeight="1">
      <c r="A403" t="inlineStr">
        <is>
          <t>A 52649-2024</t>
        </is>
      </c>
      <c r="B403" s="1" t="n">
        <v>45610.3468287037</v>
      </c>
      <c r="C403" s="1" t="n">
        <v>45928</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58842-2024</t>
        </is>
      </c>
      <c r="B404" s="1" t="n">
        <v>45636.3859837963</v>
      </c>
      <c r="C404" s="1" t="n">
        <v>45928</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30751-2025</t>
        </is>
      </c>
      <c r="B405" s="1" t="n">
        <v>45831.58921296296</v>
      </c>
      <c r="C405" s="1" t="n">
        <v>45928</v>
      </c>
      <c r="D405" t="inlineStr">
        <is>
          <t>DALARNAS LÄN</t>
        </is>
      </c>
      <c r="E405" t="inlineStr">
        <is>
          <t>ORSA</t>
        </is>
      </c>
      <c r="G405" t="n">
        <v>5.2</v>
      </c>
      <c r="H405" t="n">
        <v>0</v>
      </c>
      <c r="I405" t="n">
        <v>0</v>
      </c>
      <c r="J405" t="n">
        <v>0</v>
      </c>
      <c r="K405" t="n">
        <v>0</v>
      </c>
      <c r="L405" t="n">
        <v>0</v>
      </c>
      <c r="M405" t="n">
        <v>0</v>
      </c>
      <c r="N405" t="n">
        <v>0</v>
      </c>
      <c r="O405" t="n">
        <v>0</v>
      </c>
      <c r="P405" t="n">
        <v>0</v>
      </c>
      <c r="Q405" t="n">
        <v>0</v>
      </c>
      <c r="R405" s="2" t="inlineStr"/>
    </row>
    <row r="406" ht="15" customHeight="1">
      <c r="A406" t="inlineStr">
        <is>
          <t>A 31365-2025</t>
        </is>
      </c>
      <c r="B406" s="1" t="n">
        <v>45833.43884259259</v>
      </c>
      <c r="C406" s="1" t="n">
        <v>45928</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13209-2022</t>
        </is>
      </c>
      <c r="B407" s="1" t="n">
        <v>44644.56325231482</v>
      </c>
      <c r="C407" s="1" t="n">
        <v>45928</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61333-2024</t>
        </is>
      </c>
      <c r="B408" s="1" t="n">
        <v>45646.35832175926</v>
      </c>
      <c r="C408" s="1" t="n">
        <v>45928</v>
      </c>
      <c r="D408" t="inlineStr">
        <is>
          <t>DALARNAS LÄN</t>
        </is>
      </c>
      <c r="E408" t="inlineStr">
        <is>
          <t>ORSA</t>
        </is>
      </c>
      <c r="G408" t="n">
        <v>11.5</v>
      </c>
      <c r="H408" t="n">
        <v>0</v>
      </c>
      <c r="I408" t="n">
        <v>0</v>
      </c>
      <c r="J408" t="n">
        <v>0</v>
      </c>
      <c r="K408" t="n">
        <v>0</v>
      </c>
      <c r="L408" t="n">
        <v>0</v>
      </c>
      <c r="M408" t="n">
        <v>0</v>
      </c>
      <c r="N408" t="n">
        <v>0</v>
      </c>
      <c r="O408" t="n">
        <v>0</v>
      </c>
      <c r="P408" t="n">
        <v>0</v>
      </c>
      <c r="Q408" t="n">
        <v>0</v>
      </c>
      <c r="R408" s="2" t="inlineStr"/>
    </row>
    <row r="409" ht="15" customHeight="1">
      <c r="A409" t="inlineStr">
        <is>
          <t>A 31634-2025</t>
        </is>
      </c>
      <c r="B409" s="1" t="n">
        <v>45834</v>
      </c>
      <c r="C409" s="1" t="n">
        <v>45928</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31659-2025</t>
        </is>
      </c>
      <c r="B410" s="1" t="n">
        <v>45834.35421296296</v>
      </c>
      <c r="C410" s="1" t="n">
        <v>45928</v>
      </c>
      <c r="D410" t="inlineStr">
        <is>
          <t>DALARNAS LÄN</t>
        </is>
      </c>
      <c r="E410" t="inlineStr">
        <is>
          <t>ORSA</t>
        </is>
      </c>
      <c r="G410" t="n">
        <v>1.4</v>
      </c>
      <c r="H410" t="n">
        <v>0</v>
      </c>
      <c r="I410" t="n">
        <v>0</v>
      </c>
      <c r="J410" t="n">
        <v>0</v>
      </c>
      <c r="K410" t="n">
        <v>0</v>
      </c>
      <c r="L410" t="n">
        <v>0</v>
      </c>
      <c r="M410" t="n">
        <v>0</v>
      </c>
      <c r="N410" t="n">
        <v>0</v>
      </c>
      <c r="O410" t="n">
        <v>0</v>
      </c>
      <c r="P410" t="n">
        <v>0</v>
      </c>
      <c r="Q410" t="n">
        <v>0</v>
      </c>
      <c r="R410" s="2" t="inlineStr"/>
    </row>
    <row r="411" ht="15" customHeight="1">
      <c r="A411" t="inlineStr">
        <is>
          <t>A 12704-2022</t>
        </is>
      </c>
      <c r="B411" s="1" t="n">
        <v>44641</v>
      </c>
      <c r="C411" s="1" t="n">
        <v>45928</v>
      </c>
      <c r="D411" t="inlineStr">
        <is>
          <t>DALARNAS LÄN</t>
        </is>
      </c>
      <c r="E411" t="inlineStr">
        <is>
          <t>ORSA</t>
        </is>
      </c>
      <c r="G411" t="n">
        <v>2.4</v>
      </c>
      <c r="H411" t="n">
        <v>0</v>
      </c>
      <c r="I411" t="n">
        <v>0</v>
      </c>
      <c r="J411" t="n">
        <v>0</v>
      </c>
      <c r="K411" t="n">
        <v>0</v>
      </c>
      <c r="L411" t="n">
        <v>0</v>
      </c>
      <c r="M411" t="n">
        <v>0</v>
      </c>
      <c r="N411" t="n">
        <v>0</v>
      </c>
      <c r="O411" t="n">
        <v>0</v>
      </c>
      <c r="P411" t="n">
        <v>0</v>
      </c>
      <c r="Q411" t="n">
        <v>0</v>
      </c>
      <c r="R411" s="2" t="inlineStr"/>
    </row>
    <row r="412" ht="15" customHeight="1">
      <c r="A412" t="inlineStr">
        <is>
          <t>A 32325-2025</t>
        </is>
      </c>
      <c r="B412" s="1" t="n">
        <v>45836</v>
      </c>
      <c r="C412" s="1" t="n">
        <v>45928</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33214-2025</t>
        </is>
      </c>
      <c r="B413" s="1" t="n">
        <v>45840.6295949074</v>
      </c>
      <c r="C413" s="1" t="n">
        <v>45928</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32985-2025</t>
        </is>
      </c>
      <c r="B414" s="1" t="n">
        <v>45839.93033564815</v>
      </c>
      <c r="C414" s="1" t="n">
        <v>45928</v>
      </c>
      <c r="D414" t="inlineStr">
        <is>
          <t>DALARNAS LÄN</t>
        </is>
      </c>
      <c r="E414" t="inlineStr">
        <is>
          <t>ORSA</t>
        </is>
      </c>
      <c r="G414" t="n">
        <v>1.6</v>
      </c>
      <c r="H414" t="n">
        <v>0</v>
      </c>
      <c r="I414" t="n">
        <v>0</v>
      </c>
      <c r="J414" t="n">
        <v>0</v>
      </c>
      <c r="K414" t="n">
        <v>0</v>
      </c>
      <c r="L414" t="n">
        <v>0</v>
      </c>
      <c r="M414" t="n">
        <v>0</v>
      </c>
      <c r="N414" t="n">
        <v>0</v>
      </c>
      <c r="O414" t="n">
        <v>0</v>
      </c>
      <c r="P414" t="n">
        <v>0</v>
      </c>
      <c r="Q414" t="n">
        <v>0</v>
      </c>
      <c r="R414" s="2" t="inlineStr"/>
    </row>
    <row r="415" ht="15" customHeight="1">
      <c r="A415" t="inlineStr">
        <is>
          <t>A 33059-2025</t>
        </is>
      </c>
      <c r="B415" s="1" t="n">
        <v>45840.43072916667</v>
      </c>
      <c r="C415" s="1" t="n">
        <v>45928</v>
      </c>
      <c r="D415" t="inlineStr">
        <is>
          <t>DALARNAS LÄN</t>
        </is>
      </c>
      <c r="E415" t="inlineStr">
        <is>
          <t>ORSA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33209-2025</t>
        </is>
      </c>
      <c r="B416" s="1" t="n">
        <v>45840.62648148148</v>
      </c>
      <c r="C416" s="1" t="n">
        <v>45928</v>
      </c>
      <c r="D416" t="inlineStr">
        <is>
          <t>DALARNAS LÄN</t>
        </is>
      </c>
      <c r="E416" t="inlineStr">
        <is>
          <t>ORSA</t>
        </is>
      </c>
      <c r="G416" t="n">
        <v>1.3</v>
      </c>
      <c r="H416" t="n">
        <v>0</v>
      </c>
      <c r="I416" t="n">
        <v>0</v>
      </c>
      <c r="J416" t="n">
        <v>0</v>
      </c>
      <c r="K416" t="n">
        <v>0</v>
      </c>
      <c r="L416" t="n">
        <v>0</v>
      </c>
      <c r="M416" t="n">
        <v>0</v>
      </c>
      <c r="N416" t="n">
        <v>0</v>
      </c>
      <c r="O416" t="n">
        <v>0</v>
      </c>
      <c r="P416" t="n">
        <v>0</v>
      </c>
      <c r="Q416" t="n">
        <v>0</v>
      </c>
      <c r="R416" s="2" t="inlineStr"/>
    </row>
    <row r="417" ht="15" customHeight="1">
      <c r="A417" t="inlineStr">
        <is>
          <t>A 33057-2025</t>
        </is>
      </c>
      <c r="B417" s="1" t="n">
        <v>45840</v>
      </c>
      <c r="C417" s="1" t="n">
        <v>45928</v>
      </c>
      <c r="D417" t="inlineStr">
        <is>
          <t>DALARNAS LÄN</t>
        </is>
      </c>
      <c r="E417" t="inlineStr">
        <is>
          <t>ORSA</t>
        </is>
      </c>
      <c r="F417" t="inlineStr">
        <is>
          <t>Bergvik skog öst AB</t>
        </is>
      </c>
      <c r="G417" t="n">
        <v>3.3</v>
      </c>
      <c r="H417" t="n">
        <v>0</v>
      </c>
      <c r="I417" t="n">
        <v>0</v>
      </c>
      <c r="J417" t="n">
        <v>0</v>
      </c>
      <c r="K417" t="n">
        <v>0</v>
      </c>
      <c r="L417" t="n">
        <v>0</v>
      </c>
      <c r="M417" t="n">
        <v>0</v>
      </c>
      <c r="N417" t="n">
        <v>0</v>
      </c>
      <c r="O417" t="n">
        <v>0</v>
      </c>
      <c r="P417" t="n">
        <v>0</v>
      </c>
      <c r="Q417" t="n">
        <v>0</v>
      </c>
      <c r="R417" s="2" t="inlineStr"/>
    </row>
    <row r="418" ht="15" customHeight="1">
      <c r="A418" t="inlineStr">
        <is>
          <t>A 33158-2025</t>
        </is>
      </c>
      <c r="B418" s="1" t="n">
        <v>45840</v>
      </c>
      <c r="C418" s="1" t="n">
        <v>45928</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32984-2025</t>
        </is>
      </c>
      <c r="B419" s="1" t="n">
        <v>45839.93006944445</v>
      </c>
      <c r="C419" s="1" t="n">
        <v>45928</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33374-2025</t>
        </is>
      </c>
      <c r="B420" s="1" t="n">
        <v>45841.39582175926</v>
      </c>
      <c r="C420" s="1" t="n">
        <v>45928</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37770-2023</t>
        </is>
      </c>
      <c r="B421" s="1" t="n">
        <v>45159</v>
      </c>
      <c r="C421" s="1" t="n">
        <v>45928</v>
      </c>
      <c r="D421" t="inlineStr">
        <is>
          <t>DALARNAS LÄN</t>
        </is>
      </c>
      <c r="E421" t="inlineStr">
        <is>
          <t>ORSA</t>
        </is>
      </c>
      <c r="G421" t="n">
        <v>2.6</v>
      </c>
      <c r="H421" t="n">
        <v>0</v>
      </c>
      <c r="I421" t="n">
        <v>0</v>
      </c>
      <c r="J421" t="n">
        <v>0</v>
      </c>
      <c r="K421" t="n">
        <v>0</v>
      </c>
      <c r="L421" t="n">
        <v>0</v>
      </c>
      <c r="M421" t="n">
        <v>0</v>
      </c>
      <c r="N421" t="n">
        <v>0</v>
      </c>
      <c r="O421" t="n">
        <v>0</v>
      </c>
      <c r="P421" t="n">
        <v>0</v>
      </c>
      <c r="Q421" t="n">
        <v>0</v>
      </c>
      <c r="R421" s="2" t="inlineStr"/>
    </row>
    <row r="422" ht="15" customHeight="1">
      <c r="A422" t="inlineStr">
        <is>
          <t>A 33884-2025</t>
        </is>
      </c>
      <c r="B422" s="1" t="n">
        <v>45842.57081018519</v>
      </c>
      <c r="C422" s="1" t="n">
        <v>45928</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33394-2025</t>
        </is>
      </c>
      <c r="B423" s="1" t="n">
        <v>45841.41704861111</v>
      </c>
      <c r="C423" s="1" t="n">
        <v>45928</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33835-2025</t>
        </is>
      </c>
      <c r="B424" s="1" t="n">
        <v>45842.47619212963</v>
      </c>
      <c r="C424" s="1" t="n">
        <v>45928</v>
      </c>
      <c r="D424" t="inlineStr">
        <is>
          <t>DALARNAS LÄN</t>
        </is>
      </c>
      <c r="E424" t="inlineStr">
        <is>
          <t>ORSA</t>
        </is>
      </c>
      <c r="G424" t="n">
        <v>15.2</v>
      </c>
      <c r="H424" t="n">
        <v>0</v>
      </c>
      <c r="I424" t="n">
        <v>0</v>
      </c>
      <c r="J424" t="n">
        <v>0</v>
      </c>
      <c r="K424" t="n">
        <v>0</v>
      </c>
      <c r="L424" t="n">
        <v>0</v>
      </c>
      <c r="M424" t="n">
        <v>0</v>
      </c>
      <c r="N424" t="n">
        <v>0</v>
      </c>
      <c r="O424" t="n">
        <v>0</v>
      </c>
      <c r="P424" t="n">
        <v>0</v>
      </c>
      <c r="Q424" t="n">
        <v>0</v>
      </c>
      <c r="R424" s="2" t="inlineStr"/>
    </row>
    <row r="425" ht="15" customHeight="1">
      <c r="A425" t="inlineStr">
        <is>
          <t>A 33951-2025</t>
        </is>
      </c>
      <c r="B425" s="1" t="n">
        <v>45842.66791666667</v>
      </c>
      <c r="C425" s="1" t="n">
        <v>45928</v>
      </c>
      <c r="D425" t="inlineStr">
        <is>
          <t>DALARNAS LÄN</t>
        </is>
      </c>
      <c r="E425" t="inlineStr">
        <is>
          <t>ORSA</t>
        </is>
      </c>
      <c r="G425" t="n">
        <v>1.2</v>
      </c>
      <c r="H425" t="n">
        <v>0</v>
      </c>
      <c r="I425" t="n">
        <v>0</v>
      </c>
      <c r="J425" t="n">
        <v>0</v>
      </c>
      <c r="K425" t="n">
        <v>0</v>
      </c>
      <c r="L425" t="n">
        <v>0</v>
      </c>
      <c r="M425" t="n">
        <v>0</v>
      </c>
      <c r="N425" t="n">
        <v>0</v>
      </c>
      <c r="O425" t="n">
        <v>0</v>
      </c>
      <c r="P425" t="n">
        <v>0</v>
      </c>
      <c r="Q425" t="n">
        <v>0</v>
      </c>
      <c r="R425" s="2" t="inlineStr"/>
    </row>
    <row r="426" ht="15" customHeight="1">
      <c r="A426" t="inlineStr">
        <is>
          <t>A 33857-2025</t>
        </is>
      </c>
      <c r="B426" s="1" t="n">
        <v>45842.51953703703</v>
      </c>
      <c r="C426" s="1" t="n">
        <v>45928</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23339-2024</t>
        </is>
      </c>
      <c r="B427" s="1" t="n">
        <v>45453.48988425926</v>
      </c>
      <c r="C427" s="1" t="n">
        <v>45928</v>
      </c>
      <c r="D427" t="inlineStr">
        <is>
          <t>DALARNAS LÄN</t>
        </is>
      </c>
      <c r="E427" t="inlineStr">
        <is>
          <t>ORSA</t>
        </is>
      </c>
      <c r="G427" t="n">
        <v>3.8</v>
      </c>
      <c r="H427" t="n">
        <v>0</v>
      </c>
      <c r="I427" t="n">
        <v>0</v>
      </c>
      <c r="J427" t="n">
        <v>0</v>
      </c>
      <c r="K427" t="n">
        <v>0</v>
      </c>
      <c r="L427" t="n">
        <v>0</v>
      </c>
      <c r="M427" t="n">
        <v>0</v>
      </c>
      <c r="N427" t="n">
        <v>0</v>
      </c>
      <c r="O427" t="n">
        <v>0</v>
      </c>
      <c r="P427" t="n">
        <v>0</v>
      </c>
      <c r="Q427" t="n">
        <v>0</v>
      </c>
      <c r="R427" s="2" t="inlineStr"/>
    </row>
    <row r="428" ht="15" customHeight="1">
      <c r="A428" t="inlineStr">
        <is>
          <t>A 38840-2025</t>
        </is>
      </c>
      <c r="B428" s="1" t="n">
        <v>45887.5375</v>
      </c>
      <c r="C428" s="1" t="n">
        <v>45928</v>
      </c>
      <c r="D428" t="inlineStr">
        <is>
          <t>DALARNAS LÄN</t>
        </is>
      </c>
      <c r="E428" t="inlineStr">
        <is>
          <t>ORSA</t>
        </is>
      </c>
      <c r="G428" t="n">
        <v>1.5</v>
      </c>
      <c r="H428" t="n">
        <v>0</v>
      </c>
      <c r="I428" t="n">
        <v>0</v>
      </c>
      <c r="J428" t="n">
        <v>0</v>
      </c>
      <c r="K428" t="n">
        <v>0</v>
      </c>
      <c r="L428" t="n">
        <v>0</v>
      </c>
      <c r="M428" t="n">
        <v>0</v>
      </c>
      <c r="N428" t="n">
        <v>0</v>
      </c>
      <c r="O428" t="n">
        <v>0</v>
      </c>
      <c r="P428" t="n">
        <v>0</v>
      </c>
      <c r="Q428" t="n">
        <v>0</v>
      </c>
      <c r="R428" s="2" t="inlineStr"/>
    </row>
    <row r="429" ht="15" customHeight="1">
      <c r="A429" t="inlineStr">
        <is>
          <t>A 34001-2025</t>
        </is>
      </c>
      <c r="B429" s="1" t="n">
        <v>45844</v>
      </c>
      <c r="C429" s="1" t="n">
        <v>45928</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8107-2024</t>
        </is>
      </c>
      <c r="B430" s="1" t="n">
        <v>45351</v>
      </c>
      <c r="C430" s="1" t="n">
        <v>45928</v>
      </c>
      <c r="D430" t="inlineStr">
        <is>
          <t>DALARNAS LÄN</t>
        </is>
      </c>
      <c r="E430" t="inlineStr">
        <is>
          <t>ORSA</t>
        </is>
      </c>
      <c r="G430" t="n">
        <v>13.6</v>
      </c>
      <c r="H430" t="n">
        <v>0</v>
      </c>
      <c r="I430" t="n">
        <v>0</v>
      </c>
      <c r="J430" t="n">
        <v>0</v>
      </c>
      <c r="K430" t="n">
        <v>0</v>
      </c>
      <c r="L430" t="n">
        <v>0</v>
      </c>
      <c r="M430" t="n">
        <v>0</v>
      </c>
      <c r="N430" t="n">
        <v>0</v>
      </c>
      <c r="O430" t="n">
        <v>0</v>
      </c>
      <c r="P430" t="n">
        <v>0</v>
      </c>
      <c r="Q430" t="n">
        <v>0</v>
      </c>
      <c r="R430" s="2" t="inlineStr"/>
    </row>
    <row r="431" ht="15" customHeight="1">
      <c r="A431" t="inlineStr">
        <is>
          <t>A 55280-2024</t>
        </is>
      </c>
      <c r="B431" s="1" t="n">
        <v>45621.62524305555</v>
      </c>
      <c r="C431" s="1" t="n">
        <v>45928</v>
      </c>
      <c r="D431" t="inlineStr">
        <is>
          <t>DALARNAS LÄN</t>
        </is>
      </c>
      <c r="E431" t="inlineStr">
        <is>
          <t>ORSA</t>
        </is>
      </c>
      <c r="G431" t="n">
        <v>2.3</v>
      </c>
      <c r="H431" t="n">
        <v>0</v>
      </c>
      <c r="I431" t="n">
        <v>0</v>
      </c>
      <c r="J431" t="n">
        <v>0</v>
      </c>
      <c r="K431" t="n">
        <v>0</v>
      </c>
      <c r="L431" t="n">
        <v>0</v>
      </c>
      <c r="M431" t="n">
        <v>0</v>
      </c>
      <c r="N431" t="n">
        <v>0</v>
      </c>
      <c r="O431" t="n">
        <v>0</v>
      </c>
      <c r="P431" t="n">
        <v>0</v>
      </c>
      <c r="Q431" t="n">
        <v>0</v>
      </c>
      <c r="R431" s="2" t="inlineStr"/>
    </row>
    <row r="432" ht="15" customHeight="1">
      <c r="A432" t="inlineStr">
        <is>
          <t>A 55580-2024</t>
        </is>
      </c>
      <c r="B432" s="1" t="n">
        <v>45622.56038194444</v>
      </c>
      <c r="C432" s="1" t="n">
        <v>45928</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38844-2025</t>
        </is>
      </c>
      <c r="B433" s="1" t="n">
        <v>45887.54075231482</v>
      </c>
      <c r="C433" s="1" t="n">
        <v>45928</v>
      </c>
      <c r="D433" t="inlineStr">
        <is>
          <t>DALARNAS LÄN</t>
        </is>
      </c>
      <c r="E433" t="inlineStr">
        <is>
          <t>ORSA</t>
        </is>
      </c>
      <c r="G433" t="n">
        <v>1.6</v>
      </c>
      <c r="H433" t="n">
        <v>0</v>
      </c>
      <c r="I433" t="n">
        <v>0</v>
      </c>
      <c r="J433" t="n">
        <v>0</v>
      </c>
      <c r="K433" t="n">
        <v>0</v>
      </c>
      <c r="L433" t="n">
        <v>0</v>
      </c>
      <c r="M433" t="n">
        <v>0</v>
      </c>
      <c r="N433" t="n">
        <v>0</v>
      </c>
      <c r="O433" t="n">
        <v>0</v>
      </c>
      <c r="P433" t="n">
        <v>0</v>
      </c>
      <c r="Q433" t="n">
        <v>0</v>
      </c>
      <c r="R433" s="2" t="inlineStr"/>
    </row>
    <row r="434" ht="15" customHeight="1">
      <c r="A434" t="inlineStr">
        <is>
          <t>A 34779-2025</t>
        </is>
      </c>
      <c r="B434" s="1" t="n">
        <v>45848.66987268518</v>
      </c>
      <c r="C434" s="1" t="n">
        <v>45928</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34753-2025</t>
        </is>
      </c>
      <c r="B435" s="1" t="n">
        <v>45848.62001157407</v>
      </c>
      <c r="C435" s="1" t="n">
        <v>45928</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34781-2025</t>
        </is>
      </c>
      <c r="B436" s="1" t="n">
        <v>45848.67424768519</v>
      </c>
      <c r="C436" s="1" t="n">
        <v>45928</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34744-2025</t>
        </is>
      </c>
      <c r="B437" s="1" t="n">
        <v>45848.6125</v>
      </c>
      <c r="C437" s="1" t="n">
        <v>45928</v>
      </c>
      <c r="D437" t="inlineStr">
        <is>
          <t>DALARNAS LÄN</t>
        </is>
      </c>
      <c r="E437" t="inlineStr">
        <is>
          <t>ORSA</t>
        </is>
      </c>
      <c r="G437" t="n">
        <v>1.7</v>
      </c>
      <c r="H437" t="n">
        <v>0</v>
      </c>
      <c r="I437" t="n">
        <v>0</v>
      </c>
      <c r="J437" t="n">
        <v>0</v>
      </c>
      <c r="K437" t="n">
        <v>0</v>
      </c>
      <c r="L437" t="n">
        <v>0</v>
      </c>
      <c r="M437" t="n">
        <v>0</v>
      </c>
      <c r="N437" t="n">
        <v>0</v>
      </c>
      <c r="O437" t="n">
        <v>0</v>
      </c>
      <c r="P437" t="n">
        <v>0</v>
      </c>
      <c r="Q437" t="n">
        <v>0</v>
      </c>
      <c r="R437" s="2" t="inlineStr"/>
    </row>
    <row r="438" ht="15" customHeight="1">
      <c r="A438" t="inlineStr">
        <is>
          <t>A 56803-2024</t>
        </is>
      </c>
      <c r="B438" s="1" t="n">
        <v>45628.47212962963</v>
      </c>
      <c r="C438" s="1" t="n">
        <v>45928</v>
      </c>
      <c r="D438" t="inlineStr">
        <is>
          <t>DALARNAS LÄN</t>
        </is>
      </c>
      <c r="E438" t="inlineStr">
        <is>
          <t>ORSA</t>
        </is>
      </c>
      <c r="G438" t="n">
        <v>1.4</v>
      </c>
      <c r="H438" t="n">
        <v>0</v>
      </c>
      <c r="I438" t="n">
        <v>0</v>
      </c>
      <c r="J438" t="n">
        <v>0</v>
      </c>
      <c r="K438" t="n">
        <v>0</v>
      </c>
      <c r="L438" t="n">
        <v>0</v>
      </c>
      <c r="M438" t="n">
        <v>0</v>
      </c>
      <c r="N438" t="n">
        <v>0</v>
      </c>
      <c r="O438" t="n">
        <v>0</v>
      </c>
      <c r="P438" t="n">
        <v>0</v>
      </c>
      <c r="Q438" t="n">
        <v>0</v>
      </c>
      <c r="R438" s="2" t="inlineStr"/>
    </row>
    <row r="439" ht="15" customHeight="1">
      <c r="A439" t="inlineStr">
        <is>
          <t>A 34769-2025</t>
        </is>
      </c>
      <c r="B439" s="1" t="n">
        <v>45848.6534837963</v>
      </c>
      <c r="C439" s="1" t="n">
        <v>45928</v>
      </c>
      <c r="D439" t="inlineStr">
        <is>
          <t>DALARNAS LÄN</t>
        </is>
      </c>
      <c r="E439" t="inlineStr">
        <is>
          <t>ORSA</t>
        </is>
      </c>
      <c r="G439" t="n">
        <v>0.4</v>
      </c>
      <c r="H439" t="n">
        <v>0</v>
      </c>
      <c r="I439" t="n">
        <v>0</v>
      </c>
      <c r="J439" t="n">
        <v>0</v>
      </c>
      <c r="K439" t="n">
        <v>0</v>
      </c>
      <c r="L439" t="n">
        <v>0</v>
      </c>
      <c r="M439" t="n">
        <v>0</v>
      </c>
      <c r="N439" t="n">
        <v>0</v>
      </c>
      <c r="O439" t="n">
        <v>0</v>
      </c>
      <c r="P439" t="n">
        <v>0</v>
      </c>
      <c r="Q439" t="n">
        <v>0</v>
      </c>
      <c r="R439" s="2" t="inlineStr"/>
    </row>
    <row r="440" ht="15" customHeight="1">
      <c r="A440" t="inlineStr">
        <is>
          <t>A 34777-2025</t>
        </is>
      </c>
      <c r="B440" s="1" t="n">
        <v>45848.66167824074</v>
      </c>
      <c r="C440" s="1" t="n">
        <v>45928</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34794-2025</t>
        </is>
      </c>
      <c r="B441" s="1" t="n">
        <v>45848.73256944444</v>
      </c>
      <c r="C441" s="1" t="n">
        <v>45928</v>
      </c>
      <c r="D441" t="inlineStr">
        <is>
          <t>DALARNAS LÄN</t>
        </is>
      </c>
      <c r="E441" t="inlineStr">
        <is>
          <t>ORSA</t>
        </is>
      </c>
      <c r="G441" t="n">
        <v>2.3</v>
      </c>
      <c r="H441" t="n">
        <v>0</v>
      </c>
      <c r="I441" t="n">
        <v>0</v>
      </c>
      <c r="J441" t="n">
        <v>0</v>
      </c>
      <c r="K441" t="n">
        <v>0</v>
      </c>
      <c r="L441" t="n">
        <v>0</v>
      </c>
      <c r="M441" t="n">
        <v>0</v>
      </c>
      <c r="N441" t="n">
        <v>0</v>
      </c>
      <c r="O441" t="n">
        <v>0</v>
      </c>
      <c r="P441" t="n">
        <v>0</v>
      </c>
      <c r="Q441" t="n">
        <v>0</v>
      </c>
      <c r="R441" s="2" t="inlineStr"/>
    </row>
    <row r="442" ht="15" customHeight="1">
      <c r="A442" t="inlineStr">
        <is>
          <t>A 39682-2025</t>
        </is>
      </c>
      <c r="B442" s="1" t="n">
        <v>45890.66075231481</v>
      </c>
      <c r="C442" s="1" t="n">
        <v>45928</v>
      </c>
      <c r="D442" t="inlineStr">
        <is>
          <t>DALARNAS LÄN</t>
        </is>
      </c>
      <c r="E442" t="inlineStr">
        <is>
          <t>ORSA</t>
        </is>
      </c>
      <c r="G442" t="n">
        <v>6.6</v>
      </c>
      <c r="H442" t="n">
        <v>0</v>
      </c>
      <c r="I442" t="n">
        <v>0</v>
      </c>
      <c r="J442" t="n">
        <v>0</v>
      </c>
      <c r="K442" t="n">
        <v>0</v>
      </c>
      <c r="L442" t="n">
        <v>0</v>
      </c>
      <c r="M442" t="n">
        <v>0</v>
      </c>
      <c r="N442" t="n">
        <v>0</v>
      </c>
      <c r="O442" t="n">
        <v>0</v>
      </c>
      <c r="P442" t="n">
        <v>0</v>
      </c>
      <c r="Q442" t="n">
        <v>0</v>
      </c>
      <c r="R442" s="2" t="inlineStr"/>
    </row>
    <row r="443" ht="15" customHeight="1">
      <c r="A443" t="inlineStr">
        <is>
          <t>A 34764-2025</t>
        </is>
      </c>
      <c r="B443" s="1" t="n">
        <v>45848.64788194445</v>
      </c>
      <c r="C443" s="1" t="n">
        <v>45928</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40111-2025</t>
        </is>
      </c>
      <c r="B444" s="1" t="n">
        <v>45894.49417824074</v>
      </c>
      <c r="C444" s="1" t="n">
        <v>45928</v>
      </c>
      <c r="D444" t="inlineStr">
        <is>
          <t>DALARNAS LÄN</t>
        </is>
      </c>
      <c r="E444" t="inlineStr">
        <is>
          <t>ORSA</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34964-2025</t>
        </is>
      </c>
      <c r="B445" s="1" t="n">
        <v>45849.6330787037</v>
      </c>
      <c r="C445" s="1" t="n">
        <v>45928</v>
      </c>
      <c r="D445" t="inlineStr">
        <is>
          <t>DALARNAS LÄN</t>
        </is>
      </c>
      <c r="E445" t="inlineStr">
        <is>
          <t>ORSA</t>
        </is>
      </c>
      <c r="G445" t="n">
        <v>2.1</v>
      </c>
      <c r="H445" t="n">
        <v>0</v>
      </c>
      <c r="I445" t="n">
        <v>0</v>
      </c>
      <c r="J445" t="n">
        <v>0</v>
      </c>
      <c r="K445" t="n">
        <v>0</v>
      </c>
      <c r="L445" t="n">
        <v>0</v>
      </c>
      <c r="M445" t="n">
        <v>0</v>
      </c>
      <c r="N445" t="n">
        <v>0</v>
      </c>
      <c r="O445" t="n">
        <v>0</v>
      </c>
      <c r="P445" t="n">
        <v>0</v>
      </c>
      <c r="Q445" t="n">
        <v>0</v>
      </c>
      <c r="R445" s="2" t="inlineStr"/>
    </row>
    <row r="446" ht="15" customHeight="1">
      <c r="A446" t="inlineStr">
        <is>
          <t>A 40070-2025</t>
        </is>
      </c>
      <c r="B446" s="1" t="n">
        <v>45894.44197916667</v>
      </c>
      <c r="C446" s="1" t="n">
        <v>45928</v>
      </c>
      <c r="D446" t="inlineStr">
        <is>
          <t>DALARNAS LÄN</t>
        </is>
      </c>
      <c r="E446" t="inlineStr">
        <is>
          <t>ORSA</t>
        </is>
      </c>
      <c r="F446" t="inlineStr">
        <is>
          <t>Allmännings- och besparingsskogar</t>
        </is>
      </c>
      <c r="G446" t="n">
        <v>22</v>
      </c>
      <c r="H446" t="n">
        <v>0</v>
      </c>
      <c r="I446" t="n">
        <v>0</v>
      </c>
      <c r="J446" t="n">
        <v>0</v>
      </c>
      <c r="K446" t="n">
        <v>0</v>
      </c>
      <c r="L446" t="n">
        <v>0</v>
      </c>
      <c r="M446" t="n">
        <v>0</v>
      </c>
      <c r="N446" t="n">
        <v>0</v>
      </c>
      <c r="O446" t="n">
        <v>0</v>
      </c>
      <c r="P446" t="n">
        <v>0</v>
      </c>
      <c r="Q446" t="n">
        <v>0</v>
      </c>
      <c r="R446" s="2" t="inlineStr"/>
    </row>
    <row r="447" ht="15" customHeight="1">
      <c r="A447" t="inlineStr">
        <is>
          <t>A 53717-2024</t>
        </is>
      </c>
      <c r="B447" s="1" t="n">
        <v>45615.43141203704</v>
      </c>
      <c r="C447" s="1" t="n">
        <v>45928</v>
      </c>
      <c r="D447" t="inlineStr">
        <is>
          <t>DALARNAS LÄN</t>
        </is>
      </c>
      <c r="E447" t="inlineStr">
        <is>
          <t>ORSA</t>
        </is>
      </c>
      <c r="G447" t="n">
        <v>1.5</v>
      </c>
      <c r="H447" t="n">
        <v>0</v>
      </c>
      <c r="I447" t="n">
        <v>0</v>
      </c>
      <c r="J447" t="n">
        <v>0</v>
      </c>
      <c r="K447" t="n">
        <v>0</v>
      </c>
      <c r="L447" t="n">
        <v>0</v>
      </c>
      <c r="M447" t="n">
        <v>0</v>
      </c>
      <c r="N447" t="n">
        <v>0</v>
      </c>
      <c r="O447" t="n">
        <v>0</v>
      </c>
      <c r="P447" t="n">
        <v>0</v>
      </c>
      <c r="Q447" t="n">
        <v>0</v>
      </c>
      <c r="R447" s="2" t="inlineStr"/>
    </row>
    <row r="448" ht="15" customHeight="1">
      <c r="A448" t="inlineStr">
        <is>
          <t>A 40127-2025</t>
        </is>
      </c>
      <c r="B448" s="1" t="n">
        <v>45894.53300925926</v>
      </c>
      <c r="C448" s="1" t="n">
        <v>45928</v>
      </c>
      <c r="D448" t="inlineStr">
        <is>
          <t>DALARNAS LÄN</t>
        </is>
      </c>
      <c r="E448" t="inlineStr">
        <is>
          <t>ORSA</t>
        </is>
      </c>
      <c r="F448" t="inlineStr">
        <is>
          <t>Allmännings- och besparingsskogar</t>
        </is>
      </c>
      <c r="G448" t="n">
        <v>17.4</v>
      </c>
      <c r="H448" t="n">
        <v>0</v>
      </c>
      <c r="I448" t="n">
        <v>0</v>
      </c>
      <c r="J448" t="n">
        <v>0</v>
      </c>
      <c r="K448" t="n">
        <v>0</v>
      </c>
      <c r="L448" t="n">
        <v>0</v>
      </c>
      <c r="M448" t="n">
        <v>0</v>
      </c>
      <c r="N448" t="n">
        <v>0</v>
      </c>
      <c r="O448" t="n">
        <v>0</v>
      </c>
      <c r="P448" t="n">
        <v>0</v>
      </c>
      <c r="Q448" t="n">
        <v>0</v>
      </c>
      <c r="R448" s="2" t="inlineStr"/>
    </row>
    <row r="449" ht="15" customHeight="1">
      <c r="A449" t="inlineStr">
        <is>
          <t>A 612-2025</t>
        </is>
      </c>
      <c r="B449" s="1" t="n">
        <v>45660</v>
      </c>
      <c r="C449" s="1" t="n">
        <v>45928</v>
      </c>
      <c r="D449" t="inlineStr">
        <is>
          <t>DALARNAS LÄN</t>
        </is>
      </c>
      <c r="E449" t="inlineStr">
        <is>
          <t>ORSA</t>
        </is>
      </c>
      <c r="F449" t="inlineStr">
        <is>
          <t>Allmännings- och besparingsskogar</t>
        </is>
      </c>
      <c r="G449" t="n">
        <v>0.8</v>
      </c>
      <c r="H449" t="n">
        <v>0</v>
      </c>
      <c r="I449" t="n">
        <v>0</v>
      </c>
      <c r="J449" t="n">
        <v>0</v>
      </c>
      <c r="K449" t="n">
        <v>0</v>
      </c>
      <c r="L449" t="n">
        <v>0</v>
      </c>
      <c r="M449" t="n">
        <v>0</v>
      </c>
      <c r="N449" t="n">
        <v>0</v>
      </c>
      <c r="O449" t="n">
        <v>0</v>
      </c>
      <c r="P449" t="n">
        <v>0</v>
      </c>
      <c r="Q449" t="n">
        <v>0</v>
      </c>
      <c r="R449" s="2" t="inlineStr"/>
    </row>
    <row r="450" ht="15" customHeight="1">
      <c r="A450" t="inlineStr">
        <is>
          <t>A 40091-2025</t>
        </is>
      </c>
      <c r="B450" s="1" t="n">
        <v>45894.47822916666</v>
      </c>
      <c r="C450" s="1" t="n">
        <v>45928</v>
      </c>
      <c r="D450" t="inlineStr">
        <is>
          <t>DALARNAS LÄN</t>
        </is>
      </c>
      <c r="E450" t="inlineStr">
        <is>
          <t>ORSA</t>
        </is>
      </c>
      <c r="F450" t="inlineStr">
        <is>
          <t>Allmännings- och besparingsskogar</t>
        </is>
      </c>
      <c r="G450" t="n">
        <v>20.4</v>
      </c>
      <c r="H450" t="n">
        <v>0</v>
      </c>
      <c r="I450" t="n">
        <v>0</v>
      </c>
      <c r="J450" t="n">
        <v>0</v>
      </c>
      <c r="K450" t="n">
        <v>0</v>
      </c>
      <c r="L450" t="n">
        <v>0</v>
      </c>
      <c r="M450" t="n">
        <v>0</v>
      </c>
      <c r="N450" t="n">
        <v>0</v>
      </c>
      <c r="O450" t="n">
        <v>0</v>
      </c>
      <c r="P450" t="n">
        <v>0</v>
      </c>
      <c r="Q450" t="n">
        <v>0</v>
      </c>
      <c r="R450" s="2" t="inlineStr"/>
    </row>
    <row r="451" ht="15" customHeight="1">
      <c r="A451" t="inlineStr">
        <is>
          <t>A 25172-2022</t>
        </is>
      </c>
      <c r="B451" s="1" t="n">
        <v>44729.58356481481</v>
      </c>
      <c r="C451" s="1" t="n">
        <v>45928</v>
      </c>
      <c r="D451" t="inlineStr">
        <is>
          <t>DALARNAS LÄN</t>
        </is>
      </c>
      <c r="E451" t="inlineStr">
        <is>
          <t>ORSA</t>
        </is>
      </c>
      <c r="F451" t="inlineStr">
        <is>
          <t>Bergvik skog öst AB</t>
        </is>
      </c>
      <c r="G451" t="n">
        <v>3.6</v>
      </c>
      <c r="H451" t="n">
        <v>0</v>
      </c>
      <c r="I451" t="n">
        <v>0</v>
      </c>
      <c r="J451" t="n">
        <v>0</v>
      </c>
      <c r="K451" t="n">
        <v>0</v>
      </c>
      <c r="L451" t="n">
        <v>0</v>
      </c>
      <c r="M451" t="n">
        <v>0</v>
      </c>
      <c r="N451" t="n">
        <v>0</v>
      </c>
      <c r="O451" t="n">
        <v>0</v>
      </c>
      <c r="P451" t="n">
        <v>0</v>
      </c>
      <c r="Q451" t="n">
        <v>0</v>
      </c>
      <c r="R451" s="2" t="inlineStr"/>
    </row>
    <row r="452" ht="15" customHeight="1">
      <c r="A452" t="inlineStr">
        <is>
          <t>A 986-2025</t>
        </is>
      </c>
      <c r="B452" s="1" t="n">
        <v>45666.42952546296</v>
      </c>
      <c r="C452" s="1" t="n">
        <v>45928</v>
      </c>
      <c r="D452" t="inlineStr">
        <is>
          <t>DALARNAS LÄN</t>
        </is>
      </c>
      <c r="E452" t="inlineStr">
        <is>
          <t>ORSA</t>
        </is>
      </c>
      <c r="G452" t="n">
        <v>5.7</v>
      </c>
      <c r="H452" t="n">
        <v>0</v>
      </c>
      <c r="I452" t="n">
        <v>0</v>
      </c>
      <c r="J452" t="n">
        <v>0</v>
      </c>
      <c r="K452" t="n">
        <v>0</v>
      </c>
      <c r="L452" t="n">
        <v>0</v>
      </c>
      <c r="M452" t="n">
        <v>0</v>
      </c>
      <c r="N452" t="n">
        <v>0</v>
      </c>
      <c r="O452" t="n">
        <v>0</v>
      </c>
      <c r="P452" t="n">
        <v>0</v>
      </c>
      <c r="Q452" t="n">
        <v>0</v>
      </c>
      <c r="R452" s="2" t="inlineStr"/>
    </row>
    <row r="453" ht="15" customHeight="1">
      <c r="A453" t="inlineStr">
        <is>
          <t>A 30458-2023</t>
        </is>
      </c>
      <c r="B453" s="1" t="n">
        <v>45111</v>
      </c>
      <c r="C453" s="1" t="n">
        <v>45928</v>
      </c>
      <c r="D453" t="inlineStr">
        <is>
          <t>DALARNAS LÄN</t>
        </is>
      </c>
      <c r="E453" t="inlineStr">
        <is>
          <t>ORSA</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42238-2023</t>
        </is>
      </c>
      <c r="B454" s="1" t="n">
        <v>45180.34207175926</v>
      </c>
      <c r="C454" s="1" t="n">
        <v>45928</v>
      </c>
      <c r="D454" t="inlineStr">
        <is>
          <t>DALARNAS LÄN</t>
        </is>
      </c>
      <c r="E454" t="inlineStr">
        <is>
          <t>ORSA</t>
        </is>
      </c>
      <c r="F454" t="inlineStr">
        <is>
          <t>Allmännings- och besparingsskogar</t>
        </is>
      </c>
      <c r="G454" t="n">
        <v>0.5</v>
      </c>
      <c r="H454" t="n">
        <v>0</v>
      </c>
      <c r="I454" t="n">
        <v>0</v>
      </c>
      <c r="J454" t="n">
        <v>0</v>
      </c>
      <c r="K454" t="n">
        <v>0</v>
      </c>
      <c r="L454" t="n">
        <v>0</v>
      </c>
      <c r="M454" t="n">
        <v>0</v>
      </c>
      <c r="N454" t="n">
        <v>0</v>
      </c>
      <c r="O454" t="n">
        <v>0</v>
      </c>
      <c r="P454" t="n">
        <v>0</v>
      </c>
      <c r="Q454" t="n">
        <v>0</v>
      </c>
      <c r="R454" s="2" t="inlineStr"/>
    </row>
    <row r="455" ht="15" customHeight="1">
      <c r="A455" t="inlineStr">
        <is>
          <t>A 4738-2025</t>
        </is>
      </c>
      <c r="B455" s="1" t="n">
        <v>45688</v>
      </c>
      <c r="C455" s="1" t="n">
        <v>45928</v>
      </c>
      <c r="D455" t="inlineStr">
        <is>
          <t>DALARNAS LÄN</t>
        </is>
      </c>
      <c r="E455" t="inlineStr">
        <is>
          <t>ORSA</t>
        </is>
      </c>
      <c r="G455" t="n">
        <v>3.7</v>
      </c>
      <c r="H455" t="n">
        <v>0</v>
      </c>
      <c r="I455" t="n">
        <v>0</v>
      </c>
      <c r="J455" t="n">
        <v>0</v>
      </c>
      <c r="K455" t="n">
        <v>0</v>
      </c>
      <c r="L455" t="n">
        <v>0</v>
      </c>
      <c r="M455" t="n">
        <v>0</v>
      </c>
      <c r="N455" t="n">
        <v>0</v>
      </c>
      <c r="O455" t="n">
        <v>0</v>
      </c>
      <c r="P455" t="n">
        <v>0</v>
      </c>
      <c r="Q455" t="n">
        <v>0</v>
      </c>
      <c r="R455" s="2" t="inlineStr"/>
    </row>
    <row r="456" ht="15" customHeight="1">
      <c r="A456" t="inlineStr">
        <is>
          <t>A 7534-2025</t>
        </is>
      </c>
      <c r="B456" s="1" t="n">
        <v>45705.56287037037</v>
      </c>
      <c r="C456" s="1" t="n">
        <v>45928</v>
      </c>
      <c r="D456" t="inlineStr">
        <is>
          <t>DALARNAS LÄN</t>
        </is>
      </c>
      <c r="E456" t="inlineStr">
        <is>
          <t>ORSA</t>
        </is>
      </c>
      <c r="G456" t="n">
        <v>1.1</v>
      </c>
      <c r="H456" t="n">
        <v>0</v>
      </c>
      <c r="I456" t="n">
        <v>0</v>
      </c>
      <c r="J456" t="n">
        <v>0</v>
      </c>
      <c r="K456" t="n">
        <v>0</v>
      </c>
      <c r="L456" t="n">
        <v>0</v>
      </c>
      <c r="M456" t="n">
        <v>0</v>
      </c>
      <c r="N456" t="n">
        <v>0</v>
      </c>
      <c r="O456" t="n">
        <v>0</v>
      </c>
      <c r="P456" t="n">
        <v>0</v>
      </c>
      <c r="Q456" t="n">
        <v>0</v>
      </c>
      <c r="R456" s="2" t="inlineStr"/>
    </row>
    <row r="457" ht="15" customHeight="1">
      <c r="A457" t="inlineStr">
        <is>
          <t>A 31026-2023</t>
        </is>
      </c>
      <c r="B457" s="1" t="n">
        <v>45113.5812962963</v>
      </c>
      <c r="C457" s="1" t="n">
        <v>45928</v>
      </c>
      <c r="D457" t="inlineStr">
        <is>
          <t>DALARNAS LÄN</t>
        </is>
      </c>
      <c r="E457" t="inlineStr">
        <is>
          <t>ORSA</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32125-2024</t>
        </is>
      </c>
      <c r="B458" s="1" t="n">
        <v>45511</v>
      </c>
      <c r="C458" s="1" t="n">
        <v>45928</v>
      </c>
      <c r="D458" t="inlineStr">
        <is>
          <t>DALARNAS LÄN</t>
        </is>
      </c>
      <c r="E458" t="inlineStr">
        <is>
          <t>ORSA</t>
        </is>
      </c>
      <c r="F458" t="inlineStr">
        <is>
          <t>Allmännings- och besparingsskogar</t>
        </is>
      </c>
      <c r="G458" t="n">
        <v>5.2</v>
      </c>
      <c r="H458" t="n">
        <v>0</v>
      </c>
      <c r="I458" t="n">
        <v>0</v>
      </c>
      <c r="J458" t="n">
        <v>0</v>
      </c>
      <c r="K458" t="n">
        <v>0</v>
      </c>
      <c r="L458" t="n">
        <v>0</v>
      </c>
      <c r="M458" t="n">
        <v>0</v>
      </c>
      <c r="N458" t="n">
        <v>0</v>
      </c>
      <c r="O458" t="n">
        <v>0</v>
      </c>
      <c r="P458" t="n">
        <v>0</v>
      </c>
      <c r="Q458" t="n">
        <v>0</v>
      </c>
      <c r="R458" s="2" t="inlineStr"/>
    </row>
    <row r="459" ht="15" customHeight="1">
      <c r="A459" t="inlineStr">
        <is>
          <t>A 51303-2023</t>
        </is>
      </c>
      <c r="B459" s="1" t="n">
        <v>45219.55793981482</v>
      </c>
      <c r="C459" s="1" t="n">
        <v>45928</v>
      </c>
      <c r="D459" t="inlineStr">
        <is>
          <t>DALARNAS LÄN</t>
        </is>
      </c>
      <c r="E459" t="inlineStr">
        <is>
          <t>ORSA</t>
        </is>
      </c>
      <c r="G459" t="n">
        <v>1.8</v>
      </c>
      <c r="H459" t="n">
        <v>0</v>
      </c>
      <c r="I459" t="n">
        <v>0</v>
      </c>
      <c r="J459" t="n">
        <v>0</v>
      </c>
      <c r="K459" t="n">
        <v>0</v>
      </c>
      <c r="L459" t="n">
        <v>0</v>
      </c>
      <c r="M459" t="n">
        <v>0</v>
      </c>
      <c r="N459" t="n">
        <v>0</v>
      </c>
      <c r="O459" t="n">
        <v>0</v>
      </c>
      <c r="P459" t="n">
        <v>0</v>
      </c>
      <c r="Q459" t="n">
        <v>0</v>
      </c>
      <c r="R459" s="2" t="inlineStr"/>
    </row>
    <row r="460" ht="15" customHeight="1">
      <c r="A460" t="inlineStr">
        <is>
          <t>A 63371-2023</t>
        </is>
      </c>
      <c r="B460" s="1" t="n">
        <v>45274.47642361111</v>
      </c>
      <c r="C460" s="1" t="n">
        <v>45928</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22022-2022</t>
        </is>
      </c>
      <c r="B461" s="1" t="n">
        <v>44711.60145833333</v>
      </c>
      <c r="C461" s="1" t="n">
        <v>45928</v>
      </c>
      <c r="D461" t="inlineStr">
        <is>
          <t>DALARNAS LÄN</t>
        </is>
      </c>
      <c r="E461" t="inlineStr">
        <is>
          <t>ORSA</t>
        </is>
      </c>
      <c r="F461" t="inlineStr">
        <is>
          <t>Bergvik skog öst AB</t>
        </is>
      </c>
      <c r="G461" t="n">
        <v>1.9</v>
      </c>
      <c r="H461" t="n">
        <v>0</v>
      </c>
      <c r="I461" t="n">
        <v>0</v>
      </c>
      <c r="J461" t="n">
        <v>0</v>
      </c>
      <c r="K461" t="n">
        <v>0</v>
      </c>
      <c r="L461" t="n">
        <v>0</v>
      </c>
      <c r="M461" t="n">
        <v>0</v>
      </c>
      <c r="N461" t="n">
        <v>0</v>
      </c>
      <c r="O461" t="n">
        <v>0</v>
      </c>
      <c r="P461" t="n">
        <v>0</v>
      </c>
      <c r="Q461" t="n">
        <v>0</v>
      </c>
      <c r="R461" s="2" t="inlineStr"/>
    </row>
    <row r="462" ht="15" customHeight="1">
      <c r="A462" t="inlineStr">
        <is>
          <t>A 67842-2020</t>
        </is>
      </c>
      <c r="B462" s="1" t="n">
        <v>44182</v>
      </c>
      <c r="C462" s="1" t="n">
        <v>45928</v>
      </c>
      <c r="D462" t="inlineStr">
        <is>
          <t>DALARNAS LÄN</t>
        </is>
      </c>
      <c r="E462" t="inlineStr">
        <is>
          <t>ORSA</t>
        </is>
      </c>
      <c r="G462" t="n">
        <v>10.6</v>
      </c>
      <c r="H462" t="n">
        <v>0</v>
      </c>
      <c r="I462" t="n">
        <v>0</v>
      </c>
      <c r="J462" t="n">
        <v>0</v>
      </c>
      <c r="K462" t="n">
        <v>0</v>
      </c>
      <c r="L462" t="n">
        <v>0</v>
      </c>
      <c r="M462" t="n">
        <v>0</v>
      </c>
      <c r="N462" t="n">
        <v>0</v>
      </c>
      <c r="O462" t="n">
        <v>0</v>
      </c>
      <c r="P462" t="n">
        <v>0</v>
      </c>
      <c r="Q462" t="n">
        <v>0</v>
      </c>
      <c r="R462" s="2" t="inlineStr"/>
    </row>
    <row r="463" ht="15" customHeight="1">
      <c r="A463" t="inlineStr">
        <is>
          <t>A 51563-2023</t>
        </is>
      </c>
      <c r="B463" s="1" t="n">
        <v>45222</v>
      </c>
      <c r="C463" s="1" t="n">
        <v>45928</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58793-2023</t>
        </is>
      </c>
      <c r="B464" s="1" t="n">
        <v>45252.34607638889</v>
      </c>
      <c r="C464" s="1" t="n">
        <v>45928</v>
      </c>
      <c r="D464" t="inlineStr">
        <is>
          <t>DALARNAS LÄN</t>
        </is>
      </c>
      <c r="E464" t="inlineStr">
        <is>
          <t>ORSA</t>
        </is>
      </c>
      <c r="G464" t="n">
        <v>2.2</v>
      </c>
      <c r="H464" t="n">
        <v>0</v>
      </c>
      <c r="I464" t="n">
        <v>0</v>
      </c>
      <c r="J464" t="n">
        <v>0</v>
      </c>
      <c r="K464" t="n">
        <v>0</v>
      </c>
      <c r="L464" t="n">
        <v>0</v>
      </c>
      <c r="M464" t="n">
        <v>0</v>
      </c>
      <c r="N464" t="n">
        <v>0</v>
      </c>
      <c r="O464" t="n">
        <v>0</v>
      </c>
      <c r="P464" t="n">
        <v>0</v>
      </c>
      <c r="Q464" t="n">
        <v>0</v>
      </c>
      <c r="R464" s="2" t="inlineStr"/>
    </row>
    <row r="465" ht="15" customHeight="1">
      <c r="A465" t="inlineStr">
        <is>
          <t>A 47778-2021</t>
        </is>
      </c>
      <c r="B465" s="1" t="n">
        <v>44448</v>
      </c>
      <c r="C465" s="1" t="n">
        <v>45928</v>
      </c>
      <c r="D465" t="inlineStr">
        <is>
          <t>DALARNAS LÄN</t>
        </is>
      </c>
      <c r="E465" t="inlineStr">
        <is>
          <t>ORSA</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47564-2023</t>
        </is>
      </c>
      <c r="B466" s="1" t="n">
        <v>45203.40004629629</v>
      </c>
      <c r="C466" s="1" t="n">
        <v>45928</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597-2024</t>
        </is>
      </c>
      <c r="B467" s="1" t="n">
        <v>45299.63410879629</v>
      </c>
      <c r="C467" s="1" t="n">
        <v>45928</v>
      </c>
      <c r="D467" t="inlineStr">
        <is>
          <t>DALARNAS LÄN</t>
        </is>
      </c>
      <c r="E467" t="inlineStr">
        <is>
          <t>ORSA</t>
        </is>
      </c>
      <c r="G467" t="n">
        <v>4.4</v>
      </c>
      <c r="H467" t="n">
        <v>0</v>
      </c>
      <c r="I467" t="n">
        <v>0</v>
      </c>
      <c r="J467" t="n">
        <v>0</v>
      </c>
      <c r="K467" t="n">
        <v>0</v>
      </c>
      <c r="L467" t="n">
        <v>0</v>
      </c>
      <c r="M467" t="n">
        <v>0</v>
      </c>
      <c r="N467" t="n">
        <v>0</v>
      </c>
      <c r="O467" t="n">
        <v>0</v>
      </c>
      <c r="P467" t="n">
        <v>0</v>
      </c>
      <c r="Q467" t="n">
        <v>0</v>
      </c>
      <c r="R467" s="2" t="inlineStr"/>
    </row>
    <row r="468" ht="15" customHeight="1">
      <c r="A468" t="inlineStr">
        <is>
          <t>A 15772-2025</t>
        </is>
      </c>
      <c r="B468" s="1" t="n">
        <v>45748.59069444444</v>
      </c>
      <c r="C468" s="1" t="n">
        <v>45928</v>
      </c>
      <c r="D468" t="inlineStr">
        <is>
          <t>DALARNAS LÄN</t>
        </is>
      </c>
      <c r="E468" t="inlineStr">
        <is>
          <t>ORSA</t>
        </is>
      </c>
      <c r="F468" t="inlineStr">
        <is>
          <t>Bergvik skog öst AB</t>
        </is>
      </c>
      <c r="G468" t="n">
        <v>3.8</v>
      </c>
      <c r="H468" t="n">
        <v>0</v>
      </c>
      <c r="I468" t="n">
        <v>0</v>
      </c>
      <c r="J468" t="n">
        <v>0</v>
      </c>
      <c r="K468" t="n">
        <v>0</v>
      </c>
      <c r="L468" t="n">
        <v>0</v>
      </c>
      <c r="M468" t="n">
        <v>0</v>
      </c>
      <c r="N468" t="n">
        <v>0</v>
      </c>
      <c r="O468" t="n">
        <v>0</v>
      </c>
      <c r="P468" t="n">
        <v>0</v>
      </c>
      <c r="Q468" t="n">
        <v>0</v>
      </c>
      <c r="R468" s="2" t="inlineStr"/>
    </row>
    <row r="469" ht="15" customHeight="1">
      <c r="A469" t="inlineStr">
        <is>
          <t>A 53229-2023</t>
        </is>
      </c>
      <c r="B469" s="1" t="n">
        <v>45229.48306712963</v>
      </c>
      <c r="C469" s="1" t="n">
        <v>45928</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55538-2023</t>
        </is>
      </c>
      <c r="B470" s="1" t="n">
        <v>45238.5996875</v>
      </c>
      <c r="C470" s="1" t="n">
        <v>45928</v>
      </c>
      <c r="D470" t="inlineStr">
        <is>
          <t>DALARNAS LÄN</t>
        </is>
      </c>
      <c r="E470" t="inlineStr">
        <is>
          <t>ORSA</t>
        </is>
      </c>
      <c r="G470" t="n">
        <v>0.5</v>
      </c>
      <c r="H470" t="n">
        <v>0</v>
      </c>
      <c r="I470" t="n">
        <v>0</v>
      </c>
      <c r="J470" t="n">
        <v>0</v>
      </c>
      <c r="K470" t="n">
        <v>0</v>
      </c>
      <c r="L470" t="n">
        <v>0</v>
      </c>
      <c r="M470" t="n">
        <v>0</v>
      </c>
      <c r="N470" t="n">
        <v>0</v>
      </c>
      <c r="O470" t="n">
        <v>0</v>
      </c>
      <c r="P470" t="n">
        <v>0</v>
      </c>
      <c r="Q470" t="n">
        <v>0</v>
      </c>
      <c r="R470" s="2" t="inlineStr"/>
    </row>
    <row r="471" ht="15" customHeight="1">
      <c r="A471" t="inlineStr">
        <is>
          <t>A 15113-2025</t>
        </is>
      </c>
      <c r="B471" s="1" t="n">
        <v>45744.36179398148</v>
      </c>
      <c r="C471" s="1" t="n">
        <v>45928</v>
      </c>
      <c r="D471" t="inlineStr">
        <is>
          <t>DALARNAS LÄN</t>
        </is>
      </c>
      <c r="E471" t="inlineStr">
        <is>
          <t>ORSA</t>
        </is>
      </c>
      <c r="F471" t="inlineStr">
        <is>
          <t>Allmännings- och besparingsskogar</t>
        </is>
      </c>
      <c r="G471" t="n">
        <v>3.3</v>
      </c>
      <c r="H471" t="n">
        <v>0</v>
      </c>
      <c r="I471" t="n">
        <v>0</v>
      </c>
      <c r="J471" t="n">
        <v>0</v>
      </c>
      <c r="K471" t="n">
        <v>0</v>
      </c>
      <c r="L471" t="n">
        <v>0</v>
      </c>
      <c r="M471" t="n">
        <v>0</v>
      </c>
      <c r="N471" t="n">
        <v>0</v>
      </c>
      <c r="O471" t="n">
        <v>0</v>
      </c>
      <c r="P471" t="n">
        <v>0</v>
      </c>
      <c r="Q471" t="n">
        <v>0</v>
      </c>
      <c r="R471" s="2" t="inlineStr"/>
    </row>
    <row r="472" ht="15" customHeight="1">
      <c r="A472" t="inlineStr">
        <is>
          <t>A 51305-2023</t>
        </is>
      </c>
      <c r="B472" s="1" t="n">
        <v>45219</v>
      </c>
      <c r="C472" s="1" t="n">
        <v>45928</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1624-2024</t>
        </is>
      </c>
      <c r="B473" s="1" t="n">
        <v>45306</v>
      </c>
      <c r="C473" s="1" t="n">
        <v>45928</v>
      </c>
      <c r="D473" t="inlineStr">
        <is>
          <t>DALARNAS LÄN</t>
        </is>
      </c>
      <c r="E473" t="inlineStr">
        <is>
          <t>ORSA</t>
        </is>
      </c>
      <c r="G473" t="n">
        <v>1.9</v>
      </c>
      <c r="H473" t="n">
        <v>0</v>
      </c>
      <c r="I473" t="n">
        <v>0</v>
      </c>
      <c r="J473" t="n">
        <v>0</v>
      </c>
      <c r="K473" t="n">
        <v>0</v>
      </c>
      <c r="L473" t="n">
        <v>0</v>
      </c>
      <c r="M473" t="n">
        <v>0</v>
      </c>
      <c r="N473" t="n">
        <v>0</v>
      </c>
      <c r="O473" t="n">
        <v>0</v>
      </c>
      <c r="P473" t="n">
        <v>0</v>
      </c>
      <c r="Q473" t="n">
        <v>0</v>
      </c>
      <c r="R473" s="2" t="inlineStr"/>
    </row>
    <row r="474" ht="15" customHeight="1">
      <c r="A474" t="inlineStr">
        <is>
          <t>A 19505-2022</t>
        </is>
      </c>
      <c r="B474" s="1" t="n">
        <v>44693</v>
      </c>
      <c r="C474" s="1" t="n">
        <v>45928</v>
      </c>
      <c r="D474" t="inlineStr">
        <is>
          <t>DALARNAS LÄN</t>
        </is>
      </c>
      <c r="E474" t="inlineStr">
        <is>
          <t>ORSA</t>
        </is>
      </c>
      <c r="G474" t="n">
        <v>2.7</v>
      </c>
      <c r="H474" t="n">
        <v>0</v>
      </c>
      <c r="I474" t="n">
        <v>0</v>
      </c>
      <c r="J474" t="n">
        <v>0</v>
      </c>
      <c r="K474" t="n">
        <v>0</v>
      </c>
      <c r="L474" t="n">
        <v>0</v>
      </c>
      <c r="M474" t="n">
        <v>0</v>
      </c>
      <c r="N474" t="n">
        <v>0</v>
      </c>
      <c r="O474" t="n">
        <v>0</v>
      </c>
      <c r="P474" t="n">
        <v>0</v>
      </c>
      <c r="Q474" t="n">
        <v>0</v>
      </c>
      <c r="R474" s="2" t="inlineStr"/>
    </row>
    <row r="475" ht="15" customHeight="1">
      <c r="A475" t="inlineStr">
        <is>
          <t>A 19108-2025</t>
        </is>
      </c>
      <c r="B475" s="1" t="n">
        <v>45768</v>
      </c>
      <c r="C475" s="1" t="n">
        <v>45928</v>
      </c>
      <c r="D475" t="inlineStr">
        <is>
          <t>DALARNAS LÄN</t>
        </is>
      </c>
      <c r="E475" t="inlineStr">
        <is>
          <t>ORSA</t>
        </is>
      </c>
      <c r="F475" t="inlineStr">
        <is>
          <t>Bergvik skog väst AB</t>
        </is>
      </c>
      <c r="G475" t="n">
        <v>14.3</v>
      </c>
      <c r="H475" t="n">
        <v>0</v>
      </c>
      <c r="I475" t="n">
        <v>0</v>
      </c>
      <c r="J475" t="n">
        <v>0</v>
      </c>
      <c r="K475" t="n">
        <v>0</v>
      </c>
      <c r="L475" t="n">
        <v>0</v>
      </c>
      <c r="M475" t="n">
        <v>0</v>
      </c>
      <c r="N475" t="n">
        <v>0</v>
      </c>
      <c r="O475" t="n">
        <v>0</v>
      </c>
      <c r="P475" t="n">
        <v>0</v>
      </c>
      <c r="Q475" t="n">
        <v>0</v>
      </c>
      <c r="R475" s="2" t="inlineStr"/>
    </row>
    <row r="476" ht="15" customHeight="1">
      <c r="A476" t="inlineStr">
        <is>
          <t>A 593-2024</t>
        </is>
      </c>
      <c r="B476" s="1" t="n">
        <v>45299.63049768518</v>
      </c>
      <c r="C476" s="1" t="n">
        <v>45928</v>
      </c>
      <c r="D476" t="inlineStr">
        <is>
          <t>DALARNAS LÄN</t>
        </is>
      </c>
      <c r="E476" t="inlineStr">
        <is>
          <t>ORSA</t>
        </is>
      </c>
      <c r="G476" t="n">
        <v>1.5</v>
      </c>
      <c r="H476" t="n">
        <v>0</v>
      </c>
      <c r="I476" t="n">
        <v>0</v>
      </c>
      <c r="J476" t="n">
        <v>0</v>
      </c>
      <c r="K476" t="n">
        <v>0</v>
      </c>
      <c r="L476" t="n">
        <v>0</v>
      </c>
      <c r="M476" t="n">
        <v>0</v>
      </c>
      <c r="N476" t="n">
        <v>0</v>
      </c>
      <c r="O476" t="n">
        <v>0</v>
      </c>
      <c r="P476" t="n">
        <v>0</v>
      </c>
      <c r="Q476" t="n">
        <v>0</v>
      </c>
      <c r="R476" s="2" t="inlineStr"/>
    </row>
    <row r="477" ht="15" customHeight="1">
      <c r="A477" t="inlineStr">
        <is>
          <t>A 6939-2021</t>
        </is>
      </c>
      <c r="B477" s="1" t="n">
        <v>44237</v>
      </c>
      <c r="C477" s="1" t="n">
        <v>45928</v>
      </c>
      <c r="D477" t="inlineStr">
        <is>
          <t>DALARNAS LÄN</t>
        </is>
      </c>
      <c r="E477" t="inlineStr">
        <is>
          <t>ORSA</t>
        </is>
      </c>
      <c r="F477" t="inlineStr">
        <is>
          <t>Övriga statliga verk och myndigheter</t>
        </is>
      </c>
      <c r="G477" t="n">
        <v>1.5</v>
      </c>
      <c r="H477" t="n">
        <v>0</v>
      </c>
      <c r="I477" t="n">
        <v>0</v>
      </c>
      <c r="J477" t="n">
        <v>0</v>
      </c>
      <c r="K477" t="n">
        <v>0</v>
      </c>
      <c r="L477" t="n">
        <v>0</v>
      </c>
      <c r="M477" t="n">
        <v>0</v>
      </c>
      <c r="N477" t="n">
        <v>0</v>
      </c>
      <c r="O477" t="n">
        <v>0</v>
      </c>
      <c r="P477" t="n">
        <v>0</v>
      </c>
      <c r="Q477" t="n">
        <v>0</v>
      </c>
      <c r="R477" s="2" t="inlineStr"/>
    </row>
    <row r="478" ht="15" customHeight="1">
      <c r="A478" t="inlineStr">
        <is>
          <t>A 47732-2022</t>
        </is>
      </c>
      <c r="B478" s="1" t="n">
        <v>44854.63668981481</v>
      </c>
      <c r="C478" s="1" t="n">
        <v>45928</v>
      </c>
      <c r="D478" t="inlineStr">
        <is>
          <t>DALARNAS LÄN</t>
        </is>
      </c>
      <c r="E478" t="inlineStr">
        <is>
          <t>ORSA</t>
        </is>
      </c>
      <c r="F478" t="inlineStr">
        <is>
          <t>Bergvik skog öst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61279-2023</t>
        </is>
      </c>
      <c r="B479" s="1" t="n">
        <v>45264.5270949074</v>
      </c>
      <c r="C479" s="1" t="n">
        <v>45928</v>
      </c>
      <c r="D479" t="inlineStr">
        <is>
          <t>DALARNAS LÄN</t>
        </is>
      </c>
      <c r="E479" t="inlineStr">
        <is>
          <t>ORSA</t>
        </is>
      </c>
      <c r="G479" t="n">
        <v>0.2</v>
      </c>
      <c r="H479" t="n">
        <v>0</v>
      </c>
      <c r="I479" t="n">
        <v>0</v>
      </c>
      <c r="J479" t="n">
        <v>0</v>
      </c>
      <c r="K479" t="n">
        <v>0</v>
      </c>
      <c r="L479" t="n">
        <v>0</v>
      </c>
      <c r="M479" t="n">
        <v>0</v>
      </c>
      <c r="N479" t="n">
        <v>0</v>
      </c>
      <c r="O479" t="n">
        <v>0</v>
      </c>
      <c r="P479" t="n">
        <v>0</v>
      </c>
      <c r="Q479" t="n">
        <v>0</v>
      </c>
      <c r="R479" s="2" t="inlineStr"/>
    </row>
    <row r="480" ht="15" customHeight="1">
      <c r="A480" t="inlineStr">
        <is>
          <t>A 23461-2023</t>
        </is>
      </c>
      <c r="B480" s="1" t="n">
        <v>45076</v>
      </c>
      <c r="C480" s="1" t="n">
        <v>45928</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18037-2023</t>
        </is>
      </c>
      <c r="B481" s="1" t="n">
        <v>45040</v>
      </c>
      <c r="C481" s="1" t="n">
        <v>45928</v>
      </c>
      <c r="D481" t="inlineStr">
        <is>
          <t>DALARNAS LÄN</t>
        </is>
      </c>
      <c r="E481" t="inlineStr">
        <is>
          <t>ORSA</t>
        </is>
      </c>
      <c r="G481" t="n">
        <v>6.6</v>
      </c>
      <c r="H481" t="n">
        <v>0</v>
      </c>
      <c r="I481" t="n">
        <v>0</v>
      </c>
      <c r="J481" t="n">
        <v>0</v>
      </c>
      <c r="K481" t="n">
        <v>0</v>
      </c>
      <c r="L481" t="n">
        <v>0</v>
      </c>
      <c r="M481" t="n">
        <v>0</v>
      </c>
      <c r="N481" t="n">
        <v>0</v>
      </c>
      <c r="O481" t="n">
        <v>0</v>
      </c>
      <c r="P481" t="n">
        <v>0</v>
      </c>
      <c r="Q481" t="n">
        <v>0</v>
      </c>
      <c r="R481" s="2" t="inlineStr"/>
    </row>
    <row r="482" ht="15" customHeight="1">
      <c r="A482" t="inlineStr">
        <is>
          <t>A 25761-2021</t>
        </is>
      </c>
      <c r="B482" s="1" t="n">
        <v>44343</v>
      </c>
      <c r="C482" s="1" t="n">
        <v>45928</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15114-2025</t>
        </is>
      </c>
      <c r="B483" s="1" t="n">
        <v>45744.36232638889</v>
      </c>
      <c r="C483" s="1" t="n">
        <v>45928</v>
      </c>
      <c r="D483" t="inlineStr">
        <is>
          <t>DALARNAS LÄN</t>
        </is>
      </c>
      <c r="E483" t="inlineStr">
        <is>
          <t>ORSA</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17508-2025</t>
        </is>
      </c>
      <c r="B484" s="1" t="n">
        <v>45757.55929398148</v>
      </c>
      <c r="C484" s="1" t="n">
        <v>45928</v>
      </c>
      <c r="D484" t="inlineStr">
        <is>
          <t>DALARNAS LÄN</t>
        </is>
      </c>
      <c r="E484" t="inlineStr">
        <is>
          <t>ORSA</t>
        </is>
      </c>
      <c r="F484" t="inlineStr">
        <is>
          <t>Bergvik skog öst AB</t>
        </is>
      </c>
      <c r="G484" t="n">
        <v>9.4</v>
      </c>
      <c r="H484" t="n">
        <v>0</v>
      </c>
      <c r="I484" t="n">
        <v>0</v>
      </c>
      <c r="J484" t="n">
        <v>0</v>
      </c>
      <c r="K484" t="n">
        <v>0</v>
      </c>
      <c r="L484" t="n">
        <v>0</v>
      </c>
      <c r="M484" t="n">
        <v>0</v>
      </c>
      <c r="N484" t="n">
        <v>0</v>
      </c>
      <c r="O484" t="n">
        <v>0</v>
      </c>
      <c r="P484" t="n">
        <v>0</v>
      </c>
      <c r="Q484" t="n">
        <v>0</v>
      </c>
      <c r="R484" s="2" t="inlineStr"/>
    </row>
    <row r="485" ht="15" customHeight="1">
      <c r="A485" t="inlineStr">
        <is>
          <t>A 63917-2023</t>
        </is>
      </c>
      <c r="B485" s="1" t="n">
        <v>45278</v>
      </c>
      <c r="C485" s="1" t="n">
        <v>45928</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52912-2023</t>
        </is>
      </c>
      <c r="B486" s="1" t="n">
        <v>45226.51766203704</v>
      </c>
      <c r="C486" s="1" t="n">
        <v>45928</v>
      </c>
      <c r="D486" t="inlineStr">
        <is>
          <t>DALARNAS LÄN</t>
        </is>
      </c>
      <c r="E486" t="inlineStr">
        <is>
          <t>ORSA</t>
        </is>
      </c>
      <c r="G486" t="n">
        <v>10.9</v>
      </c>
      <c r="H486" t="n">
        <v>0</v>
      </c>
      <c r="I486" t="n">
        <v>0</v>
      </c>
      <c r="J486" t="n">
        <v>0</v>
      </c>
      <c r="K486" t="n">
        <v>0</v>
      </c>
      <c r="L486" t="n">
        <v>0</v>
      </c>
      <c r="M486" t="n">
        <v>0</v>
      </c>
      <c r="N486" t="n">
        <v>0</v>
      </c>
      <c r="O486" t="n">
        <v>0</v>
      </c>
      <c r="P486" t="n">
        <v>0</v>
      </c>
      <c r="Q486" t="n">
        <v>0</v>
      </c>
      <c r="R486" s="2" t="inlineStr"/>
    </row>
    <row r="487">
      <c r="A487" t="inlineStr">
        <is>
          <t>A 10832-2022</t>
        </is>
      </c>
      <c r="B487" s="1" t="n">
        <v>44627</v>
      </c>
      <c r="C487" s="1" t="n">
        <v>45928</v>
      </c>
      <c r="D487" t="inlineStr">
        <is>
          <t>DALARNAS LÄN</t>
        </is>
      </c>
      <c r="E487" t="inlineStr">
        <is>
          <t>ORSA</t>
        </is>
      </c>
      <c r="G487" t="n">
        <v>1.4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2025-09-28T12:20:05Z</dcterms:created>
  <dcterms:modified xmlns:dcterms="http://purl.org/dc/terms/" xmlns:xsi="http://www.w3.org/2001/XMLSchema-instance" xsi:type="dcterms:W3CDTF">2025-09-28T12:20:06Z</dcterms:modified>
</cp:coreProperties>
</file>