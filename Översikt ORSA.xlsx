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30212-2024</t>
        </is>
      </c>
      <c r="B12" s="1" t="n">
        <v>45490</v>
      </c>
      <c r="C12" s="1" t="n">
        <v>45836</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30212-2024 artfynd.xlsx", "A 30212-2024")</f>
        <v/>
      </c>
      <c r="T12">
        <f>HYPERLINK("https://klasma.github.io/Logging_2034/kartor/A 30212-2024 karta.png", "A 30212-2024")</f>
        <v/>
      </c>
      <c r="V12">
        <f>HYPERLINK("https://klasma.github.io/Logging_2034/klagomål/A 30212-2024 FSC-klagomål.docx", "A 30212-2024")</f>
        <v/>
      </c>
      <c r="W12">
        <f>HYPERLINK("https://klasma.github.io/Logging_2034/klagomålsmail/A 30212-2024 FSC-klagomål mail.docx", "A 30212-2024")</f>
        <v/>
      </c>
      <c r="X12">
        <f>HYPERLINK("https://klasma.github.io/Logging_2034/tillsyn/A 30212-2024 tillsynsbegäran.docx", "A 30212-2024")</f>
        <v/>
      </c>
      <c r="Y12">
        <f>HYPERLINK("https://klasma.github.io/Logging_2034/tillsynsmail/A 30212-2024 tillsynsbegäran mail.docx", "A 30212-2024")</f>
        <v/>
      </c>
      <c r="Z12">
        <f>HYPERLINK("https://klasma.github.io/Logging_2034/fåglar/A 30212-2024 prioriterade fågelarter.docx", "A 30212-2024")</f>
        <v/>
      </c>
    </row>
    <row r="13" ht="15" customHeight="1">
      <c r="A13" t="inlineStr">
        <is>
          <t>A 62470-2019</t>
        </is>
      </c>
      <c r="B13" s="1" t="n">
        <v>43788</v>
      </c>
      <c r="C13" s="1" t="n">
        <v>45836</v>
      </c>
      <c r="D13" t="inlineStr">
        <is>
          <t>DALARNAS LÄN</t>
        </is>
      </c>
      <c r="E13" t="inlineStr">
        <is>
          <t>ORSA</t>
        </is>
      </c>
      <c r="G13" t="n">
        <v>26.8</v>
      </c>
      <c r="H13" t="n">
        <v>0</v>
      </c>
      <c r="I13" t="n">
        <v>5</v>
      </c>
      <c r="J13" t="n">
        <v>11</v>
      </c>
      <c r="K13" t="n">
        <v>1</v>
      </c>
      <c r="L13" t="n">
        <v>0</v>
      </c>
      <c r="M13" t="n">
        <v>0</v>
      </c>
      <c r="N13" t="n">
        <v>0</v>
      </c>
      <c r="O13" t="n">
        <v>12</v>
      </c>
      <c r="P13" t="n">
        <v>1</v>
      </c>
      <c r="Q13" t="n">
        <v>17</v>
      </c>
      <c r="R13" s="2" t="inlineStr">
        <is>
          <t>Lateritticka
Dvärgbägarlav
Hapalopilus aurantiacus
Kolflarnlav
Kortskaftad ärgspik
Lunglav
Nordtagging
Tallticka
Vaddporing
Vedflamlav
Vedskivlav
Vitplätt
Bårdlav
Dropptaggsvamp
Jättesvampmal
Mindre märgborre
Stuplav</t>
        </is>
      </c>
      <c r="S13">
        <f>HYPERLINK("https://klasma.github.io/Logging_2034/artfynd/A 62470-2019 artfynd.xlsx", "A 62470-2019")</f>
        <v/>
      </c>
      <c r="T13">
        <f>HYPERLINK("https://klasma.github.io/Logging_2034/kartor/A 62470-2019 karta.png", "A 62470-2019")</f>
        <v/>
      </c>
      <c r="V13">
        <f>HYPERLINK("https://klasma.github.io/Logging_2034/klagomål/A 62470-2019 FSC-klagomål.docx", "A 62470-2019")</f>
        <v/>
      </c>
      <c r="W13">
        <f>HYPERLINK("https://klasma.github.io/Logging_2034/klagomålsmail/A 62470-2019 FSC-klagomål mail.docx", "A 62470-2019")</f>
        <v/>
      </c>
      <c r="X13">
        <f>HYPERLINK("https://klasma.github.io/Logging_2034/tillsyn/A 62470-2019 tillsynsbegäran.docx", "A 62470-2019")</f>
        <v/>
      </c>
      <c r="Y13">
        <f>HYPERLINK("https://klasma.github.io/Logging_2034/tillsynsmail/A 62470-2019 tillsynsbegäran mail.docx", "A 62470-2019")</f>
        <v/>
      </c>
    </row>
    <row r="14" ht="15" customHeight="1">
      <c r="A14" t="inlineStr">
        <is>
          <t>A 47905-2023</t>
        </is>
      </c>
      <c r="B14" s="1" t="n">
        <v>45204</v>
      </c>
      <c r="C14" s="1" t="n">
        <v>45836</v>
      </c>
      <c r="D14" t="inlineStr">
        <is>
          <t>DALARNAS LÄN</t>
        </is>
      </c>
      <c r="E14" t="inlineStr">
        <is>
          <t>ORSA</t>
        </is>
      </c>
      <c r="F14" t="inlineStr">
        <is>
          <t>Allmännings- och besparingsskogar</t>
        </is>
      </c>
      <c r="G14" t="n">
        <v>9.300000000000001</v>
      </c>
      <c r="H14" t="n">
        <v>1</v>
      </c>
      <c r="I14" t="n">
        <v>8</v>
      </c>
      <c r="J14" t="n">
        <v>9</v>
      </c>
      <c r="K14" t="n">
        <v>0</v>
      </c>
      <c r="L14" t="n">
        <v>0</v>
      </c>
      <c r="M14" t="n">
        <v>0</v>
      </c>
      <c r="N14" t="n">
        <v>0</v>
      </c>
      <c r="O14" t="n">
        <v>9</v>
      </c>
      <c r="P14" t="n">
        <v>0</v>
      </c>
      <c r="Q14" t="n">
        <v>17</v>
      </c>
      <c r="R14" s="2" t="inlineStr">
        <is>
          <t>Blanksvart spiklav
Dvärgbägarlav
Garnlav
Kolflarnlav
Mörk kolflarnlav
Spillkråka
Vedflamlav
Vedskivlav
Violettgrå tagellav
Dropptaggsvamp
Flagellkvastmossa
Norrlandslav
Nästlav
Skarp dropptaggsvamp
Skinnlav
Stuplav
Vågbandad barkbock</t>
        </is>
      </c>
      <c r="S14">
        <f>HYPERLINK("https://klasma.github.io/Logging_2034/artfynd/A 47905-2023 artfynd.xlsx", "A 47905-2023")</f>
        <v/>
      </c>
      <c r="T14">
        <f>HYPERLINK("https://klasma.github.io/Logging_2034/kartor/A 47905-2023 karta.png", "A 47905-2023")</f>
        <v/>
      </c>
      <c r="V14">
        <f>HYPERLINK("https://klasma.github.io/Logging_2034/klagomål/A 47905-2023 FSC-klagomål.docx", "A 47905-2023")</f>
        <v/>
      </c>
      <c r="W14">
        <f>HYPERLINK("https://klasma.github.io/Logging_2034/klagomålsmail/A 47905-2023 FSC-klagomål mail.docx", "A 47905-2023")</f>
        <v/>
      </c>
      <c r="X14">
        <f>HYPERLINK("https://klasma.github.io/Logging_2034/tillsyn/A 47905-2023 tillsynsbegäran.docx", "A 47905-2023")</f>
        <v/>
      </c>
      <c r="Y14">
        <f>HYPERLINK("https://klasma.github.io/Logging_2034/tillsynsmail/A 47905-2023 tillsynsbegäran mail.docx", "A 47905-2023")</f>
        <v/>
      </c>
      <c r="Z14">
        <f>HYPERLINK("https://klasma.github.io/Logging_2034/fåglar/A 47905-2023 prioriterade fågelarter.docx", "A 47905-2023")</f>
        <v/>
      </c>
    </row>
    <row r="15" ht="15" customHeight="1">
      <c r="A15" t="inlineStr">
        <is>
          <t>A 34474-2024</t>
        </is>
      </c>
      <c r="B15" s="1" t="n">
        <v>45525</v>
      </c>
      <c r="C15" s="1" t="n">
        <v>45836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45836</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45836</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45836</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45836</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45836</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45836</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45836</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45836</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45836</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45836</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45836</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45836</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45836</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45836</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45836</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45836</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45836</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45836</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45836</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45836</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45836</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45836</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45836</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45836</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45836</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45836</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45836</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45836</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45836</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45836</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45836</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45836</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45836</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45836</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45836</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45836</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45836</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45836</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45836</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45836</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45836</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45836</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45836</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45836</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45836</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45836</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45836</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45836</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45836</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45836</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45836</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45836</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45836</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45836</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45836</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45836</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45836</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45836</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45836</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45836</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45836</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45836</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45836</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45836</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45836</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45836</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45836</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45836</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45836</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45836</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45836</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45836</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45836</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45836</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45836</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45836</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45836</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45836</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45836</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45836</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45836</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45836</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45836</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45836</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45836</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45836</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45836</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45836</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45836</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45836</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45836</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45836</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45836</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45836</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45836</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45836</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45836</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45836</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45836</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45836</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45836</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45836</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45836</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45836</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45836</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45836</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45836</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45836</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45836</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45836</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45836</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45836</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45836</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45836</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45836</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45836</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45836</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45836</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45836</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45836</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45836</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45836</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45836</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45836</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45836</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45836</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45836</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45836</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45836</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45836</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45836</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45836</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45836</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45836</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45836</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45836</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45836</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45836</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45836</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45836</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45836</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45836</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45836</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45836</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45836</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45836</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45836</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45836</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45836</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45836</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45836</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45836</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45836</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45836</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45836</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45836</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45836</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45836</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45836</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45836</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45836</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45836</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45836</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45836</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45836</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45836</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45836</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45836</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45836</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45836</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45836</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45836</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45836</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45836</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45836</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45836</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45836</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45836</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45836</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45836</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45836</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45836</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45836</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45836</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45836</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45836</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45836</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45836</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45836</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45836</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45836</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45836</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45836</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45836</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45836</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45836</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45836</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45836</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45836</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45836</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45836</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45836</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45836</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45836</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45836</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45836</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45836</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45836</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45836</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45836</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45836</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45836</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45836</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45836</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45836</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45836</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45836</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45836</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45836</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45836</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45836</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45836</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45836</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45836</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45836</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45836</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45836</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45836</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45836</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45836</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45836</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45836</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45836</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45836</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45836</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45836</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45836</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45836</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45836</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45836</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45836</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45836</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45836</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45836</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45836</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45836</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45836</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45836</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45836</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45836</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45836</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45836</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45836</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45836</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45836</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45836</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45836</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45836</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45836</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45836</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45836</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45836</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45836</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45836</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45836</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45836</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45836</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45836</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45836</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45836</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45836</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45836</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45836</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45836</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45836</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45836</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45836</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45836</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45836</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45836</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45836</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45836</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45836</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45836</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45836</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45836</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45836</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45836</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45836</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45836</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45836</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45836</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45836</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45836</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45836</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45836</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45836</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45836</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45836</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45836</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45836</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45836</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45836</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45836</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45836</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45836</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45836</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45836</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45836</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45836</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45836</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45836</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45836</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45836</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45836</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45836</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45836</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45836</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45836</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45836</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45836</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45836</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45836</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45836</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45836</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45836</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45836</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45836</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45836</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45836</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45836</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45836</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45836</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45836</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45836</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45836</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45836</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45836</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45836</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45836</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45836</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45836</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45836</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45836</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45836</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45836</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45836</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45836</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45836</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45836</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45836</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45836</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45836</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45836</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45836</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45836</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45836</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45836</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45836</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45836</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45836</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45836</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45836</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45836</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45836</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45836</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45836</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45836</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45836</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45836</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45836</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45836</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45836</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45836</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45836</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45836</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45836</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45836</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45836</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45836</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45836</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45836</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45836</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45836</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45836</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45836</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45836</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45836</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45836</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45836</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45836</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45836</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45836</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45836</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45836</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45836</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45836</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45836</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45836</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45836</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45836</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45836</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45836</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45836</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45836</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45836</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45836</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45836</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45836</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45836</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45836</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45836</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45836</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45836</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45836</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45836</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45836</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45836</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45836</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45836</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45836</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45836</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45836</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45836</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45836</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45836</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45836</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45836</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45836</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45836</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45836</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45836</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45836</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45836</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45836</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45836</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45836</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45836</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45836</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45836</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45836</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45836</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45836</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45836</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45836</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45836</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45836</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45836</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45836</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45836</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45836</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45836</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45836</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45836</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45836</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45836</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45836</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45836</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45836</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45836</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45836</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45836</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45836</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45836</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45836</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45836</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45836</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45836</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45836</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45836</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45836</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45836</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45836</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45836</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45836</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45836</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45836</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45836</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45836</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45836</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45836</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45836</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45836</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45836</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45836</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45836</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45836</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45836</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45836</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45836</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45836</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45836</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45836</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45836</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45836</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45836</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45836</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45836</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45836</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45836</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45836</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45836</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45836</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45836</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45836</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45836</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45836</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45836</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45836</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45836</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45836</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45836</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45836</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45836</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45836</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45836</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45836</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45836</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45836</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45836</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45836</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45836</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45836</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45836</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45836</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45836</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45836</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45836</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45836</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45836</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45836</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45836</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45836</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45836</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45836</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45836</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45836</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45836</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45836</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45836</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45836</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45836</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45836</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45836</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45836</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45836</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45836</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45836</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45836</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45836</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45836</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45836</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45836</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45836</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45836</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45836</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45836</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45836</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45836</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45836</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45836</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45836</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45836</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45836</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45836</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45836</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45836</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45836</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45836</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45836</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45836</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45836</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45836</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45836</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45836</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45836</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45836</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45836</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45836</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45836</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45836</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45836</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45836</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45836</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45836</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45836</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45836</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45836</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45836</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45836</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45836</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45836</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45836</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45836</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45836</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45836</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45836</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45836</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45836</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45836</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45836</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45836</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45836</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45836</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45836</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45836</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45836</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45836</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45836</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45836</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45836</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45836</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45836</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45836</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45836</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45836</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45836</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45836</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45836</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45836</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45836</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45836</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45836</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45836</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45836</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45836</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45836</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45836</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45836</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45836</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45836</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45836</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45836</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45836</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45836</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45836</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45836</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45836</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45836</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45836</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45836</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45836</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45836</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45836</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45836</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45836</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45836</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45836</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45836</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45836</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45836</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45836</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45836</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45836</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45836</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45836</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45836</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45836</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45836</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45836</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45836</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45836</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45836</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45836</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45836</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45836</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45836</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45836</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45836</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45836</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45836</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45836</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45836</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45836</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45836</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45836</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45836</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45836</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45836</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45836</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45836</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45836</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45836</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45836</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45836</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45836</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45836</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45836</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45836</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45836</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45836</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45836</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45836</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45836</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45836</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45836</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45836</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45836</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45836</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45836</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45836</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45836</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45836</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45836</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45836</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45836</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45836</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45836</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45836</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45836</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45836</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45836</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45836</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45836</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45836</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45836</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45836</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45836</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45836</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45836</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45836</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45836</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45836</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45836</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45836</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45836</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45836</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45836</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45836</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45836</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45836</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45836</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45836</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45836</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45836</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45836</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45836</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45836</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45836</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45836</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45836</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45836</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45836</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45836</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45836</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45836</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45836</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45836</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45836</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45836</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45836</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45836</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45836</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45836</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45836</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45836</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45836</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45836</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45836</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45836</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45836</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45836</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45836</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45836</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45836</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45836</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45836</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45836</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45836</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45836</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45836</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45836</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45836</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45836</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45836</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45836</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45836</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45836</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45836</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45836</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45836</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45836</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45836</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45836</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45836</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45836</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45836</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45836</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45836</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45836</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45836</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45836</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45836</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45836</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45836</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45836</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45836</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45836</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45836</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27313-2025</t>
        </is>
      </c>
      <c r="B824" s="1" t="n">
        <v>45812</v>
      </c>
      <c r="C824" s="1" t="n">
        <v>45836</v>
      </c>
      <c r="D824" t="inlineStr">
        <is>
          <t>DALARNAS LÄN</t>
        </is>
      </c>
      <c r="E824" t="inlineStr">
        <is>
          <t>ORSA</t>
        </is>
      </c>
      <c r="F824" t="inlineStr">
        <is>
          <t>Allmännings- och besparingsskogar</t>
        </is>
      </c>
      <c r="G824" t="n">
        <v>1.4</v>
      </c>
      <c r="H824" t="n">
        <v>0</v>
      </c>
      <c r="I824" t="n">
        <v>0</v>
      </c>
      <c r="J824" t="n">
        <v>0</v>
      </c>
      <c r="K824" t="n">
        <v>0</v>
      </c>
      <c r="L824" t="n">
        <v>0</v>
      </c>
      <c r="M824" t="n">
        <v>0</v>
      </c>
      <c r="N824" t="n">
        <v>0</v>
      </c>
      <c r="O824" t="n">
        <v>0</v>
      </c>
      <c r="P824" t="n">
        <v>0</v>
      </c>
      <c r="Q824" t="n">
        <v>0</v>
      </c>
      <c r="R824" s="2" t="inlineStr"/>
    </row>
    <row r="825" ht="15" customHeight="1">
      <c r="A825" t="inlineStr">
        <is>
          <t>A 27240-2025</t>
        </is>
      </c>
      <c r="B825" s="1" t="n">
        <v>45812</v>
      </c>
      <c r="C825" s="1" t="n">
        <v>45836</v>
      </c>
      <c r="D825" t="inlineStr">
        <is>
          <t>DALARNAS LÄN</t>
        </is>
      </c>
      <c r="E825" t="inlineStr">
        <is>
          <t>ORSA</t>
        </is>
      </c>
      <c r="F825" t="inlineStr">
        <is>
          <t>Bergvik skog öst AB</t>
        </is>
      </c>
      <c r="G825" t="n">
        <v>6.8</v>
      </c>
      <c r="H825" t="n">
        <v>0</v>
      </c>
      <c r="I825" t="n">
        <v>0</v>
      </c>
      <c r="J825" t="n">
        <v>0</v>
      </c>
      <c r="K825" t="n">
        <v>0</v>
      </c>
      <c r="L825" t="n">
        <v>0</v>
      </c>
      <c r="M825" t="n">
        <v>0</v>
      </c>
      <c r="N825" t="n">
        <v>0</v>
      </c>
      <c r="O825" t="n">
        <v>0</v>
      </c>
      <c r="P825" t="n">
        <v>0</v>
      </c>
      <c r="Q825" t="n">
        <v>0</v>
      </c>
      <c r="R825" s="2" t="inlineStr"/>
    </row>
    <row r="826" ht="15" customHeight="1">
      <c r="A826" t="inlineStr">
        <is>
          <t>A 27190-2025</t>
        </is>
      </c>
      <c r="B826" s="1" t="n">
        <v>45812</v>
      </c>
      <c r="C826" s="1" t="n">
        <v>45836</v>
      </c>
      <c r="D826" t="inlineStr">
        <is>
          <t>DALARNAS LÄN</t>
        </is>
      </c>
      <c r="E826" t="inlineStr">
        <is>
          <t>ORSA</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45836</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27885-2025</t>
        </is>
      </c>
      <c r="B828" s="1" t="n">
        <v>45817</v>
      </c>
      <c r="C828" s="1" t="n">
        <v>45836</v>
      </c>
      <c r="D828" t="inlineStr">
        <is>
          <t>DALARNAS LÄN</t>
        </is>
      </c>
      <c r="E828" t="inlineStr">
        <is>
          <t>ORSA</t>
        </is>
      </c>
      <c r="F828" t="inlineStr">
        <is>
          <t>Allmännings- och besparingsskogar</t>
        </is>
      </c>
      <c r="G828" t="n">
        <v>3.4</v>
      </c>
      <c r="H828" t="n">
        <v>0</v>
      </c>
      <c r="I828" t="n">
        <v>0</v>
      </c>
      <c r="J828" t="n">
        <v>0</v>
      </c>
      <c r="K828" t="n">
        <v>0</v>
      </c>
      <c r="L828" t="n">
        <v>0</v>
      </c>
      <c r="M828" t="n">
        <v>0</v>
      </c>
      <c r="N828" t="n">
        <v>0</v>
      </c>
      <c r="O828" t="n">
        <v>0</v>
      </c>
      <c r="P828" t="n">
        <v>0</v>
      </c>
      <c r="Q828" t="n">
        <v>0</v>
      </c>
      <c r="R828" s="2" t="inlineStr"/>
    </row>
    <row r="829" ht="15" customHeight="1">
      <c r="A829" t="inlineStr">
        <is>
          <t>A 27987-2025</t>
        </is>
      </c>
      <c r="B829" s="1" t="n">
        <v>45817</v>
      </c>
      <c r="C829" s="1" t="n">
        <v>45836</v>
      </c>
      <c r="D829" t="inlineStr">
        <is>
          <t>DALARNAS LÄN</t>
        </is>
      </c>
      <c r="E829" t="inlineStr">
        <is>
          <t>ORSA</t>
        </is>
      </c>
      <c r="F829" t="inlineStr">
        <is>
          <t>Allmännings- och besparingsskogar</t>
        </is>
      </c>
      <c r="G829" t="n">
        <v>2.5</v>
      </c>
      <c r="H829" t="n">
        <v>0</v>
      </c>
      <c r="I829" t="n">
        <v>0</v>
      </c>
      <c r="J829" t="n">
        <v>0</v>
      </c>
      <c r="K829" t="n">
        <v>0</v>
      </c>
      <c r="L829" t="n">
        <v>0</v>
      </c>
      <c r="M829" t="n">
        <v>0</v>
      </c>
      <c r="N829" t="n">
        <v>0</v>
      </c>
      <c r="O829" t="n">
        <v>0</v>
      </c>
      <c r="P829" t="n">
        <v>0</v>
      </c>
      <c r="Q829" t="n">
        <v>0</v>
      </c>
      <c r="R829" s="2" t="inlineStr"/>
    </row>
    <row r="830" ht="15" customHeight="1">
      <c r="A830" t="inlineStr">
        <is>
          <t>A 27866-2025</t>
        </is>
      </c>
      <c r="B830" s="1" t="n">
        <v>45817</v>
      </c>
      <c r="C830" s="1" t="n">
        <v>45836</v>
      </c>
      <c r="D830" t="inlineStr">
        <is>
          <t>DALARNAS LÄN</t>
        </is>
      </c>
      <c r="E830" t="inlineStr">
        <is>
          <t>ORSA</t>
        </is>
      </c>
      <c r="F830" t="inlineStr">
        <is>
          <t>Allmännings- och besparingsskogar</t>
        </is>
      </c>
      <c r="G830" t="n">
        <v>6</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45836</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45836</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28609-2025</t>
        </is>
      </c>
      <c r="B833" s="1" t="n">
        <v>45819</v>
      </c>
      <c r="C833" s="1" t="n">
        <v>45836</v>
      </c>
      <c r="D833" t="inlineStr">
        <is>
          <t>DALARNAS LÄN</t>
        </is>
      </c>
      <c r="E833" t="inlineStr">
        <is>
          <t>ORSA</t>
        </is>
      </c>
      <c r="F833" t="inlineStr">
        <is>
          <t>Bergvik skog öst AB</t>
        </is>
      </c>
      <c r="G833" t="n">
        <v>9.1</v>
      </c>
      <c r="H833" t="n">
        <v>0</v>
      </c>
      <c r="I833" t="n">
        <v>0</v>
      </c>
      <c r="J833" t="n">
        <v>0</v>
      </c>
      <c r="K833" t="n">
        <v>0</v>
      </c>
      <c r="L833" t="n">
        <v>0</v>
      </c>
      <c r="M833" t="n">
        <v>0</v>
      </c>
      <c r="N833" t="n">
        <v>0</v>
      </c>
      <c r="O833" t="n">
        <v>0</v>
      </c>
      <c r="P833" t="n">
        <v>0</v>
      </c>
      <c r="Q833" t="n">
        <v>0</v>
      </c>
      <c r="R833" s="2" t="inlineStr"/>
    </row>
    <row r="834" ht="15" customHeight="1">
      <c r="A834" t="inlineStr">
        <is>
          <t>A 28635-2025</t>
        </is>
      </c>
      <c r="B834" s="1" t="n">
        <v>45819</v>
      </c>
      <c r="C834" s="1" t="n">
        <v>45836</v>
      </c>
      <c r="D834" t="inlineStr">
        <is>
          <t>DALARNAS LÄN</t>
        </is>
      </c>
      <c r="E834" t="inlineStr">
        <is>
          <t>ORSA</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45836</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45836</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45836</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ht="15" customHeight="1">
      <c r="A838" t="inlineStr">
        <is>
          <t>A 29844-2025</t>
        </is>
      </c>
      <c r="B838" s="1" t="n">
        <v>45826</v>
      </c>
      <c r="C838" s="1" t="n">
        <v>45836</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row r="839" ht="15" customHeight="1">
      <c r="A839" t="inlineStr">
        <is>
          <t>A 30751-2025</t>
        </is>
      </c>
      <c r="B839" s="1" t="n">
        <v>45831</v>
      </c>
      <c r="C839" s="1" t="n">
        <v>45836</v>
      </c>
      <c r="D839" t="inlineStr">
        <is>
          <t>DALARNAS LÄN</t>
        </is>
      </c>
      <c r="E839" t="inlineStr">
        <is>
          <t>ORSA</t>
        </is>
      </c>
      <c r="G839" t="n">
        <v>5.2</v>
      </c>
      <c r="H839" t="n">
        <v>0</v>
      </c>
      <c r="I839" t="n">
        <v>0</v>
      </c>
      <c r="J839" t="n">
        <v>0</v>
      </c>
      <c r="K839" t="n">
        <v>0</v>
      </c>
      <c r="L839" t="n">
        <v>0</v>
      </c>
      <c r="M839" t="n">
        <v>0</v>
      </c>
      <c r="N839" t="n">
        <v>0</v>
      </c>
      <c r="O839" t="n">
        <v>0</v>
      </c>
      <c r="P839" t="n">
        <v>0</v>
      </c>
      <c r="Q839" t="n">
        <v>0</v>
      </c>
      <c r="R839" s="2" t="inlineStr"/>
    </row>
    <row r="840" ht="15" customHeight="1">
      <c r="A840" t="inlineStr">
        <is>
          <t>A 31124-2025</t>
        </is>
      </c>
      <c r="B840" s="1" t="n">
        <v>45832</v>
      </c>
      <c r="C840" s="1" t="n">
        <v>45836</v>
      </c>
      <c r="D840" t="inlineStr">
        <is>
          <t>DALARNAS LÄN</t>
        </is>
      </c>
      <c r="E840" t="inlineStr">
        <is>
          <t>ORSA</t>
        </is>
      </c>
      <c r="G840" t="n">
        <v>1.8</v>
      </c>
      <c r="H840" t="n">
        <v>0</v>
      </c>
      <c r="I840" t="n">
        <v>0</v>
      </c>
      <c r="J840" t="n">
        <v>0</v>
      </c>
      <c r="K840" t="n">
        <v>0</v>
      </c>
      <c r="L840" t="n">
        <v>0</v>
      </c>
      <c r="M840" t="n">
        <v>0</v>
      </c>
      <c r="N840" t="n">
        <v>0</v>
      </c>
      <c r="O840" t="n">
        <v>0</v>
      </c>
      <c r="P840" t="n">
        <v>0</v>
      </c>
      <c r="Q840" t="n">
        <v>0</v>
      </c>
      <c r="R840" s="2" t="inlineStr"/>
    </row>
    <row r="841" ht="15" customHeight="1">
      <c r="A841" t="inlineStr">
        <is>
          <t>A 31137-2025</t>
        </is>
      </c>
      <c r="B841" s="1" t="n">
        <v>45832</v>
      </c>
      <c r="C841" s="1" t="n">
        <v>45836</v>
      </c>
      <c r="D841" t="inlineStr">
        <is>
          <t>DALARNAS LÄN</t>
        </is>
      </c>
      <c r="E841" t="inlineStr">
        <is>
          <t>ORSA</t>
        </is>
      </c>
      <c r="G841" t="n">
        <v>1.4</v>
      </c>
      <c r="H841" t="n">
        <v>0</v>
      </c>
      <c r="I841" t="n">
        <v>0</v>
      </c>
      <c r="J841" t="n">
        <v>0</v>
      </c>
      <c r="K841" t="n">
        <v>0</v>
      </c>
      <c r="L841" t="n">
        <v>0</v>
      </c>
      <c r="M841" t="n">
        <v>0</v>
      </c>
      <c r="N841" t="n">
        <v>0</v>
      </c>
      <c r="O841" t="n">
        <v>0</v>
      </c>
      <c r="P841" t="n">
        <v>0</v>
      </c>
      <c r="Q841" t="n">
        <v>0</v>
      </c>
      <c r="R841" s="2" t="inlineStr"/>
    </row>
    <row r="842" ht="15" customHeight="1">
      <c r="A842" t="inlineStr">
        <is>
          <t>A 31164-2025</t>
        </is>
      </c>
      <c r="B842" s="1" t="n">
        <v>45832</v>
      </c>
      <c r="C842" s="1" t="n">
        <v>45836</v>
      </c>
      <c r="D842" t="inlineStr">
        <is>
          <t>DALARNAS LÄN</t>
        </is>
      </c>
      <c r="E842" t="inlineStr">
        <is>
          <t>ORSA</t>
        </is>
      </c>
      <c r="G842" t="n">
        <v>0.9</v>
      </c>
      <c r="H842" t="n">
        <v>0</v>
      </c>
      <c r="I842" t="n">
        <v>0</v>
      </c>
      <c r="J842" t="n">
        <v>0</v>
      </c>
      <c r="K842" t="n">
        <v>0</v>
      </c>
      <c r="L842" t="n">
        <v>0</v>
      </c>
      <c r="M842" t="n">
        <v>0</v>
      </c>
      <c r="N842" t="n">
        <v>0</v>
      </c>
      <c r="O842" t="n">
        <v>0</v>
      </c>
      <c r="P842" t="n">
        <v>0</v>
      </c>
      <c r="Q842" t="n">
        <v>0</v>
      </c>
      <c r="R842" s="2" t="inlineStr"/>
    </row>
    <row r="843" ht="15" customHeight="1">
      <c r="A843" t="inlineStr">
        <is>
          <t>A 31161-2025</t>
        </is>
      </c>
      <c r="B843" s="1" t="n">
        <v>45832</v>
      </c>
      <c r="C843" s="1" t="n">
        <v>45836</v>
      </c>
      <c r="D843" t="inlineStr">
        <is>
          <t>DALARNAS LÄN</t>
        </is>
      </c>
      <c r="E843" t="inlineStr">
        <is>
          <t>ORSA</t>
        </is>
      </c>
      <c r="G843" t="n">
        <v>1.7</v>
      </c>
      <c r="H843" t="n">
        <v>0</v>
      </c>
      <c r="I843" t="n">
        <v>0</v>
      </c>
      <c r="J843" t="n">
        <v>0</v>
      </c>
      <c r="K843" t="n">
        <v>0</v>
      </c>
      <c r="L843" t="n">
        <v>0</v>
      </c>
      <c r="M843" t="n">
        <v>0</v>
      </c>
      <c r="N843" t="n">
        <v>0</v>
      </c>
      <c r="O843" t="n">
        <v>0</v>
      </c>
      <c r="P843" t="n">
        <v>0</v>
      </c>
      <c r="Q843" t="n">
        <v>0</v>
      </c>
      <c r="R843" s="2" t="inlineStr"/>
    </row>
    <row r="844" ht="15" customHeight="1">
      <c r="A844" t="inlineStr">
        <is>
          <t>A 31365-2025</t>
        </is>
      </c>
      <c r="B844" s="1" t="n">
        <v>45833</v>
      </c>
      <c r="C844" s="1" t="n">
        <v>45836</v>
      </c>
      <c r="D844" t="inlineStr">
        <is>
          <t>DALARNAS LÄN</t>
        </is>
      </c>
      <c r="E844" t="inlineStr">
        <is>
          <t>ORSA</t>
        </is>
      </c>
      <c r="G844" t="n">
        <v>1.6</v>
      </c>
      <c r="H844" t="n">
        <v>0</v>
      </c>
      <c r="I844" t="n">
        <v>0</v>
      </c>
      <c r="J844" t="n">
        <v>0</v>
      </c>
      <c r="K844" t="n">
        <v>0</v>
      </c>
      <c r="L844" t="n">
        <v>0</v>
      </c>
      <c r="M844" t="n">
        <v>0</v>
      </c>
      <c r="N844" t="n">
        <v>0</v>
      </c>
      <c r="O844" t="n">
        <v>0</v>
      </c>
      <c r="P844" t="n">
        <v>0</v>
      </c>
      <c r="Q844" t="n">
        <v>0</v>
      </c>
      <c r="R844" s="2" t="inlineStr"/>
    </row>
    <row r="845" ht="15" customHeight="1">
      <c r="A845" t="inlineStr">
        <is>
          <t>A 31336-2025</t>
        </is>
      </c>
      <c r="B845" s="1" t="n">
        <v>45833</v>
      </c>
      <c r="C845" s="1" t="n">
        <v>45836</v>
      </c>
      <c r="D845" t="inlineStr">
        <is>
          <t>DALARNAS LÄN</t>
        </is>
      </c>
      <c r="E845" t="inlineStr">
        <is>
          <t>ORSA</t>
        </is>
      </c>
      <c r="G845" t="n">
        <v>12.8</v>
      </c>
      <c r="H845" t="n">
        <v>0</v>
      </c>
      <c r="I845" t="n">
        <v>0</v>
      </c>
      <c r="J845" t="n">
        <v>0</v>
      </c>
      <c r="K845" t="n">
        <v>0</v>
      </c>
      <c r="L845" t="n">
        <v>0</v>
      </c>
      <c r="M845" t="n">
        <v>0</v>
      </c>
      <c r="N845" t="n">
        <v>0</v>
      </c>
      <c r="O845" t="n">
        <v>0</v>
      </c>
      <c r="P845" t="n">
        <v>0</v>
      </c>
      <c r="Q845" t="n">
        <v>0</v>
      </c>
      <c r="R845" s="2" t="inlineStr"/>
    </row>
    <row r="846" ht="15" customHeight="1">
      <c r="A846" t="inlineStr">
        <is>
          <t>A 31634-2025</t>
        </is>
      </c>
      <c r="B846" s="1" t="n">
        <v>45834</v>
      </c>
      <c r="C846" s="1" t="n">
        <v>45836</v>
      </c>
      <c r="D846" t="inlineStr">
        <is>
          <t>DALARNAS LÄN</t>
        </is>
      </c>
      <c r="E846" t="inlineStr">
        <is>
          <t>ORSA</t>
        </is>
      </c>
      <c r="G846" t="n">
        <v>2</v>
      </c>
      <c r="H846" t="n">
        <v>0</v>
      </c>
      <c r="I846" t="n">
        <v>0</v>
      </c>
      <c r="J846" t="n">
        <v>0</v>
      </c>
      <c r="K846" t="n">
        <v>0</v>
      </c>
      <c r="L846" t="n">
        <v>0</v>
      </c>
      <c r="M846" t="n">
        <v>0</v>
      </c>
      <c r="N846" t="n">
        <v>0</v>
      </c>
      <c r="O846" t="n">
        <v>0</v>
      </c>
      <c r="P846" t="n">
        <v>0</v>
      </c>
      <c r="Q846" t="n">
        <v>0</v>
      </c>
      <c r="R846" s="2" t="inlineStr"/>
    </row>
    <row r="847">
      <c r="A847" t="inlineStr">
        <is>
          <t>A 31659-2025</t>
        </is>
      </c>
      <c r="B847" s="1" t="n">
        <v>45834</v>
      </c>
      <c r="C847" s="1" t="n">
        <v>45836</v>
      </c>
      <c r="D847" t="inlineStr">
        <is>
          <t>DALARNAS LÄN</t>
        </is>
      </c>
      <c r="E847" t="inlineStr">
        <is>
          <t>ORSA</t>
        </is>
      </c>
      <c r="G847" t="n">
        <v>1.4</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2025-06-28T19:07:36Z</dcterms:created>
  <dcterms:modified xmlns:dcterms="http://purl.org/dc/terms/" xmlns:xsi="http://www.w3.org/2001/XMLSchema-instance" xsi:type="dcterms:W3CDTF">2025-06-28T19:07:45Z</dcterms:modified>
</cp:coreProperties>
</file>