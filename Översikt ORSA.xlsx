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45706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45706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45706</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45706</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45706</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45706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45706</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45706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45706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45706</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45706</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45706</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45706</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45706</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45706</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45706</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45706</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45706</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45706</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45706</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45706</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40037-2023</t>
        </is>
      </c>
      <c r="B23" s="1" t="n">
        <v>45168</v>
      </c>
      <c r="C23" s="1" t="n">
        <v>45706</v>
      </c>
      <c r="D23" t="inlineStr">
        <is>
          <t>DALARNAS LÄN</t>
        </is>
      </c>
      <c r="E23" t="inlineStr">
        <is>
          <t>ORSA</t>
        </is>
      </c>
      <c r="F23" t="inlineStr">
        <is>
          <t>Allmännings- och besparingsskogar</t>
        </is>
      </c>
      <c r="G23" t="n">
        <v>13</v>
      </c>
      <c r="H23" t="n">
        <v>4</v>
      </c>
      <c r="I23" t="n">
        <v>1</v>
      </c>
      <c r="J23" t="n">
        <v>8</v>
      </c>
      <c r="K23" t="n">
        <v>1</v>
      </c>
      <c r="L23" t="n">
        <v>0</v>
      </c>
      <c r="M23" t="n">
        <v>0</v>
      </c>
      <c r="N23" t="n">
        <v>0</v>
      </c>
      <c r="O23" t="n">
        <v>9</v>
      </c>
      <c r="P23" t="n">
        <v>1</v>
      </c>
      <c r="Q23" t="n">
        <v>10</v>
      </c>
      <c r="R23" s="2" t="inlineStr">
        <is>
          <t>Doftticka
Garnlav
Motaggsvamp
Mörk kolflarnlav
Rödvingetrast
Talltita
Vedflamlav
Vedskivlav
Violettgrå tagellav
Plattlummer</t>
        </is>
      </c>
      <c r="S23">
        <f>HYPERLINK("https://klasma.github.io/Logging_2034/artfynd/A 40037-2023 artfynd.xlsx", "A 40037-2023")</f>
        <v/>
      </c>
      <c r="T23">
        <f>HYPERLINK("https://klasma.github.io/Logging_2034/kartor/A 40037-2023 karta.png", "A 40037-2023")</f>
        <v/>
      </c>
      <c r="V23">
        <f>HYPERLINK("https://klasma.github.io/Logging_2034/klagomål/A 40037-2023 FSC-klagomål.docx", "A 40037-2023")</f>
        <v/>
      </c>
      <c r="W23">
        <f>HYPERLINK("https://klasma.github.io/Logging_2034/klagomålsmail/A 40037-2023 FSC-klagomål mail.docx", "A 40037-2023")</f>
        <v/>
      </c>
      <c r="X23">
        <f>HYPERLINK("https://klasma.github.io/Logging_2034/tillsyn/A 40037-2023 tillsynsbegäran.docx", "A 40037-2023")</f>
        <v/>
      </c>
      <c r="Y23">
        <f>HYPERLINK("https://klasma.github.io/Logging_2034/tillsynsmail/A 40037-2023 tillsynsbegäran mail.docx", "A 40037-2023")</f>
        <v/>
      </c>
      <c r="Z23">
        <f>HYPERLINK("https://klasma.github.io/Logging_2034/fåglar/A 40037-2023 prioriterade fågelarter.docx", "A 40037-2023")</f>
        <v/>
      </c>
    </row>
    <row r="24" ht="15" customHeight="1">
      <c r="A24" t="inlineStr">
        <is>
          <t>A 50972-2020</t>
        </is>
      </c>
      <c r="B24" s="1" t="n">
        <v>44111</v>
      </c>
      <c r="C24" s="1" t="n">
        <v>45706</v>
      </c>
      <c r="D24" t="inlineStr">
        <is>
          <t>DALARNAS LÄN</t>
        </is>
      </c>
      <c r="E24" t="inlineStr">
        <is>
          <t>ORSA</t>
        </is>
      </c>
      <c r="G24" t="n">
        <v>6.9</v>
      </c>
      <c r="H24" t="n">
        <v>1</v>
      </c>
      <c r="I24" t="n">
        <v>3</v>
      </c>
      <c r="J24" t="n">
        <v>6</v>
      </c>
      <c r="K24" t="n">
        <v>0</v>
      </c>
      <c r="L24" t="n">
        <v>0</v>
      </c>
      <c r="M24" t="n">
        <v>0</v>
      </c>
      <c r="N24" t="n">
        <v>0</v>
      </c>
      <c r="O24" t="n">
        <v>6</v>
      </c>
      <c r="P24" t="n">
        <v>0</v>
      </c>
      <c r="Q24" t="n">
        <v>9</v>
      </c>
      <c r="R24" s="2" t="inlineStr">
        <is>
          <t>Kolflarnlav
Nordtagging
Vaddporing
Varglav
Vedflamlav
Violettgrå tagellav
Dropptaggsvamp
Gullgröppa
Skarp dropptaggsvamp</t>
        </is>
      </c>
      <c r="S24">
        <f>HYPERLINK("https://klasma.github.io/Logging_2034/artfynd/A 50972-2020 artfynd.xlsx", "A 50972-2020")</f>
        <v/>
      </c>
      <c r="T24">
        <f>HYPERLINK("https://klasma.github.io/Logging_2034/kartor/A 50972-2020 karta.png", "A 50972-2020")</f>
        <v/>
      </c>
      <c r="V24">
        <f>HYPERLINK("https://klasma.github.io/Logging_2034/klagomål/A 50972-2020 FSC-klagomål.docx", "A 50972-2020")</f>
        <v/>
      </c>
      <c r="W24">
        <f>HYPERLINK("https://klasma.github.io/Logging_2034/klagomålsmail/A 50972-2020 FSC-klagomål mail.docx", "A 50972-2020")</f>
        <v/>
      </c>
      <c r="X24">
        <f>HYPERLINK("https://klasma.github.io/Logging_2034/tillsyn/A 50972-2020 tillsynsbegäran.docx", "A 50972-2020")</f>
        <v/>
      </c>
      <c r="Y24">
        <f>HYPERLINK("https://klasma.github.io/Logging_2034/tillsynsmail/A 50972-2020 tillsynsbegäran mail.docx", "A 50972-2020")</f>
        <v/>
      </c>
    </row>
    <row r="25" ht="15" customHeight="1">
      <c r="A25" t="inlineStr">
        <is>
          <t>A 37606-2023</t>
        </is>
      </c>
      <c r="B25" s="1" t="n">
        <v>45159</v>
      </c>
      <c r="C25" s="1" t="n">
        <v>45706</v>
      </c>
      <c r="D25" t="inlineStr">
        <is>
          <t>DALARNAS LÄN</t>
        </is>
      </c>
      <c r="E25" t="inlineStr">
        <is>
          <t>ORSA</t>
        </is>
      </c>
      <c r="F25" t="inlineStr">
        <is>
          <t>Allmännings- och besparingsskogar</t>
        </is>
      </c>
      <c r="G25" t="n">
        <v>6.1</v>
      </c>
      <c r="H25" t="n">
        <v>0</v>
      </c>
      <c r="I25" t="n">
        <v>4</v>
      </c>
      <c r="J25" t="n">
        <v>5</v>
      </c>
      <c r="K25" t="n">
        <v>0</v>
      </c>
      <c r="L25" t="n">
        <v>0</v>
      </c>
      <c r="M25" t="n">
        <v>0</v>
      </c>
      <c r="N25" t="n">
        <v>0</v>
      </c>
      <c r="O25" t="n">
        <v>5</v>
      </c>
      <c r="P25" t="n">
        <v>0</v>
      </c>
      <c r="Q25" t="n">
        <v>9</v>
      </c>
      <c r="R25" s="2" t="inlineStr">
        <is>
          <t>Garnlav
Kortskaftad ärgspik
Mörk kolflarnlav
Tallticka
Vedflamlav
Dropptaggsvamp
Mindre märgborre
Skarp dropptaggsvamp
Vedticka</t>
        </is>
      </c>
      <c r="S25">
        <f>HYPERLINK("https://klasma.github.io/Logging_2034/artfynd/A 37606-2023 artfynd.xlsx", "A 37606-2023")</f>
        <v/>
      </c>
      <c r="T25">
        <f>HYPERLINK("https://klasma.github.io/Logging_2034/kartor/A 37606-2023 karta.png", "A 37606-2023")</f>
        <v/>
      </c>
      <c r="U25">
        <f>HYPERLINK("https://klasma.github.io/Logging_2034/knärot/A 37606-2023 karta knärot.png", "A 37606-2023")</f>
        <v/>
      </c>
      <c r="V25">
        <f>HYPERLINK("https://klasma.github.io/Logging_2034/klagomål/A 37606-2023 FSC-klagomål.docx", "A 37606-2023")</f>
        <v/>
      </c>
      <c r="W25">
        <f>HYPERLINK("https://klasma.github.io/Logging_2034/klagomålsmail/A 37606-2023 FSC-klagomål mail.docx", "A 37606-2023")</f>
        <v/>
      </c>
      <c r="X25">
        <f>HYPERLINK("https://klasma.github.io/Logging_2034/tillsyn/A 37606-2023 tillsynsbegäran.docx", "A 37606-2023")</f>
        <v/>
      </c>
      <c r="Y25">
        <f>HYPERLINK("https://klasma.github.io/Logging_2034/tillsynsmail/A 37606-2023 tillsynsbegäran mail.docx", "A 37606-2023")</f>
        <v/>
      </c>
    </row>
    <row r="26" ht="15" customHeight="1">
      <c r="A26" t="inlineStr">
        <is>
          <t>A 48359-2023</t>
        </is>
      </c>
      <c r="B26" s="1" t="n">
        <v>45205</v>
      </c>
      <c r="C26" s="1" t="n">
        <v>45706</v>
      </c>
      <c r="D26" t="inlineStr">
        <is>
          <t>DALARNAS LÄN</t>
        </is>
      </c>
      <c r="E26" t="inlineStr">
        <is>
          <t>ORSA</t>
        </is>
      </c>
      <c r="F26" t="inlineStr">
        <is>
          <t>Allmännings- och besparingsskogar</t>
        </is>
      </c>
      <c r="G26" t="n">
        <v>9.6</v>
      </c>
      <c r="H26" t="n">
        <v>0</v>
      </c>
      <c r="I26" t="n">
        <v>3</v>
      </c>
      <c r="J26" t="n">
        <v>5</v>
      </c>
      <c r="K26" t="n">
        <v>1</v>
      </c>
      <c r="L26" t="n">
        <v>0</v>
      </c>
      <c r="M26" t="n">
        <v>0</v>
      </c>
      <c r="N26" t="n">
        <v>0</v>
      </c>
      <c r="O26" t="n">
        <v>6</v>
      </c>
      <c r="P26" t="n">
        <v>1</v>
      </c>
      <c r="Q26" t="n">
        <v>9</v>
      </c>
      <c r="R26" s="2" t="inlineStr">
        <is>
          <t>Smalfotad taggsvamp
Dvärgbägarlav
Garnlav
Kolflarnlav
Mörk kolflarnlav
Tallticka
Dropptaggsvamp
Mindre märgborre
Skinnlav</t>
        </is>
      </c>
      <c r="S26">
        <f>HYPERLINK("https://klasma.github.io/Logging_2034/artfynd/A 48359-2023 artfynd.xlsx", "A 48359-2023")</f>
        <v/>
      </c>
      <c r="T26">
        <f>HYPERLINK("https://klasma.github.io/Logging_2034/kartor/A 48359-2023 karta.png", "A 48359-2023")</f>
        <v/>
      </c>
      <c r="V26">
        <f>HYPERLINK("https://klasma.github.io/Logging_2034/klagomål/A 48359-2023 FSC-klagomål.docx", "A 48359-2023")</f>
        <v/>
      </c>
      <c r="W26">
        <f>HYPERLINK("https://klasma.github.io/Logging_2034/klagomålsmail/A 48359-2023 FSC-klagomål mail.docx", "A 48359-2023")</f>
        <v/>
      </c>
      <c r="X26">
        <f>HYPERLINK("https://klasma.github.io/Logging_2034/tillsyn/A 48359-2023 tillsynsbegäran.docx", "A 48359-2023")</f>
        <v/>
      </c>
      <c r="Y26">
        <f>HYPERLINK("https://klasma.github.io/Logging_2034/tillsynsmail/A 48359-2023 tillsynsbegäran mail.docx", "A 48359-2023")</f>
        <v/>
      </c>
    </row>
    <row r="27" ht="15" customHeight="1">
      <c r="A27" t="inlineStr">
        <is>
          <t>A 27178-2024</t>
        </is>
      </c>
      <c r="B27" s="1" t="n">
        <v>45471</v>
      </c>
      <c r="C27" s="1" t="n">
        <v>45706</v>
      </c>
      <c r="D27" t="inlineStr">
        <is>
          <t>DALARNAS LÄN</t>
        </is>
      </c>
      <c r="E27" t="inlineStr">
        <is>
          <t>ORSA</t>
        </is>
      </c>
      <c r="F27" t="inlineStr">
        <is>
          <t>Bergvik skog öst AB</t>
        </is>
      </c>
      <c r="G27" t="n">
        <v>13.3</v>
      </c>
      <c r="H27" t="n">
        <v>5</v>
      </c>
      <c r="I27" t="n">
        <v>2</v>
      </c>
      <c r="J27" t="n">
        <v>6</v>
      </c>
      <c r="K27" t="n">
        <v>0</v>
      </c>
      <c r="L27" t="n">
        <v>0</v>
      </c>
      <c r="M27" t="n">
        <v>0</v>
      </c>
      <c r="N27" t="n">
        <v>0</v>
      </c>
      <c r="O27" t="n">
        <v>6</v>
      </c>
      <c r="P27" t="n">
        <v>0</v>
      </c>
      <c r="Q27" t="n">
        <v>9</v>
      </c>
      <c r="R27" s="2" t="inlineStr">
        <is>
          <t>Doftskinn
Garnlav
Spillkråka
Talltita
Tretåig hackspett
Violettgrå tagellav
Bronshjon
Plattlummer
Tjäder</t>
        </is>
      </c>
      <c r="S27">
        <f>HYPERLINK("https://klasma.github.io/Logging_2034/artfynd/A 27178-2024 artfynd.xlsx", "A 27178-2024")</f>
        <v/>
      </c>
      <c r="T27">
        <f>HYPERLINK("https://klasma.github.io/Logging_2034/kartor/A 27178-2024 karta.png", "A 27178-2024")</f>
        <v/>
      </c>
      <c r="V27">
        <f>HYPERLINK("https://klasma.github.io/Logging_2034/klagomål/A 27178-2024 FSC-klagomål.docx", "A 27178-2024")</f>
        <v/>
      </c>
      <c r="W27">
        <f>HYPERLINK("https://klasma.github.io/Logging_2034/klagomålsmail/A 27178-2024 FSC-klagomål mail.docx", "A 27178-2024")</f>
        <v/>
      </c>
      <c r="X27">
        <f>HYPERLINK("https://klasma.github.io/Logging_2034/tillsyn/A 27178-2024 tillsynsbegäran.docx", "A 27178-2024")</f>
        <v/>
      </c>
      <c r="Y27">
        <f>HYPERLINK("https://klasma.github.io/Logging_2034/tillsynsmail/A 27178-2024 tillsynsbegäran mail.docx", "A 27178-2024")</f>
        <v/>
      </c>
      <c r="Z27">
        <f>HYPERLINK("https://klasma.github.io/Logging_2034/fåglar/A 27178-2024 prioriterade fågelarter.docx", "A 27178-2024")</f>
        <v/>
      </c>
    </row>
    <row r="28" ht="15" customHeight="1">
      <c r="A28" t="inlineStr">
        <is>
          <t>A 2121-2025</t>
        </is>
      </c>
      <c r="B28" s="1" t="n">
        <v>45672</v>
      </c>
      <c r="C28" s="1" t="n">
        <v>45706</v>
      </c>
      <c r="D28" t="inlineStr">
        <is>
          <t>DALARNAS LÄN</t>
        </is>
      </c>
      <c r="E28" t="inlineStr">
        <is>
          <t>ORSA</t>
        </is>
      </c>
      <c r="G28" t="n">
        <v>16</v>
      </c>
      <c r="H28" t="n">
        <v>2</v>
      </c>
      <c r="I28" t="n">
        <v>2</v>
      </c>
      <c r="J28" t="n">
        <v>6</v>
      </c>
      <c r="K28" t="n">
        <v>0</v>
      </c>
      <c r="L28" t="n">
        <v>0</v>
      </c>
      <c r="M28" t="n">
        <v>0</v>
      </c>
      <c r="N28" t="n">
        <v>0</v>
      </c>
      <c r="O28" t="n">
        <v>6</v>
      </c>
      <c r="P28" t="n">
        <v>0</v>
      </c>
      <c r="Q28" t="n">
        <v>9</v>
      </c>
      <c r="R28" s="2" t="inlineStr">
        <is>
          <t>Garnlav
Kolflarnlav
Mörk kolflarnlav
Spillkråka
Tallticka
Vedskivlav
Mindre märgborre
Nästlav
Tjäder</t>
        </is>
      </c>
      <c r="S28">
        <f>HYPERLINK("https://klasma.github.io/Logging_2034/artfynd/A 2121-2025 artfynd.xlsx", "A 2121-2025")</f>
        <v/>
      </c>
      <c r="T28">
        <f>HYPERLINK("https://klasma.github.io/Logging_2034/kartor/A 2121-2025 karta.png", "A 2121-2025")</f>
        <v/>
      </c>
      <c r="V28">
        <f>HYPERLINK("https://klasma.github.io/Logging_2034/klagomål/A 2121-2025 FSC-klagomål.docx", "A 2121-2025")</f>
        <v/>
      </c>
      <c r="W28">
        <f>HYPERLINK("https://klasma.github.io/Logging_2034/klagomålsmail/A 2121-2025 FSC-klagomål mail.docx", "A 2121-2025")</f>
        <v/>
      </c>
      <c r="X28">
        <f>HYPERLINK("https://klasma.github.io/Logging_2034/tillsyn/A 2121-2025 tillsynsbegäran.docx", "A 2121-2025")</f>
        <v/>
      </c>
      <c r="Y28">
        <f>HYPERLINK("https://klasma.github.io/Logging_2034/tillsynsmail/A 2121-2025 tillsynsbegäran mail.docx", "A 2121-2025")</f>
        <v/>
      </c>
      <c r="Z28">
        <f>HYPERLINK("https://klasma.github.io/Logging_2034/fåglar/A 2121-2025 prioriterade fågelarter.docx", "A 2121-2025")</f>
        <v/>
      </c>
    </row>
    <row r="29" ht="15" customHeight="1">
      <c r="A29" t="inlineStr">
        <is>
          <t>A 45887-2024</t>
        </is>
      </c>
      <c r="B29" s="1" t="n">
        <v>45580</v>
      </c>
      <c r="C29" s="1" t="n">
        <v>45706</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45706</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45706</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45706</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45706</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45706</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45706</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45706</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45706</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45706</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45706</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45706</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45706</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45706</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45706</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45706</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45706</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45706</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45706</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45706</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45706</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45706</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45706</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45706</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45706</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45706</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45706</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45706</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45706</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45706</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45706</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45706</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45706</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45706</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45706</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45706</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45706</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45706</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45706</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45706</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45706</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45706</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45706</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45706</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45706</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45706</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45706</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45706</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45706</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45706</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45706</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45706</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45706</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45706</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45706</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45706</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45706</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45706</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45706</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45706</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45706</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45706</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45706</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45706</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45706</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45706</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45706</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45706</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45706</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45706</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45706</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45706</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45706</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45706</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45706</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45706</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45706</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45706</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45706</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45706</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45706</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45706</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45706</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45706</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45706</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45706</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45706</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45706</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45706</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45706</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45706</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45706</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45706</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45706</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45706</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45706</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45706</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45706</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45706</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45706</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45706</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45706</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45706</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45706</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45706</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45706</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45706</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45706</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45706</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45706</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45706</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45706</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45706</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45706</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45706</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45706</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45706</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45706</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45706</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45706</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45706</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45706</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45706</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45706</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45706</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45706</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45706</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45706</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45706</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45706</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45706</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45706</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45706</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45706</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45706</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45706</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45706</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45706</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45706</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45706</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45706</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45706</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45706</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45706</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45706</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45706</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45706</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45706</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45706</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45706</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45706</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45706</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45706</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45706</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45706</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45706</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45706</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45706</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45706</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45706</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45706</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45706</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45706</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45706</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45706</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45706</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45706</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45706</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45706</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45706</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45706</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45706</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45706</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45706</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45706</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45706</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45706</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45706</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45706</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45706</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45706</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45706</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45706</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45706</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45706</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45706</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45706</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45706</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45706</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45706</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45706</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45706</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45706</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45706</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45706</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45706</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45706</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45706</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45706</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45706</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45706</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45706</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45706</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45706</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45706</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45706</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45706</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45706</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45706</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45706</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45706</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45706</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45706</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45706</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45706</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45706</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45706</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45706</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45706</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45706</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45706</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45706</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45706</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45706</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45706</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45706</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45706</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45706</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45706</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45706</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45706</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45706</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45706</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45706</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45706</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45706</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45706</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45706</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45706</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45706</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45706</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45706</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45706</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45706</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45706</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45706</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45706</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45706</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45706</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45706</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45706</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45706</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45706</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45706</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45706</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45706</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45706</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45706</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45706</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45706</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45706</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45706</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45706</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45706</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45706</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45706</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45706</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45706</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45706</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45706</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45706</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45706</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45706</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45706</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45706</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45706</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45706</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45706</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45706</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45706</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45706</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45706</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45706</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45706</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45706</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45706</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45706</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45706</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45706</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45706</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45706</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45706</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45706</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45706</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45706</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45706</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45706</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45706</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45706</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45706</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45706</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45706</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45706</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45706</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45706</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45706</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45706</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45706</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45706</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45706</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45706</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45706</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45706</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45706</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45706</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45706</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45706</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45706</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45706</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45706</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45706</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45706</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45706</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45706</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45706</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45706</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45706</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45706</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45706</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45706</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45706</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45706</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45706</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45706</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45706</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45706</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45706</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45706</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45706</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45706</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45706</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45706</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45706</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45706</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45706</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45706</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45706</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45706</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45706</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45706</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45706</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45706</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45706</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45706</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45706</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45706</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45706</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45706</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45706</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45706</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45706</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45706</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45706</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45706</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45706</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45706</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45706</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45706</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45706</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45706</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45706</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45706</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45706</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45706</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45706</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45706</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45706</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45706</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45706</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45706</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45706</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45706</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45706</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45706</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45706</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45706</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45706</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45706</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45706</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45706</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45706</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45706</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45706</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45706</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45706</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45706</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45706</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45706</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45706</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45706</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45706</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45706</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45706</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45706</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45706</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45706</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45706</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45706</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45706</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45706</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45706</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45706</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45706</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45706</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45706</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45706</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45706</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45706</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45706</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45706</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45706</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45706</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45706</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45706</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45706</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45706</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45706</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45706</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45706</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45706</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45706</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45706</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45706</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45706</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45706</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45706</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45706</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45706</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45706</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45706</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45706</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45706</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45706</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45706</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45706</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45706</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45706</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45706</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45706</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45706</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45706</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45706</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45706</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45706</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45706</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45706</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45706</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45706</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45706</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45706</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45706</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45706</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45706</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45706</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45706</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45706</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45706</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45706</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45706</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45706</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45706</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45706</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45706</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45706</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45706</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45706</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45706</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45706</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45706</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45706</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45706</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45706</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45706</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45706</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45706</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45706</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45706</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45706</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45706</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45706</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45706</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45706</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45706</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45706</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45706</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45706</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45706</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45706</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45706</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45706</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45706</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45706</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45706</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45706</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45706</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45706</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45706</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45706</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45706</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45706</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45706</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45706</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45706</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45706</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45706</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45706</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45706</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45706</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45706</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45706</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45706</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45706</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45706</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45706</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45706</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45706</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45706</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45706</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45706</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45706</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45706</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45706</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45706</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45706</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45706</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45706</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45706</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45706</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45706</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45706</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45706</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45706</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45706</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45706</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45706</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45706</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45706</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45706</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45706</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45706</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45706</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45706</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45706</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45706</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45706</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45706</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45706</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45706</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45706</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45706</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45706</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45706</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45706</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45706</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45706</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45706</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45706</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45706</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45706</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45706</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45706</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45706</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45706</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45706</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45706</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45706</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45706</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45706</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45706</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45706</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45706</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45706</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45706</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45706</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45706</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45706</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45706</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45706</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45706</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45706</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45706</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45706</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45706</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45706</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45706</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45706</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45706</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45706</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45706</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45706</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45706</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45706</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45706</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45706</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45706</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45706</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45706</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45706</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45706</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45706</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45706</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45706</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45706</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45706</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45706</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45706</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45706</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45706</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45706</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45706</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45706</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45706</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45706</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45706</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45706</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45706</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45706</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45706</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45706</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45706</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45706</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45706</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45706</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45706</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45706</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45706</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45706</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45706</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45706</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45706</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45706</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45706</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45706</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45706</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45706</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45706</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45706</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45706</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45706</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45706</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45706</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45706</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45706</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45706</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45706</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45706</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45706</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45706</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45706</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45706</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45706</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45706</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45706</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45706</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45706</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45706</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45706</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45706</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45706</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45706</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45706</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45706</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45706</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45706</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45706</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45706</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45706</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45706</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45706</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45706</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45706</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45706</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45706</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45706</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45706</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45706</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45706</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45706</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45706</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45706</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45706</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45706</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45706</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45706</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45706</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45706</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45706</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45706</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45706</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45706</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45706</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45706</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45706</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45706</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45706</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45706</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45706</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45706</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45706</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45706</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45706</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45706</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45706</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45706</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45706</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45706</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45706</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45706</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45706</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45706</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45706</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2914-2025</t>
        </is>
      </c>
      <c r="B750" s="1" t="n">
        <v>45677</v>
      </c>
      <c r="C750" s="1" t="n">
        <v>45706</v>
      </c>
      <c r="D750" t="inlineStr">
        <is>
          <t>DALARNAS LÄN</t>
        </is>
      </c>
      <c r="E750" t="inlineStr">
        <is>
          <t>ORSA</t>
        </is>
      </c>
      <c r="G750" t="n">
        <v>1.7</v>
      </c>
      <c r="H750" t="n">
        <v>0</v>
      </c>
      <c r="I750" t="n">
        <v>0</v>
      </c>
      <c r="J750" t="n">
        <v>0</v>
      </c>
      <c r="K750" t="n">
        <v>0</v>
      </c>
      <c r="L750" t="n">
        <v>0</v>
      </c>
      <c r="M750" t="n">
        <v>0</v>
      </c>
      <c r="N750" t="n">
        <v>0</v>
      </c>
      <c r="O750" t="n">
        <v>0</v>
      </c>
      <c r="P750" t="n">
        <v>0</v>
      </c>
      <c r="Q750" t="n">
        <v>0</v>
      </c>
      <c r="R750" s="2" t="inlineStr"/>
    </row>
    <row r="751" ht="15" customHeight="1">
      <c r="A751" t="inlineStr">
        <is>
          <t>A 2913-2025</t>
        </is>
      </c>
      <c r="B751" s="1" t="n">
        <v>45677</v>
      </c>
      <c r="C751" s="1" t="n">
        <v>45706</v>
      </c>
      <c r="D751" t="inlineStr">
        <is>
          <t>DALARNAS LÄN</t>
        </is>
      </c>
      <c r="E751" t="inlineStr">
        <is>
          <t>ORSA</t>
        </is>
      </c>
      <c r="G751" t="n">
        <v>2</v>
      </c>
      <c r="H751" t="n">
        <v>0</v>
      </c>
      <c r="I751" t="n">
        <v>0</v>
      </c>
      <c r="J751" t="n">
        <v>0</v>
      </c>
      <c r="K751" t="n">
        <v>0</v>
      </c>
      <c r="L751" t="n">
        <v>0</v>
      </c>
      <c r="M751" t="n">
        <v>0</v>
      </c>
      <c r="N751" t="n">
        <v>0</v>
      </c>
      <c r="O751" t="n">
        <v>0</v>
      </c>
      <c r="P751" t="n">
        <v>0</v>
      </c>
      <c r="Q751" t="n">
        <v>0</v>
      </c>
      <c r="R751" s="2" t="inlineStr"/>
    </row>
    <row r="752" ht="15" customHeight="1">
      <c r="A752" t="inlineStr">
        <is>
          <t>A 2948-2025</t>
        </is>
      </c>
      <c r="B752" s="1" t="n">
        <v>45678</v>
      </c>
      <c r="C752" s="1" t="n">
        <v>45706</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3107-2025</t>
        </is>
      </c>
      <c r="B753" s="1" t="n">
        <v>45678</v>
      </c>
      <c r="C753" s="1" t="n">
        <v>45706</v>
      </c>
      <c r="D753" t="inlineStr">
        <is>
          <t>DALARNAS LÄN</t>
        </is>
      </c>
      <c r="E753" t="inlineStr">
        <is>
          <t>ORSA</t>
        </is>
      </c>
      <c r="G753" t="n">
        <v>2.1</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45706</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45706</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45706</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45706</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45706</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5815-2025</t>
        </is>
      </c>
      <c r="B759" s="1" t="n">
        <v>45694</v>
      </c>
      <c r="C759" s="1" t="n">
        <v>45706</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5921-2025</t>
        </is>
      </c>
      <c r="B760" s="1" t="n">
        <v>45695</v>
      </c>
      <c r="C760" s="1" t="n">
        <v>45706</v>
      </c>
      <c r="D760" t="inlineStr">
        <is>
          <t>DALARNAS LÄN</t>
        </is>
      </c>
      <c r="E760" t="inlineStr">
        <is>
          <t>ORSA</t>
        </is>
      </c>
      <c r="G760" t="n">
        <v>1.4</v>
      </c>
      <c r="H760" t="n">
        <v>0</v>
      </c>
      <c r="I760" t="n">
        <v>0</v>
      </c>
      <c r="J760" t="n">
        <v>0</v>
      </c>
      <c r="K760" t="n">
        <v>0</v>
      </c>
      <c r="L760" t="n">
        <v>0</v>
      </c>
      <c r="M760" t="n">
        <v>0</v>
      </c>
      <c r="N760" t="n">
        <v>0</v>
      </c>
      <c r="O760" t="n">
        <v>0</v>
      </c>
      <c r="P760" t="n">
        <v>0</v>
      </c>
      <c r="Q760" t="n">
        <v>0</v>
      </c>
      <c r="R760" s="2" t="inlineStr"/>
    </row>
    <row r="761" ht="15" customHeight="1">
      <c r="A761" t="inlineStr">
        <is>
          <t>A 6171-2025</t>
        </is>
      </c>
      <c r="B761" s="1" t="n">
        <v>45698</v>
      </c>
      <c r="C761" s="1" t="n">
        <v>45706</v>
      </c>
      <c r="D761" t="inlineStr">
        <is>
          <t>DALARNAS LÄN</t>
        </is>
      </c>
      <c r="E761" t="inlineStr">
        <is>
          <t>ORSA</t>
        </is>
      </c>
      <c r="G761" t="n">
        <v>11.1</v>
      </c>
      <c r="H761" t="n">
        <v>0</v>
      </c>
      <c r="I761" t="n">
        <v>0</v>
      </c>
      <c r="J761" t="n">
        <v>0</v>
      </c>
      <c r="K761" t="n">
        <v>0</v>
      </c>
      <c r="L761" t="n">
        <v>0</v>
      </c>
      <c r="M761" t="n">
        <v>0</v>
      </c>
      <c r="N761" t="n">
        <v>0</v>
      </c>
      <c r="O761" t="n">
        <v>0</v>
      </c>
      <c r="P761" t="n">
        <v>0</v>
      </c>
      <c r="Q761" t="n">
        <v>0</v>
      </c>
      <c r="R761" s="2" t="inlineStr"/>
    </row>
    <row r="762" ht="15" customHeight="1">
      <c r="A762" t="inlineStr">
        <is>
          <t>A 7534-2025</t>
        </is>
      </c>
      <c r="B762" s="1" t="n">
        <v>45705</v>
      </c>
      <c r="C762" s="1" t="n">
        <v>45706</v>
      </c>
      <c r="D762" t="inlineStr">
        <is>
          <t>DALARNAS LÄN</t>
        </is>
      </c>
      <c r="E762" t="inlineStr">
        <is>
          <t>ORSA</t>
        </is>
      </c>
      <c r="G762" t="n">
        <v>1.1</v>
      </c>
      <c r="H762" t="n">
        <v>0</v>
      </c>
      <c r="I762" t="n">
        <v>0</v>
      </c>
      <c r="J762" t="n">
        <v>0</v>
      </c>
      <c r="K762" t="n">
        <v>0</v>
      </c>
      <c r="L762" t="n">
        <v>0</v>
      </c>
      <c r="M762" t="n">
        <v>0</v>
      </c>
      <c r="N762" t="n">
        <v>0</v>
      </c>
      <c r="O762" t="n">
        <v>0</v>
      </c>
      <c r="P762" t="n">
        <v>0</v>
      </c>
      <c r="Q762" t="n">
        <v>0</v>
      </c>
      <c r="R762" s="2" t="inlineStr"/>
    </row>
    <row r="763" ht="15" customHeight="1">
      <c r="A763" t="inlineStr">
        <is>
          <t>A 7619-2025</t>
        </is>
      </c>
      <c r="B763" s="1" t="n">
        <v>45705</v>
      </c>
      <c r="C763" s="1" t="n">
        <v>45706</v>
      </c>
      <c r="D763" t="inlineStr">
        <is>
          <t>DALARNAS LÄN</t>
        </is>
      </c>
      <c r="E763" t="inlineStr">
        <is>
          <t>ORSA</t>
        </is>
      </c>
      <c r="G763" t="n">
        <v>5.4</v>
      </c>
      <c r="H763" t="n">
        <v>0</v>
      </c>
      <c r="I763" t="n">
        <v>0</v>
      </c>
      <c r="J763" t="n">
        <v>0</v>
      </c>
      <c r="K763" t="n">
        <v>0</v>
      </c>
      <c r="L763" t="n">
        <v>0</v>
      </c>
      <c r="M763" t="n">
        <v>0</v>
      </c>
      <c r="N763" t="n">
        <v>0</v>
      </c>
      <c r="O763" t="n">
        <v>0</v>
      </c>
      <c r="P763" t="n">
        <v>0</v>
      </c>
      <c r="Q763" t="n">
        <v>0</v>
      </c>
      <c r="R763" s="2" t="inlineStr"/>
    </row>
    <row r="764" ht="15" customHeight="1">
      <c r="A764" t="inlineStr">
        <is>
          <t>A 7507-2025</t>
        </is>
      </c>
      <c r="B764" s="1" t="n">
        <v>45705</v>
      </c>
      <c r="C764" s="1" t="n">
        <v>45706</v>
      </c>
      <c r="D764" t="inlineStr">
        <is>
          <t>DALARNAS LÄN</t>
        </is>
      </c>
      <c r="E764" t="inlineStr">
        <is>
          <t>ORSA</t>
        </is>
      </c>
      <c r="G764" t="n">
        <v>25.8</v>
      </c>
      <c r="H764" t="n">
        <v>0</v>
      </c>
      <c r="I764" t="n">
        <v>0</v>
      </c>
      <c r="J764" t="n">
        <v>0</v>
      </c>
      <c r="K764" t="n">
        <v>0</v>
      </c>
      <c r="L764" t="n">
        <v>0</v>
      </c>
      <c r="M764" t="n">
        <v>0</v>
      </c>
      <c r="N764" t="n">
        <v>0</v>
      </c>
      <c r="O764" t="n">
        <v>0</v>
      </c>
      <c r="P764" t="n">
        <v>0</v>
      </c>
      <c r="Q764" t="n">
        <v>0</v>
      </c>
      <c r="R764" s="2" t="inlineStr"/>
    </row>
    <row r="765" ht="15" customHeight="1">
      <c r="A765" t="inlineStr">
        <is>
          <t>A 7628-2025</t>
        </is>
      </c>
      <c r="B765" s="1" t="n">
        <v>45705</v>
      </c>
      <c r="C765" s="1" t="n">
        <v>45706</v>
      </c>
      <c r="D765" t="inlineStr">
        <is>
          <t>DALARNAS LÄN</t>
        </is>
      </c>
      <c r="E765" t="inlineStr">
        <is>
          <t>ORSA</t>
        </is>
      </c>
      <c r="G765" t="n">
        <v>1.8</v>
      </c>
      <c r="H765" t="n">
        <v>0</v>
      </c>
      <c r="I765" t="n">
        <v>0</v>
      </c>
      <c r="J765" t="n">
        <v>0</v>
      </c>
      <c r="K765" t="n">
        <v>0</v>
      </c>
      <c r="L765" t="n">
        <v>0</v>
      </c>
      <c r="M765" t="n">
        <v>0</v>
      </c>
      <c r="N765" t="n">
        <v>0</v>
      </c>
      <c r="O765" t="n">
        <v>0</v>
      </c>
      <c r="P765" t="n">
        <v>0</v>
      </c>
      <c r="Q765" t="n">
        <v>0</v>
      </c>
      <c r="R765" s="2" t="inlineStr"/>
    </row>
    <row r="766" ht="15" customHeight="1">
      <c r="A766" t="inlineStr">
        <is>
          <t>A 7618-2025</t>
        </is>
      </c>
      <c r="B766" s="1" t="n">
        <v>45705</v>
      </c>
      <c r="C766" s="1" t="n">
        <v>45706</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c r="A767" t="inlineStr">
        <is>
          <t>A 7626-2025</t>
        </is>
      </c>
      <c r="B767" s="1" t="n">
        <v>45705</v>
      </c>
      <c r="C767" s="1" t="n">
        <v>45706</v>
      </c>
      <c r="D767" t="inlineStr">
        <is>
          <t>DALARNAS LÄN</t>
        </is>
      </c>
      <c r="E767" t="inlineStr">
        <is>
          <t>ORSA</t>
        </is>
      </c>
      <c r="G767" t="n">
        <v>15.5</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2025-02-18T16:14:39Z</dcterms:created>
  <dcterms:modified xmlns:dcterms="http://purl.org/dc/terms/" xmlns:xsi="http://www.w3.org/2001/XMLSchema-instance" xsi:type="dcterms:W3CDTF">2025-02-18T16:14:39Z</dcterms:modified>
</cp:coreProperties>
</file>