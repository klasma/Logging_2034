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45585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45585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45585</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45585</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45585</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45585</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45585</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45585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45585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45585</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45585</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45585</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45585</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45585</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45585</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45585</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45585</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45585</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45585</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45585</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45585</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45585</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45585</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27655-2019</t>
        </is>
      </c>
      <c r="B25" s="1" t="n">
        <v>43619</v>
      </c>
      <c r="C25" s="1" t="n">
        <v>45585</v>
      </c>
      <c r="D25" t="inlineStr">
        <is>
          <t>DALARNAS LÄN</t>
        </is>
      </c>
      <c r="E25" t="inlineStr">
        <is>
          <t>ORSA</t>
        </is>
      </c>
      <c r="F25" t="inlineStr">
        <is>
          <t>Bergvik skog öst AB</t>
        </is>
      </c>
      <c r="G25" t="n">
        <v>26.9</v>
      </c>
      <c r="H25" t="n">
        <v>7</v>
      </c>
      <c r="I25" t="n">
        <v>0</v>
      </c>
      <c r="J25" t="n">
        <v>5</v>
      </c>
      <c r="K25" t="n">
        <v>0</v>
      </c>
      <c r="L25" t="n">
        <v>0</v>
      </c>
      <c r="M25" t="n">
        <v>0</v>
      </c>
      <c r="N25" t="n">
        <v>0</v>
      </c>
      <c r="O25" t="n">
        <v>5</v>
      </c>
      <c r="P25" t="n">
        <v>0</v>
      </c>
      <c r="Q25" t="n">
        <v>7</v>
      </c>
      <c r="R25" s="2" t="inlineStr">
        <is>
          <t>Blå kärrhök
Fjällvråk
Kungsörn
Stenfalk
Sävsparv
Grönsiska
Sångsvan</t>
        </is>
      </c>
      <c r="S25">
        <f>HYPERLINK("https://klasma.github.io/Logging_2034/artfynd/A 27655-2019 artfynd.xlsx", "A 27655-2019")</f>
        <v/>
      </c>
      <c r="T25">
        <f>HYPERLINK("https://klasma.github.io/Logging_2034/kartor/A 27655-2019 karta.png", "A 27655-2019")</f>
        <v/>
      </c>
      <c r="V25">
        <f>HYPERLINK("https://klasma.github.io/Logging_2034/klagomål/A 27655-2019 FSC-klagomål.docx", "A 27655-2019")</f>
        <v/>
      </c>
      <c r="W25">
        <f>HYPERLINK("https://klasma.github.io/Logging_2034/klagomålsmail/A 27655-2019 FSC-klagomål mail.docx", "A 27655-2019")</f>
        <v/>
      </c>
      <c r="X25">
        <f>HYPERLINK("https://klasma.github.io/Logging_2034/tillsyn/A 27655-2019 tillsynsbegäran.docx", "A 27655-2019")</f>
        <v/>
      </c>
      <c r="Y25">
        <f>HYPERLINK("https://klasma.github.io/Logging_2034/tillsynsmail/A 27655-2019 tillsynsbegäran mail.docx", "A 27655-2019")</f>
        <v/>
      </c>
      <c r="Z25">
        <f>HYPERLINK("https://klasma.github.io/Logging_2034/fåglar/A 27655-2019 prioriterade fågelarter.docx", "A 27655-2019")</f>
        <v/>
      </c>
    </row>
    <row r="26" ht="15" customHeight="1">
      <c r="A26" t="inlineStr">
        <is>
          <t>A 40213-2023</t>
        </is>
      </c>
      <c r="B26" s="1" t="n">
        <v>45169</v>
      </c>
      <c r="C26" s="1" t="n">
        <v>45585</v>
      </c>
      <c r="D26" t="inlineStr">
        <is>
          <t>DALARNAS LÄN</t>
        </is>
      </c>
      <c r="E26" t="inlineStr">
        <is>
          <t>ORSA</t>
        </is>
      </c>
      <c r="F26" t="inlineStr">
        <is>
          <t>Allmännings- och besparingsskogar</t>
        </is>
      </c>
      <c r="G26" t="n">
        <v>4.4</v>
      </c>
      <c r="H26" t="n">
        <v>0</v>
      </c>
      <c r="I26" t="n">
        <v>0</v>
      </c>
      <c r="J26" t="n">
        <v>7</v>
      </c>
      <c r="K26" t="n">
        <v>0</v>
      </c>
      <c r="L26" t="n">
        <v>0</v>
      </c>
      <c r="M26" t="n">
        <v>0</v>
      </c>
      <c r="N26" t="n">
        <v>0</v>
      </c>
      <c r="O26" t="n">
        <v>7</v>
      </c>
      <c r="P26" t="n">
        <v>0</v>
      </c>
      <c r="Q26" t="n">
        <v>7</v>
      </c>
      <c r="R26" s="2" t="inlineStr">
        <is>
          <t>Blågrå svartspik
Doftskinn
Garnlav
Granticka
Mörk kolflarnlav
Vedskivlav
Violettgrå tagellav</t>
        </is>
      </c>
      <c r="S26">
        <f>HYPERLINK("https://klasma.github.io/Logging_2034/artfynd/A 40213-2023 artfynd.xlsx", "A 40213-2023")</f>
        <v/>
      </c>
      <c r="T26">
        <f>HYPERLINK("https://klasma.github.io/Logging_2034/kartor/A 40213-2023 karta.png", "A 40213-2023")</f>
        <v/>
      </c>
      <c r="V26">
        <f>HYPERLINK("https://klasma.github.io/Logging_2034/klagomål/A 40213-2023 FSC-klagomål.docx", "A 40213-2023")</f>
        <v/>
      </c>
      <c r="W26">
        <f>HYPERLINK("https://klasma.github.io/Logging_2034/klagomålsmail/A 40213-2023 FSC-klagomål mail.docx", "A 40213-2023")</f>
        <v/>
      </c>
      <c r="X26">
        <f>HYPERLINK("https://klasma.github.io/Logging_2034/tillsyn/A 40213-2023 tillsynsbegäran.docx", "A 40213-2023")</f>
        <v/>
      </c>
      <c r="Y26">
        <f>HYPERLINK("https://klasma.github.io/Logging_2034/tillsynsmail/A 40213-2023 tillsynsbegäran mail.docx", "A 40213-2023")</f>
        <v/>
      </c>
    </row>
    <row r="27" ht="15" customHeight="1">
      <c r="A27" t="inlineStr">
        <is>
          <t>A 46984-2023</t>
        </is>
      </c>
      <c r="B27" s="1" t="n">
        <v>45201</v>
      </c>
      <c r="C27" s="1" t="n">
        <v>45585</v>
      </c>
      <c r="D27" t="inlineStr">
        <is>
          <t>DALARNAS LÄN</t>
        </is>
      </c>
      <c r="E27" t="inlineStr">
        <is>
          <t>ORSA</t>
        </is>
      </c>
      <c r="F27" t="inlineStr">
        <is>
          <t>Allmännings- och besparingsskogar</t>
        </is>
      </c>
      <c r="G27" t="n">
        <v>3.4</v>
      </c>
      <c r="H27" t="n">
        <v>2</v>
      </c>
      <c r="I27" t="n">
        <v>1</v>
      </c>
      <c r="J27" t="n">
        <v>5</v>
      </c>
      <c r="K27" t="n">
        <v>1</v>
      </c>
      <c r="L27" t="n">
        <v>0</v>
      </c>
      <c r="M27" t="n">
        <v>0</v>
      </c>
      <c r="N27" t="n">
        <v>0</v>
      </c>
      <c r="O27" t="n">
        <v>6</v>
      </c>
      <c r="P27" t="n">
        <v>1</v>
      </c>
      <c r="Q27" t="n">
        <v>7</v>
      </c>
      <c r="R27" s="2" t="inlineStr">
        <is>
          <t>Knärot
Garnlav
Kungsörn
Ullticka
Vedskivlav
Vitplätt
Dropptaggsvamp</t>
        </is>
      </c>
      <c r="S27">
        <f>HYPERLINK("https://klasma.github.io/Logging_2034/artfynd/A 46984-2023 artfynd.xlsx", "A 46984-2023")</f>
        <v/>
      </c>
      <c r="T27">
        <f>HYPERLINK("https://klasma.github.io/Logging_2034/kartor/A 46984-2023 karta.png", "A 46984-2023")</f>
        <v/>
      </c>
      <c r="U27">
        <f>HYPERLINK("https://klasma.github.io/Logging_2034/knärot/A 46984-2023 karta knärot.png", "A 46984-2023")</f>
        <v/>
      </c>
      <c r="V27">
        <f>HYPERLINK("https://klasma.github.io/Logging_2034/klagomål/A 46984-2023 FSC-klagomål.docx", "A 46984-2023")</f>
        <v/>
      </c>
      <c r="W27">
        <f>HYPERLINK("https://klasma.github.io/Logging_2034/klagomålsmail/A 46984-2023 FSC-klagomål mail.docx", "A 46984-2023")</f>
        <v/>
      </c>
      <c r="X27">
        <f>HYPERLINK("https://klasma.github.io/Logging_2034/tillsyn/A 46984-2023 tillsynsbegäran.docx", "A 46984-2023")</f>
        <v/>
      </c>
      <c r="Y27">
        <f>HYPERLINK("https://klasma.github.io/Logging_2034/tillsynsmail/A 46984-2023 tillsynsbegäran mail.docx", "A 46984-2023")</f>
        <v/>
      </c>
      <c r="Z27">
        <f>HYPERLINK("https://klasma.github.io/Logging_2034/fåglar/A 46984-2023 prioriterade fågelarter.docx", "A 46984-2023")</f>
        <v/>
      </c>
    </row>
    <row r="28" ht="15" customHeight="1">
      <c r="A28" t="inlineStr">
        <is>
          <t>A 707-2024</t>
        </is>
      </c>
      <c r="B28" s="1" t="n">
        <v>45300</v>
      </c>
      <c r="C28" s="1" t="n">
        <v>45585</v>
      </c>
      <c r="D28" t="inlineStr">
        <is>
          <t>DALARNAS LÄN</t>
        </is>
      </c>
      <c r="E28" t="inlineStr">
        <is>
          <t>ORSA</t>
        </is>
      </c>
      <c r="G28" t="n">
        <v>9.4</v>
      </c>
      <c r="H28" t="n">
        <v>2</v>
      </c>
      <c r="I28" t="n">
        <v>0</v>
      </c>
      <c r="J28" t="n">
        <v>7</v>
      </c>
      <c r="K28" t="n">
        <v>0</v>
      </c>
      <c r="L28" t="n">
        <v>0</v>
      </c>
      <c r="M28" t="n">
        <v>0</v>
      </c>
      <c r="N28" t="n">
        <v>0</v>
      </c>
      <c r="O28" t="n">
        <v>7</v>
      </c>
      <c r="P28" t="n">
        <v>0</v>
      </c>
      <c r="Q28" t="n">
        <v>7</v>
      </c>
      <c r="R28" s="2" t="inlineStr">
        <is>
          <t>Doftskinn
Garnlav
Granticka
Knottrig blåslav
Svartvit flugsnappare
Tretåig hackspett
Violettgrå tagellav</t>
        </is>
      </c>
      <c r="S28">
        <f>HYPERLINK("https://klasma.github.io/Logging_2034/artfynd/A 707-2024 artfynd.xlsx", "A 707-2024")</f>
        <v/>
      </c>
      <c r="T28">
        <f>HYPERLINK("https://klasma.github.io/Logging_2034/kartor/A 707-2024 karta.png", "A 707-2024")</f>
        <v/>
      </c>
      <c r="V28">
        <f>HYPERLINK("https://klasma.github.io/Logging_2034/klagomål/A 707-2024 FSC-klagomål.docx", "A 707-2024")</f>
        <v/>
      </c>
      <c r="W28">
        <f>HYPERLINK("https://klasma.github.io/Logging_2034/klagomålsmail/A 707-2024 FSC-klagomål mail.docx", "A 707-2024")</f>
        <v/>
      </c>
      <c r="X28">
        <f>HYPERLINK("https://klasma.github.io/Logging_2034/tillsyn/A 707-2024 tillsynsbegäran.docx", "A 707-2024")</f>
        <v/>
      </c>
      <c r="Y28">
        <f>HYPERLINK("https://klasma.github.io/Logging_2034/tillsynsmail/A 707-2024 tillsynsbegäran mail.docx", "A 707-2024")</f>
        <v/>
      </c>
      <c r="Z28">
        <f>HYPERLINK("https://klasma.github.io/Logging_2034/fåglar/A 707-2024 prioriterade fågelarter.docx", "A 707-2024")</f>
        <v/>
      </c>
    </row>
    <row r="29" ht="15" customHeight="1">
      <c r="A29" t="inlineStr">
        <is>
          <t>A 22647-2022</t>
        </is>
      </c>
      <c r="B29" s="1" t="n">
        <v>44714</v>
      </c>
      <c r="C29" s="1" t="n">
        <v>45585</v>
      </c>
      <c r="D29" t="inlineStr">
        <is>
          <t>DALARNAS LÄN</t>
        </is>
      </c>
      <c r="E29" t="inlineStr">
        <is>
          <t>ORSA</t>
        </is>
      </c>
      <c r="F29" t="inlineStr">
        <is>
          <t>Allmännings- och besparingsskogar</t>
        </is>
      </c>
      <c r="G29" t="n">
        <v>2.7</v>
      </c>
      <c r="H29" t="n">
        <v>1</v>
      </c>
      <c r="I29" t="n">
        <v>2</v>
      </c>
      <c r="J29" t="n">
        <v>3</v>
      </c>
      <c r="K29" t="n">
        <v>1</v>
      </c>
      <c r="L29" t="n">
        <v>0</v>
      </c>
      <c r="M29" t="n">
        <v>0</v>
      </c>
      <c r="N29" t="n">
        <v>0</v>
      </c>
      <c r="O29" t="n">
        <v>4</v>
      </c>
      <c r="P29" t="n">
        <v>1</v>
      </c>
      <c r="Q29" t="n">
        <v>6</v>
      </c>
      <c r="R29" s="2" t="inlineStr">
        <is>
          <t>Knärot
Dvärgbägarlav
Kolflarnlav
Vedskivlav
Dropptaggsvamp
Vedticka</t>
        </is>
      </c>
      <c r="S29">
        <f>HYPERLINK("https://klasma.github.io/Logging_2034/artfynd/A 22647-2022 artfynd.xlsx", "A 22647-2022")</f>
        <v/>
      </c>
      <c r="T29">
        <f>HYPERLINK("https://klasma.github.io/Logging_2034/kartor/A 22647-2022 karta.png", "A 22647-2022")</f>
        <v/>
      </c>
      <c r="U29">
        <f>HYPERLINK("https://klasma.github.io/Logging_2034/knärot/A 22647-2022 karta knärot.png", "A 22647-2022")</f>
        <v/>
      </c>
      <c r="V29">
        <f>HYPERLINK("https://klasma.github.io/Logging_2034/klagomål/A 22647-2022 FSC-klagomål.docx", "A 22647-2022")</f>
        <v/>
      </c>
      <c r="W29">
        <f>HYPERLINK("https://klasma.github.io/Logging_2034/klagomålsmail/A 22647-2022 FSC-klagomål mail.docx", "A 22647-2022")</f>
        <v/>
      </c>
      <c r="X29">
        <f>HYPERLINK("https://klasma.github.io/Logging_2034/tillsyn/A 22647-2022 tillsynsbegäran.docx", "A 22647-2022")</f>
        <v/>
      </c>
      <c r="Y29">
        <f>HYPERLINK("https://klasma.github.io/Logging_2034/tillsynsmail/A 22647-2022 tillsynsbegäran mail.docx", "A 22647-2022")</f>
        <v/>
      </c>
    </row>
    <row r="30" ht="15" customHeight="1">
      <c r="A30" t="inlineStr">
        <is>
          <t>A 34197-2023</t>
        </is>
      </c>
      <c r="B30" s="1" t="n">
        <v>45138</v>
      </c>
      <c r="C30" s="1" t="n">
        <v>45585</v>
      </c>
      <c r="D30" t="inlineStr">
        <is>
          <t>DALARNAS LÄN</t>
        </is>
      </c>
      <c r="E30" t="inlineStr">
        <is>
          <t>ORSA</t>
        </is>
      </c>
      <c r="F30" t="inlineStr">
        <is>
          <t>Allmännings- och besparingsskogar</t>
        </is>
      </c>
      <c r="G30" t="n">
        <v>7.7</v>
      </c>
      <c r="H30" t="n">
        <v>1</v>
      </c>
      <c r="I30" t="n">
        <v>1</v>
      </c>
      <c r="J30" t="n">
        <v>5</v>
      </c>
      <c r="K30" t="n">
        <v>0</v>
      </c>
      <c r="L30" t="n">
        <v>0</v>
      </c>
      <c r="M30" t="n">
        <v>0</v>
      </c>
      <c r="N30" t="n">
        <v>0</v>
      </c>
      <c r="O30" t="n">
        <v>5</v>
      </c>
      <c r="P30" t="n">
        <v>0</v>
      </c>
      <c r="Q30" t="n">
        <v>6</v>
      </c>
      <c r="R30" s="2" t="inlineStr">
        <is>
          <t>Garnlav
Kolflarnlav
Tretåig hackspett
Vedskivlav
Violettgrå tagellav
Dropptaggsvamp</t>
        </is>
      </c>
      <c r="S30">
        <f>HYPERLINK("https://klasma.github.io/Logging_2034/artfynd/A 34197-2023 artfynd.xlsx", "A 34197-2023")</f>
        <v/>
      </c>
      <c r="T30">
        <f>HYPERLINK("https://klasma.github.io/Logging_2034/kartor/A 34197-2023 karta.png", "A 34197-2023")</f>
        <v/>
      </c>
      <c r="V30">
        <f>HYPERLINK("https://klasma.github.io/Logging_2034/klagomål/A 34197-2023 FSC-klagomål.docx", "A 34197-2023")</f>
        <v/>
      </c>
      <c r="W30">
        <f>HYPERLINK("https://klasma.github.io/Logging_2034/klagomålsmail/A 34197-2023 FSC-klagomål mail.docx", "A 34197-2023")</f>
        <v/>
      </c>
      <c r="X30">
        <f>HYPERLINK("https://klasma.github.io/Logging_2034/tillsyn/A 34197-2023 tillsynsbegäran.docx", "A 34197-2023")</f>
        <v/>
      </c>
      <c r="Y30">
        <f>HYPERLINK("https://klasma.github.io/Logging_2034/tillsynsmail/A 34197-2023 tillsynsbegäran mail.docx", "A 34197-2023")</f>
        <v/>
      </c>
      <c r="Z30">
        <f>HYPERLINK("https://klasma.github.io/Logging_2034/fåglar/A 34197-2023 prioriterade fågelarter.docx", "A 34197-2023")</f>
        <v/>
      </c>
    </row>
    <row r="31" ht="15" customHeight="1">
      <c r="A31" t="inlineStr">
        <is>
          <t>A 35557-2023</t>
        </is>
      </c>
      <c r="B31" s="1" t="n">
        <v>45147</v>
      </c>
      <c r="C31" s="1" t="n">
        <v>45585</v>
      </c>
      <c r="D31" t="inlineStr">
        <is>
          <t>DALARNAS LÄN</t>
        </is>
      </c>
      <c r="E31" t="inlineStr">
        <is>
          <t>ORSA</t>
        </is>
      </c>
      <c r="F31" t="inlineStr">
        <is>
          <t>Allmännings- och besparingsskogar</t>
        </is>
      </c>
      <c r="G31" t="n">
        <v>3.4</v>
      </c>
      <c r="H31" t="n">
        <v>2</v>
      </c>
      <c r="I31" t="n">
        <v>0</v>
      </c>
      <c r="J31" t="n">
        <v>6</v>
      </c>
      <c r="K31" t="n">
        <v>0</v>
      </c>
      <c r="L31" t="n">
        <v>0</v>
      </c>
      <c r="M31" t="n">
        <v>0</v>
      </c>
      <c r="N31" t="n">
        <v>0</v>
      </c>
      <c r="O31" t="n">
        <v>6</v>
      </c>
      <c r="P31" t="n">
        <v>0</v>
      </c>
      <c r="Q31" t="n">
        <v>6</v>
      </c>
      <c r="R31" s="2" t="inlineStr">
        <is>
          <t>Garnlav
Lunglav
Talltita
Tretåig hackspett
Vedskivlav
Violettgrå tagellav</t>
        </is>
      </c>
      <c r="S31">
        <f>HYPERLINK("https://klasma.github.io/Logging_2034/artfynd/A 35557-2023 artfynd.xlsx", "A 35557-2023")</f>
        <v/>
      </c>
      <c r="T31">
        <f>HYPERLINK("https://klasma.github.io/Logging_2034/kartor/A 35557-2023 karta.png", "A 35557-2023")</f>
        <v/>
      </c>
      <c r="V31">
        <f>HYPERLINK("https://klasma.github.io/Logging_2034/klagomål/A 35557-2023 FSC-klagomål.docx", "A 35557-2023")</f>
        <v/>
      </c>
      <c r="W31">
        <f>HYPERLINK("https://klasma.github.io/Logging_2034/klagomålsmail/A 35557-2023 FSC-klagomål mail.docx", "A 35557-2023")</f>
        <v/>
      </c>
      <c r="X31">
        <f>HYPERLINK("https://klasma.github.io/Logging_2034/tillsyn/A 35557-2023 tillsynsbegäran.docx", "A 35557-2023")</f>
        <v/>
      </c>
      <c r="Y31">
        <f>HYPERLINK("https://klasma.github.io/Logging_2034/tillsynsmail/A 35557-2023 tillsynsbegäran mail.docx", "A 35557-2023")</f>
        <v/>
      </c>
      <c r="Z31">
        <f>HYPERLINK("https://klasma.github.io/Logging_2034/fåglar/A 35557-2023 prioriterade fågelarter.docx", "A 35557-2023")</f>
        <v/>
      </c>
    </row>
    <row r="32" ht="15" customHeight="1">
      <c r="A32" t="inlineStr">
        <is>
          <t>A 11064-2024</t>
        </is>
      </c>
      <c r="B32" s="1" t="n">
        <v>45370</v>
      </c>
      <c r="C32" s="1" t="n">
        <v>45585</v>
      </c>
      <c r="D32" t="inlineStr">
        <is>
          <t>DALARNAS LÄN</t>
        </is>
      </c>
      <c r="E32" t="inlineStr">
        <is>
          <t>ORSA</t>
        </is>
      </c>
      <c r="G32" t="n">
        <v>26</v>
      </c>
      <c r="H32" t="n">
        <v>0</v>
      </c>
      <c r="I32" t="n">
        <v>2</v>
      </c>
      <c r="J32" t="n">
        <v>3</v>
      </c>
      <c r="K32" t="n">
        <v>1</v>
      </c>
      <c r="L32" t="n">
        <v>0</v>
      </c>
      <c r="M32" t="n">
        <v>0</v>
      </c>
      <c r="N32" t="n">
        <v>0</v>
      </c>
      <c r="O32" t="n">
        <v>4</v>
      </c>
      <c r="P32" t="n">
        <v>1</v>
      </c>
      <c r="Q32" t="n">
        <v>6</v>
      </c>
      <c r="R32" s="2" t="inlineStr">
        <is>
          <t>Gräddporing
Garnlav
Kolflarnlav
Vedskivlav
Mindre märgborre
Skinnlav</t>
        </is>
      </c>
      <c r="S32">
        <f>HYPERLINK("https://klasma.github.io/Logging_2034/artfynd/A 11064-2024 artfynd.xlsx", "A 11064-2024")</f>
        <v/>
      </c>
      <c r="T32">
        <f>HYPERLINK("https://klasma.github.io/Logging_2034/kartor/A 11064-2024 karta.png", "A 11064-2024")</f>
        <v/>
      </c>
      <c r="V32">
        <f>HYPERLINK("https://klasma.github.io/Logging_2034/klagomål/A 11064-2024 FSC-klagomål.docx", "A 11064-2024")</f>
        <v/>
      </c>
      <c r="W32">
        <f>HYPERLINK("https://klasma.github.io/Logging_2034/klagomålsmail/A 11064-2024 FSC-klagomål mail.docx", "A 11064-2024")</f>
        <v/>
      </c>
      <c r="X32">
        <f>HYPERLINK("https://klasma.github.io/Logging_2034/tillsyn/A 11064-2024 tillsynsbegäran.docx", "A 11064-2024")</f>
        <v/>
      </c>
      <c r="Y32">
        <f>HYPERLINK("https://klasma.github.io/Logging_2034/tillsynsmail/A 11064-2024 tillsynsbegäran mail.docx", "A 11064-2024")</f>
        <v/>
      </c>
    </row>
    <row r="33" ht="15" customHeight="1">
      <c r="A33" t="inlineStr">
        <is>
          <t>A 50728-2022</t>
        </is>
      </c>
      <c r="B33" s="1" t="n">
        <v>44867</v>
      </c>
      <c r="C33" s="1" t="n">
        <v>45585</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40197-2023</t>
        </is>
      </c>
      <c r="B34" s="1" t="n">
        <v>45169</v>
      </c>
      <c r="C34" s="1" t="n">
        <v>45585</v>
      </c>
      <c r="D34" t="inlineStr">
        <is>
          <t>DALARNAS LÄN</t>
        </is>
      </c>
      <c r="E34" t="inlineStr">
        <is>
          <t>ORSA</t>
        </is>
      </c>
      <c r="F34" t="inlineStr">
        <is>
          <t>Allmännings- och besparingsskogar</t>
        </is>
      </c>
      <c r="G34" t="n">
        <v>6.2</v>
      </c>
      <c r="H34" t="n">
        <v>0</v>
      </c>
      <c r="I34" t="n">
        <v>0</v>
      </c>
      <c r="J34" t="n">
        <v>5</v>
      </c>
      <c r="K34" t="n">
        <v>0</v>
      </c>
      <c r="L34" t="n">
        <v>0</v>
      </c>
      <c r="M34" t="n">
        <v>0</v>
      </c>
      <c r="N34" t="n">
        <v>0</v>
      </c>
      <c r="O34" t="n">
        <v>5</v>
      </c>
      <c r="P34" t="n">
        <v>0</v>
      </c>
      <c r="Q34" t="n">
        <v>5</v>
      </c>
      <c r="R34" s="2" t="inlineStr">
        <is>
          <t>Garnlav
Halmgul örnlav
Skrovellav
Ullticka
Violettgrå tagellav</t>
        </is>
      </c>
      <c r="S34">
        <f>HYPERLINK("https://klasma.github.io/Logging_2034/artfynd/A 40197-2023 artfynd.xlsx", "A 40197-2023")</f>
        <v/>
      </c>
      <c r="T34">
        <f>HYPERLINK("https://klasma.github.io/Logging_2034/kartor/A 40197-2023 karta.png", "A 40197-2023")</f>
        <v/>
      </c>
      <c r="V34">
        <f>HYPERLINK("https://klasma.github.io/Logging_2034/klagomål/A 40197-2023 FSC-klagomål.docx", "A 40197-2023")</f>
        <v/>
      </c>
      <c r="W34">
        <f>HYPERLINK("https://klasma.github.io/Logging_2034/klagomålsmail/A 40197-2023 FSC-klagomål mail.docx", "A 40197-2023")</f>
        <v/>
      </c>
      <c r="X34">
        <f>HYPERLINK("https://klasma.github.io/Logging_2034/tillsyn/A 40197-2023 tillsynsbegäran.docx", "A 40197-2023")</f>
        <v/>
      </c>
      <c r="Y34">
        <f>HYPERLINK("https://klasma.github.io/Logging_2034/tillsynsmail/A 40197-2023 tillsynsbegäran mail.docx", "A 40197-2023")</f>
        <v/>
      </c>
    </row>
    <row r="35" ht="15" customHeight="1">
      <c r="A35" t="inlineStr">
        <is>
          <t>A 44628-2023</t>
        </is>
      </c>
      <c r="B35" s="1" t="n">
        <v>45189</v>
      </c>
      <c r="C35" s="1" t="n">
        <v>45585</v>
      </c>
      <c r="D35" t="inlineStr">
        <is>
          <t>DALARNAS LÄN</t>
        </is>
      </c>
      <c r="E35" t="inlineStr">
        <is>
          <t>ORSA</t>
        </is>
      </c>
      <c r="F35" t="inlineStr">
        <is>
          <t>Bergvik skog öst AB</t>
        </is>
      </c>
      <c r="G35" t="n">
        <v>12.3</v>
      </c>
      <c r="H35" t="n">
        <v>1</v>
      </c>
      <c r="I35" t="n">
        <v>1</v>
      </c>
      <c r="J35" t="n">
        <v>4</v>
      </c>
      <c r="K35" t="n">
        <v>0</v>
      </c>
      <c r="L35" t="n">
        <v>0</v>
      </c>
      <c r="M35" t="n">
        <v>0</v>
      </c>
      <c r="N35" t="n">
        <v>0</v>
      </c>
      <c r="O35" t="n">
        <v>4</v>
      </c>
      <c r="P35" t="n">
        <v>0</v>
      </c>
      <c r="Q35" t="n">
        <v>5</v>
      </c>
      <c r="R35" s="2" t="inlineStr">
        <is>
          <t>Garnlav
Kolflarnlav
Tretåig hackspett
Violettgrå tagellav
Kambräken</t>
        </is>
      </c>
      <c r="S35">
        <f>HYPERLINK("https://klasma.github.io/Logging_2034/artfynd/A 44628-2023 artfynd.xlsx", "A 44628-2023")</f>
        <v/>
      </c>
      <c r="T35">
        <f>HYPERLINK("https://klasma.github.io/Logging_2034/kartor/A 44628-2023 karta.png", "A 44628-2023")</f>
        <v/>
      </c>
      <c r="V35">
        <f>HYPERLINK("https://klasma.github.io/Logging_2034/klagomål/A 44628-2023 FSC-klagomål.docx", "A 44628-2023")</f>
        <v/>
      </c>
      <c r="W35">
        <f>HYPERLINK("https://klasma.github.io/Logging_2034/klagomålsmail/A 44628-2023 FSC-klagomål mail.docx", "A 44628-2023")</f>
        <v/>
      </c>
      <c r="X35">
        <f>HYPERLINK("https://klasma.github.io/Logging_2034/tillsyn/A 44628-2023 tillsynsbegäran.docx", "A 44628-2023")</f>
        <v/>
      </c>
      <c r="Y35">
        <f>HYPERLINK("https://klasma.github.io/Logging_2034/tillsynsmail/A 44628-2023 tillsynsbegäran mail.docx", "A 44628-2023")</f>
        <v/>
      </c>
      <c r="Z35">
        <f>HYPERLINK("https://klasma.github.io/Logging_2034/fåglar/A 44628-2023 prioriterade fågelarter.docx", "A 44628-2023")</f>
        <v/>
      </c>
    </row>
    <row r="36" ht="15" customHeight="1">
      <c r="A36" t="inlineStr">
        <is>
          <t>A 3421-2021</t>
        </is>
      </c>
      <c r="B36" s="1" t="n">
        <v>44218</v>
      </c>
      <c r="C36" s="1" t="n">
        <v>45585</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33366-2023</t>
        </is>
      </c>
      <c r="B37" s="1" t="n">
        <v>45128</v>
      </c>
      <c r="C37" s="1" t="n">
        <v>45585</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38458-2023</t>
        </is>
      </c>
      <c r="B38" s="1" t="n">
        <v>45162</v>
      </c>
      <c r="C38" s="1" t="n">
        <v>45585</v>
      </c>
      <c r="D38" t="inlineStr">
        <is>
          <t>DALARNAS LÄN</t>
        </is>
      </c>
      <c r="E38" t="inlineStr">
        <is>
          <t>ORSA</t>
        </is>
      </c>
      <c r="F38" t="inlineStr">
        <is>
          <t>Allmännings- och besparingsskogar</t>
        </is>
      </c>
      <c r="G38" t="n">
        <v>1.4</v>
      </c>
      <c r="H38" t="n">
        <v>1</v>
      </c>
      <c r="I38" t="n">
        <v>1</v>
      </c>
      <c r="J38" t="n">
        <v>3</v>
      </c>
      <c r="K38" t="n">
        <v>0</v>
      </c>
      <c r="L38" t="n">
        <v>0</v>
      </c>
      <c r="M38" t="n">
        <v>0</v>
      </c>
      <c r="N38" t="n">
        <v>0</v>
      </c>
      <c r="O38" t="n">
        <v>3</v>
      </c>
      <c r="P38" t="n">
        <v>0</v>
      </c>
      <c r="Q38" t="n">
        <v>4</v>
      </c>
      <c r="R38" s="2" t="inlineStr">
        <is>
          <t>Garnlav
Tretåig hackspett
Violettgrå tagellav
Bronshjon</t>
        </is>
      </c>
      <c r="S38">
        <f>HYPERLINK("https://klasma.github.io/Logging_2034/artfynd/A 38458-2023 artfynd.xlsx", "A 38458-2023")</f>
        <v/>
      </c>
      <c r="T38">
        <f>HYPERLINK("https://klasma.github.io/Logging_2034/kartor/A 38458-2023 karta.png", "A 38458-2023")</f>
        <v/>
      </c>
      <c r="V38">
        <f>HYPERLINK("https://klasma.github.io/Logging_2034/klagomål/A 38458-2023 FSC-klagomål.docx", "A 38458-2023")</f>
        <v/>
      </c>
      <c r="W38">
        <f>HYPERLINK("https://klasma.github.io/Logging_2034/klagomålsmail/A 38458-2023 FSC-klagomål mail.docx", "A 38458-2023")</f>
        <v/>
      </c>
      <c r="X38">
        <f>HYPERLINK("https://klasma.github.io/Logging_2034/tillsyn/A 38458-2023 tillsynsbegäran.docx", "A 38458-2023")</f>
        <v/>
      </c>
      <c r="Y38">
        <f>HYPERLINK("https://klasma.github.io/Logging_2034/tillsynsmail/A 38458-2023 tillsynsbegäran mail.docx", "A 38458-2023")</f>
        <v/>
      </c>
      <c r="Z38">
        <f>HYPERLINK("https://klasma.github.io/Logging_2034/fåglar/A 38458-2023 prioriterade fågelarter.docx", "A 38458-2023")</f>
        <v/>
      </c>
    </row>
    <row r="39" ht="15" customHeight="1">
      <c r="A39" t="inlineStr">
        <is>
          <t>A 35570-2024</t>
        </is>
      </c>
      <c r="B39" s="1" t="n">
        <v>45531</v>
      </c>
      <c r="C39" s="1" t="n">
        <v>45585</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42651-2020</t>
        </is>
      </c>
      <c r="B40" s="1" t="n">
        <v>44077</v>
      </c>
      <c r="C40" s="1" t="n">
        <v>45585</v>
      </c>
      <c r="D40" t="inlineStr">
        <is>
          <t>DALARNAS LÄN</t>
        </is>
      </c>
      <c r="E40" t="inlineStr">
        <is>
          <t>ORSA</t>
        </is>
      </c>
      <c r="G40" t="n">
        <v>3.9</v>
      </c>
      <c r="H40" t="n">
        <v>0</v>
      </c>
      <c r="I40" t="n">
        <v>0</v>
      </c>
      <c r="J40" t="n">
        <v>3</v>
      </c>
      <c r="K40" t="n">
        <v>0</v>
      </c>
      <c r="L40" t="n">
        <v>0</v>
      </c>
      <c r="M40" t="n">
        <v>0</v>
      </c>
      <c r="N40" t="n">
        <v>0</v>
      </c>
      <c r="O40" t="n">
        <v>3</v>
      </c>
      <c r="P40" t="n">
        <v>0</v>
      </c>
      <c r="Q40" t="n">
        <v>3</v>
      </c>
      <c r="R40" s="2" t="inlineStr">
        <is>
          <t>Skrovellav
Tallticka
Vedflamlav</t>
        </is>
      </c>
      <c r="S40">
        <f>HYPERLINK("https://klasma.github.io/Logging_2034/artfynd/A 42651-2020 artfynd.xlsx", "A 42651-2020")</f>
        <v/>
      </c>
      <c r="T40">
        <f>HYPERLINK("https://klasma.github.io/Logging_2034/kartor/A 42651-2020 karta.png", "A 42651-2020")</f>
        <v/>
      </c>
      <c r="V40">
        <f>HYPERLINK("https://klasma.github.io/Logging_2034/klagomål/A 42651-2020 FSC-klagomål.docx", "A 42651-2020")</f>
        <v/>
      </c>
      <c r="W40">
        <f>HYPERLINK("https://klasma.github.io/Logging_2034/klagomålsmail/A 42651-2020 FSC-klagomål mail.docx", "A 42651-2020")</f>
        <v/>
      </c>
      <c r="X40">
        <f>HYPERLINK("https://klasma.github.io/Logging_2034/tillsyn/A 42651-2020 tillsynsbegäran.docx", "A 42651-2020")</f>
        <v/>
      </c>
      <c r="Y40">
        <f>HYPERLINK("https://klasma.github.io/Logging_2034/tillsynsmail/A 42651-2020 tillsynsbegäran mail.docx", "A 42651-2020")</f>
        <v/>
      </c>
    </row>
    <row r="41" ht="15" customHeight="1">
      <c r="A41" t="inlineStr">
        <is>
          <t>A 30654-2024</t>
        </is>
      </c>
      <c r="B41" s="1" t="n">
        <v>45495</v>
      </c>
      <c r="C41" s="1" t="n">
        <v>45585</v>
      </c>
      <c r="D41" t="inlineStr">
        <is>
          <t>DALARNAS LÄN</t>
        </is>
      </c>
      <c r="E41" t="inlineStr">
        <is>
          <t>ORSA</t>
        </is>
      </c>
      <c r="F41" t="inlineStr">
        <is>
          <t>Allmännings- och besparingsskogar</t>
        </is>
      </c>
      <c r="G41" t="n">
        <v>1.9</v>
      </c>
      <c r="H41" t="n">
        <v>1</v>
      </c>
      <c r="I41" t="n">
        <v>0</v>
      </c>
      <c r="J41" t="n">
        <v>2</v>
      </c>
      <c r="K41" t="n">
        <v>1</v>
      </c>
      <c r="L41" t="n">
        <v>0</v>
      </c>
      <c r="M41" t="n">
        <v>0</v>
      </c>
      <c r="N41" t="n">
        <v>0</v>
      </c>
      <c r="O41" t="n">
        <v>3</v>
      </c>
      <c r="P41" t="n">
        <v>1</v>
      </c>
      <c r="Q41" t="n">
        <v>3</v>
      </c>
      <c r="R41" s="2" t="inlineStr">
        <is>
          <t>Knärot
Garnlav
Granticka</t>
        </is>
      </c>
      <c r="S41">
        <f>HYPERLINK("https://klasma.github.io/Logging_2034/artfynd/A 30654-2024 artfynd.xlsx", "A 30654-2024")</f>
        <v/>
      </c>
      <c r="T41">
        <f>HYPERLINK("https://klasma.github.io/Logging_2034/kartor/A 30654-2024 karta.png", "A 30654-2024")</f>
        <v/>
      </c>
      <c r="U41">
        <f>HYPERLINK("https://klasma.github.io/Logging_2034/knärot/A 30654-2024 karta knärot.png", "A 30654-2024")</f>
        <v/>
      </c>
      <c r="V41">
        <f>HYPERLINK("https://klasma.github.io/Logging_2034/klagomål/A 30654-2024 FSC-klagomål.docx", "A 30654-2024")</f>
        <v/>
      </c>
      <c r="W41">
        <f>HYPERLINK("https://klasma.github.io/Logging_2034/klagomålsmail/A 30654-2024 FSC-klagomål mail.docx", "A 30654-2024")</f>
        <v/>
      </c>
      <c r="X41">
        <f>HYPERLINK("https://klasma.github.io/Logging_2034/tillsyn/A 30654-2024 tillsynsbegäran.docx", "A 30654-2024")</f>
        <v/>
      </c>
      <c r="Y41">
        <f>HYPERLINK("https://klasma.github.io/Logging_2034/tillsynsmail/A 30654-2024 tillsynsbegäran mail.docx", "A 30654-2024")</f>
        <v/>
      </c>
    </row>
    <row r="42" ht="15" customHeight="1">
      <c r="A42" t="inlineStr">
        <is>
          <t>A 63810-2021</t>
        </is>
      </c>
      <c r="B42" s="1" t="n">
        <v>44509</v>
      </c>
      <c r="C42" s="1" t="n">
        <v>45585</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20914-2022</t>
        </is>
      </c>
      <c r="B43" s="1" t="n">
        <v>44701</v>
      </c>
      <c r="C43" s="1" t="n">
        <v>45585</v>
      </c>
      <c r="D43" t="inlineStr">
        <is>
          <t>DALARNAS LÄN</t>
        </is>
      </c>
      <c r="E43" t="inlineStr">
        <is>
          <t>ORSA</t>
        </is>
      </c>
      <c r="F43" t="inlineStr">
        <is>
          <t>Allmännings- och besparingsskogar</t>
        </is>
      </c>
      <c r="G43" t="n">
        <v>32.6</v>
      </c>
      <c r="H43" t="n">
        <v>1</v>
      </c>
      <c r="I43" t="n">
        <v>1</v>
      </c>
      <c r="J43" t="n">
        <v>1</v>
      </c>
      <c r="K43" t="n">
        <v>0</v>
      </c>
      <c r="L43" t="n">
        <v>0</v>
      </c>
      <c r="M43" t="n">
        <v>0</v>
      </c>
      <c r="N43" t="n">
        <v>0</v>
      </c>
      <c r="O43" t="n">
        <v>1</v>
      </c>
      <c r="P43" t="n">
        <v>0</v>
      </c>
      <c r="Q43" t="n">
        <v>2</v>
      </c>
      <c r="R43" s="2" t="inlineStr">
        <is>
          <t>Kungsörn
Vågbandad barkbock</t>
        </is>
      </c>
      <c r="S43">
        <f>HYPERLINK("https://klasma.github.io/Logging_2034/artfynd/A 20914-2022 artfynd.xlsx", "A 20914-2022")</f>
        <v/>
      </c>
      <c r="T43">
        <f>HYPERLINK("https://klasma.github.io/Logging_2034/kartor/A 20914-2022 karta.png", "A 20914-2022")</f>
        <v/>
      </c>
      <c r="V43">
        <f>HYPERLINK("https://klasma.github.io/Logging_2034/klagomål/A 20914-2022 FSC-klagomål.docx", "A 20914-2022")</f>
        <v/>
      </c>
      <c r="W43">
        <f>HYPERLINK("https://klasma.github.io/Logging_2034/klagomålsmail/A 20914-2022 FSC-klagomål mail.docx", "A 20914-2022")</f>
        <v/>
      </c>
      <c r="X43">
        <f>HYPERLINK("https://klasma.github.io/Logging_2034/tillsyn/A 20914-2022 tillsynsbegäran.docx", "A 20914-2022")</f>
        <v/>
      </c>
      <c r="Y43">
        <f>HYPERLINK("https://klasma.github.io/Logging_2034/tillsynsmail/A 20914-2022 tillsynsbegäran mail.docx", "A 20914-2022")</f>
        <v/>
      </c>
      <c r="Z43">
        <f>HYPERLINK("https://klasma.github.io/Logging_2034/fåglar/A 20914-2022 prioriterade fågelarter.docx", "A 20914-2022")</f>
        <v/>
      </c>
    </row>
    <row r="44" ht="15" customHeight="1">
      <c r="A44" t="inlineStr">
        <is>
          <t>A 47714-2022</t>
        </is>
      </c>
      <c r="B44" s="1" t="n">
        <v>44854</v>
      </c>
      <c r="C44" s="1" t="n">
        <v>45585</v>
      </c>
      <c r="D44" t="inlineStr">
        <is>
          <t>DALARNAS LÄN</t>
        </is>
      </c>
      <c r="E44" t="inlineStr">
        <is>
          <t>ORSA</t>
        </is>
      </c>
      <c r="F44" t="inlineStr">
        <is>
          <t>Bergvik skog öst AB</t>
        </is>
      </c>
      <c r="G44" t="n">
        <v>4.6</v>
      </c>
      <c r="H44" t="n">
        <v>2</v>
      </c>
      <c r="I44" t="n">
        <v>1</v>
      </c>
      <c r="J44" t="n">
        <v>1</v>
      </c>
      <c r="K44" t="n">
        <v>0</v>
      </c>
      <c r="L44" t="n">
        <v>0</v>
      </c>
      <c r="M44" t="n">
        <v>0</v>
      </c>
      <c r="N44" t="n">
        <v>0</v>
      </c>
      <c r="O44" t="n">
        <v>1</v>
      </c>
      <c r="P44" t="n">
        <v>0</v>
      </c>
      <c r="Q44" t="n">
        <v>2</v>
      </c>
      <c r="R44" s="2" t="inlineStr">
        <is>
          <t>Talltita
Plattlummer</t>
        </is>
      </c>
      <c r="S44">
        <f>HYPERLINK("https://klasma.github.io/Logging_2034/artfynd/A 47714-2022 artfynd.xlsx", "A 47714-2022")</f>
        <v/>
      </c>
      <c r="T44">
        <f>HYPERLINK("https://klasma.github.io/Logging_2034/kartor/A 47714-2022 karta.png", "A 47714-2022")</f>
        <v/>
      </c>
      <c r="V44">
        <f>HYPERLINK("https://klasma.github.io/Logging_2034/klagomål/A 47714-2022 FSC-klagomål.docx", "A 47714-2022")</f>
        <v/>
      </c>
      <c r="W44">
        <f>HYPERLINK("https://klasma.github.io/Logging_2034/klagomålsmail/A 47714-2022 FSC-klagomål mail.docx", "A 47714-2022")</f>
        <v/>
      </c>
      <c r="X44">
        <f>HYPERLINK("https://klasma.github.io/Logging_2034/tillsyn/A 47714-2022 tillsynsbegäran.docx", "A 47714-2022")</f>
        <v/>
      </c>
      <c r="Y44">
        <f>HYPERLINK("https://klasma.github.io/Logging_2034/tillsynsmail/A 47714-2022 tillsynsbegäran mail.docx", "A 47714-2022")</f>
        <v/>
      </c>
      <c r="Z44">
        <f>HYPERLINK("https://klasma.github.io/Logging_2034/fåglar/A 47714-2022 prioriterade fågelarter.docx", "A 47714-2022")</f>
        <v/>
      </c>
    </row>
    <row r="45" ht="15" customHeight="1">
      <c r="A45" t="inlineStr">
        <is>
          <t>A 48343-2022</t>
        </is>
      </c>
      <c r="B45" s="1" t="n">
        <v>44858</v>
      </c>
      <c r="C45" s="1" t="n">
        <v>45585</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53629-2022</t>
        </is>
      </c>
      <c r="B46" s="1" t="n">
        <v>44879</v>
      </c>
      <c r="C46" s="1" t="n">
        <v>45585</v>
      </c>
      <c r="D46" t="inlineStr">
        <is>
          <t>DALARNAS LÄN</t>
        </is>
      </c>
      <c r="E46" t="inlineStr">
        <is>
          <t>ORSA</t>
        </is>
      </c>
      <c r="G46" t="n">
        <v>8.199999999999999</v>
      </c>
      <c r="H46" t="n">
        <v>2</v>
      </c>
      <c r="I46" t="n">
        <v>0</v>
      </c>
      <c r="J46" t="n">
        <v>0</v>
      </c>
      <c r="K46" t="n">
        <v>0</v>
      </c>
      <c r="L46" t="n">
        <v>0</v>
      </c>
      <c r="M46" t="n">
        <v>0</v>
      </c>
      <c r="N46" t="n">
        <v>0</v>
      </c>
      <c r="O46" t="n">
        <v>0</v>
      </c>
      <c r="P46" t="n">
        <v>0</v>
      </c>
      <c r="Q46" t="n">
        <v>2</v>
      </c>
      <c r="R46" s="2" t="inlineStr">
        <is>
          <t>Större vattensalamander
Mindre vattensalamander</t>
        </is>
      </c>
      <c r="S46">
        <f>HYPERLINK("https://klasma.github.io/Logging_2034/artfynd/A 53629-2022 artfynd.xlsx", "A 53629-2022")</f>
        <v/>
      </c>
      <c r="T46">
        <f>HYPERLINK("https://klasma.github.io/Logging_2034/kartor/A 53629-2022 karta.png", "A 53629-2022")</f>
        <v/>
      </c>
      <c r="V46">
        <f>HYPERLINK("https://klasma.github.io/Logging_2034/klagomål/A 53629-2022 FSC-klagomål.docx", "A 53629-2022")</f>
        <v/>
      </c>
      <c r="W46">
        <f>HYPERLINK("https://klasma.github.io/Logging_2034/klagomålsmail/A 53629-2022 FSC-klagomål mail.docx", "A 53629-2022")</f>
        <v/>
      </c>
      <c r="X46">
        <f>HYPERLINK("https://klasma.github.io/Logging_2034/tillsyn/A 53629-2022 tillsynsbegäran.docx", "A 53629-2022")</f>
        <v/>
      </c>
      <c r="Y46">
        <f>HYPERLINK("https://klasma.github.io/Logging_2034/tillsynsmail/A 53629-2022 tillsynsbegäran mail.docx", "A 53629-2022")</f>
        <v/>
      </c>
    </row>
    <row r="47" ht="15" customHeight="1">
      <c r="A47" t="inlineStr">
        <is>
          <t>A 44656-2023</t>
        </is>
      </c>
      <c r="B47" s="1" t="n">
        <v>45189</v>
      </c>
      <c r="C47" s="1" t="n">
        <v>45585</v>
      </c>
      <c r="D47" t="inlineStr">
        <is>
          <t>DALARNAS LÄN</t>
        </is>
      </c>
      <c r="E47" t="inlineStr">
        <is>
          <t>ORSA</t>
        </is>
      </c>
      <c r="F47" t="inlineStr">
        <is>
          <t>Bergvik skog öst AB</t>
        </is>
      </c>
      <c r="G47" t="n">
        <v>3.4</v>
      </c>
      <c r="H47" t="n">
        <v>2</v>
      </c>
      <c r="I47" t="n">
        <v>0</v>
      </c>
      <c r="J47" t="n">
        <v>2</v>
      </c>
      <c r="K47" t="n">
        <v>0</v>
      </c>
      <c r="L47" t="n">
        <v>0</v>
      </c>
      <c r="M47" t="n">
        <v>0</v>
      </c>
      <c r="N47" t="n">
        <v>0</v>
      </c>
      <c r="O47" t="n">
        <v>2</v>
      </c>
      <c r="P47" t="n">
        <v>0</v>
      </c>
      <c r="Q47" t="n">
        <v>2</v>
      </c>
      <c r="R47" s="2" t="inlineStr">
        <is>
          <t>Spillkråka
Tretåig hackspett</t>
        </is>
      </c>
      <c r="S47">
        <f>HYPERLINK("https://klasma.github.io/Logging_2034/artfynd/A 44656-2023 artfynd.xlsx", "A 44656-2023")</f>
        <v/>
      </c>
      <c r="T47">
        <f>HYPERLINK("https://klasma.github.io/Logging_2034/kartor/A 44656-2023 karta.png", "A 44656-2023")</f>
        <v/>
      </c>
      <c r="V47">
        <f>HYPERLINK("https://klasma.github.io/Logging_2034/klagomål/A 44656-2023 FSC-klagomål.docx", "A 44656-2023")</f>
        <v/>
      </c>
      <c r="W47">
        <f>HYPERLINK("https://klasma.github.io/Logging_2034/klagomålsmail/A 44656-2023 FSC-klagomål mail.docx", "A 44656-2023")</f>
        <v/>
      </c>
      <c r="X47">
        <f>HYPERLINK("https://klasma.github.io/Logging_2034/tillsyn/A 44656-2023 tillsynsbegäran.docx", "A 44656-2023")</f>
        <v/>
      </c>
      <c r="Y47">
        <f>HYPERLINK("https://klasma.github.io/Logging_2034/tillsynsmail/A 44656-2023 tillsynsbegäran mail.docx", "A 44656-2023")</f>
        <v/>
      </c>
      <c r="Z47">
        <f>HYPERLINK("https://klasma.github.io/Logging_2034/fåglar/A 44656-2023 prioriterade fågelarter.docx", "A 44656-2023")</f>
        <v/>
      </c>
    </row>
    <row r="48" ht="15" customHeight="1">
      <c r="A48" t="inlineStr">
        <is>
          <t>A 6029-2024</t>
        </is>
      </c>
      <c r="B48" s="1" t="n">
        <v>45336</v>
      </c>
      <c r="C48" s="1" t="n">
        <v>45585</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43588-2024</t>
        </is>
      </c>
      <c r="B49" s="1" t="n">
        <v>45569</v>
      </c>
      <c r="C49" s="1" t="n">
        <v>45585</v>
      </c>
      <c r="D49" t="inlineStr">
        <is>
          <t>DALARNAS LÄN</t>
        </is>
      </c>
      <c r="E49" t="inlineStr">
        <is>
          <t>ORSA</t>
        </is>
      </c>
      <c r="G49" t="n">
        <v>6.4</v>
      </c>
      <c r="H49" t="n">
        <v>0</v>
      </c>
      <c r="I49" t="n">
        <v>1</v>
      </c>
      <c r="J49" t="n">
        <v>1</v>
      </c>
      <c r="K49" t="n">
        <v>0</v>
      </c>
      <c r="L49" t="n">
        <v>0</v>
      </c>
      <c r="M49" t="n">
        <v>0</v>
      </c>
      <c r="N49" t="n">
        <v>0</v>
      </c>
      <c r="O49" t="n">
        <v>1</v>
      </c>
      <c r="P49" t="n">
        <v>0</v>
      </c>
      <c r="Q49" t="n">
        <v>2</v>
      </c>
      <c r="R49" s="2" t="inlineStr">
        <is>
          <t>Garnlav
Thymalus limbatus</t>
        </is>
      </c>
      <c r="S49">
        <f>HYPERLINK("https://klasma.github.io/Logging_2034/artfynd/A 43588-2024 artfynd.xlsx", "A 43588-2024")</f>
        <v/>
      </c>
      <c r="T49">
        <f>HYPERLINK("https://klasma.github.io/Logging_2034/kartor/A 43588-2024 karta.png", "A 43588-2024")</f>
        <v/>
      </c>
      <c r="V49">
        <f>HYPERLINK("https://klasma.github.io/Logging_2034/klagomål/A 43588-2024 FSC-klagomål.docx", "A 43588-2024")</f>
        <v/>
      </c>
      <c r="W49">
        <f>HYPERLINK("https://klasma.github.io/Logging_2034/klagomålsmail/A 43588-2024 FSC-klagomål mail.docx", "A 43588-2024")</f>
        <v/>
      </c>
      <c r="X49">
        <f>HYPERLINK("https://klasma.github.io/Logging_2034/tillsyn/A 43588-2024 tillsynsbegäran.docx", "A 43588-2024")</f>
        <v/>
      </c>
      <c r="Y49">
        <f>HYPERLINK("https://klasma.github.io/Logging_2034/tillsynsmail/A 43588-2024 tillsynsbegäran mail.docx", "A 43588-2024")</f>
        <v/>
      </c>
    </row>
    <row r="50" ht="15" customHeight="1">
      <c r="A50" t="inlineStr">
        <is>
          <t>A 38211-2020</t>
        </is>
      </c>
      <c r="B50" s="1" t="n">
        <v>44060</v>
      </c>
      <c r="C50" s="1" t="n">
        <v>45585</v>
      </c>
      <c r="D50" t="inlineStr">
        <is>
          <t>DALARNAS LÄN</t>
        </is>
      </c>
      <c r="E50" t="inlineStr">
        <is>
          <t>ORSA</t>
        </is>
      </c>
      <c r="G50" t="n">
        <v>1.2</v>
      </c>
      <c r="H50" t="n">
        <v>1</v>
      </c>
      <c r="I50" t="n">
        <v>0</v>
      </c>
      <c r="J50" t="n">
        <v>1</v>
      </c>
      <c r="K50" t="n">
        <v>0</v>
      </c>
      <c r="L50" t="n">
        <v>0</v>
      </c>
      <c r="M50" t="n">
        <v>0</v>
      </c>
      <c r="N50" t="n">
        <v>0</v>
      </c>
      <c r="O50" t="n">
        <v>1</v>
      </c>
      <c r="P50" t="n">
        <v>0</v>
      </c>
      <c r="Q50" t="n">
        <v>1</v>
      </c>
      <c r="R50" s="2" t="inlineStr">
        <is>
          <t>Utter</t>
        </is>
      </c>
      <c r="S50">
        <f>HYPERLINK("https://klasma.github.io/Logging_2034/artfynd/A 38211-2020 artfynd.xlsx", "A 38211-2020")</f>
        <v/>
      </c>
      <c r="T50">
        <f>HYPERLINK("https://klasma.github.io/Logging_2034/kartor/A 38211-2020 karta.png", "A 38211-2020")</f>
        <v/>
      </c>
      <c r="V50">
        <f>HYPERLINK("https://klasma.github.io/Logging_2034/klagomål/A 38211-2020 FSC-klagomål.docx", "A 38211-2020")</f>
        <v/>
      </c>
      <c r="W50">
        <f>HYPERLINK("https://klasma.github.io/Logging_2034/klagomålsmail/A 38211-2020 FSC-klagomål mail.docx", "A 38211-2020")</f>
        <v/>
      </c>
      <c r="X50">
        <f>HYPERLINK("https://klasma.github.io/Logging_2034/tillsyn/A 38211-2020 tillsynsbegäran.docx", "A 38211-2020")</f>
        <v/>
      </c>
      <c r="Y50">
        <f>HYPERLINK("https://klasma.github.io/Logging_2034/tillsynsmail/A 38211-2020 tillsynsbegäran mail.docx", "A 38211-2020")</f>
        <v/>
      </c>
    </row>
    <row r="51" ht="15" customHeight="1">
      <c r="A51" t="inlineStr">
        <is>
          <t>A 4144-2022</t>
        </is>
      </c>
      <c r="B51" s="1" t="n">
        <v>44588</v>
      </c>
      <c r="C51" s="1" t="n">
        <v>45585</v>
      </c>
      <c r="D51" t="inlineStr">
        <is>
          <t>DALARNAS LÄN</t>
        </is>
      </c>
      <c r="E51" t="inlineStr">
        <is>
          <t>ORSA</t>
        </is>
      </c>
      <c r="G51" t="n">
        <v>1</v>
      </c>
      <c r="H51" t="n">
        <v>0</v>
      </c>
      <c r="I51" t="n">
        <v>1</v>
      </c>
      <c r="J51" t="n">
        <v>0</v>
      </c>
      <c r="K51" t="n">
        <v>0</v>
      </c>
      <c r="L51" t="n">
        <v>0</v>
      </c>
      <c r="M51" t="n">
        <v>0</v>
      </c>
      <c r="N51" t="n">
        <v>0</v>
      </c>
      <c r="O51" t="n">
        <v>0</v>
      </c>
      <c r="P51" t="n">
        <v>0</v>
      </c>
      <c r="Q51" t="n">
        <v>1</v>
      </c>
      <c r="R51" s="2" t="inlineStr">
        <is>
          <t>Svart trolldruva</t>
        </is>
      </c>
      <c r="S51">
        <f>HYPERLINK("https://klasma.github.io/Logging_2034/artfynd/A 4144-2022 artfynd.xlsx", "A 4144-2022")</f>
        <v/>
      </c>
      <c r="T51">
        <f>HYPERLINK("https://klasma.github.io/Logging_2034/kartor/A 4144-2022 karta.png", "A 4144-2022")</f>
        <v/>
      </c>
      <c r="V51">
        <f>HYPERLINK("https://klasma.github.io/Logging_2034/klagomål/A 4144-2022 FSC-klagomål.docx", "A 4144-2022")</f>
        <v/>
      </c>
      <c r="W51">
        <f>HYPERLINK("https://klasma.github.io/Logging_2034/klagomålsmail/A 4144-2022 FSC-klagomål mail.docx", "A 4144-2022")</f>
        <v/>
      </c>
      <c r="X51">
        <f>HYPERLINK("https://klasma.github.io/Logging_2034/tillsyn/A 4144-2022 tillsynsbegäran.docx", "A 4144-2022")</f>
        <v/>
      </c>
      <c r="Y51">
        <f>HYPERLINK("https://klasma.github.io/Logging_2034/tillsynsmail/A 4144-2022 tillsynsbegäran mail.docx", "A 4144-2022")</f>
        <v/>
      </c>
    </row>
    <row r="52" ht="15" customHeight="1">
      <c r="A52" t="inlineStr">
        <is>
          <t>A 48766-2022</t>
        </is>
      </c>
      <c r="B52" s="1" t="n">
        <v>44859</v>
      </c>
      <c r="C52" s="1" t="n">
        <v>45585</v>
      </c>
      <c r="D52" t="inlineStr">
        <is>
          <t>DALARNAS LÄN</t>
        </is>
      </c>
      <c r="E52" t="inlineStr">
        <is>
          <t>ORSA</t>
        </is>
      </c>
      <c r="F52" t="inlineStr">
        <is>
          <t>Allmännings- och besparingsskogar</t>
        </is>
      </c>
      <c r="G52" t="n">
        <v>3.1</v>
      </c>
      <c r="H52" t="n">
        <v>0</v>
      </c>
      <c r="I52" t="n">
        <v>0</v>
      </c>
      <c r="J52" t="n">
        <v>1</v>
      </c>
      <c r="K52" t="n">
        <v>0</v>
      </c>
      <c r="L52" t="n">
        <v>0</v>
      </c>
      <c r="M52" t="n">
        <v>0</v>
      </c>
      <c r="N52" t="n">
        <v>0</v>
      </c>
      <c r="O52" t="n">
        <v>1</v>
      </c>
      <c r="P52" t="n">
        <v>0</v>
      </c>
      <c r="Q52" t="n">
        <v>1</v>
      </c>
      <c r="R52" s="2" t="inlineStr">
        <is>
          <t>Garnlav</t>
        </is>
      </c>
      <c r="S52">
        <f>HYPERLINK("https://klasma.github.io/Logging_2034/artfynd/A 48766-2022 artfynd.xlsx", "A 48766-2022")</f>
        <v/>
      </c>
      <c r="T52">
        <f>HYPERLINK("https://klasma.github.io/Logging_2034/kartor/A 48766-2022 karta.png", "A 48766-2022")</f>
        <v/>
      </c>
      <c r="V52">
        <f>HYPERLINK("https://klasma.github.io/Logging_2034/klagomål/A 48766-2022 FSC-klagomål.docx", "A 48766-2022")</f>
        <v/>
      </c>
      <c r="W52">
        <f>HYPERLINK("https://klasma.github.io/Logging_2034/klagomålsmail/A 48766-2022 FSC-klagomål mail.docx", "A 48766-2022")</f>
        <v/>
      </c>
      <c r="X52">
        <f>HYPERLINK("https://klasma.github.io/Logging_2034/tillsyn/A 48766-2022 tillsynsbegäran.docx", "A 48766-2022")</f>
        <v/>
      </c>
      <c r="Y52">
        <f>HYPERLINK("https://klasma.github.io/Logging_2034/tillsynsmail/A 48766-2022 tillsynsbegäran mail.docx", "A 48766-2022")</f>
        <v/>
      </c>
    </row>
    <row r="53" ht="15" customHeight="1">
      <c r="A53" t="inlineStr">
        <is>
          <t>A 29044-2023</t>
        </is>
      </c>
      <c r="B53" s="1" t="n">
        <v>45104</v>
      </c>
      <c r="C53" s="1" t="n">
        <v>45585</v>
      </c>
      <c r="D53" t="inlineStr">
        <is>
          <t>DALARNAS LÄN</t>
        </is>
      </c>
      <c r="E53" t="inlineStr">
        <is>
          <t>ORSA</t>
        </is>
      </c>
      <c r="G53" t="n">
        <v>1.8</v>
      </c>
      <c r="H53" t="n">
        <v>0</v>
      </c>
      <c r="I53" t="n">
        <v>1</v>
      </c>
      <c r="J53" t="n">
        <v>0</v>
      </c>
      <c r="K53" t="n">
        <v>0</v>
      </c>
      <c r="L53" t="n">
        <v>0</v>
      </c>
      <c r="M53" t="n">
        <v>0</v>
      </c>
      <c r="N53" t="n">
        <v>0</v>
      </c>
      <c r="O53" t="n">
        <v>0</v>
      </c>
      <c r="P53" t="n">
        <v>0</v>
      </c>
      <c r="Q53" t="n">
        <v>1</v>
      </c>
      <c r="R53" s="2" t="inlineStr">
        <is>
          <t>Korallblylav</t>
        </is>
      </c>
      <c r="S53">
        <f>HYPERLINK("https://klasma.github.io/Logging_2034/artfynd/A 29044-2023 artfynd.xlsx", "A 29044-2023")</f>
        <v/>
      </c>
      <c r="T53">
        <f>HYPERLINK("https://klasma.github.io/Logging_2034/kartor/A 29044-2023 karta.png", "A 29044-2023")</f>
        <v/>
      </c>
      <c r="V53">
        <f>HYPERLINK("https://klasma.github.io/Logging_2034/klagomål/A 29044-2023 FSC-klagomål.docx", "A 29044-2023")</f>
        <v/>
      </c>
      <c r="W53">
        <f>HYPERLINK("https://klasma.github.io/Logging_2034/klagomålsmail/A 29044-2023 FSC-klagomål mail.docx", "A 29044-2023")</f>
        <v/>
      </c>
      <c r="X53">
        <f>HYPERLINK("https://klasma.github.io/Logging_2034/tillsyn/A 29044-2023 tillsynsbegäran.docx", "A 29044-2023")</f>
        <v/>
      </c>
      <c r="Y53">
        <f>HYPERLINK("https://klasma.github.io/Logging_2034/tillsynsmail/A 29044-2023 tillsynsbegäran mail.docx", "A 29044-2023")</f>
        <v/>
      </c>
    </row>
    <row r="54" ht="15" customHeight="1">
      <c r="A54" t="inlineStr">
        <is>
          <t>A 35112-2023</t>
        </is>
      </c>
      <c r="B54" s="1" t="n">
        <v>45145</v>
      </c>
      <c r="C54" s="1" t="n">
        <v>45585</v>
      </c>
      <c r="D54" t="inlineStr">
        <is>
          <t>DALARNAS LÄN</t>
        </is>
      </c>
      <c r="E54" t="inlineStr">
        <is>
          <t>ORSA</t>
        </is>
      </c>
      <c r="F54" t="inlineStr">
        <is>
          <t>Allmännings- och besparingsskogar</t>
        </is>
      </c>
      <c r="G54" t="n">
        <v>6.9</v>
      </c>
      <c r="H54" t="n">
        <v>0</v>
      </c>
      <c r="I54" t="n">
        <v>0</v>
      </c>
      <c r="J54" t="n">
        <v>1</v>
      </c>
      <c r="K54" t="n">
        <v>0</v>
      </c>
      <c r="L54" t="n">
        <v>0</v>
      </c>
      <c r="M54" t="n">
        <v>0</v>
      </c>
      <c r="N54" t="n">
        <v>0</v>
      </c>
      <c r="O54" t="n">
        <v>1</v>
      </c>
      <c r="P54" t="n">
        <v>0</v>
      </c>
      <c r="Q54" t="n">
        <v>1</v>
      </c>
      <c r="R54" s="2" t="inlineStr">
        <is>
          <t>Skrovellav</t>
        </is>
      </c>
      <c r="S54">
        <f>HYPERLINK("https://klasma.github.io/Logging_2034/artfynd/A 35112-2023 artfynd.xlsx", "A 35112-2023")</f>
        <v/>
      </c>
      <c r="T54">
        <f>HYPERLINK("https://klasma.github.io/Logging_2034/kartor/A 35112-2023 karta.png", "A 35112-2023")</f>
        <v/>
      </c>
      <c r="V54">
        <f>HYPERLINK("https://klasma.github.io/Logging_2034/klagomål/A 35112-2023 FSC-klagomål.docx", "A 35112-2023")</f>
        <v/>
      </c>
      <c r="W54">
        <f>HYPERLINK("https://klasma.github.io/Logging_2034/klagomålsmail/A 35112-2023 FSC-klagomål mail.docx", "A 35112-2023")</f>
        <v/>
      </c>
      <c r="X54">
        <f>HYPERLINK("https://klasma.github.io/Logging_2034/tillsyn/A 35112-2023 tillsynsbegäran.docx", "A 35112-2023")</f>
        <v/>
      </c>
      <c r="Y54">
        <f>HYPERLINK("https://klasma.github.io/Logging_2034/tillsynsmail/A 35112-2023 tillsynsbegäran mail.docx", "A 35112-2023")</f>
        <v/>
      </c>
    </row>
    <row r="55" ht="15" customHeight="1">
      <c r="A55" t="inlineStr">
        <is>
          <t>A 37887-2023</t>
        </is>
      </c>
      <c r="B55" s="1" t="n">
        <v>45160</v>
      </c>
      <c r="C55" s="1" t="n">
        <v>45585</v>
      </c>
      <c r="D55" t="inlineStr">
        <is>
          <t>DALARNAS LÄN</t>
        </is>
      </c>
      <c r="E55" t="inlineStr">
        <is>
          <t>ORSA</t>
        </is>
      </c>
      <c r="F55" t="inlineStr">
        <is>
          <t>Allmännings- och besparingsskogar</t>
        </is>
      </c>
      <c r="G55" t="n">
        <v>20.5</v>
      </c>
      <c r="H55" t="n">
        <v>1</v>
      </c>
      <c r="I55" t="n">
        <v>0</v>
      </c>
      <c r="J55" t="n">
        <v>1</v>
      </c>
      <c r="K55" t="n">
        <v>0</v>
      </c>
      <c r="L55" t="n">
        <v>0</v>
      </c>
      <c r="M55" t="n">
        <v>0</v>
      </c>
      <c r="N55" t="n">
        <v>0</v>
      </c>
      <c r="O55" t="n">
        <v>1</v>
      </c>
      <c r="P55" t="n">
        <v>0</v>
      </c>
      <c r="Q55" t="n">
        <v>1</v>
      </c>
      <c r="R55" s="2" t="inlineStr">
        <is>
          <t>Varglav</t>
        </is>
      </c>
      <c r="S55">
        <f>HYPERLINK("https://klasma.github.io/Logging_2034/artfynd/A 37887-2023 artfynd.xlsx", "A 37887-2023")</f>
        <v/>
      </c>
      <c r="T55">
        <f>HYPERLINK("https://klasma.github.io/Logging_2034/kartor/A 37887-2023 karta.png", "A 37887-2023")</f>
        <v/>
      </c>
      <c r="V55">
        <f>HYPERLINK("https://klasma.github.io/Logging_2034/klagomål/A 37887-2023 FSC-klagomål.docx", "A 37887-2023")</f>
        <v/>
      </c>
      <c r="W55">
        <f>HYPERLINK("https://klasma.github.io/Logging_2034/klagomålsmail/A 37887-2023 FSC-klagomål mail.docx", "A 37887-2023")</f>
        <v/>
      </c>
      <c r="X55">
        <f>HYPERLINK("https://klasma.github.io/Logging_2034/tillsyn/A 37887-2023 tillsynsbegäran.docx", "A 37887-2023")</f>
        <v/>
      </c>
      <c r="Y55">
        <f>HYPERLINK("https://klasma.github.io/Logging_2034/tillsynsmail/A 37887-2023 tillsynsbegäran mail.docx", "A 37887-2023")</f>
        <v/>
      </c>
    </row>
    <row r="56" ht="15" customHeight="1">
      <c r="A56" t="inlineStr">
        <is>
          <t>A 40288-2023</t>
        </is>
      </c>
      <c r="B56" s="1" t="n">
        <v>45169</v>
      </c>
      <c r="C56" s="1" t="n">
        <v>45585</v>
      </c>
      <c r="D56" t="inlineStr">
        <is>
          <t>DALARNAS LÄN</t>
        </is>
      </c>
      <c r="E56" t="inlineStr">
        <is>
          <t>ORSA</t>
        </is>
      </c>
      <c r="F56" t="inlineStr">
        <is>
          <t>Allmännings- och besparingsskogar</t>
        </is>
      </c>
      <c r="G56" t="n">
        <v>4.2</v>
      </c>
      <c r="H56" t="n">
        <v>0</v>
      </c>
      <c r="I56" t="n">
        <v>0</v>
      </c>
      <c r="J56" t="n">
        <v>1</v>
      </c>
      <c r="K56" t="n">
        <v>0</v>
      </c>
      <c r="L56" t="n">
        <v>0</v>
      </c>
      <c r="M56" t="n">
        <v>0</v>
      </c>
      <c r="N56" t="n">
        <v>0</v>
      </c>
      <c r="O56" t="n">
        <v>1</v>
      </c>
      <c r="P56" t="n">
        <v>0</v>
      </c>
      <c r="Q56" t="n">
        <v>1</v>
      </c>
      <c r="R56" s="2" t="inlineStr">
        <is>
          <t>Vedflamlav</t>
        </is>
      </c>
      <c r="S56">
        <f>HYPERLINK("https://klasma.github.io/Logging_2034/artfynd/A 40288-2023 artfynd.xlsx", "A 40288-2023")</f>
        <v/>
      </c>
      <c r="T56">
        <f>HYPERLINK("https://klasma.github.io/Logging_2034/kartor/A 40288-2023 karta.png", "A 40288-2023")</f>
        <v/>
      </c>
      <c r="V56">
        <f>HYPERLINK("https://klasma.github.io/Logging_2034/klagomål/A 40288-2023 FSC-klagomål.docx", "A 40288-2023")</f>
        <v/>
      </c>
      <c r="W56">
        <f>HYPERLINK("https://klasma.github.io/Logging_2034/klagomålsmail/A 40288-2023 FSC-klagomål mail.docx", "A 40288-2023")</f>
        <v/>
      </c>
      <c r="X56">
        <f>HYPERLINK("https://klasma.github.io/Logging_2034/tillsyn/A 40288-2023 tillsynsbegäran.docx", "A 40288-2023")</f>
        <v/>
      </c>
      <c r="Y56">
        <f>HYPERLINK("https://klasma.github.io/Logging_2034/tillsynsmail/A 40288-2023 tillsynsbegäran mail.docx", "A 40288-2023")</f>
        <v/>
      </c>
    </row>
    <row r="57" ht="15" customHeight="1">
      <c r="A57" t="inlineStr">
        <is>
          <t>A 46179-2023</t>
        </is>
      </c>
      <c r="B57" s="1" t="n">
        <v>45196</v>
      </c>
      <c r="C57" s="1" t="n">
        <v>45585</v>
      </c>
      <c r="D57" t="inlineStr">
        <is>
          <t>DALARNAS LÄN</t>
        </is>
      </c>
      <c r="E57" t="inlineStr">
        <is>
          <t>ORSA</t>
        </is>
      </c>
      <c r="G57" t="n">
        <v>4.1</v>
      </c>
      <c r="H57" t="n">
        <v>0</v>
      </c>
      <c r="I57" t="n">
        <v>1</v>
      </c>
      <c r="J57" t="n">
        <v>0</v>
      </c>
      <c r="K57" t="n">
        <v>0</v>
      </c>
      <c r="L57" t="n">
        <v>0</v>
      </c>
      <c r="M57" t="n">
        <v>0</v>
      </c>
      <c r="N57" t="n">
        <v>0</v>
      </c>
      <c r="O57" t="n">
        <v>0</v>
      </c>
      <c r="P57" t="n">
        <v>0</v>
      </c>
      <c r="Q57" t="n">
        <v>1</v>
      </c>
      <c r="R57" s="2" t="inlineStr">
        <is>
          <t>Dropptaggsvamp</t>
        </is>
      </c>
      <c r="S57">
        <f>HYPERLINK("https://klasma.github.io/Logging_2034/artfynd/A 46179-2023 artfynd.xlsx", "A 46179-2023")</f>
        <v/>
      </c>
      <c r="T57">
        <f>HYPERLINK("https://klasma.github.io/Logging_2034/kartor/A 46179-2023 karta.png", "A 46179-2023")</f>
        <v/>
      </c>
      <c r="V57">
        <f>HYPERLINK("https://klasma.github.io/Logging_2034/klagomål/A 46179-2023 FSC-klagomål.docx", "A 46179-2023")</f>
        <v/>
      </c>
      <c r="W57">
        <f>HYPERLINK("https://klasma.github.io/Logging_2034/klagomålsmail/A 46179-2023 FSC-klagomål mail.docx", "A 46179-2023")</f>
        <v/>
      </c>
      <c r="X57">
        <f>HYPERLINK("https://klasma.github.io/Logging_2034/tillsyn/A 46179-2023 tillsynsbegäran.docx", "A 46179-2023")</f>
        <v/>
      </c>
      <c r="Y57">
        <f>HYPERLINK("https://klasma.github.io/Logging_2034/tillsynsmail/A 46179-2023 tillsynsbegäran mail.docx", "A 46179-2023")</f>
        <v/>
      </c>
    </row>
    <row r="58" ht="15" customHeight="1">
      <c r="A58" t="inlineStr">
        <is>
          <t>A 48452-2023</t>
        </is>
      </c>
      <c r="B58" s="1" t="n">
        <v>45206</v>
      </c>
      <c r="C58" s="1" t="n">
        <v>45585</v>
      </c>
      <c r="D58" t="inlineStr">
        <is>
          <t>DALARNAS LÄN</t>
        </is>
      </c>
      <c r="E58" t="inlineStr">
        <is>
          <t>ORSA</t>
        </is>
      </c>
      <c r="G58" t="n">
        <v>1.5</v>
      </c>
      <c r="H58" t="n">
        <v>0</v>
      </c>
      <c r="I58" t="n">
        <v>0</v>
      </c>
      <c r="J58" t="n">
        <v>1</v>
      </c>
      <c r="K58" t="n">
        <v>0</v>
      </c>
      <c r="L58" t="n">
        <v>0</v>
      </c>
      <c r="M58" t="n">
        <v>0</v>
      </c>
      <c r="N58" t="n">
        <v>0</v>
      </c>
      <c r="O58" t="n">
        <v>1</v>
      </c>
      <c r="P58" t="n">
        <v>0</v>
      </c>
      <c r="Q58" t="n">
        <v>1</v>
      </c>
      <c r="R58" s="2" t="inlineStr">
        <is>
          <t>Motaggsvamp</t>
        </is>
      </c>
      <c r="S58">
        <f>HYPERLINK("https://klasma.github.io/Logging_2034/artfynd/A 48452-2023 artfynd.xlsx", "A 48452-2023")</f>
        <v/>
      </c>
      <c r="T58">
        <f>HYPERLINK("https://klasma.github.io/Logging_2034/kartor/A 48452-2023 karta.png", "A 48452-2023")</f>
        <v/>
      </c>
      <c r="V58">
        <f>HYPERLINK("https://klasma.github.io/Logging_2034/klagomål/A 48452-2023 FSC-klagomål.docx", "A 48452-2023")</f>
        <v/>
      </c>
      <c r="W58">
        <f>HYPERLINK("https://klasma.github.io/Logging_2034/klagomålsmail/A 48452-2023 FSC-klagomål mail.docx", "A 48452-2023")</f>
        <v/>
      </c>
      <c r="X58">
        <f>HYPERLINK("https://klasma.github.io/Logging_2034/tillsyn/A 48452-2023 tillsynsbegäran.docx", "A 48452-2023")</f>
        <v/>
      </c>
      <c r="Y58">
        <f>HYPERLINK("https://klasma.github.io/Logging_2034/tillsynsmail/A 48452-2023 tillsynsbegäran mail.docx", "A 48452-2023")</f>
        <v/>
      </c>
    </row>
    <row r="59" ht="15" customHeight="1">
      <c r="A59" t="inlineStr">
        <is>
          <t>A 49515-2023</t>
        </is>
      </c>
      <c r="B59" s="1" t="n">
        <v>45211</v>
      </c>
      <c r="C59" s="1" t="n">
        <v>45585</v>
      </c>
      <c r="D59" t="inlineStr">
        <is>
          <t>DALARNAS LÄN</t>
        </is>
      </c>
      <c r="E59" t="inlineStr">
        <is>
          <t>ORSA</t>
        </is>
      </c>
      <c r="F59" t="inlineStr">
        <is>
          <t>Allmännings- och besparingsskogar</t>
        </is>
      </c>
      <c r="G59" t="n">
        <v>17.5</v>
      </c>
      <c r="H59" t="n">
        <v>0</v>
      </c>
      <c r="I59" t="n">
        <v>1</v>
      </c>
      <c r="J59" t="n">
        <v>0</v>
      </c>
      <c r="K59" t="n">
        <v>0</v>
      </c>
      <c r="L59" t="n">
        <v>0</v>
      </c>
      <c r="M59" t="n">
        <v>0</v>
      </c>
      <c r="N59" t="n">
        <v>0</v>
      </c>
      <c r="O59" t="n">
        <v>0</v>
      </c>
      <c r="P59" t="n">
        <v>0</v>
      </c>
      <c r="Q59" t="n">
        <v>1</v>
      </c>
      <c r="R59" s="2" t="inlineStr">
        <is>
          <t>Skarp dropptaggsvamp</t>
        </is>
      </c>
      <c r="S59">
        <f>HYPERLINK("https://klasma.github.io/Logging_2034/artfynd/A 49515-2023 artfynd.xlsx", "A 49515-2023")</f>
        <v/>
      </c>
      <c r="T59">
        <f>HYPERLINK("https://klasma.github.io/Logging_2034/kartor/A 49515-2023 karta.png", "A 49515-2023")</f>
        <v/>
      </c>
      <c r="V59">
        <f>HYPERLINK("https://klasma.github.io/Logging_2034/klagomål/A 49515-2023 FSC-klagomål.docx", "A 49515-2023")</f>
        <v/>
      </c>
      <c r="W59">
        <f>HYPERLINK("https://klasma.github.io/Logging_2034/klagomålsmail/A 49515-2023 FSC-klagomål mail.docx", "A 49515-2023")</f>
        <v/>
      </c>
      <c r="X59">
        <f>HYPERLINK("https://klasma.github.io/Logging_2034/tillsyn/A 49515-2023 tillsynsbegäran.docx", "A 49515-2023")</f>
        <v/>
      </c>
      <c r="Y59">
        <f>HYPERLINK("https://klasma.github.io/Logging_2034/tillsynsmail/A 49515-2023 tillsynsbegäran mail.docx", "A 49515-2023")</f>
        <v/>
      </c>
    </row>
    <row r="60" ht="15" customHeight="1">
      <c r="A60" t="inlineStr">
        <is>
          <t>A 30493-2024</t>
        </is>
      </c>
      <c r="B60" s="1" t="n">
        <v>45492</v>
      </c>
      <c r="C60" s="1" t="n">
        <v>45585</v>
      </c>
      <c r="D60" t="inlineStr">
        <is>
          <t>DALARNAS LÄN</t>
        </is>
      </c>
      <c r="E60" t="inlineStr">
        <is>
          <t>ORSA</t>
        </is>
      </c>
      <c r="F60" t="inlineStr">
        <is>
          <t>Övriga statliga verk och myndigheter</t>
        </is>
      </c>
      <c r="G60" t="n">
        <v>2.2</v>
      </c>
      <c r="H60" t="n">
        <v>0</v>
      </c>
      <c r="I60" t="n">
        <v>0</v>
      </c>
      <c r="J60" t="n">
        <v>1</v>
      </c>
      <c r="K60" t="n">
        <v>0</v>
      </c>
      <c r="L60" t="n">
        <v>0</v>
      </c>
      <c r="M60" t="n">
        <v>0</v>
      </c>
      <c r="N60" t="n">
        <v>0</v>
      </c>
      <c r="O60" t="n">
        <v>1</v>
      </c>
      <c r="P60" t="n">
        <v>0</v>
      </c>
      <c r="Q60" t="n">
        <v>1</v>
      </c>
      <c r="R60" s="2" t="inlineStr">
        <is>
          <t>Garnlav</t>
        </is>
      </c>
      <c r="S60">
        <f>HYPERLINK("https://klasma.github.io/Logging_2034/artfynd/A 30493-2024 artfynd.xlsx", "A 30493-2024")</f>
        <v/>
      </c>
      <c r="T60">
        <f>HYPERLINK("https://klasma.github.io/Logging_2034/kartor/A 30493-2024 karta.png", "A 30493-2024")</f>
        <v/>
      </c>
      <c r="V60">
        <f>HYPERLINK("https://klasma.github.io/Logging_2034/klagomål/A 30493-2024 FSC-klagomål.docx", "A 30493-2024")</f>
        <v/>
      </c>
      <c r="W60">
        <f>HYPERLINK("https://klasma.github.io/Logging_2034/klagomålsmail/A 30493-2024 FSC-klagomål mail.docx", "A 30493-2024")</f>
        <v/>
      </c>
      <c r="X60">
        <f>HYPERLINK("https://klasma.github.io/Logging_2034/tillsyn/A 30493-2024 tillsynsbegäran.docx", "A 30493-2024")</f>
        <v/>
      </c>
      <c r="Y60">
        <f>HYPERLINK("https://klasma.github.io/Logging_2034/tillsynsmail/A 30493-2024 tillsynsbegäran mail.docx", "A 30493-2024")</f>
        <v/>
      </c>
    </row>
    <row r="61" ht="15" customHeight="1">
      <c r="A61" t="inlineStr">
        <is>
          <t>A 26119-2019</t>
        </is>
      </c>
      <c r="B61" s="1" t="n">
        <v>43609</v>
      </c>
      <c r="C61" s="1" t="n">
        <v>45585</v>
      </c>
      <c r="D61" t="inlineStr">
        <is>
          <t>DALARNAS LÄN</t>
        </is>
      </c>
      <c r="E61" t="inlineStr">
        <is>
          <t>ORSA</t>
        </is>
      </c>
      <c r="F61" t="inlineStr">
        <is>
          <t>Allmännings- och besparingsskogar</t>
        </is>
      </c>
      <c r="G61" t="n">
        <v>4.7</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45585</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45585</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45585</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45585</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45585</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45585</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45585</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45585</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45585</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45585</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45585</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45585</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45585</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45585</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45585</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45585</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45585</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45585</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45585</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45585</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45585</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45585</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45585</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45585</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45585</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45585</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45585</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45585</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45585</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45585</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45585</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45585</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45585</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45585</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45585</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45585</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45585</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45585</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45585</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45585</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45585</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45585</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45585</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45585</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45585</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45585</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45585</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45585</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45585</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45585</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45585</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45585</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45585</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45585</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45585</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45585</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45585</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45585</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45585</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45585</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45585</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45585</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45585</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45585</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45585</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45585</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45585</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45585</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45585</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45585</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45585</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45585</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45585</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45585</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45585</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45585</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45585</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45585</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45585</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45585</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45585</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45585</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45585</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45585</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45585</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45585</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45585</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45585</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45585</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45585</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45585</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45585</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45585</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45585</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45585</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45585</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45585</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45585</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45585</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45585</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45585</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45585</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45585</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45585</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45585</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45585</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45585</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45585</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45585</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45585</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45585</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45585</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45585</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45585</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45585</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45585</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45585</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45585</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45585</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45585</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45585</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45585</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45585</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45585</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45585</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45585</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45585</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45585</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45585</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45585</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45585</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45585</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45585</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45585</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45585</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45585</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45585</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45585</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45585</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45585</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45585</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45585</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45585</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45585</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45585</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45585</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45585</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45585</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45585</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45585</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45585</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45585</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45585</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45585</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45585</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45585</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45585</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45585</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45585</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45585</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45585</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45585</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45585</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45585</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45585</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45585</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45585</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45585</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45585</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45585</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45585</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45585</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45585</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45585</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45585</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45585</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45585</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45585</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45585</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45585</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45585</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45585</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45585</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45585</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45585</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45585</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45585</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45585</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45585</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45585</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45585</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45585</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45585</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45585</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45585</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45585</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45585</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45585</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45585</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45585</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45585</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45585</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45585</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45585</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45585</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45585</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45585</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45585</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45585</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45585</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45585</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45585</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45585</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45585</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45585</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45585</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45585</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45585</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45585</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45585</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45585</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45585</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45585</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45585</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45585</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45585</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45585</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45585</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45585</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45585</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45585</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45585</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45585</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45585</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45585</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45585</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45585</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45585</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45585</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45585</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45585</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45585</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45585</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45585</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45585</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45585</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45585</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45585</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45585</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45585</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45585</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45585</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45585</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45585</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45585</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45585</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45585</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45585</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45585</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45585</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45585</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45585</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45585</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45585</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45585</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45585</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45585</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45585</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45585</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45585</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45585</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45585</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45585</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45585</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45585</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45585</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45585</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45585</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45585</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45585</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45585</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45585</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45585</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45585</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45585</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45585</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45585</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45585</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45585</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45585</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45585</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45585</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45585</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45585</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45585</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45585</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45585</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45585</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45585</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45585</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45585</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45585</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45585</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45585</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45585</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45585</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45585</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45585</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45585</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45585</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45585</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45585</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45585</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45585</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45585</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45585</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45585</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45585</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45585</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45585</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45585</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45585</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45585</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45585</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45585</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45585</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45585</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45585</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45585</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45585</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45585</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45585</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45585</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45585</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45585</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45585</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45585</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45585</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45585</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45585</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45585</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45585</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45585</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45585</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45585</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45585</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45585</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45585</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45585</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45585</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45585</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45585</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45585</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45585</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45585</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45585</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45585</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45585</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45585</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45585</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45585</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45585</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45585</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45585</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45585</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45585</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45585</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45585</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45585</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45585</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45585</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45585</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45585</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45585</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45585</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45585</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45585</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45585</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45585</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45585</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45585</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45585</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45585</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45585</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45585</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45585</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45585</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45585</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45585</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45585</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45585</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45585</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45585</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45585</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45585</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45585</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45585</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45585</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45585</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45585</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45585</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45585</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45585</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45585</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45585</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45585</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45585</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45585</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45585</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45585</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45585</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45585</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45585</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45585</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45585</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45585</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45585</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45585</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45585</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45585</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45585</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45585</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45585</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45585</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45585</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45585</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45585</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45585</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45585</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45585</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45585</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45585</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45585</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45585</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45585</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45585</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45585</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45585</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45585</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45585</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45585</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45585</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45585</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45585</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45585</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45585</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45585</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45585</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45585</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45585</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45585</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45585</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45585</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45585</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45585</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45585</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45585</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45585</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45585</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45585</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45585</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45585</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45585</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45585</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45585</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45585</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45585</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45585</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45585</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45585</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45585</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45585</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45585</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45585</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45585</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45585</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45585</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45585</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45585</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45585</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45585</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45585</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45585</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45585</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45585</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45585</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45585</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45585</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45585</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45585</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45585</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45585</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45585</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45585</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45585</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45585</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45585</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45585</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45585</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45585</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45585</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45585</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45585</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45585</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45585</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45585</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45585</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45585</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45585</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45585</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45585</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45585</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45585</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45585</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45585</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45585</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45585</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45585</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45585</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45585</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45585</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45585</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45585</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45585</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45585</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45585</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45585</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45585</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45585</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45585</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45585</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45585</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45585</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45585</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45585</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45585</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45585</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45585</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45585</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45585</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45585</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45585</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45585</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45585</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45585</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45585</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45585</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45585</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45585</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45585</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45585</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45585</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45585</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45585</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45585</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45585</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45585</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45585</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45585</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45585</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45585</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45585</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45585</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45585</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45585</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45585</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45585</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45585</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45585</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45585</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45585</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45585</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45585</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45585</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45585</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45585</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45585</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45585</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45585</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45585</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45585</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45585</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45585</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45585</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37981-2024</t>
        </is>
      </c>
      <c r="B646" s="1" t="n">
        <v>45544</v>
      </c>
      <c r="C646" s="1" t="n">
        <v>45585</v>
      </c>
      <c r="D646" t="inlineStr">
        <is>
          <t>DALARNAS LÄN</t>
        </is>
      </c>
      <c r="E646" t="inlineStr">
        <is>
          <t>ORSA</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37830-2024</t>
        </is>
      </c>
      <c r="B647" s="1" t="n">
        <v>45544</v>
      </c>
      <c r="C647" s="1" t="n">
        <v>45585</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37838-2024</t>
        </is>
      </c>
      <c r="B648" s="1" t="n">
        <v>45544</v>
      </c>
      <c r="C648" s="1" t="n">
        <v>45585</v>
      </c>
      <c r="D648" t="inlineStr">
        <is>
          <t>DALARNAS LÄN</t>
        </is>
      </c>
      <c r="E648" t="inlineStr">
        <is>
          <t>ORSA</t>
        </is>
      </c>
      <c r="G648" t="n">
        <v>2.9</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45585</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39336-2024</t>
        </is>
      </c>
      <c r="B650" s="1" t="n">
        <v>45551</v>
      </c>
      <c r="C650" s="1" t="n">
        <v>45585</v>
      </c>
      <c r="D650" t="inlineStr">
        <is>
          <t>DALARNAS LÄN</t>
        </is>
      </c>
      <c r="E650" t="inlineStr">
        <is>
          <t>ORSA</t>
        </is>
      </c>
      <c r="F650" t="inlineStr">
        <is>
          <t>Allmännings- och besparingsskogar</t>
        </is>
      </c>
      <c r="G650" t="n">
        <v>5.2</v>
      </c>
      <c r="H650" t="n">
        <v>0</v>
      </c>
      <c r="I650" t="n">
        <v>0</v>
      </c>
      <c r="J650" t="n">
        <v>0</v>
      </c>
      <c r="K650" t="n">
        <v>0</v>
      </c>
      <c r="L650" t="n">
        <v>0</v>
      </c>
      <c r="M650" t="n">
        <v>0</v>
      </c>
      <c r="N650" t="n">
        <v>0</v>
      </c>
      <c r="O650" t="n">
        <v>0</v>
      </c>
      <c r="P650" t="n">
        <v>0</v>
      </c>
      <c r="Q650" t="n">
        <v>0</v>
      </c>
      <c r="R650" s="2" t="inlineStr"/>
    </row>
    <row r="651" ht="15" customHeight="1">
      <c r="A651" t="inlineStr">
        <is>
          <t>A 39475-2024</t>
        </is>
      </c>
      <c r="B651" s="1" t="n">
        <v>45551</v>
      </c>
      <c r="C651" s="1" t="n">
        <v>45585</v>
      </c>
      <c r="D651" t="inlineStr">
        <is>
          <t>DALARNAS LÄN</t>
        </is>
      </c>
      <c r="E651" t="inlineStr">
        <is>
          <t>ORSA</t>
        </is>
      </c>
      <c r="F651" t="inlineStr">
        <is>
          <t>Bergvik skog öst AB</t>
        </is>
      </c>
      <c r="G651" t="n">
        <v>11.4</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45585</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45585</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45585</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45585</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42513-2024</t>
        </is>
      </c>
      <c r="B656" s="1" t="n">
        <v>45565</v>
      </c>
      <c r="C656" s="1" t="n">
        <v>45585</v>
      </c>
      <c r="D656" t="inlineStr">
        <is>
          <t>DALARNAS LÄN</t>
        </is>
      </c>
      <c r="E656" t="inlineStr">
        <is>
          <t>ORSA</t>
        </is>
      </c>
      <c r="G656" t="n">
        <v>1.6</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45585</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45585</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45585</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43759-2024</t>
        </is>
      </c>
      <c r="B660" s="1" t="n">
        <v>45569</v>
      </c>
      <c r="C660" s="1" t="n">
        <v>45585</v>
      </c>
      <c r="D660" t="inlineStr">
        <is>
          <t>DALARNAS LÄN</t>
        </is>
      </c>
      <c r="E660" t="inlineStr">
        <is>
          <t>ORSA</t>
        </is>
      </c>
      <c r="G660" t="n">
        <v>2.1</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45585</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44909-2024</t>
        </is>
      </c>
      <c r="B662" s="1" t="n">
        <v>45575</v>
      </c>
      <c r="C662" s="1" t="n">
        <v>45585</v>
      </c>
      <c r="D662" t="inlineStr">
        <is>
          <t>DALARNAS LÄN</t>
        </is>
      </c>
      <c r="E662" t="inlineStr">
        <is>
          <t>ORSA</t>
        </is>
      </c>
      <c r="F662" t="inlineStr">
        <is>
          <t>Bergvik skog öst AB</t>
        </is>
      </c>
      <c r="G662" t="n">
        <v>0.7</v>
      </c>
      <c r="H662" t="n">
        <v>0</v>
      </c>
      <c r="I662" t="n">
        <v>0</v>
      </c>
      <c r="J662" t="n">
        <v>0</v>
      </c>
      <c r="K662" t="n">
        <v>0</v>
      </c>
      <c r="L662" t="n">
        <v>0</v>
      </c>
      <c r="M662" t="n">
        <v>0</v>
      </c>
      <c r="N662" t="n">
        <v>0</v>
      </c>
      <c r="O662" t="n">
        <v>0</v>
      </c>
      <c r="P662" t="n">
        <v>0</v>
      </c>
      <c r="Q662" t="n">
        <v>0</v>
      </c>
      <c r="R662" s="2" t="inlineStr"/>
    </row>
    <row r="663" ht="15" customHeight="1">
      <c r="A663" t="inlineStr">
        <is>
          <t>A 45020-2024</t>
        </is>
      </c>
      <c r="B663" s="1" t="n">
        <v>45575</v>
      </c>
      <c r="C663" s="1" t="n">
        <v>45585</v>
      </c>
      <c r="D663" t="inlineStr">
        <is>
          <t>DALARNAS LÄN</t>
        </is>
      </c>
      <c r="E663" t="inlineStr">
        <is>
          <t>ORSA</t>
        </is>
      </c>
      <c r="G663" t="n">
        <v>5.1</v>
      </c>
      <c r="H663" t="n">
        <v>0</v>
      </c>
      <c r="I663" t="n">
        <v>0</v>
      </c>
      <c r="J663" t="n">
        <v>0</v>
      </c>
      <c r="K663" t="n">
        <v>0</v>
      </c>
      <c r="L663" t="n">
        <v>0</v>
      </c>
      <c r="M663" t="n">
        <v>0</v>
      </c>
      <c r="N663" t="n">
        <v>0</v>
      </c>
      <c r="O663" t="n">
        <v>0</v>
      </c>
      <c r="P663" t="n">
        <v>0</v>
      </c>
      <c r="Q663" t="n">
        <v>0</v>
      </c>
      <c r="R663" s="2" t="inlineStr"/>
    </row>
    <row r="664" ht="15" customHeight="1">
      <c r="A664" t="inlineStr">
        <is>
          <t>A 45028-2024</t>
        </is>
      </c>
      <c r="B664" s="1" t="n">
        <v>45575</v>
      </c>
      <c r="C664" s="1" t="n">
        <v>45585</v>
      </c>
      <c r="D664" t="inlineStr">
        <is>
          <t>DALARNAS LÄN</t>
        </is>
      </c>
      <c r="E664" t="inlineStr">
        <is>
          <t>ORSA</t>
        </is>
      </c>
      <c r="G664" t="n">
        <v>2.4</v>
      </c>
      <c r="H664" t="n">
        <v>0</v>
      </c>
      <c r="I664" t="n">
        <v>0</v>
      </c>
      <c r="J664" t="n">
        <v>0</v>
      </c>
      <c r="K664" t="n">
        <v>0</v>
      </c>
      <c r="L664" t="n">
        <v>0</v>
      </c>
      <c r="M664" t="n">
        <v>0</v>
      </c>
      <c r="N664" t="n">
        <v>0</v>
      </c>
      <c r="O664" t="n">
        <v>0</v>
      </c>
      <c r="P664" t="n">
        <v>0</v>
      </c>
      <c r="Q664" t="n">
        <v>0</v>
      </c>
      <c r="R664" s="2" t="inlineStr"/>
    </row>
    <row r="665" ht="15" customHeight="1">
      <c r="A665" t="inlineStr">
        <is>
          <t>A 44904-2024</t>
        </is>
      </c>
      <c r="B665" s="1" t="n">
        <v>45575</v>
      </c>
      <c r="C665" s="1" t="n">
        <v>45585</v>
      </c>
      <c r="D665" t="inlineStr">
        <is>
          <t>DALARNAS LÄN</t>
        </is>
      </c>
      <c r="E665" t="inlineStr">
        <is>
          <t>ORSA</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45096-2024</t>
        </is>
      </c>
      <c r="B666" s="1" t="n">
        <v>45575</v>
      </c>
      <c r="C666" s="1" t="n">
        <v>45585</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row r="667" ht="15" customHeight="1">
      <c r="A667" t="inlineStr">
        <is>
          <t>A 45887-2024</t>
        </is>
      </c>
      <c r="B667" s="1" t="n">
        <v>45580</v>
      </c>
      <c r="C667" s="1" t="n">
        <v>45585</v>
      </c>
      <c r="D667" t="inlineStr">
        <is>
          <t>DALARNAS LÄN</t>
        </is>
      </c>
      <c r="E667" t="inlineStr">
        <is>
          <t>ORSA</t>
        </is>
      </c>
      <c r="F667" t="inlineStr">
        <is>
          <t>Kommuner</t>
        </is>
      </c>
      <c r="G667" t="n">
        <v>6.5</v>
      </c>
      <c r="H667" t="n">
        <v>0</v>
      </c>
      <c r="I667" t="n">
        <v>0</v>
      </c>
      <c r="J667" t="n">
        <v>0</v>
      </c>
      <c r="K667" t="n">
        <v>0</v>
      </c>
      <c r="L667" t="n">
        <v>0</v>
      </c>
      <c r="M667" t="n">
        <v>0</v>
      </c>
      <c r="N667" t="n">
        <v>0</v>
      </c>
      <c r="O667" t="n">
        <v>0</v>
      </c>
      <c r="P667" t="n">
        <v>0</v>
      </c>
      <c r="Q667" t="n">
        <v>0</v>
      </c>
      <c r="R667" s="2" t="inlineStr"/>
    </row>
    <row r="668" ht="15" customHeight="1">
      <c r="A668" t="inlineStr">
        <is>
          <t>A 46454-2024</t>
        </is>
      </c>
      <c r="B668" s="1" t="n">
        <v>45582</v>
      </c>
      <c r="C668" s="1" t="n">
        <v>45585</v>
      </c>
      <c r="D668" t="inlineStr">
        <is>
          <t>DALARNAS LÄN</t>
        </is>
      </c>
      <c r="E668" t="inlineStr">
        <is>
          <t>ORSA</t>
        </is>
      </c>
      <c r="F668" t="inlineStr">
        <is>
          <t>Övriga statliga verk och myndigheter</t>
        </is>
      </c>
      <c r="G668" t="n">
        <v>1</v>
      </c>
      <c r="H668" t="n">
        <v>0</v>
      </c>
      <c r="I668" t="n">
        <v>0</v>
      </c>
      <c r="J668" t="n">
        <v>0</v>
      </c>
      <c r="K668" t="n">
        <v>0</v>
      </c>
      <c r="L668" t="n">
        <v>0</v>
      </c>
      <c r="M668" t="n">
        <v>0</v>
      </c>
      <c r="N668" t="n">
        <v>0</v>
      </c>
      <c r="O668" t="n">
        <v>0</v>
      </c>
      <c r="P668" t="n">
        <v>0</v>
      </c>
      <c r="Q668" t="n">
        <v>0</v>
      </c>
      <c r="R668" s="2" t="inlineStr"/>
    </row>
    <row r="669">
      <c r="A669" t="inlineStr">
        <is>
          <t>A 46606-2024</t>
        </is>
      </c>
      <c r="B669" s="1" t="n">
        <v>45582</v>
      </c>
      <c r="C669" s="1" t="n">
        <v>45585</v>
      </c>
      <c r="D669" t="inlineStr">
        <is>
          <t>DALARNAS LÄN</t>
        </is>
      </c>
      <c r="E669" t="inlineStr">
        <is>
          <t>ORSA</t>
        </is>
      </c>
      <c r="G669" t="n">
        <v>1.7</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2024-10-20T12:17:34Z</dcterms:created>
  <dcterms:modified xmlns:dcterms="http://purl.org/dc/terms/" xmlns:xsi="http://www.w3.org/2001/XMLSchema-instance" xsi:type="dcterms:W3CDTF">2024-10-20T12:17:35Z</dcterms:modified>
</cp:coreProperties>
</file>