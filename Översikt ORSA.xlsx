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45922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45922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45922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45922</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45922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45922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45922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45922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45922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45922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61338-2024</t>
        </is>
      </c>
      <c r="B14" s="1" t="n">
        <v>45646</v>
      </c>
      <c r="C14" s="1" t="n">
        <v>45922</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45922</v>
      </c>
      <c r="D15" t="inlineStr">
        <is>
          <t>DALARNAS LÄN</t>
        </is>
      </c>
      <c r="E15" t="inlineStr">
        <is>
          <t>ORSA</t>
        </is>
      </c>
      <c r="G15" t="n">
        <v>2.5</v>
      </c>
      <c r="H15" t="n">
        <v>1</v>
      </c>
      <c r="I15" t="n">
        <v>3</v>
      </c>
      <c r="J15" t="n">
        <v>10</v>
      </c>
      <c r="K15" t="n">
        <v>2</v>
      </c>
      <c r="L15" t="n">
        <v>0</v>
      </c>
      <c r="M15" t="n">
        <v>0</v>
      </c>
      <c r="N15" t="n">
        <v>0</v>
      </c>
      <c r="O15" t="n">
        <v>12</v>
      </c>
      <c r="P15" t="n">
        <v>2</v>
      </c>
      <c r="Q15" t="n">
        <v>15</v>
      </c>
      <c r="R15" s="2" t="inlineStr">
        <is>
          <t>Rotfingersvamp
Tallgråticka
Backstarr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22650-2025</t>
        </is>
      </c>
      <c r="B16" s="1" t="n">
        <v>45789.46872685185</v>
      </c>
      <c r="C16" s="1" t="n">
        <v>45922</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38047-2025</t>
        </is>
      </c>
      <c r="B17" s="1" t="n">
        <v>45882.4021875</v>
      </c>
      <c r="C17" s="1" t="n">
        <v>45922</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45922</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45922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45922</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45922</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45922</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45922</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45922</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45922</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33841-2023</t>
        </is>
      </c>
      <c r="B26" s="1" t="n">
        <v>45133.66758101852</v>
      </c>
      <c r="C26" s="1" t="n">
        <v>45922</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45922</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45922</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33366-2023</t>
        </is>
      </c>
      <c r="B29" s="1" t="n">
        <v>45128</v>
      </c>
      <c r="C29" s="1" t="n">
        <v>45922</v>
      </c>
      <c r="D29" t="inlineStr">
        <is>
          <t>DALARNAS LÄN</t>
        </is>
      </c>
      <c r="E29" t="inlineStr">
        <is>
          <t>ORSA</t>
        </is>
      </c>
      <c r="F29" t="inlineStr">
        <is>
          <t>Bergvik skog väst AB</t>
        </is>
      </c>
      <c r="G29" t="n">
        <v>3.5</v>
      </c>
      <c r="H29" t="n">
        <v>1</v>
      </c>
      <c r="I29" t="n">
        <v>0</v>
      </c>
      <c r="J29" t="n">
        <v>4</v>
      </c>
      <c r="K29" t="n">
        <v>0</v>
      </c>
      <c r="L29" t="n">
        <v>0</v>
      </c>
      <c r="M29" t="n">
        <v>0</v>
      </c>
      <c r="N29" t="n">
        <v>0</v>
      </c>
      <c r="O29" t="n">
        <v>4</v>
      </c>
      <c r="P29" t="n">
        <v>0</v>
      </c>
      <c r="Q29" t="n">
        <v>4</v>
      </c>
      <c r="R29" s="2" t="inlineStr">
        <is>
          <t>Garnlav
Granticka
Tretåig hackspett
Violettgrå tagellav</t>
        </is>
      </c>
      <c r="S29">
        <f>HYPERLINK("https://klasma.github.io/Logging_2034/artfynd/A 33366-2023 artfynd.xlsx", "A 33366-2023")</f>
        <v/>
      </c>
      <c r="T29">
        <f>HYPERLINK("https://klasma.github.io/Logging_2034/kartor/A 33366-2023 karta.png", "A 33366-2023")</f>
        <v/>
      </c>
      <c r="V29">
        <f>HYPERLINK("https://klasma.github.io/Logging_2034/klagomål/A 33366-2023 FSC-klagomål.docx", "A 33366-2023")</f>
        <v/>
      </c>
      <c r="W29">
        <f>HYPERLINK("https://klasma.github.io/Logging_2034/klagomålsmail/A 33366-2023 FSC-klagomål mail.docx", "A 33366-2023")</f>
        <v/>
      </c>
      <c r="X29">
        <f>HYPERLINK("https://klasma.github.io/Logging_2034/tillsyn/A 33366-2023 tillsynsbegäran.docx", "A 33366-2023")</f>
        <v/>
      </c>
      <c r="Y29">
        <f>HYPERLINK("https://klasma.github.io/Logging_2034/tillsynsmail/A 33366-2023 tillsynsbegäran mail.docx", "A 33366-2023")</f>
        <v/>
      </c>
      <c r="Z29">
        <f>HYPERLINK("https://klasma.github.io/Logging_2034/fåglar/A 33366-2023 prioriterade fågelarter.docx", "A 33366-2023")</f>
        <v/>
      </c>
    </row>
    <row r="30" ht="15" customHeight="1">
      <c r="A30" t="inlineStr">
        <is>
          <t>A 35570-2024</t>
        </is>
      </c>
      <c r="B30" s="1" t="n">
        <v>45531</v>
      </c>
      <c r="C30" s="1" t="n">
        <v>45922</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48499-2024</t>
        </is>
      </c>
      <c r="B31" s="1" t="n">
        <v>45592</v>
      </c>
      <c r="C31" s="1" t="n">
        <v>45922</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22701-2025</t>
        </is>
      </c>
      <c r="B32" s="1" t="n">
        <v>45787</v>
      </c>
      <c r="C32" s="1" t="n">
        <v>45922</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7619-2025</t>
        </is>
      </c>
      <c r="B33" s="1" t="n">
        <v>45705</v>
      </c>
      <c r="C33" s="1" t="n">
        <v>45922</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7618-2025</t>
        </is>
      </c>
      <c r="B34" s="1" t="n">
        <v>45705</v>
      </c>
      <c r="C34" s="1" t="n">
        <v>45922</v>
      </c>
      <c r="D34" t="inlineStr">
        <is>
          <t>DALARNAS LÄN</t>
        </is>
      </c>
      <c r="E34" t="inlineStr">
        <is>
          <t>ORSA</t>
        </is>
      </c>
      <c r="G34" t="n">
        <v>0.9</v>
      </c>
      <c r="H34" t="n">
        <v>2</v>
      </c>
      <c r="I34" t="n">
        <v>0</v>
      </c>
      <c r="J34" t="n">
        <v>3</v>
      </c>
      <c r="K34" t="n">
        <v>1</v>
      </c>
      <c r="L34" t="n">
        <v>0</v>
      </c>
      <c r="M34" t="n">
        <v>0</v>
      </c>
      <c r="N34" t="n">
        <v>0</v>
      </c>
      <c r="O34" t="n">
        <v>4</v>
      </c>
      <c r="P34" t="n">
        <v>1</v>
      </c>
      <c r="Q34" t="n">
        <v>4</v>
      </c>
      <c r="R34" s="2" t="inlineStr">
        <is>
          <t>Knärot
Garnlav
Kolflarnlav
Talltita</t>
        </is>
      </c>
      <c r="S34">
        <f>HYPERLINK("https://klasma.github.io/Logging_2034/artfynd/A 7618-2025 artfynd.xlsx", "A 7618-2025")</f>
        <v/>
      </c>
      <c r="T34">
        <f>HYPERLINK("https://klasma.github.io/Logging_2034/kartor/A 7618-2025 karta.png", "A 7618-2025")</f>
        <v/>
      </c>
      <c r="U34">
        <f>HYPERLINK("https://klasma.github.io/Logging_2034/knärot/A 7618-2025 karta knärot.png", "A 7618-2025")</f>
        <v/>
      </c>
      <c r="V34">
        <f>HYPERLINK("https://klasma.github.io/Logging_2034/klagomål/A 7618-2025 FSC-klagomål.docx", "A 7618-2025")</f>
        <v/>
      </c>
      <c r="W34">
        <f>HYPERLINK("https://klasma.github.io/Logging_2034/klagomålsmail/A 7618-2025 FSC-klagomål mail.docx", "A 7618-2025")</f>
        <v/>
      </c>
      <c r="X34">
        <f>HYPERLINK("https://klasma.github.io/Logging_2034/tillsyn/A 7618-2025 tillsynsbegäran.docx", "A 7618-2025")</f>
        <v/>
      </c>
      <c r="Y34">
        <f>HYPERLINK("https://klasma.github.io/Logging_2034/tillsynsmail/A 7618-2025 tillsynsbegäran mail.docx", "A 7618-2025")</f>
        <v/>
      </c>
      <c r="Z34">
        <f>HYPERLINK("https://klasma.github.io/Logging_2034/fåglar/A 7618-2025 prioriterade fågelarter.docx", "A 7618-2025")</f>
        <v/>
      </c>
    </row>
    <row r="35" ht="15" customHeight="1">
      <c r="A35" t="inlineStr">
        <is>
          <t>A 3421-2021</t>
        </is>
      </c>
      <c r="B35" s="1" t="n">
        <v>44218</v>
      </c>
      <c r="C35" s="1" t="n">
        <v>45922</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31336-2025</t>
        </is>
      </c>
      <c r="B36" s="1" t="n">
        <v>45833</v>
      </c>
      <c r="C36" s="1" t="n">
        <v>45922</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45922</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48343-2022</t>
        </is>
      </c>
      <c r="B38" s="1" t="n">
        <v>44858</v>
      </c>
      <c r="C38" s="1" t="n">
        <v>45922</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6029-2024</t>
        </is>
      </c>
      <c r="B39" s="1" t="n">
        <v>45336</v>
      </c>
      <c r="C39" s="1" t="n">
        <v>45922</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63810-2021</t>
        </is>
      </c>
      <c r="B40" s="1" t="n">
        <v>44509</v>
      </c>
      <c r="C40" s="1" t="n">
        <v>45922</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45832.65702546296</v>
      </c>
      <c r="C41" s="1" t="n">
        <v>45922</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30493-2024</t>
        </is>
      </c>
      <c r="B42" s="1" t="n">
        <v>45492.34811342593</v>
      </c>
      <c r="C42" s="1" t="n">
        <v>45922</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37887-2023</t>
        </is>
      </c>
      <c r="B43" s="1" t="n">
        <v>45160</v>
      </c>
      <c r="C43" s="1" t="n">
        <v>45922</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41553-2025</t>
        </is>
      </c>
      <c r="B44" s="1" t="n">
        <v>45901.59108796297</v>
      </c>
      <c r="C44" s="1" t="n">
        <v>45922</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45922</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45922</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45922</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34713-2021</t>
        </is>
      </c>
      <c r="B48" s="1" t="n">
        <v>44382</v>
      </c>
      <c r="C48" s="1" t="n">
        <v>45922</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45922</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45922</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4108-2021</t>
        </is>
      </c>
      <c r="B51" s="1" t="n">
        <v>44222</v>
      </c>
      <c r="C51" s="1" t="n">
        <v>45922</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63374-2020</t>
        </is>
      </c>
      <c r="B52" s="1" t="n">
        <v>44160</v>
      </c>
      <c r="C52" s="1" t="n">
        <v>45922</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10405-2022</t>
        </is>
      </c>
      <c r="B53" s="1" t="n">
        <v>44623</v>
      </c>
      <c r="C53" s="1" t="n">
        <v>45922</v>
      </c>
      <c r="D53" t="inlineStr">
        <is>
          <t>DALARNAS LÄN</t>
        </is>
      </c>
      <c r="E53" t="inlineStr">
        <is>
          <t>ORSA</t>
        </is>
      </c>
      <c r="G53" t="n">
        <v>1.4</v>
      </c>
      <c r="H53" t="n">
        <v>0</v>
      </c>
      <c r="I53" t="n">
        <v>0</v>
      </c>
      <c r="J53" t="n">
        <v>0</v>
      </c>
      <c r="K53" t="n">
        <v>0</v>
      </c>
      <c r="L53" t="n">
        <v>0</v>
      </c>
      <c r="M53" t="n">
        <v>0</v>
      </c>
      <c r="N53" t="n">
        <v>0</v>
      </c>
      <c r="O53" t="n">
        <v>0</v>
      </c>
      <c r="P53" t="n">
        <v>0</v>
      </c>
      <c r="Q53" t="n">
        <v>0</v>
      </c>
      <c r="R53" s="2" t="inlineStr"/>
    </row>
    <row r="54" ht="15" customHeight="1">
      <c r="A54" t="inlineStr">
        <is>
          <t>A 49004-2021</t>
        </is>
      </c>
      <c r="B54" s="1" t="n">
        <v>44453.46967592592</v>
      </c>
      <c r="C54" s="1" t="n">
        <v>45922</v>
      </c>
      <c r="D54" t="inlineStr">
        <is>
          <t>DALARNAS LÄN</t>
        </is>
      </c>
      <c r="E54" t="inlineStr">
        <is>
          <t>ORSA</t>
        </is>
      </c>
      <c r="G54" t="n">
        <v>0.9</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45922</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45922</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45922</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45922</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45922</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45922</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45922</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45922</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45922</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45922</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45922</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45922</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45922</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45922</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45922</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45922</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45922</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45922</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45922</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45922</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45922</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45922</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52542-2021</t>
        </is>
      </c>
      <c r="B77" s="1" t="n">
        <v>44466</v>
      </c>
      <c r="C77" s="1" t="n">
        <v>45922</v>
      </c>
      <c r="D77" t="inlineStr">
        <is>
          <t>DALARNAS LÄN</t>
        </is>
      </c>
      <c r="E77" t="inlineStr">
        <is>
          <t>ORSA</t>
        </is>
      </c>
      <c r="G77" t="n">
        <v>0.3</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45922</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45922</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45922</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45922</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45922</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23344-2022</t>
        </is>
      </c>
      <c r="B83" s="1" t="n">
        <v>44720.54599537037</v>
      </c>
      <c r="C83" s="1" t="n">
        <v>45922</v>
      </c>
      <c r="D83" t="inlineStr">
        <is>
          <t>DALARNAS LÄN</t>
        </is>
      </c>
      <c r="E83" t="inlineStr">
        <is>
          <t>ORSA</t>
        </is>
      </c>
      <c r="G83" t="n">
        <v>0.2</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45922</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45922</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23725-2022</t>
        </is>
      </c>
      <c r="B86" s="1" t="n">
        <v>44722.33388888889</v>
      </c>
      <c r="C86" s="1" t="n">
        <v>45922</v>
      </c>
      <c r="D86" t="inlineStr">
        <is>
          <t>DALARNAS LÄN</t>
        </is>
      </c>
      <c r="E86" t="inlineStr">
        <is>
          <t>ORSA</t>
        </is>
      </c>
      <c r="F86" t="inlineStr">
        <is>
          <t>Bergvik skog öst AB</t>
        </is>
      </c>
      <c r="G86" t="n">
        <v>0.9</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45922</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45922</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45922</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45922</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45922</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45922</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45922</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66536-2020</t>
        </is>
      </c>
      <c r="B94" s="1" t="n">
        <v>44179</v>
      </c>
      <c r="C94" s="1" t="n">
        <v>45922</v>
      </c>
      <c r="D94" t="inlineStr">
        <is>
          <t>DALARNAS LÄN</t>
        </is>
      </c>
      <c r="E94" t="inlineStr">
        <is>
          <t>ORSA</t>
        </is>
      </c>
      <c r="G94" t="n">
        <v>0.7</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45922</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45922</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169-2022</t>
        </is>
      </c>
      <c r="B97" s="1" t="n">
        <v>44564</v>
      </c>
      <c r="C97" s="1" t="n">
        <v>45922</v>
      </c>
      <c r="D97" t="inlineStr">
        <is>
          <t>DALARNAS LÄN</t>
        </is>
      </c>
      <c r="E97" t="inlineStr">
        <is>
          <t>ORSA</t>
        </is>
      </c>
      <c r="F97" t="inlineStr">
        <is>
          <t>Kommuner</t>
        </is>
      </c>
      <c r="G97" t="n">
        <v>0.7</v>
      </c>
      <c r="H97" t="n">
        <v>0</v>
      </c>
      <c r="I97" t="n">
        <v>0</v>
      </c>
      <c r="J97" t="n">
        <v>0</v>
      </c>
      <c r="K97" t="n">
        <v>0</v>
      </c>
      <c r="L97" t="n">
        <v>0</v>
      </c>
      <c r="M97" t="n">
        <v>0</v>
      </c>
      <c r="N97" t="n">
        <v>0</v>
      </c>
      <c r="O97" t="n">
        <v>0</v>
      </c>
      <c r="P97" t="n">
        <v>0</v>
      </c>
      <c r="Q97" t="n">
        <v>0</v>
      </c>
      <c r="R97" s="2" t="inlineStr"/>
    </row>
    <row r="98" ht="15" customHeight="1">
      <c r="A98" t="inlineStr">
        <is>
          <t>A 51277-2021</t>
        </is>
      </c>
      <c r="B98" s="1" t="n">
        <v>44461</v>
      </c>
      <c r="C98" s="1" t="n">
        <v>45922</v>
      </c>
      <c r="D98" t="inlineStr">
        <is>
          <t>DALARNAS LÄN</t>
        </is>
      </c>
      <c r="E98" t="inlineStr">
        <is>
          <t>ORSA</t>
        </is>
      </c>
      <c r="F98" t="inlineStr">
        <is>
          <t>Allmännings- och besparingsskogar</t>
        </is>
      </c>
      <c r="G98" t="n">
        <v>0.2</v>
      </c>
      <c r="H98" t="n">
        <v>0</v>
      </c>
      <c r="I98" t="n">
        <v>0</v>
      </c>
      <c r="J98" t="n">
        <v>0</v>
      </c>
      <c r="K98" t="n">
        <v>0</v>
      </c>
      <c r="L98" t="n">
        <v>0</v>
      </c>
      <c r="M98" t="n">
        <v>0</v>
      </c>
      <c r="N98" t="n">
        <v>0</v>
      </c>
      <c r="O98" t="n">
        <v>0</v>
      </c>
      <c r="P98" t="n">
        <v>0</v>
      </c>
      <c r="Q98" t="n">
        <v>0</v>
      </c>
      <c r="R98" s="2" t="inlineStr"/>
    </row>
    <row r="99" ht="15" customHeight="1">
      <c r="A99" t="inlineStr">
        <is>
          <t>A 51278-2021</t>
        </is>
      </c>
      <c r="B99" s="1" t="n">
        <v>44461</v>
      </c>
      <c r="C99" s="1" t="n">
        <v>45922</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45922</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45922</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44035-2022</t>
        </is>
      </c>
      <c r="B102" s="1" t="n">
        <v>44838.94439814815</v>
      </c>
      <c r="C102" s="1" t="n">
        <v>45922</v>
      </c>
      <c r="D102" t="inlineStr">
        <is>
          <t>DALARNAS LÄN</t>
        </is>
      </c>
      <c r="E102" t="inlineStr">
        <is>
          <t>ORSA</t>
        </is>
      </c>
      <c r="G102" t="n">
        <v>5.8</v>
      </c>
      <c r="H102" t="n">
        <v>0</v>
      </c>
      <c r="I102" t="n">
        <v>0</v>
      </c>
      <c r="J102" t="n">
        <v>0</v>
      </c>
      <c r="K102" t="n">
        <v>0</v>
      </c>
      <c r="L102" t="n">
        <v>0</v>
      </c>
      <c r="M102" t="n">
        <v>0</v>
      </c>
      <c r="N102" t="n">
        <v>0</v>
      </c>
      <c r="O102" t="n">
        <v>0</v>
      </c>
      <c r="P102" t="n">
        <v>0</v>
      </c>
      <c r="Q102" t="n">
        <v>0</v>
      </c>
      <c r="R102" s="2" t="inlineStr"/>
    </row>
    <row r="103" ht="15" customHeight="1">
      <c r="A103" t="inlineStr">
        <is>
          <t>A 41425-2021</t>
        </is>
      </c>
      <c r="B103" s="1" t="n">
        <v>44424.71729166667</v>
      </c>
      <c r="C103" s="1" t="n">
        <v>45922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61000-2021</t>
        </is>
      </c>
      <c r="B104" s="1" t="n">
        <v>44497</v>
      </c>
      <c r="C104" s="1" t="n">
        <v>45922</v>
      </c>
      <c r="D104" t="inlineStr">
        <is>
          <t>DALARNAS LÄN</t>
        </is>
      </c>
      <c r="E104" t="inlineStr">
        <is>
          <t>ORSA</t>
        </is>
      </c>
      <c r="G104" t="n">
        <v>4.4</v>
      </c>
      <c r="H104" t="n">
        <v>0</v>
      </c>
      <c r="I104" t="n">
        <v>0</v>
      </c>
      <c r="J104" t="n">
        <v>0</v>
      </c>
      <c r="K104" t="n">
        <v>0</v>
      </c>
      <c r="L104" t="n">
        <v>0</v>
      </c>
      <c r="M104" t="n">
        <v>0</v>
      </c>
      <c r="N104" t="n">
        <v>0</v>
      </c>
      <c r="O104" t="n">
        <v>0</v>
      </c>
      <c r="P104" t="n">
        <v>0</v>
      </c>
      <c r="Q104" t="n">
        <v>0</v>
      </c>
      <c r="R104" s="2" t="inlineStr"/>
    </row>
    <row r="105" ht="15" customHeight="1">
      <c r="A105" t="inlineStr">
        <is>
          <t>A 61005-2021</t>
        </is>
      </c>
      <c r="B105" s="1" t="n">
        <v>44497</v>
      </c>
      <c r="C105" s="1" t="n">
        <v>45922</v>
      </c>
      <c r="D105" t="inlineStr">
        <is>
          <t>DALARNAS LÄN</t>
        </is>
      </c>
      <c r="E105" t="inlineStr">
        <is>
          <t>ORSA</t>
        </is>
      </c>
      <c r="G105" t="n">
        <v>1.4</v>
      </c>
      <c r="H105" t="n">
        <v>0</v>
      </c>
      <c r="I105" t="n">
        <v>0</v>
      </c>
      <c r="J105" t="n">
        <v>0</v>
      </c>
      <c r="K105" t="n">
        <v>0</v>
      </c>
      <c r="L105" t="n">
        <v>0</v>
      </c>
      <c r="M105" t="n">
        <v>0</v>
      </c>
      <c r="N105" t="n">
        <v>0</v>
      </c>
      <c r="O105" t="n">
        <v>0</v>
      </c>
      <c r="P105" t="n">
        <v>0</v>
      </c>
      <c r="Q105" t="n">
        <v>0</v>
      </c>
      <c r="R105" s="2" t="inlineStr"/>
    </row>
    <row r="106" ht="15" customHeight="1">
      <c r="A106" t="inlineStr">
        <is>
          <t>A 68230-2021</t>
        </is>
      </c>
      <c r="B106" s="1" t="n">
        <v>44526</v>
      </c>
      <c r="C106" s="1" t="n">
        <v>45922</v>
      </c>
      <c r="D106" t="inlineStr">
        <is>
          <t>DALARNAS LÄN</t>
        </is>
      </c>
      <c r="E106" t="inlineStr">
        <is>
          <t>ORSA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46244-2022</t>
        </is>
      </c>
      <c r="B107" s="1" t="n">
        <v>44847.62055555556</v>
      </c>
      <c r="C107" s="1" t="n">
        <v>45922</v>
      </c>
      <c r="D107" t="inlineStr">
        <is>
          <t>DALARNAS LÄN</t>
        </is>
      </c>
      <c r="E107" t="inlineStr">
        <is>
          <t>ORSA</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3452-2021</t>
        </is>
      </c>
      <c r="B108" s="1" t="n">
        <v>44218</v>
      </c>
      <c r="C108" s="1" t="n">
        <v>45922</v>
      </c>
      <c r="D108" t="inlineStr">
        <is>
          <t>DALARNAS LÄN</t>
        </is>
      </c>
      <c r="E108" t="inlineStr">
        <is>
          <t>ORSA</t>
        </is>
      </c>
      <c r="G108" t="n">
        <v>12.5</v>
      </c>
      <c r="H108" t="n">
        <v>0</v>
      </c>
      <c r="I108" t="n">
        <v>0</v>
      </c>
      <c r="J108" t="n">
        <v>0</v>
      </c>
      <c r="K108" t="n">
        <v>0</v>
      </c>
      <c r="L108" t="n">
        <v>0</v>
      </c>
      <c r="M108" t="n">
        <v>0</v>
      </c>
      <c r="N108" t="n">
        <v>0</v>
      </c>
      <c r="O108" t="n">
        <v>0</v>
      </c>
      <c r="P108" t="n">
        <v>0</v>
      </c>
      <c r="Q108" t="n">
        <v>0</v>
      </c>
      <c r="R108" s="2" t="inlineStr"/>
    </row>
    <row r="109" ht="15" customHeight="1">
      <c r="A109" t="inlineStr">
        <is>
          <t>A 17850-2025</t>
        </is>
      </c>
      <c r="B109" s="1" t="n">
        <v>45758.60162037037</v>
      </c>
      <c r="C109" s="1" t="n">
        <v>45922</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48819-2024</t>
        </is>
      </c>
      <c r="B110" s="1" t="n">
        <v>45593.67824074074</v>
      </c>
      <c r="C110" s="1" t="n">
        <v>45922</v>
      </c>
      <c r="D110" t="inlineStr">
        <is>
          <t>DALARNAS LÄN</t>
        </is>
      </c>
      <c r="E110" t="inlineStr">
        <is>
          <t>ORSA</t>
        </is>
      </c>
      <c r="G110" t="n">
        <v>5</v>
      </c>
      <c r="H110" t="n">
        <v>0</v>
      </c>
      <c r="I110" t="n">
        <v>0</v>
      </c>
      <c r="J110" t="n">
        <v>0</v>
      </c>
      <c r="K110" t="n">
        <v>0</v>
      </c>
      <c r="L110" t="n">
        <v>0</v>
      </c>
      <c r="M110" t="n">
        <v>0</v>
      </c>
      <c r="N110" t="n">
        <v>0</v>
      </c>
      <c r="O110" t="n">
        <v>0</v>
      </c>
      <c r="P110" t="n">
        <v>0</v>
      </c>
      <c r="Q110" t="n">
        <v>0</v>
      </c>
      <c r="R110" s="2" t="inlineStr"/>
    </row>
    <row r="111" ht="15" customHeight="1">
      <c r="A111" t="inlineStr">
        <is>
          <t>A 24969-2025</t>
        </is>
      </c>
      <c r="B111" s="1" t="n">
        <v>45799</v>
      </c>
      <c r="C111" s="1" t="n">
        <v>45922</v>
      </c>
      <c r="D111" t="inlineStr">
        <is>
          <t>DALARNAS LÄN</t>
        </is>
      </c>
      <c r="E111" t="inlineStr">
        <is>
          <t>ORSA</t>
        </is>
      </c>
      <c r="F111" t="inlineStr">
        <is>
          <t>Allmännings- och besparingsskogar</t>
        </is>
      </c>
      <c r="G111" t="n">
        <v>2.6</v>
      </c>
      <c r="H111" t="n">
        <v>0</v>
      </c>
      <c r="I111" t="n">
        <v>0</v>
      </c>
      <c r="J111" t="n">
        <v>0</v>
      </c>
      <c r="K111" t="n">
        <v>0</v>
      </c>
      <c r="L111" t="n">
        <v>0</v>
      </c>
      <c r="M111" t="n">
        <v>0</v>
      </c>
      <c r="N111" t="n">
        <v>0</v>
      </c>
      <c r="O111" t="n">
        <v>0</v>
      </c>
      <c r="P111" t="n">
        <v>0</v>
      </c>
      <c r="Q111" t="n">
        <v>0</v>
      </c>
      <c r="R111" s="2" t="inlineStr"/>
    </row>
    <row r="112" ht="15" customHeight="1">
      <c r="A112" t="inlineStr">
        <is>
          <t>A 55580-2024</t>
        </is>
      </c>
      <c r="B112" s="1" t="n">
        <v>45622.56038194444</v>
      </c>
      <c r="C112" s="1" t="n">
        <v>45922</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8107-2024</t>
        </is>
      </c>
      <c r="B113" s="1" t="n">
        <v>45351</v>
      </c>
      <c r="C113" s="1" t="n">
        <v>45922</v>
      </c>
      <c r="D113" t="inlineStr">
        <is>
          <t>DALARNAS LÄN</t>
        </is>
      </c>
      <c r="E113" t="inlineStr">
        <is>
          <t>ORSA</t>
        </is>
      </c>
      <c r="G113" t="n">
        <v>13.6</v>
      </c>
      <c r="H113" t="n">
        <v>0</v>
      </c>
      <c r="I113" t="n">
        <v>0</v>
      </c>
      <c r="J113" t="n">
        <v>0</v>
      </c>
      <c r="K113" t="n">
        <v>0</v>
      </c>
      <c r="L113" t="n">
        <v>0</v>
      </c>
      <c r="M113" t="n">
        <v>0</v>
      </c>
      <c r="N113" t="n">
        <v>0</v>
      </c>
      <c r="O113" t="n">
        <v>0</v>
      </c>
      <c r="P113" t="n">
        <v>0</v>
      </c>
      <c r="Q113" t="n">
        <v>0</v>
      </c>
      <c r="R113" s="2" t="inlineStr"/>
    </row>
    <row r="114" ht="15" customHeight="1">
      <c r="A114" t="inlineStr">
        <is>
          <t>A 41291-2021</t>
        </is>
      </c>
      <c r="B114" s="1" t="n">
        <v>44424</v>
      </c>
      <c r="C114" s="1" t="n">
        <v>45922</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21446-2024</t>
        </is>
      </c>
      <c r="B115" s="1" t="n">
        <v>45441.45840277777</v>
      </c>
      <c r="C115" s="1" t="n">
        <v>45922</v>
      </c>
      <c r="D115" t="inlineStr">
        <is>
          <t>DALARNAS LÄN</t>
        </is>
      </c>
      <c r="E115" t="inlineStr">
        <is>
          <t>ORSA</t>
        </is>
      </c>
      <c r="G115" t="n">
        <v>1.6</v>
      </c>
      <c r="H115" t="n">
        <v>0</v>
      </c>
      <c r="I115" t="n">
        <v>0</v>
      </c>
      <c r="J115" t="n">
        <v>0</v>
      </c>
      <c r="K115" t="n">
        <v>0</v>
      </c>
      <c r="L115" t="n">
        <v>0</v>
      </c>
      <c r="M115" t="n">
        <v>0</v>
      </c>
      <c r="N115" t="n">
        <v>0</v>
      </c>
      <c r="O115" t="n">
        <v>0</v>
      </c>
      <c r="P115" t="n">
        <v>0</v>
      </c>
      <c r="Q115" t="n">
        <v>0</v>
      </c>
      <c r="R115" s="2" t="inlineStr"/>
    </row>
    <row r="116" ht="15" customHeight="1">
      <c r="A116" t="inlineStr">
        <is>
          <t>A 48518-2024</t>
        </is>
      </c>
      <c r="B116" s="1" t="n">
        <v>45593.31915509259</v>
      </c>
      <c r="C116" s="1" t="n">
        <v>45922</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56711-2021</t>
        </is>
      </c>
      <c r="B117" s="1" t="n">
        <v>44481.41222222222</v>
      </c>
      <c r="C117" s="1" t="n">
        <v>45922</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49781-2023</t>
        </is>
      </c>
      <c r="B118" s="1" t="n">
        <v>45212.60275462963</v>
      </c>
      <c r="C118" s="1" t="n">
        <v>45922</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32125-2024</t>
        </is>
      </c>
      <c r="B119" s="1" t="n">
        <v>45511</v>
      </c>
      <c r="C119" s="1" t="n">
        <v>45922</v>
      </c>
      <c r="D119" t="inlineStr">
        <is>
          <t>DALARNAS LÄN</t>
        </is>
      </c>
      <c r="E119" t="inlineStr">
        <is>
          <t>ORSA</t>
        </is>
      </c>
      <c r="F119" t="inlineStr">
        <is>
          <t>Allmännings- och besparingsskogar</t>
        </is>
      </c>
      <c r="G119" t="n">
        <v>5.2</v>
      </c>
      <c r="H119" t="n">
        <v>0</v>
      </c>
      <c r="I119" t="n">
        <v>0</v>
      </c>
      <c r="J119" t="n">
        <v>0</v>
      </c>
      <c r="K119" t="n">
        <v>0</v>
      </c>
      <c r="L119" t="n">
        <v>0</v>
      </c>
      <c r="M119" t="n">
        <v>0</v>
      </c>
      <c r="N119" t="n">
        <v>0</v>
      </c>
      <c r="O119" t="n">
        <v>0</v>
      </c>
      <c r="P119" t="n">
        <v>0</v>
      </c>
      <c r="Q119" t="n">
        <v>0</v>
      </c>
      <c r="R119" s="2" t="inlineStr"/>
    </row>
    <row r="120" ht="15" customHeight="1">
      <c r="A120" t="inlineStr">
        <is>
          <t>A 51563-2023</t>
        </is>
      </c>
      <c r="B120" s="1" t="n">
        <v>45222</v>
      </c>
      <c r="C120" s="1" t="n">
        <v>45922</v>
      </c>
      <c r="D120" t="inlineStr">
        <is>
          <t>DALARNAS LÄN</t>
        </is>
      </c>
      <c r="E120" t="inlineStr">
        <is>
          <t>ORSA</t>
        </is>
      </c>
      <c r="G120" t="n">
        <v>0.5</v>
      </c>
      <c r="H120" t="n">
        <v>0</v>
      </c>
      <c r="I120" t="n">
        <v>0</v>
      </c>
      <c r="J120" t="n">
        <v>0</v>
      </c>
      <c r="K120" t="n">
        <v>0</v>
      </c>
      <c r="L120" t="n">
        <v>0</v>
      </c>
      <c r="M120" t="n">
        <v>0</v>
      </c>
      <c r="N120" t="n">
        <v>0</v>
      </c>
      <c r="O120" t="n">
        <v>0</v>
      </c>
      <c r="P120" t="n">
        <v>0</v>
      </c>
      <c r="Q120" t="n">
        <v>0</v>
      </c>
      <c r="R120" s="2" t="inlineStr"/>
    </row>
    <row r="121" ht="15" customHeight="1">
      <c r="A121" t="inlineStr">
        <is>
          <t>A 56975-2023</t>
        </is>
      </c>
      <c r="B121" s="1" t="n">
        <v>45244</v>
      </c>
      <c r="C121" s="1" t="n">
        <v>45922</v>
      </c>
      <c r="D121" t="inlineStr">
        <is>
          <t>DALARNAS LÄN</t>
        </is>
      </c>
      <c r="E121" t="inlineStr">
        <is>
          <t>ORSA</t>
        </is>
      </c>
      <c r="G121" t="n">
        <v>1.6</v>
      </c>
      <c r="H121" t="n">
        <v>0</v>
      </c>
      <c r="I121" t="n">
        <v>0</v>
      </c>
      <c r="J121" t="n">
        <v>0</v>
      </c>
      <c r="K121" t="n">
        <v>0</v>
      </c>
      <c r="L121" t="n">
        <v>0</v>
      </c>
      <c r="M121" t="n">
        <v>0</v>
      </c>
      <c r="N121" t="n">
        <v>0</v>
      </c>
      <c r="O121" t="n">
        <v>0</v>
      </c>
      <c r="P121" t="n">
        <v>0</v>
      </c>
      <c r="Q121" t="n">
        <v>0</v>
      </c>
      <c r="R121" s="2" t="inlineStr"/>
    </row>
    <row r="122" ht="15" customHeight="1">
      <c r="A122" t="inlineStr">
        <is>
          <t>A 25211-2025</t>
        </is>
      </c>
      <c r="B122" s="1" t="n">
        <v>45800.46965277778</v>
      </c>
      <c r="C122" s="1" t="n">
        <v>45922</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61279-2023</t>
        </is>
      </c>
      <c r="B123" s="1" t="n">
        <v>45264.5270949074</v>
      </c>
      <c r="C123" s="1" t="n">
        <v>45922</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63371-2023</t>
        </is>
      </c>
      <c r="B124" s="1" t="n">
        <v>45274.47642361111</v>
      </c>
      <c r="C124" s="1" t="n">
        <v>45922</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18817-2023</t>
        </is>
      </c>
      <c r="B125" s="1" t="n">
        <v>45043</v>
      </c>
      <c r="C125" s="1" t="n">
        <v>45922</v>
      </c>
      <c r="D125" t="inlineStr">
        <is>
          <t>DALARNAS LÄN</t>
        </is>
      </c>
      <c r="E125" t="inlineStr">
        <is>
          <t>ORSA</t>
        </is>
      </c>
      <c r="G125" t="n">
        <v>4.4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45922</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25172-2022</t>
        </is>
      </c>
      <c r="B127" s="1" t="n">
        <v>44729.58356481481</v>
      </c>
      <c r="C127" s="1" t="n">
        <v>45922</v>
      </c>
      <c r="D127" t="inlineStr">
        <is>
          <t>DALARNAS LÄN</t>
        </is>
      </c>
      <c r="E127" t="inlineStr">
        <is>
          <t>ORSA</t>
        </is>
      </c>
      <c r="F127" t="inlineStr">
        <is>
          <t>Bergvik skog öst AB</t>
        </is>
      </c>
      <c r="G127" t="n">
        <v>3.6</v>
      </c>
      <c r="H127" t="n">
        <v>0</v>
      </c>
      <c r="I127" t="n">
        <v>0</v>
      </c>
      <c r="J127" t="n">
        <v>0</v>
      </c>
      <c r="K127" t="n">
        <v>0</v>
      </c>
      <c r="L127" t="n">
        <v>0</v>
      </c>
      <c r="M127" t="n">
        <v>0</v>
      </c>
      <c r="N127" t="n">
        <v>0</v>
      </c>
      <c r="O127" t="n">
        <v>0</v>
      </c>
      <c r="P127" t="n">
        <v>0</v>
      </c>
      <c r="Q127" t="n">
        <v>0</v>
      </c>
      <c r="R127" s="2" t="inlineStr"/>
    </row>
    <row r="128" ht="15" customHeight="1">
      <c r="A128" t="inlineStr">
        <is>
          <t>A 72284-2021</t>
        </is>
      </c>
      <c r="B128" s="1" t="n">
        <v>44545.36940972223</v>
      </c>
      <c r="C128" s="1" t="n">
        <v>45922</v>
      </c>
      <c r="D128" t="inlineStr">
        <is>
          <t>DALARNAS LÄN</t>
        </is>
      </c>
      <c r="E128" t="inlineStr">
        <is>
          <t>ORSA</t>
        </is>
      </c>
      <c r="G128" t="n">
        <v>0.5</v>
      </c>
      <c r="H128" t="n">
        <v>0</v>
      </c>
      <c r="I128" t="n">
        <v>0</v>
      </c>
      <c r="J128" t="n">
        <v>0</v>
      </c>
      <c r="K128" t="n">
        <v>0</v>
      </c>
      <c r="L128" t="n">
        <v>0</v>
      </c>
      <c r="M128" t="n">
        <v>0</v>
      </c>
      <c r="N128" t="n">
        <v>0</v>
      </c>
      <c r="O128" t="n">
        <v>0</v>
      </c>
      <c r="P128" t="n">
        <v>0</v>
      </c>
      <c r="Q128" t="n">
        <v>0</v>
      </c>
      <c r="R128" s="2" t="inlineStr"/>
    </row>
    <row r="129" ht="15" customHeight="1">
      <c r="A129" t="inlineStr">
        <is>
          <t>A 20588-2025</t>
        </is>
      </c>
      <c r="B129" s="1" t="n">
        <v>45775</v>
      </c>
      <c r="C129" s="1" t="n">
        <v>45922</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20589-2025</t>
        </is>
      </c>
      <c r="B130" s="1" t="n">
        <v>45775</v>
      </c>
      <c r="C130" s="1" t="n">
        <v>45922</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20349-2021</t>
        </is>
      </c>
      <c r="B131" s="1" t="n">
        <v>44315.41582175926</v>
      </c>
      <c r="C131" s="1" t="n">
        <v>45922</v>
      </c>
      <c r="D131" t="inlineStr">
        <is>
          <t>DALARNAS LÄN</t>
        </is>
      </c>
      <c r="E131" t="inlineStr">
        <is>
          <t>ORSA</t>
        </is>
      </c>
      <c r="G131" t="n">
        <v>2.3</v>
      </c>
      <c r="H131" t="n">
        <v>0</v>
      </c>
      <c r="I131" t="n">
        <v>0</v>
      </c>
      <c r="J131" t="n">
        <v>0</v>
      </c>
      <c r="K131" t="n">
        <v>0</v>
      </c>
      <c r="L131" t="n">
        <v>0</v>
      </c>
      <c r="M131" t="n">
        <v>0</v>
      </c>
      <c r="N131" t="n">
        <v>0</v>
      </c>
      <c r="O131" t="n">
        <v>0</v>
      </c>
      <c r="P131" t="n">
        <v>0</v>
      </c>
      <c r="Q131" t="n">
        <v>0</v>
      </c>
      <c r="R131" s="2" t="inlineStr"/>
    </row>
    <row r="132" ht="15" customHeight="1">
      <c r="A132" t="inlineStr">
        <is>
          <t>A 8579-2025</t>
        </is>
      </c>
      <c r="B132" s="1" t="n">
        <v>45709</v>
      </c>
      <c r="C132" s="1" t="n">
        <v>45922</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33673-2023</t>
        </is>
      </c>
      <c r="B133" s="1" t="n">
        <v>45132</v>
      </c>
      <c r="C133" s="1" t="n">
        <v>45922</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61699-2020</t>
        </is>
      </c>
      <c r="B134" s="1" t="n">
        <v>44158</v>
      </c>
      <c r="C134" s="1" t="n">
        <v>45922</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24083-2021</t>
        </is>
      </c>
      <c r="B135" s="1" t="n">
        <v>44336</v>
      </c>
      <c r="C135" s="1" t="n">
        <v>45922</v>
      </c>
      <c r="D135" t="inlineStr">
        <is>
          <t>DALARNAS LÄN</t>
        </is>
      </c>
      <c r="E135" t="inlineStr">
        <is>
          <t>ORSA</t>
        </is>
      </c>
      <c r="G135" t="n">
        <v>2.3</v>
      </c>
      <c r="H135" t="n">
        <v>0</v>
      </c>
      <c r="I135" t="n">
        <v>0</v>
      </c>
      <c r="J135" t="n">
        <v>0</v>
      </c>
      <c r="K135" t="n">
        <v>0</v>
      </c>
      <c r="L135" t="n">
        <v>0</v>
      </c>
      <c r="M135" t="n">
        <v>0</v>
      </c>
      <c r="N135" t="n">
        <v>0</v>
      </c>
      <c r="O135" t="n">
        <v>0</v>
      </c>
      <c r="P135" t="n">
        <v>0</v>
      </c>
      <c r="Q135" t="n">
        <v>0</v>
      </c>
      <c r="R135" s="2" t="inlineStr"/>
    </row>
    <row r="136" ht="15" customHeight="1">
      <c r="A136" t="inlineStr">
        <is>
          <t>A 37981-2024</t>
        </is>
      </c>
      <c r="B136" s="1" t="n">
        <v>45544</v>
      </c>
      <c r="C136" s="1" t="n">
        <v>45922</v>
      </c>
      <c r="D136" t="inlineStr">
        <is>
          <t>DALARNAS LÄN</t>
        </is>
      </c>
      <c r="E136" t="inlineStr">
        <is>
          <t>ORSA</t>
        </is>
      </c>
      <c r="F136" t="inlineStr">
        <is>
          <t>Allmännings- och besparingsskogar</t>
        </is>
      </c>
      <c r="G136" t="n">
        <v>1.2</v>
      </c>
      <c r="H136" t="n">
        <v>0</v>
      </c>
      <c r="I136" t="n">
        <v>0</v>
      </c>
      <c r="J136" t="n">
        <v>0</v>
      </c>
      <c r="K136" t="n">
        <v>0</v>
      </c>
      <c r="L136" t="n">
        <v>0</v>
      </c>
      <c r="M136" t="n">
        <v>0</v>
      </c>
      <c r="N136" t="n">
        <v>0</v>
      </c>
      <c r="O136" t="n">
        <v>0</v>
      </c>
      <c r="P136" t="n">
        <v>0</v>
      </c>
      <c r="Q136" t="n">
        <v>0</v>
      </c>
      <c r="R136" s="2" t="inlineStr"/>
    </row>
    <row r="137" ht="15" customHeight="1">
      <c r="A137" t="inlineStr">
        <is>
          <t>A 597-2024</t>
        </is>
      </c>
      <c r="B137" s="1" t="n">
        <v>45299.63410879629</v>
      </c>
      <c r="C137" s="1" t="n">
        <v>45922</v>
      </c>
      <c r="D137" t="inlineStr">
        <is>
          <t>DALARNAS LÄN</t>
        </is>
      </c>
      <c r="E137" t="inlineStr">
        <is>
          <t>ORSA</t>
        </is>
      </c>
      <c r="G137" t="n">
        <v>4.4</v>
      </c>
      <c r="H137" t="n">
        <v>0</v>
      </c>
      <c r="I137" t="n">
        <v>0</v>
      </c>
      <c r="J137" t="n">
        <v>0</v>
      </c>
      <c r="K137" t="n">
        <v>0</v>
      </c>
      <c r="L137" t="n">
        <v>0</v>
      </c>
      <c r="M137" t="n">
        <v>0</v>
      </c>
      <c r="N137" t="n">
        <v>0</v>
      </c>
      <c r="O137" t="n">
        <v>0</v>
      </c>
      <c r="P137" t="n">
        <v>0</v>
      </c>
      <c r="Q137" t="n">
        <v>0</v>
      </c>
      <c r="R137" s="2" t="inlineStr"/>
    </row>
    <row r="138" ht="15" customHeight="1">
      <c r="A138" t="inlineStr">
        <is>
          <t>A 28155-2023</t>
        </is>
      </c>
      <c r="B138" s="1" t="n">
        <v>45099</v>
      </c>
      <c r="C138" s="1" t="n">
        <v>45922</v>
      </c>
      <c r="D138" t="inlineStr">
        <is>
          <t>DALARNAS LÄN</t>
        </is>
      </c>
      <c r="E138" t="inlineStr">
        <is>
          <t>ORSA</t>
        </is>
      </c>
      <c r="F138" t="inlineStr">
        <is>
          <t>Bergvik skog öst AB</t>
        </is>
      </c>
      <c r="G138" t="n">
        <v>7.8</v>
      </c>
      <c r="H138" t="n">
        <v>0</v>
      </c>
      <c r="I138" t="n">
        <v>0</v>
      </c>
      <c r="J138" t="n">
        <v>0</v>
      </c>
      <c r="K138" t="n">
        <v>0</v>
      </c>
      <c r="L138" t="n">
        <v>0</v>
      </c>
      <c r="M138" t="n">
        <v>0</v>
      </c>
      <c r="N138" t="n">
        <v>0</v>
      </c>
      <c r="O138" t="n">
        <v>0</v>
      </c>
      <c r="P138" t="n">
        <v>0</v>
      </c>
      <c r="Q138" t="n">
        <v>0</v>
      </c>
      <c r="R138" s="2" t="inlineStr"/>
    </row>
    <row r="139" ht="15" customHeight="1">
      <c r="A139" t="inlineStr">
        <is>
          <t>A 51994-2023</t>
        </is>
      </c>
      <c r="B139" s="1" t="n">
        <v>45223.5884375</v>
      </c>
      <c r="C139" s="1" t="n">
        <v>45922</v>
      </c>
      <c r="D139" t="inlineStr">
        <is>
          <t>DALARNAS LÄN</t>
        </is>
      </c>
      <c r="E139" t="inlineStr">
        <is>
          <t>ORSA</t>
        </is>
      </c>
      <c r="G139" t="n">
        <v>10.7</v>
      </c>
      <c r="H139" t="n">
        <v>0</v>
      </c>
      <c r="I139" t="n">
        <v>0</v>
      </c>
      <c r="J139" t="n">
        <v>0</v>
      </c>
      <c r="K139" t="n">
        <v>0</v>
      </c>
      <c r="L139" t="n">
        <v>0</v>
      </c>
      <c r="M139" t="n">
        <v>0</v>
      </c>
      <c r="N139" t="n">
        <v>0</v>
      </c>
      <c r="O139" t="n">
        <v>0</v>
      </c>
      <c r="P139" t="n">
        <v>0</v>
      </c>
      <c r="Q139" t="n">
        <v>0</v>
      </c>
      <c r="R139" s="2" t="inlineStr"/>
    </row>
    <row r="140" ht="15" customHeight="1">
      <c r="A140" t="inlineStr">
        <is>
          <t>A 28388-2024</t>
        </is>
      </c>
      <c r="B140" s="1" t="n">
        <v>45477.59960648148</v>
      </c>
      <c r="C140" s="1" t="n">
        <v>45922</v>
      </c>
      <c r="D140" t="inlineStr">
        <is>
          <t>DALARNAS LÄN</t>
        </is>
      </c>
      <c r="E140" t="inlineStr">
        <is>
          <t>ORSA</t>
        </is>
      </c>
      <c r="F140" t="inlineStr">
        <is>
          <t>Bergvik skog öst AB</t>
        </is>
      </c>
      <c r="G140" t="n">
        <v>3.8</v>
      </c>
      <c r="H140" t="n">
        <v>0</v>
      </c>
      <c r="I140" t="n">
        <v>0</v>
      </c>
      <c r="J140" t="n">
        <v>0</v>
      </c>
      <c r="K140" t="n">
        <v>0</v>
      </c>
      <c r="L140" t="n">
        <v>0</v>
      </c>
      <c r="M140" t="n">
        <v>0</v>
      </c>
      <c r="N140" t="n">
        <v>0</v>
      </c>
      <c r="O140" t="n">
        <v>0</v>
      </c>
      <c r="P140" t="n">
        <v>0</v>
      </c>
      <c r="Q140" t="n">
        <v>0</v>
      </c>
      <c r="R140" s="2" t="inlineStr"/>
    </row>
    <row r="141" ht="15" customHeight="1">
      <c r="A141" t="inlineStr">
        <is>
          <t>A 52903-2024</t>
        </is>
      </c>
      <c r="B141" s="1" t="n">
        <v>45610.6875462963</v>
      </c>
      <c r="C141" s="1" t="n">
        <v>45922</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26741-2025</t>
        </is>
      </c>
      <c r="B142" s="1" t="n">
        <v>45810.52444444445</v>
      </c>
      <c r="C142" s="1" t="n">
        <v>45922</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61333-2024</t>
        </is>
      </c>
      <c r="B143" s="1" t="n">
        <v>45646.35832175926</v>
      </c>
      <c r="C143" s="1" t="n">
        <v>45922</v>
      </c>
      <c r="D143" t="inlineStr">
        <is>
          <t>DALARNAS LÄN</t>
        </is>
      </c>
      <c r="E143" t="inlineStr">
        <is>
          <t>ORSA</t>
        </is>
      </c>
      <c r="G143" t="n">
        <v>11.5</v>
      </c>
      <c r="H143" t="n">
        <v>0</v>
      </c>
      <c r="I143" t="n">
        <v>0</v>
      </c>
      <c r="J143" t="n">
        <v>0</v>
      </c>
      <c r="K143" t="n">
        <v>0</v>
      </c>
      <c r="L143" t="n">
        <v>0</v>
      </c>
      <c r="M143" t="n">
        <v>0</v>
      </c>
      <c r="N143" t="n">
        <v>0</v>
      </c>
      <c r="O143" t="n">
        <v>0</v>
      </c>
      <c r="P143" t="n">
        <v>0</v>
      </c>
      <c r="Q143" t="n">
        <v>0</v>
      </c>
      <c r="R143" s="2" t="inlineStr"/>
    </row>
    <row r="144" ht="15" customHeight="1">
      <c r="A144" t="inlineStr">
        <is>
          <t>A 55280-2024</t>
        </is>
      </c>
      <c r="B144" s="1" t="n">
        <v>45621.62524305555</v>
      </c>
      <c r="C144" s="1" t="n">
        <v>45922</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20302-2023</t>
        </is>
      </c>
      <c r="B145" s="1" t="n">
        <v>45056</v>
      </c>
      <c r="C145" s="1" t="n">
        <v>45922</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19024-2021</t>
        </is>
      </c>
      <c r="B146" s="1" t="n">
        <v>44308.5053587963</v>
      </c>
      <c r="C146" s="1" t="n">
        <v>45922</v>
      </c>
      <c r="D146" t="inlineStr">
        <is>
          <t>DALARNAS LÄN</t>
        </is>
      </c>
      <c r="E146" t="inlineStr">
        <is>
          <t>ORSA</t>
        </is>
      </c>
      <c r="G146" t="n">
        <v>1.7</v>
      </c>
      <c r="H146" t="n">
        <v>0</v>
      </c>
      <c r="I146" t="n">
        <v>0</v>
      </c>
      <c r="J146" t="n">
        <v>0</v>
      </c>
      <c r="K146" t="n">
        <v>0</v>
      </c>
      <c r="L146" t="n">
        <v>0</v>
      </c>
      <c r="M146" t="n">
        <v>0</v>
      </c>
      <c r="N146" t="n">
        <v>0</v>
      </c>
      <c r="O146" t="n">
        <v>0</v>
      </c>
      <c r="P146" t="n">
        <v>0</v>
      </c>
      <c r="Q146" t="n">
        <v>0</v>
      </c>
      <c r="R146" s="2" t="inlineStr"/>
    </row>
    <row r="147" ht="15" customHeight="1">
      <c r="A147" t="inlineStr">
        <is>
          <t>A 25761-2021</t>
        </is>
      </c>
      <c r="B147" s="1" t="n">
        <v>44343</v>
      </c>
      <c r="C147" s="1" t="n">
        <v>45922</v>
      </c>
      <c r="D147" t="inlineStr">
        <is>
          <t>DALARNAS LÄN</t>
        </is>
      </c>
      <c r="E147" t="inlineStr">
        <is>
          <t>ORSA</t>
        </is>
      </c>
      <c r="G147" t="n">
        <v>3.4</v>
      </c>
      <c r="H147" t="n">
        <v>0</v>
      </c>
      <c r="I147" t="n">
        <v>0</v>
      </c>
      <c r="J147" t="n">
        <v>0</v>
      </c>
      <c r="K147" t="n">
        <v>0</v>
      </c>
      <c r="L147" t="n">
        <v>0</v>
      </c>
      <c r="M147" t="n">
        <v>0</v>
      </c>
      <c r="N147" t="n">
        <v>0</v>
      </c>
      <c r="O147" t="n">
        <v>0</v>
      </c>
      <c r="P147" t="n">
        <v>0</v>
      </c>
      <c r="Q147" t="n">
        <v>0</v>
      </c>
      <c r="R147" s="2" t="inlineStr"/>
    </row>
    <row r="148" ht="15" customHeight="1">
      <c r="A148" t="inlineStr">
        <is>
          <t>A 50392-2024</t>
        </is>
      </c>
      <c r="B148" s="1" t="n">
        <v>45601.33789351852</v>
      </c>
      <c r="C148" s="1" t="n">
        <v>45922</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21301-2023</t>
        </is>
      </c>
      <c r="B149" s="1" t="n">
        <v>45062.66613425926</v>
      </c>
      <c r="C149" s="1" t="n">
        <v>45922</v>
      </c>
      <c r="D149" t="inlineStr">
        <is>
          <t>DALARNAS LÄN</t>
        </is>
      </c>
      <c r="E149" t="inlineStr">
        <is>
          <t>ORSA</t>
        </is>
      </c>
      <c r="G149" t="n">
        <v>2.2</v>
      </c>
      <c r="H149" t="n">
        <v>0</v>
      </c>
      <c r="I149" t="n">
        <v>0</v>
      </c>
      <c r="J149" t="n">
        <v>0</v>
      </c>
      <c r="K149" t="n">
        <v>0</v>
      </c>
      <c r="L149" t="n">
        <v>0</v>
      </c>
      <c r="M149" t="n">
        <v>0</v>
      </c>
      <c r="N149" t="n">
        <v>0</v>
      </c>
      <c r="O149" t="n">
        <v>0</v>
      </c>
      <c r="P149" t="n">
        <v>0</v>
      </c>
      <c r="Q149" t="n">
        <v>0</v>
      </c>
      <c r="R149" s="2" t="inlineStr"/>
    </row>
    <row r="150" ht="15" customHeight="1">
      <c r="A150" t="inlineStr">
        <is>
          <t>A 10374-2023</t>
        </is>
      </c>
      <c r="B150" s="1" t="n">
        <v>44987.41359953704</v>
      </c>
      <c r="C150" s="1" t="n">
        <v>45922</v>
      </c>
      <c r="D150" t="inlineStr">
        <is>
          <t>DALARNAS LÄN</t>
        </is>
      </c>
      <c r="E150" t="inlineStr">
        <is>
          <t>ORSA</t>
        </is>
      </c>
      <c r="G150" t="n">
        <v>1.8</v>
      </c>
      <c r="H150" t="n">
        <v>0</v>
      </c>
      <c r="I150" t="n">
        <v>0</v>
      </c>
      <c r="J150" t="n">
        <v>0</v>
      </c>
      <c r="K150" t="n">
        <v>0</v>
      </c>
      <c r="L150" t="n">
        <v>0</v>
      </c>
      <c r="M150" t="n">
        <v>0</v>
      </c>
      <c r="N150" t="n">
        <v>0</v>
      </c>
      <c r="O150" t="n">
        <v>0</v>
      </c>
      <c r="P150" t="n">
        <v>0</v>
      </c>
      <c r="Q150" t="n">
        <v>0</v>
      </c>
      <c r="R150" s="2" t="inlineStr"/>
    </row>
    <row r="151" ht="15" customHeight="1">
      <c r="A151" t="inlineStr">
        <is>
          <t>A 28923-2024</t>
        </is>
      </c>
      <c r="B151" s="1" t="n">
        <v>45481</v>
      </c>
      <c r="C151" s="1" t="n">
        <v>45922</v>
      </c>
      <c r="D151" t="inlineStr">
        <is>
          <t>DALARNAS LÄN</t>
        </is>
      </c>
      <c r="E151" t="inlineStr">
        <is>
          <t>ORSA</t>
        </is>
      </c>
      <c r="F151" t="inlineStr">
        <is>
          <t>Allmännings- och besparingsskogar</t>
        </is>
      </c>
      <c r="G151" t="n">
        <v>13.9</v>
      </c>
      <c r="H151" t="n">
        <v>0</v>
      </c>
      <c r="I151" t="n">
        <v>0</v>
      </c>
      <c r="J151" t="n">
        <v>0</v>
      </c>
      <c r="K151" t="n">
        <v>0</v>
      </c>
      <c r="L151" t="n">
        <v>0</v>
      </c>
      <c r="M151" t="n">
        <v>0</v>
      </c>
      <c r="N151" t="n">
        <v>0</v>
      </c>
      <c r="O151" t="n">
        <v>0</v>
      </c>
      <c r="P151" t="n">
        <v>0</v>
      </c>
      <c r="Q151" t="n">
        <v>0</v>
      </c>
      <c r="R151" s="2" t="inlineStr"/>
    </row>
    <row r="152" ht="15" customHeight="1">
      <c r="A152" t="inlineStr">
        <is>
          <t>A 15113-2025</t>
        </is>
      </c>
      <c r="B152" s="1" t="n">
        <v>45744.36179398148</v>
      </c>
      <c r="C152" s="1" t="n">
        <v>45922</v>
      </c>
      <c r="D152" t="inlineStr">
        <is>
          <t>DALARNAS LÄN</t>
        </is>
      </c>
      <c r="E152" t="inlineStr">
        <is>
          <t>ORSA</t>
        </is>
      </c>
      <c r="F152" t="inlineStr">
        <is>
          <t>Allmännings- och besparingsskogar</t>
        </is>
      </c>
      <c r="G152" t="n">
        <v>3.3</v>
      </c>
      <c r="H152" t="n">
        <v>0</v>
      </c>
      <c r="I152" t="n">
        <v>0</v>
      </c>
      <c r="J152" t="n">
        <v>0</v>
      </c>
      <c r="K152" t="n">
        <v>0</v>
      </c>
      <c r="L152" t="n">
        <v>0</v>
      </c>
      <c r="M152" t="n">
        <v>0</v>
      </c>
      <c r="N152" t="n">
        <v>0</v>
      </c>
      <c r="O152" t="n">
        <v>0</v>
      </c>
      <c r="P152" t="n">
        <v>0</v>
      </c>
      <c r="Q152" t="n">
        <v>0</v>
      </c>
      <c r="R152" s="2" t="inlineStr"/>
    </row>
    <row r="153" ht="15" customHeight="1">
      <c r="A153" t="inlineStr">
        <is>
          <t>A 19932-2021</t>
        </is>
      </c>
      <c r="B153" s="1" t="n">
        <v>44313.60207175926</v>
      </c>
      <c r="C153" s="1" t="n">
        <v>45922</v>
      </c>
      <c r="D153" t="inlineStr">
        <is>
          <t>DALARNAS LÄN</t>
        </is>
      </c>
      <c r="E153" t="inlineStr">
        <is>
          <t>ORSA</t>
        </is>
      </c>
      <c r="G153" t="n">
        <v>2</v>
      </c>
      <c r="H153" t="n">
        <v>0</v>
      </c>
      <c r="I153" t="n">
        <v>0</v>
      </c>
      <c r="J153" t="n">
        <v>0</v>
      </c>
      <c r="K153" t="n">
        <v>0</v>
      </c>
      <c r="L153" t="n">
        <v>0</v>
      </c>
      <c r="M153" t="n">
        <v>0</v>
      </c>
      <c r="N153" t="n">
        <v>0</v>
      </c>
      <c r="O153" t="n">
        <v>0</v>
      </c>
      <c r="P153" t="n">
        <v>0</v>
      </c>
      <c r="Q153" t="n">
        <v>0</v>
      </c>
      <c r="R153" s="2" t="inlineStr"/>
    </row>
    <row r="154" ht="15" customHeight="1">
      <c r="A154" t="inlineStr">
        <is>
          <t>A 47732-2022</t>
        </is>
      </c>
      <c r="B154" s="1" t="n">
        <v>44854.63668981481</v>
      </c>
      <c r="C154" s="1" t="n">
        <v>45922</v>
      </c>
      <c r="D154" t="inlineStr">
        <is>
          <t>DALARNAS LÄN</t>
        </is>
      </c>
      <c r="E154" t="inlineStr">
        <is>
          <t>ORSA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36089-2023</t>
        </is>
      </c>
      <c r="B155" s="1" t="n">
        <v>45149.51068287037</v>
      </c>
      <c r="C155" s="1" t="n">
        <v>45922</v>
      </c>
      <c r="D155" t="inlineStr">
        <is>
          <t>DALARNAS LÄN</t>
        </is>
      </c>
      <c r="E155" t="inlineStr">
        <is>
          <t>ORSA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51915-2022</t>
        </is>
      </c>
      <c r="B156" s="1" t="n">
        <v>44872.62795138889</v>
      </c>
      <c r="C156" s="1" t="n">
        <v>45922</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45922</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21364-2025</t>
        </is>
      </c>
      <c r="B158" s="1" t="n">
        <v>45782</v>
      </c>
      <c r="C158" s="1" t="n">
        <v>45922</v>
      </c>
      <c r="D158" t="inlineStr">
        <is>
          <t>DALARNAS LÄN</t>
        </is>
      </c>
      <c r="E158" t="inlineStr">
        <is>
          <t>ORSA</t>
        </is>
      </c>
      <c r="F158" t="inlineStr">
        <is>
          <t>Allmännings- och besparingsskogar</t>
        </is>
      </c>
      <c r="G158" t="n">
        <v>52.6</v>
      </c>
      <c r="H158" t="n">
        <v>0</v>
      </c>
      <c r="I158" t="n">
        <v>0</v>
      </c>
      <c r="J158" t="n">
        <v>0</v>
      </c>
      <c r="K158" t="n">
        <v>0</v>
      </c>
      <c r="L158" t="n">
        <v>0</v>
      </c>
      <c r="M158" t="n">
        <v>0</v>
      </c>
      <c r="N158" t="n">
        <v>0</v>
      </c>
      <c r="O158" t="n">
        <v>0</v>
      </c>
      <c r="P158" t="n">
        <v>0</v>
      </c>
      <c r="Q158" t="n">
        <v>0</v>
      </c>
      <c r="R158" s="2" t="inlineStr"/>
    </row>
    <row r="159" ht="15" customHeight="1">
      <c r="A159" t="inlineStr">
        <is>
          <t>A 3107-2025</t>
        </is>
      </c>
      <c r="B159" s="1" t="n">
        <v>45678.68400462963</v>
      </c>
      <c r="C159" s="1" t="n">
        <v>45922</v>
      </c>
      <c r="D159" t="inlineStr">
        <is>
          <t>DALARNAS LÄN</t>
        </is>
      </c>
      <c r="E159" t="inlineStr">
        <is>
          <t>ORSA</t>
        </is>
      </c>
      <c r="G159" t="n">
        <v>2.1</v>
      </c>
      <c r="H159" t="n">
        <v>0</v>
      </c>
      <c r="I159" t="n">
        <v>0</v>
      </c>
      <c r="J159" t="n">
        <v>0</v>
      </c>
      <c r="K159" t="n">
        <v>0</v>
      </c>
      <c r="L159" t="n">
        <v>0</v>
      </c>
      <c r="M159" t="n">
        <v>0</v>
      </c>
      <c r="N159" t="n">
        <v>0</v>
      </c>
      <c r="O159" t="n">
        <v>0</v>
      </c>
      <c r="P159" t="n">
        <v>0</v>
      </c>
      <c r="Q159" t="n">
        <v>0</v>
      </c>
      <c r="R159" s="2" t="inlineStr"/>
    </row>
    <row r="160" ht="15" customHeight="1">
      <c r="A160" t="inlineStr">
        <is>
          <t>A 52912-2023</t>
        </is>
      </c>
      <c r="B160" s="1" t="n">
        <v>45226.51766203704</v>
      </c>
      <c r="C160" s="1" t="n">
        <v>45922</v>
      </c>
      <c r="D160" t="inlineStr">
        <is>
          <t>DALARNAS LÄN</t>
        </is>
      </c>
      <c r="E160" t="inlineStr">
        <is>
          <t>ORSA</t>
        </is>
      </c>
      <c r="G160" t="n">
        <v>10.9</v>
      </c>
      <c r="H160" t="n">
        <v>0</v>
      </c>
      <c r="I160" t="n">
        <v>0</v>
      </c>
      <c r="J160" t="n">
        <v>0</v>
      </c>
      <c r="K160" t="n">
        <v>0</v>
      </c>
      <c r="L160" t="n">
        <v>0</v>
      </c>
      <c r="M160" t="n">
        <v>0</v>
      </c>
      <c r="N160" t="n">
        <v>0</v>
      </c>
      <c r="O160" t="n">
        <v>0</v>
      </c>
      <c r="P160" t="n">
        <v>0</v>
      </c>
      <c r="Q160" t="n">
        <v>0</v>
      </c>
      <c r="R160" s="2" t="inlineStr"/>
    </row>
    <row r="161" ht="15" customHeight="1">
      <c r="A161" t="inlineStr">
        <is>
          <t>A 45272-2022</t>
        </is>
      </c>
      <c r="B161" s="1" t="n">
        <v>44844</v>
      </c>
      <c r="C161" s="1" t="n">
        <v>45922</v>
      </c>
      <c r="D161" t="inlineStr">
        <is>
          <t>DALARNAS LÄN</t>
        </is>
      </c>
      <c r="E161" t="inlineStr">
        <is>
          <t>ORSA</t>
        </is>
      </c>
      <c r="G161" t="n">
        <v>0.3</v>
      </c>
      <c r="H161" t="n">
        <v>0</v>
      </c>
      <c r="I161" t="n">
        <v>0</v>
      </c>
      <c r="J161" t="n">
        <v>0</v>
      </c>
      <c r="K161" t="n">
        <v>0</v>
      </c>
      <c r="L161" t="n">
        <v>0</v>
      </c>
      <c r="M161" t="n">
        <v>0</v>
      </c>
      <c r="N161" t="n">
        <v>0</v>
      </c>
      <c r="O161" t="n">
        <v>0</v>
      </c>
      <c r="P161" t="n">
        <v>0</v>
      </c>
      <c r="Q161" t="n">
        <v>0</v>
      </c>
      <c r="R161" s="2" t="inlineStr"/>
    </row>
    <row r="162" ht="15" customHeight="1">
      <c r="A162" t="inlineStr">
        <is>
          <t>A 986-2025</t>
        </is>
      </c>
      <c r="B162" s="1" t="n">
        <v>45666.42952546296</v>
      </c>
      <c r="C162" s="1" t="n">
        <v>45922</v>
      </c>
      <c r="D162" t="inlineStr">
        <is>
          <t>DALARNAS LÄN</t>
        </is>
      </c>
      <c r="E162" t="inlineStr">
        <is>
          <t>ORSA</t>
        </is>
      </c>
      <c r="G162" t="n">
        <v>5.7</v>
      </c>
      <c r="H162" t="n">
        <v>0</v>
      </c>
      <c r="I162" t="n">
        <v>0</v>
      </c>
      <c r="J162" t="n">
        <v>0</v>
      </c>
      <c r="K162" t="n">
        <v>0</v>
      </c>
      <c r="L162" t="n">
        <v>0</v>
      </c>
      <c r="M162" t="n">
        <v>0</v>
      </c>
      <c r="N162" t="n">
        <v>0</v>
      </c>
      <c r="O162" t="n">
        <v>0</v>
      </c>
      <c r="P162" t="n">
        <v>0</v>
      </c>
      <c r="Q162" t="n">
        <v>0</v>
      </c>
      <c r="R162" s="2" t="inlineStr"/>
    </row>
    <row r="163" ht="15" customHeight="1">
      <c r="A163" t="inlineStr">
        <is>
          <t>A 27190-2025</t>
        </is>
      </c>
      <c r="B163" s="1" t="n">
        <v>45812.37025462963</v>
      </c>
      <c r="C163" s="1" t="n">
        <v>45922</v>
      </c>
      <c r="D163" t="inlineStr">
        <is>
          <t>DALARNAS LÄN</t>
        </is>
      </c>
      <c r="E163" t="inlineStr">
        <is>
          <t>ORSA</t>
        </is>
      </c>
      <c r="F163" t="inlineStr">
        <is>
          <t>Bergvik skog öst AB</t>
        </is>
      </c>
      <c r="G163" t="n">
        <v>4.9</v>
      </c>
      <c r="H163" t="n">
        <v>0</v>
      </c>
      <c r="I163" t="n">
        <v>0</v>
      </c>
      <c r="J163" t="n">
        <v>0</v>
      </c>
      <c r="K163" t="n">
        <v>0</v>
      </c>
      <c r="L163" t="n">
        <v>0</v>
      </c>
      <c r="M163" t="n">
        <v>0</v>
      </c>
      <c r="N163" t="n">
        <v>0</v>
      </c>
      <c r="O163" t="n">
        <v>0</v>
      </c>
      <c r="P163" t="n">
        <v>0</v>
      </c>
      <c r="Q163" t="n">
        <v>0</v>
      </c>
      <c r="R163" s="2" t="inlineStr"/>
    </row>
    <row r="164" ht="15" customHeight="1">
      <c r="A164" t="inlineStr">
        <is>
          <t>A 37931-2023</t>
        </is>
      </c>
      <c r="B164" s="1" t="n">
        <v>45160.51721064815</v>
      </c>
      <c r="C164" s="1" t="n">
        <v>45922</v>
      </c>
      <c r="D164" t="inlineStr">
        <is>
          <t>DALARNAS LÄN</t>
        </is>
      </c>
      <c r="E164" t="inlineStr">
        <is>
          <t>ORSA</t>
        </is>
      </c>
      <c r="G164" t="n">
        <v>2.6</v>
      </c>
      <c r="H164" t="n">
        <v>0</v>
      </c>
      <c r="I164" t="n">
        <v>0</v>
      </c>
      <c r="J164" t="n">
        <v>0</v>
      </c>
      <c r="K164" t="n">
        <v>0</v>
      </c>
      <c r="L164" t="n">
        <v>0</v>
      </c>
      <c r="M164" t="n">
        <v>0</v>
      </c>
      <c r="N164" t="n">
        <v>0</v>
      </c>
      <c r="O164" t="n">
        <v>0</v>
      </c>
      <c r="P164" t="n">
        <v>0</v>
      </c>
      <c r="Q164" t="n">
        <v>0</v>
      </c>
      <c r="R164" s="2" t="inlineStr"/>
    </row>
    <row r="165" ht="15" customHeight="1">
      <c r="A165" t="inlineStr">
        <is>
          <t>A 33265-2021</t>
        </is>
      </c>
      <c r="B165" s="1" t="n">
        <v>44377</v>
      </c>
      <c r="C165" s="1" t="n">
        <v>45922</v>
      </c>
      <c r="D165" t="inlineStr">
        <is>
          <t>DALARNAS LÄN</t>
        </is>
      </c>
      <c r="E165" t="inlineStr">
        <is>
          <t>ORSA</t>
        </is>
      </c>
      <c r="G165" t="n">
        <v>1.9</v>
      </c>
      <c r="H165" t="n">
        <v>0</v>
      </c>
      <c r="I165" t="n">
        <v>0</v>
      </c>
      <c r="J165" t="n">
        <v>0</v>
      </c>
      <c r="K165" t="n">
        <v>0</v>
      </c>
      <c r="L165" t="n">
        <v>0</v>
      </c>
      <c r="M165" t="n">
        <v>0</v>
      </c>
      <c r="N165" t="n">
        <v>0</v>
      </c>
      <c r="O165" t="n">
        <v>0</v>
      </c>
      <c r="P165" t="n">
        <v>0</v>
      </c>
      <c r="Q165" t="n">
        <v>0</v>
      </c>
      <c r="R165" s="2" t="inlineStr"/>
    </row>
    <row r="166" ht="15" customHeight="1">
      <c r="A166" t="inlineStr">
        <is>
          <t>A 58842-2024</t>
        </is>
      </c>
      <c r="B166" s="1" t="n">
        <v>45636.3859837963</v>
      </c>
      <c r="C166" s="1" t="n">
        <v>45922</v>
      </c>
      <c r="D166" t="inlineStr">
        <is>
          <t>DALARNAS LÄN</t>
        </is>
      </c>
      <c r="E166" t="inlineStr">
        <is>
          <t>ORSA</t>
        </is>
      </c>
      <c r="G166" t="n">
        <v>2.8</v>
      </c>
      <c r="H166" t="n">
        <v>0</v>
      </c>
      <c r="I166" t="n">
        <v>0</v>
      </c>
      <c r="J166" t="n">
        <v>0</v>
      </c>
      <c r="K166" t="n">
        <v>0</v>
      </c>
      <c r="L166" t="n">
        <v>0</v>
      </c>
      <c r="M166" t="n">
        <v>0</v>
      </c>
      <c r="N166" t="n">
        <v>0</v>
      </c>
      <c r="O166" t="n">
        <v>0</v>
      </c>
      <c r="P166" t="n">
        <v>0</v>
      </c>
      <c r="Q166" t="n">
        <v>0</v>
      </c>
      <c r="R166" s="2" t="inlineStr"/>
    </row>
    <row r="167" ht="15" customHeight="1">
      <c r="A167" t="inlineStr">
        <is>
          <t>A 27221-2025</t>
        </is>
      </c>
      <c r="B167" s="1" t="n">
        <v>45812.42304398148</v>
      </c>
      <c r="C167" s="1" t="n">
        <v>45922</v>
      </c>
      <c r="D167" t="inlineStr">
        <is>
          <t>DALARNAS LÄN</t>
        </is>
      </c>
      <c r="E167" t="inlineStr">
        <is>
          <t>ORSA</t>
        </is>
      </c>
      <c r="F167" t="inlineStr">
        <is>
          <t>Bergvik skog öst AB</t>
        </is>
      </c>
      <c r="G167" t="n">
        <v>3.7</v>
      </c>
      <c r="H167" t="n">
        <v>0</v>
      </c>
      <c r="I167" t="n">
        <v>0</v>
      </c>
      <c r="J167" t="n">
        <v>0</v>
      </c>
      <c r="K167" t="n">
        <v>0</v>
      </c>
      <c r="L167" t="n">
        <v>0</v>
      </c>
      <c r="M167" t="n">
        <v>0</v>
      </c>
      <c r="N167" t="n">
        <v>0</v>
      </c>
      <c r="O167" t="n">
        <v>0</v>
      </c>
      <c r="P167" t="n">
        <v>0</v>
      </c>
      <c r="Q167" t="n">
        <v>0</v>
      </c>
      <c r="R167" s="2" t="inlineStr"/>
    </row>
    <row r="168" ht="15" customHeight="1">
      <c r="A168" t="inlineStr">
        <is>
          <t>A 48447-2023</t>
        </is>
      </c>
      <c r="B168" s="1" t="n">
        <v>45206.39274305556</v>
      </c>
      <c r="C168" s="1" t="n">
        <v>45922</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17508-2025</t>
        </is>
      </c>
      <c r="B169" s="1" t="n">
        <v>45757.55929398148</v>
      </c>
      <c r="C169" s="1" t="n">
        <v>45922</v>
      </c>
      <c r="D169" t="inlineStr">
        <is>
          <t>DALARNAS LÄN</t>
        </is>
      </c>
      <c r="E169" t="inlineStr">
        <is>
          <t>ORSA</t>
        </is>
      </c>
      <c r="F169" t="inlineStr">
        <is>
          <t>Bergvik skog öst AB</t>
        </is>
      </c>
      <c r="G169" t="n">
        <v>9.4</v>
      </c>
      <c r="H169" t="n">
        <v>0</v>
      </c>
      <c r="I169" t="n">
        <v>0</v>
      </c>
      <c r="J169" t="n">
        <v>0</v>
      </c>
      <c r="K169" t="n">
        <v>0</v>
      </c>
      <c r="L169" t="n">
        <v>0</v>
      </c>
      <c r="M169" t="n">
        <v>0</v>
      </c>
      <c r="N169" t="n">
        <v>0</v>
      </c>
      <c r="O169" t="n">
        <v>0</v>
      </c>
      <c r="P169" t="n">
        <v>0</v>
      </c>
      <c r="Q169" t="n">
        <v>0</v>
      </c>
      <c r="R169" s="2" t="inlineStr"/>
    </row>
    <row r="170" ht="15" customHeight="1">
      <c r="A170" t="inlineStr">
        <is>
          <t>A 27240-2025</t>
        </is>
      </c>
      <c r="B170" s="1" t="n">
        <v>45812.45170138889</v>
      </c>
      <c r="C170" s="1" t="n">
        <v>45922</v>
      </c>
      <c r="D170" t="inlineStr">
        <is>
          <t>DALARNAS LÄN</t>
        </is>
      </c>
      <c r="E170" t="inlineStr">
        <is>
          <t>ORSA</t>
        </is>
      </c>
      <c r="F170" t="inlineStr">
        <is>
          <t>Bergvik skog öst AB</t>
        </is>
      </c>
      <c r="G170" t="n">
        <v>6.8</v>
      </c>
      <c r="H170" t="n">
        <v>0</v>
      </c>
      <c r="I170" t="n">
        <v>0</v>
      </c>
      <c r="J170" t="n">
        <v>0</v>
      </c>
      <c r="K170" t="n">
        <v>0</v>
      </c>
      <c r="L170" t="n">
        <v>0</v>
      </c>
      <c r="M170" t="n">
        <v>0</v>
      </c>
      <c r="N170" t="n">
        <v>0</v>
      </c>
      <c r="O170" t="n">
        <v>0</v>
      </c>
      <c r="P170" t="n">
        <v>0</v>
      </c>
      <c r="Q170" t="n">
        <v>0</v>
      </c>
      <c r="R170" s="2" t="inlineStr"/>
    </row>
    <row r="171" ht="15" customHeight="1">
      <c r="A171" t="inlineStr">
        <is>
          <t>A 3720-2023</t>
        </is>
      </c>
      <c r="B171" s="1" t="n">
        <v>44951.36688657408</v>
      </c>
      <c r="C171" s="1" t="n">
        <v>45922</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62342-2023</t>
        </is>
      </c>
      <c r="B172" s="1" t="n">
        <v>45267.9268287037</v>
      </c>
      <c r="C172" s="1" t="n">
        <v>45922</v>
      </c>
      <c r="D172" t="inlineStr">
        <is>
          <t>DALARNAS LÄN</t>
        </is>
      </c>
      <c r="E172" t="inlineStr">
        <is>
          <t>ORSA</t>
        </is>
      </c>
      <c r="G172" t="n">
        <v>2.5</v>
      </c>
      <c r="H172" t="n">
        <v>0</v>
      </c>
      <c r="I172" t="n">
        <v>0</v>
      </c>
      <c r="J172" t="n">
        <v>0</v>
      </c>
      <c r="K172" t="n">
        <v>0</v>
      </c>
      <c r="L172" t="n">
        <v>0</v>
      </c>
      <c r="M172" t="n">
        <v>0</v>
      </c>
      <c r="N172" t="n">
        <v>0</v>
      </c>
      <c r="O172" t="n">
        <v>0</v>
      </c>
      <c r="P172" t="n">
        <v>0</v>
      </c>
      <c r="Q172" t="n">
        <v>0</v>
      </c>
      <c r="R172" s="2" t="inlineStr"/>
    </row>
    <row r="173" ht="15" customHeight="1">
      <c r="A173" t="inlineStr">
        <is>
          <t>A 6490-2025</t>
        </is>
      </c>
      <c r="B173" s="1" t="n">
        <v>45699</v>
      </c>
      <c r="C173" s="1" t="n">
        <v>45922</v>
      </c>
      <c r="D173" t="inlineStr">
        <is>
          <t>DALARNAS LÄN</t>
        </is>
      </c>
      <c r="E173" t="inlineStr">
        <is>
          <t>ORSA</t>
        </is>
      </c>
      <c r="G173" t="n">
        <v>7.5</v>
      </c>
      <c r="H173" t="n">
        <v>0</v>
      </c>
      <c r="I173" t="n">
        <v>0</v>
      </c>
      <c r="J173" t="n">
        <v>0</v>
      </c>
      <c r="K173" t="n">
        <v>0</v>
      </c>
      <c r="L173" t="n">
        <v>0</v>
      </c>
      <c r="M173" t="n">
        <v>0</v>
      </c>
      <c r="N173" t="n">
        <v>0</v>
      </c>
      <c r="O173" t="n">
        <v>0</v>
      </c>
      <c r="P173" t="n">
        <v>0</v>
      </c>
      <c r="Q173" t="n">
        <v>0</v>
      </c>
      <c r="R173" s="2" t="inlineStr"/>
    </row>
    <row r="174" ht="15" customHeight="1">
      <c r="A174" t="inlineStr">
        <is>
          <t>A 27313-2025</t>
        </is>
      </c>
      <c r="B174" s="1" t="n">
        <v>45812.58365740741</v>
      </c>
      <c r="C174" s="1" t="n">
        <v>45922</v>
      </c>
      <c r="D174" t="inlineStr">
        <is>
          <t>DALARNAS LÄN</t>
        </is>
      </c>
      <c r="E174" t="inlineStr">
        <is>
          <t>ORSA</t>
        </is>
      </c>
      <c r="F174" t="inlineStr">
        <is>
          <t>Allmännings- och besparingsskogar</t>
        </is>
      </c>
      <c r="G174" t="n">
        <v>1.4</v>
      </c>
      <c r="H174" t="n">
        <v>0</v>
      </c>
      <c r="I174" t="n">
        <v>0</v>
      </c>
      <c r="J174" t="n">
        <v>0</v>
      </c>
      <c r="K174" t="n">
        <v>0</v>
      </c>
      <c r="L174" t="n">
        <v>0</v>
      </c>
      <c r="M174" t="n">
        <v>0</v>
      </c>
      <c r="N174" t="n">
        <v>0</v>
      </c>
      <c r="O174" t="n">
        <v>0</v>
      </c>
      <c r="P174" t="n">
        <v>0</v>
      </c>
      <c r="Q174" t="n">
        <v>0</v>
      </c>
      <c r="R174" s="2" t="inlineStr"/>
    </row>
    <row r="175" ht="15" customHeight="1">
      <c r="A175" t="inlineStr">
        <is>
          <t>A 42513-2024</t>
        </is>
      </c>
      <c r="B175" s="1" t="n">
        <v>45565.53810185185</v>
      </c>
      <c r="C175" s="1" t="n">
        <v>45922</v>
      </c>
      <c r="D175" t="inlineStr">
        <is>
          <t>DALARNAS LÄN</t>
        </is>
      </c>
      <c r="E175" t="inlineStr">
        <is>
          <t>ORSA</t>
        </is>
      </c>
      <c r="G175" t="n">
        <v>1.6</v>
      </c>
      <c r="H175" t="n">
        <v>0</v>
      </c>
      <c r="I175" t="n">
        <v>0</v>
      </c>
      <c r="J175" t="n">
        <v>0</v>
      </c>
      <c r="K175" t="n">
        <v>0</v>
      </c>
      <c r="L175" t="n">
        <v>0</v>
      </c>
      <c r="M175" t="n">
        <v>0</v>
      </c>
      <c r="N175" t="n">
        <v>0</v>
      </c>
      <c r="O175" t="n">
        <v>0</v>
      </c>
      <c r="P175" t="n">
        <v>0</v>
      </c>
      <c r="Q175" t="n">
        <v>0</v>
      </c>
      <c r="R175" s="2" t="inlineStr"/>
    </row>
    <row r="176" ht="15" customHeight="1">
      <c r="A176" t="inlineStr">
        <is>
          <t>A 42517-2024</t>
        </is>
      </c>
      <c r="B176" s="1" t="n">
        <v>45565.54078703704</v>
      </c>
      <c r="C176" s="1" t="n">
        <v>45922</v>
      </c>
      <c r="D176" t="inlineStr">
        <is>
          <t>DALARNAS LÄN</t>
        </is>
      </c>
      <c r="E176" t="inlineStr">
        <is>
          <t>ORSA</t>
        </is>
      </c>
      <c r="G176" t="n">
        <v>3</v>
      </c>
      <c r="H176" t="n">
        <v>0</v>
      </c>
      <c r="I176" t="n">
        <v>0</v>
      </c>
      <c r="J176" t="n">
        <v>0</v>
      </c>
      <c r="K176" t="n">
        <v>0</v>
      </c>
      <c r="L176" t="n">
        <v>0</v>
      </c>
      <c r="M176" t="n">
        <v>0</v>
      </c>
      <c r="N176" t="n">
        <v>0</v>
      </c>
      <c r="O176" t="n">
        <v>0</v>
      </c>
      <c r="P176" t="n">
        <v>0</v>
      </c>
      <c r="Q176" t="n">
        <v>0</v>
      </c>
      <c r="R176" s="2" t="inlineStr"/>
    </row>
    <row r="177" ht="15" customHeight="1">
      <c r="A177" t="inlineStr">
        <is>
          <t>A 67842-2020</t>
        </is>
      </c>
      <c r="B177" s="1" t="n">
        <v>44182</v>
      </c>
      <c r="C177" s="1" t="n">
        <v>45922</v>
      </c>
      <c r="D177" t="inlineStr">
        <is>
          <t>DALARNAS LÄN</t>
        </is>
      </c>
      <c r="E177" t="inlineStr">
        <is>
          <t>ORSA</t>
        </is>
      </c>
      <c r="G177" t="n">
        <v>10.6</v>
      </c>
      <c r="H177" t="n">
        <v>0</v>
      </c>
      <c r="I177" t="n">
        <v>0</v>
      </c>
      <c r="J177" t="n">
        <v>0</v>
      </c>
      <c r="K177" t="n">
        <v>0</v>
      </c>
      <c r="L177" t="n">
        <v>0</v>
      </c>
      <c r="M177" t="n">
        <v>0</v>
      </c>
      <c r="N177" t="n">
        <v>0</v>
      </c>
      <c r="O177" t="n">
        <v>0</v>
      </c>
      <c r="P177" t="n">
        <v>0</v>
      </c>
      <c r="Q177" t="n">
        <v>0</v>
      </c>
      <c r="R177" s="2" t="inlineStr"/>
    </row>
    <row r="178" ht="15" customHeight="1">
      <c r="A178" t="inlineStr">
        <is>
          <t>A 52044-2023</t>
        </is>
      </c>
      <c r="B178" s="1" t="n">
        <v>45223.6365625</v>
      </c>
      <c r="C178" s="1" t="n">
        <v>45922</v>
      </c>
      <c r="D178" t="inlineStr">
        <is>
          <t>DALARNAS LÄN</t>
        </is>
      </c>
      <c r="E178" t="inlineStr">
        <is>
          <t>ORSA</t>
        </is>
      </c>
      <c r="G178" t="n">
        <v>2.6</v>
      </c>
      <c r="H178" t="n">
        <v>0</v>
      </c>
      <c r="I178" t="n">
        <v>0</v>
      </c>
      <c r="J178" t="n">
        <v>0</v>
      </c>
      <c r="K178" t="n">
        <v>0</v>
      </c>
      <c r="L178" t="n">
        <v>0</v>
      </c>
      <c r="M178" t="n">
        <v>0</v>
      </c>
      <c r="N178" t="n">
        <v>0</v>
      </c>
      <c r="O178" t="n">
        <v>0</v>
      </c>
      <c r="P178" t="n">
        <v>0</v>
      </c>
      <c r="Q178" t="n">
        <v>0</v>
      </c>
      <c r="R178" s="2" t="inlineStr"/>
    </row>
    <row r="179" ht="15" customHeight="1">
      <c r="A179" t="inlineStr">
        <is>
          <t>A 33384-2022</t>
        </is>
      </c>
      <c r="B179" s="1" t="n">
        <v>44788</v>
      </c>
      <c r="C179" s="1" t="n">
        <v>45922</v>
      </c>
      <c r="D179" t="inlineStr">
        <is>
          <t>DALARNAS LÄN</t>
        </is>
      </c>
      <c r="E179" t="inlineStr">
        <is>
          <t>ORSA</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10048-2023</t>
        </is>
      </c>
      <c r="B180" s="1" t="n">
        <v>44985.67237268519</v>
      </c>
      <c r="C180" s="1" t="n">
        <v>45922</v>
      </c>
      <c r="D180" t="inlineStr">
        <is>
          <t>DALARNAS LÄN</t>
        </is>
      </c>
      <c r="E180" t="inlineStr">
        <is>
          <t>ORSA</t>
        </is>
      </c>
      <c r="G180" t="n">
        <v>4.8</v>
      </c>
      <c r="H180" t="n">
        <v>0</v>
      </c>
      <c r="I180" t="n">
        <v>0</v>
      </c>
      <c r="J180" t="n">
        <v>0</v>
      </c>
      <c r="K180" t="n">
        <v>0</v>
      </c>
      <c r="L180" t="n">
        <v>0</v>
      </c>
      <c r="M180" t="n">
        <v>0</v>
      </c>
      <c r="N180" t="n">
        <v>0</v>
      </c>
      <c r="O180" t="n">
        <v>0</v>
      </c>
      <c r="P180" t="n">
        <v>0</v>
      </c>
      <c r="Q180" t="n">
        <v>0</v>
      </c>
      <c r="R180" s="2" t="inlineStr"/>
    </row>
    <row r="181" ht="15" customHeight="1">
      <c r="A181" t="inlineStr">
        <is>
          <t>A 51001-2021</t>
        </is>
      </c>
      <c r="B181" s="1" t="n">
        <v>44460.86221064815</v>
      </c>
      <c r="C181" s="1" t="n">
        <v>45922</v>
      </c>
      <c r="D181" t="inlineStr">
        <is>
          <t>DALARNAS LÄN</t>
        </is>
      </c>
      <c r="E181" t="inlineStr">
        <is>
          <t>ORSA</t>
        </is>
      </c>
      <c r="G181" t="n">
        <v>2.6</v>
      </c>
      <c r="H181" t="n">
        <v>0</v>
      </c>
      <c r="I181" t="n">
        <v>0</v>
      </c>
      <c r="J181" t="n">
        <v>0</v>
      </c>
      <c r="K181" t="n">
        <v>0</v>
      </c>
      <c r="L181" t="n">
        <v>0</v>
      </c>
      <c r="M181" t="n">
        <v>0</v>
      </c>
      <c r="N181" t="n">
        <v>0</v>
      </c>
      <c r="O181" t="n">
        <v>0</v>
      </c>
      <c r="P181" t="n">
        <v>0</v>
      </c>
      <c r="Q181" t="n">
        <v>0</v>
      </c>
      <c r="R181" s="2" t="inlineStr"/>
    </row>
    <row r="182" ht="15" customHeight="1">
      <c r="A182" t="inlineStr">
        <is>
          <t>A 892-2024</t>
        </is>
      </c>
      <c r="B182" s="1" t="n">
        <v>45301</v>
      </c>
      <c r="C182" s="1" t="n">
        <v>45922</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16585-2023</t>
        </is>
      </c>
      <c r="B183" s="1" t="n">
        <v>45030</v>
      </c>
      <c r="C183" s="1" t="n">
        <v>45922</v>
      </c>
      <c r="D183" t="inlineStr">
        <is>
          <t>DALARNAS LÄN</t>
        </is>
      </c>
      <c r="E183" t="inlineStr">
        <is>
          <t>ORSA</t>
        </is>
      </c>
      <c r="G183" t="n">
        <v>1</v>
      </c>
      <c r="H183" t="n">
        <v>0</v>
      </c>
      <c r="I183" t="n">
        <v>0</v>
      </c>
      <c r="J183" t="n">
        <v>0</v>
      </c>
      <c r="K183" t="n">
        <v>0</v>
      </c>
      <c r="L183" t="n">
        <v>0</v>
      </c>
      <c r="M183" t="n">
        <v>0</v>
      </c>
      <c r="N183" t="n">
        <v>0</v>
      </c>
      <c r="O183" t="n">
        <v>0</v>
      </c>
      <c r="P183" t="n">
        <v>0</v>
      </c>
      <c r="Q183" t="n">
        <v>0</v>
      </c>
      <c r="R183" s="2" t="inlineStr"/>
    </row>
    <row r="184" ht="15" customHeight="1">
      <c r="A184" t="inlineStr">
        <is>
          <t>A 54519-2023</t>
        </is>
      </c>
      <c r="B184" s="1" t="n">
        <v>45233.58359953704</v>
      </c>
      <c r="C184" s="1" t="n">
        <v>45922</v>
      </c>
      <c r="D184" t="inlineStr">
        <is>
          <t>DALARNAS LÄN</t>
        </is>
      </c>
      <c r="E184" t="inlineStr">
        <is>
          <t>ORSA</t>
        </is>
      </c>
      <c r="F184" t="inlineStr">
        <is>
          <t>Allmännings- och besparingsskogar</t>
        </is>
      </c>
      <c r="G184" t="n">
        <v>0.5</v>
      </c>
      <c r="H184" t="n">
        <v>0</v>
      </c>
      <c r="I184" t="n">
        <v>0</v>
      </c>
      <c r="J184" t="n">
        <v>0</v>
      </c>
      <c r="K184" t="n">
        <v>0</v>
      </c>
      <c r="L184" t="n">
        <v>0</v>
      </c>
      <c r="M184" t="n">
        <v>0</v>
      </c>
      <c r="N184" t="n">
        <v>0</v>
      </c>
      <c r="O184" t="n">
        <v>0</v>
      </c>
      <c r="P184" t="n">
        <v>0</v>
      </c>
      <c r="Q184" t="n">
        <v>0</v>
      </c>
      <c r="R184" s="2" t="inlineStr"/>
    </row>
    <row r="185" ht="15" customHeight="1">
      <c r="A185" t="inlineStr">
        <is>
          <t>A 10645-2025</t>
        </is>
      </c>
      <c r="B185" s="1" t="n">
        <v>45721.66297453704</v>
      </c>
      <c r="C185" s="1" t="n">
        <v>45922</v>
      </c>
      <c r="D185" t="inlineStr">
        <is>
          <t>DALARNAS LÄN</t>
        </is>
      </c>
      <c r="E185" t="inlineStr">
        <is>
          <t>ORSA</t>
        </is>
      </c>
      <c r="F185" t="inlineStr">
        <is>
          <t>Bergvik skog öst AB</t>
        </is>
      </c>
      <c r="G185" t="n">
        <v>5.8</v>
      </c>
      <c r="H185" t="n">
        <v>0</v>
      </c>
      <c r="I185" t="n">
        <v>0</v>
      </c>
      <c r="J185" t="n">
        <v>0</v>
      </c>
      <c r="K185" t="n">
        <v>0</v>
      </c>
      <c r="L185" t="n">
        <v>0</v>
      </c>
      <c r="M185" t="n">
        <v>0</v>
      </c>
      <c r="N185" t="n">
        <v>0</v>
      </c>
      <c r="O185" t="n">
        <v>0</v>
      </c>
      <c r="P185" t="n">
        <v>0</v>
      </c>
      <c r="Q185" t="n">
        <v>0</v>
      </c>
      <c r="R185" s="2" t="inlineStr"/>
    </row>
    <row r="186" ht="15" customHeight="1">
      <c r="A186" t="inlineStr">
        <is>
          <t>A 13185-2022</t>
        </is>
      </c>
      <c r="B186" s="1" t="n">
        <v>44644.48491898148</v>
      </c>
      <c r="C186" s="1" t="n">
        <v>45922</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3168-2024</t>
        </is>
      </c>
      <c r="B187" s="1" t="n">
        <v>45316.62863425926</v>
      </c>
      <c r="C187" s="1" t="n">
        <v>45922</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12101-2025</t>
        </is>
      </c>
      <c r="B188" s="1" t="n">
        <v>45729.33743055556</v>
      </c>
      <c r="C188" s="1" t="n">
        <v>45922</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33488-2024</t>
        </is>
      </c>
      <c r="B189" s="1" t="n">
        <v>45519.61466435185</v>
      </c>
      <c r="C189" s="1" t="n">
        <v>45922</v>
      </c>
      <c r="D189" t="inlineStr">
        <is>
          <t>DALARNAS LÄN</t>
        </is>
      </c>
      <c r="E189" t="inlineStr">
        <is>
          <t>ORSA</t>
        </is>
      </c>
      <c r="F189" t="inlineStr">
        <is>
          <t>Övriga statliga verk och myndigheter</t>
        </is>
      </c>
      <c r="G189" t="n">
        <v>0.5</v>
      </c>
      <c r="H189" t="n">
        <v>0</v>
      </c>
      <c r="I189" t="n">
        <v>0</v>
      </c>
      <c r="J189" t="n">
        <v>0</v>
      </c>
      <c r="K189" t="n">
        <v>0</v>
      </c>
      <c r="L189" t="n">
        <v>0</v>
      </c>
      <c r="M189" t="n">
        <v>0</v>
      </c>
      <c r="N189" t="n">
        <v>0</v>
      </c>
      <c r="O189" t="n">
        <v>0</v>
      </c>
      <c r="P189" t="n">
        <v>0</v>
      </c>
      <c r="Q189" t="n">
        <v>0</v>
      </c>
      <c r="R189" s="2" t="inlineStr"/>
    </row>
    <row r="190" ht="15" customHeight="1">
      <c r="A190" t="inlineStr">
        <is>
          <t>A 27866-2025</t>
        </is>
      </c>
      <c r="B190" s="1" t="n">
        <v>45817.4262962963</v>
      </c>
      <c r="C190" s="1" t="n">
        <v>45922</v>
      </c>
      <c r="D190" t="inlineStr">
        <is>
          <t>DALARNAS LÄN</t>
        </is>
      </c>
      <c r="E190" t="inlineStr">
        <is>
          <t>ORSA</t>
        </is>
      </c>
      <c r="F190" t="inlineStr">
        <is>
          <t>Allmännings- och besparingsskogar</t>
        </is>
      </c>
      <c r="G190" t="n">
        <v>6</v>
      </c>
      <c r="H190" t="n">
        <v>0</v>
      </c>
      <c r="I190" t="n">
        <v>0</v>
      </c>
      <c r="J190" t="n">
        <v>0</v>
      </c>
      <c r="K190" t="n">
        <v>0</v>
      </c>
      <c r="L190" t="n">
        <v>0</v>
      </c>
      <c r="M190" t="n">
        <v>0</v>
      </c>
      <c r="N190" t="n">
        <v>0</v>
      </c>
      <c r="O190" t="n">
        <v>0</v>
      </c>
      <c r="P190" t="n">
        <v>0</v>
      </c>
      <c r="Q190" t="n">
        <v>0</v>
      </c>
      <c r="R190" s="2" t="inlineStr"/>
    </row>
    <row r="191" ht="15" customHeight="1">
      <c r="A191" t="inlineStr">
        <is>
          <t>A 34125-2023</t>
        </is>
      </c>
      <c r="B191" s="1" t="n">
        <v>45135</v>
      </c>
      <c r="C191" s="1" t="n">
        <v>45922</v>
      </c>
      <c r="D191" t="inlineStr">
        <is>
          <t>DALARNAS LÄN</t>
        </is>
      </c>
      <c r="E191" t="inlineStr">
        <is>
          <t>ORSA</t>
        </is>
      </c>
      <c r="G191" t="n">
        <v>2.7</v>
      </c>
      <c r="H191" t="n">
        <v>0</v>
      </c>
      <c r="I191" t="n">
        <v>0</v>
      </c>
      <c r="J191" t="n">
        <v>0</v>
      </c>
      <c r="K191" t="n">
        <v>0</v>
      </c>
      <c r="L191" t="n">
        <v>0</v>
      </c>
      <c r="M191" t="n">
        <v>0</v>
      </c>
      <c r="N191" t="n">
        <v>0</v>
      </c>
      <c r="O191" t="n">
        <v>0</v>
      </c>
      <c r="P191" t="n">
        <v>0</v>
      </c>
      <c r="Q191" t="n">
        <v>0</v>
      </c>
      <c r="R191" s="2" t="inlineStr"/>
    </row>
    <row r="192" ht="15" customHeight="1">
      <c r="A192" t="inlineStr">
        <is>
          <t>A 15766-2025</t>
        </is>
      </c>
      <c r="B192" s="1" t="n">
        <v>45748.58409722222</v>
      </c>
      <c r="C192" s="1" t="n">
        <v>45922</v>
      </c>
      <c r="D192" t="inlineStr">
        <is>
          <t>DALARNAS LÄN</t>
        </is>
      </c>
      <c r="E192" t="inlineStr">
        <is>
          <t>ORSA</t>
        </is>
      </c>
      <c r="F192" t="inlineStr">
        <is>
          <t>Bergvik skog öst AB</t>
        </is>
      </c>
      <c r="G192" t="n">
        <v>9</v>
      </c>
      <c r="H192" t="n">
        <v>0</v>
      </c>
      <c r="I192" t="n">
        <v>0</v>
      </c>
      <c r="J192" t="n">
        <v>0</v>
      </c>
      <c r="K192" t="n">
        <v>0</v>
      </c>
      <c r="L192" t="n">
        <v>0</v>
      </c>
      <c r="M192" t="n">
        <v>0</v>
      </c>
      <c r="N192" t="n">
        <v>0</v>
      </c>
      <c r="O192" t="n">
        <v>0</v>
      </c>
      <c r="P192" t="n">
        <v>0</v>
      </c>
      <c r="Q192" t="n">
        <v>0</v>
      </c>
      <c r="R192" s="2" t="inlineStr"/>
    </row>
    <row r="193" ht="15" customHeight="1">
      <c r="A193" t="inlineStr">
        <is>
          <t>A 28974-2024</t>
        </is>
      </c>
      <c r="B193" s="1" t="n">
        <v>45481.45445601852</v>
      </c>
      <c r="C193" s="1" t="n">
        <v>45922</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51303-2023</t>
        </is>
      </c>
      <c r="B194" s="1" t="n">
        <v>45219.55793981482</v>
      </c>
      <c r="C194" s="1" t="n">
        <v>45922</v>
      </c>
      <c r="D194" t="inlineStr">
        <is>
          <t>DALARNAS LÄN</t>
        </is>
      </c>
      <c r="E194" t="inlineStr">
        <is>
          <t>ORSA</t>
        </is>
      </c>
      <c r="G194" t="n">
        <v>1.8</v>
      </c>
      <c r="H194" t="n">
        <v>0</v>
      </c>
      <c r="I194" t="n">
        <v>0</v>
      </c>
      <c r="J194" t="n">
        <v>0</v>
      </c>
      <c r="K194" t="n">
        <v>0</v>
      </c>
      <c r="L194" t="n">
        <v>0</v>
      </c>
      <c r="M194" t="n">
        <v>0</v>
      </c>
      <c r="N194" t="n">
        <v>0</v>
      </c>
      <c r="O194" t="n">
        <v>0</v>
      </c>
      <c r="P194" t="n">
        <v>0</v>
      </c>
      <c r="Q194" t="n">
        <v>0</v>
      </c>
      <c r="R194" s="2" t="inlineStr"/>
    </row>
    <row r="195" ht="15" customHeight="1">
      <c r="A195" t="inlineStr">
        <is>
          <t>A 37770-2023</t>
        </is>
      </c>
      <c r="B195" s="1" t="n">
        <v>45159</v>
      </c>
      <c r="C195" s="1" t="n">
        <v>45922</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18312-2024</t>
        </is>
      </c>
      <c r="B196" s="1" t="n">
        <v>45422.48225694444</v>
      </c>
      <c r="C196" s="1" t="n">
        <v>45922</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51574-2023</t>
        </is>
      </c>
      <c r="B197" s="1" t="n">
        <v>45222.45090277777</v>
      </c>
      <c r="C197" s="1" t="n">
        <v>45922</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27885-2025</t>
        </is>
      </c>
      <c r="B198" s="1" t="n">
        <v>45817.45034722222</v>
      </c>
      <c r="C198" s="1" t="n">
        <v>45922</v>
      </c>
      <c r="D198" t="inlineStr">
        <is>
          <t>DALARNAS LÄN</t>
        </is>
      </c>
      <c r="E198" t="inlineStr">
        <is>
          <t>ORSA</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47564-2023</t>
        </is>
      </c>
      <c r="B199" s="1" t="n">
        <v>45203.40004629629</v>
      </c>
      <c r="C199" s="1" t="n">
        <v>45922</v>
      </c>
      <c r="D199" t="inlineStr">
        <is>
          <t>DALARNAS LÄN</t>
        </is>
      </c>
      <c r="E199" t="inlineStr">
        <is>
          <t>ORSA</t>
        </is>
      </c>
      <c r="F199" t="inlineStr">
        <is>
          <t>Allmännings- och besparingsskogar</t>
        </is>
      </c>
      <c r="G199" t="n">
        <v>0.8</v>
      </c>
      <c r="H199" t="n">
        <v>0</v>
      </c>
      <c r="I199" t="n">
        <v>0</v>
      </c>
      <c r="J199" t="n">
        <v>0</v>
      </c>
      <c r="K199" t="n">
        <v>0</v>
      </c>
      <c r="L199" t="n">
        <v>0</v>
      </c>
      <c r="M199" t="n">
        <v>0</v>
      </c>
      <c r="N199" t="n">
        <v>0</v>
      </c>
      <c r="O199" t="n">
        <v>0</v>
      </c>
      <c r="P199" t="n">
        <v>0</v>
      </c>
      <c r="Q199" t="n">
        <v>0</v>
      </c>
      <c r="R199" s="2" t="inlineStr"/>
    </row>
    <row r="200" ht="15" customHeight="1">
      <c r="A200" t="inlineStr">
        <is>
          <t>A 50061-2024</t>
        </is>
      </c>
      <c r="B200" s="1" t="n">
        <v>45600.34721064815</v>
      </c>
      <c r="C200" s="1" t="n">
        <v>45922</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72310-2021</t>
        </is>
      </c>
      <c r="B201" s="1" t="n">
        <v>44545</v>
      </c>
      <c r="C201" s="1" t="n">
        <v>45922</v>
      </c>
      <c r="D201" t="inlineStr">
        <is>
          <t>DALARNAS LÄN</t>
        </is>
      </c>
      <c r="E201" t="inlineStr">
        <is>
          <t>ORSA</t>
        </is>
      </c>
      <c r="G201" t="n">
        <v>0.5</v>
      </c>
      <c r="H201" t="n">
        <v>0</v>
      </c>
      <c r="I201" t="n">
        <v>0</v>
      </c>
      <c r="J201" t="n">
        <v>0</v>
      </c>
      <c r="K201" t="n">
        <v>0</v>
      </c>
      <c r="L201" t="n">
        <v>0</v>
      </c>
      <c r="M201" t="n">
        <v>0</v>
      </c>
      <c r="N201" t="n">
        <v>0</v>
      </c>
      <c r="O201" t="n">
        <v>0</v>
      </c>
      <c r="P201" t="n">
        <v>0</v>
      </c>
      <c r="Q201" t="n">
        <v>0</v>
      </c>
      <c r="R201" s="2" t="inlineStr"/>
    </row>
    <row r="202" ht="15" customHeight="1">
      <c r="A202" t="inlineStr">
        <is>
          <t>A 60803-2022</t>
        </is>
      </c>
      <c r="B202" s="1" t="n">
        <v>44914</v>
      </c>
      <c r="C202" s="1" t="n">
        <v>45922</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27987-2025</t>
        </is>
      </c>
      <c r="B203" s="1" t="n">
        <v>45817.58361111111</v>
      </c>
      <c r="C203" s="1" t="n">
        <v>45922</v>
      </c>
      <c r="D203" t="inlineStr">
        <is>
          <t>DALARNAS LÄN</t>
        </is>
      </c>
      <c r="E203" t="inlineStr">
        <is>
          <t>ORSA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55691-2022</t>
        </is>
      </c>
      <c r="B204" s="1" t="n">
        <v>44888</v>
      </c>
      <c r="C204" s="1" t="n">
        <v>45922</v>
      </c>
      <c r="D204" t="inlineStr">
        <is>
          <t>DALARNAS LÄN</t>
        </is>
      </c>
      <c r="E204" t="inlineStr">
        <is>
          <t>ORSA</t>
        </is>
      </c>
      <c r="G204" t="n">
        <v>0.4</v>
      </c>
      <c r="H204" t="n">
        <v>0</v>
      </c>
      <c r="I204" t="n">
        <v>0</v>
      </c>
      <c r="J204" t="n">
        <v>0</v>
      </c>
      <c r="K204" t="n">
        <v>0</v>
      </c>
      <c r="L204" t="n">
        <v>0</v>
      </c>
      <c r="M204" t="n">
        <v>0</v>
      </c>
      <c r="N204" t="n">
        <v>0</v>
      </c>
      <c r="O204" t="n">
        <v>0</v>
      </c>
      <c r="P204" t="n">
        <v>0</v>
      </c>
      <c r="Q204" t="n">
        <v>0</v>
      </c>
      <c r="R204" s="2" t="inlineStr"/>
    </row>
    <row r="205" ht="15" customHeight="1">
      <c r="A205" t="inlineStr">
        <is>
          <t>A 7628-2025</t>
        </is>
      </c>
      <c r="B205" s="1" t="n">
        <v>45705.73394675926</v>
      </c>
      <c r="C205" s="1" t="n">
        <v>45922</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19505-2022</t>
        </is>
      </c>
      <c r="B206" s="1" t="n">
        <v>44693</v>
      </c>
      <c r="C206" s="1" t="n">
        <v>45922</v>
      </c>
      <c r="D206" t="inlineStr">
        <is>
          <t>DALARNAS LÄN</t>
        </is>
      </c>
      <c r="E206" t="inlineStr">
        <is>
          <t>ORSA</t>
        </is>
      </c>
      <c r="G206" t="n">
        <v>2.7</v>
      </c>
      <c r="H206" t="n">
        <v>0</v>
      </c>
      <c r="I206" t="n">
        <v>0</v>
      </c>
      <c r="J206" t="n">
        <v>0</v>
      </c>
      <c r="K206" t="n">
        <v>0</v>
      </c>
      <c r="L206" t="n">
        <v>0</v>
      </c>
      <c r="M206" t="n">
        <v>0</v>
      </c>
      <c r="N206" t="n">
        <v>0</v>
      </c>
      <c r="O206" t="n">
        <v>0</v>
      </c>
      <c r="P206" t="n">
        <v>0</v>
      </c>
      <c r="Q206" t="n">
        <v>0</v>
      </c>
      <c r="R206" s="2" t="inlineStr"/>
    </row>
    <row r="207" ht="15" customHeight="1">
      <c r="A207" t="inlineStr">
        <is>
          <t>A 61685-2024</t>
        </is>
      </c>
      <c r="B207" s="1" t="n">
        <v>45647.56972222222</v>
      </c>
      <c r="C207" s="1" t="n">
        <v>45922</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6939-2021</t>
        </is>
      </c>
      <c r="B208" s="1" t="n">
        <v>44237</v>
      </c>
      <c r="C208" s="1" t="n">
        <v>45922</v>
      </c>
      <c r="D208" t="inlineStr">
        <is>
          <t>DALARNAS LÄN</t>
        </is>
      </c>
      <c r="E208" t="inlineStr">
        <is>
          <t>ORSA</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34169-2023</t>
        </is>
      </c>
      <c r="B209" s="1" t="n">
        <v>45138.3071412037</v>
      </c>
      <c r="C209" s="1" t="n">
        <v>45922</v>
      </c>
      <c r="D209" t="inlineStr">
        <is>
          <t>DALARNAS LÄN</t>
        </is>
      </c>
      <c r="E209" t="inlineStr">
        <is>
          <t>ORSA</t>
        </is>
      </c>
      <c r="F209" t="inlineStr">
        <is>
          <t>Allmännings- och besparingsskogar</t>
        </is>
      </c>
      <c r="G209" t="n">
        <v>0.7</v>
      </c>
      <c r="H209" t="n">
        <v>0</v>
      </c>
      <c r="I209" t="n">
        <v>0</v>
      </c>
      <c r="J209" t="n">
        <v>0</v>
      </c>
      <c r="K209" t="n">
        <v>0</v>
      </c>
      <c r="L209" t="n">
        <v>0</v>
      </c>
      <c r="M209" t="n">
        <v>0</v>
      </c>
      <c r="N209" t="n">
        <v>0</v>
      </c>
      <c r="O209" t="n">
        <v>0</v>
      </c>
      <c r="P209" t="n">
        <v>0</v>
      </c>
      <c r="Q209" t="n">
        <v>0</v>
      </c>
      <c r="R209" s="2" t="inlineStr"/>
    </row>
    <row r="210" ht="15" customHeight="1">
      <c r="A210" t="inlineStr">
        <is>
          <t>A 7534-2025</t>
        </is>
      </c>
      <c r="B210" s="1" t="n">
        <v>45705.56287037037</v>
      </c>
      <c r="C210" s="1" t="n">
        <v>45922</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27146-2021</t>
        </is>
      </c>
      <c r="B211" s="1" t="n">
        <v>44350</v>
      </c>
      <c r="C211" s="1" t="n">
        <v>45922</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58793-2023</t>
        </is>
      </c>
      <c r="B212" s="1" t="n">
        <v>45252.34607638889</v>
      </c>
      <c r="C212" s="1" t="n">
        <v>45922</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36427-2023</t>
        </is>
      </c>
      <c r="B213" s="1" t="n">
        <v>45152.60333333333</v>
      </c>
      <c r="C213" s="1" t="n">
        <v>45922</v>
      </c>
      <c r="D213" t="inlineStr">
        <is>
          <t>DALARNAS LÄN</t>
        </is>
      </c>
      <c r="E213" t="inlineStr">
        <is>
          <t>ORSA</t>
        </is>
      </c>
      <c r="F213" t="inlineStr">
        <is>
          <t>Bergvik skog öst AB</t>
        </is>
      </c>
      <c r="G213" t="n">
        <v>1.2</v>
      </c>
      <c r="H213" t="n">
        <v>0</v>
      </c>
      <c r="I213" t="n">
        <v>0</v>
      </c>
      <c r="J213" t="n">
        <v>0</v>
      </c>
      <c r="K213" t="n">
        <v>0</v>
      </c>
      <c r="L213" t="n">
        <v>0</v>
      </c>
      <c r="M213" t="n">
        <v>0</v>
      </c>
      <c r="N213" t="n">
        <v>0</v>
      </c>
      <c r="O213" t="n">
        <v>0</v>
      </c>
      <c r="P213" t="n">
        <v>0</v>
      </c>
      <c r="Q213" t="n">
        <v>0</v>
      </c>
      <c r="R213" s="2" t="inlineStr"/>
    </row>
    <row r="214" ht="15" customHeight="1">
      <c r="A214" t="inlineStr">
        <is>
          <t>A 29025-2023</t>
        </is>
      </c>
      <c r="B214" s="1" t="n">
        <v>45104.70399305555</v>
      </c>
      <c r="C214" s="1" t="n">
        <v>45922</v>
      </c>
      <c r="D214" t="inlineStr">
        <is>
          <t>DALARNAS LÄN</t>
        </is>
      </c>
      <c r="E214" t="inlineStr">
        <is>
          <t>ORSA</t>
        </is>
      </c>
      <c r="G214" t="n">
        <v>6.6</v>
      </c>
      <c r="H214" t="n">
        <v>0</v>
      </c>
      <c r="I214" t="n">
        <v>0</v>
      </c>
      <c r="J214" t="n">
        <v>0</v>
      </c>
      <c r="K214" t="n">
        <v>0</v>
      </c>
      <c r="L214" t="n">
        <v>0</v>
      </c>
      <c r="M214" t="n">
        <v>0</v>
      </c>
      <c r="N214" t="n">
        <v>0</v>
      </c>
      <c r="O214" t="n">
        <v>0</v>
      </c>
      <c r="P214" t="n">
        <v>0</v>
      </c>
      <c r="Q214" t="n">
        <v>0</v>
      </c>
      <c r="R214" s="2" t="inlineStr"/>
    </row>
    <row r="215" ht="15" customHeight="1">
      <c r="A215" t="inlineStr">
        <is>
          <t>A 29499-2024</t>
        </is>
      </c>
      <c r="B215" s="1" t="n">
        <v>45484</v>
      </c>
      <c r="C215" s="1" t="n">
        <v>45922</v>
      </c>
      <c r="D215" t="inlineStr">
        <is>
          <t>DALARNAS LÄN</t>
        </is>
      </c>
      <c r="E215" t="inlineStr">
        <is>
          <t>ORSA</t>
        </is>
      </c>
      <c r="G215" t="n">
        <v>1.7</v>
      </c>
      <c r="H215" t="n">
        <v>0</v>
      </c>
      <c r="I215" t="n">
        <v>0</v>
      </c>
      <c r="J215" t="n">
        <v>0</v>
      </c>
      <c r="K215" t="n">
        <v>0</v>
      </c>
      <c r="L215" t="n">
        <v>0</v>
      </c>
      <c r="M215" t="n">
        <v>0</v>
      </c>
      <c r="N215" t="n">
        <v>0</v>
      </c>
      <c r="O215" t="n">
        <v>0</v>
      </c>
      <c r="P215" t="n">
        <v>0</v>
      </c>
      <c r="Q215" t="n">
        <v>0</v>
      </c>
      <c r="R215" s="2" t="inlineStr"/>
    </row>
    <row r="216" ht="15" customHeight="1">
      <c r="A216" t="inlineStr">
        <is>
          <t>A 6171-2025</t>
        </is>
      </c>
      <c r="B216" s="1" t="n">
        <v>45698.43287037037</v>
      </c>
      <c r="C216" s="1" t="n">
        <v>45922</v>
      </c>
      <c r="D216" t="inlineStr">
        <is>
          <t>DALARNAS LÄN</t>
        </is>
      </c>
      <c r="E216" t="inlineStr">
        <is>
          <t>ORSA</t>
        </is>
      </c>
      <c r="G216" t="n">
        <v>11.1</v>
      </c>
      <c r="H216" t="n">
        <v>0</v>
      </c>
      <c r="I216" t="n">
        <v>0</v>
      </c>
      <c r="J216" t="n">
        <v>0</v>
      </c>
      <c r="K216" t="n">
        <v>0</v>
      </c>
      <c r="L216" t="n">
        <v>0</v>
      </c>
      <c r="M216" t="n">
        <v>0</v>
      </c>
      <c r="N216" t="n">
        <v>0</v>
      </c>
      <c r="O216" t="n">
        <v>0</v>
      </c>
      <c r="P216" t="n">
        <v>0</v>
      </c>
      <c r="Q216" t="n">
        <v>0</v>
      </c>
      <c r="R216" s="2" t="inlineStr"/>
    </row>
    <row r="217" ht="15" customHeight="1">
      <c r="A217" t="inlineStr">
        <is>
          <t>A 593-2024</t>
        </is>
      </c>
      <c r="B217" s="1" t="n">
        <v>45299.63049768518</v>
      </c>
      <c r="C217" s="1" t="n">
        <v>45922</v>
      </c>
      <c r="D217" t="inlineStr">
        <is>
          <t>DALARNAS LÄN</t>
        </is>
      </c>
      <c r="E217" t="inlineStr">
        <is>
          <t>ORSA</t>
        </is>
      </c>
      <c r="G217" t="n">
        <v>1.5</v>
      </c>
      <c r="H217" t="n">
        <v>0</v>
      </c>
      <c r="I217" t="n">
        <v>0</v>
      </c>
      <c r="J217" t="n">
        <v>0</v>
      </c>
      <c r="K217" t="n">
        <v>0</v>
      </c>
      <c r="L217" t="n">
        <v>0</v>
      </c>
      <c r="M217" t="n">
        <v>0</v>
      </c>
      <c r="N217" t="n">
        <v>0</v>
      </c>
      <c r="O217" t="n">
        <v>0</v>
      </c>
      <c r="P217" t="n">
        <v>0</v>
      </c>
      <c r="Q217" t="n">
        <v>0</v>
      </c>
      <c r="R217" s="2" t="inlineStr"/>
    </row>
    <row r="218" ht="15" customHeight="1">
      <c r="A218" t="inlineStr">
        <is>
          <t>A 49270-2024</t>
        </is>
      </c>
      <c r="B218" s="1" t="n">
        <v>45595.49896990741</v>
      </c>
      <c r="C218" s="1" t="n">
        <v>45922</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53229-2023</t>
        </is>
      </c>
      <c r="B219" s="1" t="n">
        <v>45229.48306712963</v>
      </c>
      <c r="C219" s="1" t="n">
        <v>45922</v>
      </c>
      <c r="D219" t="inlineStr">
        <is>
          <t>DALARNAS LÄN</t>
        </is>
      </c>
      <c r="E219" t="inlineStr">
        <is>
          <t>ORSA</t>
        </is>
      </c>
      <c r="F219" t="inlineStr">
        <is>
          <t>Allmännings- och besparingsskogar</t>
        </is>
      </c>
      <c r="G219" t="n">
        <v>0.5</v>
      </c>
      <c r="H219" t="n">
        <v>0</v>
      </c>
      <c r="I219" t="n">
        <v>0</v>
      </c>
      <c r="J219" t="n">
        <v>0</v>
      </c>
      <c r="K219" t="n">
        <v>0</v>
      </c>
      <c r="L219" t="n">
        <v>0</v>
      </c>
      <c r="M219" t="n">
        <v>0</v>
      </c>
      <c r="N219" t="n">
        <v>0</v>
      </c>
      <c r="O219" t="n">
        <v>0</v>
      </c>
      <c r="P219" t="n">
        <v>0</v>
      </c>
      <c r="Q219" t="n">
        <v>0</v>
      </c>
      <c r="R219" s="2" t="inlineStr"/>
    </row>
    <row r="220" ht="15" customHeight="1">
      <c r="A220" t="inlineStr">
        <is>
          <t>A 13209-2022</t>
        </is>
      </c>
      <c r="B220" s="1" t="n">
        <v>44644.56325231482</v>
      </c>
      <c r="C220" s="1" t="n">
        <v>45922</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26301-2023</t>
        </is>
      </c>
      <c r="B221" s="1" t="n">
        <v>45091</v>
      </c>
      <c r="C221" s="1" t="n">
        <v>45922</v>
      </c>
      <c r="D221" t="inlineStr">
        <is>
          <t>DALARNAS LÄN</t>
        </is>
      </c>
      <c r="E221" t="inlineStr">
        <is>
          <t>ORSA</t>
        </is>
      </c>
      <c r="G221" t="n">
        <v>1.7</v>
      </c>
      <c r="H221" t="n">
        <v>0</v>
      </c>
      <c r="I221" t="n">
        <v>0</v>
      </c>
      <c r="J221" t="n">
        <v>0</v>
      </c>
      <c r="K221" t="n">
        <v>0</v>
      </c>
      <c r="L221" t="n">
        <v>0</v>
      </c>
      <c r="M221" t="n">
        <v>0</v>
      </c>
      <c r="N221" t="n">
        <v>0</v>
      </c>
      <c r="O221" t="n">
        <v>0</v>
      </c>
      <c r="P221" t="n">
        <v>0</v>
      </c>
      <c r="Q221" t="n">
        <v>0</v>
      </c>
      <c r="R221" s="2" t="inlineStr"/>
    </row>
    <row r="222" ht="15" customHeight="1">
      <c r="A222" t="inlineStr">
        <is>
          <t>A 28207-2025</t>
        </is>
      </c>
      <c r="B222" s="1" t="n">
        <v>45818.44871527778</v>
      </c>
      <c r="C222" s="1" t="n">
        <v>45922</v>
      </c>
      <c r="D222" t="inlineStr">
        <is>
          <t>DALARNAS LÄN</t>
        </is>
      </c>
      <c r="E222" t="inlineStr">
        <is>
          <t>ORSA</t>
        </is>
      </c>
      <c r="F222" t="inlineStr">
        <is>
          <t>Bergvik skog öst AB</t>
        </is>
      </c>
      <c r="G222" t="n">
        <v>2.9</v>
      </c>
      <c r="H222" t="n">
        <v>0</v>
      </c>
      <c r="I222" t="n">
        <v>0</v>
      </c>
      <c r="J222" t="n">
        <v>0</v>
      </c>
      <c r="K222" t="n">
        <v>0</v>
      </c>
      <c r="L222" t="n">
        <v>0</v>
      </c>
      <c r="M222" t="n">
        <v>0</v>
      </c>
      <c r="N222" t="n">
        <v>0</v>
      </c>
      <c r="O222" t="n">
        <v>0</v>
      </c>
      <c r="P222" t="n">
        <v>0</v>
      </c>
      <c r="Q222" t="n">
        <v>0</v>
      </c>
      <c r="R222" s="2" t="inlineStr"/>
    </row>
    <row r="223" ht="15" customHeight="1">
      <c r="A223" t="inlineStr">
        <is>
          <t>A 13236-2022</t>
        </is>
      </c>
      <c r="B223" s="1" t="n">
        <v>44644.61106481482</v>
      </c>
      <c r="C223" s="1" t="n">
        <v>45922</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8429-2024</t>
        </is>
      </c>
      <c r="B224" s="1" t="n">
        <v>45353.38880787037</v>
      </c>
      <c r="C224" s="1" t="n">
        <v>45922</v>
      </c>
      <c r="D224" t="inlineStr">
        <is>
          <t>DALARNAS LÄN</t>
        </is>
      </c>
      <c r="E224" t="inlineStr">
        <is>
          <t>ORSA</t>
        </is>
      </c>
      <c r="G224" t="n">
        <v>0.3</v>
      </c>
      <c r="H224" t="n">
        <v>0</v>
      </c>
      <c r="I224" t="n">
        <v>0</v>
      </c>
      <c r="J224" t="n">
        <v>0</v>
      </c>
      <c r="K224" t="n">
        <v>0</v>
      </c>
      <c r="L224" t="n">
        <v>0</v>
      </c>
      <c r="M224" t="n">
        <v>0</v>
      </c>
      <c r="N224" t="n">
        <v>0</v>
      </c>
      <c r="O224" t="n">
        <v>0</v>
      </c>
      <c r="P224" t="n">
        <v>0</v>
      </c>
      <c r="Q224" t="n">
        <v>0</v>
      </c>
      <c r="R224" s="2" t="inlineStr"/>
    </row>
    <row r="225" ht="15" customHeight="1">
      <c r="A225" t="inlineStr">
        <is>
          <t>A 28635-2025</t>
        </is>
      </c>
      <c r="B225" s="1" t="n">
        <v>45819.63112268518</v>
      </c>
      <c r="C225" s="1" t="n">
        <v>45922</v>
      </c>
      <c r="D225" t="inlineStr">
        <is>
          <t>DALARNAS LÄN</t>
        </is>
      </c>
      <c r="E225" t="inlineStr">
        <is>
          <t>ORSA</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28317-2025</t>
        </is>
      </c>
      <c r="B226" s="1" t="n">
        <v>45818.6300462963</v>
      </c>
      <c r="C226" s="1" t="n">
        <v>45922</v>
      </c>
      <c r="D226" t="inlineStr">
        <is>
          <t>DALARNAS LÄN</t>
        </is>
      </c>
      <c r="E226" t="inlineStr">
        <is>
          <t>ORSA</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61277-2023</t>
        </is>
      </c>
      <c r="B227" s="1" t="n">
        <v>45264.52465277778</v>
      </c>
      <c r="C227" s="1" t="n">
        <v>45922</v>
      </c>
      <c r="D227" t="inlineStr">
        <is>
          <t>DALARNAS LÄN</t>
        </is>
      </c>
      <c r="E227" t="inlineStr">
        <is>
          <t>ORSA</t>
        </is>
      </c>
      <c r="G227" t="n">
        <v>0.7</v>
      </c>
      <c r="H227" t="n">
        <v>0</v>
      </c>
      <c r="I227" t="n">
        <v>0</v>
      </c>
      <c r="J227" t="n">
        <v>0</v>
      </c>
      <c r="K227" t="n">
        <v>0</v>
      </c>
      <c r="L227" t="n">
        <v>0</v>
      </c>
      <c r="M227" t="n">
        <v>0</v>
      </c>
      <c r="N227" t="n">
        <v>0</v>
      </c>
      <c r="O227" t="n">
        <v>0</v>
      </c>
      <c r="P227" t="n">
        <v>0</v>
      </c>
      <c r="Q227" t="n">
        <v>0</v>
      </c>
      <c r="R227" s="2" t="inlineStr"/>
    </row>
    <row r="228" ht="15" customHeight="1">
      <c r="A228" t="inlineStr">
        <is>
          <t>A 10644-2025</t>
        </is>
      </c>
      <c r="B228" s="1" t="n">
        <v>45721.66222222222</v>
      </c>
      <c r="C228" s="1" t="n">
        <v>45922</v>
      </c>
      <c r="D228" t="inlineStr">
        <is>
          <t>DALARNAS LÄN</t>
        </is>
      </c>
      <c r="E228" t="inlineStr">
        <is>
          <t>ORSA</t>
        </is>
      </c>
      <c r="F228" t="inlineStr">
        <is>
          <t>Bergvik skog öst AB</t>
        </is>
      </c>
      <c r="G228" t="n">
        <v>5.8</v>
      </c>
      <c r="H228" t="n">
        <v>0</v>
      </c>
      <c r="I228" t="n">
        <v>0</v>
      </c>
      <c r="J228" t="n">
        <v>0</v>
      </c>
      <c r="K228" t="n">
        <v>0</v>
      </c>
      <c r="L228" t="n">
        <v>0</v>
      </c>
      <c r="M228" t="n">
        <v>0</v>
      </c>
      <c r="N228" t="n">
        <v>0</v>
      </c>
      <c r="O228" t="n">
        <v>0</v>
      </c>
      <c r="P228" t="n">
        <v>0</v>
      </c>
      <c r="Q228" t="n">
        <v>0</v>
      </c>
      <c r="R228" s="2" t="inlineStr"/>
    </row>
    <row r="229" ht="15" customHeight="1">
      <c r="A229" t="inlineStr">
        <is>
          <t>A 33945-2022</t>
        </is>
      </c>
      <c r="B229" s="1" t="n">
        <v>44790.66212962963</v>
      </c>
      <c r="C229" s="1" t="n">
        <v>45922</v>
      </c>
      <c r="D229" t="inlineStr">
        <is>
          <t>DALARNAS LÄN</t>
        </is>
      </c>
      <c r="E229" t="inlineStr">
        <is>
          <t>ORSA</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2717-2024</t>
        </is>
      </c>
      <c r="B230" s="1" t="n">
        <v>45314.49222222222</v>
      </c>
      <c r="C230" s="1" t="n">
        <v>45922</v>
      </c>
      <c r="D230" t="inlineStr">
        <is>
          <t>DALARNAS LÄN</t>
        </is>
      </c>
      <c r="E230" t="inlineStr">
        <is>
          <t>ORSA</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47579-2023</t>
        </is>
      </c>
      <c r="B231" s="1" t="n">
        <v>45203.42181712963</v>
      </c>
      <c r="C231" s="1" t="n">
        <v>45922</v>
      </c>
      <c r="D231" t="inlineStr">
        <is>
          <t>DALARNAS LÄN</t>
        </is>
      </c>
      <c r="E231" t="inlineStr">
        <is>
          <t>ORSA</t>
        </is>
      </c>
      <c r="G231" t="n">
        <v>2.9</v>
      </c>
      <c r="H231" t="n">
        <v>0</v>
      </c>
      <c r="I231" t="n">
        <v>0</v>
      </c>
      <c r="J231" t="n">
        <v>0</v>
      </c>
      <c r="K231" t="n">
        <v>0</v>
      </c>
      <c r="L231" t="n">
        <v>0</v>
      </c>
      <c r="M231" t="n">
        <v>0</v>
      </c>
      <c r="N231" t="n">
        <v>0</v>
      </c>
      <c r="O231" t="n">
        <v>0</v>
      </c>
      <c r="P231" t="n">
        <v>0</v>
      </c>
      <c r="Q231" t="n">
        <v>0</v>
      </c>
      <c r="R231" s="2" t="inlineStr"/>
    </row>
    <row r="232" ht="15" customHeight="1">
      <c r="A232" t="inlineStr">
        <is>
          <t>A 61053-2024</t>
        </is>
      </c>
      <c r="B232" s="1" t="n">
        <v>45645.48501157408</v>
      </c>
      <c r="C232" s="1" t="n">
        <v>45922</v>
      </c>
      <c r="D232" t="inlineStr">
        <is>
          <t>DALARNAS LÄN</t>
        </is>
      </c>
      <c r="E232" t="inlineStr">
        <is>
          <t>ORSA</t>
        </is>
      </c>
      <c r="G232" t="n">
        <v>2.6</v>
      </c>
      <c r="H232" t="n">
        <v>0</v>
      </c>
      <c r="I232" t="n">
        <v>0</v>
      </c>
      <c r="J232" t="n">
        <v>0</v>
      </c>
      <c r="K232" t="n">
        <v>0</v>
      </c>
      <c r="L232" t="n">
        <v>0</v>
      </c>
      <c r="M232" t="n">
        <v>0</v>
      </c>
      <c r="N232" t="n">
        <v>0</v>
      </c>
      <c r="O232" t="n">
        <v>0</v>
      </c>
      <c r="P232" t="n">
        <v>0</v>
      </c>
      <c r="Q232" t="n">
        <v>0</v>
      </c>
      <c r="R232" s="2" t="inlineStr"/>
    </row>
    <row r="233" ht="15" customHeight="1">
      <c r="A233" t="inlineStr">
        <is>
          <t>A 15114-2025</t>
        </is>
      </c>
      <c r="B233" s="1" t="n">
        <v>45744.36232638889</v>
      </c>
      <c r="C233" s="1" t="n">
        <v>45922</v>
      </c>
      <c r="D233" t="inlineStr">
        <is>
          <t>DALARNAS LÄN</t>
        </is>
      </c>
      <c r="E233" t="inlineStr">
        <is>
          <t>ORSA</t>
        </is>
      </c>
      <c r="F233" t="inlineStr">
        <is>
          <t>Allmännings- och besparingsskogar</t>
        </is>
      </c>
      <c r="G233" t="n">
        <v>1.9</v>
      </c>
      <c r="H233" t="n">
        <v>0</v>
      </c>
      <c r="I233" t="n">
        <v>0</v>
      </c>
      <c r="J233" t="n">
        <v>0</v>
      </c>
      <c r="K233" t="n">
        <v>0</v>
      </c>
      <c r="L233" t="n">
        <v>0</v>
      </c>
      <c r="M233" t="n">
        <v>0</v>
      </c>
      <c r="N233" t="n">
        <v>0</v>
      </c>
      <c r="O233" t="n">
        <v>0</v>
      </c>
      <c r="P233" t="n">
        <v>0</v>
      </c>
      <c r="Q233" t="n">
        <v>0</v>
      </c>
      <c r="R233" s="2" t="inlineStr"/>
    </row>
    <row r="234" ht="15" customHeight="1">
      <c r="A234" t="inlineStr">
        <is>
          <t>A 28609-2025</t>
        </is>
      </c>
      <c r="B234" s="1" t="n">
        <v>45819.60303240741</v>
      </c>
      <c r="C234" s="1" t="n">
        <v>45922</v>
      </c>
      <c r="D234" t="inlineStr">
        <is>
          <t>DALARNAS LÄN</t>
        </is>
      </c>
      <c r="E234" t="inlineStr">
        <is>
          <t>ORSA</t>
        </is>
      </c>
      <c r="F234" t="inlineStr">
        <is>
          <t>Bergvik skog öst AB</t>
        </is>
      </c>
      <c r="G234" t="n">
        <v>9.1</v>
      </c>
      <c r="H234" t="n">
        <v>0</v>
      </c>
      <c r="I234" t="n">
        <v>0</v>
      </c>
      <c r="J234" t="n">
        <v>0</v>
      </c>
      <c r="K234" t="n">
        <v>0</v>
      </c>
      <c r="L234" t="n">
        <v>0</v>
      </c>
      <c r="M234" t="n">
        <v>0</v>
      </c>
      <c r="N234" t="n">
        <v>0</v>
      </c>
      <c r="O234" t="n">
        <v>0</v>
      </c>
      <c r="P234" t="n">
        <v>0</v>
      </c>
      <c r="Q234" t="n">
        <v>0</v>
      </c>
      <c r="R234" s="2" t="inlineStr"/>
    </row>
    <row r="235" ht="15" customHeight="1">
      <c r="A235" t="inlineStr">
        <is>
          <t>A 6097-2025</t>
        </is>
      </c>
      <c r="B235" s="1" t="n">
        <v>45697</v>
      </c>
      <c r="C235" s="1" t="n">
        <v>45922</v>
      </c>
      <c r="D235" t="inlineStr">
        <is>
          <t>DALARNAS LÄN</t>
        </is>
      </c>
      <c r="E235" t="inlineStr">
        <is>
          <t>ORSA</t>
        </is>
      </c>
      <c r="G235" t="n">
        <v>11.1</v>
      </c>
      <c r="H235" t="n">
        <v>0</v>
      </c>
      <c r="I235" t="n">
        <v>0</v>
      </c>
      <c r="J235" t="n">
        <v>0</v>
      </c>
      <c r="K235" t="n">
        <v>0</v>
      </c>
      <c r="L235" t="n">
        <v>0</v>
      </c>
      <c r="M235" t="n">
        <v>0</v>
      </c>
      <c r="N235" t="n">
        <v>0</v>
      </c>
      <c r="O235" t="n">
        <v>0</v>
      </c>
      <c r="P235" t="n">
        <v>0</v>
      </c>
      <c r="Q235" t="n">
        <v>0</v>
      </c>
      <c r="R235" s="2" t="inlineStr"/>
    </row>
    <row r="236" ht="15" customHeight="1">
      <c r="A236" t="inlineStr">
        <is>
          <t>A 22911-2023</t>
        </is>
      </c>
      <c r="B236" s="1" t="n">
        <v>45072</v>
      </c>
      <c r="C236" s="1" t="n">
        <v>45922</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13580-2025</t>
        </is>
      </c>
      <c r="B237" s="1" t="n">
        <v>45736.58362268518</v>
      </c>
      <c r="C237" s="1" t="n">
        <v>45922</v>
      </c>
      <c r="D237" t="inlineStr">
        <is>
          <t>DALARNAS LÄN</t>
        </is>
      </c>
      <c r="E237" t="inlineStr">
        <is>
          <t>ORSA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63917-2023</t>
        </is>
      </c>
      <c r="B238" s="1" t="n">
        <v>45278</v>
      </c>
      <c r="C238" s="1" t="n">
        <v>45922</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16992-2025</t>
        </is>
      </c>
      <c r="B239" s="1" t="n">
        <v>45755.50215277778</v>
      </c>
      <c r="C239" s="1" t="n">
        <v>45922</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48985-2023</t>
        </is>
      </c>
      <c r="B240" s="1" t="n">
        <v>45209.64077546296</v>
      </c>
      <c r="C240" s="1" t="n">
        <v>45922</v>
      </c>
      <c r="D240" t="inlineStr">
        <is>
          <t>DALARNAS LÄN</t>
        </is>
      </c>
      <c r="E240" t="inlineStr">
        <is>
          <t>ORSA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42346-2022</t>
        </is>
      </c>
      <c r="B241" s="1" t="n">
        <v>44831.35561342593</v>
      </c>
      <c r="C241" s="1" t="n">
        <v>45922</v>
      </c>
      <c r="D241" t="inlineStr">
        <is>
          <t>DALARNAS LÄN</t>
        </is>
      </c>
      <c r="E241" t="inlineStr">
        <is>
          <t>ORSA</t>
        </is>
      </c>
      <c r="G241" t="n">
        <v>2.4</v>
      </c>
      <c r="H241" t="n">
        <v>0</v>
      </c>
      <c r="I241" t="n">
        <v>0</v>
      </c>
      <c r="J241" t="n">
        <v>0</v>
      </c>
      <c r="K241" t="n">
        <v>0</v>
      </c>
      <c r="L241" t="n">
        <v>0</v>
      </c>
      <c r="M241" t="n">
        <v>0</v>
      </c>
      <c r="N241" t="n">
        <v>0</v>
      </c>
      <c r="O241" t="n">
        <v>0</v>
      </c>
      <c r="P241" t="n">
        <v>0</v>
      </c>
      <c r="Q241" t="n">
        <v>0</v>
      </c>
      <c r="R241" s="2" t="inlineStr"/>
    </row>
    <row r="242" ht="15" customHeight="1">
      <c r="A242" t="inlineStr">
        <is>
          <t>A 28451-2023</t>
        </is>
      </c>
      <c r="B242" s="1" t="n">
        <v>45103.33896990741</v>
      </c>
      <c r="C242" s="1" t="n">
        <v>45922</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46454-2024</t>
        </is>
      </c>
      <c r="B243" s="1" t="n">
        <v>45582</v>
      </c>
      <c r="C243" s="1" t="n">
        <v>45922</v>
      </c>
      <c r="D243" t="inlineStr">
        <is>
          <t>DALARNAS LÄN</t>
        </is>
      </c>
      <c r="E243" t="inlineStr">
        <is>
          <t>ORSA</t>
        </is>
      </c>
      <c r="F243" t="inlineStr">
        <is>
          <t>Övriga statliga verk och myndigheter</t>
        </is>
      </c>
      <c r="G243" t="n">
        <v>1</v>
      </c>
      <c r="H243" t="n">
        <v>0</v>
      </c>
      <c r="I243" t="n">
        <v>0</v>
      </c>
      <c r="J243" t="n">
        <v>0</v>
      </c>
      <c r="K243" t="n">
        <v>0</v>
      </c>
      <c r="L243" t="n">
        <v>0</v>
      </c>
      <c r="M243" t="n">
        <v>0</v>
      </c>
      <c r="N243" t="n">
        <v>0</v>
      </c>
      <c r="O243" t="n">
        <v>0</v>
      </c>
      <c r="P243" t="n">
        <v>0</v>
      </c>
      <c r="Q243" t="n">
        <v>0</v>
      </c>
      <c r="R243" s="2" t="inlineStr"/>
    </row>
    <row r="244" ht="15" customHeight="1">
      <c r="A244" t="inlineStr">
        <is>
          <t>A 56942-2024</t>
        </is>
      </c>
      <c r="B244" s="1" t="n">
        <v>45628.62292824074</v>
      </c>
      <c r="C244" s="1" t="n">
        <v>45922</v>
      </c>
      <c r="D244" t="inlineStr">
        <is>
          <t>DALARNAS LÄN</t>
        </is>
      </c>
      <c r="E244" t="inlineStr">
        <is>
          <t>ORSA</t>
        </is>
      </c>
      <c r="F244" t="inlineStr">
        <is>
          <t>Bergvik skog öst AB</t>
        </is>
      </c>
      <c r="G244" t="n">
        <v>0.7</v>
      </c>
      <c r="H244" t="n">
        <v>0</v>
      </c>
      <c r="I244" t="n">
        <v>0</v>
      </c>
      <c r="J244" t="n">
        <v>0</v>
      </c>
      <c r="K244" t="n">
        <v>0</v>
      </c>
      <c r="L244" t="n">
        <v>0</v>
      </c>
      <c r="M244" t="n">
        <v>0</v>
      </c>
      <c r="N244" t="n">
        <v>0</v>
      </c>
      <c r="O244" t="n">
        <v>0</v>
      </c>
      <c r="P244" t="n">
        <v>0</v>
      </c>
      <c r="Q244" t="n">
        <v>0</v>
      </c>
      <c r="R244" s="2" t="inlineStr"/>
    </row>
    <row r="245" ht="15" customHeight="1">
      <c r="A245" t="inlineStr">
        <is>
          <t>A 16777-2024</t>
        </is>
      </c>
      <c r="B245" s="1" t="n">
        <v>45411</v>
      </c>
      <c r="C245" s="1" t="n">
        <v>45922</v>
      </c>
      <c r="D245" t="inlineStr">
        <is>
          <t>DALARNAS LÄN</t>
        </is>
      </c>
      <c r="E245" t="inlineStr">
        <is>
          <t>ORSA</t>
        </is>
      </c>
      <c r="G245" t="n">
        <v>0.9</v>
      </c>
      <c r="H245" t="n">
        <v>0</v>
      </c>
      <c r="I245" t="n">
        <v>0</v>
      </c>
      <c r="J245" t="n">
        <v>0</v>
      </c>
      <c r="K245" t="n">
        <v>0</v>
      </c>
      <c r="L245" t="n">
        <v>0</v>
      </c>
      <c r="M245" t="n">
        <v>0</v>
      </c>
      <c r="N245" t="n">
        <v>0</v>
      </c>
      <c r="O245" t="n">
        <v>0</v>
      </c>
      <c r="P245" t="n">
        <v>0</v>
      </c>
      <c r="Q245" t="n">
        <v>0</v>
      </c>
      <c r="R245" s="2" t="inlineStr"/>
    </row>
    <row r="246" ht="15" customHeight="1">
      <c r="A246" t="inlineStr">
        <is>
          <t>A 7626-2025</t>
        </is>
      </c>
      <c r="B246" s="1" t="n">
        <v>45705.72799768519</v>
      </c>
      <c r="C246" s="1" t="n">
        <v>45922</v>
      </c>
      <c r="D246" t="inlineStr">
        <is>
          <t>DALARNAS LÄN</t>
        </is>
      </c>
      <c r="E246" t="inlineStr">
        <is>
          <t>ORSA</t>
        </is>
      </c>
      <c r="G246" t="n">
        <v>15.5</v>
      </c>
      <c r="H246" t="n">
        <v>0</v>
      </c>
      <c r="I246" t="n">
        <v>0</v>
      </c>
      <c r="J246" t="n">
        <v>0</v>
      </c>
      <c r="K246" t="n">
        <v>0</v>
      </c>
      <c r="L246" t="n">
        <v>0</v>
      </c>
      <c r="M246" t="n">
        <v>0</v>
      </c>
      <c r="N246" t="n">
        <v>0</v>
      </c>
      <c r="O246" t="n">
        <v>0</v>
      </c>
      <c r="P246" t="n">
        <v>0</v>
      </c>
      <c r="Q246" t="n">
        <v>0</v>
      </c>
      <c r="R246" s="2" t="inlineStr"/>
    </row>
    <row r="247" ht="15" customHeight="1">
      <c r="A247" t="inlineStr">
        <is>
          <t>A 53102-2021</t>
        </is>
      </c>
      <c r="B247" s="1" t="n">
        <v>44467</v>
      </c>
      <c r="C247" s="1" t="n">
        <v>45922</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6047-2023</t>
        </is>
      </c>
      <c r="B248" s="1" t="n">
        <v>44964</v>
      </c>
      <c r="C248" s="1" t="n">
        <v>45922</v>
      </c>
      <c r="D248" t="inlineStr">
        <is>
          <t>DALARNAS LÄN</t>
        </is>
      </c>
      <c r="E248" t="inlineStr">
        <is>
          <t>ORSA</t>
        </is>
      </c>
      <c r="F248" t="inlineStr">
        <is>
          <t>Bergvik skog öst AB</t>
        </is>
      </c>
      <c r="G248" t="n">
        <v>0.2</v>
      </c>
      <c r="H248" t="n">
        <v>0</v>
      </c>
      <c r="I248" t="n">
        <v>0</v>
      </c>
      <c r="J248" t="n">
        <v>0</v>
      </c>
      <c r="K248" t="n">
        <v>0</v>
      </c>
      <c r="L248" t="n">
        <v>0</v>
      </c>
      <c r="M248" t="n">
        <v>0</v>
      </c>
      <c r="N248" t="n">
        <v>0</v>
      </c>
      <c r="O248" t="n">
        <v>0</v>
      </c>
      <c r="P248" t="n">
        <v>0</v>
      </c>
      <c r="Q248" t="n">
        <v>0</v>
      </c>
      <c r="R248" s="2" t="inlineStr"/>
    </row>
    <row r="249" ht="15" customHeight="1">
      <c r="A249" t="inlineStr">
        <is>
          <t>A 1624-2024</t>
        </is>
      </c>
      <c r="B249" s="1" t="n">
        <v>45306</v>
      </c>
      <c r="C249" s="1" t="n">
        <v>45922</v>
      </c>
      <c r="D249" t="inlineStr">
        <is>
          <t>DALARNAS LÄN</t>
        </is>
      </c>
      <c r="E249" t="inlineStr">
        <is>
          <t>ORSA</t>
        </is>
      </c>
      <c r="G249" t="n">
        <v>1.9</v>
      </c>
      <c r="H249" t="n">
        <v>0</v>
      </c>
      <c r="I249" t="n">
        <v>0</v>
      </c>
      <c r="J249" t="n">
        <v>0</v>
      </c>
      <c r="K249" t="n">
        <v>0</v>
      </c>
      <c r="L249" t="n">
        <v>0</v>
      </c>
      <c r="M249" t="n">
        <v>0</v>
      </c>
      <c r="N249" t="n">
        <v>0</v>
      </c>
      <c r="O249" t="n">
        <v>0</v>
      </c>
      <c r="P249" t="n">
        <v>0</v>
      </c>
      <c r="Q249" t="n">
        <v>0</v>
      </c>
      <c r="R249" s="2" t="inlineStr"/>
    </row>
    <row r="250" ht="15" customHeight="1">
      <c r="A250" t="inlineStr">
        <is>
          <t>A 47134-2024</t>
        </is>
      </c>
      <c r="B250" s="1" t="n">
        <v>45586.58081018519</v>
      </c>
      <c r="C250" s="1" t="n">
        <v>45922</v>
      </c>
      <c r="D250" t="inlineStr">
        <is>
          <t>DALARNAS LÄN</t>
        </is>
      </c>
      <c r="E250" t="inlineStr">
        <is>
          <t>ORSA</t>
        </is>
      </c>
      <c r="G250" t="n">
        <v>0.3</v>
      </c>
      <c r="H250" t="n">
        <v>0</v>
      </c>
      <c r="I250" t="n">
        <v>0</v>
      </c>
      <c r="J250" t="n">
        <v>0</v>
      </c>
      <c r="K250" t="n">
        <v>0</v>
      </c>
      <c r="L250" t="n">
        <v>0</v>
      </c>
      <c r="M250" t="n">
        <v>0</v>
      </c>
      <c r="N250" t="n">
        <v>0</v>
      </c>
      <c r="O250" t="n">
        <v>0</v>
      </c>
      <c r="P250" t="n">
        <v>0</v>
      </c>
      <c r="Q250" t="n">
        <v>0</v>
      </c>
      <c r="R250" s="2" t="inlineStr"/>
    </row>
    <row r="251" ht="15" customHeight="1">
      <c r="A251" t="inlineStr">
        <is>
          <t>A 17521-2025</t>
        </is>
      </c>
      <c r="B251" s="1" t="n">
        <v>45757.57952546296</v>
      </c>
      <c r="C251" s="1" t="n">
        <v>45922</v>
      </c>
      <c r="D251" t="inlineStr">
        <is>
          <t>DALARNAS LÄN</t>
        </is>
      </c>
      <c r="E251" t="inlineStr">
        <is>
          <t>ORSA</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3166-2024</t>
        </is>
      </c>
      <c r="B252" s="1" t="n">
        <v>45316.62592592592</v>
      </c>
      <c r="C252" s="1" t="n">
        <v>45922</v>
      </c>
      <c r="D252" t="inlineStr">
        <is>
          <t>DALARNAS LÄN</t>
        </is>
      </c>
      <c r="E252" t="inlineStr">
        <is>
          <t>ORSA</t>
        </is>
      </c>
      <c r="G252" t="n">
        <v>0.7</v>
      </c>
      <c r="H252" t="n">
        <v>0</v>
      </c>
      <c r="I252" t="n">
        <v>0</v>
      </c>
      <c r="J252" t="n">
        <v>0</v>
      </c>
      <c r="K252" t="n">
        <v>0</v>
      </c>
      <c r="L252" t="n">
        <v>0</v>
      </c>
      <c r="M252" t="n">
        <v>0</v>
      </c>
      <c r="N252" t="n">
        <v>0</v>
      </c>
      <c r="O252" t="n">
        <v>0</v>
      </c>
      <c r="P252" t="n">
        <v>0</v>
      </c>
      <c r="Q252" t="n">
        <v>0</v>
      </c>
      <c r="R252" s="2" t="inlineStr"/>
    </row>
    <row r="253" ht="15" customHeight="1">
      <c r="A253" t="inlineStr">
        <is>
          <t>A 56887-2024</t>
        </is>
      </c>
      <c r="B253" s="1" t="n">
        <v>45628.57388888889</v>
      </c>
      <c r="C253" s="1" t="n">
        <v>45922</v>
      </c>
      <c r="D253" t="inlineStr">
        <is>
          <t>DALARNAS LÄN</t>
        </is>
      </c>
      <c r="E253" t="inlineStr">
        <is>
          <t>ORSA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13575-2025</t>
        </is>
      </c>
      <c r="B254" s="1" t="n">
        <v>45736.57871527778</v>
      </c>
      <c r="C254" s="1" t="n">
        <v>45922</v>
      </c>
      <c r="D254" t="inlineStr">
        <is>
          <t>DALARNAS LÄN</t>
        </is>
      </c>
      <c r="E254" t="inlineStr">
        <is>
          <t>ORSA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15870-2025</t>
        </is>
      </c>
      <c r="B255" s="1" t="n">
        <v>45749.37135416667</v>
      </c>
      <c r="C255" s="1" t="n">
        <v>45922</v>
      </c>
      <c r="D255" t="inlineStr">
        <is>
          <t>DALARNAS LÄN</t>
        </is>
      </c>
      <c r="E255" t="inlineStr">
        <is>
          <t>ORSA</t>
        </is>
      </c>
      <c r="F255" t="inlineStr">
        <is>
          <t>Bergvik skog öst AB</t>
        </is>
      </c>
      <c r="G255" t="n">
        <v>2.7</v>
      </c>
      <c r="H255" t="n">
        <v>0</v>
      </c>
      <c r="I255" t="n">
        <v>0</v>
      </c>
      <c r="J255" t="n">
        <v>0</v>
      </c>
      <c r="K255" t="n">
        <v>0</v>
      </c>
      <c r="L255" t="n">
        <v>0</v>
      </c>
      <c r="M255" t="n">
        <v>0</v>
      </c>
      <c r="N255" t="n">
        <v>0</v>
      </c>
      <c r="O255" t="n">
        <v>0</v>
      </c>
      <c r="P255" t="n">
        <v>0</v>
      </c>
      <c r="Q255" t="n">
        <v>0</v>
      </c>
      <c r="R255" s="2" t="inlineStr"/>
    </row>
    <row r="256" ht="15" customHeight="1">
      <c r="A256" t="inlineStr">
        <is>
          <t>A 47126-2021</t>
        </is>
      </c>
      <c r="B256" s="1" t="n">
        <v>44446.78168981482</v>
      </c>
      <c r="C256" s="1" t="n">
        <v>45922</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17500-2025</t>
        </is>
      </c>
      <c r="B257" s="1" t="n">
        <v>45757.54954861111</v>
      </c>
      <c r="C257" s="1" t="n">
        <v>45922</v>
      </c>
      <c r="D257" t="inlineStr">
        <is>
          <t>DALARNAS LÄN</t>
        </is>
      </c>
      <c r="E257" t="inlineStr">
        <is>
          <t>ORSA</t>
        </is>
      </c>
      <c r="G257" t="n">
        <v>1.9</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45922</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29844-2025</t>
        </is>
      </c>
      <c r="B259" s="1" t="n">
        <v>45826</v>
      </c>
      <c r="C259" s="1" t="n">
        <v>45922</v>
      </c>
      <c r="D259" t="inlineStr">
        <is>
          <t>DALARNAS LÄN</t>
        </is>
      </c>
      <c r="E259" t="inlineStr">
        <is>
          <t>ORSA</t>
        </is>
      </c>
      <c r="F259" t="inlineStr">
        <is>
          <t>Allmännings- och besparingsskogar</t>
        </is>
      </c>
      <c r="G259" t="n">
        <v>53.9</v>
      </c>
      <c r="H259" t="n">
        <v>0</v>
      </c>
      <c r="I259" t="n">
        <v>0</v>
      </c>
      <c r="J259" t="n">
        <v>0</v>
      </c>
      <c r="K259" t="n">
        <v>0</v>
      </c>
      <c r="L259" t="n">
        <v>0</v>
      </c>
      <c r="M259" t="n">
        <v>0</v>
      </c>
      <c r="N259" t="n">
        <v>0</v>
      </c>
      <c r="O259" t="n">
        <v>0</v>
      </c>
      <c r="P259" t="n">
        <v>0</v>
      </c>
      <c r="Q259" t="n">
        <v>0</v>
      </c>
      <c r="R259" s="2" t="inlineStr"/>
    </row>
    <row r="260" ht="15" customHeight="1">
      <c r="A260" t="inlineStr">
        <is>
          <t>A 15769-2025</t>
        </is>
      </c>
      <c r="B260" s="1" t="n">
        <v>45748.58792824074</v>
      </c>
      <c r="C260" s="1" t="n">
        <v>45922</v>
      </c>
      <c r="D260" t="inlineStr">
        <is>
          <t>DALARNAS LÄN</t>
        </is>
      </c>
      <c r="E260" t="inlineStr">
        <is>
          <t>ORSA</t>
        </is>
      </c>
      <c r="F260" t="inlineStr">
        <is>
          <t>Bergvik skog öst AB</t>
        </is>
      </c>
      <c r="G260" t="n">
        <v>4.7</v>
      </c>
      <c r="H260" t="n">
        <v>0</v>
      </c>
      <c r="I260" t="n">
        <v>0</v>
      </c>
      <c r="J260" t="n">
        <v>0</v>
      </c>
      <c r="K260" t="n">
        <v>0</v>
      </c>
      <c r="L260" t="n">
        <v>0</v>
      </c>
      <c r="M260" t="n">
        <v>0</v>
      </c>
      <c r="N260" t="n">
        <v>0</v>
      </c>
      <c r="O260" t="n">
        <v>0</v>
      </c>
      <c r="P260" t="n">
        <v>0</v>
      </c>
      <c r="Q260" t="n">
        <v>0</v>
      </c>
      <c r="R260" s="2" t="inlineStr"/>
    </row>
    <row r="261" ht="15" customHeight="1">
      <c r="A261" t="inlineStr">
        <is>
          <t>A 30751-2025</t>
        </is>
      </c>
      <c r="B261" s="1" t="n">
        <v>45831.58921296296</v>
      </c>
      <c r="C261" s="1" t="n">
        <v>45922</v>
      </c>
      <c r="D261" t="inlineStr">
        <is>
          <t>DALARNAS LÄN</t>
        </is>
      </c>
      <c r="E261" t="inlineStr">
        <is>
          <t>ORSA</t>
        </is>
      </c>
      <c r="G261" t="n">
        <v>5.2</v>
      </c>
      <c r="H261" t="n">
        <v>0</v>
      </c>
      <c r="I261" t="n">
        <v>0</v>
      </c>
      <c r="J261" t="n">
        <v>0</v>
      </c>
      <c r="K261" t="n">
        <v>0</v>
      </c>
      <c r="L261" t="n">
        <v>0</v>
      </c>
      <c r="M261" t="n">
        <v>0</v>
      </c>
      <c r="N261" t="n">
        <v>0</v>
      </c>
      <c r="O261" t="n">
        <v>0</v>
      </c>
      <c r="P261" t="n">
        <v>0</v>
      </c>
      <c r="Q261" t="n">
        <v>0</v>
      </c>
      <c r="R261" s="2" t="inlineStr"/>
    </row>
    <row r="262" ht="15" customHeight="1">
      <c r="A262" t="inlineStr">
        <is>
          <t>A 48990-2023</t>
        </is>
      </c>
      <c r="B262" s="1" t="n">
        <v>45209.64740740741</v>
      </c>
      <c r="C262" s="1" t="n">
        <v>45922</v>
      </c>
      <c r="D262" t="inlineStr">
        <is>
          <t>DALARNAS LÄN</t>
        </is>
      </c>
      <c r="E262" t="inlineStr">
        <is>
          <t>ORSA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2563-2025</t>
        </is>
      </c>
      <c r="B263" s="1" t="n">
        <v>45674.65692129629</v>
      </c>
      <c r="C263" s="1" t="n">
        <v>45922</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15914-2021</t>
        </is>
      </c>
      <c r="B264" s="1" t="n">
        <v>44287</v>
      </c>
      <c r="C264" s="1" t="n">
        <v>45922</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21216-2023</t>
        </is>
      </c>
      <c r="B265" s="1" t="n">
        <v>45062</v>
      </c>
      <c r="C265" s="1" t="n">
        <v>45922</v>
      </c>
      <c r="D265" t="inlineStr">
        <is>
          <t>DALARNAS LÄN</t>
        </is>
      </c>
      <c r="E265" t="inlineStr">
        <is>
          <t>ORSA</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31365-2025</t>
        </is>
      </c>
      <c r="B266" s="1" t="n">
        <v>45833.43884259259</v>
      </c>
      <c r="C266" s="1" t="n">
        <v>45922</v>
      </c>
      <c r="D266" t="inlineStr">
        <is>
          <t>DALARNAS LÄN</t>
        </is>
      </c>
      <c r="E266" t="inlineStr">
        <is>
          <t>ORSA</t>
        </is>
      </c>
      <c r="G266" t="n">
        <v>1.6</v>
      </c>
      <c r="H266" t="n">
        <v>0</v>
      </c>
      <c r="I266" t="n">
        <v>0</v>
      </c>
      <c r="J266" t="n">
        <v>0</v>
      </c>
      <c r="K266" t="n">
        <v>0</v>
      </c>
      <c r="L266" t="n">
        <v>0</v>
      </c>
      <c r="M266" t="n">
        <v>0</v>
      </c>
      <c r="N266" t="n">
        <v>0</v>
      </c>
      <c r="O266" t="n">
        <v>0</v>
      </c>
      <c r="P266" t="n">
        <v>0</v>
      </c>
      <c r="Q266" t="n">
        <v>0</v>
      </c>
      <c r="R266" s="2" t="inlineStr"/>
    </row>
    <row r="267" ht="15" customHeight="1">
      <c r="A267" t="inlineStr">
        <is>
          <t>A 30382-2023</t>
        </is>
      </c>
      <c r="B267" s="1" t="n">
        <v>45111</v>
      </c>
      <c r="C267" s="1" t="n">
        <v>45922</v>
      </c>
      <c r="D267" t="inlineStr">
        <is>
          <t>DALARNAS LÄN</t>
        </is>
      </c>
      <c r="E267" t="inlineStr">
        <is>
          <t>ORSA</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31634-2025</t>
        </is>
      </c>
      <c r="B268" s="1" t="n">
        <v>45834</v>
      </c>
      <c r="C268" s="1" t="n">
        <v>45922</v>
      </c>
      <c r="D268" t="inlineStr">
        <is>
          <t>DALARNAS LÄN</t>
        </is>
      </c>
      <c r="E268" t="inlineStr">
        <is>
          <t>ORSA</t>
        </is>
      </c>
      <c r="G268" t="n">
        <v>2</v>
      </c>
      <c r="H268" t="n">
        <v>0</v>
      </c>
      <c r="I268" t="n">
        <v>0</v>
      </c>
      <c r="J268" t="n">
        <v>0</v>
      </c>
      <c r="K268" t="n">
        <v>0</v>
      </c>
      <c r="L268" t="n">
        <v>0</v>
      </c>
      <c r="M268" t="n">
        <v>0</v>
      </c>
      <c r="N268" t="n">
        <v>0</v>
      </c>
      <c r="O268" t="n">
        <v>0</v>
      </c>
      <c r="P268" t="n">
        <v>0</v>
      </c>
      <c r="Q268" t="n">
        <v>0</v>
      </c>
      <c r="R268" s="2" t="inlineStr"/>
    </row>
    <row r="269" ht="15" customHeight="1">
      <c r="A269" t="inlineStr">
        <is>
          <t>A 58853-2022</t>
        </is>
      </c>
      <c r="B269" s="1" t="n">
        <v>44903</v>
      </c>
      <c r="C269" s="1" t="n">
        <v>45922</v>
      </c>
      <c r="D269" t="inlineStr">
        <is>
          <t>DALARNAS LÄN</t>
        </is>
      </c>
      <c r="E269" t="inlineStr">
        <is>
          <t>ORSA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31659-2025</t>
        </is>
      </c>
      <c r="B270" s="1" t="n">
        <v>45834.35421296296</v>
      </c>
      <c r="C270" s="1" t="n">
        <v>45922</v>
      </c>
      <c r="D270" t="inlineStr">
        <is>
          <t>DALARNAS LÄN</t>
        </is>
      </c>
      <c r="E270" t="inlineStr">
        <is>
          <t>ORSA</t>
        </is>
      </c>
      <c r="G270" t="n">
        <v>1.4</v>
      </c>
      <c r="H270" t="n">
        <v>0</v>
      </c>
      <c r="I270" t="n">
        <v>0</v>
      </c>
      <c r="J270" t="n">
        <v>0</v>
      </c>
      <c r="K270" t="n">
        <v>0</v>
      </c>
      <c r="L270" t="n">
        <v>0</v>
      </c>
      <c r="M270" t="n">
        <v>0</v>
      </c>
      <c r="N270" t="n">
        <v>0</v>
      </c>
      <c r="O270" t="n">
        <v>0</v>
      </c>
      <c r="P270" t="n">
        <v>0</v>
      </c>
      <c r="Q270" t="n">
        <v>0</v>
      </c>
      <c r="R270" s="2" t="inlineStr"/>
    </row>
    <row r="271" ht="15" customHeight="1">
      <c r="A271" t="inlineStr">
        <is>
          <t>A 30291-2024</t>
        </is>
      </c>
      <c r="B271" s="1" t="n">
        <v>45490.64978009259</v>
      </c>
      <c r="C271" s="1" t="n">
        <v>45922</v>
      </c>
      <c r="D271" t="inlineStr">
        <is>
          <t>DALARNAS LÄN</t>
        </is>
      </c>
      <c r="E271" t="inlineStr">
        <is>
          <t>ORSA</t>
        </is>
      </c>
      <c r="F271" t="inlineStr">
        <is>
          <t>Bergvik skog öst AB</t>
        </is>
      </c>
      <c r="G271" t="n">
        <v>7.5</v>
      </c>
      <c r="H271" t="n">
        <v>0</v>
      </c>
      <c r="I271" t="n">
        <v>0</v>
      </c>
      <c r="J271" t="n">
        <v>0</v>
      </c>
      <c r="K271" t="n">
        <v>0</v>
      </c>
      <c r="L271" t="n">
        <v>0</v>
      </c>
      <c r="M271" t="n">
        <v>0</v>
      </c>
      <c r="N271" t="n">
        <v>0</v>
      </c>
      <c r="O271" t="n">
        <v>0</v>
      </c>
      <c r="P271" t="n">
        <v>0</v>
      </c>
      <c r="Q271" t="n">
        <v>0</v>
      </c>
      <c r="R271" s="2" t="inlineStr"/>
    </row>
    <row r="272" ht="15" customHeight="1">
      <c r="A272" t="inlineStr">
        <is>
          <t>A 37852-2024</t>
        </is>
      </c>
      <c r="B272" s="1" t="n">
        <v>45544.3786574074</v>
      </c>
      <c r="C272" s="1" t="n">
        <v>45922</v>
      </c>
      <c r="D272" t="inlineStr">
        <is>
          <t>DALARNAS LÄN</t>
        </is>
      </c>
      <c r="E272" t="inlineStr">
        <is>
          <t>ORSA</t>
        </is>
      </c>
      <c r="G272" t="n">
        <v>0.7</v>
      </c>
      <c r="H272" t="n">
        <v>0</v>
      </c>
      <c r="I272" t="n">
        <v>0</v>
      </c>
      <c r="J272" t="n">
        <v>0</v>
      </c>
      <c r="K272" t="n">
        <v>0</v>
      </c>
      <c r="L272" t="n">
        <v>0</v>
      </c>
      <c r="M272" t="n">
        <v>0</v>
      </c>
      <c r="N272" t="n">
        <v>0</v>
      </c>
      <c r="O272" t="n">
        <v>0</v>
      </c>
      <c r="P272" t="n">
        <v>0</v>
      </c>
      <c r="Q272" t="n">
        <v>0</v>
      </c>
      <c r="R272" s="2" t="inlineStr"/>
    </row>
    <row r="273" ht="15" customHeight="1">
      <c r="A273" t="inlineStr">
        <is>
          <t>A 8430-2024</t>
        </is>
      </c>
      <c r="B273" s="1" t="n">
        <v>45353.41157407407</v>
      </c>
      <c r="C273" s="1" t="n">
        <v>45922</v>
      </c>
      <c r="D273" t="inlineStr">
        <is>
          <t>DALARNAS LÄN</t>
        </is>
      </c>
      <c r="E273" t="inlineStr">
        <is>
          <t>ORSA</t>
        </is>
      </c>
      <c r="G273" t="n">
        <v>14.4</v>
      </c>
      <c r="H273" t="n">
        <v>0</v>
      </c>
      <c r="I273" t="n">
        <v>0</v>
      </c>
      <c r="J273" t="n">
        <v>0</v>
      </c>
      <c r="K273" t="n">
        <v>0</v>
      </c>
      <c r="L273" t="n">
        <v>0</v>
      </c>
      <c r="M273" t="n">
        <v>0</v>
      </c>
      <c r="N273" t="n">
        <v>0</v>
      </c>
      <c r="O273" t="n">
        <v>0</v>
      </c>
      <c r="P273" t="n">
        <v>0</v>
      </c>
      <c r="Q273" t="n">
        <v>0</v>
      </c>
      <c r="R273" s="2" t="inlineStr"/>
    </row>
    <row r="274" ht="15" customHeight="1">
      <c r="A274" t="inlineStr">
        <is>
          <t>A 5435-2025</t>
        </is>
      </c>
      <c r="B274" s="1" t="n">
        <v>45692</v>
      </c>
      <c r="C274" s="1" t="n">
        <v>45922</v>
      </c>
      <c r="D274" t="inlineStr">
        <is>
          <t>DALARNAS LÄN</t>
        </is>
      </c>
      <c r="E274" t="inlineStr">
        <is>
          <t>ORSA</t>
        </is>
      </c>
      <c r="G274" t="n">
        <v>7.8</v>
      </c>
      <c r="H274" t="n">
        <v>0</v>
      </c>
      <c r="I274" t="n">
        <v>0</v>
      </c>
      <c r="J274" t="n">
        <v>0</v>
      </c>
      <c r="K274" t="n">
        <v>0</v>
      </c>
      <c r="L274" t="n">
        <v>0</v>
      </c>
      <c r="M274" t="n">
        <v>0</v>
      </c>
      <c r="N274" t="n">
        <v>0</v>
      </c>
      <c r="O274" t="n">
        <v>0</v>
      </c>
      <c r="P274" t="n">
        <v>0</v>
      </c>
      <c r="Q274" t="n">
        <v>0</v>
      </c>
      <c r="R274" s="2" t="inlineStr"/>
    </row>
    <row r="275" ht="15" customHeight="1">
      <c r="A275" t="inlineStr">
        <is>
          <t>A 53717-2024</t>
        </is>
      </c>
      <c r="B275" s="1" t="n">
        <v>45615.43141203704</v>
      </c>
      <c r="C275" s="1" t="n">
        <v>45922</v>
      </c>
      <c r="D275" t="inlineStr">
        <is>
          <t>DALARNAS LÄN</t>
        </is>
      </c>
      <c r="E275" t="inlineStr">
        <is>
          <t>ORSA</t>
        </is>
      </c>
      <c r="G275" t="n">
        <v>1.5</v>
      </c>
      <c r="H275" t="n">
        <v>0</v>
      </c>
      <c r="I275" t="n">
        <v>0</v>
      </c>
      <c r="J275" t="n">
        <v>0</v>
      </c>
      <c r="K275" t="n">
        <v>0</v>
      </c>
      <c r="L275" t="n">
        <v>0</v>
      </c>
      <c r="M275" t="n">
        <v>0</v>
      </c>
      <c r="N275" t="n">
        <v>0</v>
      </c>
      <c r="O275" t="n">
        <v>0</v>
      </c>
      <c r="P275" t="n">
        <v>0</v>
      </c>
      <c r="Q275" t="n">
        <v>0</v>
      </c>
      <c r="R275" s="2" t="inlineStr"/>
    </row>
    <row r="276" ht="15" customHeight="1">
      <c r="A276" t="inlineStr">
        <is>
          <t>A 31688-2024</t>
        </is>
      </c>
      <c r="B276" s="1" t="n">
        <v>45507.46103009259</v>
      </c>
      <c r="C276" s="1" t="n">
        <v>45922</v>
      </c>
      <c r="D276" t="inlineStr">
        <is>
          <t>DALARNAS LÄN</t>
        </is>
      </c>
      <c r="E276" t="inlineStr">
        <is>
          <t>ORSA</t>
        </is>
      </c>
      <c r="G276" t="n">
        <v>0.7</v>
      </c>
      <c r="H276" t="n">
        <v>0</v>
      </c>
      <c r="I276" t="n">
        <v>0</v>
      </c>
      <c r="J276" t="n">
        <v>0</v>
      </c>
      <c r="K276" t="n">
        <v>0</v>
      </c>
      <c r="L276" t="n">
        <v>0</v>
      </c>
      <c r="M276" t="n">
        <v>0</v>
      </c>
      <c r="N276" t="n">
        <v>0</v>
      </c>
      <c r="O276" t="n">
        <v>0</v>
      </c>
      <c r="P276" t="n">
        <v>0</v>
      </c>
      <c r="Q276" t="n">
        <v>0</v>
      </c>
      <c r="R276" s="2" t="inlineStr"/>
    </row>
    <row r="277" ht="15" customHeight="1">
      <c r="A277" t="inlineStr">
        <is>
          <t>A 10359-2023</t>
        </is>
      </c>
      <c r="B277" s="1" t="n">
        <v>44987.37292824074</v>
      </c>
      <c r="C277" s="1" t="n">
        <v>45922</v>
      </c>
      <c r="D277" t="inlineStr">
        <is>
          <t>DALARNAS LÄN</t>
        </is>
      </c>
      <c r="E277" t="inlineStr">
        <is>
          <t>ORSA</t>
        </is>
      </c>
      <c r="G277" t="n">
        <v>2.5</v>
      </c>
      <c r="H277" t="n">
        <v>0</v>
      </c>
      <c r="I277" t="n">
        <v>0</v>
      </c>
      <c r="J277" t="n">
        <v>0</v>
      </c>
      <c r="K277" t="n">
        <v>0</v>
      </c>
      <c r="L277" t="n">
        <v>0</v>
      </c>
      <c r="M277" t="n">
        <v>0</v>
      </c>
      <c r="N277" t="n">
        <v>0</v>
      </c>
      <c r="O277" t="n">
        <v>0</v>
      </c>
      <c r="P277" t="n">
        <v>0</v>
      </c>
      <c r="Q277" t="n">
        <v>0</v>
      </c>
      <c r="R277" s="2" t="inlineStr"/>
    </row>
    <row r="278" ht="15" customHeight="1">
      <c r="A278" t="inlineStr">
        <is>
          <t>A 32325-2025</t>
        </is>
      </c>
      <c r="B278" s="1" t="n">
        <v>45836</v>
      </c>
      <c r="C278" s="1" t="n">
        <v>45922</v>
      </c>
      <c r="D278" t="inlineStr">
        <is>
          <t>DALARNAS LÄN</t>
        </is>
      </c>
      <c r="E278" t="inlineStr">
        <is>
          <t>ORSA</t>
        </is>
      </c>
      <c r="G278" t="n">
        <v>3.8</v>
      </c>
      <c r="H278" t="n">
        <v>0</v>
      </c>
      <c r="I278" t="n">
        <v>0</v>
      </c>
      <c r="J278" t="n">
        <v>0</v>
      </c>
      <c r="K278" t="n">
        <v>0</v>
      </c>
      <c r="L278" t="n">
        <v>0</v>
      </c>
      <c r="M278" t="n">
        <v>0</v>
      </c>
      <c r="N278" t="n">
        <v>0</v>
      </c>
      <c r="O278" t="n">
        <v>0</v>
      </c>
      <c r="P278" t="n">
        <v>0</v>
      </c>
      <c r="Q278" t="n">
        <v>0</v>
      </c>
      <c r="R278" s="2" t="inlineStr"/>
    </row>
    <row r="279" ht="15" customHeight="1">
      <c r="A279" t="inlineStr">
        <is>
          <t>A 37893-2025</t>
        </is>
      </c>
      <c r="B279" s="1" t="n">
        <v>45881.54469907407</v>
      </c>
      <c r="C279" s="1" t="n">
        <v>45922</v>
      </c>
      <c r="D279" t="inlineStr">
        <is>
          <t>DALARNAS LÄN</t>
        </is>
      </c>
      <c r="E279" t="inlineStr">
        <is>
          <t>ORSA</t>
        </is>
      </c>
      <c r="G279" t="n">
        <v>4.4</v>
      </c>
      <c r="H279" t="n">
        <v>0</v>
      </c>
      <c r="I279" t="n">
        <v>0</v>
      </c>
      <c r="J279" t="n">
        <v>0</v>
      </c>
      <c r="K279" t="n">
        <v>0</v>
      </c>
      <c r="L279" t="n">
        <v>0</v>
      </c>
      <c r="M279" t="n">
        <v>0</v>
      </c>
      <c r="N279" t="n">
        <v>0</v>
      </c>
      <c r="O279" t="n">
        <v>0</v>
      </c>
      <c r="P279" t="n">
        <v>0</v>
      </c>
      <c r="Q279" t="n">
        <v>0</v>
      </c>
      <c r="R279" s="2" t="inlineStr"/>
    </row>
    <row r="280" ht="15" customHeight="1">
      <c r="A280" t="inlineStr">
        <is>
          <t>A 37899-2025</t>
        </is>
      </c>
      <c r="B280" s="1" t="n">
        <v>45881.56083333334</v>
      </c>
      <c r="C280" s="1" t="n">
        <v>45922</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37906-2025</t>
        </is>
      </c>
      <c r="B281" s="1" t="n">
        <v>45881.56803240741</v>
      </c>
      <c r="C281" s="1" t="n">
        <v>45922</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56706-2021</t>
        </is>
      </c>
      <c r="B282" s="1" t="n">
        <v>44481.4037962963</v>
      </c>
      <c r="C282" s="1" t="n">
        <v>45922</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37897-2025</t>
        </is>
      </c>
      <c r="B283" s="1" t="n">
        <v>45881.55274305555</v>
      </c>
      <c r="C283" s="1" t="n">
        <v>45922</v>
      </c>
      <c r="D283" t="inlineStr">
        <is>
          <t>DALARNAS LÄN</t>
        </is>
      </c>
      <c r="E283" t="inlineStr">
        <is>
          <t>ORSA</t>
        </is>
      </c>
      <c r="G283" t="n">
        <v>1.9</v>
      </c>
      <c r="H283" t="n">
        <v>0</v>
      </c>
      <c r="I283" t="n">
        <v>0</v>
      </c>
      <c r="J283" t="n">
        <v>0</v>
      </c>
      <c r="K283" t="n">
        <v>0</v>
      </c>
      <c r="L283" t="n">
        <v>0</v>
      </c>
      <c r="M283" t="n">
        <v>0</v>
      </c>
      <c r="N283" t="n">
        <v>0</v>
      </c>
      <c r="O283" t="n">
        <v>0</v>
      </c>
      <c r="P283" t="n">
        <v>0</v>
      </c>
      <c r="Q283" t="n">
        <v>0</v>
      </c>
      <c r="R283" s="2" t="inlineStr"/>
    </row>
    <row r="284" ht="15" customHeight="1">
      <c r="A284" t="inlineStr">
        <is>
          <t>A 3951-2023</t>
        </is>
      </c>
      <c r="B284" s="1" t="n">
        <v>44952.38577546296</v>
      </c>
      <c r="C284" s="1" t="n">
        <v>45922</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50742-2023</t>
        </is>
      </c>
      <c r="B285" s="1" t="n">
        <v>45217.58891203703</v>
      </c>
      <c r="C285" s="1" t="n">
        <v>45922</v>
      </c>
      <c r="D285" t="inlineStr">
        <is>
          <t>DALARNAS LÄN</t>
        </is>
      </c>
      <c r="E285" t="inlineStr">
        <is>
          <t>ORSA</t>
        </is>
      </c>
      <c r="G285" t="n">
        <v>0.8</v>
      </c>
      <c r="H285" t="n">
        <v>0</v>
      </c>
      <c r="I285" t="n">
        <v>0</v>
      </c>
      <c r="J285" t="n">
        <v>0</v>
      </c>
      <c r="K285" t="n">
        <v>0</v>
      </c>
      <c r="L285" t="n">
        <v>0</v>
      </c>
      <c r="M285" t="n">
        <v>0</v>
      </c>
      <c r="N285" t="n">
        <v>0</v>
      </c>
      <c r="O285" t="n">
        <v>0</v>
      </c>
      <c r="P285" t="n">
        <v>0</v>
      </c>
      <c r="Q285" t="n">
        <v>0</v>
      </c>
      <c r="R285" s="2" t="inlineStr"/>
    </row>
    <row r="286" ht="15" customHeight="1">
      <c r="A286" t="inlineStr">
        <is>
          <t>A 32984-2025</t>
        </is>
      </c>
      <c r="B286" s="1" t="n">
        <v>45839.93006944445</v>
      </c>
      <c r="C286" s="1" t="n">
        <v>45922</v>
      </c>
      <c r="D286" t="inlineStr">
        <is>
          <t>DALARNAS LÄN</t>
        </is>
      </c>
      <c r="E286" t="inlineStr">
        <is>
          <t>ORSA</t>
        </is>
      </c>
      <c r="G286" t="n">
        <v>0.5</v>
      </c>
      <c r="H286" t="n">
        <v>0</v>
      </c>
      <c r="I286" t="n">
        <v>0</v>
      </c>
      <c r="J286" t="n">
        <v>0</v>
      </c>
      <c r="K286" t="n">
        <v>0</v>
      </c>
      <c r="L286" t="n">
        <v>0</v>
      </c>
      <c r="M286" t="n">
        <v>0</v>
      </c>
      <c r="N286" t="n">
        <v>0</v>
      </c>
      <c r="O286" t="n">
        <v>0</v>
      </c>
      <c r="P286" t="n">
        <v>0</v>
      </c>
      <c r="Q286" t="n">
        <v>0</v>
      </c>
      <c r="R286" s="2" t="inlineStr"/>
    </row>
    <row r="287" ht="15" customHeight="1">
      <c r="A287" t="inlineStr">
        <is>
          <t>A 32985-2025</t>
        </is>
      </c>
      <c r="B287" s="1" t="n">
        <v>45839.93033564815</v>
      </c>
      <c r="C287" s="1" t="n">
        <v>45922</v>
      </c>
      <c r="D287" t="inlineStr">
        <is>
          <t>DALARNAS LÄN</t>
        </is>
      </c>
      <c r="E287" t="inlineStr">
        <is>
          <t>ORSA</t>
        </is>
      </c>
      <c r="G287" t="n">
        <v>1.6</v>
      </c>
      <c r="H287" t="n">
        <v>0</v>
      </c>
      <c r="I287" t="n">
        <v>0</v>
      </c>
      <c r="J287" t="n">
        <v>0</v>
      </c>
      <c r="K287" t="n">
        <v>0</v>
      </c>
      <c r="L287" t="n">
        <v>0</v>
      </c>
      <c r="M287" t="n">
        <v>0</v>
      </c>
      <c r="N287" t="n">
        <v>0</v>
      </c>
      <c r="O287" t="n">
        <v>0</v>
      </c>
      <c r="P287" t="n">
        <v>0</v>
      </c>
      <c r="Q287" t="n">
        <v>0</v>
      </c>
      <c r="R287" s="2" t="inlineStr"/>
    </row>
    <row r="288" ht="15" customHeight="1">
      <c r="A288" t="inlineStr">
        <is>
          <t>A 33158-2025</t>
        </is>
      </c>
      <c r="B288" s="1" t="n">
        <v>45840</v>
      </c>
      <c r="C288" s="1" t="n">
        <v>45922</v>
      </c>
      <c r="D288" t="inlineStr">
        <is>
          <t>DALARNAS LÄN</t>
        </is>
      </c>
      <c r="E288" t="inlineStr">
        <is>
          <t>ORSA</t>
        </is>
      </c>
      <c r="F288" t="inlineStr">
        <is>
          <t>Bergvik skog öst AB</t>
        </is>
      </c>
      <c r="G288" t="n">
        <v>2.7</v>
      </c>
      <c r="H288" t="n">
        <v>0</v>
      </c>
      <c r="I288" t="n">
        <v>0</v>
      </c>
      <c r="J288" t="n">
        <v>0</v>
      </c>
      <c r="K288" t="n">
        <v>0</v>
      </c>
      <c r="L288" t="n">
        <v>0</v>
      </c>
      <c r="M288" t="n">
        <v>0</v>
      </c>
      <c r="N288" t="n">
        <v>0</v>
      </c>
      <c r="O288" t="n">
        <v>0</v>
      </c>
      <c r="P288" t="n">
        <v>0</v>
      </c>
      <c r="Q288" t="n">
        <v>0</v>
      </c>
      <c r="R288" s="2" t="inlineStr"/>
    </row>
    <row r="289" ht="15" customHeight="1">
      <c r="A289" t="inlineStr">
        <is>
          <t>A 50999-2021</t>
        </is>
      </c>
      <c r="B289" s="1" t="n">
        <v>44460.85565972222</v>
      </c>
      <c r="C289" s="1" t="n">
        <v>45922</v>
      </c>
      <c r="D289" t="inlineStr">
        <is>
          <t>DALARNAS LÄN</t>
        </is>
      </c>
      <c r="E289" t="inlineStr">
        <is>
          <t>ORSA</t>
        </is>
      </c>
      <c r="G289" t="n">
        <v>3</v>
      </c>
      <c r="H289" t="n">
        <v>0</v>
      </c>
      <c r="I289" t="n">
        <v>0</v>
      </c>
      <c r="J289" t="n">
        <v>0</v>
      </c>
      <c r="K289" t="n">
        <v>0</v>
      </c>
      <c r="L289" t="n">
        <v>0</v>
      </c>
      <c r="M289" t="n">
        <v>0</v>
      </c>
      <c r="N289" t="n">
        <v>0</v>
      </c>
      <c r="O289" t="n">
        <v>0</v>
      </c>
      <c r="P289" t="n">
        <v>0</v>
      </c>
      <c r="Q289" t="n">
        <v>0</v>
      </c>
      <c r="R289" s="2" t="inlineStr"/>
    </row>
    <row r="290" ht="15" customHeight="1">
      <c r="A290" t="inlineStr">
        <is>
          <t>A 57533-2022</t>
        </is>
      </c>
      <c r="B290" s="1" t="n">
        <v>44896.68393518519</v>
      </c>
      <c r="C290" s="1" t="n">
        <v>45922</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33394-2025</t>
        </is>
      </c>
      <c r="B291" s="1" t="n">
        <v>45841.41704861111</v>
      </c>
      <c r="C291" s="1" t="n">
        <v>45922</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33059-2025</t>
        </is>
      </c>
      <c r="B292" s="1" t="n">
        <v>45840.43072916667</v>
      </c>
      <c r="C292" s="1" t="n">
        <v>45922</v>
      </c>
      <c r="D292" t="inlineStr">
        <is>
          <t>DALARNAS LÄN</t>
        </is>
      </c>
      <c r="E292" t="inlineStr">
        <is>
          <t>ORSA</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27877-2021</t>
        </is>
      </c>
      <c r="B293" s="1" t="n">
        <v>44354.6446875</v>
      </c>
      <c r="C293" s="1" t="n">
        <v>45922</v>
      </c>
      <c r="D293" t="inlineStr">
        <is>
          <t>DALARNAS LÄN</t>
        </is>
      </c>
      <c r="E293" t="inlineStr">
        <is>
          <t>ORSA</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33057-2025</t>
        </is>
      </c>
      <c r="B294" s="1" t="n">
        <v>45840</v>
      </c>
      <c r="C294" s="1" t="n">
        <v>45922</v>
      </c>
      <c r="D294" t="inlineStr">
        <is>
          <t>DALARNAS LÄN</t>
        </is>
      </c>
      <c r="E294" t="inlineStr">
        <is>
          <t>ORSA</t>
        </is>
      </c>
      <c r="F294" t="inlineStr">
        <is>
          <t>Bergvik skog öst AB</t>
        </is>
      </c>
      <c r="G294" t="n">
        <v>3.3</v>
      </c>
      <c r="H294" t="n">
        <v>0</v>
      </c>
      <c r="I294" t="n">
        <v>0</v>
      </c>
      <c r="J294" t="n">
        <v>0</v>
      </c>
      <c r="K294" t="n">
        <v>0</v>
      </c>
      <c r="L294" t="n">
        <v>0</v>
      </c>
      <c r="M294" t="n">
        <v>0</v>
      </c>
      <c r="N294" t="n">
        <v>0</v>
      </c>
      <c r="O294" t="n">
        <v>0</v>
      </c>
      <c r="P294" t="n">
        <v>0</v>
      </c>
      <c r="Q294" t="n">
        <v>0</v>
      </c>
      <c r="R294" s="2" t="inlineStr"/>
    </row>
    <row r="295" ht="15" customHeight="1">
      <c r="A295" t="inlineStr">
        <is>
          <t>A 33209-2025</t>
        </is>
      </c>
      <c r="B295" s="1" t="n">
        <v>45840.62648148148</v>
      </c>
      <c r="C295" s="1" t="n">
        <v>45922</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47778-2021</t>
        </is>
      </c>
      <c r="B296" s="1" t="n">
        <v>44448</v>
      </c>
      <c r="C296" s="1" t="n">
        <v>45922</v>
      </c>
      <c r="D296" t="inlineStr">
        <is>
          <t>DALARNAS LÄN</t>
        </is>
      </c>
      <c r="E296" t="inlineStr">
        <is>
          <t>ORSA</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17421-2025</t>
        </is>
      </c>
      <c r="B297" s="1" t="n">
        <v>45757.38532407407</v>
      </c>
      <c r="C297" s="1" t="n">
        <v>45922</v>
      </c>
      <c r="D297" t="inlineStr">
        <is>
          <t>DALARNAS LÄN</t>
        </is>
      </c>
      <c r="E297" t="inlineStr">
        <is>
          <t>ORSA</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52776-2022</t>
        </is>
      </c>
      <c r="B298" s="1" t="n">
        <v>44875.36341435185</v>
      </c>
      <c r="C298" s="1" t="n">
        <v>45922</v>
      </c>
      <c r="D298" t="inlineStr">
        <is>
          <t>DALARNAS LÄN</t>
        </is>
      </c>
      <c r="E298" t="inlineStr">
        <is>
          <t>ORSA</t>
        </is>
      </c>
      <c r="F298" t="inlineStr">
        <is>
          <t>Allmännings- och besparingsskogar</t>
        </is>
      </c>
      <c r="G298" t="n">
        <v>4.4</v>
      </c>
      <c r="H298" t="n">
        <v>0</v>
      </c>
      <c r="I298" t="n">
        <v>0</v>
      </c>
      <c r="J298" t="n">
        <v>0</v>
      </c>
      <c r="K298" t="n">
        <v>0</v>
      </c>
      <c r="L298" t="n">
        <v>0</v>
      </c>
      <c r="M298" t="n">
        <v>0</v>
      </c>
      <c r="N298" t="n">
        <v>0</v>
      </c>
      <c r="O298" t="n">
        <v>0</v>
      </c>
      <c r="P298" t="n">
        <v>0</v>
      </c>
      <c r="Q298" t="n">
        <v>0</v>
      </c>
      <c r="R298" s="2" t="inlineStr"/>
    </row>
    <row r="299" ht="15" customHeight="1">
      <c r="A299" t="inlineStr">
        <is>
          <t>A 28082-2023</t>
        </is>
      </c>
      <c r="B299" s="1" t="n">
        <v>45099</v>
      </c>
      <c r="C299" s="1" t="n">
        <v>45922</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6492-2025</t>
        </is>
      </c>
      <c r="B300" s="1" t="n">
        <v>45699</v>
      </c>
      <c r="C300" s="1" t="n">
        <v>45922</v>
      </c>
      <c r="D300" t="inlineStr">
        <is>
          <t>DALARNAS LÄN</t>
        </is>
      </c>
      <c r="E300" t="inlineStr">
        <is>
          <t>ORSA</t>
        </is>
      </c>
      <c r="G300" t="n">
        <v>0.8</v>
      </c>
      <c r="H300" t="n">
        <v>0</v>
      </c>
      <c r="I300" t="n">
        <v>0</v>
      </c>
      <c r="J300" t="n">
        <v>0</v>
      </c>
      <c r="K300" t="n">
        <v>0</v>
      </c>
      <c r="L300" t="n">
        <v>0</v>
      </c>
      <c r="M300" t="n">
        <v>0</v>
      </c>
      <c r="N300" t="n">
        <v>0</v>
      </c>
      <c r="O300" t="n">
        <v>0</v>
      </c>
      <c r="P300" t="n">
        <v>0</v>
      </c>
      <c r="Q300" t="n">
        <v>0</v>
      </c>
      <c r="R300" s="2" t="inlineStr"/>
    </row>
    <row r="301" ht="15" customHeight="1">
      <c r="A301" t="inlineStr">
        <is>
          <t>A 4553-2025</t>
        </is>
      </c>
      <c r="B301" s="1" t="n">
        <v>45687.42143518518</v>
      </c>
      <c r="C301" s="1" t="n">
        <v>45922</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33214-2025</t>
        </is>
      </c>
      <c r="B302" s="1" t="n">
        <v>45840.6295949074</v>
      </c>
      <c r="C302" s="1" t="n">
        <v>45922</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51567-2023</t>
        </is>
      </c>
      <c r="B303" s="1" t="n">
        <v>45222.44800925926</v>
      </c>
      <c r="C303" s="1" t="n">
        <v>45922</v>
      </c>
      <c r="D303" t="inlineStr">
        <is>
          <t>DALARNAS LÄN</t>
        </is>
      </c>
      <c r="E303" t="inlineStr">
        <is>
          <t>ORSA</t>
        </is>
      </c>
      <c r="G303" t="n">
        <v>0.7</v>
      </c>
      <c r="H303" t="n">
        <v>0</v>
      </c>
      <c r="I303" t="n">
        <v>0</v>
      </c>
      <c r="J303" t="n">
        <v>0</v>
      </c>
      <c r="K303" t="n">
        <v>0</v>
      </c>
      <c r="L303" t="n">
        <v>0</v>
      </c>
      <c r="M303" t="n">
        <v>0</v>
      </c>
      <c r="N303" t="n">
        <v>0</v>
      </c>
      <c r="O303" t="n">
        <v>0</v>
      </c>
      <c r="P303" t="n">
        <v>0</v>
      </c>
      <c r="Q303" t="n">
        <v>0</v>
      </c>
      <c r="R303" s="2" t="inlineStr"/>
    </row>
    <row r="304" ht="15" customHeight="1">
      <c r="A304" t="inlineStr">
        <is>
          <t>A 15772-2025</t>
        </is>
      </c>
      <c r="B304" s="1" t="n">
        <v>45748.59069444444</v>
      </c>
      <c r="C304" s="1" t="n">
        <v>45922</v>
      </c>
      <c r="D304" t="inlineStr">
        <is>
          <t>DALARNAS LÄN</t>
        </is>
      </c>
      <c r="E304" t="inlineStr">
        <is>
          <t>ORSA</t>
        </is>
      </c>
      <c r="F304" t="inlineStr">
        <is>
          <t>Bergvik skog öst AB</t>
        </is>
      </c>
      <c r="G304" t="n">
        <v>3.8</v>
      </c>
      <c r="H304" t="n">
        <v>0</v>
      </c>
      <c r="I304" t="n">
        <v>0</v>
      </c>
      <c r="J304" t="n">
        <v>0</v>
      </c>
      <c r="K304" t="n">
        <v>0</v>
      </c>
      <c r="L304" t="n">
        <v>0</v>
      </c>
      <c r="M304" t="n">
        <v>0</v>
      </c>
      <c r="N304" t="n">
        <v>0</v>
      </c>
      <c r="O304" t="n">
        <v>0</v>
      </c>
      <c r="P304" t="n">
        <v>0</v>
      </c>
      <c r="Q304" t="n">
        <v>0</v>
      </c>
      <c r="R304" s="2" t="inlineStr"/>
    </row>
    <row r="305" ht="15" customHeight="1">
      <c r="A305" t="inlineStr">
        <is>
          <t>A 33374-2025</t>
        </is>
      </c>
      <c r="B305" s="1" t="n">
        <v>45841.39582175926</v>
      </c>
      <c r="C305" s="1" t="n">
        <v>45922</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51305-2023</t>
        </is>
      </c>
      <c r="B306" s="1" t="n">
        <v>45219</v>
      </c>
      <c r="C306" s="1" t="n">
        <v>45922</v>
      </c>
      <c r="D306" t="inlineStr">
        <is>
          <t>DALARNAS LÄN</t>
        </is>
      </c>
      <c r="E306" t="inlineStr">
        <is>
          <t>ORSA</t>
        </is>
      </c>
      <c r="G306" t="n">
        <v>1.3</v>
      </c>
      <c r="H306" t="n">
        <v>0</v>
      </c>
      <c r="I306" t="n">
        <v>0</v>
      </c>
      <c r="J306" t="n">
        <v>0</v>
      </c>
      <c r="K306" t="n">
        <v>0</v>
      </c>
      <c r="L306" t="n">
        <v>0</v>
      </c>
      <c r="M306" t="n">
        <v>0</v>
      </c>
      <c r="N306" t="n">
        <v>0</v>
      </c>
      <c r="O306" t="n">
        <v>0</v>
      </c>
      <c r="P306" t="n">
        <v>0</v>
      </c>
      <c r="Q306" t="n">
        <v>0</v>
      </c>
      <c r="R306" s="2" t="inlineStr"/>
    </row>
    <row r="307" ht="15" customHeight="1">
      <c r="A307" t="inlineStr">
        <is>
          <t>A 35477-2023</t>
        </is>
      </c>
      <c r="B307" s="1" t="n">
        <v>45146</v>
      </c>
      <c r="C307" s="1" t="n">
        <v>45922</v>
      </c>
      <c r="D307" t="inlineStr">
        <is>
          <t>DALARNAS LÄN</t>
        </is>
      </c>
      <c r="E307" t="inlineStr">
        <is>
          <t>ORSA</t>
        </is>
      </c>
      <c r="G307" t="n">
        <v>7.7</v>
      </c>
      <c r="H307" t="n">
        <v>0</v>
      </c>
      <c r="I307" t="n">
        <v>0</v>
      </c>
      <c r="J307" t="n">
        <v>0</v>
      </c>
      <c r="K307" t="n">
        <v>0</v>
      </c>
      <c r="L307" t="n">
        <v>0</v>
      </c>
      <c r="M307" t="n">
        <v>0</v>
      </c>
      <c r="N307" t="n">
        <v>0</v>
      </c>
      <c r="O307" t="n">
        <v>0</v>
      </c>
      <c r="P307" t="n">
        <v>0</v>
      </c>
      <c r="Q307" t="n">
        <v>0</v>
      </c>
      <c r="R307" s="2" t="inlineStr"/>
    </row>
    <row r="308" ht="15" customHeight="1">
      <c r="A308" t="inlineStr">
        <is>
          <t>A 38672-2025</t>
        </is>
      </c>
      <c r="B308" s="1" t="n">
        <v>45884.63340277778</v>
      </c>
      <c r="C308" s="1" t="n">
        <v>45922</v>
      </c>
      <c r="D308" t="inlineStr">
        <is>
          <t>DALARNAS LÄN</t>
        </is>
      </c>
      <c r="E308" t="inlineStr">
        <is>
          <t>ORSA</t>
        </is>
      </c>
      <c r="G308" t="n">
        <v>4.6</v>
      </c>
      <c r="H308" t="n">
        <v>0</v>
      </c>
      <c r="I308" t="n">
        <v>0</v>
      </c>
      <c r="J308" t="n">
        <v>0</v>
      </c>
      <c r="K308" t="n">
        <v>0</v>
      </c>
      <c r="L308" t="n">
        <v>0</v>
      </c>
      <c r="M308" t="n">
        <v>0</v>
      </c>
      <c r="N308" t="n">
        <v>0</v>
      </c>
      <c r="O308" t="n">
        <v>0</v>
      </c>
      <c r="P308" t="n">
        <v>0</v>
      </c>
      <c r="Q308" t="n">
        <v>0</v>
      </c>
      <c r="R308" s="2" t="inlineStr"/>
    </row>
    <row r="309" ht="15" customHeight="1">
      <c r="A309" t="inlineStr">
        <is>
          <t>A 17518-2025</t>
        </is>
      </c>
      <c r="B309" s="1" t="n">
        <v>45757.57597222222</v>
      </c>
      <c r="C309" s="1" t="n">
        <v>45922</v>
      </c>
      <c r="D309" t="inlineStr">
        <is>
          <t>DALARNAS LÄN</t>
        </is>
      </c>
      <c r="E309" t="inlineStr">
        <is>
          <t>ORSA</t>
        </is>
      </c>
      <c r="F309" t="inlineStr">
        <is>
          <t>Bergvik skog öst AB</t>
        </is>
      </c>
      <c r="G309" t="n">
        <v>7.3</v>
      </c>
      <c r="H309" t="n">
        <v>0</v>
      </c>
      <c r="I309" t="n">
        <v>0</v>
      </c>
      <c r="J309" t="n">
        <v>0</v>
      </c>
      <c r="K309" t="n">
        <v>0</v>
      </c>
      <c r="L309" t="n">
        <v>0</v>
      </c>
      <c r="M309" t="n">
        <v>0</v>
      </c>
      <c r="N309" t="n">
        <v>0</v>
      </c>
      <c r="O309" t="n">
        <v>0</v>
      </c>
      <c r="P309" t="n">
        <v>0</v>
      </c>
      <c r="Q309" t="n">
        <v>0</v>
      </c>
      <c r="R309" s="2" t="inlineStr"/>
    </row>
    <row r="310" ht="15" customHeight="1">
      <c r="A310" t="inlineStr">
        <is>
          <t>A 38844-2025</t>
        </is>
      </c>
      <c r="B310" s="1" t="n">
        <v>45887.54075231482</v>
      </c>
      <c r="C310" s="1" t="n">
        <v>45922</v>
      </c>
      <c r="D310" t="inlineStr">
        <is>
          <t>DALARNAS LÄN</t>
        </is>
      </c>
      <c r="E310" t="inlineStr">
        <is>
          <t>ORSA</t>
        </is>
      </c>
      <c r="G310" t="n">
        <v>1.6</v>
      </c>
      <c r="H310" t="n">
        <v>0</v>
      </c>
      <c r="I310" t="n">
        <v>0</v>
      </c>
      <c r="J310" t="n">
        <v>0</v>
      </c>
      <c r="K310" t="n">
        <v>0</v>
      </c>
      <c r="L310" t="n">
        <v>0</v>
      </c>
      <c r="M310" t="n">
        <v>0</v>
      </c>
      <c r="N310" t="n">
        <v>0</v>
      </c>
      <c r="O310" t="n">
        <v>0</v>
      </c>
      <c r="P310" t="n">
        <v>0</v>
      </c>
      <c r="Q310" t="n">
        <v>0</v>
      </c>
      <c r="R310" s="2" t="inlineStr"/>
    </row>
    <row r="311" ht="15" customHeight="1">
      <c r="A311" t="inlineStr">
        <is>
          <t>A 29485-2022</t>
        </is>
      </c>
      <c r="B311" s="1" t="n">
        <v>44753</v>
      </c>
      <c r="C311" s="1" t="n">
        <v>45922</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33884-2025</t>
        </is>
      </c>
      <c r="B312" s="1" t="n">
        <v>45842.57081018519</v>
      </c>
      <c r="C312" s="1" t="n">
        <v>45922</v>
      </c>
      <c r="D312" t="inlineStr">
        <is>
          <t>DALARNAS LÄN</t>
        </is>
      </c>
      <c r="E312" t="inlineStr">
        <is>
          <t>ORSA</t>
        </is>
      </c>
      <c r="G312" t="n">
        <v>0.8</v>
      </c>
      <c r="H312" t="n">
        <v>0</v>
      </c>
      <c r="I312" t="n">
        <v>0</v>
      </c>
      <c r="J312" t="n">
        <v>0</v>
      </c>
      <c r="K312" t="n">
        <v>0</v>
      </c>
      <c r="L312" t="n">
        <v>0</v>
      </c>
      <c r="M312" t="n">
        <v>0</v>
      </c>
      <c r="N312" t="n">
        <v>0</v>
      </c>
      <c r="O312" t="n">
        <v>0</v>
      </c>
      <c r="P312" t="n">
        <v>0</v>
      </c>
      <c r="Q312" t="n">
        <v>0</v>
      </c>
      <c r="R312" s="2" t="inlineStr"/>
    </row>
    <row r="313" ht="15" customHeight="1">
      <c r="A313" t="inlineStr">
        <is>
          <t>A 38840-2025</t>
        </is>
      </c>
      <c r="B313" s="1" t="n">
        <v>45887.5375</v>
      </c>
      <c r="C313" s="1" t="n">
        <v>45922</v>
      </c>
      <c r="D313" t="inlineStr">
        <is>
          <t>DALARNAS LÄN</t>
        </is>
      </c>
      <c r="E313" t="inlineStr">
        <is>
          <t>ORSA</t>
        </is>
      </c>
      <c r="G313" t="n">
        <v>1.5</v>
      </c>
      <c r="H313" t="n">
        <v>0</v>
      </c>
      <c r="I313" t="n">
        <v>0</v>
      </c>
      <c r="J313" t="n">
        <v>0</v>
      </c>
      <c r="K313" t="n">
        <v>0</v>
      </c>
      <c r="L313" t="n">
        <v>0</v>
      </c>
      <c r="M313" t="n">
        <v>0</v>
      </c>
      <c r="N313" t="n">
        <v>0</v>
      </c>
      <c r="O313" t="n">
        <v>0</v>
      </c>
      <c r="P313" t="n">
        <v>0</v>
      </c>
      <c r="Q313" t="n">
        <v>0</v>
      </c>
      <c r="R313" s="2" t="inlineStr"/>
    </row>
    <row r="314" ht="15" customHeight="1">
      <c r="A314" t="inlineStr">
        <is>
          <t>A 9466-2023</t>
        </is>
      </c>
      <c r="B314" s="1" t="n">
        <v>44981</v>
      </c>
      <c r="C314" s="1" t="n">
        <v>45922</v>
      </c>
      <c r="D314" t="inlineStr">
        <is>
          <t>DALARNAS LÄN</t>
        </is>
      </c>
      <c r="E314" t="inlineStr">
        <is>
          <t>ORSA</t>
        </is>
      </c>
      <c r="F314" t="inlineStr">
        <is>
          <t>Bergvik skog väst AB</t>
        </is>
      </c>
      <c r="G314" t="n">
        <v>3.8</v>
      </c>
      <c r="H314" t="n">
        <v>0</v>
      </c>
      <c r="I314" t="n">
        <v>0</v>
      </c>
      <c r="J314" t="n">
        <v>0</v>
      </c>
      <c r="K314" t="n">
        <v>0</v>
      </c>
      <c r="L314" t="n">
        <v>0</v>
      </c>
      <c r="M314" t="n">
        <v>0</v>
      </c>
      <c r="N314" t="n">
        <v>0</v>
      </c>
      <c r="O314" t="n">
        <v>0</v>
      </c>
      <c r="P314" t="n">
        <v>0</v>
      </c>
      <c r="Q314" t="n">
        <v>0</v>
      </c>
      <c r="R314" s="2" t="inlineStr"/>
    </row>
    <row r="315" ht="15" customHeight="1">
      <c r="A315" t="inlineStr">
        <is>
          <t>A 23461-2023</t>
        </is>
      </c>
      <c r="B315" s="1" t="n">
        <v>45076</v>
      </c>
      <c r="C315" s="1" t="n">
        <v>45922</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33951-2025</t>
        </is>
      </c>
      <c r="B316" s="1" t="n">
        <v>45842.66791666667</v>
      </c>
      <c r="C316" s="1" t="n">
        <v>45922</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33835-2025</t>
        </is>
      </c>
      <c r="B317" s="1" t="n">
        <v>45842.47619212963</v>
      </c>
      <c r="C317" s="1" t="n">
        <v>45922</v>
      </c>
      <c r="D317" t="inlineStr">
        <is>
          <t>DALARNAS LÄN</t>
        </is>
      </c>
      <c r="E317" t="inlineStr">
        <is>
          <t>ORSA</t>
        </is>
      </c>
      <c r="G317" t="n">
        <v>15.2</v>
      </c>
      <c r="H317" t="n">
        <v>0</v>
      </c>
      <c r="I317" t="n">
        <v>0</v>
      </c>
      <c r="J317" t="n">
        <v>0</v>
      </c>
      <c r="K317" t="n">
        <v>0</v>
      </c>
      <c r="L317" t="n">
        <v>0</v>
      </c>
      <c r="M317" t="n">
        <v>0</v>
      </c>
      <c r="N317" t="n">
        <v>0</v>
      </c>
      <c r="O317" t="n">
        <v>0</v>
      </c>
      <c r="P317" t="n">
        <v>0</v>
      </c>
      <c r="Q317" t="n">
        <v>0</v>
      </c>
      <c r="R317" s="2" t="inlineStr"/>
    </row>
    <row r="318" ht="15" customHeight="1">
      <c r="A318" t="inlineStr">
        <is>
          <t>A 33857-2025</t>
        </is>
      </c>
      <c r="B318" s="1" t="n">
        <v>45842.51953703703</v>
      </c>
      <c r="C318" s="1" t="n">
        <v>45922</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38688-2025</t>
        </is>
      </c>
      <c r="B319" s="1" t="n">
        <v>45884.66097222222</v>
      </c>
      <c r="C319" s="1" t="n">
        <v>45922</v>
      </c>
      <c r="D319" t="inlineStr">
        <is>
          <t>DALARNAS LÄN</t>
        </is>
      </c>
      <c r="E319" t="inlineStr">
        <is>
          <t>ORSA</t>
        </is>
      </c>
      <c r="F319" t="inlineStr">
        <is>
          <t>Allmännings- och besparingsskogar</t>
        </is>
      </c>
      <c r="G319" t="n">
        <v>10.2</v>
      </c>
      <c r="H319" t="n">
        <v>0</v>
      </c>
      <c r="I319" t="n">
        <v>0</v>
      </c>
      <c r="J319" t="n">
        <v>0</v>
      </c>
      <c r="K319" t="n">
        <v>0</v>
      </c>
      <c r="L319" t="n">
        <v>0</v>
      </c>
      <c r="M319" t="n">
        <v>0</v>
      </c>
      <c r="N319" t="n">
        <v>0</v>
      </c>
      <c r="O319" t="n">
        <v>0</v>
      </c>
      <c r="P319" t="n">
        <v>0</v>
      </c>
      <c r="Q319" t="n">
        <v>0</v>
      </c>
      <c r="R319" s="2" t="inlineStr"/>
    </row>
    <row r="320" ht="15" customHeight="1">
      <c r="A320" t="inlineStr">
        <is>
          <t>A 30290-2024</t>
        </is>
      </c>
      <c r="B320" s="1" t="n">
        <v>45490.64681712963</v>
      </c>
      <c r="C320" s="1" t="n">
        <v>45922</v>
      </c>
      <c r="D320" t="inlineStr">
        <is>
          <t>DALARNAS LÄN</t>
        </is>
      </c>
      <c r="E320" t="inlineStr">
        <is>
          <t>ORSA</t>
        </is>
      </c>
      <c r="F320" t="inlineStr">
        <is>
          <t>Bergvik skog öst AB</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38588-2025</t>
        </is>
      </c>
      <c r="B321" s="1" t="n">
        <v>45884.47355324074</v>
      </c>
      <c r="C321" s="1" t="n">
        <v>45922</v>
      </c>
      <c r="D321" t="inlineStr">
        <is>
          <t>DALARNAS LÄN</t>
        </is>
      </c>
      <c r="E321" t="inlineStr">
        <is>
          <t>ORSA</t>
        </is>
      </c>
      <c r="F321" t="inlineStr">
        <is>
          <t>Bergvik skog öst AB</t>
        </is>
      </c>
      <c r="G321" t="n">
        <v>9.5</v>
      </c>
      <c r="H321" t="n">
        <v>0</v>
      </c>
      <c r="I321" t="n">
        <v>0</v>
      </c>
      <c r="J321" t="n">
        <v>0</v>
      </c>
      <c r="K321" t="n">
        <v>0</v>
      </c>
      <c r="L321" t="n">
        <v>0</v>
      </c>
      <c r="M321" t="n">
        <v>0</v>
      </c>
      <c r="N321" t="n">
        <v>0</v>
      </c>
      <c r="O321" t="n">
        <v>0</v>
      </c>
      <c r="P321" t="n">
        <v>0</v>
      </c>
      <c r="Q321" t="n">
        <v>0</v>
      </c>
      <c r="R321" s="2" t="inlineStr"/>
    </row>
    <row r="322" ht="15" customHeight="1">
      <c r="A322" t="inlineStr">
        <is>
          <t>A 34001-2025</t>
        </is>
      </c>
      <c r="B322" s="1" t="n">
        <v>45844</v>
      </c>
      <c r="C322" s="1" t="n">
        <v>45922</v>
      </c>
      <c r="D322" t="inlineStr">
        <is>
          <t>DALARNAS LÄN</t>
        </is>
      </c>
      <c r="E322" t="inlineStr">
        <is>
          <t>ORSA</t>
        </is>
      </c>
      <c r="F322" t="inlineStr">
        <is>
          <t>Bergvik skog öst AB</t>
        </is>
      </c>
      <c r="G322" t="n">
        <v>13.4</v>
      </c>
      <c r="H322" t="n">
        <v>0</v>
      </c>
      <c r="I322" t="n">
        <v>0</v>
      </c>
      <c r="J322" t="n">
        <v>0</v>
      </c>
      <c r="K322" t="n">
        <v>0</v>
      </c>
      <c r="L322" t="n">
        <v>0</v>
      </c>
      <c r="M322" t="n">
        <v>0</v>
      </c>
      <c r="N322" t="n">
        <v>0</v>
      </c>
      <c r="O322" t="n">
        <v>0</v>
      </c>
      <c r="P322" t="n">
        <v>0</v>
      </c>
      <c r="Q322" t="n">
        <v>0</v>
      </c>
      <c r="R322" s="2" t="inlineStr"/>
    </row>
    <row r="323" ht="15" customHeight="1">
      <c r="A323" t="inlineStr">
        <is>
          <t>A 37836-2024</t>
        </is>
      </c>
      <c r="B323" s="1" t="n">
        <v>45544.35747685185</v>
      </c>
      <c r="C323" s="1" t="n">
        <v>45922</v>
      </c>
      <c r="D323" t="inlineStr">
        <is>
          <t>DALARNAS LÄN</t>
        </is>
      </c>
      <c r="E323" t="inlineStr">
        <is>
          <t>ORSA</t>
        </is>
      </c>
      <c r="G323" t="n">
        <v>2.3</v>
      </c>
      <c r="H323" t="n">
        <v>0</v>
      </c>
      <c r="I323" t="n">
        <v>0</v>
      </c>
      <c r="J323" t="n">
        <v>0</v>
      </c>
      <c r="K323" t="n">
        <v>0</v>
      </c>
      <c r="L323" t="n">
        <v>0</v>
      </c>
      <c r="M323" t="n">
        <v>0</v>
      </c>
      <c r="N323" t="n">
        <v>0</v>
      </c>
      <c r="O323" t="n">
        <v>0</v>
      </c>
      <c r="P323" t="n">
        <v>0</v>
      </c>
      <c r="Q323" t="n">
        <v>0</v>
      </c>
      <c r="R323" s="2" t="inlineStr"/>
    </row>
    <row r="324" ht="15" customHeight="1">
      <c r="A324" t="inlineStr">
        <is>
          <t>A 34374-2024</t>
        </is>
      </c>
      <c r="B324" s="1" t="n">
        <v>45525.40091435185</v>
      </c>
      <c r="C324" s="1" t="n">
        <v>45922</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52033-2023</t>
        </is>
      </c>
      <c r="B325" s="1" t="n">
        <v>45223.62680555556</v>
      </c>
      <c r="C325" s="1" t="n">
        <v>45922</v>
      </c>
      <c r="D325" t="inlineStr">
        <is>
          <t>DALARNAS LÄN</t>
        </is>
      </c>
      <c r="E325" t="inlineStr">
        <is>
          <t>ORSA</t>
        </is>
      </c>
      <c r="G325" t="n">
        <v>11.5</v>
      </c>
      <c r="H325" t="n">
        <v>0</v>
      </c>
      <c r="I325" t="n">
        <v>0</v>
      </c>
      <c r="J325" t="n">
        <v>0</v>
      </c>
      <c r="K325" t="n">
        <v>0</v>
      </c>
      <c r="L325" t="n">
        <v>0</v>
      </c>
      <c r="M325" t="n">
        <v>0</v>
      </c>
      <c r="N325" t="n">
        <v>0</v>
      </c>
      <c r="O325" t="n">
        <v>0</v>
      </c>
      <c r="P325" t="n">
        <v>0</v>
      </c>
      <c r="Q325" t="n">
        <v>0</v>
      </c>
      <c r="R325" s="2" t="inlineStr"/>
    </row>
    <row r="326" ht="15" customHeight="1">
      <c r="A326" t="inlineStr">
        <is>
          <t>A 54546-2024</t>
        </is>
      </c>
      <c r="B326" s="1" t="n">
        <v>45617.61476851852</v>
      </c>
      <c r="C326" s="1" t="n">
        <v>45922</v>
      </c>
      <c r="D326" t="inlineStr">
        <is>
          <t>DALARNAS LÄN</t>
        </is>
      </c>
      <c r="E326" t="inlineStr">
        <is>
          <t>ORSA</t>
        </is>
      </c>
      <c r="G326" t="n">
        <v>0.7</v>
      </c>
      <c r="H326" t="n">
        <v>0</v>
      </c>
      <c r="I326" t="n">
        <v>0</v>
      </c>
      <c r="J326" t="n">
        <v>0</v>
      </c>
      <c r="K326" t="n">
        <v>0</v>
      </c>
      <c r="L326" t="n">
        <v>0</v>
      </c>
      <c r="M326" t="n">
        <v>0</v>
      </c>
      <c r="N326" t="n">
        <v>0</v>
      </c>
      <c r="O326" t="n">
        <v>0</v>
      </c>
      <c r="P326" t="n">
        <v>0</v>
      </c>
      <c r="Q326" t="n">
        <v>0</v>
      </c>
      <c r="R326" s="2" t="inlineStr"/>
    </row>
    <row r="327" ht="15" customHeight="1">
      <c r="A327" t="inlineStr">
        <is>
          <t>A 37838-2024</t>
        </is>
      </c>
      <c r="B327" s="1" t="n">
        <v>45544.36310185185</v>
      </c>
      <c r="C327" s="1" t="n">
        <v>45922</v>
      </c>
      <c r="D327" t="inlineStr">
        <is>
          <t>DALARNAS LÄN</t>
        </is>
      </c>
      <c r="E327" t="inlineStr">
        <is>
          <t>ORSA</t>
        </is>
      </c>
      <c r="G327" t="n">
        <v>2.9</v>
      </c>
      <c r="H327" t="n">
        <v>0</v>
      </c>
      <c r="I327" t="n">
        <v>0</v>
      </c>
      <c r="J327" t="n">
        <v>0</v>
      </c>
      <c r="K327" t="n">
        <v>0</v>
      </c>
      <c r="L327" t="n">
        <v>0</v>
      </c>
      <c r="M327" t="n">
        <v>0</v>
      </c>
      <c r="N327" t="n">
        <v>0</v>
      </c>
      <c r="O327" t="n">
        <v>0</v>
      </c>
      <c r="P327" t="n">
        <v>0</v>
      </c>
      <c r="Q327" t="n">
        <v>0</v>
      </c>
      <c r="R327" s="2" t="inlineStr"/>
    </row>
    <row r="328" ht="15" customHeight="1">
      <c r="A328" t="inlineStr">
        <is>
          <t>A 55534-2023</t>
        </is>
      </c>
      <c r="B328" s="1" t="n">
        <v>45238</v>
      </c>
      <c r="C328" s="1" t="n">
        <v>45922</v>
      </c>
      <c r="D328" t="inlineStr">
        <is>
          <t>DALARNAS LÄN</t>
        </is>
      </c>
      <c r="E328" t="inlineStr">
        <is>
          <t>ORSA</t>
        </is>
      </c>
      <c r="G328" t="n">
        <v>0.8</v>
      </c>
      <c r="H328" t="n">
        <v>0</v>
      </c>
      <c r="I328" t="n">
        <v>0</v>
      </c>
      <c r="J328" t="n">
        <v>0</v>
      </c>
      <c r="K328" t="n">
        <v>0</v>
      </c>
      <c r="L328" t="n">
        <v>0</v>
      </c>
      <c r="M328" t="n">
        <v>0</v>
      </c>
      <c r="N328" t="n">
        <v>0</v>
      </c>
      <c r="O328" t="n">
        <v>0</v>
      </c>
      <c r="P328" t="n">
        <v>0</v>
      </c>
      <c r="Q328" t="n">
        <v>0</v>
      </c>
      <c r="R328" s="2" t="inlineStr"/>
    </row>
    <row r="329" ht="15" customHeight="1">
      <c r="A329" t="inlineStr">
        <is>
          <t>A 34744-2025</t>
        </is>
      </c>
      <c r="B329" s="1" t="n">
        <v>45848.6125</v>
      </c>
      <c r="C329" s="1" t="n">
        <v>45922</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45922</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18037-2023</t>
        </is>
      </c>
      <c r="B331" s="1" t="n">
        <v>45040</v>
      </c>
      <c r="C331" s="1" t="n">
        <v>45922</v>
      </c>
      <c r="D331" t="inlineStr">
        <is>
          <t>DALARNAS LÄN</t>
        </is>
      </c>
      <c r="E331" t="inlineStr">
        <is>
          <t>ORSA</t>
        </is>
      </c>
      <c r="G331" t="n">
        <v>6.6</v>
      </c>
      <c r="H331" t="n">
        <v>0</v>
      </c>
      <c r="I331" t="n">
        <v>0</v>
      </c>
      <c r="J331" t="n">
        <v>0</v>
      </c>
      <c r="K331" t="n">
        <v>0</v>
      </c>
      <c r="L331" t="n">
        <v>0</v>
      </c>
      <c r="M331" t="n">
        <v>0</v>
      </c>
      <c r="N331" t="n">
        <v>0</v>
      </c>
      <c r="O331" t="n">
        <v>0</v>
      </c>
      <c r="P331" t="n">
        <v>0</v>
      </c>
      <c r="Q331" t="n">
        <v>0</v>
      </c>
      <c r="R331" s="2" t="inlineStr"/>
    </row>
    <row r="332" ht="15" customHeight="1">
      <c r="A332" t="inlineStr">
        <is>
          <t>A 34769-2025</t>
        </is>
      </c>
      <c r="B332" s="1" t="n">
        <v>45848.6534837963</v>
      </c>
      <c r="C332" s="1" t="n">
        <v>45922</v>
      </c>
      <c r="D332" t="inlineStr">
        <is>
          <t>DALARNAS LÄN</t>
        </is>
      </c>
      <c r="E332" t="inlineStr">
        <is>
          <t>ORSA</t>
        </is>
      </c>
      <c r="G332" t="n">
        <v>0.4</v>
      </c>
      <c r="H332" t="n">
        <v>0</v>
      </c>
      <c r="I332" t="n">
        <v>0</v>
      </c>
      <c r="J332" t="n">
        <v>0</v>
      </c>
      <c r="K332" t="n">
        <v>0</v>
      </c>
      <c r="L332" t="n">
        <v>0</v>
      </c>
      <c r="M332" t="n">
        <v>0</v>
      </c>
      <c r="N332" t="n">
        <v>0</v>
      </c>
      <c r="O332" t="n">
        <v>0</v>
      </c>
      <c r="P332" t="n">
        <v>0</v>
      </c>
      <c r="Q332" t="n">
        <v>0</v>
      </c>
      <c r="R332" s="2" t="inlineStr"/>
    </row>
    <row r="333" ht="15" customHeight="1">
      <c r="A333" t="inlineStr">
        <is>
          <t>A 34777-2025</t>
        </is>
      </c>
      <c r="B333" s="1" t="n">
        <v>45848.66167824074</v>
      </c>
      <c r="C333" s="1" t="n">
        <v>45922</v>
      </c>
      <c r="D333" t="inlineStr">
        <is>
          <t>DALARNAS LÄN</t>
        </is>
      </c>
      <c r="E333" t="inlineStr">
        <is>
          <t>ORSA</t>
        </is>
      </c>
      <c r="G333" t="n">
        <v>0.4</v>
      </c>
      <c r="H333" t="n">
        <v>0</v>
      </c>
      <c r="I333" t="n">
        <v>0</v>
      </c>
      <c r="J333" t="n">
        <v>0</v>
      </c>
      <c r="K333" t="n">
        <v>0</v>
      </c>
      <c r="L333" t="n">
        <v>0</v>
      </c>
      <c r="M333" t="n">
        <v>0</v>
      </c>
      <c r="N333" t="n">
        <v>0</v>
      </c>
      <c r="O333" t="n">
        <v>0</v>
      </c>
      <c r="P333" t="n">
        <v>0</v>
      </c>
      <c r="Q333" t="n">
        <v>0</v>
      </c>
      <c r="R333" s="2" t="inlineStr"/>
    </row>
    <row r="334" ht="15" customHeight="1">
      <c r="A334" t="inlineStr">
        <is>
          <t>A 39682-2025</t>
        </is>
      </c>
      <c r="B334" s="1" t="n">
        <v>45890.66075231481</v>
      </c>
      <c r="C334" s="1" t="n">
        <v>45922</v>
      </c>
      <c r="D334" t="inlineStr">
        <is>
          <t>DALARNAS LÄN</t>
        </is>
      </c>
      <c r="E334" t="inlineStr">
        <is>
          <t>ORSA</t>
        </is>
      </c>
      <c r="G334" t="n">
        <v>6.6</v>
      </c>
      <c r="H334" t="n">
        <v>0</v>
      </c>
      <c r="I334" t="n">
        <v>0</v>
      </c>
      <c r="J334" t="n">
        <v>0</v>
      </c>
      <c r="K334" t="n">
        <v>0</v>
      </c>
      <c r="L334" t="n">
        <v>0</v>
      </c>
      <c r="M334" t="n">
        <v>0</v>
      </c>
      <c r="N334" t="n">
        <v>0</v>
      </c>
      <c r="O334" t="n">
        <v>0</v>
      </c>
      <c r="P334" t="n">
        <v>0</v>
      </c>
      <c r="Q334" t="n">
        <v>0</v>
      </c>
      <c r="R334" s="2" t="inlineStr"/>
    </row>
    <row r="335" ht="15" customHeight="1">
      <c r="A335" t="inlineStr">
        <is>
          <t>A 52816-2024</t>
        </is>
      </c>
      <c r="B335" s="1" t="n">
        <v>45610.58322916667</v>
      </c>
      <c r="C335" s="1" t="n">
        <v>45922</v>
      </c>
      <c r="D335" t="inlineStr">
        <is>
          <t>DALARNAS LÄN</t>
        </is>
      </c>
      <c r="E335" t="inlineStr">
        <is>
          <t>ORSA</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34794-2025</t>
        </is>
      </c>
      <c r="B336" s="1" t="n">
        <v>45848.73256944444</v>
      </c>
      <c r="C336" s="1" t="n">
        <v>45922</v>
      </c>
      <c r="D336" t="inlineStr">
        <is>
          <t>DALARNAS LÄN</t>
        </is>
      </c>
      <c r="E336" t="inlineStr">
        <is>
          <t>ORSA</t>
        </is>
      </c>
      <c r="G336" t="n">
        <v>2.3</v>
      </c>
      <c r="H336" t="n">
        <v>0</v>
      </c>
      <c r="I336" t="n">
        <v>0</v>
      </c>
      <c r="J336" t="n">
        <v>0</v>
      </c>
      <c r="K336" t="n">
        <v>0</v>
      </c>
      <c r="L336" t="n">
        <v>0</v>
      </c>
      <c r="M336" t="n">
        <v>0</v>
      </c>
      <c r="N336" t="n">
        <v>0</v>
      </c>
      <c r="O336" t="n">
        <v>0</v>
      </c>
      <c r="P336" t="n">
        <v>0</v>
      </c>
      <c r="Q336" t="n">
        <v>0</v>
      </c>
      <c r="R336" s="2" t="inlineStr"/>
    </row>
    <row r="337" ht="15" customHeight="1">
      <c r="A337" t="inlineStr">
        <is>
          <t>A 34779-2025</t>
        </is>
      </c>
      <c r="B337" s="1" t="n">
        <v>45848.66987268518</v>
      </c>
      <c r="C337" s="1" t="n">
        <v>45922</v>
      </c>
      <c r="D337" t="inlineStr">
        <is>
          <t>DALARNAS LÄN</t>
        </is>
      </c>
      <c r="E337" t="inlineStr">
        <is>
          <t>ORSA</t>
        </is>
      </c>
      <c r="G337" t="n">
        <v>0.6</v>
      </c>
      <c r="H337" t="n">
        <v>0</v>
      </c>
      <c r="I337" t="n">
        <v>0</v>
      </c>
      <c r="J337" t="n">
        <v>0</v>
      </c>
      <c r="K337" t="n">
        <v>0</v>
      </c>
      <c r="L337" t="n">
        <v>0</v>
      </c>
      <c r="M337" t="n">
        <v>0</v>
      </c>
      <c r="N337" t="n">
        <v>0</v>
      </c>
      <c r="O337" t="n">
        <v>0</v>
      </c>
      <c r="P337" t="n">
        <v>0</v>
      </c>
      <c r="Q337" t="n">
        <v>0</v>
      </c>
      <c r="R337" s="2" t="inlineStr"/>
    </row>
    <row r="338" ht="15" customHeight="1">
      <c r="A338" t="inlineStr">
        <is>
          <t>A 34753-2025</t>
        </is>
      </c>
      <c r="B338" s="1" t="n">
        <v>45848.62001157407</v>
      </c>
      <c r="C338" s="1" t="n">
        <v>45922</v>
      </c>
      <c r="D338" t="inlineStr">
        <is>
          <t>DALARNAS LÄN</t>
        </is>
      </c>
      <c r="E338" t="inlineStr">
        <is>
          <t>ORSA</t>
        </is>
      </c>
      <c r="G338" t="n">
        <v>1.4</v>
      </c>
      <c r="H338" t="n">
        <v>0</v>
      </c>
      <c r="I338" t="n">
        <v>0</v>
      </c>
      <c r="J338" t="n">
        <v>0</v>
      </c>
      <c r="K338" t="n">
        <v>0</v>
      </c>
      <c r="L338" t="n">
        <v>0</v>
      </c>
      <c r="M338" t="n">
        <v>0</v>
      </c>
      <c r="N338" t="n">
        <v>0</v>
      </c>
      <c r="O338" t="n">
        <v>0</v>
      </c>
      <c r="P338" t="n">
        <v>0</v>
      </c>
      <c r="Q338" t="n">
        <v>0</v>
      </c>
      <c r="R338" s="2" t="inlineStr"/>
    </row>
    <row r="339" ht="15" customHeight="1">
      <c r="A339" t="inlineStr">
        <is>
          <t>A 50905-2021</t>
        </is>
      </c>
      <c r="B339" s="1" t="n">
        <v>44460</v>
      </c>
      <c r="C339" s="1" t="n">
        <v>45922</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10261-2022</t>
        </is>
      </c>
      <c r="B340" s="1" t="n">
        <v>44622.6445949074</v>
      </c>
      <c r="C340" s="1" t="n">
        <v>45922</v>
      </c>
      <c r="D340" t="inlineStr">
        <is>
          <t>DALARNAS LÄN</t>
        </is>
      </c>
      <c r="E340" t="inlineStr">
        <is>
          <t>ORSA</t>
        </is>
      </c>
      <c r="G340" t="n">
        <v>3.1</v>
      </c>
      <c r="H340" t="n">
        <v>0</v>
      </c>
      <c r="I340" t="n">
        <v>0</v>
      </c>
      <c r="J340" t="n">
        <v>0</v>
      </c>
      <c r="K340" t="n">
        <v>0</v>
      </c>
      <c r="L340" t="n">
        <v>0</v>
      </c>
      <c r="M340" t="n">
        <v>0</v>
      </c>
      <c r="N340" t="n">
        <v>0</v>
      </c>
      <c r="O340" t="n">
        <v>0</v>
      </c>
      <c r="P340" t="n">
        <v>0</v>
      </c>
      <c r="Q340" t="n">
        <v>0</v>
      </c>
      <c r="R340" s="2" t="inlineStr"/>
    </row>
    <row r="341" ht="15" customHeight="1">
      <c r="A341" t="inlineStr">
        <is>
          <t>A 34764-2025</t>
        </is>
      </c>
      <c r="B341" s="1" t="n">
        <v>45848.64788194445</v>
      </c>
      <c r="C341" s="1" t="n">
        <v>45922</v>
      </c>
      <c r="D341" t="inlineStr">
        <is>
          <t>DALARNAS LÄN</t>
        </is>
      </c>
      <c r="E341" t="inlineStr">
        <is>
          <t>ORSA</t>
        </is>
      </c>
      <c r="G341" t="n">
        <v>1.3</v>
      </c>
      <c r="H341" t="n">
        <v>0</v>
      </c>
      <c r="I341" t="n">
        <v>0</v>
      </c>
      <c r="J341" t="n">
        <v>0</v>
      </c>
      <c r="K341" t="n">
        <v>0</v>
      </c>
      <c r="L341" t="n">
        <v>0</v>
      </c>
      <c r="M341" t="n">
        <v>0</v>
      </c>
      <c r="N341" t="n">
        <v>0</v>
      </c>
      <c r="O341" t="n">
        <v>0</v>
      </c>
      <c r="P341" t="n">
        <v>0</v>
      </c>
      <c r="Q341" t="n">
        <v>0</v>
      </c>
      <c r="R341" s="2" t="inlineStr"/>
    </row>
    <row r="342" ht="15" customHeight="1">
      <c r="A342" t="inlineStr">
        <is>
          <t>A 34781-2025</t>
        </is>
      </c>
      <c r="B342" s="1" t="n">
        <v>45848.67424768519</v>
      </c>
      <c r="C342" s="1" t="n">
        <v>45922</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34964-2025</t>
        </is>
      </c>
      <c r="B343" s="1" t="n">
        <v>45849.6330787037</v>
      </c>
      <c r="C343" s="1" t="n">
        <v>45922</v>
      </c>
      <c r="D343" t="inlineStr">
        <is>
          <t>DALARNAS LÄN</t>
        </is>
      </c>
      <c r="E343" t="inlineStr">
        <is>
          <t>ORSA</t>
        </is>
      </c>
      <c r="G343" t="n">
        <v>2.1</v>
      </c>
      <c r="H343" t="n">
        <v>0</v>
      </c>
      <c r="I343" t="n">
        <v>0</v>
      </c>
      <c r="J343" t="n">
        <v>0</v>
      </c>
      <c r="K343" t="n">
        <v>0</v>
      </c>
      <c r="L343" t="n">
        <v>0</v>
      </c>
      <c r="M343" t="n">
        <v>0</v>
      </c>
      <c r="N343" t="n">
        <v>0</v>
      </c>
      <c r="O343" t="n">
        <v>0</v>
      </c>
      <c r="P343" t="n">
        <v>0</v>
      </c>
      <c r="Q343" t="n">
        <v>0</v>
      </c>
      <c r="R343" s="2" t="inlineStr"/>
    </row>
    <row r="344" ht="15" customHeight="1">
      <c r="A344" t="inlineStr">
        <is>
          <t>A 17848-2025</t>
        </is>
      </c>
      <c r="B344" s="1" t="n">
        <v>45758.59981481481</v>
      </c>
      <c r="C344" s="1" t="n">
        <v>45922</v>
      </c>
      <c r="D344" t="inlineStr">
        <is>
          <t>DALARNAS LÄN</t>
        </is>
      </c>
      <c r="E344" t="inlineStr">
        <is>
          <t>ORSA</t>
        </is>
      </c>
      <c r="G344" t="n">
        <v>1.6</v>
      </c>
      <c r="H344" t="n">
        <v>0</v>
      </c>
      <c r="I344" t="n">
        <v>0</v>
      </c>
      <c r="J344" t="n">
        <v>0</v>
      </c>
      <c r="K344" t="n">
        <v>0</v>
      </c>
      <c r="L344" t="n">
        <v>0</v>
      </c>
      <c r="M344" t="n">
        <v>0</v>
      </c>
      <c r="N344" t="n">
        <v>0</v>
      </c>
      <c r="O344" t="n">
        <v>0</v>
      </c>
      <c r="P344" t="n">
        <v>0</v>
      </c>
      <c r="Q344" t="n">
        <v>0</v>
      </c>
      <c r="R344" s="2" t="inlineStr"/>
    </row>
    <row r="345" ht="15" customHeight="1">
      <c r="A345" t="inlineStr">
        <is>
          <t>A 40127-2025</t>
        </is>
      </c>
      <c r="B345" s="1" t="n">
        <v>45894.53300925926</v>
      </c>
      <c r="C345" s="1" t="n">
        <v>45922</v>
      </c>
      <c r="D345" t="inlineStr">
        <is>
          <t>DALARNAS LÄN</t>
        </is>
      </c>
      <c r="E345" t="inlineStr">
        <is>
          <t>ORSA</t>
        </is>
      </c>
      <c r="F345" t="inlineStr">
        <is>
          <t>Allmännings- och besparingsskogar</t>
        </is>
      </c>
      <c r="G345" t="n">
        <v>17.4</v>
      </c>
      <c r="H345" t="n">
        <v>0</v>
      </c>
      <c r="I345" t="n">
        <v>0</v>
      </c>
      <c r="J345" t="n">
        <v>0</v>
      </c>
      <c r="K345" t="n">
        <v>0</v>
      </c>
      <c r="L345" t="n">
        <v>0</v>
      </c>
      <c r="M345" t="n">
        <v>0</v>
      </c>
      <c r="N345" t="n">
        <v>0</v>
      </c>
      <c r="O345" t="n">
        <v>0</v>
      </c>
      <c r="P345" t="n">
        <v>0</v>
      </c>
      <c r="Q345" t="n">
        <v>0</v>
      </c>
      <c r="R345" s="2" t="inlineStr"/>
    </row>
    <row r="346" ht="15" customHeight="1">
      <c r="A346" t="inlineStr">
        <is>
          <t>A 36569-2021</t>
        </is>
      </c>
      <c r="B346" s="1" t="n">
        <v>44391</v>
      </c>
      <c r="C346" s="1" t="n">
        <v>45922</v>
      </c>
      <c r="D346" t="inlineStr">
        <is>
          <t>DALARNAS LÄN</t>
        </is>
      </c>
      <c r="E346" t="inlineStr">
        <is>
          <t>ORSA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61684-2024</t>
        </is>
      </c>
      <c r="B347" s="1" t="n">
        <v>45647.56491898148</v>
      </c>
      <c r="C347" s="1" t="n">
        <v>45922</v>
      </c>
      <c r="D347" t="inlineStr">
        <is>
          <t>DALARNAS LÄN</t>
        </is>
      </c>
      <c r="E347" t="inlineStr">
        <is>
          <t>ORSA</t>
        </is>
      </c>
      <c r="G347" t="n">
        <v>5.8</v>
      </c>
      <c r="H347" t="n">
        <v>0</v>
      </c>
      <c r="I347" t="n">
        <v>0</v>
      </c>
      <c r="J347" t="n">
        <v>0</v>
      </c>
      <c r="K347" t="n">
        <v>0</v>
      </c>
      <c r="L347" t="n">
        <v>0</v>
      </c>
      <c r="M347" t="n">
        <v>0</v>
      </c>
      <c r="N347" t="n">
        <v>0</v>
      </c>
      <c r="O347" t="n">
        <v>0</v>
      </c>
      <c r="P347" t="n">
        <v>0</v>
      </c>
      <c r="Q347" t="n">
        <v>0</v>
      </c>
      <c r="R347" s="2" t="inlineStr"/>
    </row>
    <row r="348" ht="15" customHeight="1">
      <c r="A348" t="inlineStr">
        <is>
          <t>A 40111-2025</t>
        </is>
      </c>
      <c r="B348" s="1" t="n">
        <v>45894.49417824074</v>
      </c>
      <c r="C348" s="1" t="n">
        <v>45922</v>
      </c>
      <c r="D348" t="inlineStr">
        <is>
          <t>DALARNAS LÄN</t>
        </is>
      </c>
      <c r="E348" t="inlineStr">
        <is>
          <t>ORSA</t>
        </is>
      </c>
      <c r="F348" t="inlineStr">
        <is>
          <t>Allmännings- och besparingsskogar</t>
        </is>
      </c>
      <c r="G348" t="n">
        <v>18.6</v>
      </c>
      <c r="H348" t="n">
        <v>0</v>
      </c>
      <c r="I348" t="n">
        <v>0</v>
      </c>
      <c r="J348" t="n">
        <v>0</v>
      </c>
      <c r="K348" t="n">
        <v>0</v>
      </c>
      <c r="L348" t="n">
        <v>0</v>
      </c>
      <c r="M348" t="n">
        <v>0</v>
      </c>
      <c r="N348" t="n">
        <v>0</v>
      </c>
      <c r="O348" t="n">
        <v>0</v>
      </c>
      <c r="P348" t="n">
        <v>0</v>
      </c>
      <c r="Q348" t="n">
        <v>0</v>
      </c>
      <c r="R348" s="2" t="inlineStr"/>
    </row>
    <row r="349" ht="15" customHeight="1">
      <c r="A349" t="inlineStr">
        <is>
          <t>A 11784-2024</t>
        </is>
      </c>
      <c r="B349" s="1" t="n">
        <v>45374.67886574074</v>
      </c>
      <c r="C349" s="1" t="n">
        <v>45922</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40070-2025</t>
        </is>
      </c>
      <c r="B350" s="1" t="n">
        <v>45894.44197916667</v>
      </c>
      <c r="C350" s="1" t="n">
        <v>45922</v>
      </c>
      <c r="D350" t="inlineStr">
        <is>
          <t>DALARNAS LÄN</t>
        </is>
      </c>
      <c r="E350" t="inlineStr">
        <is>
          <t>ORSA</t>
        </is>
      </c>
      <c r="F350" t="inlineStr">
        <is>
          <t>Allmännings- och besparingsskogar</t>
        </is>
      </c>
      <c r="G350" t="n">
        <v>22</v>
      </c>
      <c r="H350" t="n">
        <v>0</v>
      </c>
      <c r="I350" t="n">
        <v>0</v>
      </c>
      <c r="J350" t="n">
        <v>0</v>
      </c>
      <c r="K350" t="n">
        <v>0</v>
      </c>
      <c r="L350" t="n">
        <v>0</v>
      </c>
      <c r="M350" t="n">
        <v>0</v>
      </c>
      <c r="N350" t="n">
        <v>0</v>
      </c>
      <c r="O350" t="n">
        <v>0</v>
      </c>
      <c r="P350" t="n">
        <v>0</v>
      </c>
      <c r="Q350" t="n">
        <v>0</v>
      </c>
      <c r="R350" s="2" t="inlineStr"/>
    </row>
    <row r="351" ht="15" customHeight="1">
      <c r="A351" t="inlineStr">
        <is>
          <t>A 55338-2022</t>
        </is>
      </c>
      <c r="B351" s="1" t="n">
        <v>44887.45185185185</v>
      </c>
      <c r="C351" s="1" t="n">
        <v>45922</v>
      </c>
      <c r="D351" t="inlineStr">
        <is>
          <t>DALARNAS LÄN</t>
        </is>
      </c>
      <c r="E351" t="inlineStr">
        <is>
          <t>ORSA</t>
        </is>
      </c>
      <c r="G351" t="n">
        <v>2</v>
      </c>
      <c r="H351" t="n">
        <v>0</v>
      </c>
      <c r="I351" t="n">
        <v>0</v>
      </c>
      <c r="J351" t="n">
        <v>0</v>
      </c>
      <c r="K351" t="n">
        <v>0</v>
      </c>
      <c r="L351" t="n">
        <v>0</v>
      </c>
      <c r="M351" t="n">
        <v>0</v>
      </c>
      <c r="N351" t="n">
        <v>0</v>
      </c>
      <c r="O351" t="n">
        <v>0</v>
      </c>
      <c r="P351" t="n">
        <v>0</v>
      </c>
      <c r="Q351" t="n">
        <v>0</v>
      </c>
      <c r="R351" s="2" t="inlineStr"/>
    </row>
    <row r="352" ht="15" customHeight="1">
      <c r="A352" t="inlineStr">
        <is>
          <t>A 40091-2025</t>
        </is>
      </c>
      <c r="B352" s="1" t="n">
        <v>45894.47822916666</v>
      </c>
      <c r="C352" s="1" t="n">
        <v>45922</v>
      </c>
      <c r="D352" t="inlineStr">
        <is>
          <t>DALARNAS LÄN</t>
        </is>
      </c>
      <c r="E352" t="inlineStr">
        <is>
          <t>ORSA</t>
        </is>
      </c>
      <c r="F352" t="inlineStr">
        <is>
          <t>Allmännings- och besparingsskogar</t>
        </is>
      </c>
      <c r="G352" t="n">
        <v>20.4</v>
      </c>
      <c r="H352" t="n">
        <v>0</v>
      </c>
      <c r="I352" t="n">
        <v>0</v>
      </c>
      <c r="J352" t="n">
        <v>0</v>
      </c>
      <c r="K352" t="n">
        <v>0</v>
      </c>
      <c r="L352" t="n">
        <v>0</v>
      </c>
      <c r="M352" t="n">
        <v>0</v>
      </c>
      <c r="N352" t="n">
        <v>0</v>
      </c>
      <c r="O352" t="n">
        <v>0</v>
      </c>
      <c r="P352" t="n">
        <v>0</v>
      </c>
      <c r="Q352" t="n">
        <v>0</v>
      </c>
      <c r="R352" s="2" t="inlineStr"/>
    </row>
    <row r="353" ht="15" customHeight="1">
      <c r="A353" t="inlineStr">
        <is>
          <t>A 40577-2025</t>
        </is>
      </c>
      <c r="B353" s="1" t="n">
        <v>45896.51028935185</v>
      </c>
      <c r="C353" s="1" t="n">
        <v>45922</v>
      </c>
      <c r="D353" t="inlineStr">
        <is>
          <t>DALARNAS LÄN</t>
        </is>
      </c>
      <c r="E353" t="inlineStr">
        <is>
          <t>ORSA</t>
        </is>
      </c>
      <c r="F353" t="inlineStr">
        <is>
          <t>Allmännings- och besparingsskogar</t>
        </is>
      </c>
      <c r="G353" t="n">
        <v>13.8</v>
      </c>
      <c r="H353" t="n">
        <v>0</v>
      </c>
      <c r="I353" t="n">
        <v>0</v>
      </c>
      <c r="J353" t="n">
        <v>0</v>
      </c>
      <c r="K353" t="n">
        <v>0</v>
      </c>
      <c r="L353" t="n">
        <v>0</v>
      </c>
      <c r="M353" t="n">
        <v>0</v>
      </c>
      <c r="N353" t="n">
        <v>0</v>
      </c>
      <c r="O353" t="n">
        <v>0</v>
      </c>
      <c r="P353" t="n">
        <v>0</v>
      </c>
      <c r="Q353" t="n">
        <v>0</v>
      </c>
      <c r="R353" s="2" t="inlineStr"/>
    </row>
    <row r="354" ht="15" customHeight="1">
      <c r="A354" t="inlineStr">
        <is>
          <t>A 23350-2024</t>
        </is>
      </c>
      <c r="B354" s="1" t="n">
        <v>45453</v>
      </c>
      <c r="C354" s="1" t="n">
        <v>45922</v>
      </c>
      <c r="D354" t="inlineStr">
        <is>
          <t>DALARNAS LÄN</t>
        </is>
      </c>
      <c r="E354" t="inlineStr">
        <is>
          <t>ORSA</t>
        </is>
      </c>
      <c r="G354" t="n">
        <v>18.7</v>
      </c>
      <c r="H354" t="n">
        <v>0</v>
      </c>
      <c r="I354" t="n">
        <v>0</v>
      </c>
      <c r="J354" t="n">
        <v>0</v>
      </c>
      <c r="K354" t="n">
        <v>0</v>
      </c>
      <c r="L354" t="n">
        <v>0</v>
      </c>
      <c r="M354" t="n">
        <v>0</v>
      </c>
      <c r="N354" t="n">
        <v>0</v>
      </c>
      <c r="O354" t="n">
        <v>0</v>
      </c>
      <c r="P354" t="n">
        <v>0</v>
      </c>
      <c r="Q354" t="n">
        <v>0</v>
      </c>
      <c r="R354" s="2" t="inlineStr"/>
    </row>
    <row r="355" ht="15" customHeight="1">
      <c r="A355" t="inlineStr">
        <is>
          <t>A 18009-2023</t>
        </is>
      </c>
      <c r="B355" s="1" t="n">
        <v>45040.56190972222</v>
      </c>
      <c r="C355" s="1" t="n">
        <v>45922</v>
      </c>
      <c r="D355" t="inlineStr">
        <is>
          <t>DALARNAS LÄN</t>
        </is>
      </c>
      <c r="E355" t="inlineStr">
        <is>
          <t>ORSA</t>
        </is>
      </c>
      <c r="G355" t="n">
        <v>5.8</v>
      </c>
      <c r="H355" t="n">
        <v>0</v>
      </c>
      <c r="I355" t="n">
        <v>0</v>
      </c>
      <c r="J355" t="n">
        <v>0</v>
      </c>
      <c r="K355" t="n">
        <v>0</v>
      </c>
      <c r="L355" t="n">
        <v>0</v>
      </c>
      <c r="M355" t="n">
        <v>0</v>
      </c>
      <c r="N355" t="n">
        <v>0</v>
      </c>
      <c r="O355" t="n">
        <v>0</v>
      </c>
      <c r="P355" t="n">
        <v>0</v>
      </c>
      <c r="Q355" t="n">
        <v>0</v>
      </c>
      <c r="R355" s="2" t="inlineStr"/>
    </row>
    <row r="356" ht="15" customHeight="1">
      <c r="A356" t="inlineStr">
        <is>
          <t>A 5921-2025</t>
        </is>
      </c>
      <c r="B356" s="1" t="n">
        <v>45695</v>
      </c>
      <c r="C356" s="1" t="n">
        <v>45922</v>
      </c>
      <c r="D356" t="inlineStr">
        <is>
          <t>DALARNAS LÄN</t>
        </is>
      </c>
      <c r="E356" t="inlineStr">
        <is>
          <t>ORSA</t>
        </is>
      </c>
      <c r="G356" t="n">
        <v>1.4</v>
      </c>
      <c r="H356" t="n">
        <v>0</v>
      </c>
      <c r="I356" t="n">
        <v>0</v>
      </c>
      <c r="J356" t="n">
        <v>0</v>
      </c>
      <c r="K356" t="n">
        <v>0</v>
      </c>
      <c r="L356" t="n">
        <v>0</v>
      </c>
      <c r="M356" t="n">
        <v>0</v>
      </c>
      <c r="N356" t="n">
        <v>0</v>
      </c>
      <c r="O356" t="n">
        <v>0</v>
      </c>
      <c r="P356" t="n">
        <v>0</v>
      </c>
      <c r="Q356" t="n">
        <v>0</v>
      </c>
      <c r="R356" s="2" t="inlineStr"/>
    </row>
    <row r="357" ht="15" customHeight="1">
      <c r="A357" t="inlineStr">
        <is>
          <t>A 41295-2021</t>
        </is>
      </c>
      <c r="B357" s="1" t="n">
        <v>44424</v>
      </c>
      <c r="C357" s="1" t="n">
        <v>45922</v>
      </c>
      <c r="D357" t="inlineStr">
        <is>
          <t>DALARNAS LÄN</t>
        </is>
      </c>
      <c r="E357" t="inlineStr">
        <is>
          <t>ORSA</t>
        </is>
      </c>
      <c r="G357" t="n">
        <v>3.1</v>
      </c>
      <c r="H357" t="n">
        <v>0</v>
      </c>
      <c r="I357" t="n">
        <v>0</v>
      </c>
      <c r="J357" t="n">
        <v>0</v>
      </c>
      <c r="K357" t="n">
        <v>0</v>
      </c>
      <c r="L357" t="n">
        <v>0</v>
      </c>
      <c r="M357" t="n">
        <v>0</v>
      </c>
      <c r="N357" t="n">
        <v>0</v>
      </c>
      <c r="O357" t="n">
        <v>0</v>
      </c>
      <c r="P357" t="n">
        <v>0</v>
      </c>
      <c r="Q357" t="n">
        <v>0</v>
      </c>
      <c r="R357" s="2" t="inlineStr"/>
    </row>
    <row r="358" ht="15" customHeight="1">
      <c r="A358" t="inlineStr">
        <is>
          <t>A 31031-2023</t>
        </is>
      </c>
      <c r="B358" s="1" t="n">
        <v>45113</v>
      </c>
      <c r="C358" s="1" t="n">
        <v>45922</v>
      </c>
      <c r="D358" t="inlineStr">
        <is>
          <t>DALARNAS LÄN</t>
        </is>
      </c>
      <c r="E358" t="inlineStr">
        <is>
          <t>ORSA</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49814-2023</t>
        </is>
      </c>
      <c r="B359" s="1" t="n">
        <v>45212.67149305555</v>
      </c>
      <c r="C359" s="1" t="n">
        <v>45922</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25591-2022</t>
        </is>
      </c>
      <c r="B360" s="1" t="n">
        <v>44732.67958333333</v>
      </c>
      <c r="C360" s="1" t="n">
        <v>45922</v>
      </c>
      <c r="D360" t="inlineStr">
        <is>
          <t>DALARNAS LÄN</t>
        </is>
      </c>
      <c r="E360" t="inlineStr">
        <is>
          <t>ORSA</t>
        </is>
      </c>
      <c r="G360" t="n">
        <v>6</v>
      </c>
      <c r="H360" t="n">
        <v>0</v>
      </c>
      <c r="I360" t="n">
        <v>0</v>
      </c>
      <c r="J360" t="n">
        <v>0</v>
      </c>
      <c r="K360" t="n">
        <v>0</v>
      </c>
      <c r="L360" t="n">
        <v>0</v>
      </c>
      <c r="M360" t="n">
        <v>0</v>
      </c>
      <c r="N360" t="n">
        <v>0</v>
      </c>
      <c r="O360" t="n">
        <v>0</v>
      </c>
      <c r="P360" t="n">
        <v>0</v>
      </c>
      <c r="Q360" t="n">
        <v>0</v>
      </c>
      <c r="R360" s="2" t="inlineStr"/>
    </row>
    <row r="361" ht="15" customHeight="1">
      <c r="A361" t="inlineStr">
        <is>
          <t>A 27542-2021</t>
        </is>
      </c>
      <c r="B361" s="1" t="n">
        <v>44351</v>
      </c>
      <c r="C361" s="1" t="n">
        <v>45922</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67189-2020</t>
        </is>
      </c>
      <c r="B362" s="1" t="n">
        <v>44180</v>
      </c>
      <c r="C362" s="1" t="n">
        <v>45922</v>
      </c>
      <c r="D362" t="inlineStr">
        <is>
          <t>DALARNAS LÄN</t>
        </is>
      </c>
      <c r="E362" t="inlineStr">
        <is>
          <t>ORSA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35619-2025</t>
        </is>
      </c>
      <c r="B363" s="1" t="n">
        <v>45859</v>
      </c>
      <c r="C363" s="1" t="n">
        <v>45922</v>
      </c>
      <c r="D363" t="inlineStr">
        <is>
          <t>DALARNAS LÄN</t>
        </is>
      </c>
      <c r="E363" t="inlineStr">
        <is>
          <t>ORSA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35617-2025</t>
        </is>
      </c>
      <c r="B364" s="1" t="n">
        <v>45859</v>
      </c>
      <c r="C364" s="1" t="n">
        <v>45922</v>
      </c>
      <c r="D364" t="inlineStr">
        <is>
          <t>DALARNAS LÄN</t>
        </is>
      </c>
      <c r="E364" t="inlineStr">
        <is>
          <t>ORSA</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42238-2023</t>
        </is>
      </c>
      <c r="B365" s="1" t="n">
        <v>45180.34207175926</v>
      </c>
      <c r="C365" s="1" t="n">
        <v>45922</v>
      </c>
      <c r="D365" t="inlineStr">
        <is>
          <t>DALARNAS LÄN</t>
        </is>
      </c>
      <c r="E365" t="inlineStr">
        <is>
          <t>ORSA</t>
        </is>
      </c>
      <c r="F365" t="inlineStr">
        <is>
          <t>Allmännings- och besparingsskogar</t>
        </is>
      </c>
      <c r="G365" t="n">
        <v>0.5</v>
      </c>
      <c r="H365" t="n">
        <v>0</v>
      </c>
      <c r="I365" t="n">
        <v>0</v>
      </c>
      <c r="J365" t="n">
        <v>0</v>
      </c>
      <c r="K365" t="n">
        <v>0</v>
      </c>
      <c r="L365" t="n">
        <v>0</v>
      </c>
      <c r="M365" t="n">
        <v>0</v>
      </c>
      <c r="N365" t="n">
        <v>0</v>
      </c>
      <c r="O365" t="n">
        <v>0</v>
      </c>
      <c r="P365" t="n">
        <v>0</v>
      </c>
      <c r="Q365" t="n">
        <v>0</v>
      </c>
      <c r="R365" s="2" t="inlineStr"/>
    </row>
    <row r="366" ht="15" customHeight="1">
      <c r="A366" t="inlineStr">
        <is>
          <t>A 60189-2022</t>
        </is>
      </c>
      <c r="B366" s="1" t="n">
        <v>44910.36798611111</v>
      </c>
      <c r="C366" s="1" t="n">
        <v>45922</v>
      </c>
      <c r="D366" t="inlineStr">
        <is>
          <t>DALARNAS LÄN</t>
        </is>
      </c>
      <c r="E366" t="inlineStr">
        <is>
          <t>ORSA</t>
        </is>
      </c>
      <c r="F366" t="inlineStr">
        <is>
          <t>Bergvik skog öst AB</t>
        </is>
      </c>
      <c r="G366" t="n">
        <v>1.5</v>
      </c>
      <c r="H366" t="n">
        <v>0</v>
      </c>
      <c r="I366" t="n">
        <v>0</v>
      </c>
      <c r="J366" t="n">
        <v>0</v>
      </c>
      <c r="K366" t="n">
        <v>0</v>
      </c>
      <c r="L366" t="n">
        <v>0</v>
      </c>
      <c r="M366" t="n">
        <v>0</v>
      </c>
      <c r="N366" t="n">
        <v>0</v>
      </c>
      <c r="O366" t="n">
        <v>0</v>
      </c>
      <c r="P366" t="n">
        <v>0</v>
      </c>
      <c r="Q366" t="n">
        <v>0</v>
      </c>
      <c r="R366" s="2" t="inlineStr"/>
    </row>
    <row r="367" ht="15" customHeight="1">
      <c r="A367" t="inlineStr">
        <is>
          <t>A 10832-2022</t>
        </is>
      </c>
      <c r="B367" s="1" t="n">
        <v>44627</v>
      </c>
      <c r="C367" s="1" t="n">
        <v>45922</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41666-2025</t>
        </is>
      </c>
      <c r="B368" s="1" t="n">
        <v>45902.35822916667</v>
      </c>
      <c r="C368" s="1" t="n">
        <v>45922</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41919-2025</t>
        </is>
      </c>
      <c r="B369" s="1" t="n">
        <v>45903.42372685186</v>
      </c>
      <c r="C369" s="1" t="n">
        <v>45922</v>
      </c>
      <c r="D369" t="inlineStr">
        <is>
          <t>DALARNAS LÄN</t>
        </is>
      </c>
      <c r="E369" t="inlineStr">
        <is>
          <t>ORSA</t>
        </is>
      </c>
      <c r="G369" t="n">
        <v>0.5</v>
      </c>
      <c r="H369" t="n">
        <v>0</v>
      </c>
      <c r="I369" t="n">
        <v>0</v>
      </c>
      <c r="J369" t="n">
        <v>0</v>
      </c>
      <c r="K369" t="n">
        <v>0</v>
      </c>
      <c r="L369" t="n">
        <v>0</v>
      </c>
      <c r="M369" t="n">
        <v>0</v>
      </c>
      <c r="N369" t="n">
        <v>0</v>
      </c>
      <c r="O369" t="n">
        <v>0</v>
      </c>
      <c r="P369" t="n">
        <v>0</v>
      </c>
      <c r="Q369" t="n">
        <v>0</v>
      </c>
      <c r="R369" s="2" t="inlineStr"/>
    </row>
    <row r="370" ht="15" customHeight="1">
      <c r="A370" t="inlineStr">
        <is>
          <t>A 41927-2025</t>
        </is>
      </c>
      <c r="B370" s="1" t="n">
        <v>45903.4290625</v>
      </c>
      <c r="C370" s="1" t="n">
        <v>45922</v>
      </c>
      <c r="D370" t="inlineStr">
        <is>
          <t>DALARNAS LÄN</t>
        </is>
      </c>
      <c r="E370" t="inlineStr">
        <is>
          <t>ORSA</t>
        </is>
      </c>
      <c r="G370" t="n">
        <v>2.4</v>
      </c>
      <c r="H370" t="n">
        <v>0</v>
      </c>
      <c r="I370" t="n">
        <v>0</v>
      </c>
      <c r="J370" t="n">
        <v>0</v>
      </c>
      <c r="K370" t="n">
        <v>0</v>
      </c>
      <c r="L370" t="n">
        <v>0</v>
      </c>
      <c r="M370" t="n">
        <v>0</v>
      </c>
      <c r="N370" t="n">
        <v>0</v>
      </c>
      <c r="O370" t="n">
        <v>0</v>
      </c>
      <c r="P370" t="n">
        <v>0</v>
      </c>
      <c r="Q370" t="n">
        <v>0</v>
      </c>
      <c r="R370" s="2" t="inlineStr"/>
    </row>
    <row r="371" ht="15" customHeight="1">
      <c r="A371" t="inlineStr">
        <is>
          <t>A 41971-2025</t>
        </is>
      </c>
      <c r="B371" s="1" t="n">
        <v>45903.48930555556</v>
      </c>
      <c r="C371" s="1" t="n">
        <v>45922</v>
      </c>
      <c r="D371" t="inlineStr">
        <is>
          <t>DALARNAS LÄN</t>
        </is>
      </c>
      <c r="E371" t="inlineStr">
        <is>
          <t>ORSA</t>
        </is>
      </c>
      <c r="G371" t="n">
        <v>15.8</v>
      </c>
      <c r="H371" t="n">
        <v>0</v>
      </c>
      <c r="I371" t="n">
        <v>0</v>
      </c>
      <c r="J371" t="n">
        <v>0</v>
      </c>
      <c r="K371" t="n">
        <v>0</v>
      </c>
      <c r="L371" t="n">
        <v>0</v>
      </c>
      <c r="M371" t="n">
        <v>0</v>
      </c>
      <c r="N371" t="n">
        <v>0</v>
      </c>
      <c r="O371" t="n">
        <v>0</v>
      </c>
      <c r="P371" t="n">
        <v>0</v>
      </c>
      <c r="Q371" t="n">
        <v>0</v>
      </c>
      <c r="R371" s="2" t="inlineStr"/>
    </row>
    <row r="372" ht="15" customHeight="1">
      <c r="A372" t="inlineStr">
        <is>
          <t>A 36682-2024</t>
        </is>
      </c>
      <c r="B372" s="1" t="n">
        <v>45537.65519675926</v>
      </c>
      <c r="C372" s="1" t="n">
        <v>45922</v>
      </c>
      <c r="D372" t="inlineStr">
        <is>
          <t>DALARNAS LÄN</t>
        </is>
      </c>
      <c r="E372" t="inlineStr">
        <is>
          <t>ORSA</t>
        </is>
      </c>
      <c r="G372" t="n">
        <v>1.2</v>
      </c>
      <c r="H372" t="n">
        <v>0</v>
      </c>
      <c r="I372" t="n">
        <v>0</v>
      </c>
      <c r="J372" t="n">
        <v>0</v>
      </c>
      <c r="K372" t="n">
        <v>0</v>
      </c>
      <c r="L372" t="n">
        <v>0</v>
      </c>
      <c r="M372" t="n">
        <v>0</v>
      </c>
      <c r="N372" t="n">
        <v>0</v>
      </c>
      <c r="O372" t="n">
        <v>0</v>
      </c>
      <c r="P372" t="n">
        <v>0</v>
      </c>
      <c r="Q372" t="n">
        <v>0</v>
      </c>
      <c r="R372" s="2" t="inlineStr"/>
    </row>
    <row r="373" ht="15" customHeight="1">
      <c r="A373" t="inlineStr">
        <is>
          <t>A 41991-2025</t>
        </is>
      </c>
      <c r="B373" s="1" t="n">
        <v>45903.54532407408</v>
      </c>
      <c r="C373" s="1" t="n">
        <v>45922</v>
      </c>
      <c r="D373" t="inlineStr">
        <is>
          <t>DALARNAS LÄN</t>
        </is>
      </c>
      <c r="E373" t="inlineStr">
        <is>
          <t>ORSA</t>
        </is>
      </c>
      <c r="G373" t="n">
        <v>1.4</v>
      </c>
      <c r="H373" t="n">
        <v>0</v>
      </c>
      <c r="I373" t="n">
        <v>0</v>
      </c>
      <c r="J373" t="n">
        <v>0</v>
      </c>
      <c r="K373" t="n">
        <v>0</v>
      </c>
      <c r="L373" t="n">
        <v>0</v>
      </c>
      <c r="M373" t="n">
        <v>0</v>
      </c>
      <c r="N373" t="n">
        <v>0</v>
      </c>
      <c r="O373" t="n">
        <v>0</v>
      </c>
      <c r="P373" t="n">
        <v>0</v>
      </c>
      <c r="Q373" t="n">
        <v>0</v>
      </c>
      <c r="R373" s="2" t="inlineStr"/>
    </row>
    <row r="374" ht="15" customHeight="1">
      <c r="A374" t="inlineStr">
        <is>
          <t>A 55701-2023</t>
        </is>
      </c>
      <c r="B374" s="1" t="n">
        <v>45239.37113425926</v>
      </c>
      <c r="C374" s="1" t="n">
        <v>45922</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42226-2025</t>
        </is>
      </c>
      <c r="B375" s="1" t="n">
        <v>45904.53831018518</v>
      </c>
      <c r="C375" s="1" t="n">
        <v>45922</v>
      </c>
      <c r="D375" t="inlineStr">
        <is>
          <t>DALARNAS LÄN</t>
        </is>
      </c>
      <c r="E375" t="inlineStr">
        <is>
          <t>ORSA</t>
        </is>
      </c>
      <c r="F375" t="inlineStr">
        <is>
          <t>Allmännings- och besparingsskogar</t>
        </is>
      </c>
      <c r="G375" t="n">
        <v>18</v>
      </c>
      <c r="H375" t="n">
        <v>0</v>
      </c>
      <c r="I375" t="n">
        <v>0</v>
      </c>
      <c r="J375" t="n">
        <v>0</v>
      </c>
      <c r="K375" t="n">
        <v>0</v>
      </c>
      <c r="L375" t="n">
        <v>0</v>
      </c>
      <c r="M375" t="n">
        <v>0</v>
      </c>
      <c r="N375" t="n">
        <v>0</v>
      </c>
      <c r="O375" t="n">
        <v>0</v>
      </c>
      <c r="P375" t="n">
        <v>0</v>
      </c>
      <c r="Q375" t="n">
        <v>0</v>
      </c>
      <c r="R375" s="2" t="inlineStr"/>
    </row>
    <row r="376" ht="15" customHeight="1">
      <c r="A376" t="inlineStr">
        <is>
          <t>A 35933-2025</t>
        </is>
      </c>
      <c r="B376" s="1" t="n">
        <v>45862.62653935186</v>
      </c>
      <c r="C376" s="1" t="n">
        <v>45922</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35935-2025</t>
        </is>
      </c>
      <c r="B377" s="1" t="n">
        <v>45862.6353125</v>
      </c>
      <c r="C377" s="1" t="n">
        <v>45922</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63543-2020</t>
        </is>
      </c>
      <c r="B378" s="1" t="n">
        <v>44165</v>
      </c>
      <c r="C378" s="1" t="n">
        <v>45922</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35940-2025</t>
        </is>
      </c>
      <c r="B379" s="1" t="n">
        <v>45862.65081018519</v>
      </c>
      <c r="C379" s="1" t="n">
        <v>45922</v>
      </c>
      <c r="D379" t="inlineStr">
        <is>
          <t>DALARNAS LÄN</t>
        </is>
      </c>
      <c r="E379" t="inlineStr">
        <is>
          <t>ORSA</t>
        </is>
      </c>
      <c r="G379" t="n">
        <v>5.1</v>
      </c>
      <c r="H379" t="n">
        <v>0</v>
      </c>
      <c r="I379" t="n">
        <v>0</v>
      </c>
      <c r="J379" t="n">
        <v>0</v>
      </c>
      <c r="K379" t="n">
        <v>0</v>
      </c>
      <c r="L379" t="n">
        <v>0</v>
      </c>
      <c r="M379" t="n">
        <v>0</v>
      </c>
      <c r="N379" t="n">
        <v>0</v>
      </c>
      <c r="O379" t="n">
        <v>0</v>
      </c>
      <c r="P379" t="n">
        <v>0</v>
      </c>
      <c r="Q379" t="n">
        <v>0</v>
      </c>
      <c r="R379" s="2" t="inlineStr"/>
    </row>
    <row r="380" ht="15" customHeight="1">
      <c r="A380" t="inlineStr">
        <is>
          <t>A 35939-2025</t>
        </is>
      </c>
      <c r="B380" s="1" t="n">
        <v>45862.64581018518</v>
      </c>
      <c r="C380" s="1" t="n">
        <v>45922</v>
      </c>
      <c r="D380" t="inlineStr">
        <is>
          <t>DALARNAS LÄN</t>
        </is>
      </c>
      <c r="E380" t="inlineStr">
        <is>
          <t>ORSA</t>
        </is>
      </c>
      <c r="G380" t="n">
        <v>5.6</v>
      </c>
      <c r="H380" t="n">
        <v>0</v>
      </c>
      <c r="I380" t="n">
        <v>0</v>
      </c>
      <c r="J380" t="n">
        <v>0</v>
      </c>
      <c r="K380" t="n">
        <v>0</v>
      </c>
      <c r="L380" t="n">
        <v>0</v>
      </c>
      <c r="M380" t="n">
        <v>0</v>
      </c>
      <c r="N380" t="n">
        <v>0</v>
      </c>
      <c r="O380" t="n">
        <v>0</v>
      </c>
      <c r="P380" t="n">
        <v>0</v>
      </c>
      <c r="Q380" t="n">
        <v>0</v>
      </c>
      <c r="R380" s="2" t="inlineStr"/>
    </row>
    <row r="381" ht="15" customHeight="1">
      <c r="A381" t="inlineStr">
        <is>
          <t>A 50714-2023</t>
        </is>
      </c>
      <c r="B381" s="1" t="n">
        <v>45217.56513888889</v>
      </c>
      <c r="C381" s="1" t="n">
        <v>45922</v>
      </c>
      <c r="D381" t="inlineStr">
        <is>
          <t>DALARNAS LÄN</t>
        </is>
      </c>
      <c r="E381" t="inlineStr">
        <is>
          <t>ORSA</t>
        </is>
      </c>
      <c r="G381" t="n">
        <v>1.1</v>
      </c>
      <c r="H381" t="n">
        <v>0</v>
      </c>
      <c r="I381" t="n">
        <v>0</v>
      </c>
      <c r="J381" t="n">
        <v>0</v>
      </c>
      <c r="K381" t="n">
        <v>0</v>
      </c>
      <c r="L381" t="n">
        <v>0</v>
      </c>
      <c r="M381" t="n">
        <v>0</v>
      </c>
      <c r="N381" t="n">
        <v>0</v>
      </c>
      <c r="O381" t="n">
        <v>0</v>
      </c>
      <c r="P381" t="n">
        <v>0</v>
      </c>
      <c r="Q381" t="n">
        <v>0</v>
      </c>
      <c r="R381" s="2" t="inlineStr"/>
    </row>
    <row r="382" ht="15" customHeight="1">
      <c r="A382" t="inlineStr">
        <is>
          <t>A 52925-2024</t>
        </is>
      </c>
      <c r="B382" s="1" t="n">
        <v>45610.73276620371</v>
      </c>
      <c r="C382" s="1" t="n">
        <v>45922</v>
      </c>
      <c r="D382" t="inlineStr">
        <is>
          <t>DALARNAS LÄN</t>
        </is>
      </c>
      <c r="E382" t="inlineStr">
        <is>
          <t>ORSA</t>
        </is>
      </c>
      <c r="F382" t="inlineStr">
        <is>
          <t>Allmännings- och besparingsskogar</t>
        </is>
      </c>
      <c r="G382" t="n">
        <v>2.5</v>
      </c>
      <c r="H382" t="n">
        <v>0</v>
      </c>
      <c r="I382" t="n">
        <v>0</v>
      </c>
      <c r="J382" t="n">
        <v>0</v>
      </c>
      <c r="K382" t="n">
        <v>0</v>
      </c>
      <c r="L382" t="n">
        <v>0</v>
      </c>
      <c r="M382" t="n">
        <v>0</v>
      </c>
      <c r="N382" t="n">
        <v>0</v>
      </c>
      <c r="O382" t="n">
        <v>0</v>
      </c>
      <c r="P382" t="n">
        <v>0</v>
      </c>
      <c r="Q382" t="n">
        <v>0</v>
      </c>
      <c r="R382" s="2" t="inlineStr"/>
    </row>
    <row r="383" ht="15" customHeight="1">
      <c r="A383" t="inlineStr">
        <is>
          <t>A 52931-2024</t>
        </is>
      </c>
      <c r="B383" s="1" t="n">
        <v>45610.74833333334</v>
      </c>
      <c r="C383" s="1" t="n">
        <v>45922</v>
      </c>
      <c r="D383" t="inlineStr">
        <is>
          <t>DALARNAS LÄN</t>
        </is>
      </c>
      <c r="E383" t="inlineStr">
        <is>
          <t>ORSA</t>
        </is>
      </c>
      <c r="F383" t="inlineStr">
        <is>
          <t>Allmännings- och besparingsskogar</t>
        </is>
      </c>
      <c r="G383" t="n">
        <v>27.5</v>
      </c>
      <c r="H383" t="n">
        <v>0</v>
      </c>
      <c r="I383" t="n">
        <v>0</v>
      </c>
      <c r="J383" t="n">
        <v>0</v>
      </c>
      <c r="K383" t="n">
        <v>0</v>
      </c>
      <c r="L383" t="n">
        <v>0</v>
      </c>
      <c r="M383" t="n">
        <v>0</v>
      </c>
      <c r="N383" t="n">
        <v>0</v>
      </c>
      <c r="O383" t="n">
        <v>0</v>
      </c>
      <c r="P383" t="n">
        <v>0</v>
      </c>
      <c r="Q383" t="n">
        <v>0</v>
      </c>
      <c r="R383" s="2" t="inlineStr"/>
    </row>
    <row r="384" ht="15" customHeight="1">
      <c r="A384" t="inlineStr">
        <is>
          <t>A 31172-2023</t>
        </is>
      </c>
      <c r="B384" s="1" t="n">
        <v>45113.8637037037</v>
      </c>
      <c r="C384" s="1" t="n">
        <v>45922</v>
      </c>
      <c r="D384" t="inlineStr">
        <is>
          <t>DALARNAS LÄN</t>
        </is>
      </c>
      <c r="E384" t="inlineStr">
        <is>
          <t>ORSA</t>
        </is>
      </c>
      <c r="G384" t="n">
        <v>2.9</v>
      </c>
      <c r="H384" t="n">
        <v>0</v>
      </c>
      <c r="I384" t="n">
        <v>0</v>
      </c>
      <c r="J384" t="n">
        <v>0</v>
      </c>
      <c r="K384" t="n">
        <v>0</v>
      </c>
      <c r="L384" t="n">
        <v>0</v>
      </c>
      <c r="M384" t="n">
        <v>0</v>
      </c>
      <c r="N384" t="n">
        <v>0</v>
      </c>
      <c r="O384" t="n">
        <v>0</v>
      </c>
      <c r="P384" t="n">
        <v>0</v>
      </c>
      <c r="Q384" t="n">
        <v>0</v>
      </c>
      <c r="R384" s="2" t="inlineStr"/>
    </row>
    <row r="385" ht="15" customHeight="1">
      <c r="A385" t="inlineStr">
        <is>
          <t>A 6476-2025</t>
        </is>
      </c>
      <c r="B385" s="1" t="n">
        <v>45699</v>
      </c>
      <c r="C385" s="1" t="n">
        <v>45922</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6479-2025</t>
        </is>
      </c>
      <c r="B386" s="1" t="n">
        <v>45699</v>
      </c>
      <c r="C386" s="1" t="n">
        <v>45922</v>
      </c>
      <c r="D386" t="inlineStr">
        <is>
          <t>DALARNAS LÄN</t>
        </is>
      </c>
      <c r="E386" t="inlineStr">
        <is>
          <t>ORSA</t>
        </is>
      </c>
      <c r="G386" t="n">
        <v>3.2</v>
      </c>
      <c r="H386" t="n">
        <v>0</v>
      </c>
      <c r="I386" t="n">
        <v>0</v>
      </c>
      <c r="J386" t="n">
        <v>0</v>
      </c>
      <c r="K386" t="n">
        <v>0</v>
      </c>
      <c r="L386" t="n">
        <v>0</v>
      </c>
      <c r="M386" t="n">
        <v>0</v>
      </c>
      <c r="N386" t="n">
        <v>0</v>
      </c>
      <c r="O386" t="n">
        <v>0</v>
      </c>
      <c r="P386" t="n">
        <v>0</v>
      </c>
      <c r="Q386" t="n">
        <v>0</v>
      </c>
      <c r="R386" s="2" t="inlineStr"/>
    </row>
    <row r="387" ht="15" customHeight="1">
      <c r="A387" t="inlineStr">
        <is>
          <t>A 56807-2024</t>
        </is>
      </c>
      <c r="B387" s="1" t="n">
        <v>45628.47519675926</v>
      </c>
      <c r="C387" s="1" t="n">
        <v>45922</v>
      </c>
      <c r="D387" t="inlineStr">
        <is>
          <t>DALARNAS LÄN</t>
        </is>
      </c>
      <c r="E387" t="inlineStr">
        <is>
          <t>ORSA</t>
        </is>
      </c>
      <c r="G387" t="n">
        <v>1.9</v>
      </c>
      <c r="H387" t="n">
        <v>0</v>
      </c>
      <c r="I387" t="n">
        <v>0</v>
      </c>
      <c r="J387" t="n">
        <v>0</v>
      </c>
      <c r="K387" t="n">
        <v>0</v>
      </c>
      <c r="L387" t="n">
        <v>0</v>
      </c>
      <c r="M387" t="n">
        <v>0</v>
      </c>
      <c r="N387" t="n">
        <v>0</v>
      </c>
      <c r="O387" t="n">
        <v>0</v>
      </c>
      <c r="P387" t="n">
        <v>0</v>
      </c>
      <c r="Q387" t="n">
        <v>0</v>
      </c>
      <c r="R387" s="2" t="inlineStr"/>
    </row>
    <row r="388" ht="15" customHeight="1">
      <c r="A388" t="inlineStr">
        <is>
          <t>A 19108-2025</t>
        </is>
      </c>
      <c r="B388" s="1" t="n">
        <v>45768</v>
      </c>
      <c r="C388" s="1" t="n">
        <v>45922</v>
      </c>
      <c r="D388" t="inlineStr">
        <is>
          <t>DALARNAS LÄN</t>
        </is>
      </c>
      <c r="E388" t="inlineStr">
        <is>
          <t>ORSA</t>
        </is>
      </c>
      <c r="F388" t="inlineStr">
        <is>
          <t>Bergvik skog väst AB</t>
        </is>
      </c>
      <c r="G388" t="n">
        <v>14.3</v>
      </c>
      <c r="H388" t="n">
        <v>0</v>
      </c>
      <c r="I388" t="n">
        <v>0</v>
      </c>
      <c r="J388" t="n">
        <v>0</v>
      </c>
      <c r="K388" t="n">
        <v>0</v>
      </c>
      <c r="L388" t="n">
        <v>0</v>
      </c>
      <c r="M388" t="n">
        <v>0</v>
      </c>
      <c r="N388" t="n">
        <v>0</v>
      </c>
      <c r="O388" t="n">
        <v>0</v>
      </c>
      <c r="P388" t="n">
        <v>0</v>
      </c>
      <c r="Q388" t="n">
        <v>0</v>
      </c>
      <c r="R388" s="2" t="inlineStr"/>
    </row>
    <row r="389" ht="15" customHeight="1">
      <c r="A389" t="inlineStr">
        <is>
          <t>A 52649-2024</t>
        </is>
      </c>
      <c r="B389" s="1" t="n">
        <v>45610.3468287037</v>
      </c>
      <c r="C389" s="1" t="n">
        <v>45922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52643-2024</t>
        </is>
      </c>
      <c r="B390" s="1" t="n">
        <v>45610.34175925926</v>
      </c>
      <c r="C390" s="1" t="n">
        <v>45922</v>
      </c>
      <c r="D390" t="inlineStr">
        <is>
          <t>DALARNAS LÄN</t>
        </is>
      </c>
      <c r="E390" t="inlineStr">
        <is>
          <t>ORSA</t>
        </is>
      </c>
      <c r="G390" t="n">
        <v>1.5</v>
      </c>
      <c r="H390" t="n">
        <v>0</v>
      </c>
      <c r="I390" t="n">
        <v>0</v>
      </c>
      <c r="J390" t="n">
        <v>0</v>
      </c>
      <c r="K390" t="n">
        <v>0</v>
      </c>
      <c r="L390" t="n">
        <v>0</v>
      </c>
      <c r="M390" t="n">
        <v>0</v>
      </c>
      <c r="N390" t="n">
        <v>0</v>
      </c>
      <c r="O390" t="n">
        <v>0</v>
      </c>
      <c r="P390" t="n">
        <v>0</v>
      </c>
      <c r="Q390" t="n">
        <v>0</v>
      </c>
      <c r="R390" s="2" t="inlineStr"/>
    </row>
    <row r="391" ht="15" customHeight="1">
      <c r="A391" t="inlineStr">
        <is>
          <t>A 47732-2021</t>
        </is>
      </c>
      <c r="B391" s="1" t="n">
        <v>44448.52815972222</v>
      </c>
      <c r="C391" s="1" t="n">
        <v>45922</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44117-2025</t>
        </is>
      </c>
      <c r="B392" s="1" t="n">
        <v>45915.57677083334</v>
      </c>
      <c r="C392" s="1" t="n">
        <v>45922</v>
      </c>
      <c r="D392" t="inlineStr">
        <is>
          <t>DALARNAS LÄN</t>
        </is>
      </c>
      <c r="E392" t="inlineStr">
        <is>
          <t>ORSA</t>
        </is>
      </c>
      <c r="F392" t="inlineStr">
        <is>
          <t>Allmännings- och besparingsskogar</t>
        </is>
      </c>
      <c r="G392" t="n">
        <v>2.7</v>
      </c>
      <c r="H392" t="n">
        <v>0</v>
      </c>
      <c r="I392" t="n">
        <v>0</v>
      </c>
      <c r="J392" t="n">
        <v>0</v>
      </c>
      <c r="K392" t="n">
        <v>0</v>
      </c>
      <c r="L392" t="n">
        <v>0</v>
      </c>
      <c r="M392" t="n">
        <v>0</v>
      </c>
      <c r="N392" t="n">
        <v>0</v>
      </c>
      <c r="O392" t="n">
        <v>0</v>
      </c>
      <c r="P392" t="n">
        <v>0</v>
      </c>
      <c r="Q392" t="n">
        <v>0</v>
      </c>
      <c r="R392" s="2" t="inlineStr"/>
    </row>
    <row r="393" ht="15" customHeight="1">
      <c r="A393" t="inlineStr">
        <is>
          <t>A 44119-2025</t>
        </is>
      </c>
      <c r="B393" s="1" t="n">
        <v>45915.57738425926</v>
      </c>
      <c r="C393" s="1" t="n">
        <v>45922</v>
      </c>
      <c r="D393" t="inlineStr">
        <is>
          <t>DALARNAS LÄN</t>
        </is>
      </c>
      <c r="E393" t="inlineStr">
        <is>
          <t>ORSA</t>
        </is>
      </c>
      <c r="F393" t="inlineStr">
        <is>
          <t>Allmännings- och besparingsskogar</t>
        </is>
      </c>
      <c r="G393" t="n">
        <v>1.5</v>
      </c>
      <c r="H393" t="n">
        <v>0</v>
      </c>
      <c r="I393" t="n">
        <v>0</v>
      </c>
      <c r="J393" t="n">
        <v>0</v>
      </c>
      <c r="K393" t="n">
        <v>0</v>
      </c>
      <c r="L393" t="n">
        <v>0</v>
      </c>
      <c r="M393" t="n">
        <v>0</v>
      </c>
      <c r="N393" t="n">
        <v>0</v>
      </c>
      <c r="O393" t="n">
        <v>0</v>
      </c>
      <c r="P393" t="n">
        <v>0</v>
      </c>
      <c r="Q393" t="n">
        <v>0</v>
      </c>
      <c r="R393" s="2" t="inlineStr"/>
    </row>
    <row r="394" ht="15" customHeight="1">
      <c r="A394" t="inlineStr">
        <is>
          <t>A 36570-2025</t>
        </is>
      </c>
      <c r="B394" s="1" t="n">
        <v>45870.38728009259</v>
      </c>
      <c r="C394" s="1" t="n">
        <v>45922</v>
      </c>
      <c r="D394" t="inlineStr">
        <is>
          <t>DALARNAS LÄN</t>
        </is>
      </c>
      <c r="E394" t="inlineStr">
        <is>
          <t>ORSA</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31170-2023</t>
        </is>
      </c>
      <c r="B395" s="1" t="n">
        <v>45113.84923611111</v>
      </c>
      <c r="C395" s="1" t="n">
        <v>45922</v>
      </c>
      <c r="D395" t="inlineStr">
        <is>
          <t>DALARNAS LÄN</t>
        </is>
      </c>
      <c r="E395" t="inlineStr">
        <is>
          <t>ORSA</t>
        </is>
      </c>
      <c r="G395" t="n">
        <v>2.1</v>
      </c>
      <c r="H395" t="n">
        <v>0</v>
      </c>
      <c r="I395" t="n">
        <v>0</v>
      </c>
      <c r="J395" t="n">
        <v>0</v>
      </c>
      <c r="K395" t="n">
        <v>0</v>
      </c>
      <c r="L395" t="n">
        <v>0</v>
      </c>
      <c r="M395" t="n">
        <v>0</v>
      </c>
      <c r="N395" t="n">
        <v>0</v>
      </c>
      <c r="O395" t="n">
        <v>0</v>
      </c>
      <c r="P395" t="n">
        <v>0</v>
      </c>
      <c r="Q395" t="n">
        <v>0</v>
      </c>
      <c r="R395" s="2" t="inlineStr"/>
    </row>
    <row r="396" ht="15" customHeight="1">
      <c r="A396" t="inlineStr">
        <is>
          <t>A 31171-2023</t>
        </is>
      </c>
      <c r="B396" s="1" t="n">
        <v>45113.85704861111</v>
      </c>
      <c r="C396" s="1" t="n">
        <v>45922</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40101-2024</t>
        </is>
      </c>
      <c r="B397" s="1" t="n">
        <v>45554.42622685185</v>
      </c>
      <c r="C397" s="1" t="n">
        <v>45922</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44121-2025</t>
        </is>
      </c>
      <c r="B398" s="1" t="n">
        <v>45915.57792824074</v>
      </c>
      <c r="C398" s="1" t="n">
        <v>45922</v>
      </c>
      <c r="D398" t="inlineStr">
        <is>
          <t>DALARNAS LÄN</t>
        </is>
      </c>
      <c r="E398" t="inlineStr">
        <is>
          <t>ORSA</t>
        </is>
      </c>
      <c r="F398" t="inlineStr">
        <is>
          <t>Allmännings- och besparingsskogar</t>
        </is>
      </c>
      <c r="G398" t="n">
        <v>2.5</v>
      </c>
      <c r="H398" t="n">
        <v>0</v>
      </c>
      <c r="I398" t="n">
        <v>0</v>
      </c>
      <c r="J398" t="n">
        <v>0</v>
      </c>
      <c r="K398" t="n">
        <v>0</v>
      </c>
      <c r="L398" t="n">
        <v>0</v>
      </c>
      <c r="M398" t="n">
        <v>0</v>
      </c>
      <c r="N398" t="n">
        <v>0</v>
      </c>
      <c r="O398" t="n">
        <v>0</v>
      </c>
      <c r="P398" t="n">
        <v>0</v>
      </c>
      <c r="Q398" t="n">
        <v>0</v>
      </c>
      <c r="R398" s="2" t="inlineStr"/>
    </row>
    <row r="399" ht="15" customHeight="1">
      <c r="A399" t="inlineStr">
        <is>
          <t>A 44129-2025</t>
        </is>
      </c>
      <c r="B399" s="1" t="n">
        <v>45915.58392361111</v>
      </c>
      <c r="C399" s="1" t="n">
        <v>45922</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44053-2025</t>
        </is>
      </c>
      <c r="B400" s="1" t="n">
        <v>45915.51239583334</v>
      </c>
      <c r="C400" s="1" t="n">
        <v>45922</v>
      </c>
      <c r="D400" t="inlineStr">
        <is>
          <t>DALARNAS LÄN</t>
        </is>
      </c>
      <c r="E400" t="inlineStr">
        <is>
          <t>ORSA</t>
        </is>
      </c>
      <c r="G400" t="n">
        <v>1.4</v>
      </c>
      <c r="H400" t="n">
        <v>0</v>
      </c>
      <c r="I400" t="n">
        <v>0</v>
      </c>
      <c r="J400" t="n">
        <v>0</v>
      </c>
      <c r="K400" t="n">
        <v>0</v>
      </c>
      <c r="L400" t="n">
        <v>0</v>
      </c>
      <c r="M400" t="n">
        <v>0</v>
      </c>
      <c r="N400" t="n">
        <v>0</v>
      </c>
      <c r="O400" t="n">
        <v>0</v>
      </c>
      <c r="P400" t="n">
        <v>0</v>
      </c>
      <c r="Q400" t="n">
        <v>0</v>
      </c>
      <c r="R400" s="2" t="inlineStr"/>
    </row>
    <row r="401" ht="15" customHeight="1">
      <c r="A401" t="inlineStr">
        <is>
          <t>A 17503-2025</t>
        </is>
      </c>
      <c r="B401" s="1" t="n">
        <v>45757.55321759259</v>
      </c>
      <c r="C401" s="1" t="n">
        <v>45922</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43967-2025</t>
        </is>
      </c>
      <c r="B402" s="1" t="n">
        <v>45915.40188657407</v>
      </c>
      <c r="C402" s="1" t="n">
        <v>45922</v>
      </c>
      <c r="D402" t="inlineStr">
        <is>
          <t>DALARNAS LÄN</t>
        </is>
      </c>
      <c r="E402" t="inlineStr">
        <is>
          <t>ORSA</t>
        </is>
      </c>
      <c r="F402" t="inlineStr">
        <is>
          <t>Allmännings- och besparingsskogar</t>
        </is>
      </c>
      <c r="G402" t="n">
        <v>8.4</v>
      </c>
      <c r="H402" t="n">
        <v>0</v>
      </c>
      <c r="I402" t="n">
        <v>0</v>
      </c>
      <c r="J402" t="n">
        <v>0</v>
      </c>
      <c r="K402" t="n">
        <v>0</v>
      </c>
      <c r="L402" t="n">
        <v>0</v>
      </c>
      <c r="M402" t="n">
        <v>0</v>
      </c>
      <c r="N402" t="n">
        <v>0</v>
      </c>
      <c r="O402" t="n">
        <v>0</v>
      </c>
      <c r="P402" t="n">
        <v>0</v>
      </c>
      <c r="Q402" t="n">
        <v>0</v>
      </c>
      <c r="R402" s="2" t="inlineStr"/>
    </row>
    <row r="403" ht="15" customHeight="1">
      <c r="A403" t="inlineStr">
        <is>
          <t>A 37830-2024</t>
        </is>
      </c>
      <c r="B403" s="1" t="n">
        <v>45544.34504629629</v>
      </c>
      <c r="C403" s="1" t="n">
        <v>45922</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43965-2025</t>
        </is>
      </c>
      <c r="B404" s="1" t="n">
        <v>45915.40027777778</v>
      </c>
      <c r="C404" s="1" t="n">
        <v>45922</v>
      </c>
      <c r="D404" t="inlineStr">
        <is>
          <t>DALARNAS LÄN</t>
        </is>
      </c>
      <c r="E404" t="inlineStr">
        <is>
          <t>ORSA</t>
        </is>
      </c>
      <c r="F404" t="inlineStr">
        <is>
          <t>Allmännings- och besparingsskogar</t>
        </is>
      </c>
      <c r="G404" t="n">
        <v>11.5</v>
      </c>
      <c r="H404" t="n">
        <v>0</v>
      </c>
      <c r="I404" t="n">
        <v>0</v>
      </c>
      <c r="J404" t="n">
        <v>0</v>
      </c>
      <c r="K404" t="n">
        <v>0</v>
      </c>
      <c r="L404" t="n">
        <v>0</v>
      </c>
      <c r="M404" t="n">
        <v>0</v>
      </c>
      <c r="N404" t="n">
        <v>0</v>
      </c>
      <c r="O404" t="n">
        <v>0</v>
      </c>
      <c r="P404" t="n">
        <v>0</v>
      </c>
      <c r="Q404" t="n">
        <v>0</v>
      </c>
      <c r="R404" s="2" t="inlineStr"/>
    </row>
    <row r="405" ht="15" customHeight="1">
      <c r="A405" t="inlineStr">
        <is>
          <t>A 1304-2024</t>
        </is>
      </c>
      <c r="B405" s="1" t="n">
        <v>45303</v>
      </c>
      <c r="C405" s="1" t="n">
        <v>45922</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21905-2022</t>
        </is>
      </c>
      <c r="B406" s="1" t="n">
        <v>44711</v>
      </c>
      <c r="C406" s="1" t="n">
        <v>45922</v>
      </c>
      <c r="D406" t="inlineStr">
        <is>
          <t>DALARNAS LÄN</t>
        </is>
      </c>
      <c r="E406" t="inlineStr">
        <is>
          <t>ORSA</t>
        </is>
      </c>
      <c r="F406" t="inlineStr">
        <is>
          <t>Allmännings- och besparingsskogar</t>
        </is>
      </c>
      <c r="G406" t="n">
        <v>3.1</v>
      </c>
      <c r="H406" t="n">
        <v>0</v>
      </c>
      <c r="I406" t="n">
        <v>0</v>
      </c>
      <c r="J406" t="n">
        <v>0</v>
      </c>
      <c r="K406" t="n">
        <v>0</v>
      </c>
      <c r="L406" t="n">
        <v>0</v>
      </c>
      <c r="M406" t="n">
        <v>0</v>
      </c>
      <c r="N406" t="n">
        <v>0</v>
      </c>
      <c r="O406" t="n">
        <v>0</v>
      </c>
      <c r="P406" t="n">
        <v>0</v>
      </c>
      <c r="Q406" t="n">
        <v>0</v>
      </c>
      <c r="R406" s="2" t="inlineStr"/>
    </row>
    <row r="407" ht="15" customHeight="1">
      <c r="A407" t="inlineStr">
        <is>
          <t>A 51289-2023</t>
        </is>
      </c>
      <c r="B407" s="1" t="n">
        <v>45219.54077546296</v>
      </c>
      <c r="C407" s="1" t="n">
        <v>45922</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43778-2025</t>
        </is>
      </c>
      <c r="B408" s="1" t="n">
        <v>45912.5147337963</v>
      </c>
      <c r="C408" s="1" t="n">
        <v>45922</v>
      </c>
      <c r="D408" t="inlineStr">
        <is>
          <t>DALARNAS LÄN</t>
        </is>
      </c>
      <c r="E408" t="inlineStr">
        <is>
          <t>ORSA</t>
        </is>
      </c>
      <c r="G408" t="n">
        <v>1.1</v>
      </c>
      <c r="H408" t="n">
        <v>0</v>
      </c>
      <c r="I408" t="n">
        <v>0</v>
      </c>
      <c r="J408" t="n">
        <v>0</v>
      </c>
      <c r="K408" t="n">
        <v>0</v>
      </c>
      <c r="L408" t="n">
        <v>0</v>
      </c>
      <c r="M408" t="n">
        <v>0</v>
      </c>
      <c r="N408" t="n">
        <v>0</v>
      </c>
      <c r="O408" t="n">
        <v>0</v>
      </c>
      <c r="P408" t="n">
        <v>0</v>
      </c>
      <c r="Q408" t="n">
        <v>0</v>
      </c>
      <c r="R408" s="2" t="inlineStr"/>
    </row>
    <row r="409" ht="15" customHeight="1">
      <c r="A409" t="inlineStr">
        <is>
          <t>A 48516-2024</t>
        </is>
      </c>
      <c r="B409" s="1" t="n">
        <v>45593.31292824074</v>
      </c>
      <c r="C409" s="1" t="n">
        <v>45922</v>
      </c>
      <c r="D409" t="inlineStr">
        <is>
          <t>DALARNAS LÄN</t>
        </is>
      </c>
      <c r="E409" t="inlineStr">
        <is>
          <t>ORSA</t>
        </is>
      </c>
      <c r="G409" t="n">
        <v>3.3</v>
      </c>
      <c r="H409" t="n">
        <v>0</v>
      </c>
      <c r="I409" t="n">
        <v>0</v>
      </c>
      <c r="J409" t="n">
        <v>0</v>
      </c>
      <c r="K409" t="n">
        <v>0</v>
      </c>
      <c r="L409" t="n">
        <v>0</v>
      </c>
      <c r="M409" t="n">
        <v>0</v>
      </c>
      <c r="N409" t="n">
        <v>0</v>
      </c>
      <c r="O409" t="n">
        <v>0</v>
      </c>
      <c r="P409" t="n">
        <v>0</v>
      </c>
      <c r="Q409" t="n">
        <v>0</v>
      </c>
      <c r="R409" s="2" t="inlineStr"/>
    </row>
    <row r="410" ht="15" customHeight="1">
      <c r="A410" t="inlineStr">
        <is>
          <t>A 48521-2024</t>
        </is>
      </c>
      <c r="B410" s="1" t="n">
        <v>45593.32871527778</v>
      </c>
      <c r="C410" s="1" t="n">
        <v>45922</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48525-2024</t>
        </is>
      </c>
      <c r="B411" s="1" t="n">
        <v>45593.33947916667</v>
      </c>
      <c r="C411" s="1" t="n">
        <v>45922</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36633-2025</t>
        </is>
      </c>
      <c r="B412" s="1" t="n">
        <v>45870</v>
      </c>
      <c r="C412" s="1" t="n">
        <v>45922</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41832-2024</t>
        </is>
      </c>
      <c r="B413" s="1" t="n">
        <v>45561.40730324074</v>
      </c>
      <c r="C413" s="1" t="n">
        <v>45922</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23339-2024</t>
        </is>
      </c>
      <c r="B414" s="1" t="n">
        <v>45453.48988425926</v>
      </c>
      <c r="C414" s="1" t="n">
        <v>45922</v>
      </c>
      <c r="D414" t="inlineStr">
        <is>
          <t>DALARNAS LÄN</t>
        </is>
      </c>
      <c r="E414" t="inlineStr">
        <is>
          <t>ORSA</t>
        </is>
      </c>
      <c r="G414" t="n">
        <v>3.8</v>
      </c>
      <c r="H414" t="n">
        <v>0</v>
      </c>
      <c r="I414" t="n">
        <v>0</v>
      </c>
      <c r="J414" t="n">
        <v>0</v>
      </c>
      <c r="K414" t="n">
        <v>0</v>
      </c>
      <c r="L414" t="n">
        <v>0</v>
      </c>
      <c r="M414" t="n">
        <v>0</v>
      </c>
      <c r="N414" t="n">
        <v>0</v>
      </c>
      <c r="O414" t="n">
        <v>0</v>
      </c>
      <c r="P414" t="n">
        <v>0</v>
      </c>
      <c r="Q414" t="n">
        <v>0</v>
      </c>
      <c r="R414" s="2" t="inlineStr"/>
    </row>
    <row r="415" ht="15" customHeight="1">
      <c r="A415" t="inlineStr">
        <is>
          <t>A 37647-2023</t>
        </is>
      </c>
      <c r="B415" s="1" t="n">
        <v>45159</v>
      </c>
      <c r="C415" s="1" t="n">
        <v>45922</v>
      </c>
      <c r="D415" t="inlineStr">
        <is>
          <t>DALARNAS LÄN</t>
        </is>
      </c>
      <c r="E415" t="inlineStr">
        <is>
          <t>ORSA</t>
        </is>
      </c>
      <c r="F415" t="inlineStr">
        <is>
          <t>Allmännings- och besparingsskogar</t>
        </is>
      </c>
      <c r="G415" t="n">
        <v>2.1</v>
      </c>
      <c r="H415" t="n">
        <v>0</v>
      </c>
      <c r="I415" t="n">
        <v>0</v>
      </c>
      <c r="J415" t="n">
        <v>0</v>
      </c>
      <c r="K415" t="n">
        <v>0</v>
      </c>
      <c r="L415" t="n">
        <v>0</v>
      </c>
      <c r="M415" t="n">
        <v>0</v>
      </c>
      <c r="N415" t="n">
        <v>0</v>
      </c>
      <c r="O415" t="n">
        <v>0</v>
      </c>
      <c r="P415" t="n">
        <v>0</v>
      </c>
      <c r="Q415" t="n">
        <v>0</v>
      </c>
      <c r="R415" s="2" t="inlineStr"/>
    </row>
    <row r="416" ht="15" customHeight="1">
      <c r="A416" t="inlineStr">
        <is>
          <t>A 53758-2024</t>
        </is>
      </c>
      <c r="B416" s="1" t="n">
        <v>45615.50483796297</v>
      </c>
      <c r="C416" s="1" t="n">
        <v>45922</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37181-2025</t>
        </is>
      </c>
      <c r="B417" s="1" t="n">
        <v>45875.62668981482</v>
      </c>
      <c r="C417" s="1" t="n">
        <v>45922</v>
      </c>
      <c r="D417" t="inlineStr">
        <is>
          <t>DALARNAS LÄN</t>
        </is>
      </c>
      <c r="E417" t="inlineStr">
        <is>
          <t>ORSA</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44531-2025</t>
        </is>
      </c>
      <c r="B418" s="1" t="n">
        <v>45916.77120370371</v>
      </c>
      <c r="C418" s="1" t="n">
        <v>45922</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45031-2025</t>
        </is>
      </c>
      <c r="B419" s="1" t="n">
        <v>45918.70020833334</v>
      </c>
      <c r="C419" s="1" t="n">
        <v>45922</v>
      </c>
      <c r="D419" t="inlineStr">
        <is>
          <t>DALARNAS LÄN</t>
        </is>
      </c>
      <c r="E419" t="inlineStr">
        <is>
          <t>ORSA</t>
        </is>
      </c>
      <c r="G419" t="n">
        <v>5</v>
      </c>
      <c r="H419" t="n">
        <v>0</v>
      </c>
      <c r="I419" t="n">
        <v>0</v>
      </c>
      <c r="J419" t="n">
        <v>0</v>
      </c>
      <c r="K419" t="n">
        <v>0</v>
      </c>
      <c r="L419" t="n">
        <v>0</v>
      </c>
      <c r="M419" t="n">
        <v>0</v>
      </c>
      <c r="N419" t="n">
        <v>0</v>
      </c>
      <c r="O419" t="n">
        <v>0</v>
      </c>
      <c r="P419" t="n">
        <v>0</v>
      </c>
      <c r="Q419" t="n">
        <v>0</v>
      </c>
      <c r="R419" s="2" t="inlineStr"/>
    </row>
    <row r="420" ht="15" customHeight="1">
      <c r="A420" t="inlineStr">
        <is>
          <t>A 37439-2025</t>
        </is>
      </c>
      <c r="B420" s="1" t="n">
        <v>45877.53644675926</v>
      </c>
      <c r="C420" s="1" t="n">
        <v>45922</v>
      </c>
      <c r="D420" t="inlineStr">
        <is>
          <t>DALARNAS LÄN</t>
        </is>
      </c>
      <c r="E420" t="inlineStr">
        <is>
          <t>ORSA</t>
        </is>
      </c>
      <c r="F420" t="inlineStr">
        <is>
          <t>Allmännings- och besparingsskogar</t>
        </is>
      </c>
      <c r="G420" t="n">
        <v>7.9</v>
      </c>
      <c r="H420" t="n">
        <v>0</v>
      </c>
      <c r="I420" t="n">
        <v>0</v>
      </c>
      <c r="J420" t="n">
        <v>0</v>
      </c>
      <c r="K420" t="n">
        <v>0</v>
      </c>
      <c r="L420" t="n">
        <v>0</v>
      </c>
      <c r="M420" t="n">
        <v>0</v>
      </c>
      <c r="N420" t="n">
        <v>0</v>
      </c>
      <c r="O420" t="n">
        <v>0</v>
      </c>
      <c r="P420" t="n">
        <v>0</v>
      </c>
      <c r="Q420" t="n">
        <v>0</v>
      </c>
      <c r="R420" s="2" t="inlineStr"/>
    </row>
    <row r="421" ht="15" customHeight="1">
      <c r="A421" t="inlineStr">
        <is>
          <t>A 31026-2023</t>
        </is>
      </c>
      <c r="B421" s="1" t="n">
        <v>45113.5812962963</v>
      </c>
      <c r="C421" s="1" t="n">
        <v>45922</v>
      </c>
      <c r="D421" t="inlineStr">
        <is>
          <t>DALARNAS LÄN</t>
        </is>
      </c>
      <c r="E421" t="inlineStr">
        <is>
          <t>ORSA</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37457-2025</t>
        </is>
      </c>
      <c r="B422" s="1" t="n">
        <v>45877.56829861111</v>
      </c>
      <c r="C422" s="1" t="n">
        <v>45922</v>
      </c>
      <c r="D422" t="inlineStr">
        <is>
          <t>DALARNAS LÄN</t>
        </is>
      </c>
      <c r="E422" t="inlineStr">
        <is>
          <t>ORSA</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45155-2025</t>
        </is>
      </c>
      <c r="B423" s="1" t="n">
        <v>45919.47872685185</v>
      </c>
      <c r="C423" s="1" t="n">
        <v>45922</v>
      </c>
      <c r="D423" t="inlineStr">
        <is>
          <t>DALARNAS LÄN</t>
        </is>
      </c>
      <c r="E423" t="inlineStr">
        <is>
          <t>ORSA</t>
        </is>
      </c>
      <c r="G423" t="n">
        <v>1.5</v>
      </c>
      <c r="H423" t="n">
        <v>0</v>
      </c>
      <c r="I423" t="n">
        <v>0</v>
      </c>
      <c r="J423" t="n">
        <v>0</v>
      </c>
      <c r="K423" t="n">
        <v>0</v>
      </c>
      <c r="L423" t="n">
        <v>0</v>
      </c>
      <c r="M423" t="n">
        <v>0</v>
      </c>
      <c r="N423" t="n">
        <v>0</v>
      </c>
      <c r="O423" t="n">
        <v>0</v>
      </c>
      <c r="P423" t="n">
        <v>0</v>
      </c>
      <c r="Q423" t="n">
        <v>0</v>
      </c>
      <c r="R423" s="2" t="inlineStr"/>
    </row>
    <row r="424" ht="15" customHeight="1">
      <c r="A424" t="inlineStr">
        <is>
          <t>A 50734-2023</t>
        </is>
      </c>
      <c r="B424" s="1" t="n">
        <v>45217.58043981482</v>
      </c>
      <c r="C424" s="1" t="n">
        <v>45922</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30458-2023</t>
        </is>
      </c>
      <c r="B425" s="1" t="n">
        <v>45111</v>
      </c>
      <c r="C425" s="1" t="n">
        <v>45922</v>
      </c>
      <c r="D425" t="inlineStr">
        <is>
          <t>DALARNAS LÄN</t>
        </is>
      </c>
      <c r="E425" t="inlineStr">
        <is>
          <t>ORSA</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14680-2023</t>
        </is>
      </c>
      <c r="B426" s="1" t="n">
        <v>45014.30054398148</v>
      </c>
      <c r="C426" s="1" t="n">
        <v>45922</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37496-2025</t>
        </is>
      </c>
      <c r="B427" s="1" t="n">
        <v>45877.64424768519</v>
      </c>
      <c r="C427" s="1" t="n">
        <v>45922</v>
      </c>
      <c r="D427" t="inlineStr">
        <is>
          <t>DALARNAS LÄN</t>
        </is>
      </c>
      <c r="E427" t="inlineStr">
        <is>
          <t>ORSA</t>
        </is>
      </c>
      <c r="F427" t="inlineStr">
        <is>
          <t>Bergvik skog öst AB</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4738-2025</t>
        </is>
      </c>
      <c r="B428" s="1" t="n">
        <v>45688</v>
      </c>
      <c r="C428" s="1" t="n">
        <v>45922</v>
      </c>
      <c r="D428" t="inlineStr">
        <is>
          <t>DALARNAS LÄN</t>
        </is>
      </c>
      <c r="E428" t="inlineStr">
        <is>
          <t>ORSA</t>
        </is>
      </c>
      <c r="G428" t="n">
        <v>3.7</v>
      </c>
      <c r="H428" t="n">
        <v>0</v>
      </c>
      <c r="I428" t="n">
        <v>0</v>
      </c>
      <c r="J428" t="n">
        <v>0</v>
      </c>
      <c r="K428" t="n">
        <v>0</v>
      </c>
      <c r="L428" t="n">
        <v>0</v>
      </c>
      <c r="M428" t="n">
        <v>0</v>
      </c>
      <c r="N428" t="n">
        <v>0</v>
      </c>
      <c r="O428" t="n">
        <v>0</v>
      </c>
      <c r="P428" t="n">
        <v>0</v>
      </c>
      <c r="Q428" t="n">
        <v>0</v>
      </c>
      <c r="R428" s="2" t="inlineStr"/>
    </row>
    <row r="429" ht="15" customHeight="1">
      <c r="A429" t="inlineStr">
        <is>
          <t>A 37445-2025</t>
        </is>
      </c>
      <c r="B429" s="1" t="n">
        <v>45877.54615740741</v>
      </c>
      <c r="C429" s="1" t="n">
        <v>45922</v>
      </c>
      <c r="D429" t="inlineStr">
        <is>
          <t>DALARNAS LÄN</t>
        </is>
      </c>
      <c r="E429" t="inlineStr">
        <is>
          <t>ORSA</t>
        </is>
      </c>
      <c r="F429" t="inlineStr">
        <is>
          <t>Bergvik skog öst AB</t>
        </is>
      </c>
      <c r="G429" t="n">
        <v>13.4</v>
      </c>
      <c r="H429" t="n">
        <v>0</v>
      </c>
      <c r="I429" t="n">
        <v>0</v>
      </c>
      <c r="J429" t="n">
        <v>0</v>
      </c>
      <c r="K429" t="n">
        <v>0</v>
      </c>
      <c r="L429" t="n">
        <v>0</v>
      </c>
      <c r="M429" t="n">
        <v>0</v>
      </c>
      <c r="N429" t="n">
        <v>0</v>
      </c>
      <c r="O429" t="n">
        <v>0</v>
      </c>
      <c r="P429" t="n">
        <v>0</v>
      </c>
      <c r="Q429" t="n">
        <v>0</v>
      </c>
      <c r="R429" s="2" t="inlineStr"/>
    </row>
    <row r="430" ht="15" customHeight="1">
      <c r="A430" t="inlineStr">
        <is>
          <t>A 27163-2023</t>
        </is>
      </c>
      <c r="B430" s="1" t="n">
        <v>45096.4878125</v>
      </c>
      <c r="C430" s="1" t="n">
        <v>45922</v>
      </c>
      <c r="D430" t="inlineStr">
        <is>
          <t>DALARNAS LÄN</t>
        </is>
      </c>
      <c r="E430" t="inlineStr">
        <is>
          <t>ORSA</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2948-2025</t>
        </is>
      </c>
      <c r="B431" s="1" t="n">
        <v>45678.42868055555</v>
      </c>
      <c r="C431" s="1" t="n">
        <v>45922</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22022-2022</t>
        </is>
      </c>
      <c r="B432" s="1" t="n">
        <v>44711.60145833333</v>
      </c>
      <c r="C432" s="1" t="n">
        <v>45922</v>
      </c>
      <c r="D432" t="inlineStr">
        <is>
          <t>DALARNAS LÄN</t>
        </is>
      </c>
      <c r="E432" t="inlineStr">
        <is>
          <t>ORSA</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56810-2024</t>
        </is>
      </c>
      <c r="B433" s="1" t="n">
        <v>45628</v>
      </c>
      <c r="C433" s="1" t="n">
        <v>45922</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56811-2024</t>
        </is>
      </c>
      <c r="B434" s="1" t="n">
        <v>45628</v>
      </c>
      <c r="C434" s="1" t="n">
        <v>45922</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56803-2024</t>
        </is>
      </c>
      <c r="B435" s="1" t="n">
        <v>45628.47212962963</v>
      </c>
      <c r="C435" s="1" t="n">
        <v>45922</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67834-2020</t>
        </is>
      </c>
      <c r="B436" s="1" t="n">
        <v>44182</v>
      </c>
      <c r="C436" s="1" t="n">
        <v>45922</v>
      </c>
      <c r="D436" t="inlineStr">
        <is>
          <t>DALARNAS LÄN</t>
        </is>
      </c>
      <c r="E436" t="inlineStr">
        <is>
          <t>ORSA</t>
        </is>
      </c>
      <c r="G436" t="n">
        <v>4</v>
      </c>
      <c r="H436" t="n">
        <v>0</v>
      </c>
      <c r="I436" t="n">
        <v>0</v>
      </c>
      <c r="J436" t="n">
        <v>0</v>
      </c>
      <c r="K436" t="n">
        <v>0</v>
      </c>
      <c r="L436" t="n">
        <v>0</v>
      </c>
      <c r="M436" t="n">
        <v>0</v>
      </c>
      <c r="N436" t="n">
        <v>0</v>
      </c>
      <c r="O436" t="n">
        <v>0</v>
      </c>
      <c r="P436" t="n">
        <v>0</v>
      </c>
      <c r="Q436" t="n">
        <v>0</v>
      </c>
      <c r="R436" s="2" t="inlineStr"/>
    </row>
    <row r="437" ht="15" customHeight="1">
      <c r="A437" t="inlineStr">
        <is>
          <t>A 9836-2022</t>
        </is>
      </c>
      <c r="B437" s="1" t="n">
        <v>44620</v>
      </c>
      <c r="C437" s="1" t="n">
        <v>45922</v>
      </c>
      <c r="D437" t="inlineStr">
        <is>
          <t>DALARNAS LÄN</t>
        </is>
      </c>
      <c r="E437" t="inlineStr">
        <is>
          <t>ORSA</t>
        </is>
      </c>
      <c r="G437" t="n">
        <v>1</v>
      </c>
      <c r="H437" t="n">
        <v>0</v>
      </c>
      <c r="I437" t="n">
        <v>0</v>
      </c>
      <c r="J437" t="n">
        <v>0</v>
      </c>
      <c r="K437" t="n">
        <v>0</v>
      </c>
      <c r="L437" t="n">
        <v>0</v>
      </c>
      <c r="M437" t="n">
        <v>0</v>
      </c>
      <c r="N437" t="n">
        <v>0</v>
      </c>
      <c r="O437" t="n">
        <v>0</v>
      </c>
      <c r="P437" t="n">
        <v>0</v>
      </c>
      <c r="Q437" t="n">
        <v>0</v>
      </c>
      <c r="R437" s="2" t="inlineStr"/>
    </row>
    <row r="438" ht="15" customHeight="1">
      <c r="A438" t="inlineStr">
        <is>
          <t>A 890-2024</t>
        </is>
      </c>
      <c r="B438" s="1" t="n">
        <v>45301.40552083333</v>
      </c>
      <c r="C438" s="1" t="n">
        <v>45922</v>
      </c>
      <c r="D438" t="inlineStr">
        <is>
          <t>DALARNAS LÄN</t>
        </is>
      </c>
      <c r="E438" t="inlineStr">
        <is>
          <t>ORSA</t>
        </is>
      </c>
      <c r="G438" t="n">
        <v>2.5</v>
      </c>
      <c r="H438" t="n">
        <v>0</v>
      </c>
      <c r="I438" t="n">
        <v>0</v>
      </c>
      <c r="J438" t="n">
        <v>0</v>
      </c>
      <c r="K438" t="n">
        <v>0</v>
      </c>
      <c r="L438" t="n">
        <v>0</v>
      </c>
      <c r="M438" t="n">
        <v>0</v>
      </c>
      <c r="N438" t="n">
        <v>0</v>
      </c>
      <c r="O438" t="n">
        <v>0</v>
      </c>
      <c r="P438" t="n">
        <v>0</v>
      </c>
      <c r="Q438" t="n">
        <v>0</v>
      </c>
      <c r="R438" s="2" t="inlineStr"/>
    </row>
    <row r="439" ht="15" customHeight="1">
      <c r="A439" t="inlineStr">
        <is>
          <t>A 61698-2022</t>
        </is>
      </c>
      <c r="B439" s="1" t="n">
        <v>44917.40038194445</v>
      </c>
      <c r="C439" s="1" t="n">
        <v>45922</v>
      </c>
      <c r="D439" t="inlineStr">
        <is>
          <t>DALARNAS LÄN</t>
        </is>
      </c>
      <c r="E439" t="inlineStr">
        <is>
          <t>ORSA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61034-2024</t>
        </is>
      </c>
      <c r="B440" s="1" t="n">
        <v>45645.46608796297</v>
      </c>
      <c r="C440" s="1" t="n">
        <v>45922</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20808-2025</t>
        </is>
      </c>
      <c r="B441" s="1" t="n">
        <v>45776</v>
      </c>
      <c r="C441" s="1" t="n">
        <v>45922</v>
      </c>
      <c r="D441" t="inlineStr">
        <is>
          <t>DALARNAS LÄN</t>
        </is>
      </c>
      <c r="E441" t="inlineStr">
        <is>
          <t>ORSA</t>
        </is>
      </c>
      <c r="F441" t="inlineStr">
        <is>
          <t>Bergvik skog väst AB</t>
        </is>
      </c>
      <c r="G441" t="n">
        <v>14.3</v>
      </c>
      <c r="H441" t="n">
        <v>0</v>
      </c>
      <c r="I441" t="n">
        <v>0</v>
      </c>
      <c r="J441" t="n">
        <v>0</v>
      </c>
      <c r="K441" t="n">
        <v>0</v>
      </c>
      <c r="L441" t="n">
        <v>0</v>
      </c>
      <c r="M441" t="n">
        <v>0</v>
      </c>
      <c r="N441" t="n">
        <v>0</v>
      </c>
      <c r="O441" t="n">
        <v>0</v>
      </c>
      <c r="P441" t="n">
        <v>0</v>
      </c>
      <c r="Q441" t="n">
        <v>0</v>
      </c>
      <c r="R441" s="2" t="inlineStr"/>
    </row>
    <row r="442" ht="15" customHeight="1">
      <c r="A442" t="inlineStr">
        <is>
          <t>A 12704-2022</t>
        </is>
      </c>
      <c r="B442" s="1" t="n">
        <v>44641</v>
      </c>
      <c r="C442" s="1" t="n">
        <v>45922</v>
      </c>
      <c r="D442" t="inlineStr">
        <is>
          <t>DALARNAS LÄN</t>
        </is>
      </c>
      <c r="E442" t="inlineStr">
        <is>
          <t>ORSA</t>
        </is>
      </c>
      <c r="G442" t="n">
        <v>2.4</v>
      </c>
      <c r="H442" t="n">
        <v>0</v>
      </c>
      <c r="I442" t="n">
        <v>0</v>
      </c>
      <c r="J442" t="n">
        <v>0</v>
      </c>
      <c r="K442" t="n">
        <v>0</v>
      </c>
      <c r="L442" t="n">
        <v>0</v>
      </c>
      <c r="M442" t="n">
        <v>0</v>
      </c>
      <c r="N442" t="n">
        <v>0</v>
      </c>
      <c r="O442" t="n">
        <v>0</v>
      </c>
      <c r="P442" t="n">
        <v>0</v>
      </c>
      <c r="Q442" t="n">
        <v>0</v>
      </c>
      <c r="R442" s="2" t="inlineStr"/>
    </row>
    <row r="443" ht="15" customHeight="1">
      <c r="A443" t="inlineStr">
        <is>
          <t>A 21747-2025</t>
        </is>
      </c>
      <c r="B443" s="1" t="n">
        <v>45783.60923611111</v>
      </c>
      <c r="C443" s="1" t="n">
        <v>45922</v>
      </c>
      <c r="D443" t="inlineStr">
        <is>
          <t>DALARNAS LÄN</t>
        </is>
      </c>
      <c r="E443" t="inlineStr">
        <is>
          <t>ORSA</t>
        </is>
      </c>
      <c r="G443" t="n">
        <v>1.2</v>
      </c>
      <c r="H443" t="n">
        <v>0</v>
      </c>
      <c r="I443" t="n">
        <v>0</v>
      </c>
      <c r="J443" t="n">
        <v>0</v>
      </c>
      <c r="K443" t="n">
        <v>0</v>
      </c>
      <c r="L443" t="n">
        <v>0</v>
      </c>
      <c r="M443" t="n">
        <v>0</v>
      </c>
      <c r="N443" t="n">
        <v>0</v>
      </c>
      <c r="O443" t="n">
        <v>0</v>
      </c>
      <c r="P443" t="n">
        <v>0</v>
      </c>
      <c r="Q443" t="n">
        <v>0</v>
      </c>
      <c r="R443" s="2" t="inlineStr"/>
    </row>
    <row r="444" ht="15" customHeight="1">
      <c r="A444" t="inlineStr">
        <is>
          <t>A 38611-2022</t>
        </is>
      </c>
      <c r="B444" s="1" t="n">
        <v>44813.60177083333</v>
      </c>
      <c r="C444" s="1" t="n">
        <v>45922</v>
      </c>
      <c r="D444" t="inlineStr">
        <is>
          <t>DALARNAS LÄN</t>
        </is>
      </c>
      <c r="E444" t="inlineStr">
        <is>
          <t>ORSA</t>
        </is>
      </c>
      <c r="G444" t="n">
        <v>3.6</v>
      </c>
      <c r="H444" t="n">
        <v>0</v>
      </c>
      <c r="I444" t="n">
        <v>0</v>
      </c>
      <c r="J444" t="n">
        <v>0</v>
      </c>
      <c r="K444" t="n">
        <v>0</v>
      </c>
      <c r="L444" t="n">
        <v>0</v>
      </c>
      <c r="M444" t="n">
        <v>0</v>
      </c>
      <c r="N444" t="n">
        <v>0</v>
      </c>
      <c r="O444" t="n">
        <v>0</v>
      </c>
      <c r="P444" t="n">
        <v>0</v>
      </c>
      <c r="Q444" t="n">
        <v>0</v>
      </c>
      <c r="R444" s="2" t="inlineStr"/>
    </row>
    <row r="445" ht="15" customHeight="1">
      <c r="A445" t="inlineStr">
        <is>
          <t>A 21376-2025</t>
        </is>
      </c>
      <c r="B445" s="1" t="n">
        <v>45782.45069444444</v>
      </c>
      <c r="C445" s="1" t="n">
        <v>45922</v>
      </c>
      <c r="D445" t="inlineStr">
        <is>
          <t>DALARNAS LÄN</t>
        </is>
      </c>
      <c r="E445" t="inlineStr">
        <is>
          <t>ORSA</t>
        </is>
      </c>
      <c r="G445" t="n">
        <v>4.6</v>
      </c>
      <c r="H445" t="n">
        <v>0</v>
      </c>
      <c r="I445" t="n">
        <v>0</v>
      </c>
      <c r="J445" t="n">
        <v>0</v>
      </c>
      <c r="K445" t="n">
        <v>0</v>
      </c>
      <c r="L445" t="n">
        <v>0</v>
      </c>
      <c r="M445" t="n">
        <v>0</v>
      </c>
      <c r="N445" t="n">
        <v>0</v>
      </c>
      <c r="O445" t="n">
        <v>0</v>
      </c>
      <c r="P445" t="n">
        <v>0</v>
      </c>
      <c r="Q445" t="n">
        <v>0</v>
      </c>
      <c r="R445" s="2" t="inlineStr"/>
    </row>
    <row r="446" ht="15" customHeight="1">
      <c r="A446" t="inlineStr">
        <is>
          <t>A 21335-2025</t>
        </is>
      </c>
      <c r="B446" s="1" t="n">
        <v>45782.37519675926</v>
      </c>
      <c r="C446" s="1" t="n">
        <v>45922</v>
      </c>
      <c r="D446" t="inlineStr">
        <is>
          <t>DALARNAS LÄN</t>
        </is>
      </c>
      <c r="E446" t="inlineStr">
        <is>
          <t>ORSA</t>
        </is>
      </c>
      <c r="F446" t="inlineStr">
        <is>
          <t>Bergvik skog väst AB</t>
        </is>
      </c>
      <c r="G446" t="n">
        <v>14.3</v>
      </c>
      <c r="H446" t="n">
        <v>0</v>
      </c>
      <c r="I446" t="n">
        <v>0</v>
      </c>
      <c r="J446" t="n">
        <v>0</v>
      </c>
      <c r="K446" t="n">
        <v>0</v>
      </c>
      <c r="L446" t="n">
        <v>0</v>
      </c>
      <c r="M446" t="n">
        <v>0</v>
      </c>
      <c r="N446" t="n">
        <v>0</v>
      </c>
      <c r="O446" t="n">
        <v>0</v>
      </c>
      <c r="P446" t="n">
        <v>0</v>
      </c>
      <c r="Q446" t="n">
        <v>0</v>
      </c>
      <c r="R446" s="2" t="inlineStr"/>
    </row>
    <row r="447" ht="15" customHeight="1">
      <c r="A447" t="inlineStr">
        <is>
          <t>A 10004-2023</t>
        </is>
      </c>
      <c r="B447" s="1" t="n">
        <v>44985.60604166667</v>
      </c>
      <c r="C447" s="1" t="n">
        <v>45922</v>
      </c>
      <c r="D447" t="inlineStr">
        <is>
          <t>DALARNAS LÄN</t>
        </is>
      </c>
      <c r="E447" t="inlineStr">
        <is>
          <t>ORSA</t>
        </is>
      </c>
      <c r="G447" t="n">
        <v>2.1</v>
      </c>
      <c r="H447" t="n">
        <v>0</v>
      </c>
      <c r="I447" t="n">
        <v>0</v>
      </c>
      <c r="J447" t="n">
        <v>0</v>
      </c>
      <c r="K447" t="n">
        <v>0</v>
      </c>
      <c r="L447" t="n">
        <v>0</v>
      </c>
      <c r="M447" t="n">
        <v>0</v>
      </c>
      <c r="N447" t="n">
        <v>0</v>
      </c>
      <c r="O447" t="n">
        <v>0</v>
      </c>
      <c r="P447" t="n">
        <v>0</v>
      </c>
      <c r="Q447" t="n">
        <v>0</v>
      </c>
      <c r="R447" s="2" t="inlineStr"/>
    </row>
    <row r="448" ht="15" customHeight="1">
      <c r="A448" t="inlineStr">
        <is>
          <t>A 879-2024</t>
        </is>
      </c>
      <c r="B448" s="1" t="n">
        <v>45301.36821759259</v>
      </c>
      <c r="C448" s="1" t="n">
        <v>45922</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41835-2024</t>
        </is>
      </c>
      <c r="B449" s="1" t="n">
        <v>45561.40888888889</v>
      </c>
      <c r="C449" s="1" t="n">
        <v>45922</v>
      </c>
      <c r="D449" t="inlineStr">
        <is>
          <t>DALARNAS LÄN</t>
        </is>
      </c>
      <c r="E449" t="inlineStr">
        <is>
          <t>ORSA</t>
        </is>
      </c>
      <c r="G449" t="n">
        <v>0.7</v>
      </c>
      <c r="H449" t="n">
        <v>0</v>
      </c>
      <c r="I449" t="n">
        <v>0</v>
      </c>
      <c r="J449" t="n">
        <v>0</v>
      </c>
      <c r="K449" t="n">
        <v>0</v>
      </c>
      <c r="L449" t="n">
        <v>0</v>
      </c>
      <c r="M449" t="n">
        <v>0</v>
      </c>
      <c r="N449" t="n">
        <v>0</v>
      </c>
      <c r="O449" t="n">
        <v>0</v>
      </c>
      <c r="P449" t="n">
        <v>0</v>
      </c>
      <c r="Q449" t="n">
        <v>0</v>
      </c>
      <c r="R449" s="2" t="inlineStr"/>
    </row>
    <row r="450" ht="15" customHeight="1">
      <c r="A450" t="inlineStr">
        <is>
          <t>A 4566-2025</t>
        </is>
      </c>
      <c r="B450" s="1" t="n">
        <v>45687.46100694445</v>
      </c>
      <c r="C450" s="1" t="n">
        <v>45922</v>
      </c>
      <c r="D450" t="inlineStr">
        <is>
          <t>DALARNAS LÄN</t>
        </is>
      </c>
      <c r="E450" t="inlineStr">
        <is>
          <t>ORSA</t>
        </is>
      </c>
      <c r="G450" t="n">
        <v>2.1</v>
      </c>
      <c r="H450" t="n">
        <v>0</v>
      </c>
      <c r="I450" t="n">
        <v>0</v>
      </c>
      <c r="J450" t="n">
        <v>0</v>
      </c>
      <c r="K450" t="n">
        <v>0</v>
      </c>
      <c r="L450" t="n">
        <v>0</v>
      </c>
      <c r="M450" t="n">
        <v>0</v>
      </c>
      <c r="N450" t="n">
        <v>0</v>
      </c>
      <c r="O450" t="n">
        <v>0</v>
      </c>
      <c r="P450" t="n">
        <v>0</v>
      </c>
      <c r="Q450" t="n">
        <v>0</v>
      </c>
      <c r="R450" s="2" t="inlineStr"/>
    </row>
    <row r="451" ht="15" customHeight="1">
      <c r="A451" t="inlineStr">
        <is>
          <t>A 29984-2025</t>
        </is>
      </c>
      <c r="B451" s="1" t="n">
        <v>45826.49581018519</v>
      </c>
      <c r="C451" s="1" t="n">
        <v>45922</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21949-2025</t>
        </is>
      </c>
      <c r="B452" s="1" t="n">
        <v>45784.59369212963</v>
      </c>
      <c r="C452" s="1" t="n">
        <v>45922</v>
      </c>
      <c r="D452" t="inlineStr">
        <is>
          <t>DALARNAS LÄN</t>
        </is>
      </c>
      <c r="E452" t="inlineStr">
        <is>
          <t>ORSA</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21165-2024</t>
        </is>
      </c>
      <c r="B453" s="1" t="n">
        <v>45440.45225694445</v>
      </c>
      <c r="C453" s="1" t="n">
        <v>45922</v>
      </c>
      <c r="D453" t="inlineStr">
        <is>
          <t>DALARNAS LÄN</t>
        </is>
      </c>
      <c r="E453" t="inlineStr">
        <is>
          <t>ORSA</t>
        </is>
      </c>
      <c r="F453" t="inlineStr">
        <is>
          <t>Bergvik skog öst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59411-2024</t>
        </is>
      </c>
      <c r="B454" s="1" t="n">
        <v>45638.39675925926</v>
      </c>
      <c r="C454" s="1" t="n">
        <v>45922</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59414-2024</t>
        </is>
      </c>
      <c r="B455" s="1" t="n">
        <v>45638.39965277778</v>
      </c>
      <c r="C455" s="1" t="n">
        <v>45922</v>
      </c>
      <c r="D455" t="inlineStr">
        <is>
          <t>DALARNAS LÄN</t>
        </is>
      </c>
      <c r="E455" t="inlineStr">
        <is>
          <t>ORSA</t>
        </is>
      </c>
      <c r="G455" t="n">
        <v>0.8</v>
      </c>
      <c r="H455" t="n">
        <v>0</v>
      </c>
      <c r="I455" t="n">
        <v>0</v>
      </c>
      <c r="J455" t="n">
        <v>0</v>
      </c>
      <c r="K455" t="n">
        <v>0</v>
      </c>
      <c r="L455" t="n">
        <v>0</v>
      </c>
      <c r="M455" t="n">
        <v>0</v>
      </c>
      <c r="N455" t="n">
        <v>0</v>
      </c>
      <c r="O455" t="n">
        <v>0</v>
      </c>
      <c r="P455" t="n">
        <v>0</v>
      </c>
      <c r="Q455" t="n">
        <v>0</v>
      </c>
      <c r="R455" s="2" t="inlineStr"/>
    </row>
    <row r="456" ht="15" customHeight="1">
      <c r="A456" t="inlineStr">
        <is>
          <t>A 22332-2025</t>
        </is>
      </c>
      <c r="B456" s="1" t="n">
        <v>45786.43436342593</v>
      </c>
      <c r="C456" s="1" t="n">
        <v>45922</v>
      </c>
      <c r="D456" t="inlineStr">
        <is>
          <t>DALARNAS LÄN</t>
        </is>
      </c>
      <c r="E456" t="inlineStr">
        <is>
          <t>ORSA</t>
        </is>
      </c>
      <c r="G456" t="n">
        <v>5.5</v>
      </c>
      <c r="H456" t="n">
        <v>0</v>
      </c>
      <c r="I456" t="n">
        <v>0</v>
      </c>
      <c r="J456" t="n">
        <v>0</v>
      </c>
      <c r="K456" t="n">
        <v>0</v>
      </c>
      <c r="L456" t="n">
        <v>0</v>
      </c>
      <c r="M456" t="n">
        <v>0</v>
      </c>
      <c r="N456" t="n">
        <v>0</v>
      </c>
      <c r="O456" t="n">
        <v>0</v>
      </c>
      <c r="P456" t="n">
        <v>0</v>
      </c>
      <c r="Q456" t="n">
        <v>0</v>
      </c>
      <c r="R456" s="2" t="inlineStr"/>
    </row>
    <row r="457" ht="15" customHeight="1">
      <c r="A457" t="inlineStr">
        <is>
          <t>A 67755-2020</t>
        </is>
      </c>
      <c r="B457" s="1" t="n">
        <v>44182</v>
      </c>
      <c r="C457" s="1" t="n">
        <v>45922</v>
      </c>
      <c r="D457" t="inlineStr">
        <is>
          <t>DALARNAS LÄN</t>
        </is>
      </c>
      <c r="E457" t="inlineStr">
        <is>
          <t>ORSA</t>
        </is>
      </c>
      <c r="G457" t="n">
        <v>7.5</v>
      </c>
      <c r="H457" t="n">
        <v>0</v>
      </c>
      <c r="I457" t="n">
        <v>0</v>
      </c>
      <c r="J457" t="n">
        <v>0</v>
      </c>
      <c r="K457" t="n">
        <v>0</v>
      </c>
      <c r="L457" t="n">
        <v>0</v>
      </c>
      <c r="M457" t="n">
        <v>0</v>
      </c>
      <c r="N457" t="n">
        <v>0</v>
      </c>
      <c r="O457" t="n">
        <v>0</v>
      </c>
      <c r="P457" t="n">
        <v>0</v>
      </c>
      <c r="Q457" t="n">
        <v>0</v>
      </c>
      <c r="R457" s="2" t="inlineStr"/>
    </row>
    <row r="458" ht="15" customHeight="1">
      <c r="A458" t="inlineStr">
        <is>
          <t>A 44904-2024</t>
        </is>
      </c>
      <c r="B458" s="1" t="n">
        <v>45575.38193287037</v>
      </c>
      <c r="C458" s="1" t="n">
        <v>45922</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22487-2025</t>
        </is>
      </c>
      <c r="B459" s="1" t="n">
        <v>45786.64663194444</v>
      </c>
      <c r="C459" s="1" t="n">
        <v>45922</v>
      </c>
      <c r="D459" t="inlineStr">
        <is>
          <t>DALARNAS LÄN</t>
        </is>
      </c>
      <c r="E459" t="inlineStr">
        <is>
          <t>ORSA</t>
        </is>
      </c>
      <c r="F459" t="inlineStr">
        <is>
          <t>Bergvik skog öst AB</t>
        </is>
      </c>
      <c r="G459" t="n">
        <v>17.8</v>
      </c>
      <c r="H459" t="n">
        <v>0</v>
      </c>
      <c r="I459" t="n">
        <v>0</v>
      </c>
      <c r="J459" t="n">
        <v>0</v>
      </c>
      <c r="K459" t="n">
        <v>0</v>
      </c>
      <c r="L459" t="n">
        <v>0</v>
      </c>
      <c r="M459" t="n">
        <v>0</v>
      </c>
      <c r="N459" t="n">
        <v>0</v>
      </c>
      <c r="O459" t="n">
        <v>0</v>
      </c>
      <c r="P459" t="n">
        <v>0</v>
      </c>
      <c r="Q459" t="n">
        <v>0</v>
      </c>
      <c r="R459" s="2" t="inlineStr"/>
    </row>
    <row r="460" ht="15" customHeight="1">
      <c r="A460" t="inlineStr">
        <is>
          <t>A 22491-2025</t>
        </is>
      </c>
      <c r="B460" s="1" t="n">
        <v>45786.65040509259</v>
      </c>
      <c r="C460" s="1" t="n">
        <v>45922</v>
      </c>
      <c r="D460" t="inlineStr">
        <is>
          <t>DALARNAS LÄN</t>
        </is>
      </c>
      <c r="E460" t="inlineStr">
        <is>
          <t>ORSA</t>
        </is>
      </c>
      <c r="F460" t="inlineStr">
        <is>
          <t>Bergvik skog öst AB</t>
        </is>
      </c>
      <c r="G460" t="n">
        <v>5.7</v>
      </c>
      <c r="H460" t="n">
        <v>0</v>
      </c>
      <c r="I460" t="n">
        <v>0</v>
      </c>
      <c r="J460" t="n">
        <v>0</v>
      </c>
      <c r="K460" t="n">
        <v>0</v>
      </c>
      <c r="L460" t="n">
        <v>0</v>
      </c>
      <c r="M460" t="n">
        <v>0</v>
      </c>
      <c r="N460" t="n">
        <v>0</v>
      </c>
      <c r="O460" t="n">
        <v>0</v>
      </c>
      <c r="P460" t="n">
        <v>0</v>
      </c>
      <c r="Q460" t="n">
        <v>0</v>
      </c>
      <c r="R460" s="2" t="inlineStr"/>
    </row>
    <row r="461" ht="15" customHeight="1">
      <c r="A461" t="inlineStr">
        <is>
          <t>A 612-2025</t>
        </is>
      </c>
      <c r="B461" s="1" t="n">
        <v>45660</v>
      </c>
      <c r="C461" s="1" t="n">
        <v>45922</v>
      </c>
      <c r="D461" t="inlineStr">
        <is>
          <t>DALARNAS LÄN</t>
        </is>
      </c>
      <c r="E461" t="inlineStr">
        <is>
          <t>ORSA</t>
        </is>
      </c>
      <c r="F461" t="inlineStr">
        <is>
          <t>Allmännings- och besparingsskogar</t>
        </is>
      </c>
      <c r="G461" t="n">
        <v>0.8</v>
      </c>
      <c r="H461" t="n">
        <v>0</v>
      </c>
      <c r="I461" t="n">
        <v>0</v>
      </c>
      <c r="J461" t="n">
        <v>0</v>
      </c>
      <c r="K461" t="n">
        <v>0</v>
      </c>
      <c r="L461" t="n">
        <v>0</v>
      </c>
      <c r="M461" t="n">
        <v>0</v>
      </c>
      <c r="N461" t="n">
        <v>0</v>
      </c>
      <c r="O461" t="n">
        <v>0</v>
      </c>
      <c r="P461" t="n">
        <v>0</v>
      </c>
      <c r="Q461" t="n">
        <v>0</v>
      </c>
      <c r="R461" s="2" t="inlineStr"/>
    </row>
    <row r="462" ht="15" customHeight="1">
      <c r="A462" t="inlineStr">
        <is>
          <t>A 55843-2023</t>
        </is>
      </c>
      <c r="B462" s="1" t="n">
        <v>45239</v>
      </c>
      <c r="C462" s="1" t="n">
        <v>45922</v>
      </c>
      <c r="D462" t="inlineStr">
        <is>
          <t>DALARNAS LÄN</t>
        </is>
      </c>
      <c r="E462" t="inlineStr">
        <is>
          <t>ORSA</t>
        </is>
      </c>
      <c r="G462" t="n">
        <v>2.4</v>
      </c>
      <c r="H462" t="n">
        <v>0</v>
      </c>
      <c r="I462" t="n">
        <v>0</v>
      </c>
      <c r="J462" t="n">
        <v>0</v>
      </c>
      <c r="K462" t="n">
        <v>0</v>
      </c>
      <c r="L462" t="n">
        <v>0</v>
      </c>
      <c r="M462" t="n">
        <v>0</v>
      </c>
      <c r="N462" t="n">
        <v>0</v>
      </c>
      <c r="O462" t="n">
        <v>0</v>
      </c>
      <c r="P462" t="n">
        <v>0</v>
      </c>
      <c r="Q462" t="n">
        <v>0</v>
      </c>
      <c r="R462" s="2" t="inlineStr"/>
    </row>
    <row r="463" ht="15" customHeight="1">
      <c r="A463" t="inlineStr">
        <is>
          <t>A 22482-2025</t>
        </is>
      </c>
      <c r="B463" s="1" t="n">
        <v>45786.63901620371</v>
      </c>
      <c r="C463" s="1" t="n">
        <v>45922</v>
      </c>
      <c r="D463" t="inlineStr">
        <is>
          <t>DALARNAS LÄN</t>
        </is>
      </c>
      <c r="E463" t="inlineStr">
        <is>
          <t>ORSA</t>
        </is>
      </c>
      <c r="F463" t="inlineStr">
        <is>
          <t>Bergvik skog öst AB</t>
        </is>
      </c>
      <c r="G463" t="n">
        <v>6.7</v>
      </c>
      <c r="H463" t="n">
        <v>0</v>
      </c>
      <c r="I463" t="n">
        <v>0</v>
      </c>
      <c r="J463" t="n">
        <v>0</v>
      </c>
      <c r="K463" t="n">
        <v>0</v>
      </c>
      <c r="L463" t="n">
        <v>0</v>
      </c>
      <c r="M463" t="n">
        <v>0</v>
      </c>
      <c r="N463" t="n">
        <v>0</v>
      </c>
      <c r="O463" t="n">
        <v>0</v>
      </c>
      <c r="P463" t="n">
        <v>0</v>
      </c>
      <c r="Q463" t="n">
        <v>0</v>
      </c>
      <c r="R463" s="2" t="inlineStr"/>
    </row>
    <row r="464" ht="15" customHeight="1">
      <c r="A464" t="inlineStr">
        <is>
          <t>A 4202-2025</t>
        </is>
      </c>
      <c r="B464" s="1" t="n">
        <v>45685.46236111111</v>
      </c>
      <c r="C464" s="1" t="n">
        <v>45922</v>
      </c>
      <c r="D464" t="inlineStr">
        <is>
          <t>DALARNAS LÄN</t>
        </is>
      </c>
      <c r="E464" t="inlineStr">
        <is>
          <t>ORSA</t>
        </is>
      </c>
      <c r="G464" t="n">
        <v>0.9</v>
      </c>
      <c r="H464" t="n">
        <v>0</v>
      </c>
      <c r="I464" t="n">
        <v>0</v>
      </c>
      <c r="J464" t="n">
        <v>0</v>
      </c>
      <c r="K464" t="n">
        <v>0</v>
      </c>
      <c r="L464" t="n">
        <v>0</v>
      </c>
      <c r="M464" t="n">
        <v>0</v>
      </c>
      <c r="N464" t="n">
        <v>0</v>
      </c>
      <c r="O464" t="n">
        <v>0</v>
      </c>
      <c r="P464" t="n">
        <v>0</v>
      </c>
      <c r="Q464" t="n">
        <v>0</v>
      </c>
      <c r="R464" s="2" t="inlineStr"/>
    </row>
    <row r="465" ht="15" customHeight="1">
      <c r="A465" t="inlineStr">
        <is>
          <t>A 4204-2025</t>
        </is>
      </c>
      <c r="B465" s="1" t="n">
        <v>45685.46390046296</v>
      </c>
      <c r="C465" s="1" t="n">
        <v>45922</v>
      </c>
      <c r="D465" t="inlineStr">
        <is>
          <t>DALARNAS LÄN</t>
        </is>
      </c>
      <c r="E465" t="inlineStr">
        <is>
          <t>ORSA</t>
        </is>
      </c>
      <c r="G465" t="n">
        <v>1.8</v>
      </c>
      <c r="H465" t="n">
        <v>0</v>
      </c>
      <c r="I465" t="n">
        <v>0</v>
      </c>
      <c r="J465" t="n">
        <v>0</v>
      </c>
      <c r="K465" t="n">
        <v>0</v>
      </c>
      <c r="L465" t="n">
        <v>0</v>
      </c>
      <c r="M465" t="n">
        <v>0</v>
      </c>
      <c r="N465" t="n">
        <v>0</v>
      </c>
      <c r="O465" t="n">
        <v>0</v>
      </c>
      <c r="P465" t="n">
        <v>0</v>
      </c>
      <c r="Q465" t="n">
        <v>0</v>
      </c>
      <c r="R465" s="2" t="inlineStr"/>
    </row>
    <row r="466" ht="15" customHeight="1">
      <c r="A466" t="inlineStr">
        <is>
          <t>A 23056-2025</t>
        </is>
      </c>
      <c r="B466" s="1" t="n">
        <v>45790.73627314815</v>
      </c>
      <c r="C466" s="1" t="n">
        <v>45922</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55538-2023</t>
        </is>
      </c>
      <c r="B467" s="1" t="n">
        <v>45238.5996875</v>
      </c>
      <c r="C467" s="1" t="n">
        <v>45922</v>
      </c>
      <c r="D467" t="inlineStr">
        <is>
          <t>DALARNAS LÄN</t>
        </is>
      </c>
      <c r="E467" t="inlineStr">
        <is>
          <t>ORSA</t>
        </is>
      </c>
      <c r="G467" t="n">
        <v>0.5</v>
      </c>
      <c r="H467" t="n">
        <v>0</v>
      </c>
      <c r="I467" t="n">
        <v>0</v>
      </c>
      <c r="J467" t="n">
        <v>0</v>
      </c>
      <c r="K467" t="n">
        <v>0</v>
      </c>
      <c r="L467" t="n">
        <v>0</v>
      </c>
      <c r="M467" t="n">
        <v>0</v>
      </c>
      <c r="N467" t="n">
        <v>0</v>
      </c>
      <c r="O467" t="n">
        <v>0</v>
      </c>
      <c r="P467" t="n">
        <v>0</v>
      </c>
      <c r="Q467" t="n">
        <v>0</v>
      </c>
      <c r="R467" s="2" t="inlineStr"/>
    </row>
    <row r="468" ht="15" customHeight="1">
      <c r="A468" t="inlineStr">
        <is>
          <t>A 23015-2025</t>
        </is>
      </c>
      <c r="B468" s="1" t="n">
        <v>45790.6377662037</v>
      </c>
      <c r="C468" s="1" t="n">
        <v>45922</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58549-2023</t>
        </is>
      </c>
      <c r="B469" s="1" t="n">
        <v>45251.42627314815</v>
      </c>
      <c r="C469" s="1" t="n">
        <v>45922</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23053-2025</t>
        </is>
      </c>
      <c r="B470" s="1" t="n">
        <v>45790.73072916667</v>
      </c>
      <c r="C470" s="1" t="n">
        <v>45922</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62289-2023</t>
        </is>
      </c>
      <c r="B471" s="1" t="n">
        <v>45266</v>
      </c>
      <c r="C471" s="1" t="n">
        <v>45922</v>
      </c>
      <c r="D471" t="inlineStr">
        <is>
          <t>DALARNAS LÄN</t>
        </is>
      </c>
      <c r="E471" t="inlineStr">
        <is>
          <t>ORSA</t>
        </is>
      </c>
      <c r="G471" t="n">
        <v>1.9</v>
      </c>
      <c r="H471" t="n">
        <v>0</v>
      </c>
      <c r="I471" t="n">
        <v>0</v>
      </c>
      <c r="J471" t="n">
        <v>0</v>
      </c>
      <c r="K471" t="n">
        <v>0</v>
      </c>
      <c r="L471" t="n">
        <v>0</v>
      </c>
      <c r="M471" t="n">
        <v>0</v>
      </c>
      <c r="N471" t="n">
        <v>0</v>
      </c>
      <c r="O471" t="n">
        <v>0</v>
      </c>
      <c r="P471" t="n">
        <v>0</v>
      </c>
      <c r="Q471" t="n">
        <v>0</v>
      </c>
      <c r="R471" s="2" t="inlineStr"/>
    </row>
    <row r="472" ht="15" customHeight="1">
      <c r="A472" t="inlineStr">
        <is>
          <t>A 23055-2025</t>
        </is>
      </c>
      <c r="B472" s="1" t="n">
        <v>45790.73469907408</v>
      </c>
      <c r="C472" s="1" t="n">
        <v>45922</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23057-2025</t>
        </is>
      </c>
      <c r="B473" s="1" t="n">
        <v>45790.73820601852</v>
      </c>
      <c r="C473" s="1" t="n">
        <v>45922</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5302-2024</t>
        </is>
      </c>
      <c r="B474" s="1" t="n">
        <v>45331.38175925926</v>
      </c>
      <c r="C474" s="1" t="n">
        <v>45922</v>
      </c>
      <c r="D474" t="inlineStr">
        <is>
          <t>DALARNAS LÄN</t>
        </is>
      </c>
      <c r="E474" t="inlineStr">
        <is>
          <t>ORSA</t>
        </is>
      </c>
      <c r="G474" t="n">
        <v>0.8</v>
      </c>
      <c r="H474" t="n">
        <v>0</v>
      </c>
      <c r="I474" t="n">
        <v>0</v>
      </c>
      <c r="J474" t="n">
        <v>0</v>
      </c>
      <c r="K474" t="n">
        <v>0</v>
      </c>
      <c r="L474" t="n">
        <v>0</v>
      </c>
      <c r="M474" t="n">
        <v>0</v>
      </c>
      <c r="N474" t="n">
        <v>0</v>
      </c>
      <c r="O474" t="n">
        <v>0</v>
      </c>
      <c r="P474" t="n">
        <v>0</v>
      </c>
      <c r="Q474" t="n">
        <v>0</v>
      </c>
      <c r="R474" s="2" t="inlineStr"/>
    </row>
    <row r="475" ht="15" customHeight="1">
      <c r="A475" t="inlineStr">
        <is>
          <t>A 23740-2025</t>
        </is>
      </c>
      <c r="B475" s="1" t="n">
        <v>45793.43210648148</v>
      </c>
      <c r="C475" s="1" t="n">
        <v>45922</v>
      </c>
      <c r="D475" t="inlineStr">
        <is>
          <t>DALARNAS LÄN</t>
        </is>
      </c>
      <c r="E475" t="inlineStr">
        <is>
          <t>ORSA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23875-2025</t>
        </is>
      </c>
      <c r="B476" s="1" t="n">
        <v>45793.68313657407</v>
      </c>
      <c r="C476" s="1" t="n">
        <v>45922</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5434-2025</t>
        </is>
      </c>
      <c r="B477" s="1" t="n">
        <v>45692</v>
      </c>
      <c r="C477" s="1" t="n">
        <v>45922</v>
      </c>
      <c r="D477" t="inlineStr">
        <is>
          <t>DALARNAS LÄN</t>
        </is>
      </c>
      <c r="E477" t="inlineStr">
        <is>
          <t>ORSA</t>
        </is>
      </c>
      <c r="G477" t="n">
        <v>6.9</v>
      </c>
      <c r="H477" t="n">
        <v>0</v>
      </c>
      <c r="I477" t="n">
        <v>0</v>
      </c>
      <c r="J477" t="n">
        <v>0</v>
      </c>
      <c r="K477" t="n">
        <v>0</v>
      </c>
      <c r="L477" t="n">
        <v>0</v>
      </c>
      <c r="M477" t="n">
        <v>0</v>
      </c>
      <c r="N477" t="n">
        <v>0</v>
      </c>
      <c r="O477" t="n">
        <v>0</v>
      </c>
      <c r="P477" t="n">
        <v>0</v>
      </c>
      <c r="Q477" t="n">
        <v>0</v>
      </c>
      <c r="R477" s="2" t="inlineStr"/>
    </row>
    <row r="478" ht="15" customHeight="1">
      <c r="A478" t="inlineStr">
        <is>
          <t>A 70332-2021</t>
        </is>
      </c>
      <c r="B478" s="1" t="n">
        <v>44536</v>
      </c>
      <c r="C478" s="1" t="n">
        <v>45922</v>
      </c>
      <c r="D478" t="inlineStr">
        <is>
          <t>DALARNAS LÄN</t>
        </is>
      </c>
      <c r="E478" t="inlineStr">
        <is>
          <t>ORSA</t>
        </is>
      </c>
      <c r="G478" t="n">
        <v>7.2</v>
      </c>
      <c r="H478" t="n">
        <v>0</v>
      </c>
      <c r="I478" t="n">
        <v>0</v>
      </c>
      <c r="J478" t="n">
        <v>0</v>
      </c>
      <c r="K478" t="n">
        <v>0</v>
      </c>
      <c r="L478" t="n">
        <v>0</v>
      </c>
      <c r="M478" t="n">
        <v>0</v>
      </c>
      <c r="N478" t="n">
        <v>0</v>
      </c>
      <c r="O478" t="n">
        <v>0</v>
      </c>
      <c r="P478" t="n">
        <v>0</v>
      </c>
      <c r="Q478" t="n">
        <v>0</v>
      </c>
      <c r="R478" s="2" t="inlineStr"/>
    </row>
    <row r="479" ht="15" customHeight="1">
      <c r="A479" t="inlineStr">
        <is>
          <t>A 1785-2024</t>
        </is>
      </c>
      <c r="B479" s="1" t="n">
        <v>45307</v>
      </c>
      <c r="C479" s="1" t="n">
        <v>45922</v>
      </c>
      <c r="D479" t="inlineStr">
        <is>
          <t>DALARNAS LÄN</t>
        </is>
      </c>
      <c r="E479" t="inlineStr">
        <is>
          <t>ORSA</t>
        </is>
      </c>
      <c r="G479" t="n">
        <v>42.8</v>
      </c>
      <c r="H479" t="n">
        <v>0</v>
      </c>
      <c r="I479" t="n">
        <v>0</v>
      </c>
      <c r="J479" t="n">
        <v>0</v>
      </c>
      <c r="K479" t="n">
        <v>0</v>
      </c>
      <c r="L479" t="n">
        <v>0</v>
      </c>
      <c r="M479" t="n">
        <v>0</v>
      </c>
      <c r="N479" t="n">
        <v>0</v>
      </c>
      <c r="O479" t="n">
        <v>0</v>
      </c>
      <c r="P479" t="n">
        <v>0</v>
      </c>
      <c r="Q479" t="n">
        <v>0</v>
      </c>
      <c r="R479" s="2" t="inlineStr"/>
    </row>
    <row r="480" ht="15" customHeight="1">
      <c r="A480" t="inlineStr">
        <is>
          <t>A 24248-2025</t>
        </is>
      </c>
      <c r="B480" s="1" t="n">
        <v>45797.40101851852</v>
      </c>
      <c r="C480" s="1" t="n">
        <v>45922</v>
      </c>
      <c r="D480" t="inlineStr">
        <is>
          <t>DALARNAS LÄN</t>
        </is>
      </c>
      <c r="E480" t="inlineStr">
        <is>
          <t>ORSA</t>
        </is>
      </c>
      <c r="F480" t="inlineStr">
        <is>
          <t>Bergvik skog öst AB</t>
        </is>
      </c>
      <c r="G480" t="n">
        <v>4.3</v>
      </c>
      <c r="H480" t="n">
        <v>0</v>
      </c>
      <c r="I480" t="n">
        <v>0</v>
      </c>
      <c r="J480" t="n">
        <v>0</v>
      </c>
      <c r="K480" t="n">
        <v>0</v>
      </c>
      <c r="L480" t="n">
        <v>0</v>
      </c>
      <c r="M480" t="n">
        <v>0</v>
      </c>
      <c r="N480" t="n">
        <v>0</v>
      </c>
      <c r="O480" t="n">
        <v>0</v>
      </c>
      <c r="P480" t="n">
        <v>0</v>
      </c>
      <c r="Q480" t="n">
        <v>0</v>
      </c>
      <c r="R480" s="2" t="inlineStr"/>
    </row>
    <row r="481" ht="15" customHeight="1">
      <c r="A481" t="inlineStr">
        <is>
          <t>A 53703-2024</t>
        </is>
      </c>
      <c r="B481" s="1" t="n">
        <v>45615.3990162037</v>
      </c>
      <c r="C481" s="1" t="n">
        <v>45922</v>
      </c>
      <c r="D481" t="inlineStr">
        <is>
          <t>DALARNAS LÄN</t>
        </is>
      </c>
      <c r="E481" t="inlineStr">
        <is>
          <t>ORSA</t>
        </is>
      </c>
      <c r="G481" t="n">
        <v>1.4</v>
      </c>
      <c r="H481" t="n">
        <v>0</v>
      </c>
      <c r="I481" t="n">
        <v>0</v>
      </c>
      <c r="J481" t="n">
        <v>0</v>
      </c>
      <c r="K481" t="n">
        <v>0</v>
      </c>
      <c r="L481" t="n">
        <v>0</v>
      </c>
      <c r="M481" t="n">
        <v>0</v>
      </c>
      <c r="N481" t="n">
        <v>0</v>
      </c>
      <c r="O481" t="n">
        <v>0</v>
      </c>
      <c r="P481" t="n">
        <v>0</v>
      </c>
      <c r="Q481" t="n">
        <v>0</v>
      </c>
      <c r="R481" s="2" t="inlineStr"/>
    </row>
    <row r="482">
      <c r="A482" t="inlineStr">
        <is>
          <t>A 24235-2025</t>
        </is>
      </c>
      <c r="B482" s="1" t="n">
        <v>45797.38252314815</v>
      </c>
      <c r="C482" s="1" t="n">
        <v>45922</v>
      </c>
      <c r="D482" t="inlineStr">
        <is>
          <t>DALARNAS LÄN</t>
        </is>
      </c>
      <c r="E482" t="inlineStr">
        <is>
          <t>ORSA</t>
        </is>
      </c>
      <c r="G482" t="n">
        <v>3.1</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2025-09-22T20:23:45Z</dcterms:created>
  <dcterms:modified xmlns:dcterms="http://purl.org/dc/terms/" xmlns:xsi="http://www.w3.org/2001/XMLSchema-instance" xsi:type="dcterms:W3CDTF">2025-09-22T20:23:45Z</dcterms:modified>
</cp:coreProperties>
</file>