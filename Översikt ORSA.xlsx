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45803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45803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45803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45803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45803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45803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45803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45803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45803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45803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45803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45803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45803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45803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45803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45803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45803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45803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45803</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45803</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45803</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45803</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45803</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U24">
        <f>HYPERLINK("https://klasma.github.io/Logging_2034/knärot/A 7507-2025 karta knärot.png",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45803</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45803</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45803</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45803</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45803</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45803</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45803</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45803</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45803</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45803</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45803</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45803</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45803</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45803</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45803</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45803</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45803</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45803</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45803</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45803</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45803</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45803</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45803</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45803</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7618-2025</t>
        </is>
      </c>
      <c r="B49" s="1" t="n">
        <v>45705</v>
      </c>
      <c r="C49" s="1" t="n">
        <v>45803</v>
      </c>
      <c r="D49" t="inlineStr">
        <is>
          <t>DALARNAS LÄN</t>
        </is>
      </c>
      <c r="E49" t="inlineStr">
        <is>
          <t>ORSA</t>
        </is>
      </c>
      <c r="G49" t="n">
        <v>0.9</v>
      </c>
      <c r="H49" t="n">
        <v>2</v>
      </c>
      <c r="I49" t="n">
        <v>0</v>
      </c>
      <c r="J49" t="n">
        <v>3</v>
      </c>
      <c r="K49" t="n">
        <v>1</v>
      </c>
      <c r="L49" t="n">
        <v>0</v>
      </c>
      <c r="M49" t="n">
        <v>0</v>
      </c>
      <c r="N49" t="n">
        <v>0</v>
      </c>
      <c r="O49" t="n">
        <v>4</v>
      </c>
      <c r="P49" t="n">
        <v>1</v>
      </c>
      <c r="Q49" t="n">
        <v>4</v>
      </c>
      <c r="R49" s="2" t="inlineStr">
        <is>
          <t>Knärot
Garnlav
Kolflarnlav
Talltita</t>
        </is>
      </c>
      <c r="S49">
        <f>HYPERLINK("https://klasma.github.io/Logging_2034/artfynd/A 7618-2025 artfynd.xlsx", "A 7618-2025")</f>
        <v/>
      </c>
      <c r="T49">
        <f>HYPERLINK("https://klasma.github.io/Logging_2034/kartor/A 7618-2025 karta.png", "A 7618-2025")</f>
        <v/>
      </c>
      <c r="U49">
        <f>HYPERLINK("https://klasma.github.io/Logging_2034/knärot/A 7618-2025 karta knärot.png", "A 7618-2025")</f>
        <v/>
      </c>
      <c r="V49">
        <f>HYPERLINK("https://klasma.github.io/Logging_2034/klagomål/A 7618-2025 FSC-klagomål.docx", "A 7618-2025")</f>
        <v/>
      </c>
      <c r="W49">
        <f>HYPERLINK("https://klasma.github.io/Logging_2034/klagomålsmail/A 7618-2025 FSC-klagomål mail.docx", "A 7618-2025")</f>
        <v/>
      </c>
      <c r="X49">
        <f>HYPERLINK("https://klasma.github.io/Logging_2034/tillsyn/A 7618-2025 tillsynsbegäran.docx", "A 7618-2025")</f>
        <v/>
      </c>
      <c r="Y49">
        <f>HYPERLINK("https://klasma.github.io/Logging_2034/tillsynsmail/A 7618-2025 tillsynsbegäran mail.docx", "A 7618-2025")</f>
        <v/>
      </c>
      <c r="Z49">
        <f>HYPERLINK("https://klasma.github.io/Logging_2034/fåglar/A 7618-2025 prioriterade fågelarter.docx", "A 7618-2025")</f>
        <v/>
      </c>
    </row>
    <row r="50" ht="15" customHeight="1">
      <c r="A50" t="inlineStr">
        <is>
          <t>A 7619-2025</t>
        </is>
      </c>
      <c r="B50" s="1" t="n">
        <v>45705</v>
      </c>
      <c r="C50" s="1" t="n">
        <v>45803</v>
      </c>
      <c r="D50" t="inlineStr">
        <is>
          <t>DALARNAS LÄN</t>
        </is>
      </c>
      <c r="E50" t="inlineStr">
        <is>
          <t>ORSA</t>
        </is>
      </c>
      <c r="G50" t="n">
        <v>5.4</v>
      </c>
      <c r="H50" t="n">
        <v>2</v>
      </c>
      <c r="I50" t="n">
        <v>0</v>
      </c>
      <c r="J50" t="n">
        <v>4</v>
      </c>
      <c r="K50" t="n">
        <v>0</v>
      </c>
      <c r="L50" t="n">
        <v>0</v>
      </c>
      <c r="M50" t="n">
        <v>0</v>
      </c>
      <c r="N50" t="n">
        <v>0</v>
      </c>
      <c r="O50" t="n">
        <v>4</v>
      </c>
      <c r="P50" t="n">
        <v>0</v>
      </c>
      <c r="Q50" t="n">
        <v>4</v>
      </c>
      <c r="R50" s="2" t="inlineStr">
        <is>
          <t>Garnlav
Skogshare
Spillkråka
Tretåig hackspett</t>
        </is>
      </c>
      <c r="S50">
        <f>HYPERLINK("https://klasma.github.io/Logging_2034/artfynd/A 7619-2025 artfynd.xlsx", "A 7619-2025")</f>
        <v/>
      </c>
      <c r="T50">
        <f>HYPERLINK("https://klasma.github.io/Logging_2034/kartor/A 7619-2025 karta.png", "A 7619-2025")</f>
        <v/>
      </c>
      <c r="V50">
        <f>HYPERLINK("https://klasma.github.io/Logging_2034/klagomål/A 7619-2025 FSC-klagomål.docx", "A 7619-2025")</f>
        <v/>
      </c>
      <c r="W50">
        <f>HYPERLINK("https://klasma.github.io/Logging_2034/klagomålsmail/A 7619-2025 FSC-klagomål mail.docx", "A 7619-2025")</f>
        <v/>
      </c>
      <c r="X50">
        <f>HYPERLINK("https://klasma.github.io/Logging_2034/tillsyn/A 7619-2025 tillsynsbegäran.docx", "A 7619-2025")</f>
        <v/>
      </c>
      <c r="Y50">
        <f>HYPERLINK("https://klasma.github.io/Logging_2034/tillsynsmail/A 7619-2025 tillsynsbegäran mail.docx", "A 7619-2025")</f>
        <v/>
      </c>
      <c r="Z50">
        <f>HYPERLINK("https://klasma.github.io/Logging_2034/fåglar/A 7619-2025 prioriterade fågelarter.docx", "A 7619-2025")</f>
        <v/>
      </c>
    </row>
    <row r="51" ht="15" customHeight="1">
      <c r="A51" t="inlineStr">
        <is>
          <t>A 42651-2020</t>
        </is>
      </c>
      <c r="B51" s="1" t="n">
        <v>44077</v>
      </c>
      <c r="C51" s="1" t="n">
        <v>45803</v>
      </c>
      <c r="D51" t="inlineStr">
        <is>
          <t>DALARNAS LÄN</t>
        </is>
      </c>
      <c r="E51" t="inlineStr">
        <is>
          <t>ORSA</t>
        </is>
      </c>
      <c r="G51" t="n">
        <v>3.9</v>
      </c>
      <c r="H51" t="n">
        <v>0</v>
      </c>
      <c r="I51" t="n">
        <v>0</v>
      </c>
      <c r="J51" t="n">
        <v>3</v>
      </c>
      <c r="K51" t="n">
        <v>0</v>
      </c>
      <c r="L51" t="n">
        <v>0</v>
      </c>
      <c r="M51" t="n">
        <v>0</v>
      </c>
      <c r="N51" t="n">
        <v>0</v>
      </c>
      <c r="O51" t="n">
        <v>3</v>
      </c>
      <c r="P51" t="n">
        <v>0</v>
      </c>
      <c r="Q51" t="n">
        <v>3</v>
      </c>
      <c r="R51" s="2" t="inlineStr">
        <is>
          <t>Skrovellav
Tallticka
Vedflamlav</t>
        </is>
      </c>
      <c r="S51">
        <f>HYPERLINK("https://klasma.github.io/Logging_2034/artfynd/A 42651-2020 artfynd.xlsx", "A 42651-2020")</f>
        <v/>
      </c>
      <c r="T51">
        <f>HYPERLINK("https://klasma.github.io/Logging_2034/kartor/A 42651-2020 karta.png", "A 42651-2020")</f>
        <v/>
      </c>
      <c r="V51">
        <f>HYPERLINK("https://klasma.github.io/Logging_2034/klagomål/A 42651-2020 FSC-klagomål.docx", "A 42651-2020")</f>
        <v/>
      </c>
      <c r="W51">
        <f>HYPERLINK("https://klasma.github.io/Logging_2034/klagomålsmail/A 42651-2020 FSC-klagomål mail.docx", "A 42651-2020")</f>
        <v/>
      </c>
      <c r="X51">
        <f>HYPERLINK("https://klasma.github.io/Logging_2034/tillsyn/A 42651-2020 tillsynsbegäran.docx", "A 42651-2020")</f>
        <v/>
      </c>
      <c r="Y51">
        <f>HYPERLINK("https://klasma.github.io/Logging_2034/tillsynsmail/A 42651-2020 tillsynsbegäran mail.docx", "A 42651-2020")</f>
        <v/>
      </c>
    </row>
    <row r="52" ht="15" customHeight="1">
      <c r="A52" t="inlineStr">
        <is>
          <t>A 30654-2024</t>
        </is>
      </c>
      <c r="B52" s="1" t="n">
        <v>45495</v>
      </c>
      <c r="C52" s="1" t="n">
        <v>45803</v>
      </c>
      <c r="D52" t="inlineStr">
        <is>
          <t>DALARNAS LÄN</t>
        </is>
      </c>
      <c r="E52" t="inlineStr">
        <is>
          <t>ORSA</t>
        </is>
      </c>
      <c r="F52" t="inlineStr">
        <is>
          <t>Allmännings- och besparingsskogar</t>
        </is>
      </c>
      <c r="G52" t="n">
        <v>1.9</v>
      </c>
      <c r="H52" t="n">
        <v>1</v>
      </c>
      <c r="I52" t="n">
        <v>0</v>
      </c>
      <c r="J52" t="n">
        <v>2</v>
      </c>
      <c r="K52" t="n">
        <v>1</v>
      </c>
      <c r="L52" t="n">
        <v>0</v>
      </c>
      <c r="M52" t="n">
        <v>0</v>
      </c>
      <c r="N52" t="n">
        <v>0</v>
      </c>
      <c r="O52" t="n">
        <v>3</v>
      </c>
      <c r="P52" t="n">
        <v>1</v>
      </c>
      <c r="Q52" t="n">
        <v>3</v>
      </c>
      <c r="R52" s="2" t="inlineStr">
        <is>
          <t>Knärot
Garnlav
Granticka</t>
        </is>
      </c>
      <c r="S52">
        <f>HYPERLINK("https://klasma.github.io/Logging_2034/artfynd/A 30654-2024 artfynd.xlsx", "A 30654-2024")</f>
        <v/>
      </c>
      <c r="T52">
        <f>HYPERLINK("https://klasma.github.io/Logging_2034/kartor/A 30654-2024 karta.png", "A 30654-2024")</f>
        <v/>
      </c>
      <c r="U52">
        <f>HYPERLINK("https://klasma.github.io/Logging_2034/knärot/A 30654-2024 karta knärot.png", "A 30654-2024")</f>
        <v/>
      </c>
      <c r="V52">
        <f>HYPERLINK("https://klasma.github.io/Logging_2034/klagomål/A 30654-2024 FSC-klagomål.docx", "A 30654-2024")</f>
        <v/>
      </c>
      <c r="W52">
        <f>HYPERLINK("https://klasma.github.io/Logging_2034/klagomålsmail/A 30654-2024 FSC-klagomål mail.docx", "A 30654-2024")</f>
        <v/>
      </c>
      <c r="X52">
        <f>HYPERLINK("https://klasma.github.io/Logging_2034/tillsyn/A 30654-2024 tillsynsbegäran.docx", "A 30654-2024")</f>
        <v/>
      </c>
      <c r="Y52">
        <f>HYPERLINK("https://klasma.github.io/Logging_2034/tillsynsmail/A 30654-2024 tillsynsbegäran mail.docx", "A 30654-2024")</f>
        <v/>
      </c>
    </row>
    <row r="53" ht="15" customHeight="1">
      <c r="A53" t="inlineStr">
        <is>
          <t>A 22650-2025</t>
        </is>
      </c>
      <c r="B53" s="1" t="n">
        <v>45789</v>
      </c>
      <c r="C53" s="1" t="n">
        <v>45803</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45803</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45803</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45803</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45803</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45803</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45803</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45803</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45803</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45803</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45803</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45803</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45803</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45803</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45803</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45803</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45803</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45803</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45803</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45803</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45803</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45803</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45803</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45803</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45803</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45803</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45803</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45803</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45803</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45803</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45803</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45803</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45803</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45803</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45803</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45803</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45803</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45803</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45803</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45803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45803</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45803</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45803</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45803</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45803</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45803</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45803</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45803</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45803</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45803</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45803</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45803</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45803</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45803</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45803</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45803</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45803</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45803</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45803</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45803</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45803</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45803</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45803</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45803</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45803</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45803</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45803</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45803</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45803</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45803</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45803</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45803</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45803</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45803</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45803</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45803</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45803</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45803</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45803</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45803</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45803</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45803</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45803</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45803</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45803</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45803</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45803</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45803</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45803</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45803</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45803</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45803</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45803</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45803</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45803</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45803</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45803</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45803</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45803</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45803</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45803</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45803</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45803</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45803</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45803</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45803</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45803</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45803</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45803</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45803</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45803</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45803</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45803</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45803</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45803</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45803</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45803</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45803</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45803</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45803</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45803</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45803</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45803</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45803</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45803</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45803</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45803</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45803</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45803</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45803</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45803</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45803</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45803</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45803</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45803</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45803</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45803</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45803</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45803</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45803</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45803</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45803</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45803</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45803</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45803</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45803</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45803</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45803</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45803</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45803</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45803</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45803</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45803</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45803</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45803</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45803</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45803</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45803</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45803</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45803</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45803</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45803</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45803</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45803</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45803</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45803</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45803</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45803</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45803</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45803</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45803</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45803</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45803</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45803</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45803</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45803</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45803</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45803</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45803</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45803</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45803</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45803</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45803</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45803</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45803</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45803</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45803</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45803</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45803</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45803</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45803</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45803</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45803</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45803</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45803</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45803</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45803</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45803</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45803</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45803</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45803</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45803</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45803</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45803</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45803</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45803</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45803</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45803</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45803</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45803</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45803</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45803</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45803</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45803</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45803</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45803</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45803</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45803</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45803</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45803</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45803</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45803</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45803</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45803</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45803</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45803</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45803</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45803</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45803</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45803</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45803</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45803</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45803</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45803</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45803</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45803</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45803</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45803</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45803</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45803</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45803</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45803</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45803</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45803</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45803</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45803</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45803</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45803</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45803</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45803</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45803</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45803</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45803</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45803</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45803</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45803</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45803</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45803</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45803</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45803</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45803</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45803</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45803</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45803</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45803</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45803</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45803</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45803</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45803</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45803</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45803</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45803</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45803</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45803</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45803</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45803</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45803</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45803</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45803</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45803</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45803</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45803</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45803</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45803</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45803</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45803</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45803</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45803</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45803</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45803</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45803</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45803</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45803</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45803</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45803</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45803</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45803</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45803</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45803</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45803</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45803</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45803</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45803</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45803</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45803</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45803</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45803</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45803</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45803</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45803</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45803</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45803</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45803</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45803</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45803</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45803</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45803</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45803</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45803</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45803</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45803</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45803</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45803</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45803</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45803</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45803</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45803</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45803</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45803</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45803</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45803</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45803</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45803</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45803</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45803</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45803</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45803</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45803</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45803</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45803</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45803</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45803</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45803</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45803</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45803</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45803</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45803</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45803</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45803</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45803</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45803</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45803</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45803</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45803</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45803</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45803</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45803</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45803</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45803</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45803</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45803</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45803</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45803</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45803</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45803</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45803</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45803</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45803</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45803</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45803</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45803</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45803</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45803</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45803</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45803</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45803</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45803</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45803</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45803</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45803</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45803</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45803</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45803</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45803</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45803</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45803</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45803</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45803</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45803</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45803</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45803</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45803</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45803</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45803</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45803</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45803</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45803</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45803</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45803</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45803</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45803</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45803</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45803</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45803</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45803</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45803</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45803</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45803</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45803</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45803</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45803</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45803</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45803</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45803</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45803</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45803</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45803</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45803</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45803</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45803</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45803</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45803</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45803</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45803</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45803</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45803</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45803</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45803</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45803</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45803</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45803</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45803</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45803</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45803</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45803</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45803</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45803</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45803</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45803</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45803</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45803</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45803</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45803</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45803</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45803</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45803</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45803</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45803</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45803</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45803</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45803</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45803</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45803</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45803</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45803</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45803</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45803</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45803</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45803</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45803</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45803</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45803</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45803</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45803</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45803</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45803</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45803</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45803</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45803</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45803</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45803</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45803</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45803</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45803</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45803</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45803</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45803</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45803</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45803</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45803</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45803</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45803</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45803</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45803</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45803</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45803</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45803</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45803</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45803</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45803</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45803</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45803</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45803</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45803</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45803</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45803</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45803</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45803</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45803</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45803</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45803</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45803</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45803</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45803</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45803</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45803</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45803</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45803</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45803</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45803</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45803</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45803</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45803</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45803</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45803</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45803</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45803</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45803</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45803</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45803</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45803</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45803</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45803</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45803</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45803</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45803</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45803</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45803</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45803</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45803</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45803</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45803</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45803</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45803</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45803</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45803</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45803</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45803</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45803</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45803</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45803</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45803</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45803</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45803</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45803</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45803</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45803</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45803</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45803</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45803</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45803</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45803</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45803</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45803</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45803</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45803</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45803</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45803</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45803</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45803</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45803</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45803</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45803</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45803</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45803</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45803</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45803</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45803</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45803</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45803</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45803</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45803</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45803</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45803</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45803</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45803</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45803</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45803</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45803</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45803</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45803</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45803</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45803</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45803</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45803</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45803</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45803</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45803</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45803</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45803</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45803</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45803</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45803</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45803</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45803</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45803</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45803</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45803</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45803</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45803</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45803</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45803</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45803</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45803</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45803</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45803</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45803</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45803</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45803</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45803</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45803</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45803</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45803</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45803</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45803</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45803</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45803</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45803</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45803</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45803</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45803</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45803</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45803</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45803</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45803</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45803</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45803</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45803</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45803</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45803</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45803</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45803</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45803</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45803</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45803</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45803</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45803</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45803</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45803</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45803</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45803</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45803</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45803</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45803</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45803</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45803</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45803</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45803</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45803</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45803</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45803</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45803</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45803</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45803</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45803</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45803</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45803</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45803</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45803</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45803</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45803</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45803</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45803</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45803</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45803</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45803</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45803</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45803</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45803</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45803</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45803</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45803</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45803</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45803</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45803</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45803</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45803</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45803</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45803</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45803</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45803</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45803</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45803</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45803</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45803</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45803</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45803</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45803</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45803</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45803</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45803</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45803</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45803</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45803</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45803</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45803</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45803</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45803</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45803</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45803</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45803</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45803</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45803</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45803</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45803</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45803</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45803</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45803</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45803</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45803</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45803</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45803</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45803</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45803</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45803</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45803</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45803</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45803</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45803</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45803</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45803</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45803</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45803</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45803</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45803</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45803</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45803</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45803</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45803</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45803</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45803</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45803</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45803</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45803</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45803</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45803</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45803</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45803</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45803</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45803</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45803</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45803</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45803</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45803</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45803</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45803</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45803</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21335-2025</t>
        </is>
      </c>
      <c r="B800" s="1" t="n">
        <v>45782</v>
      </c>
      <c r="C800" s="1" t="n">
        <v>45803</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45803</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21376-2025</t>
        </is>
      </c>
      <c r="B802" s="1" t="n">
        <v>45782</v>
      </c>
      <c r="C802" s="1" t="n">
        <v>45803</v>
      </c>
      <c r="D802" t="inlineStr">
        <is>
          <t>DALARNAS LÄN</t>
        </is>
      </c>
      <c r="E802" t="inlineStr">
        <is>
          <t>ORSA</t>
        </is>
      </c>
      <c r="G802" t="n">
        <v>4.6</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45803</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45803</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45803</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45803</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45803</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45803</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22487-2025</t>
        </is>
      </c>
      <c r="B809" s="1" t="n">
        <v>45786</v>
      </c>
      <c r="C809" s="1" t="n">
        <v>45803</v>
      </c>
      <c r="D809" t="inlineStr">
        <is>
          <t>DALARNAS LÄN</t>
        </is>
      </c>
      <c r="E809" t="inlineStr">
        <is>
          <t>ORSA</t>
        </is>
      </c>
      <c r="F809" t="inlineStr">
        <is>
          <t>Bergvik skog öst AB</t>
        </is>
      </c>
      <c r="G809" t="n">
        <v>17.8</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45803</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45803</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23053-2025</t>
        </is>
      </c>
      <c r="B812" s="1" t="n">
        <v>45790</v>
      </c>
      <c r="C812" s="1" t="n">
        <v>45803</v>
      </c>
      <c r="D812" t="inlineStr">
        <is>
          <t>DALARNAS LÄN</t>
        </is>
      </c>
      <c r="E812" t="inlineStr">
        <is>
          <t>ORSA</t>
        </is>
      </c>
      <c r="G812" t="n">
        <v>3.3</v>
      </c>
      <c r="H812" t="n">
        <v>0</v>
      </c>
      <c r="I812" t="n">
        <v>0</v>
      </c>
      <c r="J812" t="n">
        <v>0</v>
      </c>
      <c r="K812" t="n">
        <v>0</v>
      </c>
      <c r="L812" t="n">
        <v>0</v>
      </c>
      <c r="M812" t="n">
        <v>0</v>
      </c>
      <c r="N812" t="n">
        <v>0</v>
      </c>
      <c r="O812" t="n">
        <v>0</v>
      </c>
      <c r="P812" t="n">
        <v>0</v>
      </c>
      <c r="Q812" t="n">
        <v>0</v>
      </c>
      <c r="R812" s="2" t="inlineStr"/>
    </row>
    <row r="813" ht="15" customHeight="1">
      <c r="A813" t="inlineStr">
        <is>
          <t>A 23015-2025</t>
        </is>
      </c>
      <c r="B813" s="1" t="n">
        <v>45790</v>
      </c>
      <c r="C813" s="1" t="n">
        <v>45803</v>
      </c>
      <c r="D813" t="inlineStr">
        <is>
          <t>DALARNAS LÄN</t>
        </is>
      </c>
      <c r="E813" t="inlineStr">
        <is>
          <t>ORSA</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45803</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23057-2025</t>
        </is>
      </c>
      <c r="B815" s="1" t="n">
        <v>45790</v>
      </c>
      <c r="C815" s="1" t="n">
        <v>45803</v>
      </c>
      <c r="D815" t="inlineStr">
        <is>
          <t>DALARNAS LÄN</t>
        </is>
      </c>
      <c r="E815" t="inlineStr">
        <is>
          <t>ORSA</t>
        </is>
      </c>
      <c r="G815" t="n">
        <v>0.8</v>
      </c>
      <c r="H815" t="n">
        <v>0</v>
      </c>
      <c r="I815" t="n">
        <v>0</v>
      </c>
      <c r="J815" t="n">
        <v>0</v>
      </c>
      <c r="K815" t="n">
        <v>0</v>
      </c>
      <c r="L815" t="n">
        <v>0</v>
      </c>
      <c r="M815" t="n">
        <v>0</v>
      </c>
      <c r="N815" t="n">
        <v>0</v>
      </c>
      <c r="O815" t="n">
        <v>0</v>
      </c>
      <c r="P815" t="n">
        <v>0</v>
      </c>
      <c r="Q815" t="n">
        <v>0</v>
      </c>
      <c r="R815" s="2" t="inlineStr"/>
    </row>
    <row r="816" ht="15" customHeight="1">
      <c r="A816" t="inlineStr">
        <is>
          <t>A 23055-2025</t>
        </is>
      </c>
      <c r="B816" s="1" t="n">
        <v>45790</v>
      </c>
      <c r="C816" s="1" t="n">
        <v>45803</v>
      </c>
      <c r="D816" t="inlineStr">
        <is>
          <t>DALARNAS LÄN</t>
        </is>
      </c>
      <c r="E816" t="inlineStr">
        <is>
          <t>ORSA</t>
        </is>
      </c>
      <c r="G816" t="n">
        <v>0.9</v>
      </c>
      <c r="H816" t="n">
        <v>0</v>
      </c>
      <c r="I816" t="n">
        <v>0</v>
      </c>
      <c r="J816" t="n">
        <v>0</v>
      </c>
      <c r="K816" t="n">
        <v>0</v>
      </c>
      <c r="L816" t="n">
        <v>0</v>
      </c>
      <c r="M816" t="n">
        <v>0</v>
      </c>
      <c r="N816" t="n">
        <v>0</v>
      </c>
      <c r="O816" t="n">
        <v>0</v>
      </c>
      <c r="P816" t="n">
        <v>0</v>
      </c>
      <c r="Q816" t="n">
        <v>0</v>
      </c>
      <c r="R816" s="2" t="inlineStr"/>
    </row>
    <row r="817" ht="15" customHeight="1">
      <c r="A817" t="inlineStr">
        <is>
          <t>A 23740-2025</t>
        </is>
      </c>
      <c r="B817" s="1" t="n">
        <v>45793</v>
      </c>
      <c r="C817" s="1" t="n">
        <v>45803</v>
      </c>
      <c r="D817" t="inlineStr">
        <is>
          <t>DALARNAS LÄN</t>
        </is>
      </c>
      <c r="E817" t="inlineStr">
        <is>
          <t>ORSA</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45803</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45803</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45803</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45803</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c r="A822" t="inlineStr">
        <is>
          <t>A 25211-2025</t>
        </is>
      </c>
      <c r="B822" s="1" t="n">
        <v>45800</v>
      </c>
      <c r="C822" s="1" t="n">
        <v>45803</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2025-05-26T17:38:05Z</dcterms:created>
  <dcterms:modified xmlns:dcterms="http://purl.org/dc/terms/" xmlns:xsi="http://www.w3.org/2001/XMLSchema-instance" xsi:type="dcterms:W3CDTF">2025-05-26T17:38:06Z</dcterms:modified>
</cp:coreProperties>
</file>