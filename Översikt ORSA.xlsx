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46046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46046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46046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46046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46046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46046</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46046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46046</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46046</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46046</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46046</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46046</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46046</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46046</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46046</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46046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46046</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46046</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46046</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46046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46046</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46046</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46046</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46046</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46046</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8107-2024</t>
        </is>
      </c>
      <c r="B29" s="1" t="n">
        <v>45351</v>
      </c>
      <c r="C29" s="1" t="n">
        <v>46046</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883-2026</t>
        </is>
      </c>
      <c r="B30" s="1" t="n">
        <v>46030.44587962963</v>
      </c>
      <c r="C30" s="1" t="n">
        <v>46046</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33841-2023</t>
        </is>
      </c>
      <c r="B31" s="1" t="n">
        <v>45133.66758101852</v>
      </c>
      <c r="C31" s="1" t="n">
        <v>46046</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50728-2022</t>
        </is>
      </c>
      <c r="B32" s="1" t="n">
        <v>44867</v>
      </c>
      <c r="C32" s="1" t="n">
        <v>46046</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49516-2025</t>
        </is>
      </c>
      <c r="B33" s="1" t="n">
        <v>45939.38631944444</v>
      </c>
      <c r="C33" s="1" t="n">
        <v>46046</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22172-2025</t>
        </is>
      </c>
      <c r="B34" s="1" t="n">
        <v>45785</v>
      </c>
      <c r="C34" s="1" t="n">
        <v>46046</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7618-2025</t>
        </is>
      </c>
      <c r="B35" s="1" t="n">
        <v>45705</v>
      </c>
      <c r="C35" s="1" t="n">
        <v>46046</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33366-2023</t>
        </is>
      </c>
      <c r="B36" s="1" t="n">
        <v>45128</v>
      </c>
      <c r="C36" s="1" t="n">
        <v>46046</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35570-2024</t>
        </is>
      </c>
      <c r="B37" s="1" t="n">
        <v>45531</v>
      </c>
      <c r="C37" s="1" t="n">
        <v>46046</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62761-2025</t>
        </is>
      </c>
      <c r="B38" s="1" t="n">
        <v>46008.59363425926</v>
      </c>
      <c r="C38" s="1" t="n">
        <v>46046</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7619-2025</t>
        </is>
      </c>
      <c r="B39" s="1" t="n">
        <v>45705</v>
      </c>
      <c r="C39" s="1" t="n">
        <v>46046</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46046</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22701-2025</t>
        </is>
      </c>
      <c r="B41" s="1" t="n">
        <v>45787</v>
      </c>
      <c r="C41" s="1" t="n">
        <v>46046</v>
      </c>
      <c r="D41" t="inlineStr">
        <is>
          <t>DALARNAS LÄN</t>
        </is>
      </c>
      <c r="E41" t="inlineStr">
        <is>
          <t>ORSA</t>
        </is>
      </c>
      <c r="G41" t="n">
        <v>23.2</v>
      </c>
      <c r="H41" t="n">
        <v>2</v>
      </c>
      <c r="I41" t="n">
        <v>1</v>
      </c>
      <c r="J41" t="n">
        <v>3</v>
      </c>
      <c r="K41" t="n">
        <v>0</v>
      </c>
      <c r="L41" t="n">
        <v>0</v>
      </c>
      <c r="M41" t="n">
        <v>0</v>
      </c>
      <c r="N41" t="n">
        <v>0</v>
      </c>
      <c r="O41" t="n">
        <v>3</v>
      </c>
      <c r="P41" t="n">
        <v>0</v>
      </c>
      <c r="Q41" t="n">
        <v>4</v>
      </c>
      <c r="R41" s="2" t="inlineStr">
        <is>
          <t>Garnlav
Spillkråka
Tretåig hackspett
Mindre märgborre</t>
        </is>
      </c>
      <c r="S41">
        <f>HYPERLINK("https://klasma.github.io/Logging_2034/artfynd/A 22701-2025 artfynd.xlsx", "A 22701-2025")</f>
        <v/>
      </c>
      <c r="T41">
        <f>HYPERLINK("https://klasma.github.io/Logging_2034/kartor/A 22701-2025 karta.png", "A 22701-2025")</f>
        <v/>
      </c>
      <c r="V41">
        <f>HYPERLINK("https://klasma.github.io/Logging_2034/klagomål/A 22701-2025 FSC-klagomål.docx", "A 22701-2025")</f>
        <v/>
      </c>
      <c r="W41">
        <f>HYPERLINK("https://klasma.github.io/Logging_2034/klagomålsmail/A 22701-2025 FSC-klagomål mail.docx", "A 22701-2025")</f>
        <v/>
      </c>
      <c r="X41">
        <f>HYPERLINK("https://klasma.github.io/Logging_2034/tillsyn/A 22701-2025 tillsynsbegäran.docx", "A 22701-2025")</f>
        <v/>
      </c>
      <c r="Y41">
        <f>HYPERLINK("https://klasma.github.io/Logging_2034/tillsynsmail/A 22701-2025 tillsynsbegäran mail.docx", "A 22701-2025")</f>
        <v/>
      </c>
      <c r="Z41">
        <f>HYPERLINK("https://klasma.github.io/Logging_2034/fåglar/A 22701-2025 prioriterade fågelarter.docx", "A 22701-2025")</f>
        <v/>
      </c>
    </row>
    <row r="42" ht="15" customHeight="1">
      <c r="A42" t="inlineStr">
        <is>
          <t>A 29844-2025</t>
        </is>
      </c>
      <c r="B42" s="1" t="n">
        <v>45826</v>
      </c>
      <c r="C42" s="1" t="n">
        <v>46046</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46046</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46046</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51070-2025</t>
        </is>
      </c>
      <c r="B45" s="1" t="n">
        <v>45947.45513888889</v>
      </c>
      <c r="C45" s="1" t="n">
        <v>46046</v>
      </c>
      <c r="D45" t="inlineStr">
        <is>
          <t>DALARNAS LÄN</t>
        </is>
      </c>
      <c r="E45" t="inlineStr">
        <is>
          <t>ORSA</t>
        </is>
      </c>
      <c r="G45" t="n">
        <v>2.8</v>
      </c>
      <c r="H45" t="n">
        <v>1</v>
      </c>
      <c r="I45" t="n">
        <v>0</v>
      </c>
      <c r="J45" t="n">
        <v>2</v>
      </c>
      <c r="K45" t="n">
        <v>0</v>
      </c>
      <c r="L45" t="n">
        <v>0</v>
      </c>
      <c r="M45" t="n">
        <v>0</v>
      </c>
      <c r="N45" t="n">
        <v>0</v>
      </c>
      <c r="O45" t="n">
        <v>2</v>
      </c>
      <c r="P45" t="n">
        <v>0</v>
      </c>
      <c r="Q45" t="n">
        <v>3</v>
      </c>
      <c r="R45" s="2" t="inlineStr">
        <is>
          <t>Garnlav
Lunglav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61163-2025</t>
        </is>
      </c>
      <c r="B46" s="1" t="n">
        <v>46000.55846064815</v>
      </c>
      <c r="C46" s="1" t="n">
        <v>46046</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31161-2025</t>
        </is>
      </c>
      <c r="B47" s="1" t="n">
        <v>45832</v>
      </c>
      <c r="C47" s="1" t="n">
        <v>46046</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6029-2024</t>
        </is>
      </c>
      <c r="B48" s="1" t="n">
        <v>45336</v>
      </c>
      <c r="C48" s="1" t="n">
        <v>46046</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63810-2021</t>
        </is>
      </c>
      <c r="B49" s="1" t="n">
        <v>44509</v>
      </c>
      <c r="C49" s="1" t="n">
        <v>46046</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48343-2022</t>
        </is>
      </c>
      <c r="B50" s="1" t="n">
        <v>44858</v>
      </c>
      <c r="C50" s="1" t="n">
        <v>46046</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31164-2025</t>
        </is>
      </c>
      <c r="B51" s="1" t="n">
        <v>45832</v>
      </c>
      <c r="C51" s="1" t="n">
        <v>46046</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30493-2024</t>
        </is>
      </c>
      <c r="B52" s="1" t="n">
        <v>45492.34811342593</v>
      </c>
      <c r="C52" s="1" t="n">
        <v>46046</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37887-2023</t>
        </is>
      </c>
      <c r="B53" s="1" t="n">
        <v>45160</v>
      </c>
      <c r="C53" s="1" t="n">
        <v>46046</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15914-2021</t>
        </is>
      </c>
      <c r="B54" s="1" t="n">
        <v>44287</v>
      </c>
      <c r="C54" s="1" t="n">
        <v>46046</v>
      </c>
      <c r="D54" t="inlineStr">
        <is>
          <t>DALARNAS LÄN</t>
        </is>
      </c>
      <c r="E54" t="inlineStr">
        <is>
          <t>ORSA</t>
        </is>
      </c>
      <c r="G54" t="n">
        <v>1.3</v>
      </c>
      <c r="H54" t="n">
        <v>1</v>
      </c>
      <c r="I54" t="n">
        <v>0</v>
      </c>
      <c r="J54" t="n">
        <v>0</v>
      </c>
      <c r="K54" t="n">
        <v>1</v>
      </c>
      <c r="L54" t="n">
        <v>0</v>
      </c>
      <c r="M54" t="n">
        <v>0</v>
      </c>
      <c r="N54" t="n">
        <v>0</v>
      </c>
      <c r="O54" t="n">
        <v>1</v>
      </c>
      <c r="P54" t="n">
        <v>1</v>
      </c>
      <c r="Q54" t="n">
        <v>1</v>
      </c>
      <c r="R54" s="2" t="inlineStr">
        <is>
          <t>Lappuggla</t>
        </is>
      </c>
      <c r="S54">
        <f>HYPERLINK("https://klasma.github.io/Logging_2034/artfynd/A 15914-2021 artfynd.xlsx", "A 15914-2021")</f>
        <v/>
      </c>
      <c r="T54">
        <f>HYPERLINK("https://klasma.github.io/Logging_2034/kartor/A 15914-2021 karta.png", "A 15914-2021")</f>
        <v/>
      </c>
      <c r="V54">
        <f>HYPERLINK("https://klasma.github.io/Logging_2034/klagomål/A 15914-2021 FSC-klagomål.docx", "A 15914-2021")</f>
        <v/>
      </c>
      <c r="W54">
        <f>HYPERLINK("https://klasma.github.io/Logging_2034/klagomålsmail/A 15914-2021 FSC-klagomål mail.docx", "A 15914-2021")</f>
        <v/>
      </c>
      <c r="X54">
        <f>HYPERLINK("https://klasma.github.io/Logging_2034/tillsyn/A 15914-2021 tillsynsbegäran.docx", "A 15914-2021")</f>
        <v/>
      </c>
      <c r="Y54">
        <f>HYPERLINK("https://klasma.github.io/Logging_2034/tillsynsmail/A 15914-2021 tillsynsbegäran mail.docx", "A 15914-2021")</f>
        <v/>
      </c>
      <c r="Z54">
        <f>HYPERLINK("https://klasma.github.io/Logging_2034/fåglar/A 15914-2021 prioriterade fågelarter.docx", "A 15914-2021")</f>
        <v/>
      </c>
    </row>
    <row r="55" ht="15" customHeight="1">
      <c r="A55" t="inlineStr">
        <is>
          <t>A 41553-2025</t>
        </is>
      </c>
      <c r="B55" s="1" t="n">
        <v>45901.59108796297</v>
      </c>
      <c r="C55" s="1" t="n">
        <v>46046</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46046</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46046</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46046</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46046</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53707-2025</t>
        </is>
      </c>
      <c r="B60" s="1" t="n">
        <v>45960.60822916667</v>
      </c>
      <c r="C60" s="1" t="n">
        <v>46046</v>
      </c>
      <c r="D60" t="inlineStr">
        <is>
          <t>DALARNAS LÄN</t>
        </is>
      </c>
      <c r="E60" t="inlineStr">
        <is>
          <t>ORSA</t>
        </is>
      </c>
      <c r="G60" t="n">
        <v>2.1</v>
      </c>
      <c r="H60" t="n">
        <v>0</v>
      </c>
      <c r="I60" t="n">
        <v>1</v>
      </c>
      <c r="J60" t="n">
        <v>0</v>
      </c>
      <c r="K60" t="n">
        <v>0</v>
      </c>
      <c r="L60" t="n">
        <v>0</v>
      </c>
      <c r="M60" t="n">
        <v>0</v>
      </c>
      <c r="N60" t="n">
        <v>0</v>
      </c>
      <c r="O60" t="n">
        <v>0</v>
      </c>
      <c r="P60" t="n">
        <v>0</v>
      </c>
      <c r="Q60" t="n">
        <v>1</v>
      </c>
      <c r="R60" s="2" t="inlineStr">
        <is>
          <t>Björksplintborre</t>
        </is>
      </c>
      <c r="S60">
        <f>HYPERLINK("https://klasma.github.io/Logging_2034/artfynd/A 53707-2025 artfynd.xlsx", "A 53707-2025")</f>
        <v/>
      </c>
      <c r="T60">
        <f>HYPERLINK("https://klasma.github.io/Logging_2034/kartor/A 53707-2025 karta.png", "A 53707-2025")</f>
        <v/>
      </c>
      <c r="V60">
        <f>HYPERLINK("https://klasma.github.io/Logging_2034/klagomål/A 53707-2025 FSC-klagomål.docx", "A 53707-2025")</f>
        <v/>
      </c>
      <c r="W60">
        <f>HYPERLINK("https://klasma.github.io/Logging_2034/klagomålsmail/A 53707-2025 FSC-klagomål mail.docx", "A 53707-2025")</f>
        <v/>
      </c>
      <c r="X60">
        <f>HYPERLINK("https://klasma.github.io/Logging_2034/tillsyn/A 53707-2025 tillsynsbegäran.docx", "A 53707-2025")</f>
        <v/>
      </c>
      <c r="Y60">
        <f>HYPERLINK("https://klasma.github.io/Logging_2034/tillsynsmail/A 53707-2025 tillsynsbegäran mail.docx", "A 53707-2025")</f>
        <v/>
      </c>
    </row>
    <row r="61" ht="15" customHeight="1">
      <c r="A61" t="inlineStr">
        <is>
          <t>A 54687-2025</t>
        </is>
      </c>
      <c r="B61" s="1" t="n">
        <v>45966.45024305556</v>
      </c>
      <c r="C61" s="1" t="n">
        <v>46046</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62837-2025</t>
        </is>
      </c>
      <c r="B62" s="1" t="n">
        <v>46008.68391203704</v>
      </c>
      <c r="C62" s="1" t="n">
        <v>46046</v>
      </c>
      <c r="D62" t="inlineStr">
        <is>
          <t>DALARNAS LÄN</t>
        </is>
      </c>
      <c r="E62" t="inlineStr">
        <is>
          <t>ORSA</t>
        </is>
      </c>
      <c r="G62" t="n">
        <v>6.8</v>
      </c>
      <c r="H62" t="n">
        <v>1</v>
      </c>
      <c r="I62" t="n">
        <v>0</v>
      </c>
      <c r="J62" t="n">
        <v>1</v>
      </c>
      <c r="K62" t="n">
        <v>0</v>
      </c>
      <c r="L62" t="n">
        <v>0</v>
      </c>
      <c r="M62" t="n">
        <v>0</v>
      </c>
      <c r="N62" t="n">
        <v>0</v>
      </c>
      <c r="O62" t="n">
        <v>1</v>
      </c>
      <c r="P62" t="n">
        <v>0</v>
      </c>
      <c r="Q62" t="n">
        <v>1</v>
      </c>
      <c r="R62" s="2" t="inlineStr">
        <is>
          <t>Järpe</t>
        </is>
      </c>
      <c r="S62">
        <f>HYPERLINK("https://klasma.github.io/Logging_2034/artfynd/A 62837-2025 artfynd.xlsx", "A 62837-2025")</f>
        <v/>
      </c>
      <c r="T62">
        <f>HYPERLINK("https://klasma.github.io/Logging_2034/kartor/A 62837-2025 karta.png", "A 62837-2025")</f>
        <v/>
      </c>
      <c r="V62">
        <f>HYPERLINK("https://klasma.github.io/Logging_2034/klagomål/A 62837-2025 FSC-klagomål.docx", "A 62837-2025")</f>
        <v/>
      </c>
      <c r="W62">
        <f>HYPERLINK("https://klasma.github.io/Logging_2034/klagomålsmail/A 62837-2025 FSC-klagomål mail.docx", "A 62837-2025")</f>
        <v/>
      </c>
      <c r="X62">
        <f>HYPERLINK("https://klasma.github.io/Logging_2034/tillsyn/A 62837-2025 tillsynsbegäran.docx", "A 62837-2025")</f>
        <v/>
      </c>
      <c r="Y62">
        <f>HYPERLINK("https://klasma.github.io/Logging_2034/tillsynsmail/A 62837-2025 tillsynsbegäran mail.docx", "A 62837-2025")</f>
        <v/>
      </c>
      <c r="Z62">
        <f>HYPERLINK("https://klasma.github.io/Logging_2034/fåglar/A 62837-2025 prioriterade fågelarter.docx", "A 62837-2025")</f>
        <v/>
      </c>
    </row>
    <row r="63" ht="15" customHeight="1">
      <c r="A63" t="inlineStr">
        <is>
          <t>A 3143-2026</t>
        </is>
      </c>
      <c r="B63" s="1" t="n">
        <v>46041.40795138889</v>
      </c>
      <c r="C63" s="1" t="n">
        <v>46046</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62009-2025</t>
        </is>
      </c>
      <c r="B64" s="1" t="n">
        <v>46003.67215277778</v>
      </c>
      <c r="C64" s="1" t="n">
        <v>46046</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34713-2021</t>
        </is>
      </c>
      <c r="B65" s="1" t="n">
        <v>44382</v>
      </c>
      <c r="C65" s="1" t="n">
        <v>46046</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32931-2022</t>
        </is>
      </c>
      <c r="B66" s="1" t="n">
        <v>44784.65543981481</v>
      </c>
      <c r="C66" s="1" t="n">
        <v>46046</v>
      </c>
      <c r="D66" t="inlineStr">
        <is>
          <t>DALARNAS LÄN</t>
        </is>
      </c>
      <c r="E66" t="inlineStr">
        <is>
          <t>ORSA</t>
        </is>
      </c>
      <c r="F66" t="inlineStr">
        <is>
          <t>Bergvik skog öst AB</t>
        </is>
      </c>
      <c r="G66" t="n">
        <v>0.5</v>
      </c>
      <c r="H66" t="n">
        <v>0</v>
      </c>
      <c r="I66" t="n">
        <v>0</v>
      </c>
      <c r="J66" t="n">
        <v>0</v>
      </c>
      <c r="K66" t="n">
        <v>0</v>
      </c>
      <c r="L66" t="n">
        <v>0</v>
      </c>
      <c r="M66" t="n">
        <v>0</v>
      </c>
      <c r="N66" t="n">
        <v>0</v>
      </c>
      <c r="O66" t="n">
        <v>0</v>
      </c>
      <c r="P66" t="n">
        <v>0</v>
      </c>
      <c r="Q66" t="n">
        <v>0</v>
      </c>
      <c r="R66" s="2" t="inlineStr"/>
    </row>
    <row r="67" ht="15" customHeight="1">
      <c r="A67" t="inlineStr">
        <is>
          <t>A 10405-2022</t>
        </is>
      </c>
      <c r="B67" s="1" t="n">
        <v>44623</v>
      </c>
      <c r="C67" s="1" t="n">
        <v>46046</v>
      </c>
      <c r="D67" t="inlineStr">
        <is>
          <t>DALARNAS LÄN</t>
        </is>
      </c>
      <c r="E67" t="inlineStr">
        <is>
          <t>ORSA</t>
        </is>
      </c>
      <c r="G67" t="n">
        <v>1.4</v>
      </c>
      <c r="H67" t="n">
        <v>0</v>
      </c>
      <c r="I67" t="n">
        <v>0</v>
      </c>
      <c r="J67" t="n">
        <v>0</v>
      </c>
      <c r="K67" t="n">
        <v>0</v>
      </c>
      <c r="L67" t="n">
        <v>0</v>
      </c>
      <c r="M67" t="n">
        <v>0</v>
      </c>
      <c r="N67" t="n">
        <v>0</v>
      </c>
      <c r="O67" t="n">
        <v>0</v>
      </c>
      <c r="P67" t="n">
        <v>0</v>
      </c>
      <c r="Q67" t="n">
        <v>0</v>
      </c>
      <c r="R67" s="2" t="inlineStr"/>
    </row>
    <row r="68" ht="15" customHeight="1">
      <c r="A68" t="inlineStr">
        <is>
          <t>A 49004-2021</t>
        </is>
      </c>
      <c r="B68" s="1" t="n">
        <v>44453.46967592592</v>
      </c>
      <c r="C68" s="1" t="n">
        <v>46046</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4108-2021</t>
        </is>
      </c>
      <c r="B69" s="1" t="n">
        <v>44222</v>
      </c>
      <c r="C69" s="1" t="n">
        <v>46046</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28259-2021</t>
        </is>
      </c>
      <c r="B70" s="1" t="n">
        <v>44355</v>
      </c>
      <c r="C70" s="1" t="n">
        <v>46046</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39920-2021</t>
        </is>
      </c>
      <c r="B71" s="1" t="n">
        <v>44417</v>
      </c>
      <c r="C71" s="1" t="n">
        <v>46046</v>
      </c>
      <c r="D71" t="inlineStr">
        <is>
          <t>DALARNAS LÄN</t>
        </is>
      </c>
      <c r="E71" t="inlineStr">
        <is>
          <t>ORSA</t>
        </is>
      </c>
      <c r="F71" t="inlineStr">
        <is>
          <t>Kyrkan</t>
        </is>
      </c>
      <c r="G71" t="n">
        <v>2.2</v>
      </c>
      <c r="H71" t="n">
        <v>0</v>
      </c>
      <c r="I71" t="n">
        <v>0</v>
      </c>
      <c r="J71" t="n">
        <v>0</v>
      </c>
      <c r="K71" t="n">
        <v>0</v>
      </c>
      <c r="L71" t="n">
        <v>0</v>
      </c>
      <c r="M71" t="n">
        <v>0</v>
      </c>
      <c r="N71" t="n">
        <v>0</v>
      </c>
      <c r="O71" t="n">
        <v>0</v>
      </c>
      <c r="P71" t="n">
        <v>0</v>
      </c>
      <c r="Q71" t="n">
        <v>0</v>
      </c>
      <c r="R71" s="2" t="inlineStr"/>
    </row>
    <row r="72" ht="15" customHeight="1">
      <c r="A72" t="inlineStr">
        <is>
          <t>A 29874-2021</t>
        </is>
      </c>
      <c r="B72" s="1" t="n">
        <v>44362.68665509259</v>
      </c>
      <c r="C72" s="1" t="n">
        <v>46046</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10262-2022</t>
        </is>
      </c>
      <c r="B73" s="1" t="n">
        <v>44622.6487037037</v>
      </c>
      <c r="C73" s="1" t="n">
        <v>46046</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27498-2022</t>
        </is>
      </c>
      <c r="B74" s="1" t="n">
        <v>44742.62271990741</v>
      </c>
      <c r="C74" s="1" t="n">
        <v>46046</v>
      </c>
      <c r="D74" t="inlineStr">
        <is>
          <t>DALARNAS LÄN</t>
        </is>
      </c>
      <c r="E74" t="inlineStr">
        <is>
          <t>ORSA</t>
        </is>
      </c>
      <c r="G74" t="n">
        <v>5.7</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46046</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12622-2021</t>
        </is>
      </c>
      <c r="B76" s="1" t="n">
        <v>44270.45215277778</v>
      </c>
      <c r="C76" s="1" t="n">
        <v>46046</v>
      </c>
      <c r="D76" t="inlineStr">
        <is>
          <t>DALARNAS LÄN</t>
        </is>
      </c>
      <c r="E76" t="inlineStr">
        <is>
          <t>ORSA</t>
        </is>
      </c>
      <c r="G76" t="n">
        <v>5.1</v>
      </c>
      <c r="H76" t="n">
        <v>0</v>
      </c>
      <c r="I76" t="n">
        <v>0</v>
      </c>
      <c r="J76" t="n">
        <v>0</v>
      </c>
      <c r="K76" t="n">
        <v>0</v>
      </c>
      <c r="L76" t="n">
        <v>0</v>
      </c>
      <c r="M76" t="n">
        <v>0</v>
      </c>
      <c r="N76" t="n">
        <v>0</v>
      </c>
      <c r="O76" t="n">
        <v>0</v>
      </c>
      <c r="P76" t="n">
        <v>0</v>
      </c>
      <c r="Q76" t="n">
        <v>0</v>
      </c>
      <c r="R76" s="2" t="inlineStr"/>
    </row>
    <row r="77" ht="15" customHeight="1">
      <c r="A77" t="inlineStr">
        <is>
          <t>A 11138-2022</t>
        </is>
      </c>
      <c r="B77" s="1" t="n">
        <v>44629.3184837963</v>
      </c>
      <c r="C77" s="1" t="n">
        <v>46046</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33480-2021</t>
        </is>
      </c>
      <c r="B78" s="1" t="n">
        <v>44377</v>
      </c>
      <c r="C78" s="1" t="n">
        <v>46046</v>
      </c>
      <c r="D78" t="inlineStr">
        <is>
          <t>DALARNAS LÄN</t>
        </is>
      </c>
      <c r="E78" t="inlineStr">
        <is>
          <t>ORSA</t>
        </is>
      </c>
      <c r="F78" t="inlineStr">
        <is>
          <t>Bergvik skog öst AB</t>
        </is>
      </c>
      <c r="G78" t="n">
        <v>0.6</v>
      </c>
      <c r="H78" t="n">
        <v>0</v>
      </c>
      <c r="I78" t="n">
        <v>0</v>
      </c>
      <c r="J78" t="n">
        <v>0</v>
      </c>
      <c r="K78" t="n">
        <v>0</v>
      </c>
      <c r="L78" t="n">
        <v>0</v>
      </c>
      <c r="M78" t="n">
        <v>0</v>
      </c>
      <c r="N78" t="n">
        <v>0</v>
      </c>
      <c r="O78" t="n">
        <v>0</v>
      </c>
      <c r="P78" t="n">
        <v>0</v>
      </c>
      <c r="Q78" t="n">
        <v>0</v>
      </c>
      <c r="R78" s="2" t="inlineStr"/>
    </row>
    <row r="79" ht="15" customHeight="1">
      <c r="A79" t="inlineStr">
        <is>
          <t>A 54760-2021</t>
        </is>
      </c>
      <c r="B79" s="1" t="n">
        <v>44473.93685185185</v>
      </c>
      <c r="C79" s="1" t="n">
        <v>46046</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60391-2021</t>
        </is>
      </c>
      <c r="B80" s="1" t="n">
        <v>44496</v>
      </c>
      <c r="C80" s="1" t="n">
        <v>46046</v>
      </c>
      <c r="D80" t="inlineStr">
        <is>
          <t>DALARNAS LÄN</t>
        </is>
      </c>
      <c r="E80" t="inlineStr">
        <is>
          <t>ORSA</t>
        </is>
      </c>
      <c r="G80" t="n">
        <v>1.3</v>
      </c>
      <c r="H80" t="n">
        <v>0</v>
      </c>
      <c r="I80" t="n">
        <v>0</v>
      </c>
      <c r="J80" t="n">
        <v>0</v>
      </c>
      <c r="K80" t="n">
        <v>0</v>
      </c>
      <c r="L80" t="n">
        <v>0</v>
      </c>
      <c r="M80" t="n">
        <v>0</v>
      </c>
      <c r="N80" t="n">
        <v>0</v>
      </c>
      <c r="O80" t="n">
        <v>0</v>
      </c>
      <c r="P80" t="n">
        <v>0</v>
      </c>
      <c r="Q80" t="n">
        <v>0</v>
      </c>
      <c r="R80" s="2" t="inlineStr"/>
    </row>
    <row r="81" ht="15" customHeight="1">
      <c r="A81" t="inlineStr">
        <is>
          <t>A 18708-2021</t>
        </is>
      </c>
      <c r="B81" s="1" t="n">
        <v>44307</v>
      </c>
      <c r="C81" s="1" t="n">
        <v>46046</v>
      </c>
      <c r="D81" t="inlineStr">
        <is>
          <t>DALARNAS LÄN</t>
        </is>
      </c>
      <c r="E81" t="inlineStr">
        <is>
          <t>ORSA</t>
        </is>
      </c>
      <c r="G81" t="n">
        <v>2.8</v>
      </c>
      <c r="H81" t="n">
        <v>0</v>
      </c>
      <c r="I81" t="n">
        <v>0</v>
      </c>
      <c r="J81" t="n">
        <v>0</v>
      </c>
      <c r="K81" t="n">
        <v>0</v>
      </c>
      <c r="L81" t="n">
        <v>0</v>
      </c>
      <c r="M81" t="n">
        <v>0</v>
      </c>
      <c r="N81" t="n">
        <v>0</v>
      </c>
      <c r="O81" t="n">
        <v>0</v>
      </c>
      <c r="P81" t="n">
        <v>0</v>
      </c>
      <c r="Q81" t="n">
        <v>0</v>
      </c>
      <c r="R81" s="2" t="inlineStr"/>
    </row>
    <row r="82" ht="15" customHeight="1">
      <c r="A82" t="inlineStr">
        <is>
          <t>A 57685-2021</t>
        </is>
      </c>
      <c r="B82" s="1" t="n">
        <v>44484.46385416666</v>
      </c>
      <c r="C82" s="1" t="n">
        <v>46046</v>
      </c>
      <c r="D82" t="inlineStr">
        <is>
          <t>DALARNAS LÄN</t>
        </is>
      </c>
      <c r="E82" t="inlineStr">
        <is>
          <t>ORSA</t>
        </is>
      </c>
      <c r="G82" t="n">
        <v>4.1</v>
      </c>
      <c r="H82" t="n">
        <v>0</v>
      </c>
      <c r="I82" t="n">
        <v>0</v>
      </c>
      <c r="J82" t="n">
        <v>0</v>
      </c>
      <c r="K82" t="n">
        <v>0</v>
      </c>
      <c r="L82" t="n">
        <v>0</v>
      </c>
      <c r="M82" t="n">
        <v>0</v>
      </c>
      <c r="N82" t="n">
        <v>0</v>
      </c>
      <c r="O82" t="n">
        <v>0</v>
      </c>
      <c r="P82" t="n">
        <v>0</v>
      </c>
      <c r="Q82" t="n">
        <v>0</v>
      </c>
      <c r="R82" s="2" t="inlineStr"/>
    </row>
    <row r="83" ht="15" customHeight="1">
      <c r="A83" t="inlineStr">
        <is>
          <t>A 29366-2021</t>
        </is>
      </c>
      <c r="B83" s="1" t="n">
        <v>44361.46637731481</v>
      </c>
      <c r="C83" s="1" t="n">
        <v>46046</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46046</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53745-2021</t>
        </is>
      </c>
      <c r="B85" s="1" t="n">
        <v>44469</v>
      </c>
      <c r="C85" s="1" t="n">
        <v>46046</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24651-2022</t>
        </is>
      </c>
      <c r="B86" s="1" t="n">
        <v>44727</v>
      </c>
      <c r="C86" s="1" t="n">
        <v>46046</v>
      </c>
      <c r="D86" t="inlineStr">
        <is>
          <t>DALARNAS LÄN</t>
        </is>
      </c>
      <c r="E86" t="inlineStr">
        <is>
          <t>ORSA</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46046</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46046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17718-2021</t>
        </is>
      </c>
      <c r="B89" s="1" t="n">
        <v>44300</v>
      </c>
      <c r="C89" s="1" t="n">
        <v>46046</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4454-2021</t>
        </is>
      </c>
      <c r="B90" s="1" t="n">
        <v>44224</v>
      </c>
      <c r="C90" s="1" t="n">
        <v>46046</v>
      </c>
      <c r="D90" t="inlineStr">
        <is>
          <t>DALARNAS LÄN</t>
        </is>
      </c>
      <c r="E90" t="inlineStr">
        <is>
          <t>ORSA</t>
        </is>
      </c>
      <c r="G90" t="n">
        <v>1.2</v>
      </c>
      <c r="H90" t="n">
        <v>0</v>
      </c>
      <c r="I90" t="n">
        <v>0</v>
      </c>
      <c r="J90" t="n">
        <v>0</v>
      </c>
      <c r="K90" t="n">
        <v>0</v>
      </c>
      <c r="L90" t="n">
        <v>0</v>
      </c>
      <c r="M90" t="n">
        <v>0</v>
      </c>
      <c r="N90" t="n">
        <v>0</v>
      </c>
      <c r="O90" t="n">
        <v>0</v>
      </c>
      <c r="P90" t="n">
        <v>0</v>
      </c>
      <c r="Q90" t="n">
        <v>0</v>
      </c>
      <c r="R90" s="2" t="inlineStr"/>
    </row>
    <row r="91" ht="15" customHeight="1">
      <c r="A91" t="inlineStr">
        <is>
          <t>A 52542-2021</t>
        </is>
      </c>
      <c r="B91" s="1" t="n">
        <v>44466</v>
      </c>
      <c r="C91" s="1" t="n">
        <v>46046</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71744-2021</t>
        </is>
      </c>
      <c r="B92" s="1" t="n">
        <v>44543</v>
      </c>
      <c r="C92" s="1" t="n">
        <v>46046</v>
      </c>
      <c r="D92" t="inlineStr">
        <is>
          <t>DALARNAS LÄN</t>
        </is>
      </c>
      <c r="E92" t="inlineStr">
        <is>
          <t>ORSA</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46046</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46046</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160-2022</t>
        </is>
      </c>
      <c r="B95" s="1" t="n">
        <v>44564</v>
      </c>
      <c r="C95" s="1" t="n">
        <v>46046</v>
      </c>
      <c r="D95" t="inlineStr">
        <is>
          <t>DALARNAS LÄN</t>
        </is>
      </c>
      <c r="E95" t="inlineStr">
        <is>
          <t>ORSA</t>
        </is>
      </c>
      <c r="F95" t="inlineStr">
        <is>
          <t>Kommuner</t>
        </is>
      </c>
      <c r="G95" t="n">
        <v>0.1</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46046</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46046</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46046</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46046</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46046</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14535-2022</t>
        </is>
      </c>
      <c r="B101" s="1" t="n">
        <v>44655.44512731482</v>
      </c>
      <c r="C101" s="1" t="n">
        <v>46046</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46046</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46046</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46046</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23725-2022</t>
        </is>
      </c>
      <c r="B105" s="1" t="n">
        <v>44722.33388888889</v>
      </c>
      <c r="C105" s="1" t="n">
        <v>46046</v>
      </c>
      <c r="D105" t="inlineStr">
        <is>
          <t>DALARNAS LÄN</t>
        </is>
      </c>
      <c r="E105" t="inlineStr">
        <is>
          <t>ORSA</t>
        </is>
      </c>
      <c r="F105" t="inlineStr">
        <is>
          <t>Bergvik skog öst AB</t>
        </is>
      </c>
      <c r="G105" t="n">
        <v>0.9</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46046</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46046</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41425-2021</t>
        </is>
      </c>
      <c r="B108" s="1" t="n">
        <v>44424.71729166667</v>
      </c>
      <c r="C108" s="1" t="n">
        <v>46046</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46046</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25172-2022</t>
        </is>
      </c>
      <c r="B110" s="1" t="n">
        <v>44729.58356481481</v>
      </c>
      <c r="C110" s="1" t="n">
        <v>46046</v>
      </c>
      <c r="D110" t="inlineStr">
        <is>
          <t>DALARNAS LÄN</t>
        </is>
      </c>
      <c r="E110" t="inlineStr">
        <is>
          <t>ORSA</t>
        </is>
      </c>
      <c r="F110" t="inlineStr">
        <is>
          <t>Bergvik skog öst AB</t>
        </is>
      </c>
      <c r="G110" t="n">
        <v>3.6</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46046</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46046</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46046</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23344-2022</t>
        </is>
      </c>
      <c r="B114" s="1" t="n">
        <v>44720.54599537037</v>
      </c>
      <c r="C114" s="1" t="n">
        <v>46046</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15114-2025</t>
        </is>
      </c>
      <c r="B115" s="1" t="n">
        <v>45744.36232638889</v>
      </c>
      <c r="C115" s="1" t="n">
        <v>46046</v>
      </c>
      <c r="D115" t="inlineStr">
        <is>
          <t>DALARNAS LÄN</t>
        </is>
      </c>
      <c r="E115" t="inlineStr">
        <is>
          <t>ORSA</t>
        </is>
      </c>
      <c r="F115" t="inlineStr">
        <is>
          <t>Allmännings- och besparingsskogar</t>
        </is>
      </c>
      <c r="G115" t="n">
        <v>1.9</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44481.41222222222</v>
      </c>
      <c r="C116" s="1" t="n">
        <v>46046</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46046</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6097-2025</t>
        </is>
      </c>
      <c r="B118" s="1" t="n">
        <v>45697</v>
      </c>
      <c r="C118" s="1" t="n">
        <v>46046</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20808-2025</t>
        </is>
      </c>
      <c r="B119" s="1" t="n">
        <v>45776</v>
      </c>
      <c r="C119" s="1" t="n">
        <v>46046</v>
      </c>
      <c r="D119" t="inlineStr">
        <is>
          <t>DALARNAS LÄN</t>
        </is>
      </c>
      <c r="E119" t="inlineStr">
        <is>
          <t>ORSA</t>
        </is>
      </c>
      <c r="F119" t="inlineStr">
        <is>
          <t>Bergvik skog väst AB</t>
        </is>
      </c>
      <c r="G119" t="n">
        <v>14.3</v>
      </c>
      <c r="H119" t="n">
        <v>0</v>
      </c>
      <c r="I119" t="n">
        <v>0</v>
      </c>
      <c r="J119" t="n">
        <v>0</v>
      </c>
      <c r="K119" t="n">
        <v>0</v>
      </c>
      <c r="L119" t="n">
        <v>0</v>
      </c>
      <c r="M119" t="n">
        <v>0</v>
      </c>
      <c r="N119" t="n">
        <v>0</v>
      </c>
      <c r="O119" t="n">
        <v>0</v>
      </c>
      <c r="P119" t="n">
        <v>0</v>
      </c>
      <c r="Q119" t="n">
        <v>0</v>
      </c>
      <c r="R119" s="2" t="inlineStr"/>
    </row>
    <row r="120" ht="15" customHeight="1">
      <c r="A120" t="inlineStr">
        <is>
          <t>A 13580-2025</t>
        </is>
      </c>
      <c r="B120" s="1" t="n">
        <v>45736.58362268518</v>
      </c>
      <c r="C120" s="1" t="n">
        <v>46046</v>
      </c>
      <c r="D120" t="inlineStr">
        <is>
          <t>DALARNAS LÄN</t>
        </is>
      </c>
      <c r="E120" t="inlineStr">
        <is>
          <t>ORSA</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55691-2022</t>
        </is>
      </c>
      <c r="B121" s="1" t="n">
        <v>44888</v>
      </c>
      <c r="C121" s="1" t="n">
        <v>46046</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29499-2024</t>
        </is>
      </c>
      <c r="B122" s="1" t="n">
        <v>45484</v>
      </c>
      <c r="C122" s="1" t="n">
        <v>46046</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593-2024</t>
        </is>
      </c>
      <c r="B123" s="1" t="n">
        <v>45299.63049768518</v>
      </c>
      <c r="C123" s="1" t="n">
        <v>46046</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49270-2024</t>
        </is>
      </c>
      <c r="B124" s="1" t="n">
        <v>45595.49896990741</v>
      </c>
      <c r="C124" s="1" t="n">
        <v>46046</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53229-2023</t>
        </is>
      </c>
      <c r="B125" s="1" t="n">
        <v>45229.48306712963</v>
      </c>
      <c r="C125" s="1" t="n">
        <v>46046</v>
      </c>
      <c r="D125" t="inlineStr">
        <is>
          <t>DALARNAS LÄN</t>
        </is>
      </c>
      <c r="E125" t="inlineStr">
        <is>
          <t>ORSA</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21747-2025</t>
        </is>
      </c>
      <c r="B126" s="1" t="n">
        <v>45783.60923611111</v>
      </c>
      <c r="C126" s="1" t="n">
        <v>46046</v>
      </c>
      <c r="D126" t="inlineStr">
        <is>
          <t>DALARNAS LÄN</t>
        </is>
      </c>
      <c r="E126" t="inlineStr">
        <is>
          <t>ORSA</t>
        </is>
      </c>
      <c r="G126" t="n">
        <v>1.2</v>
      </c>
      <c r="H126" t="n">
        <v>0</v>
      </c>
      <c r="I126" t="n">
        <v>0</v>
      </c>
      <c r="J126" t="n">
        <v>0</v>
      </c>
      <c r="K126" t="n">
        <v>0</v>
      </c>
      <c r="L126" t="n">
        <v>0</v>
      </c>
      <c r="M126" t="n">
        <v>0</v>
      </c>
      <c r="N126" t="n">
        <v>0</v>
      </c>
      <c r="O126" t="n">
        <v>0</v>
      </c>
      <c r="P126" t="n">
        <v>0</v>
      </c>
      <c r="Q126" t="n">
        <v>0</v>
      </c>
      <c r="R126" s="2" t="inlineStr"/>
    </row>
    <row r="127" ht="15" customHeight="1">
      <c r="A127" t="inlineStr">
        <is>
          <t>A 2717-2024</t>
        </is>
      </c>
      <c r="B127" s="1" t="n">
        <v>45314.49222222222</v>
      </c>
      <c r="C127" s="1" t="n">
        <v>46046</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63917-2023</t>
        </is>
      </c>
      <c r="B128" s="1" t="n">
        <v>45278</v>
      </c>
      <c r="C128" s="1" t="n">
        <v>46046</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46046</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21335-2025</t>
        </is>
      </c>
      <c r="B130" s="1" t="n">
        <v>45782.37519675926</v>
      </c>
      <c r="C130" s="1" t="n">
        <v>46046</v>
      </c>
      <c r="D130" t="inlineStr">
        <is>
          <t>DALARNAS LÄN</t>
        </is>
      </c>
      <c r="E130" t="inlineStr">
        <is>
          <t>ORSA</t>
        </is>
      </c>
      <c r="F130" t="inlineStr">
        <is>
          <t>Bergvik skog väst AB</t>
        </is>
      </c>
      <c r="G130" t="n">
        <v>14.3</v>
      </c>
      <c r="H130" t="n">
        <v>0</v>
      </c>
      <c r="I130" t="n">
        <v>0</v>
      </c>
      <c r="J130" t="n">
        <v>0</v>
      </c>
      <c r="K130" t="n">
        <v>0</v>
      </c>
      <c r="L130" t="n">
        <v>0</v>
      </c>
      <c r="M130" t="n">
        <v>0</v>
      </c>
      <c r="N130" t="n">
        <v>0</v>
      </c>
      <c r="O130" t="n">
        <v>0</v>
      </c>
      <c r="P130" t="n">
        <v>0</v>
      </c>
      <c r="Q130" t="n">
        <v>0</v>
      </c>
      <c r="R130" s="2" t="inlineStr"/>
    </row>
    <row r="131" ht="15" customHeight="1">
      <c r="A131" t="inlineStr">
        <is>
          <t>A 10004-2023</t>
        </is>
      </c>
      <c r="B131" s="1" t="n">
        <v>44985.60604166667</v>
      </c>
      <c r="C131" s="1" t="n">
        <v>46046</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16992-2025</t>
        </is>
      </c>
      <c r="B132" s="1" t="n">
        <v>45755.50215277778</v>
      </c>
      <c r="C132" s="1" t="n">
        <v>46046</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879-2024</t>
        </is>
      </c>
      <c r="B133" s="1" t="n">
        <v>45301.36821759259</v>
      </c>
      <c r="C133" s="1" t="n">
        <v>46046</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41835-2024</t>
        </is>
      </c>
      <c r="B134" s="1" t="n">
        <v>45561.40888888889</v>
      </c>
      <c r="C134" s="1" t="n">
        <v>46046</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4566-2025</t>
        </is>
      </c>
      <c r="B135" s="1" t="n">
        <v>45687.46100694445</v>
      </c>
      <c r="C135" s="1" t="n">
        <v>46046</v>
      </c>
      <c r="D135" t="inlineStr">
        <is>
          <t>DALARNAS LÄN</t>
        </is>
      </c>
      <c r="E135" t="inlineStr">
        <is>
          <t>ORSA</t>
        </is>
      </c>
      <c r="G135" t="n">
        <v>2.1</v>
      </c>
      <c r="H135" t="n">
        <v>0</v>
      </c>
      <c r="I135" t="n">
        <v>0</v>
      </c>
      <c r="J135" t="n">
        <v>0</v>
      </c>
      <c r="K135" t="n">
        <v>0</v>
      </c>
      <c r="L135" t="n">
        <v>0</v>
      </c>
      <c r="M135" t="n">
        <v>0</v>
      </c>
      <c r="N135" t="n">
        <v>0</v>
      </c>
      <c r="O135" t="n">
        <v>0</v>
      </c>
      <c r="P135" t="n">
        <v>0</v>
      </c>
      <c r="Q135" t="n">
        <v>0</v>
      </c>
      <c r="R135" s="2" t="inlineStr"/>
    </row>
    <row r="136" ht="15" customHeight="1">
      <c r="A136" t="inlineStr">
        <is>
          <t>A 46454-2024</t>
        </is>
      </c>
      <c r="B136" s="1" t="n">
        <v>45582</v>
      </c>
      <c r="C136" s="1" t="n">
        <v>46046</v>
      </c>
      <c r="D136" t="inlineStr">
        <is>
          <t>DALARNAS LÄN</t>
        </is>
      </c>
      <c r="E136" t="inlineStr">
        <is>
          <t>ORSA</t>
        </is>
      </c>
      <c r="F136" t="inlineStr">
        <is>
          <t>Övriga statliga verk och myndigheter</t>
        </is>
      </c>
      <c r="G136" t="n">
        <v>1</v>
      </c>
      <c r="H136" t="n">
        <v>0</v>
      </c>
      <c r="I136" t="n">
        <v>0</v>
      </c>
      <c r="J136" t="n">
        <v>0</v>
      </c>
      <c r="K136" t="n">
        <v>0</v>
      </c>
      <c r="L136" t="n">
        <v>0</v>
      </c>
      <c r="M136" t="n">
        <v>0</v>
      </c>
      <c r="N136" t="n">
        <v>0</v>
      </c>
      <c r="O136" t="n">
        <v>0</v>
      </c>
      <c r="P136" t="n">
        <v>0</v>
      </c>
      <c r="Q136" t="n">
        <v>0</v>
      </c>
      <c r="R136" s="2" t="inlineStr"/>
    </row>
    <row r="137" ht="15" customHeight="1">
      <c r="A137" t="inlineStr">
        <is>
          <t>A 1624-2024</t>
        </is>
      </c>
      <c r="B137" s="1" t="n">
        <v>45306</v>
      </c>
      <c r="C137" s="1" t="n">
        <v>46046</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46046</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48985-2023</t>
        </is>
      </c>
      <c r="B139" s="1" t="n">
        <v>45209.64077546296</v>
      </c>
      <c r="C139" s="1" t="n">
        <v>46046</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21165-2024</t>
        </is>
      </c>
      <c r="B140" s="1" t="n">
        <v>45440.45225694445</v>
      </c>
      <c r="C140" s="1" t="n">
        <v>46046</v>
      </c>
      <c r="D140" t="inlineStr">
        <is>
          <t>DALARNAS LÄN</t>
        </is>
      </c>
      <c r="E140" t="inlineStr">
        <is>
          <t>ORSA</t>
        </is>
      </c>
      <c r="F140" t="inlineStr">
        <is>
          <t>Bergvik skog öst AB</t>
        </is>
      </c>
      <c r="G140" t="n">
        <v>1.3</v>
      </c>
      <c r="H140" t="n">
        <v>0</v>
      </c>
      <c r="I140" t="n">
        <v>0</v>
      </c>
      <c r="J140" t="n">
        <v>0</v>
      </c>
      <c r="K140" t="n">
        <v>0</v>
      </c>
      <c r="L140" t="n">
        <v>0</v>
      </c>
      <c r="M140" t="n">
        <v>0</v>
      </c>
      <c r="N140" t="n">
        <v>0</v>
      </c>
      <c r="O140" t="n">
        <v>0</v>
      </c>
      <c r="P140" t="n">
        <v>0</v>
      </c>
      <c r="Q140" t="n">
        <v>0</v>
      </c>
      <c r="R140" s="2" t="inlineStr"/>
    </row>
    <row r="141" ht="15" customHeight="1">
      <c r="A141" t="inlineStr">
        <is>
          <t>A 55580-2024</t>
        </is>
      </c>
      <c r="B141" s="1" t="n">
        <v>45622.56038194444</v>
      </c>
      <c r="C141" s="1" t="n">
        <v>46046</v>
      </c>
      <c r="D141" t="inlineStr">
        <is>
          <t>DALARNAS LÄN</t>
        </is>
      </c>
      <c r="E141" t="inlineStr">
        <is>
          <t>ORSA</t>
        </is>
      </c>
      <c r="G141" t="n">
        <v>2</v>
      </c>
      <c r="H141" t="n">
        <v>0</v>
      </c>
      <c r="I141" t="n">
        <v>0</v>
      </c>
      <c r="J141" t="n">
        <v>0</v>
      </c>
      <c r="K141" t="n">
        <v>0</v>
      </c>
      <c r="L141" t="n">
        <v>0</v>
      </c>
      <c r="M141" t="n">
        <v>0</v>
      </c>
      <c r="N141" t="n">
        <v>0</v>
      </c>
      <c r="O141" t="n">
        <v>0</v>
      </c>
      <c r="P141" t="n">
        <v>0</v>
      </c>
      <c r="Q141" t="n">
        <v>0</v>
      </c>
      <c r="R141" s="2" t="inlineStr"/>
    </row>
    <row r="142" ht="15" customHeight="1">
      <c r="A142" t="inlineStr">
        <is>
          <t>A 13575-2025</t>
        </is>
      </c>
      <c r="B142" s="1" t="n">
        <v>45736.57871527778</v>
      </c>
      <c r="C142" s="1" t="n">
        <v>46046</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15870-2025</t>
        </is>
      </c>
      <c r="B143" s="1" t="n">
        <v>45749.37135416667</v>
      </c>
      <c r="C143" s="1" t="n">
        <v>46046</v>
      </c>
      <c r="D143" t="inlineStr">
        <is>
          <t>DALARNAS LÄN</t>
        </is>
      </c>
      <c r="E143" t="inlineStr">
        <is>
          <t>ORSA</t>
        </is>
      </c>
      <c r="F143" t="inlineStr">
        <is>
          <t>Bergvik skog öst AB</t>
        </is>
      </c>
      <c r="G143" t="n">
        <v>2.7</v>
      </c>
      <c r="H143" t="n">
        <v>0</v>
      </c>
      <c r="I143" t="n">
        <v>0</v>
      </c>
      <c r="J143" t="n">
        <v>0</v>
      </c>
      <c r="K143" t="n">
        <v>0</v>
      </c>
      <c r="L143" t="n">
        <v>0</v>
      </c>
      <c r="M143" t="n">
        <v>0</v>
      </c>
      <c r="N143" t="n">
        <v>0</v>
      </c>
      <c r="O143" t="n">
        <v>0</v>
      </c>
      <c r="P143" t="n">
        <v>0</v>
      </c>
      <c r="Q143" t="n">
        <v>0</v>
      </c>
      <c r="R143" s="2" t="inlineStr"/>
    </row>
    <row r="144" ht="15" customHeight="1">
      <c r="A144" t="inlineStr">
        <is>
          <t>A 42346-2022</t>
        </is>
      </c>
      <c r="B144" s="1" t="n">
        <v>44831.35561342593</v>
      </c>
      <c r="C144" s="1" t="n">
        <v>46046</v>
      </c>
      <c r="D144" t="inlineStr">
        <is>
          <t>DALARNAS LÄN</t>
        </is>
      </c>
      <c r="E144" t="inlineStr">
        <is>
          <t>ORSA</t>
        </is>
      </c>
      <c r="G144" t="n">
        <v>2.4</v>
      </c>
      <c r="H144" t="n">
        <v>0</v>
      </c>
      <c r="I144" t="n">
        <v>0</v>
      </c>
      <c r="J144" t="n">
        <v>0</v>
      </c>
      <c r="K144" t="n">
        <v>0</v>
      </c>
      <c r="L144" t="n">
        <v>0</v>
      </c>
      <c r="M144" t="n">
        <v>0</v>
      </c>
      <c r="N144" t="n">
        <v>0</v>
      </c>
      <c r="O144" t="n">
        <v>0</v>
      </c>
      <c r="P144" t="n">
        <v>0</v>
      </c>
      <c r="Q144" t="n">
        <v>0</v>
      </c>
      <c r="R144" s="2" t="inlineStr"/>
    </row>
    <row r="145" ht="15" customHeight="1">
      <c r="A145" t="inlineStr">
        <is>
          <t>A 47126-2021</t>
        </is>
      </c>
      <c r="B145" s="1" t="n">
        <v>44446.78168981482</v>
      </c>
      <c r="C145" s="1" t="n">
        <v>46046</v>
      </c>
      <c r="D145" t="inlineStr">
        <is>
          <t>DALARNAS LÄN</t>
        </is>
      </c>
      <c r="E145" t="inlineStr">
        <is>
          <t>ORSA</t>
        </is>
      </c>
      <c r="G145" t="n">
        <v>1.3</v>
      </c>
      <c r="H145" t="n">
        <v>0</v>
      </c>
      <c r="I145" t="n">
        <v>0</v>
      </c>
      <c r="J145" t="n">
        <v>0</v>
      </c>
      <c r="K145" t="n">
        <v>0</v>
      </c>
      <c r="L145" t="n">
        <v>0</v>
      </c>
      <c r="M145" t="n">
        <v>0</v>
      </c>
      <c r="N145" t="n">
        <v>0</v>
      </c>
      <c r="O145" t="n">
        <v>0</v>
      </c>
      <c r="P145" t="n">
        <v>0</v>
      </c>
      <c r="Q145" t="n">
        <v>0</v>
      </c>
      <c r="R145" s="2" t="inlineStr"/>
    </row>
    <row r="146" ht="15" customHeight="1">
      <c r="A146" t="inlineStr">
        <is>
          <t>A 17500-2025</t>
        </is>
      </c>
      <c r="B146" s="1" t="n">
        <v>45757.54954861111</v>
      </c>
      <c r="C146" s="1" t="n">
        <v>46046</v>
      </c>
      <c r="D146" t="inlineStr">
        <is>
          <t>DALARNAS LÄN</t>
        </is>
      </c>
      <c r="E146" t="inlineStr">
        <is>
          <t>ORSA</t>
        </is>
      </c>
      <c r="G146" t="n">
        <v>1.9</v>
      </c>
      <c r="H146" t="n">
        <v>0</v>
      </c>
      <c r="I146" t="n">
        <v>0</v>
      </c>
      <c r="J146" t="n">
        <v>0</v>
      </c>
      <c r="K146" t="n">
        <v>0</v>
      </c>
      <c r="L146" t="n">
        <v>0</v>
      </c>
      <c r="M146" t="n">
        <v>0</v>
      </c>
      <c r="N146" t="n">
        <v>0</v>
      </c>
      <c r="O146" t="n">
        <v>0</v>
      </c>
      <c r="P146" t="n">
        <v>0</v>
      </c>
      <c r="Q146" t="n">
        <v>0</v>
      </c>
      <c r="R146" s="2" t="inlineStr"/>
    </row>
    <row r="147" ht="15" customHeight="1">
      <c r="A147" t="inlineStr">
        <is>
          <t>A 28451-2023</t>
        </is>
      </c>
      <c r="B147" s="1" t="n">
        <v>45103.33896990741</v>
      </c>
      <c r="C147" s="1" t="n">
        <v>46046</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44904-2024</t>
        </is>
      </c>
      <c r="B148" s="1" t="n">
        <v>45575.38193287037</v>
      </c>
      <c r="C148" s="1" t="n">
        <v>46046</v>
      </c>
      <c r="D148" t="inlineStr">
        <is>
          <t>DALARNAS LÄN</t>
        </is>
      </c>
      <c r="E148" t="inlineStr">
        <is>
          <t>ORSA</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48990-2023</t>
        </is>
      </c>
      <c r="B149" s="1" t="n">
        <v>45209.64740740741</v>
      </c>
      <c r="C149" s="1" t="n">
        <v>46046</v>
      </c>
      <c r="D149" t="inlineStr">
        <is>
          <t>DALARNAS LÄN</t>
        </is>
      </c>
      <c r="E149" t="inlineStr">
        <is>
          <t>ORSA</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56942-2024</t>
        </is>
      </c>
      <c r="B150" s="1" t="n">
        <v>45628.62292824074</v>
      </c>
      <c r="C150" s="1" t="n">
        <v>46046</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23056-2025</t>
        </is>
      </c>
      <c r="B151" s="1" t="n">
        <v>45790.73627314815</v>
      </c>
      <c r="C151" s="1" t="n">
        <v>46046</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23015-2025</t>
        </is>
      </c>
      <c r="B152" s="1" t="n">
        <v>45790.6377662037</v>
      </c>
      <c r="C152" s="1" t="n">
        <v>46046</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58853-2022</t>
        </is>
      </c>
      <c r="B153" s="1" t="n">
        <v>44903</v>
      </c>
      <c r="C153" s="1" t="n">
        <v>46046</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30291-2024</t>
        </is>
      </c>
      <c r="B154" s="1" t="n">
        <v>45490.64978009259</v>
      </c>
      <c r="C154" s="1" t="n">
        <v>46046</v>
      </c>
      <c r="D154" t="inlineStr">
        <is>
          <t>DALARNAS LÄN</t>
        </is>
      </c>
      <c r="E154" t="inlineStr">
        <is>
          <t>ORSA</t>
        </is>
      </c>
      <c r="F154" t="inlineStr">
        <is>
          <t>Bergvik skog öst AB</t>
        </is>
      </c>
      <c r="G154" t="n">
        <v>7.5</v>
      </c>
      <c r="H154" t="n">
        <v>0</v>
      </c>
      <c r="I154" t="n">
        <v>0</v>
      </c>
      <c r="J154" t="n">
        <v>0</v>
      </c>
      <c r="K154" t="n">
        <v>0</v>
      </c>
      <c r="L154" t="n">
        <v>0</v>
      </c>
      <c r="M154" t="n">
        <v>0</v>
      </c>
      <c r="N154" t="n">
        <v>0</v>
      </c>
      <c r="O154" t="n">
        <v>0</v>
      </c>
      <c r="P154" t="n">
        <v>0</v>
      </c>
      <c r="Q154" t="n">
        <v>0</v>
      </c>
      <c r="R154" s="2" t="inlineStr"/>
    </row>
    <row r="155" ht="15" customHeight="1">
      <c r="A155" t="inlineStr">
        <is>
          <t>A 58549-2023</t>
        </is>
      </c>
      <c r="B155" s="1" t="n">
        <v>45251.42627314815</v>
      </c>
      <c r="C155" s="1" t="n">
        <v>46046</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23053-2025</t>
        </is>
      </c>
      <c r="B156" s="1" t="n">
        <v>45790.73072916667</v>
      </c>
      <c r="C156" s="1" t="n">
        <v>46046</v>
      </c>
      <c r="D156" t="inlineStr">
        <is>
          <t>DALARNAS LÄN</t>
        </is>
      </c>
      <c r="E156" t="inlineStr">
        <is>
          <t>ORSA</t>
        </is>
      </c>
      <c r="G156" t="n">
        <v>3.3</v>
      </c>
      <c r="H156" t="n">
        <v>0</v>
      </c>
      <c r="I156" t="n">
        <v>0</v>
      </c>
      <c r="J156" t="n">
        <v>0</v>
      </c>
      <c r="K156" t="n">
        <v>0</v>
      </c>
      <c r="L156" t="n">
        <v>0</v>
      </c>
      <c r="M156" t="n">
        <v>0</v>
      </c>
      <c r="N156" t="n">
        <v>0</v>
      </c>
      <c r="O156" t="n">
        <v>0</v>
      </c>
      <c r="P156" t="n">
        <v>0</v>
      </c>
      <c r="Q156" t="n">
        <v>0</v>
      </c>
      <c r="R156" s="2" t="inlineStr"/>
    </row>
    <row r="157" ht="15" customHeight="1">
      <c r="A157" t="inlineStr">
        <is>
          <t>A 62289-2023</t>
        </is>
      </c>
      <c r="B157" s="1" t="n">
        <v>45266</v>
      </c>
      <c r="C157" s="1" t="n">
        <v>46046</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8430-2024</t>
        </is>
      </c>
      <c r="B158" s="1" t="n">
        <v>45353.41157407407</v>
      </c>
      <c r="C158" s="1" t="n">
        <v>46046</v>
      </c>
      <c r="D158" t="inlineStr">
        <is>
          <t>DALARNAS LÄN</t>
        </is>
      </c>
      <c r="E158" t="inlineStr">
        <is>
          <t>ORSA</t>
        </is>
      </c>
      <c r="G158" t="n">
        <v>14.4</v>
      </c>
      <c r="H158" t="n">
        <v>0</v>
      </c>
      <c r="I158" t="n">
        <v>0</v>
      </c>
      <c r="J158" t="n">
        <v>0</v>
      </c>
      <c r="K158" t="n">
        <v>0</v>
      </c>
      <c r="L158" t="n">
        <v>0</v>
      </c>
      <c r="M158" t="n">
        <v>0</v>
      </c>
      <c r="N158" t="n">
        <v>0</v>
      </c>
      <c r="O158" t="n">
        <v>0</v>
      </c>
      <c r="P158" t="n">
        <v>0</v>
      </c>
      <c r="Q158" t="n">
        <v>0</v>
      </c>
      <c r="R158" s="2" t="inlineStr"/>
    </row>
    <row r="159" ht="15" customHeight="1">
      <c r="A159" t="inlineStr">
        <is>
          <t>A 23055-2025</t>
        </is>
      </c>
      <c r="B159" s="1" t="n">
        <v>45790.73469907408</v>
      </c>
      <c r="C159" s="1" t="n">
        <v>46046</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5302-2024</t>
        </is>
      </c>
      <c r="B160" s="1" t="n">
        <v>45331.38175925926</v>
      </c>
      <c r="C160" s="1" t="n">
        <v>46046</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23740-2025</t>
        </is>
      </c>
      <c r="B161" s="1" t="n">
        <v>45793.43210648148</v>
      </c>
      <c r="C161" s="1" t="n">
        <v>46046</v>
      </c>
      <c r="D161" t="inlineStr">
        <is>
          <t>DALARNAS LÄN</t>
        </is>
      </c>
      <c r="E161" t="inlineStr">
        <is>
          <t>ORSA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16777-2024</t>
        </is>
      </c>
      <c r="B162" s="1" t="n">
        <v>45411</v>
      </c>
      <c r="C162" s="1" t="n">
        <v>46046</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7626-2025</t>
        </is>
      </c>
      <c r="B163" s="1" t="n">
        <v>45705.72799768519</v>
      </c>
      <c r="C163" s="1" t="n">
        <v>46046</v>
      </c>
      <c r="D163" t="inlineStr">
        <is>
          <t>DALARNAS LÄN</t>
        </is>
      </c>
      <c r="E163" t="inlineStr">
        <is>
          <t>ORSA</t>
        </is>
      </c>
      <c r="G163" t="n">
        <v>15.5</v>
      </c>
      <c r="H163" t="n">
        <v>0</v>
      </c>
      <c r="I163" t="n">
        <v>0</v>
      </c>
      <c r="J163" t="n">
        <v>0</v>
      </c>
      <c r="K163" t="n">
        <v>0</v>
      </c>
      <c r="L163" t="n">
        <v>0</v>
      </c>
      <c r="M163" t="n">
        <v>0</v>
      </c>
      <c r="N163" t="n">
        <v>0</v>
      </c>
      <c r="O163" t="n">
        <v>0</v>
      </c>
      <c r="P163" t="n">
        <v>0</v>
      </c>
      <c r="Q163" t="n">
        <v>0</v>
      </c>
      <c r="R163" s="2" t="inlineStr"/>
    </row>
    <row r="164" ht="15" customHeight="1">
      <c r="A164" t="inlineStr">
        <is>
          <t>A 53102-2021</t>
        </is>
      </c>
      <c r="B164" s="1" t="n">
        <v>44467</v>
      </c>
      <c r="C164" s="1" t="n">
        <v>46046</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10359-2023</t>
        </is>
      </c>
      <c r="B165" s="1" t="n">
        <v>44987.37292824074</v>
      </c>
      <c r="C165" s="1" t="n">
        <v>46046</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6047-2023</t>
        </is>
      </c>
      <c r="B166" s="1" t="n">
        <v>44964</v>
      </c>
      <c r="C166" s="1" t="n">
        <v>46046</v>
      </c>
      <c r="D166" t="inlineStr">
        <is>
          <t>DALARNAS LÄN</t>
        </is>
      </c>
      <c r="E166" t="inlineStr">
        <is>
          <t>ORSA</t>
        </is>
      </c>
      <c r="F166" t="inlineStr">
        <is>
          <t>Bergvik skog öst AB</t>
        </is>
      </c>
      <c r="G166" t="n">
        <v>0.2</v>
      </c>
      <c r="H166" t="n">
        <v>0</v>
      </c>
      <c r="I166" t="n">
        <v>0</v>
      </c>
      <c r="J166" t="n">
        <v>0</v>
      </c>
      <c r="K166" t="n">
        <v>0</v>
      </c>
      <c r="L166" t="n">
        <v>0</v>
      </c>
      <c r="M166" t="n">
        <v>0</v>
      </c>
      <c r="N166" t="n">
        <v>0</v>
      </c>
      <c r="O166" t="n">
        <v>0</v>
      </c>
      <c r="P166" t="n">
        <v>0</v>
      </c>
      <c r="Q166" t="n">
        <v>0</v>
      </c>
      <c r="R166" s="2" t="inlineStr"/>
    </row>
    <row r="167" ht="15" customHeight="1">
      <c r="A167" t="inlineStr">
        <is>
          <t>A 3951-2023</t>
        </is>
      </c>
      <c r="B167" s="1" t="n">
        <v>44952.38577546296</v>
      </c>
      <c r="C167" s="1" t="n">
        <v>46046</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5434-2025</t>
        </is>
      </c>
      <c r="B168" s="1" t="n">
        <v>45692</v>
      </c>
      <c r="C168" s="1" t="n">
        <v>46046</v>
      </c>
      <c r="D168" t="inlineStr">
        <is>
          <t>DALARNAS LÄN</t>
        </is>
      </c>
      <c r="E168" t="inlineStr">
        <is>
          <t>ORSA</t>
        </is>
      </c>
      <c r="G168" t="n">
        <v>6.9</v>
      </c>
      <c r="H168" t="n">
        <v>0</v>
      </c>
      <c r="I168" t="n">
        <v>0</v>
      </c>
      <c r="J168" t="n">
        <v>0</v>
      </c>
      <c r="K168" t="n">
        <v>0</v>
      </c>
      <c r="L168" t="n">
        <v>0</v>
      </c>
      <c r="M168" t="n">
        <v>0</v>
      </c>
      <c r="N168" t="n">
        <v>0</v>
      </c>
      <c r="O168" t="n">
        <v>0</v>
      </c>
      <c r="P168" t="n">
        <v>0</v>
      </c>
      <c r="Q168" t="n">
        <v>0</v>
      </c>
      <c r="R168" s="2" t="inlineStr"/>
    </row>
    <row r="169" ht="15" customHeight="1">
      <c r="A169" t="inlineStr">
        <is>
          <t>A 70332-2021</t>
        </is>
      </c>
      <c r="B169" s="1" t="n">
        <v>44536</v>
      </c>
      <c r="C169" s="1" t="n">
        <v>46046</v>
      </c>
      <c r="D169" t="inlineStr">
        <is>
          <t>DALARNAS LÄN</t>
        </is>
      </c>
      <c r="E169" t="inlineStr">
        <is>
          <t>ORSA</t>
        </is>
      </c>
      <c r="G169" t="n">
        <v>7.2</v>
      </c>
      <c r="H169" t="n">
        <v>0</v>
      </c>
      <c r="I169" t="n">
        <v>0</v>
      </c>
      <c r="J169" t="n">
        <v>0</v>
      </c>
      <c r="K169" t="n">
        <v>0</v>
      </c>
      <c r="L169" t="n">
        <v>0</v>
      </c>
      <c r="M169" t="n">
        <v>0</v>
      </c>
      <c r="N169" t="n">
        <v>0</v>
      </c>
      <c r="O169" t="n">
        <v>0</v>
      </c>
      <c r="P169" t="n">
        <v>0</v>
      </c>
      <c r="Q169" t="n">
        <v>0</v>
      </c>
      <c r="R169" s="2" t="inlineStr"/>
    </row>
    <row r="170" ht="15" customHeight="1">
      <c r="A170" t="inlineStr">
        <is>
          <t>A 1785-2024</t>
        </is>
      </c>
      <c r="B170" s="1" t="n">
        <v>45307</v>
      </c>
      <c r="C170" s="1" t="n">
        <v>46046</v>
      </c>
      <c r="D170" t="inlineStr">
        <is>
          <t>DALARNAS LÄN</t>
        </is>
      </c>
      <c r="E170" t="inlineStr">
        <is>
          <t>ORSA</t>
        </is>
      </c>
      <c r="G170" t="n">
        <v>42.8</v>
      </c>
      <c r="H170" t="n">
        <v>0</v>
      </c>
      <c r="I170" t="n">
        <v>0</v>
      </c>
      <c r="J170" t="n">
        <v>0</v>
      </c>
      <c r="K170" t="n">
        <v>0</v>
      </c>
      <c r="L170" t="n">
        <v>0</v>
      </c>
      <c r="M170" t="n">
        <v>0</v>
      </c>
      <c r="N170" t="n">
        <v>0</v>
      </c>
      <c r="O170" t="n">
        <v>0</v>
      </c>
      <c r="P170" t="n">
        <v>0</v>
      </c>
      <c r="Q170" t="n">
        <v>0</v>
      </c>
      <c r="R170" s="2" t="inlineStr"/>
    </row>
    <row r="171" ht="15" customHeight="1">
      <c r="A171" t="inlineStr">
        <is>
          <t>A 24248-2025</t>
        </is>
      </c>
      <c r="B171" s="1" t="n">
        <v>45797.40101851852</v>
      </c>
      <c r="C171" s="1" t="n">
        <v>46046</v>
      </c>
      <c r="D171" t="inlineStr">
        <is>
          <t>DALARNAS LÄN</t>
        </is>
      </c>
      <c r="E171" t="inlineStr">
        <is>
          <t>ORSA</t>
        </is>
      </c>
      <c r="F171" t="inlineStr">
        <is>
          <t>Bergvik skog öst AB</t>
        </is>
      </c>
      <c r="G171" t="n">
        <v>4.3</v>
      </c>
      <c r="H171" t="n">
        <v>0</v>
      </c>
      <c r="I171" t="n">
        <v>0</v>
      </c>
      <c r="J171" t="n">
        <v>0</v>
      </c>
      <c r="K171" t="n">
        <v>0</v>
      </c>
      <c r="L171" t="n">
        <v>0</v>
      </c>
      <c r="M171" t="n">
        <v>0</v>
      </c>
      <c r="N171" t="n">
        <v>0</v>
      </c>
      <c r="O171" t="n">
        <v>0</v>
      </c>
      <c r="P171" t="n">
        <v>0</v>
      </c>
      <c r="Q171" t="n">
        <v>0</v>
      </c>
      <c r="R171" s="2" t="inlineStr"/>
    </row>
    <row r="172" ht="15" customHeight="1">
      <c r="A172" t="inlineStr">
        <is>
          <t>A 57533-2022</t>
        </is>
      </c>
      <c r="B172" s="1" t="n">
        <v>44896.68393518519</v>
      </c>
      <c r="C172" s="1" t="n">
        <v>46046</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53703-2024</t>
        </is>
      </c>
      <c r="B173" s="1" t="n">
        <v>45615.3990162037</v>
      </c>
      <c r="C173" s="1" t="n">
        <v>46046</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24235-2025</t>
        </is>
      </c>
      <c r="B174" s="1" t="n">
        <v>45797.38252314815</v>
      </c>
      <c r="C174" s="1" t="n">
        <v>46046</v>
      </c>
      <c r="D174" t="inlineStr">
        <is>
          <t>DALARNAS LÄN</t>
        </is>
      </c>
      <c r="E174" t="inlineStr">
        <is>
          <t>ORSA</t>
        </is>
      </c>
      <c r="G174" t="n">
        <v>3.1</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46046</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17521-2025</t>
        </is>
      </c>
      <c r="B176" s="1" t="n">
        <v>45757.57952546296</v>
      </c>
      <c r="C176" s="1" t="n">
        <v>46046</v>
      </c>
      <c r="D176" t="inlineStr">
        <is>
          <t>DALARNAS LÄN</t>
        </is>
      </c>
      <c r="E176" t="inlineStr">
        <is>
          <t>ORSA</t>
        </is>
      </c>
      <c r="F176" t="inlineStr">
        <is>
          <t>Bergvik skog öst AB</t>
        </is>
      </c>
      <c r="G176" t="n">
        <v>3.6</v>
      </c>
      <c r="H176" t="n">
        <v>0</v>
      </c>
      <c r="I176" t="n">
        <v>0</v>
      </c>
      <c r="J176" t="n">
        <v>0</v>
      </c>
      <c r="K176" t="n">
        <v>0</v>
      </c>
      <c r="L176" t="n">
        <v>0</v>
      </c>
      <c r="M176" t="n">
        <v>0</v>
      </c>
      <c r="N176" t="n">
        <v>0</v>
      </c>
      <c r="O176" t="n">
        <v>0</v>
      </c>
      <c r="P176" t="n">
        <v>0</v>
      </c>
      <c r="Q176" t="n">
        <v>0</v>
      </c>
      <c r="R176" s="2" t="inlineStr"/>
    </row>
    <row r="177" ht="15" customHeight="1">
      <c r="A177" t="inlineStr">
        <is>
          <t>A 20588-2025</t>
        </is>
      </c>
      <c r="B177" s="1" t="n">
        <v>45775</v>
      </c>
      <c r="C177" s="1" t="n">
        <v>46046</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20589-2025</t>
        </is>
      </c>
      <c r="B178" s="1" t="n">
        <v>45775</v>
      </c>
      <c r="C178" s="1" t="n">
        <v>46046</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3166-2024</t>
        </is>
      </c>
      <c r="B179" s="1" t="n">
        <v>45316.62592592592</v>
      </c>
      <c r="C179" s="1" t="n">
        <v>46046</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56887-2024</t>
        </is>
      </c>
      <c r="B180" s="1" t="n">
        <v>45628.57388888889</v>
      </c>
      <c r="C180" s="1" t="n">
        <v>46046</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37981-2024</t>
        </is>
      </c>
      <c r="B181" s="1" t="n">
        <v>45544</v>
      </c>
      <c r="C181" s="1" t="n">
        <v>46046</v>
      </c>
      <c r="D181" t="inlineStr">
        <is>
          <t>DALARNAS LÄN</t>
        </is>
      </c>
      <c r="E181" t="inlineStr">
        <is>
          <t>ORSA</t>
        </is>
      </c>
      <c r="F181" t="inlineStr">
        <is>
          <t>Allmännings- och besparingsskogar</t>
        </is>
      </c>
      <c r="G181" t="n">
        <v>1.2</v>
      </c>
      <c r="H181" t="n">
        <v>0</v>
      </c>
      <c r="I181" t="n">
        <v>0</v>
      </c>
      <c r="J181" t="n">
        <v>0</v>
      </c>
      <c r="K181" t="n">
        <v>0</v>
      </c>
      <c r="L181" t="n">
        <v>0</v>
      </c>
      <c r="M181" t="n">
        <v>0</v>
      </c>
      <c r="N181" t="n">
        <v>0</v>
      </c>
      <c r="O181" t="n">
        <v>0</v>
      </c>
      <c r="P181" t="n">
        <v>0</v>
      </c>
      <c r="Q181" t="n">
        <v>0</v>
      </c>
      <c r="R181" s="2" t="inlineStr"/>
    </row>
    <row r="182" ht="15" customHeight="1">
      <c r="A182" t="inlineStr">
        <is>
          <t>A 15772-2025</t>
        </is>
      </c>
      <c r="B182" s="1" t="n">
        <v>45748.59069444444</v>
      </c>
      <c r="C182" s="1" t="n">
        <v>46046</v>
      </c>
      <c r="D182" t="inlineStr">
        <is>
          <t>DALARNAS LÄN</t>
        </is>
      </c>
      <c r="E182" t="inlineStr">
        <is>
          <t>ORSA</t>
        </is>
      </c>
      <c r="F182" t="inlineStr">
        <is>
          <t>Bergvik skog öst AB</t>
        </is>
      </c>
      <c r="G182" t="n">
        <v>3.8</v>
      </c>
      <c r="H182" t="n">
        <v>0</v>
      </c>
      <c r="I182" t="n">
        <v>0</v>
      </c>
      <c r="J182" t="n">
        <v>0</v>
      </c>
      <c r="K182" t="n">
        <v>0</v>
      </c>
      <c r="L182" t="n">
        <v>0</v>
      </c>
      <c r="M182" t="n">
        <v>0</v>
      </c>
      <c r="N182" t="n">
        <v>0</v>
      </c>
      <c r="O182" t="n">
        <v>0</v>
      </c>
      <c r="P182" t="n">
        <v>0</v>
      </c>
      <c r="Q182" t="n">
        <v>0</v>
      </c>
      <c r="R182" s="2" t="inlineStr"/>
    </row>
    <row r="183" ht="15" customHeight="1">
      <c r="A183" t="inlineStr">
        <is>
          <t>A 51305-2023</t>
        </is>
      </c>
      <c r="B183" s="1" t="n">
        <v>45219</v>
      </c>
      <c r="C183" s="1" t="n">
        <v>46046</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597-2024</t>
        </is>
      </c>
      <c r="B184" s="1" t="n">
        <v>45299.63410879629</v>
      </c>
      <c r="C184" s="1" t="n">
        <v>46046</v>
      </c>
      <c r="D184" t="inlineStr">
        <is>
          <t>DALARNAS LÄN</t>
        </is>
      </c>
      <c r="E184" t="inlineStr">
        <is>
          <t>ORSA</t>
        </is>
      </c>
      <c r="G184" t="n">
        <v>4.4</v>
      </c>
      <c r="H184" t="n">
        <v>0</v>
      </c>
      <c r="I184" t="n">
        <v>0</v>
      </c>
      <c r="J184" t="n">
        <v>0</v>
      </c>
      <c r="K184" t="n">
        <v>0</v>
      </c>
      <c r="L184" t="n">
        <v>0</v>
      </c>
      <c r="M184" t="n">
        <v>0</v>
      </c>
      <c r="N184" t="n">
        <v>0</v>
      </c>
      <c r="O184" t="n">
        <v>0</v>
      </c>
      <c r="P184" t="n">
        <v>0</v>
      </c>
      <c r="Q184" t="n">
        <v>0</v>
      </c>
      <c r="R184" s="2" t="inlineStr"/>
    </row>
    <row r="185" ht="15" customHeight="1">
      <c r="A185" t="inlineStr">
        <is>
          <t>A 24969-2025</t>
        </is>
      </c>
      <c r="B185" s="1" t="n">
        <v>45799</v>
      </c>
      <c r="C185" s="1" t="n">
        <v>46046</v>
      </c>
      <c r="D185" t="inlineStr">
        <is>
          <t>DALARNAS LÄN</t>
        </is>
      </c>
      <c r="E185" t="inlineStr">
        <is>
          <t>ORSA</t>
        </is>
      </c>
      <c r="F185" t="inlineStr">
        <is>
          <t>Allmännings- och besparingsskogar</t>
        </is>
      </c>
      <c r="G185" t="n">
        <v>2.6</v>
      </c>
      <c r="H185" t="n">
        <v>0</v>
      </c>
      <c r="I185" t="n">
        <v>0</v>
      </c>
      <c r="J185" t="n">
        <v>0</v>
      </c>
      <c r="K185" t="n">
        <v>0</v>
      </c>
      <c r="L185" t="n">
        <v>0</v>
      </c>
      <c r="M185" t="n">
        <v>0</v>
      </c>
      <c r="N185" t="n">
        <v>0</v>
      </c>
      <c r="O185" t="n">
        <v>0</v>
      </c>
      <c r="P185" t="n">
        <v>0</v>
      </c>
      <c r="Q185" t="n">
        <v>0</v>
      </c>
      <c r="R185" s="2" t="inlineStr"/>
    </row>
    <row r="186" ht="15" customHeight="1">
      <c r="A186" t="inlineStr">
        <is>
          <t>A 51915-2022</t>
        </is>
      </c>
      <c r="B186" s="1" t="n">
        <v>44872.62795138889</v>
      </c>
      <c r="C186" s="1" t="n">
        <v>46046</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17850-2025</t>
        </is>
      </c>
      <c r="B187" s="1" t="n">
        <v>45758.60162037037</v>
      </c>
      <c r="C187" s="1" t="n">
        <v>46046</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25211-2025</t>
        </is>
      </c>
      <c r="B188" s="1" t="n">
        <v>45800.46965277778</v>
      </c>
      <c r="C188" s="1" t="n">
        <v>46046</v>
      </c>
      <c r="D188" t="inlineStr">
        <is>
          <t>DALARNAS LÄN</t>
        </is>
      </c>
      <c r="E188" t="inlineStr">
        <is>
          <t>ORSA</t>
        </is>
      </c>
      <c r="F188" t="inlineStr">
        <is>
          <t>Bergvik skog öst AB</t>
        </is>
      </c>
      <c r="G188" t="n">
        <v>0.7</v>
      </c>
      <c r="H188" t="n">
        <v>0</v>
      </c>
      <c r="I188" t="n">
        <v>0</v>
      </c>
      <c r="J188" t="n">
        <v>0</v>
      </c>
      <c r="K188" t="n">
        <v>0</v>
      </c>
      <c r="L188" t="n">
        <v>0</v>
      </c>
      <c r="M188" t="n">
        <v>0</v>
      </c>
      <c r="N188" t="n">
        <v>0</v>
      </c>
      <c r="O188" t="n">
        <v>0</v>
      </c>
      <c r="P188" t="n">
        <v>0</v>
      </c>
      <c r="Q188" t="n">
        <v>0</v>
      </c>
      <c r="R188" s="2" t="inlineStr"/>
    </row>
    <row r="189" ht="15" customHeight="1">
      <c r="A189" t="inlineStr">
        <is>
          <t>A 986-2025</t>
        </is>
      </c>
      <c r="B189" s="1" t="n">
        <v>45666.42952546296</v>
      </c>
      <c r="C189" s="1" t="n">
        <v>46046</v>
      </c>
      <c r="D189" t="inlineStr">
        <is>
          <t>DALARNAS LÄN</t>
        </is>
      </c>
      <c r="E189" t="inlineStr">
        <is>
          <t>ORSA</t>
        </is>
      </c>
      <c r="G189" t="n">
        <v>5.7</v>
      </c>
      <c r="H189" t="n">
        <v>0</v>
      </c>
      <c r="I189" t="n">
        <v>0</v>
      </c>
      <c r="J189" t="n">
        <v>0</v>
      </c>
      <c r="K189" t="n">
        <v>0</v>
      </c>
      <c r="L189" t="n">
        <v>0</v>
      </c>
      <c r="M189" t="n">
        <v>0</v>
      </c>
      <c r="N189" t="n">
        <v>0</v>
      </c>
      <c r="O189" t="n">
        <v>0</v>
      </c>
      <c r="P189" t="n">
        <v>0</v>
      </c>
      <c r="Q189" t="n">
        <v>0</v>
      </c>
      <c r="R189" s="2" t="inlineStr"/>
    </row>
    <row r="190" ht="15" customHeight="1">
      <c r="A190" t="inlineStr">
        <is>
          <t>A 37931-2023</t>
        </is>
      </c>
      <c r="B190" s="1" t="n">
        <v>45160.51721064815</v>
      </c>
      <c r="C190" s="1" t="n">
        <v>46046</v>
      </c>
      <c r="D190" t="inlineStr">
        <is>
          <t>DALARNAS LÄN</t>
        </is>
      </c>
      <c r="E190" t="inlineStr">
        <is>
          <t>ORSA</t>
        </is>
      </c>
      <c r="G190" t="n">
        <v>2.6</v>
      </c>
      <c r="H190" t="n">
        <v>0</v>
      </c>
      <c r="I190" t="n">
        <v>0</v>
      </c>
      <c r="J190" t="n">
        <v>0</v>
      </c>
      <c r="K190" t="n">
        <v>0</v>
      </c>
      <c r="L190" t="n">
        <v>0</v>
      </c>
      <c r="M190" t="n">
        <v>0</v>
      </c>
      <c r="N190" t="n">
        <v>0</v>
      </c>
      <c r="O190" t="n">
        <v>0</v>
      </c>
      <c r="P190" t="n">
        <v>0</v>
      </c>
      <c r="Q190" t="n">
        <v>0</v>
      </c>
      <c r="R190" s="2" t="inlineStr"/>
    </row>
    <row r="191" ht="15" customHeight="1">
      <c r="A191" t="inlineStr">
        <is>
          <t>A 41291-2021</t>
        </is>
      </c>
      <c r="B191" s="1" t="n">
        <v>44424</v>
      </c>
      <c r="C191" s="1" t="n">
        <v>46046</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21446-2024</t>
        </is>
      </c>
      <c r="B192" s="1" t="n">
        <v>45441.45840277777</v>
      </c>
      <c r="C192" s="1" t="n">
        <v>46046</v>
      </c>
      <c r="D192" t="inlineStr">
        <is>
          <t>DALARNAS LÄN</t>
        </is>
      </c>
      <c r="E192" t="inlineStr">
        <is>
          <t>ORSA</t>
        </is>
      </c>
      <c r="G192" t="n">
        <v>1.6</v>
      </c>
      <c r="H192" t="n">
        <v>0</v>
      </c>
      <c r="I192" t="n">
        <v>0</v>
      </c>
      <c r="J192" t="n">
        <v>0</v>
      </c>
      <c r="K192" t="n">
        <v>0</v>
      </c>
      <c r="L192" t="n">
        <v>0</v>
      </c>
      <c r="M192" t="n">
        <v>0</v>
      </c>
      <c r="N192" t="n">
        <v>0</v>
      </c>
      <c r="O192" t="n">
        <v>0</v>
      </c>
      <c r="P192" t="n">
        <v>0</v>
      </c>
      <c r="Q192" t="n">
        <v>0</v>
      </c>
      <c r="R192" s="2" t="inlineStr"/>
    </row>
    <row r="193" ht="15" customHeight="1">
      <c r="A193" t="inlineStr">
        <is>
          <t>A 18817-2023</t>
        </is>
      </c>
      <c r="B193" s="1" t="n">
        <v>45043</v>
      </c>
      <c r="C193" s="1" t="n">
        <v>46046</v>
      </c>
      <c r="D193" t="inlineStr">
        <is>
          <t>DALARNAS LÄN</t>
        </is>
      </c>
      <c r="E193" t="inlineStr">
        <is>
          <t>ORSA</t>
        </is>
      </c>
      <c r="G193" t="n">
        <v>4.4</v>
      </c>
      <c r="H193" t="n">
        <v>0</v>
      </c>
      <c r="I193" t="n">
        <v>0</v>
      </c>
      <c r="J193" t="n">
        <v>0</v>
      </c>
      <c r="K193" t="n">
        <v>0</v>
      </c>
      <c r="L193" t="n">
        <v>0</v>
      </c>
      <c r="M193" t="n">
        <v>0</v>
      </c>
      <c r="N193" t="n">
        <v>0</v>
      </c>
      <c r="O193" t="n">
        <v>0</v>
      </c>
      <c r="P193" t="n">
        <v>0</v>
      </c>
      <c r="Q193" t="n">
        <v>0</v>
      </c>
      <c r="R193" s="2" t="inlineStr"/>
    </row>
    <row r="194" ht="15" customHeight="1">
      <c r="A194" t="inlineStr">
        <is>
          <t>A 42513-2024</t>
        </is>
      </c>
      <c r="B194" s="1" t="n">
        <v>45565.53810185185</v>
      </c>
      <c r="C194" s="1" t="n">
        <v>46046</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42517-2024</t>
        </is>
      </c>
      <c r="B195" s="1" t="n">
        <v>45565.54078703704</v>
      </c>
      <c r="C195" s="1" t="n">
        <v>46046</v>
      </c>
      <c r="D195" t="inlineStr">
        <is>
          <t>DALARNAS LÄN</t>
        </is>
      </c>
      <c r="E195" t="inlineStr">
        <is>
          <t>ORSA</t>
        </is>
      </c>
      <c r="G195" t="n">
        <v>3</v>
      </c>
      <c r="H195" t="n">
        <v>0</v>
      </c>
      <c r="I195" t="n">
        <v>0</v>
      </c>
      <c r="J195" t="n">
        <v>0</v>
      </c>
      <c r="K195" t="n">
        <v>0</v>
      </c>
      <c r="L195" t="n">
        <v>0</v>
      </c>
      <c r="M195" t="n">
        <v>0</v>
      </c>
      <c r="N195" t="n">
        <v>0</v>
      </c>
      <c r="O195" t="n">
        <v>0</v>
      </c>
      <c r="P195" t="n">
        <v>0</v>
      </c>
      <c r="Q195" t="n">
        <v>0</v>
      </c>
      <c r="R195" s="2" t="inlineStr"/>
    </row>
    <row r="196" ht="15" customHeight="1">
      <c r="A196" t="inlineStr">
        <is>
          <t>A 32125-2024</t>
        </is>
      </c>
      <c r="B196" s="1" t="n">
        <v>45511</v>
      </c>
      <c r="C196" s="1" t="n">
        <v>46046</v>
      </c>
      <c r="D196" t="inlineStr">
        <is>
          <t>DALARNAS LÄN</t>
        </is>
      </c>
      <c r="E196" t="inlineStr">
        <is>
          <t>ORSA</t>
        </is>
      </c>
      <c r="F196" t="inlineStr">
        <is>
          <t>Allmännings- och besparingsskogar</t>
        </is>
      </c>
      <c r="G196" t="n">
        <v>5.2</v>
      </c>
      <c r="H196" t="n">
        <v>0</v>
      </c>
      <c r="I196" t="n">
        <v>0</v>
      </c>
      <c r="J196" t="n">
        <v>0</v>
      </c>
      <c r="K196" t="n">
        <v>0</v>
      </c>
      <c r="L196" t="n">
        <v>0</v>
      </c>
      <c r="M196" t="n">
        <v>0</v>
      </c>
      <c r="N196" t="n">
        <v>0</v>
      </c>
      <c r="O196" t="n">
        <v>0</v>
      </c>
      <c r="P196" t="n">
        <v>0</v>
      </c>
      <c r="Q196" t="n">
        <v>0</v>
      </c>
      <c r="R196" s="2" t="inlineStr"/>
    </row>
    <row r="197" ht="15" customHeight="1">
      <c r="A197" t="inlineStr">
        <is>
          <t>A 51563-2023</t>
        </is>
      </c>
      <c r="B197" s="1" t="n">
        <v>45222</v>
      </c>
      <c r="C197" s="1" t="n">
        <v>46046</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5435-2025</t>
        </is>
      </c>
      <c r="B198" s="1" t="n">
        <v>45692</v>
      </c>
      <c r="C198" s="1" t="n">
        <v>46046</v>
      </c>
      <c r="D198" t="inlineStr">
        <is>
          <t>DALARNAS LÄN</t>
        </is>
      </c>
      <c r="E198" t="inlineStr">
        <is>
          <t>ORSA</t>
        </is>
      </c>
      <c r="G198" t="n">
        <v>7.8</v>
      </c>
      <c r="H198" t="n">
        <v>0</v>
      </c>
      <c r="I198" t="n">
        <v>0</v>
      </c>
      <c r="J198" t="n">
        <v>0</v>
      </c>
      <c r="K198" t="n">
        <v>0</v>
      </c>
      <c r="L198" t="n">
        <v>0</v>
      </c>
      <c r="M198" t="n">
        <v>0</v>
      </c>
      <c r="N198" t="n">
        <v>0</v>
      </c>
      <c r="O198" t="n">
        <v>0</v>
      </c>
      <c r="P198" t="n">
        <v>0</v>
      </c>
      <c r="Q198" t="n">
        <v>0</v>
      </c>
      <c r="R198" s="2" t="inlineStr"/>
    </row>
    <row r="199" ht="15" customHeight="1">
      <c r="A199" t="inlineStr">
        <is>
          <t>A 56975-2023</t>
        </is>
      </c>
      <c r="B199" s="1" t="n">
        <v>45244</v>
      </c>
      <c r="C199" s="1" t="n">
        <v>46046</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61279-2023</t>
        </is>
      </c>
      <c r="B200" s="1" t="n">
        <v>45264.5270949074</v>
      </c>
      <c r="C200" s="1" t="n">
        <v>46046</v>
      </c>
      <c r="D200" t="inlineStr">
        <is>
          <t>DALARNAS LÄN</t>
        </is>
      </c>
      <c r="E200" t="inlineStr">
        <is>
          <t>ORSA</t>
        </is>
      </c>
      <c r="G200" t="n">
        <v>0.2</v>
      </c>
      <c r="H200" t="n">
        <v>0</v>
      </c>
      <c r="I200" t="n">
        <v>0</v>
      </c>
      <c r="J200" t="n">
        <v>0</v>
      </c>
      <c r="K200" t="n">
        <v>0</v>
      </c>
      <c r="L200" t="n">
        <v>0</v>
      </c>
      <c r="M200" t="n">
        <v>0</v>
      </c>
      <c r="N200" t="n">
        <v>0</v>
      </c>
      <c r="O200" t="n">
        <v>0</v>
      </c>
      <c r="P200" t="n">
        <v>0</v>
      </c>
      <c r="Q200" t="n">
        <v>0</v>
      </c>
      <c r="R200" s="2" t="inlineStr"/>
    </row>
    <row r="201" ht="15" customHeight="1">
      <c r="A201" t="inlineStr">
        <is>
          <t>A 50742-2023</t>
        </is>
      </c>
      <c r="B201" s="1" t="n">
        <v>45217.58891203703</v>
      </c>
      <c r="C201" s="1" t="n">
        <v>46046</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63371-2023</t>
        </is>
      </c>
      <c r="B202" s="1" t="n">
        <v>45274.47642361111</v>
      </c>
      <c r="C202" s="1" t="n">
        <v>46046</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16392-2024</t>
        </is>
      </c>
      <c r="B203" s="1" t="n">
        <v>45407.62380787037</v>
      </c>
      <c r="C203" s="1" t="n">
        <v>46046</v>
      </c>
      <c r="D203" t="inlineStr">
        <is>
          <t>DALARNAS LÄN</t>
        </is>
      </c>
      <c r="E203" t="inlineStr">
        <is>
          <t>ORSA</t>
        </is>
      </c>
      <c r="G203" t="n">
        <v>3.4</v>
      </c>
      <c r="H203" t="n">
        <v>0</v>
      </c>
      <c r="I203" t="n">
        <v>0</v>
      </c>
      <c r="J203" t="n">
        <v>0</v>
      </c>
      <c r="K203" t="n">
        <v>0</v>
      </c>
      <c r="L203" t="n">
        <v>0</v>
      </c>
      <c r="M203" t="n">
        <v>0</v>
      </c>
      <c r="N203" t="n">
        <v>0</v>
      </c>
      <c r="O203" t="n">
        <v>0</v>
      </c>
      <c r="P203" t="n">
        <v>0</v>
      </c>
      <c r="Q203" t="n">
        <v>0</v>
      </c>
      <c r="R203" s="2" t="inlineStr"/>
    </row>
    <row r="204" ht="15" customHeight="1">
      <c r="A204" t="inlineStr">
        <is>
          <t>A 26741-2025</t>
        </is>
      </c>
      <c r="B204" s="1" t="n">
        <v>45810.52444444445</v>
      </c>
      <c r="C204" s="1" t="n">
        <v>46046</v>
      </c>
      <c r="D204" t="inlineStr">
        <is>
          <t>DALARNAS LÄN</t>
        </is>
      </c>
      <c r="E204" t="inlineStr">
        <is>
          <t>ORSA</t>
        </is>
      </c>
      <c r="G204" t="n">
        <v>0.7</v>
      </c>
      <c r="H204" t="n">
        <v>0</v>
      </c>
      <c r="I204" t="n">
        <v>0</v>
      </c>
      <c r="J204" t="n">
        <v>0</v>
      </c>
      <c r="K204" t="n">
        <v>0</v>
      </c>
      <c r="L204" t="n">
        <v>0</v>
      </c>
      <c r="M204" t="n">
        <v>0</v>
      </c>
      <c r="N204" t="n">
        <v>0</v>
      </c>
      <c r="O204" t="n">
        <v>0</v>
      </c>
      <c r="P204" t="n">
        <v>0</v>
      </c>
      <c r="Q204" t="n">
        <v>0</v>
      </c>
      <c r="R204" s="2" t="inlineStr"/>
    </row>
    <row r="205" ht="15" customHeight="1">
      <c r="A205" t="inlineStr">
        <is>
          <t>A 17421-2025</t>
        </is>
      </c>
      <c r="B205" s="1" t="n">
        <v>45757.38532407407</v>
      </c>
      <c r="C205" s="1" t="n">
        <v>46046</v>
      </c>
      <c r="D205" t="inlineStr">
        <is>
          <t>DALARNAS LÄN</t>
        </is>
      </c>
      <c r="E205" t="inlineStr">
        <is>
          <t>ORSA</t>
        </is>
      </c>
      <c r="F205" t="inlineStr">
        <is>
          <t>Bergvik skog öst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52776-2022</t>
        </is>
      </c>
      <c r="B206" s="1" t="n">
        <v>44875.36341435185</v>
      </c>
      <c r="C206" s="1" t="n">
        <v>46046</v>
      </c>
      <c r="D206" t="inlineStr">
        <is>
          <t>DALARNAS LÄN</t>
        </is>
      </c>
      <c r="E206" t="inlineStr">
        <is>
          <t>ORSA</t>
        </is>
      </c>
      <c r="F206" t="inlineStr">
        <is>
          <t>Allmännings- och besparingsskogar</t>
        </is>
      </c>
      <c r="G206" t="n">
        <v>4.4</v>
      </c>
      <c r="H206" t="n">
        <v>0</v>
      </c>
      <c r="I206" t="n">
        <v>0</v>
      </c>
      <c r="J206" t="n">
        <v>0</v>
      </c>
      <c r="K206" t="n">
        <v>0</v>
      </c>
      <c r="L206" t="n">
        <v>0</v>
      </c>
      <c r="M206" t="n">
        <v>0</v>
      </c>
      <c r="N206" t="n">
        <v>0</v>
      </c>
      <c r="O206" t="n">
        <v>0</v>
      </c>
      <c r="P206" t="n">
        <v>0</v>
      </c>
      <c r="Q206" t="n">
        <v>0</v>
      </c>
      <c r="R206" s="2" t="inlineStr"/>
    </row>
    <row r="207" ht="15" customHeight="1">
      <c r="A207" t="inlineStr">
        <is>
          <t>A 6492-2025</t>
        </is>
      </c>
      <c r="B207" s="1" t="n">
        <v>45699</v>
      </c>
      <c r="C207" s="1" t="n">
        <v>46046</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20302-2023</t>
        </is>
      </c>
      <c r="B208" s="1" t="n">
        <v>45056</v>
      </c>
      <c r="C208" s="1" t="n">
        <v>46046</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20349-2021</t>
        </is>
      </c>
      <c r="B209" s="1" t="n">
        <v>44315.41582175926</v>
      </c>
      <c r="C209" s="1" t="n">
        <v>46046</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33488-2024</t>
        </is>
      </c>
      <c r="B210" s="1" t="n">
        <v>45519.61466435185</v>
      </c>
      <c r="C210" s="1" t="n">
        <v>46046</v>
      </c>
      <c r="D210" t="inlineStr">
        <is>
          <t>DALARNAS LÄN</t>
        </is>
      </c>
      <c r="E210" t="inlineStr">
        <is>
          <t>ORSA</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8579-2025</t>
        </is>
      </c>
      <c r="B211" s="1" t="n">
        <v>45709</v>
      </c>
      <c r="C211" s="1" t="n">
        <v>46046</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46046</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33673-2023</t>
        </is>
      </c>
      <c r="B213" s="1" t="n">
        <v>45132</v>
      </c>
      <c r="C213" s="1" t="n">
        <v>46046</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27190-2025</t>
        </is>
      </c>
      <c r="B214" s="1" t="n">
        <v>45812.37025462963</v>
      </c>
      <c r="C214" s="1" t="n">
        <v>46046</v>
      </c>
      <c r="D214" t="inlineStr">
        <is>
          <t>DALARNAS LÄN</t>
        </is>
      </c>
      <c r="E214" t="inlineStr">
        <is>
          <t>ORSA</t>
        </is>
      </c>
      <c r="F214" t="inlineStr">
        <is>
          <t>Bergvik skog öst AB</t>
        </is>
      </c>
      <c r="G214" t="n">
        <v>4.9</v>
      </c>
      <c r="H214" t="n">
        <v>0</v>
      </c>
      <c r="I214" t="n">
        <v>0</v>
      </c>
      <c r="J214" t="n">
        <v>0</v>
      </c>
      <c r="K214" t="n">
        <v>0</v>
      </c>
      <c r="L214" t="n">
        <v>0</v>
      </c>
      <c r="M214" t="n">
        <v>0</v>
      </c>
      <c r="N214" t="n">
        <v>0</v>
      </c>
      <c r="O214" t="n">
        <v>0</v>
      </c>
      <c r="P214" t="n">
        <v>0</v>
      </c>
      <c r="Q214" t="n">
        <v>0</v>
      </c>
      <c r="R214" s="2" t="inlineStr"/>
    </row>
    <row r="215" ht="15" customHeight="1">
      <c r="A215" t="inlineStr">
        <is>
          <t>A 24083-2021</t>
        </is>
      </c>
      <c r="B215" s="1" t="n">
        <v>44336</v>
      </c>
      <c r="C215" s="1" t="n">
        <v>46046</v>
      </c>
      <c r="D215" t="inlineStr">
        <is>
          <t>DALARNAS LÄN</t>
        </is>
      </c>
      <c r="E215" t="inlineStr">
        <is>
          <t>ORSA</t>
        </is>
      </c>
      <c r="G215" t="n">
        <v>2.3</v>
      </c>
      <c r="H215" t="n">
        <v>0</v>
      </c>
      <c r="I215" t="n">
        <v>0</v>
      </c>
      <c r="J215" t="n">
        <v>0</v>
      </c>
      <c r="K215" t="n">
        <v>0</v>
      </c>
      <c r="L215" t="n">
        <v>0</v>
      </c>
      <c r="M215" t="n">
        <v>0</v>
      </c>
      <c r="N215" t="n">
        <v>0</v>
      </c>
      <c r="O215" t="n">
        <v>0</v>
      </c>
      <c r="P215" t="n">
        <v>0</v>
      </c>
      <c r="Q215" t="n">
        <v>0</v>
      </c>
      <c r="R215" s="2" t="inlineStr"/>
    </row>
    <row r="216" ht="15" customHeight="1">
      <c r="A216" t="inlineStr">
        <is>
          <t>A 27221-2025</t>
        </is>
      </c>
      <c r="B216" s="1" t="n">
        <v>45812.42304398148</v>
      </c>
      <c r="C216" s="1" t="n">
        <v>46046</v>
      </c>
      <c r="D216" t="inlineStr">
        <is>
          <t>DALARNAS LÄN</t>
        </is>
      </c>
      <c r="E216" t="inlineStr">
        <is>
          <t>ORSA</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6490-2025</t>
        </is>
      </c>
      <c r="B217" s="1" t="n">
        <v>45699</v>
      </c>
      <c r="C217" s="1" t="n">
        <v>46046</v>
      </c>
      <c r="D217" t="inlineStr">
        <is>
          <t>DALARNAS LÄN</t>
        </is>
      </c>
      <c r="E217" t="inlineStr">
        <is>
          <t>ORSA</t>
        </is>
      </c>
      <c r="G217" t="n">
        <v>7.5</v>
      </c>
      <c r="H217" t="n">
        <v>0</v>
      </c>
      <c r="I217" t="n">
        <v>0</v>
      </c>
      <c r="J217" t="n">
        <v>0</v>
      </c>
      <c r="K217" t="n">
        <v>0</v>
      </c>
      <c r="L217" t="n">
        <v>0</v>
      </c>
      <c r="M217" t="n">
        <v>0</v>
      </c>
      <c r="N217" t="n">
        <v>0</v>
      </c>
      <c r="O217" t="n">
        <v>0</v>
      </c>
      <c r="P217" t="n">
        <v>0</v>
      </c>
      <c r="Q217" t="n">
        <v>0</v>
      </c>
      <c r="R217" s="2" t="inlineStr"/>
    </row>
    <row r="218" ht="15" customHeight="1">
      <c r="A218" t="inlineStr">
        <is>
          <t>A 27313-2025</t>
        </is>
      </c>
      <c r="B218" s="1" t="n">
        <v>45812.58365740741</v>
      </c>
      <c r="C218" s="1" t="n">
        <v>46046</v>
      </c>
      <c r="D218" t="inlineStr">
        <is>
          <t>DALARNAS LÄN</t>
        </is>
      </c>
      <c r="E218" t="inlineStr">
        <is>
          <t>ORSA</t>
        </is>
      </c>
      <c r="F218" t="inlineStr">
        <is>
          <t>Allmännings- och besparingsskogar</t>
        </is>
      </c>
      <c r="G218" t="n">
        <v>1.4</v>
      </c>
      <c r="H218" t="n">
        <v>0</v>
      </c>
      <c r="I218" t="n">
        <v>0</v>
      </c>
      <c r="J218" t="n">
        <v>0</v>
      </c>
      <c r="K218" t="n">
        <v>0</v>
      </c>
      <c r="L218" t="n">
        <v>0</v>
      </c>
      <c r="M218" t="n">
        <v>0</v>
      </c>
      <c r="N218" t="n">
        <v>0</v>
      </c>
      <c r="O218" t="n">
        <v>0</v>
      </c>
      <c r="P218" t="n">
        <v>0</v>
      </c>
      <c r="Q218" t="n">
        <v>0</v>
      </c>
      <c r="R218" s="2" t="inlineStr"/>
    </row>
    <row r="219" ht="15" customHeight="1">
      <c r="A219" t="inlineStr">
        <is>
          <t>A 28155-2023</t>
        </is>
      </c>
      <c r="B219" s="1" t="n">
        <v>45099</v>
      </c>
      <c r="C219" s="1" t="n">
        <v>46046</v>
      </c>
      <c r="D219" t="inlineStr">
        <is>
          <t>DALARNAS LÄN</t>
        </is>
      </c>
      <c r="E219" t="inlineStr">
        <is>
          <t>ORSA</t>
        </is>
      </c>
      <c r="F219" t="inlineStr">
        <is>
          <t>Bergvik skog öst AB</t>
        </is>
      </c>
      <c r="G219" t="n">
        <v>7.8</v>
      </c>
      <c r="H219" t="n">
        <v>0</v>
      </c>
      <c r="I219" t="n">
        <v>0</v>
      </c>
      <c r="J219" t="n">
        <v>0</v>
      </c>
      <c r="K219" t="n">
        <v>0</v>
      </c>
      <c r="L219" t="n">
        <v>0</v>
      </c>
      <c r="M219" t="n">
        <v>0</v>
      </c>
      <c r="N219" t="n">
        <v>0</v>
      </c>
      <c r="O219" t="n">
        <v>0</v>
      </c>
      <c r="P219" t="n">
        <v>0</v>
      </c>
      <c r="Q219" t="n">
        <v>0</v>
      </c>
      <c r="R219" s="2" t="inlineStr"/>
    </row>
    <row r="220" ht="15" customHeight="1">
      <c r="A220" t="inlineStr">
        <is>
          <t>A 51994-2023</t>
        </is>
      </c>
      <c r="B220" s="1" t="n">
        <v>45223.5884375</v>
      </c>
      <c r="C220" s="1" t="n">
        <v>46046</v>
      </c>
      <c r="D220" t="inlineStr">
        <is>
          <t>DALARNAS LÄN</t>
        </is>
      </c>
      <c r="E220" t="inlineStr">
        <is>
          <t>ORSA</t>
        </is>
      </c>
      <c r="G220" t="n">
        <v>10.7</v>
      </c>
      <c r="H220" t="n">
        <v>0</v>
      </c>
      <c r="I220" t="n">
        <v>0</v>
      </c>
      <c r="J220" t="n">
        <v>0</v>
      </c>
      <c r="K220" t="n">
        <v>0</v>
      </c>
      <c r="L220" t="n">
        <v>0</v>
      </c>
      <c r="M220" t="n">
        <v>0</v>
      </c>
      <c r="N220" t="n">
        <v>0</v>
      </c>
      <c r="O220" t="n">
        <v>0</v>
      </c>
      <c r="P220" t="n">
        <v>0</v>
      </c>
      <c r="Q220" t="n">
        <v>0</v>
      </c>
      <c r="R220" s="2" t="inlineStr"/>
    </row>
    <row r="221" ht="15" customHeight="1">
      <c r="A221" t="inlineStr">
        <is>
          <t>A 37838-2024</t>
        </is>
      </c>
      <c r="B221" s="1" t="n">
        <v>45544.36310185185</v>
      </c>
      <c r="C221" s="1" t="n">
        <v>46046</v>
      </c>
      <c r="D221" t="inlineStr">
        <is>
          <t>DALARNAS LÄN</t>
        </is>
      </c>
      <c r="E221" t="inlineStr">
        <is>
          <t>ORSA</t>
        </is>
      </c>
      <c r="G221" t="n">
        <v>2.9</v>
      </c>
      <c r="H221" t="n">
        <v>0</v>
      </c>
      <c r="I221" t="n">
        <v>0</v>
      </c>
      <c r="J221" t="n">
        <v>0</v>
      </c>
      <c r="K221" t="n">
        <v>0</v>
      </c>
      <c r="L221" t="n">
        <v>0</v>
      </c>
      <c r="M221" t="n">
        <v>0</v>
      </c>
      <c r="N221" t="n">
        <v>0</v>
      </c>
      <c r="O221" t="n">
        <v>0</v>
      </c>
      <c r="P221" t="n">
        <v>0</v>
      </c>
      <c r="Q221" t="n">
        <v>0</v>
      </c>
      <c r="R221" s="2" t="inlineStr"/>
    </row>
    <row r="222" ht="15" customHeight="1">
      <c r="A222" t="inlineStr">
        <is>
          <t>A 34708-2021</t>
        </is>
      </c>
      <c r="B222" s="1" t="n">
        <v>44382</v>
      </c>
      <c r="C222" s="1" t="n">
        <v>46046</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18037-2023</t>
        </is>
      </c>
      <c r="B223" s="1" t="n">
        <v>45040</v>
      </c>
      <c r="C223" s="1" t="n">
        <v>46046</v>
      </c>
      <c r="D223" t="inlineStr">
        <is>
          <t>DALARNAS LÄN</t>
        </is>
      </c>
      <c r="E223" t="inlineStr">
        <is>
          <t>ORSA</t>
        </is>
      </c>
      <c r="G223" t="n">
        <v>6.6</v>
      </c>
      <c r="H223" t="n">
        <v>0</v>
      </c>
      <c r="I223" t="n">
        <v>0</v>
      </c>
      <c r="J223" t="n">
        <v>0</v>
      </c>
      <c r="K223" t="n">
        <v>0</v>
      </c>
      <c r="L223" t="n">
        <v>0</v>
      </c>
      <c r="M223" t="n">
        <v>0</v>
      </c>
      <c r="N223" t="n">
        <v>0</v>
      </c>
      <c r="O223" t="n">
        <v>0</v>
      </c>
      <c r="P223" t="n">
        <v>0</v>
      </c>
      <c r="Q223" t="n">
        <v>0</v>
      </c>
      <c r="R223" s="2" t="inlineStr"/>
    </row>
    <row r="224" ht="15" customHeight="1">
      <c r="A224" t="inlineStr">
        <is>
          <t>A 52816-2024</t>
        </is>
      </c>
      <c r="B224" s="1" t="n">
        <v>45610.58322916667</v>
      </c>
      <c r="C224" s="1" t="n">
        <v>46046</v>
      </c>
      <c r="D224" t="inlineStr">
        <is>
          <t>DALARNAS LÄN</t>
        </is>
      </c>
      <c r="E224" t="inlineStr">
        <is>
          <t>ORSA</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27866-2025</t>
        </is>
      </c>
      <c r="B225" s="1" t="n">
        <v>45817.4262962963</v>
      </c>
      <c r="C225" s="1" t="n">
        <v>46046</v>
      </c>
      <c r="D225" t="inlineStr">
        <is>
          <t>DALARNAS LÄN</t>
        </is>
      </c>
      <c r="E225" t="inlineStr">
        <is>
          <t>ORSA</t>
        </is>
      </c>
      <c r="F225" t="inlineStr">
        <is>
          <t>Allmännings- och besparingsskogar</t>
        </is>
      </c>
      <c r="G225" t="n">
        <v>6</v>
      </c>
      <c r="H225" t="n">
        <v>0</v>
      </c>
      <c r="I225" t="n">
        <v>0</v>
      </c>
      <c r="J225" t="n">
        <v>0</v>
      </c>
      <c r="K225" t="n">
        <v>0</v>
      </c>
      <c r="L225" t="n">
        <v>0</v>
      </c>
      <c r="M225" t="n">
        <v>0</v>
      </c>
      <c r="N225" t="n">
        <v>0</v>
      </c>
      <c r="O225" t="n">
        <v>0</v>
      </c>
      <c r="P225" t="n">
        <v>0</v>
      </c>
      <c r="Q225" t="n">
        <v>0</v>
      </c>
      <c r="R225" s="2" t="inlineStr"/>
    </row>
    <row r="226" ht="15" customHeight="1">
      <c r="A226" t="inlineStr">
        <is>
          <t>A 50905-2021</t>
        </is>
      </c>
      <c r="B226" s="1" t="n">
        <v>44460</v>
      </c>
      <c r="C226" s="1" t="n">
        <v>46046</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28388-2024</t>
        </is>
      </c>
      <c r="B227" s="1" t="n">
        <v>45477.59960648148</v>
      </c>
      <c r="C227" s="1" t="n">
        <v>46046</v>
      </c>
      <c r="D227" t="inlineStr">
        <is>
          <t>DALARNAS LÄN</t>
        </is>
      </c>
      <c r="E227" t="inlineStr">
        <is>
          <t>ORSA</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27885-2025</t>
        </is>
      </c>
      <c r="B228" s="1" t="n">
        <v>45817.45034722222</v>
      </c>
      <c r="C228" s="1" t="n">
        <v>46046</v>
      </c>
      <c r="D228" t="inlineStr">
        <is>
          <t>DALARNAS LÄN</t>
        </is>
      </c>
      <c r="E228" t="inlineStr">
        <is>
          <t>ORSA</t>
        </is>
      </c>
      <c r="F228" t="inlineStr">
        <is>
          <t>Allmännings- och besparingsskogar</t>
        </is>
      </c>
      <c r="G228" t="n">
        <v>3.4</v>
      </c>
      <c r="H228" t="n">
        <v>0</v>
      </c>
      <c r="I228" t="n">
        <v>0</v>
      </c>
      <c r="J228" t="n">
        <v>0</v>
      </c>
      <c r="K228" t="n">
        <v>0</v>
      </c>
      <c r="L228" t="n">
        <v>0</v>
      </c>
      <c r="M228" t="n">
        <v>0</v>
      </c>
      <c r="N228" t="n">
        <v>0</v>
      </c>
      <c r="O228" t="n">
        <v>0</v>
      </c>
      <c r="P228" t="n">
        <v>0</v>
      </c>
      <c r="Q228" t="n">
        <v>0</v>
      </c>
      <c r="R228" s="2" t="inlineStr"/>
    </row>
    <row r="229" ht="15" customHeight="1">
      <c r="A229" t="inlineStr">
        <is>
          <t>A 27987-2025</t>
        </is>
      </c>
      <c r="B229" s="1" t="n">
        <v>45817.58361111111</v>
      </c>
      <c r="C229" s="1" t="n">
        <v>46046</v>
      </c>
      <c r="D229" t="inlineStr">
        <is>
          <t>DALARNAS LÄN</t>
        </is>
      </c>
      <c r="E229" t="inlineStr">
        <is>
          <t>ORSA</t>
        </is>
      </c>
      <c r="F229" t="inlineStr">
        <is>
          <t>Allmännings- och besparingsskogar</t>
        </is>
      </c>
      <c r="G229" t="n">
        <v>2.5</v>
      </c>
      <c r="H229" t="n">
        <v>0</v>
      </c>
      <c r="I229" t="n">
        <v>0</v>
      </c>
      <c r="J229" t="n">
        <v>0</v>
      </c>
      <c r="K229" t="n">
        <v>0</v>
      </c>
      <c r="L229" t="n">
        <v>0</v>
      </c>
      <c r="M229" t="n">
        <v>0</v>
      </c>
      <c r="N229" t="n">
        <v>0</v>
      </c>
      <c r="O229" t="n">
        <v>0</v>
      </c>
      <c r="P229" t="n">
        <v>0</v>
      </c>
      <c r="Q229" t="n">
        <v>0</v>
      </c>
      <c r="R229" s="2" t="inlineStr"/>
    </row>
    <row r="230" ht="15" customHeight="1">
      <c r="A230" t="inlineStr">
        <is>
          <t>A 52903-2024</t>
        </is>
      </c>
      <c r="B230" s="1" t="n">
        <v>45610.6875462963</v>
      </c>
      <c r="C230" s="1" t="n">
        <v>46046</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36569-2021</t>
        </is>
      </c>
      <c r="B231" s="1" t="n">
        <v>44391</v>
      </c>
      <c r="C231" s="1" t="n">
        <v>46046</v>
      </c>
      <c r="D231" t="inlineStr">
        <is>
          <t>DALARNAS LÄN</t>
        </is>
      </c>
      <c r="E231" t="inlineStr">
        <is>
          <t>ORSA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28207-2025</t>
        </is>
      </c>
      <c r="B232" s="1" t="n">
        <v>45818.44871527778</v>
      </c>
      <c r="C232" s="1" t="n">
        <v>46046</v>
      </c>
      <c r="D232" t="inlineStr">
        <is>
          <t>DALARNAS LÄN</t>
        </is>
      </c>
      <c r="E232" t="inlineStr">
        <is>
          <t>ORSA</t>
        </is>
      </c>
      <c r="F232" t="inlineStr">
        <is>
          <t>Bergvik skog öst AB</t>
        </is>
      </c>
      <c r="G232" t="n">
        <v>2.9</v>
      </c>
      <c r="H232" t="n">
        <v>0</v>
      </c>
      <c r="I232" t="n">
        <v>0</v>
      </c>
      <c r="J232" t="n">
        <v>0</v>
      </c>
      <c r="K232" t="n">
        <v>0</v>
      </c>
      <c r="L232" t="n">
        <v>0</v>
      </c>
      <c r="M232" t="n">
        <v>0</v>
      </c>
      <c r="N232" t="n">
        <v>0</v>
      </c>
      <c r="O232" t="n">
        <v>0</v>
      </c>
      <c r="P232" t="n">
        <v>0</v>
      </c>
      <c r="Q232" t="n">
        <v>0</v>
      </c>
      <c r="R232" s="2" t="inlineStr"/>
    </row>
    <row r="233" ht="15" customHeight="1">
      <c r="A233" t="inlineStr">
        <is>
          <t>A 28635-2025</t>
        </is>
      </c>
      <c r="B233" s="1" t="n">
        <v>45819.63112268518</v>
      </c>
      <c r="C233" s="1" t="n">
        <v>46046</v>
      </c>
      <c r="D233" t="inlineStr">
        <is>
          <t>DALARNAS LÄN</t>
        </is>
      </c>
      <c r="E233" t="inlineStr">
        <is>
          <t>ORSA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28317-2025</t>
        </is>
      </c>
      <c r="B234" s="1" t="n">
        <v>45818.6300462963</v>
      </c>
      <c r="C234" s="1" t="n">
        <v>46046</v>
      </c>
      <c r="D234" t="inlineStr">
        <is>
          <t>DALARNAS LÄN</t>
        </is>
      </c>
      <c r="E234" t="inlineStr">
        <is>
          <t>ORSA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28609-2025</t>
        </is>
      </c>
      <c r="B235" s="1" t="n">
        <v>45819.60303240741</v>
      </c>
      <c r="C235" s="1" t="n">
        <v>46046</v>
      </c>
      <c r="D235" t="inlineStr">
        <is>
          <t>DALARNAS LÄN</t>
        </is>
      </c>
      <c r="E235" t="inlineStr">
        <is>
          <t>ORSA</t>
        </is>
      </c>
      <c r="F235" t="inlineStr">
        <is>
          <t>Bergvik skog öst AB</t>
        </is>
      </c>
      <c r="G235" t="n">
        <v>9.1</v>
      </c>
      <c r="H235" t="n">
        <v>0</v>
      </c>
      <c r="I235" t="n">
        <v>0</v>
      </c>
      <c r="J235" t="n">
        <v>0</v>
      </c>
      <c r="K235" t="n">
        <v>0</v>
      </c>
      <c r="L235" t="n">
        <v>0</v>
      </c>
      <c r="M235" t="n">
        <v>0</v>
      </c>
      <c r="N235" t="n">
        <v>0</v>
      </c>
      <c r="O235" t="n">
        <v>0</v>
      </c>
      <c r="P235" t="n">
        <v>0</v>
      </c>
      <c r="Q235" t="n">
        <v>0</v>
      </c>
      <c r="R235" s="2" t="inlineStr"/>
    </row>
    <row r="236" ht="15" customHeight="1">
      <c r="A236" t="inlineStr">
        <is>
          <t>A 18009-2023</t>
        </is>
      </c>
      <c r="B236" s="1" t="n">
        <v>45040.56190972222</v>
      </c>
      <c r="C236" s="1" t="n">
        <v>46046</v>
      </c>
      <c r="D236" t="inlineStr">
        <is>
          <t>DALARNAS LÄN</t>
        </is>
      </c>
      <c r="E236" t="inlineStr">
        <is>
          <t>ORSA</t>
        </is>
      </c>
      <c r="G236" t="n">
        <v>5.8</v>
      </c>
      <c r="H236" t="n">
        <v>0</v>
      </c>
      <c r="I236" t="n">
        <v>0</v>
      </c>
      <c r="J236" t="n">
        <v>0</v>
      </c>
      <c r="K236" t="n">
        <v>0</v>
      </c>
      <c r="L236" t="n">
        <v>0</v>
      </c>
      <c r="M236" t="n">
        <v>0</v>
      </c>
      <c r="N236" t="n">
        <v>0</v>
      </c>
      <c r="O236" t="n">
        <v>0</v>
      </c>
      <c r="P236" t="n">
        <v>0</v>
      </c>
      <c r="Q236" t="n">
        <v>0</v>
      </c>
      <c r="R236" s="2" t="inlineStr"/>
    </row>
    <row r="237" ht="15" customHeight="1">
      <c r="A237" t="inlineStr">
        <is>
          <t>A 15766-2025</t>
        </is>
      </c>
      <c r="B237" s="1" t="n">
        <v>45748.58409722222</v>
      </c>
      <c r="C237" s="1" t="n">
        <v>46046</v>
      </c>
      <c r="D237" t="inlineStr">
        <is>
          <t>DALARNAS LÄN</t>
        </is>
      </c>
      <c r="E237" t="inlineStr">
        <is>
          <t>ORSA</t>
        </is>
      </c>
      <c r="F237" t="inlineStr">
        <is>
          <t>Bergvik skog öst AB</t>
        </is>
      </c>
      <c r="G237" t="n">
        <v>9</v>
      </c>
      <c r="H237" t="n">
        <v>0</v>
      </c>
      <c r="I237" t="n">
        <v>0</v>
      </c>
      <c r="J237" t="n">
        <v>0</v>
      </c>
      <c r="K237" t="n">
        <v>0</v>
      </c>
      <c r="L237" t="n">
        <v>0</v>
      </c>
      <c r="M237" t="n">
        <v>0</v>
      </c>
      <c r="N237" t="n">
        <v>0</v>
      </c>
      <c r="O237" t="n">
        <v>0</v>
      </c>
      <c r="P237" t="n">
        <v>0</v>
      </c>
      <c r="Q237" t="n">
        <v>0</v>
      </c>
      <c r="R237" s="2" t="inlineStr"/>
    </row>
    <row r="238" ht="15" customHeight="1">
      <c r="A238" t="inlineStr">
        <is>
          <t>A 55280-2024</t>
        </is>
      </c>
      <c r="B238" s="1" t="n">
        <v>45621.62524305555</v>
      </c>
      <c r="C238" s="1" t="n">
        <v>46046</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5921-2025</t>
        </is>
      </c>
      <c r="B239" s="1" t="n">
        <v>45695</v>
      </c>
      <c r="C239" s="1" t="n">
        <v>46046</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41295-2021</t>
        </is>
      </c>
      <c r="B240" s="1" t="n">
        <v>44424</v>
      </c>
      <c r="C240" s="1" t="n">
        <v>46046</v>
      </c>
      <c r="D240" t="inlineStr">
        <is>
          <t>DALARNAS LÄN</t>
        </is>
      </c>
      <c r="E240" t="inlineStr">
        <is>
          <t>ORSA</t>
        </is>
      </c>
      <c r="G240" t="n">
        <v>3.1</v>
      </c>
      <c r="H240" t="n">
        <v>0</v>
      </c>
      <c r="I240" t="n">
        <v>0</v>
      </c>
      <c r="J240" t="n">
        <v>0</v>
      </c>
      <c r="K240" t="n">
        <v>0</v>
      </c>
      <c r="L240" t="n">
        <v>0</v>
      </c>
      <c r="M240" t="n">
        <v>0</v>
      </c>
      <c r="N240" t="n">
        <v>0</v>
      </c>
      <c r="O240" t="n">
        <v>0</v>
      </c>
      <c r="P240" t="n">
        <v>0</v>
      </c>
      <c r="Q240" t="n">
        <v>0</v>
      </c>
      <c r="R240" s="2" t="inlineStr"/>
    </row>
    <row r="241" ht="15" customHeight="1">
      <c r="A241" t="inlineStr">
        <is>
          <t>A 31031-2023</t>
        </is>
      </c>
      <c r="B241" s="1" t="n">
        <v>45113</v>
      </c>
      <c r="C241" s="1" t="n">
        <v>46046</v>
      </c>
      <c r="D241" t="inlineStr">
        <is>
          <t>DALARNAS LÄN</t>
        </is>
      </c>
      <c r="E241" t="inlineStr">
        <is>
          <t>ORSA</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19024-2021</t>
        </is>
      </c>
      <c r="B242" s="1" t="n">
        <v>44308.5053587963</v>
      </c>
      <c r="C242" s="1" t="n">
        <v>46046</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25761-2021</t>
        </is>
      </c>
      <c r="B243" s="1" t="n">
        <v>44343</v>
      </c>
      <c r="C243" s="1" t="n">
        <v>46046</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27542-2021</t>
        </is>
      </c>
      <c r="B244" s="1" t="n">
        <v>44351</v>
      </c>
      <c r="C244" s="1" t="n">
        <v>46046</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50392-2024</t>
        </is>
      </c>
      <c r="B245" s="1" t="n">
        <v>45601.33789351852</v>
      </c>
      <c r="C245" s="1" t="n">
        <v>46046</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21301-2023</t>
        </is>
      </c>
      <c r="B246" s="1" t="n">
        <v>45062.66613425926</v>
      </c>
      <c r="C246" s="1" t="n">
        <v>46046</v>
      </c>
      <c r="D246" t="inlineStr">
        <is>
          <t>DALARNAS LÄN</t>
        </is>
      </c>
      <c r="E246" t="inlineStr">
        <is>
          <t>ORSA</t>
        </is>
      </c>
      <c r="G246" t="n">
        <v>2.2</v>
      </c>
      <c r="H246" t="n">
        <v>0</v>
      </c>
      <c r="I246" t="n">
        <v>0</v>
      </c>
      <c r="J246" t="n">
        <v>0</v>
      </c>
      <c r="K246" t="n">
        <v>0</v>
      </c>
      <c r="L246" t="n">
        <v>0</v>
      </c>
      <c r="M246" t="n">
        <v>0</v>
      </c>
      <c r="N246" t="n">
        <v>0</v>
      </c>
      <c r="O246" t="n">
        <v>0</v>
      </c>
      <c r="P246" t="n">
        <v>0</v>
      </c>
      <c r="Q246" t="n">
        <v>0</v>
      </c>
      <c r="R246" s="2" t="inlineStr"/>
    </row>
    <row r="247" ht="15" customHeight="1">
      <c r="A247" t="inlineStr">
        <is>
          <t>A 10374-2023</t>
        </is>
      </c>
      <c r="B247" s="1" t="n">
        <v>44987.41359953704</v>
      </c>
      <c r="C247" s="1" t="n">
        <v>46046</v>
      </c>
      <c r="D247" t="inlineStr">
        <is>
          <t>DALARNAS LÄN</t>
        </is>
      </c>
      <c r="E247" t="inlineStr">
        <is>
          <t>ORSA</t>
        </is>
      </c>
      <c r="G247" t="n">
        <v>1.8</v>
      </c>
      <c r="H247" t="n">
        <v>0</v>
      </c>
      <c r="I247" t="n">
        <v>0</v>
      </c>
      <c r="J247" t="n">
        <v>0</v>
      </c>
      <c r="K247" t="n">
        <v>0</v>
      </c>
      <c r="L247" t="n">
        <v>0</v>
      </c>
      <c r="M247" t="n">
        <v>0</v>
      </c>
      <c r="N247" t="n">
        <v>0</v>
      </c>
      <c r="O247" t="n">
        <v>0</v>
      </c>
      <c r="P247" t="n">
        <v>0</v>
      </c>
      <c r="Q247" t="n">
        <v>0</v>
      </c>
      <c r="R247" s="2" t="inlineStr"/>
    </row>
    <row r="248" ht="15" customHeight="1">
      <c r="A248" t="inlineStr">
        <is>
          <t>A 42238-2023</t>
        </is>
      </c>
      <c r="B248" s="1" t="n">
        <v>45180.34207175926</v>
      </c>
      <c r="C248" s="1" t="n">
        <v>46046</v>
      </c>
      <c r="D248" t="inlineStr">
        <is>
          <t>DALARNAS LÄN</t>
        </is>
      </c>
      <c r="E248" t="inlineStr">
        <is>
          <t>ORSA</t>
        </is>
      </c>
      <c r="F248" t="inlineStr">
        <is>
          <t>Allmännings- och besparingsskogar</t>
        </is>
      </c>
      <c r="G248" t="n">
        <v>0.5</v>
      </c>
      <c r="H248" t="n">
        <v>0</v>
      </c>
      <c r="I248" t="n">
        <v>0</v>
      </c>
      <c r="J248" t="n">
        <v>0</v>
      </c>
      <c r="K248" t="n">
        <v>0</v>
      </c>
      <c r="L248" t="n">
        <v>0</v>
      </c>
      <c r="M248" t="n">
        <v>0</v>
      </c>
      <c r="N248" t="n">
        <v>0</v>
      </c>
      <c r="O248" t="n">
        <v>0</v>
      </c>
      <c r="P248" t="n">
        <v>0</v>
      </c>
      <c r="Q248" t="n">
        <v>0</v>
      </c>
      <c r="R248" s="2" t="inlineStr"/>
    </row>
    <row r="249" ht="15" customHeight="1">
      <c r="A249" t="inlineStr">
        <is>
          <t>A 28923-2024</t>
        </is>
      </c>
      <c r="B249" s="1" t="n">
        <v>45481</v>
      </c>
      <c r="C249" s="1" t="n">
        <v>46046</v>
      </c>
      <c r="D249" t="inlineStr">
        <is>
          <t>DALARNAS LÄN</t>
        </is>
      </c>
      <c r="E249" t="inlineStr">
        <is>
          <t>ORSA</t>
        </is>
      </c>
      <c r="F249" t="inlineStr">
        <is>
          <t>Allmännings- och besparingsskogar</t>
        </is>
      </c>
      <c r="G249" t="n">
        <v>13.9</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46046</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15113-2025</t>
        </is>
      </c>
      <c r="B251" s="1" t="n">
        <v>45744.36179398148</v>
      </c>
      <c r="C251" s="1" t="n">
        <v>46046</v>
      </c>
      <c r="D251" t="inlineStr">
        <is>
          <t>DALARNAS LÄN</t>
        </is>
      </c>
      <c r="E251" t="inlineStr">
        <is>
          <t>ORSA</t>
        </is>
      </c>
      <c r="F251" t="inlineStr">
        <is>
          <t>Allmännings- och besparingsskogar</t>
        </is>
      </c>
      <c r="G251" t="n">
        <v>3.3</v>
      </c>
      <c r="H251" t="n">
        <v>0</v>
      </c>
      <c r="I251" t="n">
        <v>0</v>
      </c>
      <c r="J251" t="n">
        <v>0</v>
      </c>
      <c r="K251" t="n">
        <v>0</v>
      </c>
      <c r="L251" t="n">
        <v>0</v>
      </c>
      <c r="M251" t="n">
        <v>0</v>
      </c>
      <c r="N251" t="n">
        <v>0</v>
      </c>
      <c r="O251" t="n">
        <v>0</v>
      </c>
      <c r="P251" t="n">
        <v>0</v>
      </c>
      <c r="Q251" t="n">
        <v>0</v>
      </c>
      <c r="R251" s="2" t="inlineStr"/>
    </row>
    <row r="252" ht="15" customHeight="1">
      <c r="A252" t="inlineStr">
        <is>
          <t>A 47564-2023</t>
        </is>
      </c>
      <c r="B252" s="1" t="n">
        <v>45203.40004629629</v>
      </c>
      <c r="C252" s="1" t="n">
        <v>46046</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19932-2021</t>
        </is>
      </c>
      <c r="B253" s="1" t="n">
        <v>44313.60207175926</v>
      </c>
      <c r="C253" s="1" t="n">
        <v>46046</v>
      </c>
      <c r="D253" t="inlineStr">
        <is>
          <t>DALARNAS LÄN</t>
        </is>
      </c>
      <c r="E253" t="inlineStr">
        <is>
          <t>ORSA</t>
        </is>
      </c>
      <c r="G253" t="n">
        <v>2</v>
      </c>
      <c r="H253" t="n">
        <v>0</v>
      </c>
      <c r="I253" t="n">
        <v>0</v>
      </c>
      <c r="J253" t="n">
        <v>0</v>
      </c>
      <c r="K253" t="n">
        <v>0</v>
      </c>
      <c r="L253" t="n">
        <v>0</v>
      </c>
      <c r="M253" t="n">
        <v>0</v>
      </c>
      <c r="N253" t="n">
        <v>0</v>
      </c>
      <c r="O253" t="n">
        <v>0</v>
      </c>
      <c r="P253" t="n">
        <v>0</v>
      </c>
      <c r="Q253" t="n">
        <v>0</v>
      </c>
      <c r="R253" s="2" t="inlineStr"/>
    </row>
    <row r="254" ht="15" customHeight="1">
      <c r="A254" t="inlineStr">
        <is>
          <t>A 47732-2022</t>
        </is>
      </c>
      <c r="B254" s="1" t="n">
        <v>44854.63668981481</v>
      </c>
      <c r="C254" s="1" t="n">
        <v>46046</v>
      </c>
      <c r="D254" t="inlineStr">
        <is>
          <t>DALARNAS LÄN</t>
        </is>
      </c>
      <c r="E254" t="inlineStr">
        <is>
          <t>ORSA</t>
        </is>
      </c>
      <c r="F254" t="inlineStr">
        <is>
          <t>Bergvik skog öst AB</t>
        </is>
      </c>
      <c r="G254" t="n">
        <v>1.7</v>
      </c>
      <c r="H254" t="n">
        <v>0</v>
      </c>
      <c r="I254" t="n">
        <v>0</v>
      </c>
      <c r="J254" t="n">
        <v>0</v>
      </c>
      <c r="K254" t="n">
        <v>0</v>
      </c>
      <c r="L254" t="n">
        <v>0</v>
      </c>
      <c r="M254" t="n">
        <v>0</v>
      </c>
      <c r="N254" t="n">
        <v>0</v>
      </c>
      <c r="O254" t="n">
        <v>0</v>
      </c>
      <c r="P254" t="n">
        <v>0</v>
      </c>
      <c r="Q254" t="n">
        <v>0</v>
      </c>
      <c r="R254" s="2" t="inlineStr"/>
    </row>
    <row r="255" ht="15" customHeight="1">
      <c r="A255" t="inlineStr">
        <is>
          <t>A 50061-2024</t>
        </is>
      </c>
      <c r="B255" s="1" t="n">
        <v>45600.34721064815</v>
      </c>
      <c r="C255" s="1" t="n">
        <v>46046</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36682-2024</t>
        </is>
      </c>
      <c r="B256" s="1" t="n">
        <v>45537.65519675926</v>
      </c>
      <c r="C256" s="1" t="n">
        <v>46046</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36089-2023</t>
        </is>
      </c>
      <c r="B257" s="1" t="n">
        <v>45149.51068287037</v>
      </c>
      <c r="C257" s="1" t="n">
        <v>46046</v>
      </c>
      <c r="D257" t="inlineStr">
        <is>
          <t>DALARNAS LÄN</t>
        </is>
      </c>
      <c r="E257" t="inlineStr">
        <is>
          <t>ORSA</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29933-2025</t>
        </is>
      </c>
      <c r="B258" s="1" t="n">
        <v>45826.44121527778</v>
      </c>
      <c r="C258" s="1" t="n">
        <v>46046</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3107-2025</t>
        </is>
      </c>
      <c r="B259" s="1" t="n">
        <v>45678.68400462963</v>
      </c>
      <c r="C259" s="1" t="n">
        <v>46046</v>
      </c>
      <c r="D259" t="inlineStr">
        <is>
          <t>DALARNAS LÄN</t>
        </is>
      </c>
      <c r="E259" t="inlineStr">
        <is>
          <t>ORSA</t>
        </is>
      </c>
      <c r="G259" t="n">
        <v>2.1</v>
      </c>
      <c r="H259" t="n">
        <v>0</v>
      </c>
      <c r="I259" t="n">
        <v>0</v>
      </c>
      <c r="J259" t="n">
        <v>0</v>
      </c>
      <c r="K259" t="n">
        <v>0</v>
      </c>
      <c r="L259" t="n">
        <v>0</v>
      </c>
      <c r="M259" t="n">
        <v>0</v>
      </c>
      <c r="N259" t="n">
        <v>0</v>
      </c>
      <c r="O259" t="n">
        <v>0</v>
      </c>
      <c r="P259" t="n">
        <v>0</v>
      </c>
      <c r="Q259" t="n">
        <v>0</v>
      </c>
      <c r="R259" s="2" t="inlineStr"/>
    </row>
    <row r="260" ht="15" customHeight="1">
      <c r="A260" t="inlineStr">
        <is>
          <t>A 52912-2023</t>
        </is>
      </c>
      <c r="B260" s="1" t="n">
        <v>45226.51766203704</v>
      </c>
      <c r="C260" s="1" t="n">
        <v>46046</v>
      </c>
      <c r="D260" t="inlineStr">
        <is>
          <t>DALARNAS LÄN</t>
        </is>
      </c>
      <c r="E260" t="inlineStr">
        <is>
          <t>ORSA</t>
        </is>
      </c>
      <c r="G260" t="n">
        <v>10.9</v>
      </c>
      <c r="H260" t="n">
        <v>0</v>
      </c>
      <c r="I260" t="n">
        <v>0</v>
      </c>
      <c r="J260" t="n">
        <v>0</v>
      </c>
      <c r="K260" t="n">
        <v>0</v>
      </c>
      <c r="L260" t="n">
        <v>0</v>
      </c>
      <c r="M260" t="n">
        <v>0</v>
      </c>
      <c r="N260" t="n">
        <v>0</v>
      </c>
      <c r="O260" t="n">
        <v>0</v>
      </c>
      <c r="P260" t="n">
        <v>0</v>
      </c>
      <c r="Q260" t="n">
        <v>0</v>
      </c>
      <c r="R260" s="2" t="inlineStr"/>
    </row>
    <row r="261" ht="15" customHeight="1">
      <c r="A261" t="inlineStr">
        <is>
          <t>A 19108-2025</t>
        </is>
      </c>
      <c r="B261" s="1" t="n">
        <v>45768</v>
      </c>
      <c r="C261" s="1" t="n">
        <v>46046</v>
      </c>
      <c r="D261" t="inlineStr">
        <is>
          <t>DALARNAS LÄN</t>
        </is>
      </c>
      <c r="E261" t="inlineStr">
        <is>
          <t>ORSA</t>
        </is>
      </c>
      <c r="F261" t="inlineStr">
        <is>
          <t>Bergvik skog väst AB</t>
        </is>
      </c>
      <c r="G261" t="n">
        <v>14.3</v>
      </c>
      <c r="H261" t="n">
        <v>0</v>
      </c>
      <c r="I261" t="n">
        <v>0</v>
      </c>
      <c r="J261" t="n">
        <v>0</v>
      </c>
      <c r="K261" t="n">
        <v>0</v>
      </c>
      <c r="L261" t="n">
        <v>0</v>
      </c>
      <c r="M261" t="n">
        <v>0</v>
      </c>
      <c r="N261" t="n">
        <v>0</v>
      </c>
      <c r="O261" t="n">
        <v>0</v>
      </c>
      <c r="P261" t="n">
        <v>0</v>
      </c>
      <c r="Q261" t="n">
        <v>0</v>
      </c>
      <c r="R261" s="2" t="inlineStr"/>
    </row>
    <row r="262" ht="15" customHeight="1">
      <c r="A262" t="inlineStr">
        <is>
          <t>A 31365-2025</t>
        </is>
      </c>
      <c r="B262" s="1" t="n">
        <v>45833.43884259259</v>
      </c>
      <c r="C262" s="1" t="n">
        <v>46046</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52649-2024</t>
        </is>
      </c>
      <c r="B263" s="1" t="n">
        <v>45610.3468287037</v>
      </c>
      <c r="C263" s="1" t="n">
        <v>46046</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45272-2022</t>
        </is>
      </c>
      <c r="B264" s="1" t="n">
        <v>44844</v>
      </c>
      <c r="C264" s="1" t="n">
        <v>46046</v>
      </c>
      <c r="D264" t="inlineStr">
        <is>
          <t>DALARNAS LÄN</t>
        </is>
      </c>
      <c r="E264" t="inlineStr">
        <is>
          <t>ORSA</t>
        </is>
      </c>
      <c r="G264" t="n">
        <v>0.3</v>
      </c>
      <c r="H264" t="n">
        <v>0</v>
      </c>
      <c r="I264" t="n">
        <v>0</v>
      </c>
      <c r="J264" t="n">
        <v>0</v>
      </c>
      <c r="K264" t="n">
        <v>0</v>
      </c>
      <c r="L264" t="n">
        <v>0</v>
      </c>
      <c r="M264" t="n">
        <v>0</v>
      </c>
      <c r="N264" t="n">
        <v>0</v>
      </c>
      <c r="O264" t="n">
        <v>0</v>
      </c>
      <c r="P264" t="n">
        <v>0</v>
      </c>
      <c r="Q264" t="n">
        <v>0</v>
      </c>
      <c r="R264" s="2" t="inlineStr"/>
    </row>
    <row r="265" ht="15" customHeight="1">
      <c r="A265" t="inlineStr">
        <is>
          <t>A 33265-2021</t>
        </is>
      </c>
      <c r="B265" s="1" t="n">
        <v>44377</v>
      </c>
      <c r="C265" s="1" t="n">
        <v>46046</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31659-2025</t>
        </is>
      </c>
      <c r="B266" s="1" t="n">
        <v>45834.35421296296</v>
      </c>
      <c r="C266" s="1" t="n">
        <v>46046</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58842-2024</t>
        </is>
      </c>
      <c r="B267" s="1" t="n">
        <v>45636.3859837963</v>
      </c>
      <c r="C267" s="1" t="n">
        <v>46046</v>
      </c>
      <c r="D267" t="inlineStr">
        <is>
          <t>DALARNAS LÄN</t>
        </is>
      </c>
      <c r="E267" t="inlineStr">
        <is>
          <t>ORSA</t>
        </is>
      </c>
      <c r="G267" t="n">
        <v>2.8</v>
      </c>
      <c r="H267" t="n">
        <v>0</v>
      </c>
      <c r="I267" t="n">
        <v>0</v>
      </c>
      <c r="J267" t="n">
        <v>0</v>
      </c>
      <c r="K267" t="n">
        <v>0</v>
      </c>
      <c r="L267" t="n">
        <v>0</v>
      </c>
      <c r="M267" t="n">
        <v>0</v>
      </c>
      <c r="N267" t="n">
        <v>0</v>
      </c>
      <c r="O267" t="n">
        <v>0</v>
      </c>
      <c r="P267" t="n">
        <v>0</v>
      </c>
      <c r="Q267" t="n">
        <v>0</v>
      </c>
      <c r="R267" s="2" t="inlineStr"/>
    </row>
    <row r="268" ht="15" customHeight="1">
      <c r="A268" t="inlineStr">
        <is>
          <t>A 1304-2024</t>
        </is>
      </c>
      <c r="B268" s="1" t="n">
        <v>45303</v>
      </c>
      <c r="C268" s="1" t="n">
        <v>46046</v>
      </c>
      <c r="D268" t="inlineStr">
        <is>
          <t>DALARNAS LÄN</t>
        </is>
      </c>
      <c r="E268" t="inlineStr">
        <is>
          <t>ORSA</t>
        </is>
      </c>
      <c r="G268" t="n">
        <v>3.8</v>
      </c>
      <c r="H268" t="n">
        <v>0</v>
      </c>
      <c r="I268" t="n">
        <v>0</v>
      </c>
      <c r="J268" t="n">
        <v>0</v>
      </c>
      <c r="K268" t="n">
        <v>0</v>
      </c>
      <c r="L268" t="n">
        <v>0</v>
      </c>
      <c r="M268" t="n">
        <v>0</v>
      </c>
      <c r="N268" t="n">
        <v>0</v>
      </c>
      <c r="O268" t="n">
        <v>0</v>
      </c>
      <c r="P268" t="n">
        <v>0</v>
      </c>
      <c r="Q268" t="n">
        <v>0</v>
      </c>
      <c r="R268" s="2" t="inlineStr"/>
    </row>
    <row r="269" ht="15" customHeight="1">
      <c r="A269" t="inlineStr">
        <is>
          <t>A 61277-2023</t>
        </is>
      </c>
      <c r="B269" s="1" t="n">
        <v>45264.52465277778</v>
      </c>
      <c r="C269" s="1" t="n">
        <v>46046</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51289-2023</t>
        </is>
      </c>
      <c r="B270" s="1" t="n">
        <v>45219.54077546296</v>
      </c>
      <c r="C270" s="1" t="n">
        <v>46046</v>
      </c>
      <c r="D270" t="inlineStr">
        <is>
          <t>DALARNAS LÄN</t>
        </is>
      </c>
      <c r="E270" t="inlineStr">
        <is>
          <t>ORSA</t>
        </is>
      </c>
      <c r="G270" t="n">
        <v>1.5</v>
      </c>
      <c r="H270" t="n">
        <v>0</v>
      </c>
      <c r="I270" t="n">
        <v>0</v>
      </c>
      <c r="J270" t="n">
        <v>0</v>
      </c>
      <c r="K270" t="n">
        <v>0</v>
      </c>
      <c r="L270" t="n">
        <v>0</v>
      </c>
      <c r="M270" t="n">
        <v>0</v>
      </c>
      <c r="N270" t="n">
        <v>0</v>
      </c>
      <c r="O270" t="n">
        <v>0</v>
      </c>
      <c r="P270" t="n">
        <v>0</v>
      </c>
      <c r="Q270" t="n">
        <v>0</v>
      </c>
      <c r="R270" s="2" t="inlineStr"/>
    </row>
    <row r="271" ht="15" customHeight="1">
      <c r="A271" t="inlineStr">
        <is>
          <t>A 17508-2025</t>
        </is>
      </c>
      <c r="B271" s="1" t="n">
        <v>45757.55929398148</v>
      </c>
      <c r="C271" s="1" t="n">
        <v>46046</v>
      </c>
      <c r="D271" t="inlineStr">
        <is>
          <t>DALARNAS LÄN</t>
        </is>
      </c>
      <c r="E271" t="inlineStr">
        <is>
          <t>ORSA</t>
        </is>
      </c>
      <c r="F271" t="inlineStr">
        <is>
          <t>Bergvik skog öst AB</t>
        </is>
      </c>
      <c r="G271" t="n">
        <v>9.4</v>
      </c>
      <c r="H271" t="n">
        <v>0</v>
      </c>
      <c r="I271" t="n">
        <v>0</v>
      </c>
      <c r="J271" t="n">
        <v>0</v>
      </c>
      <c r="K271" t="n">
        <v>0</v>
      </c>
      <c r="L271" t="n">
        <v>0</v>
      </c>
      <c r="M271" t="n">
        <v>0</v>
      </c>
      <c r="N271" t="n">
        <v>0</v>
      </c>
      <c r="O271" t="n">
        <v>0</v>
      </c>
      <c r="P271" t="n">
        <v>0</v>
      </c>
      <c r="Q271" t="n">
        <v>0</v>
      </c>
      <c r="R271" s="2" t="inlineStr"/>
    </row>
    <row r="272" ht="15" customHeight="1">
      <c r="A272" t="inlineStr">
        <is>
          <t>A 33945-2022</t>
        </is>
      </c>
      <c r="B272" s="1" t="n">
        <v>44790.66212962963</v>
      </c>
      <c r="C272" s="1" t="n">
        <v>46046</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3720-2023</t>
        </is>
      </c>
      <c r="B273" s="1" t="n">
        <v>44951.36688657408</v>
      </c>
      <c r="C273" s="1" t="n">
        <v>46046</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62342-2023</t>
        </is>
      </c>
      <c r="B274" s="1" t="n">
        <v>45267.9268287037</v>
      </c>
      <c r="C274" s="1" t="n">
        <v>46046</v>
      </c>
      <c r="D274" t="inlineStr">
        <is>
          <t>DALARNAS LÄN</t>
        </is>
      </c>
      <c r="E274" t="inlineStr">
        <is>
          <t>ORSA</t>
        </is>
      </c>
      <c r="G274" t="n">
        <v>2.5</v>
      </c>
      <c r="H274" t="n">
        <v>0</v>
      </c>
      <c r="I274" t="n">
        <v>0</v>
      </c>
      <c r="J274" t="n">
        <v>0</v>
      </c>
      <c r="K274" t="n">
        <v>0</v>
      </c>
      <c r="L274" t="n">
        <v>0</v>
      </c>
      <c r="M274" t="n">
        <v>0</v>
      </c>
      <c r="N274" t="n">
        <v>0</v>
      </c>
      <c r="O274" t="n">
        <v>0</v>
      </c>
      <c r="P274" t="n">
        <v>0</v>
      </c>
      <c r="Q274" t="n">
        <v>0</v>
      </c>
      <c r="R274" s="2" t="inlineStr"/>
    </row>
    <row r="275" ht="15" customHeight="1">
      <c r="A275" t="inlineStr">
        <is>
          <t>A 52044-2023</t>
        </is>
      </c>
      <c r="B275" s="1" t="n">
        <v>45223.6365625</v>
      </c>
      <c r="C275" s="1" t="n">
        <v>46046</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32325-2025</t>
        </is>
      </c>
      <c r="B276" s="1" t="n">
        <v>45836</v>
      </c>
      <c r="C276" s="1" t="n">
        <v>46046</v>
      </c>
      <c r="D276" t="inlineStr">
        <is>
          <t>DALARNAS LÄN</t>
        </is>
      </c>
      <c r="E276" t="inlineStr">
        <is>
          <t>ORSA</t>
        </is>
      </c>
      <c r="G276" t="n">
        <v>3.8</v>
      </c>
      <c r="H276" t="n">
        <v>0</v>
      </c>
      <c r="I276" t="n">
        <v>0</v>
      </c>
      <c r="J276" t="n">
        <v>0</v>
      </c>
      <c r="K276" t="n">
        <v>0</v>
      </c>
      <c r="L276" t="n">
        <v>0</v>
      </c>
      <c r="M276" t="n">
        <v>0</v>
      </c>
      <c r="N276" t="n">
        <v>0</v>
      </c>
      <c r="O276" t="n">
        <v>0</v>
      </c>
      <c r="P276" t="n">
        <v>0</v>
      </c>
      <c r="Q276" t="n">
        <v>0</v>
      </c>
      <c r="R276" s="2" t="inlineStr"/>
    </row>
    <row r="277" ht="15" customHeight="1">
      <c r="A277" t="inlineStr">
        <is>
          <t>A 23339-2024</t>
        </is>
      </c>
      <c r="B277" s="1" t="n">
        <v>45453.48988425926</v>
      </c>
      <c r="C277" s="1" t="n">
        <v>46046</v>
      </c>
      <c r="D277" t="inlineStr">
        <is>
          <t>DALARNAS LÄN</t>
        </is>
      </c>
      <c r="E277" t="inlineStr">
        <is>
          <t>ORSA</t>
        </is>
      </c>
      <c r="G277" t="n">
        <v>3.8</v>
      </c>
      <c r="H277" t="n">
        <v>0</v>
      </c>
      <c r="I277" t="n">
        <v>0</v>
      </c>
      <c r="J277" t="n">
        <v>0</v>
      </c>
      <c r="K277" t="n">
        <v>0</v>
      </c>
      <c r="L277" t="n">
        <v>0</v>
      </c>
      <c r="M277" t="n">
        <v>0</v>
      </c>
      <c r="N277" t="n">
        <v>0</v>
      </c>
      <c r="O277" t="n">
        <v>0</v>
      </c>
      <c r="P277" t="n">
        <v>0</v>
      </c>
      <c r="Q277" t="n">
        <v>0</v>
      </c>
      <c r="R277" s="2" t="inlineStr"/>
    </row>
    <row r="278" ht="15" customHeight="1">
      <c r="A278" t="inlineStr">
        <is>
          <t>A 37647-2023</t>
        </is>
      </c>
      <c r="B278" s="1" t="n">
        <v>45159</v>
      </c>
      <c r="C278" s="1" t="n">
        <v>46046</v>
      </c>
      <c r="D278" t="inlineStr">
        <is>
          <t>DALARNAS LÄN</t>
        </is>
      </c>
      <c r="E278" t="inlineStr">
        <is>
          <t>ORSA</t>
        </is>
      </c>
      <c r="F278" t="inlineStr">
        <is>
          <t>Allmännings- och besparingsskogar</t>
        </is>
      </c>
      <c r="G278" t="n">
        <v>2.1</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46046</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32984-2025</t>
        </is>
      </c>
      <c r="B280" s="1" t="n">
        <v>45839.93006944445</v>
      </c>
      <c r="C280" s="1" t="n">
        <v>46046</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32985-2025</t>
        </is>
      </c>
      <c r="B281" s="1" t="n">
        <v>45839.93033564815</v>
      </c>
      <c r="C281" s="1" t="n">
        <v>46046</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10048-2023</t>
        </is>
      </c>
      <c r="B282" s="1" t="n">
        <v>44985.67237268519</v>
      </c>
      <c r="C282" s="1" t="n">
        <v>46046</v>
      </c>
      <c r="D282" t="inlineStr">
        <is>
          <t>DALARNAS LÄN</t>
        </is>
      </c>
      <c r="E282" t="inlineStr">
        <is>
          <t>ORSA</t>
        </is>
      </c>
      <c r="G282" t="n">
        <v>4.8</v>
      </c>
      <c r="H282" t="n">
        <v>0</v>
      </c>
      <c r="I282" t="n">
        <v>0</v>
      </c>
      <c r="J282" t="n">
        <v>0</v>
      </c>
      <c r="K282" t="n">
        <v>0</v>
      </c>
      <c r="L282" t="n">
        <v>0</v>
      </c>
      <c r="M282" t="n">
        <v>0</v>
      </c>
      <c r="N282" t="n">
        <v>0</v>
      </c>
      <c r="O282" t="n">
        <v>0</v>
      </c>
      <c r="P282" t="n">
        <v>0</v>
      </c>
      <c r="Q282" t="n">
        <v>0</v>
      </c>
      <c r="R282" s="2" t="inlineStr"/>
    </row>
    <row r="283" ht="15" customHeight="1">
      <c r="A283" t="inlineStr">
        <is>
          <t>A 33158-2025</t>
        </is>
      </c>
      <c r="B283" s="1" t="n">
        <v>45840</v>
      </c>
      <c r="C283" s="1" t="n">
        <v>46046</v>
      </c>
      <c r="D283" t="inlineStr">
        <is>
          <t>DALARNAS LÄN</t>
        </is>
      </c>
      <c r="E283" t="inlineStr">
        <is>
          <t>ORSA</t>
        </is>
      </c>
      <c r="F283" t="inlineStr">
        <is>
          <t>Bergvik skog öst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33394-2025</t>
        </is>
      </c>
      <c r="B284" s="1" t="n">
        <v>45841.41704861111</v>
      </c>
      <c r="C284" s="1" t="n">
        <v>46046</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33059-2025</t>
        </is>
      </c>
      <c r="B285" s="1" t="n">
        <v>45840.43072916667</v>
      </c>
      <c r="C285" s="1" t="n">
        <v>46046</v>
      </c>
      <c r="D285" t="inlineStr">
        <is>
          <t>DALARNAS LÄN</t>
        </is>
      </c>
      <c r="E285" t="inlineStr">
        <is>
          <t>ORSA</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51001-2021</t>
        </is>
      </c>
      <c r="B286" s="1" t="n">
        <v>44460.86221064815</v>
      </c>
      <c r="C286" s="1" t="n">
        <v>46046</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892-2024</t>
        </is>
      </c>
      <c r="B287" s="1" t="n">
        <v>45301</v>
      </c>
      <c r="C287" s="1" t="n">
        <v>46046</v>
      </c>
      <c r="D287" t="inlineStr">
        <is>
          <t>DALARNAS LÄN</t>
        </is>
      </c>
      <c r="E287" t="inlineStr">
        <is>
          <t>ORSA</t>
        </is>
      </c>
      <c r="G287" t="n">
        <v>1.2</v>
      </c>
      <c r="H287" t="n">
        <v>0</v>
      </c>
      <c r="I287" t="n">
        <v>0</v>
      </c>
      <c r="J287" t="n">
        <v>0</v>
      </c>
      <c r="K287" t="n">
        <v>0</v>
      </c>
      <c r="L287" t="n">
        <v>0</v>
      </c>
      <c r="M287" t="n">
        <v>0</v>
      </c>
      <c r="N287" t="n">
        <v>0</v>
      </c>
      <c r="O287" t="n">
        <v>0</v>
      </c>
      <c r="P287" t="n">
        <v>0</v>
      </c>
      <c r="Q287" t="n">
        <v>0</v>
      </c>
      <c r="R287" s="2" t="inlineStr"/>
    </row>
    <row r="288" ht="15" customHeight="1">
      <c r="A288" t="inlineStr">
        <is>
          <t>A 16585-2023</t>
        </is>
      </c>
      <c r="B288" s="1" t="n">
        <v>45030</v>
      </c>
      <c r="C288" s="1" t="n">
        <v>46046</v>
      </c>
      <c r="D288" t="inlineStr">
        <is>
          <t>DALARNAS LÄN</t>
        </is>
      </c>
      <c r="E288" t="inlineStr">
        <is>
          <t>ORSA</t>
        </is>
      </c>
      <c r="G288" t="n">
        <v>1</v>
      </c>
      <c r="H288" t="n">
        <v>0</v>
      </c>
      <c r="I288" t="n">
        <v>0</v>
      </c>
      <c r="J288" t="n">
        <v>0</v>
      </c>
      <c r="K288" t="n">
        <v>0</v>
      </c>
      <c r="L288" t="n">
        <v>0</v>
      </c>
      <c r="M288" t="n">
        <v>0</v>
      </c>
      <c r="N288" t="n">
        <v>0</v>
      </c>
      <c r="O288" t="n">
        <v>0</v>
      </c>
      <c r="P288" t="n">
        <v>0</v>
      </c>
      <c r="Q288" t="n">
        <v>0</v>
      </c>
      <c r="R288" s="2" t="inlineStr"/>
    </row>
    <row r="289" ht="15" customHeight="1">
      <c r="A289" t="inlineStr">
        <is>
          <t>A 33209-2025</t>
        </is>
      </c>
      <c r="B289" s="1" t="n">
        <v>45840.62648148148</v>
      </c>
      <c r="C289" s="1" t="n">
        <v>46046</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31026-2023</t>
        </is>
      </c>
      <c r="B290" s="1" t="n">
        <v>45113.5812962963</v>
      </c>
      <c r="C290" s="1" t="n">
        <v>46046</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33214-2025</t>
        </is>
      </c>
      <c r="B291" s="1" t="n">
        <v>45840.6295949074</v>
      </c>
      <c r="C291" s="1" t="n">
        <v>46046</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54519-2023</t>
        </is>
      </c>
      <c r="B292" s="1" t="n">
        <v>45233.58359953704</v>
      </c>
      <c r="C292" s="1" t="n">
        <v>46046</v>
      </c>
      <c r="D292" t="inlineStr">
        <is>
          <t>DALARNAS LÄN</t>
        </is>
      </c>
      <c r="E292" t="inlineStr">
        <is>
          <t>ORSA</t>
        </is>
      </c>
      <c r="F292" t="inlineStr">
        <is>
          <t>Allmännings- och besparingsskogar</t>
        </is>
      </c>
      <c r="G292" t="n">
        <v>0.5</v>
      </c>
      <c r="H292" t="n">
        <v>0</v>
      </c>
      <c r="I292" t="n">
        <v>0</v>
      </c>
      <c r="J292" t="n">
        <v>0</v>
      </c>
      <c r="K292" t="n">
        <v>0</v>
      </c>
      <c r="L292" t="n">
        <v>0</v>
      </c>
      <c r="M292" t="n">
        <v>0</v>
      </c>
      <c r="N292" t="n">
        <v>0</v>
      </c>
      <c r="O292" t="n">
        <v>0</v>
      </c>
      <c r="P292" t="n">
        <v>0</v>
      </c>
      <c r="Q292" t="n">
        <v>0</v>
      </c>
      <c r="R292" s="2" t="inlineStr"/>
    </row>
    <row r="293" ht="15" customHeight="1">
      <c r="A293" t="inlineStr">
        <is>
          <t>A 33374-2025</t>
        </is>
      </c>
      <c r="B293" s="1" t="n">
        <v>45841.39582175926</v>
      </c>
      <c r="C293" s="1" t="n">
        <v>46046</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30458-2023</t>
        </is>
      </c>
      <c r="B294" s="1" t="n">
        <v>45111</v>
      </c>
      <c r="C294" s="1" t="n">
        <v>46046</v>
      </c>
      <c r="D294" t="inlineStr">
        <is>
          <t>DALARNAS LÄN</t>
        </is>
      </c>
      <c r="E294" t="inlineStr">
        <is>
          <t>ORSA</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14680-2023</t>
        </is>
      </c>
      <c r="B295" s="1" t="n">
        <v>45014.30054398148</v>
      </c>
      <c r="C295" s="1" t="n">
        <v>46046</v>
      </c>
      <c r="D295" t="inlineStr">
        <is>
          <t>DALARNAS LÄN</t>
        </is>
      </c>
      <c r="E295" t="inlineStr">
        <is>
          <t>ORSA</t>
        </is>
      </c>
      <c r="G295" t="n">
        <v>4.2</v>
      </c>
      <c r="H295" t="n">
        <v>0</v>
      </c>
      <c r="I295" t="n">
        <v>0</v>
      </c>
      <c r="J295" t="n">
        <v>0</v>
      </c>
      <c r="K295" t="n">
        <v>0</v>
      </c>
      <c r="L295" t="n">
        <v>0</v>
      </c>
      <c r="M295" t="n">
        <v>0</v>
      </c>
      <c r="N295" t="n">
        <v>0</v>
      </c>
      <c r="O295" t="n">
        <v>0</v>
      </c>
      <c r="P295" t="n">
        <v>0</v>
      </c>
      <c r="Q295" t="n">
        <v>0</v>
      </c>
      <c r="R295" s="2" t="inlineStr"/>
    </row>
    <row r="296" ht="15" customHeight="1">
      <c r="A296" t="inlineStr">
        <is>
          <t>A 4738-2025</t>
        </is>
      </c>
      <c r="B296" s="1" t="n">
        <v>45688</v>
      </c>
      <c r="C296" s="1" t="n">
        <v>46046</v>
      </c>
      <c r="D296" t="inlineStr">
        <is>
          <t>DALARNAS LÄN</t>
        </is>
      </c>
      <c r="E296" t="inlineStr">
        <is>
          <t>ORSA</t>
        </is>
      </c>
      <c r="G296" t="n">
        <v>3.7</v>
      </c>
      <c r="H296" t="n">
        <v>0</v>
      </c>
      <c r="I296" t="n">
        <v>0</v>
      </c>
      <c r="J296" t="n">
        <v>0</v>
      </c>
      <c r="K296" t="n">
        <v>0</v>
      </c>
      <c r="L296" t="n">
        <v>0</v>
      </c>
      <c r="M296" t="n">
        <v>0</v>
      </c>
      <c r="N296" t="n">
        <v>0</v>
      </c>
      <c r="O296" t="n">
        <v>0</v>
      </c>
      <c r="P296" t="n">
        <v>0</v>
      </c>
      <c r="Q296" t="n">
        <v>0</v>
      </c>
      <c r="R296" s="2" t="inlineStr"/>
    </row>
    <row r="297" ht="15" customHeight="1">
      <c r="A297" t="inlineStr">
        <is>
          <t>A 13185-2022</t>
        </is>
      </c>
      <c r="B297" s="1" t="n">
        <v>44644.48491898148</v>
      </c>
      <c r="C297" s="1" t="n">
        <v>46046</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33884-2025</t>
        </is>
      </c>
      <c r="B298" s="1" t="n">
        <v>45842.57081018519</v>
      </c>
      <c r="C298" s="1" t="n">
        <v>46046</v>
      </c>
      <c r="D298" t="inlineStr">
        <is>
          <t>DALARNAS LÄN</t>
        </is>
      </c>
      <c r="E298" t="inlineStr">
        <is>
          <t>ORSA</t>
        </is>
      </c>
      <c r="G298" t="n">
        <v>0.8</v>
      </c>
      <c r="H298" t="n">
        <v>0</v>
      </c>
      <c r="I298" t="n">
        <v>0</v>
      </c>
      <c r="J298" t="n">
        <v>0</v>
      </c>
      <c r="K298" t="n">
        <v>0</v>
      </c>
      <c r="L298" t="n">
        <v>0</v>
      </c>
      <c r="M298" t="n">
        <v>0</v>
      </c>
      <c r="N298" t="n">
        <v>0</v>
      </c>
      <c r="O298" t="n">
        <v>0</v>
      </c>
      <c r="P298" t="n">
        <v>0</v>
      </c>
      <c r="Q298" t="n">
        <v>0</v>
      </c>
      <c r="R298" s="2" t="inlineStr"/>
    </row>
    <row r="299" ht="15" customHeight="1">
      <c r="A299" t="inlineStr">
        <is>
          <t>A 2948-2025</t>
        </is>
      </c>
      <c r="B299" s="1" t="n">
        <v>45678.42868055555</v>
      </c>
      <c r="C299" s="1" t="n">
        <v>46046</v>
      </c>
      <c r="D299" t="inlineStr">
        <is>
          <t>DALARNAS LÄN</t>
        </is>
      </c>
      <c r="E299" t="inlineStr">
        <is>
          <t>ORSA</t>
        </is>
      </c>
      <c r="G299" t="n">
        <v>2</v>
      </c>
      <c r="H299" t="n">
        <v>0</v>
      </c>
      <c r="I299" t="n">
        <v>0</v>
      </c>
      <c r="J299" t="n">
        <v>0</v>
      </c>
      <c r="K299" t="n">
        <v>0</v>
      </c>
      <c r="L299" t="n">
        <v>0</v>
      </c>
      <c r="M299" t="n">
        <v>0</v>
      </c>
      <c r="N299" t="n">
        <v>0</v>
      </c>
      <c r="O299" t="n">
        <v>0</v>
      </c>
      <c r="P299" t="n">
        <v>0</v>
      </c>
      <c r="Q299" t="n">
        <v>0</v>
      </c>
      <c r="R299" s="2" t="inlineStr"/>
    </row>
    <row r="300" ht="15" customHeight="1">
      <c r="A300" t="inlineStr">
        <is>
          <t>A 3168-2024</t>
        </is>
      </c>
      <c r="B300" s="1" t="n">
        <v>45316.62863425926</v>
      </c>
      <c r="C300" s="1" t="n">
        <v>46046</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33951-2025</t>
        </is>
      </c>
      <c r="B301" s="1" t="n">
        <v>45842.66791666667</v>
      </c>
      <c r="C301" s="1" t="n">
        <v>46046</v>
      </c>
      <c r="D301" t="inlineStr">
        <is>
          <t>DALARNAS LÄN</t>
        </is>
      </c>
      <c r="E301" t="inlineStr">
        <is>
          <t>ORSA</t>
        </is>
      </c>
      <c r="G301" t="n">
        <v>1.2</v>
      </c>
      <c r="H301" t="n">
        <v>0</v>
      </c>
      <c r="I301" t="n">
        <v>0</v>
      </c>
      <c r="J301" t="n">
        <v>0</v>
      </c>
      <c r="K301" t="n">
        <v>0</v>
      </c>
      <c r="L301" t="n">
        <v>0</v>
      </c>
      <c r="M301" t="n">
        <v>0</v>
      </c>
      <c r="N301" t="n">
        <v>0</v>
      </c>
      <c r="O301" t="n">
        <v>0</v>
      </c>
      <c r="P301" t="n">
        <v>0</v>
      </c>
      <c r="Q301" t="n">
        <v>0</v>
      </c>
      <c r="R301" s="2" t="inlineStr"/>
    </row>
    <row r="302" ht="15" customHeight="1">
      <c r="A302" t="inlineStr">
        <is>
          <t>A 33835-2025</t>
        </is>
      </c>
      <c r="B302" s="1" t="n">
        <v>45842.47619212963</v>
      </c>
      <c r="C302" s="1" t="n">
        <v>46046</v>
      </c>
      <c r="D302" t="inlineStr">
        <is>
          <t>DALARNAS LÄN</t>
        </is>
      </c>
      <c r="E302" t="inlineStr">
        <is>
          <t>ORSA</t>
        </is>
      </c>
      <c r="G302" t="n">
        <v>15.2</v>
      </c>
      <c r="H302" t="n">
        <v>0</v>
      </c>
      <c r="I302" t="n">
        <v>0</v>
      </c>
      <c r="J302" t="n">
        <v>0</v>
      </c>
      <c r="K302" t="n">
        <v>0</v>
      </c>
      <c r="L302" t="n">
        <v>0</v>
      </c>
      <c r="M302" t="n">
        <v>0</v>
      </c>
      <c r="N302" t="n">
        <v>0</v>
      </c>
      <c r="O302" t="n">
        <v>0</v>
      </c>
      <c r="P302" t="n">
        <v>0</v>
      </c>
      <c r="Q302" t="n">
        <v>0</v>
      </c>
      <c r="R302" s="2" t="inlineStr"/>
    </row>
    <row r="303" ht="15" customHeight="1">
      <c r="A303" t="inlineStr">
        <is>
          <t>A 33857-2025</t>
        </is>
      </c>
      <c r="B303" s="1" t="n">
        <v>45842.51953703703</v>
      </c>
      <c r="C303" s="1" t="n">
        <v>46046</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12101-2025</t>
        </is>
      </c>
      <c r="B304" s="1" t="n">
        <v>45729.33743055556</v>
      </c>
      <c r="C304" s="1" t="n">
        <v>46046</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34001-2025</t>
        </is>
      </c>
      <c r="B305" s="1" t="n">
        <v>45844</v>
      </c>
      <c r="C305" s="1" t="n">
        <v>46046</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34125-2023</t>
        </is>
      </c>
      <c r="B306" s="1" t="n">
        <v>45135</v>
      </c>
      <c r="C306" s="1" t="n">
        <v>46046</v>
      </c>
      <c r="D306" t="inlineStr">
        <is>
          <t>DALARNAS LÄN</t>
        </is>
      </c>
      <c r="E306" t="inlineStr">
        <is>
          <t>ORSA</t>
        </is>
      </c>
      <c r="G306" t="n">
        <v>2.7</v>
      </c>
      <c r="H306" t="n">
        <v>0</v>
      </c>
      <c r="I306" t="n">
        <v>0</v>
      </c>
      <c r="J306" t="n">
        <v>0</v>
      </c>
      <c r="K306" t="n">
        <v>0</v>
      </c>
      <c r="L306" t="n">
        <v>0</v>
      </c>
      <c r="M306" t="n">
        <v>0</v>
      </c>
      <c r="N306" t="n">
        <v>0</v>
      </c>
      <c r="O306" t="n">
        <v>0</v>
      </c>
      <c r="P306" t="n">
        <v>0</v>
      </c>
      <c r="Q306" t="n">
        <v>0</v>
      </c>
      <c r="R306" s="2" t="inlineStr"/>
    </row>
    <row r="307" ht="15" customHeight="1">
      <c r="A307" t="inlineStr">
        <is>
          <t>A 28974-2024</t>
        </is>
      </c>
      <c r="B307" s="1" t="n">
        <v>45481.45445601852</v>
      </c>
      <c r="C307" s="1" t="n">
        <v>46046</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34744-2025</t>
        </is>
      </c>
      <c r="B308" s="1" t="n">
        <v>45848.6125</v>
      </c>
      <c r="C308" s="1" t="n">
        <v>46046</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61698-2022</t>
        </is>
      </c>
      <c r="B309" s="1" t="n">
        <v>44917.40038194445</v>
      </c>
      <c r="C309" s="1" t="n">
        <v>46046</v>
      </c>
      <c r="D309" t="inlineStr">
        <is>
          <t>DALARNAS LÄN</t>
        </is>
      </c>
      <c r="E309" t="inlineStr">
        <is>
          <t>ORSA</t>
        </is>
      </c>
      <c r="F309" t="inlineStr">
        <is>
          <t>Bergvik skog öst AB</t>
        </is>
      </c>
      <c r="G309" t="n">
        <v>0.5</v>
      </c>
      <c r="H309" t="n">
        <v>0</v>
      </c>
      <c r="I309" t="n">
        <v>0</v>
      </c>
      <c r="J309" t="n">
        <v>0</v>
      </c>
      <c r="K309" t="n">
        <v>0</v>
      </c>
      <c r="L309" t="n">
        <v>0</v>
      </c>
      <c r="M309" t="n">
        <v>0</v>
      </c>
      <c r="N309" t="n">
        <v>0</v>
      </c>
      <c r="O309" t="n">
        <v>0</v>
      </c>
      <c r="P309" t="n">
        <v>0</v>
      </c>
      <c r="Q309" t="n">
        <v>0</v>
      </c>
      <c r="R309" s="2" t="inlineStr"/>
    </row>
    <row r="310" ht="15" customHeight="1">
      <c r="A310" t="inlineStr">
        <is>
          <t>A 34769-2025</t>
        </is>
      </c>
      <c r="B310" s="1" t="n">
        <v>45848.6534837963</v>
      </c>
      <c r="C310" s="1" t="n">
        <v>46046</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34777-2025</t>
        </is>
      </c>
      <c r="B311" s="1" t="n">
        <v>45848.66167824074</v>
      </c>
      <c r="C311" s="1" t="n">
        <v>46046</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51303-2023</t>
        </is>
      </c>
      <c r="B312" s="1" t="n">
        <v>45219.55793981482</v>
      </c>
      <c r="C312" s="1" t="n">
        <v>46046</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34794-2025</t>
        </is>
      </c>
      <c r="B313" s="1" t="n">
        <v>45848.73256944444</v>
      </c>
      <c r="C313" s="1" t="n">
        <v>46046</v>
      </c>
      <c r="D313" t="inlineStr">
        <is>
          <t>DALARNAS LÄN</t>
        </is>
      </c>
      <c r="E313" t="inlineStr">
        <is>
          <t>ORSA</t>
        </is>
      </c>
      <c r="G313" t="n">
        <v>2.3</v>
      </c>
      <c r="H313" t="n">
        <v>0</v>
      </c>
      <c r="I313" t="n">
        <v>0</v>
      </c>
      <c r="J313" t="n">
        <v>0</v>
      </c>
      <c r="K313" t="n">
        <v>0</v>
      </c>
      <c r="L313" t="n">
        <v>0</v>
      </c>
      <c r="M313" t="n">
        <v>0</v>
      </c>
      <c r="N313" t="n">
        <v>0</v>
      </c>
      <c r="O313" t="n">
        <v>0</v>
      </c>
      <c r="P313" t="n">
        <v>0</v>
      </c>
      <c r="Q313" t="n">
        <v>0</v>
      </c>
      <c r="R313" s="2" t="inlineStr"/>
    </row>
    <row r="314" ht="15" customHeight="1">
      <c r="A314" t="inlineStr">
        <is>
          <t>A 34779-2025</t>
        </is>
      </c>
      <c r="B314" s="1" t="n">
        <v>45848.66987268518</v>
      </c>
      <c r="C314" s="1" t="n">
        <v>46046</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34753-2025</t>
        </is>
      </c>
      <c r="B315" s="1" t="n">
        <v>45848.62001157407</v>
      </c>
      <c r="C315" s="1" t="n">
        <v>46046</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34764-2025</t>
        </is>
      </c>
      <c r="B316" s="1" t="n">
        <v>45848.64788194445</v>
      </c>
      <c r="C316" s="1" t="n">
        <v>46046</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34781-2025</t>
        </is>
      </c>
      <c r="B317" s="1" t="n">
        <v>45848.67424768519</v>
      </c>
      <c r="C317" s="1" t="n">
        <v>46046</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34964-2025</t>
        </is>
      </c>
      <c r="B318" s="1" t="n">
        <v>45849.6330787037</v>
      </c>
      <c r="C318" s="1" t="n">
        <v>46046</v>
      </c>
      <c r="D318" t="inlineStr">
        <is>
          <t>DALARNAS LÄN</t>
        </is>
      </c>
      <c r="E318" t="inlineStr">
        <is>
          <t>ORSA</t>
        </is>
      </c>
      <c r="G318" t="n">
        <v>2.1</v>
      </c>
      <c r="H318" t="n">
        <v>0</v>
      </c>
      <c r="I318" t="n">
        <v>0</v>
      </c>
      <c r="J318" t="n">
        <v>0</v>
      </c>
      <c r="K318" t="n">
        <v>0</v>
      </c>
      <c r="L318" t="n">
        <v>0</v>
      </c>
      <c r="M318" t="n">
        <v>0</v>
      </c>
      <c r="N318" t="n">
        <v>0</v>
      </c>
      <c r="O318" t="n">
        <v>0</v>
      </c>
      <c r="P318" t="n">
        <v>0</v>
      </c>
      <c r="Q318" t="n">
        <v>0</v>
      </c>
      <c r="R318" s="2" t="inlineStr"/>
    </row>
    <row r="319" ht="15" customHeight="1">
      <c r="A319" t="inlineStr">
        <is>
          <t>A 37770-2023</t>
        </is>
      </c>
      <c r="B319" s="1" t="n">
        <v>45159</v>
      </c>
      <c r="C319" s="1" t="n">
        <v>46046</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18312-2024</t>
        </is>
      </c>
      <c r="B320" s="1" t="n">
        <v>45422.48225694444</v>
      </c>
      <c r="C320" s="1" t="n">
        <v>46046</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51574-2023</t>
        </is>
      </c>
      <c r="B321" s="1" t="n">
        <v>45222.45090277777</v>
      </c>
      <c r="C321" s="1" t="n">
        <v>46046</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35619-2025</t>
        </is>
      </c>
      <c r="B322" s="1" t="n">
        <v>45859</v>
      </c>
      <c r="C322" s="1" t="n">
        <v>46046</v>
      </c>
      <c r="D322" t="inlineStr">
        <is>
          <t>DALARNAS LÄN</t>
        </is>
      </c>
      <c r="E322" t="inlineStr">
        <is>
          <t>ORSA</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12704-2022</t>
        </is>
      </c>
      <c r="B323" s="1" t="n">
        <v>44641</v>
      </c>
      <c r="C323" s="1" t="n">
        <v>46046</v>
      </c>
      <c r="D323" t="inlineStr">
        <is>
          <t>DALARNAS LÄN</t>
        </is>
      </c>
      <c r="E323" t="inlineStr">
        <is>
          <t>ORSA</t>
        </is>
      </c>
      <c r="G323" t="n">
        <v>2.4</v>
      </c>
      <c r="H323" t="n">
        <v>0</v>
      </c>
      <c r="I323" t="n">
        <v>0</v>
      </c>
      <c r="J323" t="n">
        <v>0</v>
      </c>
      <c r="K323" t="n">
        <v>0</v>
      </c>
      <c r="L323" t="n">
        <v>0</v>
      </c>
      <c r="M323" t="n">
        <v>0</v>
      </c>
      <c r="N323" t="n">
        <v>0</v>
      </c>
      <c r="O323" t="n">
        <v>0</v>
      </c>
      <c r="P323" t="n">
        <v>0</v>
      </c>
      <c r="Q323" t="n">
        <v>0</v>
      </c>
      <c r="R323" s="2" t="inlineStr"/>
    </row>
    <row r="324" ht="15" customHeight="1">
      <c r="A324" t="inlineStr">
        <is>
          <t>A 72310-2021</t>
        </is>
      </c>
      <c r="B324" s="1" t="n">
        <v>44545</v>
      </c>
      <c r="C324" s="1" t="n">
        <v>46046</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38611-2022</t>
        </is>
      </c>
      <c r="B325" s="1" t="n">
        <v>44813.60177083333</v>
      </c>
      <c r="C325" s="1" t="n">
        <v>46046</v>
      </c>
      <c r="D325" t="inlineStr">
        <is>
          <t>DALARNAS LÄN</t>
        </is>
      </c>
      <c r="E325" t="inlineStr">
        <is>
          <t>ORSA</t>
        </is>
      </c>
      <c r="G325" t="n">
        <v>3.6</v>
      </c>
      <c r="H325" t="n">
        <v>0</v>
      </c>
      <c r="I325" t="n">
        <v>0</v>
      </c>
      <c r="J325" t="n">
        <v>0</v>
      </c>
      <c r="K325" t="n">
        <v>0</v>
      </c>
      <c r="L325" t="n">
        <v>0</v>
      </c>
      <c r="M325" t="n">
        <v>0</v>
      </c>
      <c r="N325" t="n">
        <v>0</v>
      </c>
      <c r="O325" t="n">
        <v>0</v>
      </c>
      <c r="P325" t="n">
        <v>0</v>
      </c>
      <c r="Q325" t="n">
        <v>0</v>
      </c>
      <c r="R325" s="2" t="inlineStr"/>
    </row>
    <row r="326" ht="15" customHeight="1">
      <c r="A326" t="inlineStr">
        <is>
          <t>A 60803-2022</t>
        </is>
      </c>
      <c r="B326" s="1" t="n">
        <v>44914</v>
      </c>
      <c r="C326" s="1" t="n">
        <v>46046</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35933-2025</t>
        </is>
      </c>
      <c r="B327" s="1" t="n">
        <v>45862.62653935186</v>
      </c>
      <c r="C327" s="1" t="n">
        <v>46046</v>
      </c>
      <c r="D327" t="inlineStr">
        <is>
          <t>DALARNAS LÄN</t>
        </is>
      </c>
      <c r="E327" t="inlineStr">
        <is>
          <t>ORSA</t>
        </is>
      </c>
      <c r="G327" t="n">
        <v>1.6</v>
      </c>
      <c r="H327" t="n">
        <v>0</v>
      </c>
      <c r="I327" t="n">
        <v>0</v>
      </c>
      <c r="J327" t="n">
        <v>0</v>
      </c>
      <c r="K327" t="n">
        <v>0</v>
      </c>
      <c r="L327" t="n">
        <v>0</v>
      </c>
      <c r="M327" t="n">
        <v>0</v>
      </c>
      <c r="N327" t="n">
        <v>0</v>
      </c>
      <c r="O327" t="n">
        <v>0</v>
      </c>
      <c r="P327" t="n">
        <v>0</v>
      </c>
      <c r="Q327" t="n">
        <v>0</v>
      </c>
      <c r="R327" s="2" t="inlineStr"/>
    </row>
    <row r="328" ht="15" customHeight="1">
      <c r="A328" t="inlineStr">
        <is>
          <t>A 35935-2025</t>
        </is>
      </c>
      <c r="B328" s="1" t="n">
        <v>45862.6353125</v>
      </c>
      <c r="C328" s="1" t="n">
        <v>46046</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7628-2025</t>
        </is>
      </c>
      <c r="B329" s="1" t="n">
        <v>45705.73394675926</v>
      </c>
      <c r="C329" s="1" t="n">
        <v>46046</v>
      </c>
      <c r="D329" t="inlineStr">
        <is>
          <t>DALARNAS LÄN</t>
        </is>
      </c>
      <c r="E329" t="inlineStr">
        <is>
          <t>ORSA</t>
        </is>
      </c>
      <c r="G329" t="n">
        <v>1.8</v>
      </c>
      <c r="H329" t="n">
        <v>0</v>
      </c>
      <c r="I329" t="n">
        <v>0</v>
      </c>
      <c r="J329" t="n">
        <v>0</v>
      </c>
      <c r="K329" t="n">
        <v>0</v>
      </c>
      <c r="L329" t="n">
        <v>0</v>
      </c>
      <c r="M329" t="n">
        <v>0</v>
      </c>
      <c r="N329" t="n">
        <v>0</v>
      </c>
      <c r="O329" t="n">
        <v>0</v>
      </c>
      <c r="P329" t="n">
        <v>0</v>
      </c>
      <c r="Q329" t="n">
        <v>0</v>
      </c>
      <c r="R329" s="2" t="inlineStr"/>
    </row>
    <row r="330" ht="15" customHeight="1">
      <c r="A330" t="inlineStr">
        <is>
          <t>A 35940-2025</t>
        </is>
      </c>
      <c r="B330" s="1" t="n">
        <v>45862.65081018519</v>
      </c>
      <c r="C330" s="1" t="n">
        <v>46046</v>
      </c>
      <c r="D330" t="inlineStr">
        <is>
          <t>DALARNAS LÄN</t>
        </is>
      </c>
      <c r="E330" t="inlineStr">
        <is>
          <t>ORSA</t>
        </is>
      </c>
      <c r="G330" t="n">
        <v>5.1</v>
      </c>
      <c r="H330" t="n">
        <v>0</v>
      </c>
      <c r="I330" t="n">
        <v>0</v>
      </c>
      <c r="J330" t="n">
        <v>0</v>
      </c>
      <c r="K330" t="n">
        <v>0</v>
      </c>
      <c r="L330" t="n">
        <v>0</v>
      </c>
      <c r="M330" t="n">
        <v>0</v>
      </c>
      <c r="N330" t="n">
        <v>0</v>
      </c>
      <c r="O330" t="n">
        <v>0</v>
      </c>
      <c r="P330" t="n">
        <v>0</v>
      </c>
      <c r="Q330" t="n">
        <v>0</v>
      </c>
      <c r="R330" s="2" t="inlineStr"/>
    </row>
    <row r="331" ht="15" customHeight="1">
      <c r="A331" t="inlineStr">
        <is>
          <t>A 19505-2022</t>
        </is>
      </c>
      <c r="B331" s="1" t="n">
        <v>44693</v>
      </c>
      <c r="C331" s="1" t="n">
        <v>46046</v>
      </c>
      <c r="D331" t="inlineStr">
        <is>
          <t>DALARNAS LÄN</t>
        </is>
      </c>
      <c r="E331" t="inlineStr">
        <is>
          <t>ORSA</t>
        </is>
      </c>
      <c r="G331" t="n">
        <v>2.7</v>
      </c>
      <c r="H331" t="n">
        <v>0</v>
      </c>
      <c r="I331" t="n">
        <v>0</v>
      </c>
      <c r="J331" t="n">
        <v>0</v>
      </c>
      <c r="K331" t="n">
        <v>0</v>
      </c>
      <c r="L331" t="n">
        <v>0</v>
      </c>
      <c r="M331" t="n">
        <v>0</v>
      </c>
      <c r="N331" t="n">
        <v>0</v>
      </c>
      <c r="O331" t="n">
        <v>0</v>
      </c>
      <c r="P331" t="n">
        <v>0</v>
      </c>
      <c r="Q331" t="n">
        <v>0</v>
      </c>
      <c r="R331" s="2" t="inlineStr"/>
    </row>
    <row r="332" ht="15" customHeight="1">
      <c r="A332" t="inlineStr">
        <is>
          <t>A 35939-2025</t>
        </is>
      </c>
      <c r="B332" s="1" t="n">
        <v>45862.64581018518</v>
      </c>
      <c r="C332" s="1" t="n">
        <v>46046</v>
      </c>
      <c r="D332" t="inlineStr">
        <is>
          <t>DALARNAS LÄN</t>
        </is>
      </c>
      <c r="E332" t="inlineStr">
        <is>
          <t>ORSA</t>
        </is>
      </c>
      <c r="G332" t="n">
        <v>5.6</v>
      </c>
      <c r="H332" t="n">
        <v>0</v>
      </c>
      <c r="I332" t="n">
        <v>0</v>
      </c>
      <c r="J332" t="n">
        <v>0</v>
      </c>
      <c r="K332" t="n">
        <v>0</v>
      </c>
      <c r="L332" t="n">
        <v>0</v>
      </c>
      <c r="M332" t="n">
        <v>0</v>
      </c>
      <c r="N332" t="n">
        <v>0</v>
      </c>
      <c r="O332" t="n">
        <v>0</v>
      </c>
      <c r="P332" t="n">
        <v>0</v>
      </c>
      <c r="Q332" t="n">
        <v>0</v>
      </c>
      <c r="R332" s="2" t="inlineStr"/>
    </row>
    <row r="333" ht="15" customHeight="1">
      <c r="A333" t="inlineStr">
        <is>
          <t>A 50714-2023</t>
        </is>
      </c>
      <c r="B333" s="1" t="n">
        <v>45217.56513888889</v>
      </c>
      <c r="C333" s="1" t="n">
        <v>46046</v>
      </c>
      <c r="D333" t="inlineStr">
        <is>
          <t>DALARNAS LÄN</t>
        </is>
      </c>
      <c r="E333" t="inlineStr">
        <is>
          <t>ORSA</t>
        </is>
      </c>
      <c r="G333" t="n">
        <v>1.1</v>
      </c>
      <c r="H333" t="n">
        <v>0</v>
      </c>
      <c r="I333" t="n">
        <v>0</v>
      </c>
      <c r="J333" t="n">
        <v>0</v>
      </c>
      <c r="K333" t="n">
        <v>0</v>
      </c>
      <c r="L333" t="n">
        <v>0</v>
      </c>
      <c r="M333" t="n">
        <v>0</v>
      </c>
      <c r="N333" t="n">
        <v>0</v>
      </c>
      <c r="O333" t="n">
        <v>0</v>
      </c>
      <c r="P333" t="n">
        <v>0</v>
      </c>
      <c r="Q333" t="n">
        <v>0</v>
      </c>
      <c r="R333" s="2" t="inlineStr"/>
    </row>
    <row r="334" ht="15" customHeight="1">
      <c r="A334" t="inlineStr">
        <is>
          <t>A 61685-2024</t>
        </is>
      </c>
      <c r="B334" s="1" t="n">
        <v>45647.56972222222</v>
      </c>
      <c r="C334" s="1" t="n">
        <v>46046</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6939-2021</t>
        </is>
      </c>
      <c r="B335" s="1" t="n">
        <v>44237</v>
      </c>
      <c r="C335" s="1" t="n">
        <v>46046</v>
      </c>
      <c r="D335" t="inlineStr">
        <is>
          <t>DALARNAS LÄN</t>
        </is>
      </c>
      <c r="E335" t="inlineStr">
        <is>
          <t>ORSA</t>
        </is>
      </c>
      <c r="F335" t="inlineStr">
        <is>
          <t>Övriga statliga verk och myndigheter</t>
        </is>
      </c>
      <c r="G335" t="n">
        <v>1.5</v>
      </c>
      <c r="H335" t="n">
        <v>0</v>
      </c>
      <c r="I335" t="n">
        <v>0</v>
      </c>
      <c r="J335" t="n">
        <v>0</v>
      </c>
      <c r="K335" t="n">
        <v>0</v>
      </c>
      <c r="L335" t="n">
        <v>0</v>
      </c>
      <c r="M335" t="n">
        <v>0</v>
      </c>
      <c r="N335" t="n">
        <v>0</v>
      </c>
      <c r="O335" t="n">
        <v>0</v>
      </c>
      <c r="P335" t="n">
        <v>0</v>
      </c>
      <c r="Q335" t="n">
        <v>0</v>
      </c>
      <c r="R335" s="2" t="inlineStr"/>
    </row>
    <row r="336" ht="15" customHeight="1">
      <c r="A336" t="inlineStr">
        <is>
          <t>A 34169-2023</t>
        </is>
      </c>
      <c r="B336" s="1" t="n">
        <v>45138.3071412037</v>
      </c>
      <c r="C336" s="1" t="n">
        <v>46046</v>
      </c>
      <c r="D336" t="inlineStr">
        <is>
          <t>DALARNAS LÄN</t>
        </is>
      </c>
      <c r="E336" t="inlineStr">
        <is>
          <t>ORSA</t>
        </is>
      </c>
      <c r="F336" t="inlineStr">
        <is>
          <t>Allmännings- och besparingsskogar</t>
        </is>
      </c>
      <c r="G336" t="n">
        <v>0.7</v>
      </c>
      <c r="H336" t="n">
        <v>0</v>
      </c>
      <c r="I336" t="n">
        <v>0</v>
      </c>
      <c r="J336" t="n">
        <v>0</v>
      </c>
      <c r="K336" t="n">
        <v>0</v>
      </c>
      <c r="L336" t="n">
        <v>0</v>
      </c>
      <c r="M336" t="n">
        <v>0</v>
      </c>
      <c r="N336" t="n">
        <v>0</v>
      </c>
      <c r="O336" t="n">
        <v>0</v>
      </c>
      <c r="P336" t="n">
        <v>0</v>
      </c>
      <c r="Q336" t="n">
        <v>0</v>
      </c>
      <c r="R336" s="2" t="inlineStr"/>
    </row>
    <row r="337" ht="15" customHeight="1">
      <c r="A337" t="inlineStr">
        <is>
          <t>A 7534-2025</t>
        </is>
      </c>
      <c r="B337" s="1" t="n">
        <v>45705.56287037037</v>
      </c>
      <c r="C337" s="1" t="n">
        <v>46046</v>
      </c>
      <c r="D337" t="inlineStr">
        <is>
          <t>DALARNAS LÄN</t>
        </is>
      </c>
      <c r="E337" t="inlineStr">
        <is>
          <t>ORSA</t>
        </is>
      </c>
      <c r="G337" t="n">
        <v>1.1</v>
      </c>
      <c r="H337" t="n">
        <v>0</v>
      </c>
      <c r="I337" t="n">
        <v>0</v>
      </c>
      <c r="J337" t="n">
        <v>0</v>
      </c>
      <c r="K337" t="n">
        <v>0</v>
      </c>
      <c r="L337" t="n">
        <v>0</v>
      </c>
      <c r="M337" t="n">
        <v>0</v>
      </c>
      <c r="N337" t="n">
        <v>0</v>
      </c>
      <c r="O337" t="n">
        <v>0</v>
      </c>
      <c r="P337" t="n">
        <v>0</v>
      </c>
      <c r="Q337" t="n">
        <v>0</v>
      </c>
      <c r="R337" s="2" t="inlineStr"/>
    </row>
    <row r="338" ht="15" customHeight="1">
      <c r="A338" t="inlineStr">
        <is>
          <t>A 27146-2021</t>
        </is>
      </c>
      <c r="B338" s="1" t="n">
        <v>44350</v>
      </c>
      <c r="C338" s="1" t="n">
        <v>46046</v>
      </c>
      <c r="D338" t="inlineStr">
        <is>
          <t>DALARNAS LÄN</t>
        </is>
      </c>
      <c r="E338" t="inlineStr">
        <is>
          <t>ORSA</t>
        </is>
      </c>
      <c r="G338" t="n">
        <v>1</v>
      </c>
      <c r="H338" t="n">
        <v>0</v>
      </c>
      <c r="I338" t="n">
        <v>0</v>
      </c>
      <c r="J338" t="n">
        <v>0</v>
      </c>
      <c r="K338" t="n">
        <v>0</v>
      </c>
      <c r="L338" t="n">
        <v>0</v>
      </c>
      <c r="M338" t="n">
        <v>0</v>
      </c>
      <c r="N338" t="n">
        <v>0</v>
      </c>
      <c r="O338" t="n">
        <v>0</v>
      </c>
      <c r="P338" t="n">
        <v>0</v>
      </c>
      <c r="Q338" t="n">
        <v>0</v>
      </c>
      <c r="R338" s="2" t="inlineStr"/>
    </row>
    <row r="339" ht="15" customHeight="1">
      <c r="A339" t="inlineStr">
        <is>
          <t>A 36427-2023</t>
        </is>
      </c>
      <c r="B339" s="1" t="n">
        <v>45152.60333333333</v>
      </c>
      <c r="C339" s="1" t="n">
        <v>46046</v>
      </c>
      <c r="D339" t="inlineStr">
        <is>
          <t>DALARNAS LÄN</t>
        </is>
      </c>
      <c r="E339" t="inlineStr">
        <is>
          <t>ORSA</t>
        </is>
      </c>
      <c r="F339" t="inlineStr">
        <is>
          <t>Bergvik skog öst AB</t>
        </is>
      </c>
      <c r="G339" t="n">
        <v>1.2</v>
      </c>
      <c r="H339" t="n">
        <v>0</v>
      </c>
      <c r="I339" t="n">
        <v>0</v>
      </c>
      <c r="J339" t="n">
        <v>0</v>
      </c>
      <c r="K339" t="n">
        <v>0</v>
      </c>
      <c r="L339" t="n">
        <v>0</v>
      </c>
      <c r="M339" t="n">
        <v>0</v>
      </c>
      <c r="N339" t="n">
        <v>0</v>
      </c>
      <c r="O339" t="n">
        <v>0</v>
      </c>
      <c r="P339" t="n">
        <v>0</v>
      </c>
      <c r="Q339" t="n">
        <v>0</v>
      </c>
      <c r="R339" s="2" t="inlineStr"/>
    </row>
    <row r="340" ht="15" customHeight="1">
      <c r="A340" t="inlineStr">
        <is>
          <t>A 6171-2025</t>
        </is>
      </c>
      <c r="B340" s="1" t="n">
        <v>45698.43287037037</v>
      </c>
      <c r="C340" s="1" t="n">
        <v>46046</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36570-2025</t>
        </is>
      </c>
      <c r="B341" s="1" t="n">
        <v>45870.38728009259</v>
      </c>
      <c r="C341" s="1" t="n">
        <v>46046</v>
      </c>
      <c r="D341" t="inlineStr">
        <is>
          <t>DALARNAS LÄN</t>
        </is>
      </c>
      <c r="E341" t="inlineStr">
        <is>
          <t>ORSA</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46046</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36633-2025</t>
        </is>
      </c>
      <c r="B343" s="1" t="n">
        <v>45870</v>
      </c>
      <c r="C343" s="1" t="n">
        <v>46046</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59411-2024</t>
        </is>
      </c>
      <c r="B344" s="1" t="n">
        <v>45638.39675925926</v>
      </c>
      <c r="C344" s="1" t="n">
        <v>46046</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59414-2024</t>
        </is>
      </c>
      <c r="B345" s="1" t="n">
        <v>45638.39965277778</v>
      </c>
      <c r="C345" s="1" t="n">
        <v>46046</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26301-2023</t>
        </is>
      </c>
      <c r="B346" s="1" t="n">
        <v>45091</v>
      </c>
      <c r="C346" s="1" t="n">
        <v>46046</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13236-2022</t>
        </is>
      </c>
      <c r="B347" s="1" t="n">
        <v>44644.61106481482</v>
      </c>
      <c r="C347" s="1" t="n">
        <v>46046</v>
      </c>
      <c r="D347" t="inlineStr">
        <is>
          <t>DALARNAS LÄN</t>
        </is>
      </c>
      <c r="E347" t="inlineStr">
        <is>
          <t>ORSA</t>
        </is>
      </c>
      <c r="G347" t="n">
        <v>0.5</v>
      </c>
      <c r="H347" t="n">
        <v>0</v>
      </c>
      <c r="I347" t="n">
        <v>0</v>
      </c>
      <c r="J347" t="n">
        <v>0</v>
      </c>
      <c r="K347" t="n">
        <v>0</v>
      </c>
      <c r="L347" t="n">
        <v>0</v>
      </c>
      <c r="M347" t="n">
        <v>0</v>
      </c>
      <c r="N347" t="n">
        <v>0</v>
      </c>
      <c r="O347" t="n">
        <v>0</v>
      </c>
      <c r="P347" t="n">
        <v>0</v>
      </c>
      <c r="Q347" t="n">
        <v>0</v>
      </c>
      <c r="R347" s="2" t="inlineStr"/>
    </row>
    <row r="348" ht="15" customHeight="1">
      <c r="A348" t="inlineStr">
        <is>
          <t>A 8429-2024</t>
        </is>
      </c>
      <c r="B348" s="1" t="n">
        <v>45353.38880787037</v>
      </c>
      <c r="C348" s="1" t="n">
        <v>46046</v>
      </c>
      <c r="D348" t="inlineStr">
        <is>
          <t>DALARNAS LÄN</t>
        </is>
      </c>
      <c r="E348" t="inlineStr">
        <is>
          <t>ORSA</t>
        </is>
      </c>
      <c r="G348" t="n">
        <v>0.3</v>
      </c>
      <c r="H348" t="n">
        <v>0</v>
      </c>
      <c r="I348" t="n">
        <v>0</v>
      </c>
      <c r="J348" t="n">
        <v>0</v>
      </c>
      <c r="K348" t="n">
        <v>0</v>
      </c>
      <c r="L348" t="n">
        <v>0</v>
      </c>
      <c r="M348" t="n">
        <v>0</v>
      </c>
      <c r="N348" t="n">
        <v>0</v>
      </c>
      <c r="O348" t="n">
        <v>0</v>
      </c>
      <c r="P348" t="n">
        <v>0</v>
      </c>
      <c r="Q348" t="n">
        <v>0</v>
      </c>
      <c r="R348" s="2" t="inlineStr"/>
    </row>
    <row r="349" ht="15" customHeight="1">
      <c r="A349" t="inlineStr">
        <is>
          <t>A 612-2025</t>
        </is>
      </c>
      <c r="B349" s="1" t="n">
        <v>45660</v>
      </c>
      <c r="C349" s="1" t="n">
        <v>46046</v>
      </c>
      <c r="D349" t="inlineStr">
        <is>
          <t>DALARNAS LÄN</t>
        </is>
      </c>
      <c r="E349" t="inlineStr">
        <is>
          <t>ORSA</t>
        </is>
      </c>
      <c r="F349" t="inlineStr">
        <is>
          <t>Allmännings- och besparingsskogar</t>
        </is>
      </c>
      <c r="G349" t="n">
        <v>0.8</v>
      </c>
      <c r="H349" t="n">
        <v>0</v>
      </c>
      <c r="I349" t="n">
        <v>0</v>
      </c>
      <c r="J349" t="n">
        <v>0</v>
      </c>
      <c r="K349" t="n">
        <v>0</v>
      </c>
      <c r="L349" t="n">
        <v>0</v>
      </c>
      <c r="M349" t="n">
        <v>0</v>
      </c>
      <c r="N349" t="n">
        <v>0</v>
      </c>
      <c r="O349" t="n">
        <v>0</v>
      </c>
      <c r="P349" t="n">
        <v>0</v>
      </c>
      <c r="Q349" t="n">
        <v>0</v>
      </c>
      <c r="R349" s="2" t="inlineStr"/>
    </row>
    <row r="350" ht="15" customHeight="1">
      <c r="A350" t="inlineStr">
        <is>
          <t>A 37181-2025</t>
        </is>
      </c>
      <c r="B350" s="1" t="n">
        <v>45875.62668981482</v>
      </c>
      <c r="C350" s="1" t="n">
        <v>46046</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4202-2025</t>
        </is>
      </c>
      <c r="B351" s="1" t="n">
        <v>45685.46236111111</v>
      </c>
      <c r="C351" s="1" t="n">
        <v>46046</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4204-2025</t>
        </is>
      </c>
      <c r="B352" s="1" t="n">
        <v>45685.46390046296</v>
      </c>
      <c r="C352" s="1" t="n">
        <v>46046</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37439-2025</t>
        </is>
      </c>
      <c r="B353" s="1" t="n">
        <v>45877.53644675926</v>
      </c>
      <c r="C353" s="1" t="n">
        <v>46046</v>
      </c>
      <c r="D353" t="inlineStr">
        <is>
          <t>DALARNAS LÄN</t>
        </is>
      </c>
      <c r="E353" t="inlineStr">
        <is>
          <t>ORSA</t>
        </is>
      </c>
      <c r="F353" t="inlineStr">
        <is>
          <t>Allmännings- och besparingsskogar</t>
        </is>
      </c>
      <c r="G353" t="n">
        <v>7.9</v>
      </c>
      <c r="H353" t="n">
        <v>0</v>
      </c>
      <c r="I353" t="n">
        <v>0</v>
      </c>
      <c r="J353" t="n">
        <v>0</v>
      </c>
      <c r="K353" t="n">
        <v>0</v>
      </c>
      <c r="L353" t="n">
        <v>0</v>
      </c>
      <c r="M353" t="n">
        <v>0</v>
      </c>
      <c r="N353" t="n">
        <v>0</v>
      </c>
      <c r="O353" t="n">
        <v>0</v>
      </c>
      <c r="P353" t="n">
        <v>0</v>
      </c>
      <c r="Q353" t="n">
        <v>0</v>
      </c>
      <c r="R353" s="2" t="inlineStr"/>
    </row>
    <row r="354" ht="15" customHeight="1">
      <c r="A354" t="inlineStr">
        <is>
          <t>A 37457-2025</t>
        </is>
      </c>
      <c r="B354" s="1" t="n">
        <v>45877.56829861111</v>
      </c>
      <c r="C354" s="1" t="n">
        <v>46046</v>
      </c>
      <c r="D354" t="inlineStr">
        <is>
          <t>DALARNAS LÄN</t>
        </is>
      </c>
      <c r="E354" t="inlineStr">
        <is>
          <t>ORSA</t>
        </is>
      </c>
      <c r="F354" t="inlineStr">
        <is>
          <t>Allmännings- och besparingsskogar</t>
        </is>
      </c>
      <c r="G354" t="n">
        <v>6.5</v>
      </c>
      <c r="H354" t="n">
        <v>0</v>
      </c>
      <c r="I354" t="n">
        <v>0</v>
      </c>
      <c r="J354" t="n">
        <v>0</v>
      </c>
      <c r="K354" t="n">
        <v>0</v>
      </c>
      <c r="L354" t="n">
        <v>0</v>
      </c>
      <c r="M354" t="n">
        <v>0</v>
      </c>
      <c r="N354" t="n">
        <v>0</v>
      </c>
      <c r="O354" t="n">
        <v>0</v>
      </c>
      <c r="P354" t="n">
        <v>0</v>
      </c>
      <c r="Q354" t="n">
        <v>0</v>
      </c>
      <c r="R354" s="2" t="inlineStr"/>
    </row>
    <row r="355" ht="15" customHeight="1">
      <c r="A355" t="inlineStr">
        <is>
          <t>A 55538-2023</t>
        </is>
      </c>
      <c r="B355" s="1" t="n">
        <v>45238.5996875</v>
      </c>
      <c r="C355" s="1" t="n">
        <v>46046</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37496-2025</t>
        </is>
      </c>
      <c r="B356" s="1" t="n">
        <v>45877.64424768519</v>
      </c>
      <c r="C356" s="1" t="n">
        <v>46046</v>
      </c>
      <c r="D356" t="inlineStr">
        <is>
          <t>DALARNAS LÄN</t>
        </is>
      </c>
      <c r="E356" t="inlineStr">
        <is>
          <t>ORSA</t>
        </is>
      </c>
      <c r="F356" t="inlineStr">
        <is>
          <t>Bergvik skog öst AB</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15769-2025</t>
        </is>
      </c>
      <c r="B357" s="1" t="n">
        <v>45748.58792824074</v>
      </c>
      <c r="C357" s="1" t="n">
        <v>46046</v>
      </c>
      <c r="D357" t="inlineStr">
        <is>
          <t>DALARNAS LÄN</t>
        </is>
      </c>
      <c r="E357" t="inlineStr">
        <is>
          <t>ORSA</t>
        </is>
      </c>
      <c r="F357" t="inlineStr">
        <is>
          <t>Bergvik skog öst AB</t>
        </is>
      </c>
      <c r="G357" t="n">
        <v>4.7</v>
      </c>
      <c r="H357" t="n">
        <v>0</v>
      </c>
      <c r="I357" t="n">
        <v>0</v>
      </c>
      <c r="J357" t="n">
        <v>0</v>
      </c>
      <c r="K357" t="n">
        <v>0</v>
      </c>
      <c r="L357" t="n">
        <v>0</v>
      </c>
      <c r="M357" t="n">
        <v>0</v>
      </c>
      <c r="N357" t="n">
        <v>0</v>
      </c>
      <c r="O357" t="n">
        <v>0</v>
      </c>
      <c r="P357" t="n">
        <v>0</v>
      </c>
      <c r="Q357" t="n">
        <v>0</v>
      </c>
      <c r="R357" s="2" t="inlineStr"/>
    </row>
    <row r="358" ht="15" customHeight="1">
      <c r="A358" t="inlineStr">
        <is>
          <t>A 37445-2025</t>
        </is>
      </c>
      <c r="B358" s="1" t="n">
        <v>45877.54615740741</v>
      </c>
      <c r="C358" s="1" t="n">
        <v>46046</v>
      </c>
      <c r="D358" t="inlineStr">
        <is>
          <t>DALARNAS LÄN</t>
        </is>
      </c>
      <c r="E358" t="inlineStr">
        <is>
          <t>ORSA</t>
        </is>
      </c>
      <c r="F358" t="inlineStr">
        <is>
          <t>Bergvik skog öst AB</t>
        </is>
      </c>
      <c r="G358" t="n">
        <v>13.4</v>
      </c>
      <c r="H358" t="n">
        <v>0</v>
      </c>
      <c r="I358" t="n">
        <v>0</v>
      </c>
      <c r="J358" t="n">
        <v>0</v>
      </c>
      <c r="K358" t="n">
        <v>0</v>
      </c>
      <c r="L358" t="n">
        <v>0</v>
      </c>
      <c r="M358" t="n">
        <v>0</v>
      </c>
      <c r="N358" t="n">
        <v>0</v>
      </c>
      <c r="O358" t="n">
        <v>0</v>
      </c>
      <c r="P358" t="n">
        <v>0</v>
      </c>
      <c r="Q358" t="n">
        <v>0</v>
      </c>
      <c r="R358" s="2" t="inlineStr"/>
    </row>
    <row r="359" ht="15" customHeight="1">
      <c r="A359" t="inlineStr">
        <is>
          <t>A 38844-2025</t>
        </is>
      </c>
      <c r="B359" s="1" t="n">
        <v>45887.54075231482</v>
      </c>
      <c r="C359" s="1" t="n">
        <v>46046</v>
      </c>
      <c r="D359" t="inlineStr">
        <is>
          <t>DALARNAS LÄN</t>
        </is>
      </c>
      <c r="E359" t="inlineStr">
        <is>
          <t>ORSA</t>
        </is>
      </c>
      <c r="G359" t="n">
        <v>1.6</v>
      </c>
      <c r="H359" t="n">
        <v>0</v>
      </c>
      <c r="I359" t="n">
        <v>0</v>
      </c>
      <c r="J359" t="n">
        <v>0</v>
      </c>
      <c r="K359" t="n">
        <v>0</v>
      </c>
      <c r="L359" t="n">
        <v>0</v>
      </c>
      <c r="M359" t="n">
        <v>0</v>
      </c>
      <c r="N359" t="n">
        <v>0</v>
      </c>
      <c r="O359" t="n">
        <v>0</v>
      </c>
      <c r="P359" t="n">
        <v>0</v>
      </c>
      <c r="Q359" t="n">
        <v>0</v>
      </c>
      <c r="R359" s="2" t="inlineStr"/>
    </row>
    <row r="360" ht="15" customHeight="1">
      <c r="A360" t="inlineStr">
        <is>
          <t>A 37897-2025</t>
        </is>
      </c>
      <c r="B360" s="1" t="n">
        <v>45881.55274305555</v>
      </c>
      <c r="C360" s="1" t="n">
        <v>46046</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37899-2025</t>
        </is>
      </c>
      <c r="B361" s="1" t="n">
        <v>45881.56083333334</v>
      </c>
      <c r="C361" s="1" t="n">
        <v>46046</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38672-2025</t>
        </is>
      </c>
      <c r="B362" s="1" t="n">
        <v>45884.63340277778</v>
      </c>
      <c r="C362" s="1" t="n">
        <v>46046</v>
      </c>
      <c r="D362" t="inlineStr">
        <is>
          <t>DALARNAS LÄN</t>
        </is>
      </c>
      <c r="E362" t="inlineStr">
        <is>
          <t>ORSA</t>
        </is>
      </c>
      <c r="G362" t="n">
        <v>4.6</v>
      </c>
      <c r="H362" t="n">
        <v>0</v>
      </c>
      <c r="I362" t="n">
        <v>0</v>
      </c>
      <c r="J362" t="n">
        <v>0</v>
      </c>
      <c r="K362" t="n">
        <v>0</v>
      </c>
      <c r="L362" t="n">
        <v>0</v>
      </c>
      <c r="M362" t="n">
        <v>0</v>
      </c>
      <c r="N362" t="n">
        <v>0</v>
      </c>
      <c r="O362" t="n">
        <v>0</v>
      </c>
      <c r="P362" t="n">
        <v>0</v>
      </c>
      <c r="Q362" t="n">
        <v>0</v>
      </c>
      <c r="R362" s="2" t="inlineStr"/>
    </row>
    <row r="363" ht="15" customHeight="1">
      <c r="A363" t="inlineStr">
        <is>
          <t>A 37893-2025</t>
        </is>
      </c>
      <c r="B363" s="1" t="n">
        <v>45881.54469907407</v>
      </c>
      <c r="C363" s="1" t="n">
        <v>46046</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37906-2025</t>
        </is>
      </c>
      <c r="B364" s="1" t="n">
        <v>45881.56803240741</v>
      </c>
      <c r="C364" s="1" t="n">
        <v>46046</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38688-2025</t>
        </is>
      </c>
      <c r="B365" s="1" t="n">
        <v>45884.66097222222</v>
      </c>
      <c r="C365" s="1" t="n">
        <v>46046</v>
      </c>
      <c r="D365" t="inlineStr">
        <is>
          <t>DALARNAS LÄN</t>
        </is>
      </c>
      <c r="E365" t="inlineStr">
        <is>
          <t>ORSA</t>
        </is>
      </c>
      <c r="F365" t="inlineStr">
        <is>
          <t>Allmännings- och besparingsskogar</t>
        </is>
      </c>
      <c r="G365" t="n">
        <v>10.2</v>
      </c>
      <c r="H365" t="n">
        <v>0</v>
      </c>
      <c r="I365" t="n">
        <v>0</v>
      </c>
      <c r="J365" t="n">
        <v>0</v>
      </c>
      <c r="K365" t="n">
        <v>0</v>
      </c>
      <c r="L365" t="n">
        <v>0</v>
      </c>
      <c r="M365" t="n">
        <v>0</v>
      </c>
      <c r="N365" t="n">
        <v>0</v>
      </c>
      <c r="O365" t="n">
        <v>0</v>
      </c>
      <c r="P365" t="n">
        <v>0</v>
      </c>
      <c r="Q365" t="n">
        <v>0</v>
      </c>
      <c r="R365" s="2" t="inlineStr"/>
    </row>
    <row r="366" ht="15" customHeight="1">
      <c r="A366" t="inlineStr">
        <is>
          <t>A 21216-2023</t>
        </is>
      </c>
      <c r="B366" s="1" t="n">
        <v>45062</v>
      </c>
      <c r="C366" s="1" t="n">
        <v>46046</v>
      </c>
      <c r="D366" t="inlineStr">
        <is>
          <t>DALARNAS LÄN</t>
        </is>
      </c>
      <c r="E366" t="inlineStr">
        <is>
          <t>ORSA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38588-2025</t>
        </is>
      </c>
      <c r="B367" s="1" t="n">
        <v>45884.47355324074</v>
      </c>
      <c r="C367" s="1" t="n">
        <v>46046</v>
      </c>
      <c r="D367" t="inlineStr">
        <is>
          <t>DALARNAS LÄN</t>
        </is>
      </c>
      <c r="E367" t="inlineStr">
        <is>
          <t>ORSA</t>
        </is>
      </c>
      <c r="F367" t="inlineStr">
        <is>
          <t>Bergvik skog öst AB</t>
        </is>
      </c>
      <c r="G367" t="n">
        <v>9.5</v>
      </c>
      <c r="H367" t="n">
        <v>0</v>
      </c>
      <c r="I367" t="n">
        <v>0</v>
      </c>
      <c r="J367" t="n">
        <v>0</v>
      </c>
      <c r="K367" t="n">
        <v>0</v>
      </c>
      <c r="L367" t="n">
        <v>0</v>
      </c>
      <c r="M367" t="n">
        <v>0</v>
      </c>
      <c r="N367" t="n">
        <v>0</v>
      </c>
      <c r="O367" t="n">
        <v>0</v>
      </c>
      <c r="P367" t="n">
        <v>0</v>
      </c>
      <c r="Q367" t="n">
        <v>0</v>
      </c>
      <c r="R367" s="2" t="inlineStr"/>
    </row>
    <row r="368" ht="15" customHeight="1">
      <c r="A368" t="inlineStr">
        <is>
          <t>A 30382-2023</t>
        </is>
      </c>
      <c r="B368" s="1" t="n">
        <v>45111</v>
      </c>
      <c r="C368" s="1" t="n">
        <v>46046</v>
      </c>
      <c r="D368" t="inlineStr">
        <is>
          <t>DALARNAS LÄN</t>
        </is>
      </c>
      <c r="E368" t="inlineStr">
        <is>
          <t>ORSA</t>
        </is>
      </c>
      <c r="F368" t="inlineStr">
        <is>
          <t>Bergvik skog öst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37852-2024</t>
        </is>
      </c>
      <c r="B369" s="1" t="n">
        <v>45544.3786574074</v>
      </c>
      <c r="C369" s="1" t="n">
        <v>46046</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53717-2024</t>
        </is>
      </c>
      <c r="B370" s="1" t="n">
        <v>45615.43141203704</v>
      </c>
      <c r="C370" s="1" t="n">
        <v>46046</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31688-2024</t>
        </is>
      </c>
      <c r="B371" s="1" t="n">
        <v>45507.46103009259</v>
      </c>
      <c r="C371" s="1" t="n">
        <v>46046</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38840-2025</t>
        </is>
      </c>
      <c r="B372" s="1" t="n">
        <v>45887.5375</v>
      </c>
      <c r="C372" s="1" t="n">
        <v>46046</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56706-2021</t>
        </is>
      </c>
      <c r="B373" s="1" t="n">
        <v>44481.4037962963</v>
      </c>
      <c r="C373" s="1" t="n">
        <v>46046</v>
      </c>
      <c r="D373" t="inlineStr">
        <is>
          <t>DALARNAS LÄN</t>
        </is>
      </c>
      <c r="E373" t="inlineStr">
        <is>
          <t>ORSA</t>
        </is>
      </c>
      <c r="G373" t="n">
        <v>0.9</v>
      </c>
      <c r="H373" t="n">
        <v>0</v>
      </c>
      <c r="I373" t="n">
        <v>0</v>
      </c>
      <c r="J373" t="n">
        <v>0</v>
      </c>
      <c r="K373" t="n">
        <v>0</v>
      </c>
      <c r="L373" t="n">
        <v>0</v>
      </c>
      <c r="M373" t="n">
        <v>0</v>
      </c>
      <c r="N373" t="n">
        <v>0</v>
      </c>
      <c r="O373" t="n">
        <v>0</v>
      </c>
      <c r="P373" t="n">
        <v>0</v>
      </c>
      <c r="Q373" t="n">
        <v>0</v>
      </c>
      <c r="R373" s="2" t="inlineStr"/>
    </row>
    <row r="374" ht="15" customHeight="1">
      <c r="A374" t="inlineStr">
        <is>
          <t>A 50999-2021</t>
        </is>
      </c>
      <c r="B374" s="1" t="n">
        <v>44460.85565972222</v>
      </c>
      <c r="C374" s="1" t="n">
        <v>46046</v>
      </c>
      <c r="D374" t="inlineStr">
        <is>
          <t>DALARNAS LÄN</t>
        </is>
      </c>
      <c r="E374" t="inlineStr">
        <is>
          <t>ORSA</t>
        </is>
      </c>
      <c r="G374" t="n">
        <v>3</v>
      </c>
      <c r="H374" t="n">
        <v>0</v>
      </c>
      <c r="I374" t="n">
        <v>0</v>
      </c>
      <c r="J374" t="n">
        <v>0</v>
      </c>
      <c r="K374" t="n">
        <v>0</v>
      </c>
      <c r="L374" t="n">
        <v>0</v>
      </c>
      <c r="M374" t="n">
        <v>0</v>
      </c>
      <c r="N374" t="n">
        <v>0</v>
      </c>
      <c r="O374" t="n">
        <v>0</v>
      </c>
      <c r="P374" t="n">
        <v>0</v>
      </c>
      <c r="Q374" t="n">
        <v>0</v>
      </c>
      <c r="R374" s="2" t="inlineStr"/>
    </row>
    <row r="375" ht="15" customHeight="1">
      <c r="A375" t="inlineStr">
        <is>
          <t>A 27877-2021</t>
        </is>
      </c>
      <c r="B375" s="1" t="n">
        <v>44354.6446875</v>
      </c>
      <c r="C375" s="1" t="n">
        <v>46046</v>
      </c>
      <c r="D375" t="inlineStr">
        <is>
          <t>DALARNAS LÄN</t>
        </is>
      </c>
      <c r="E375" t="inlineStr">
        <is>
          <t>ORSA</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28082-2023</t>
        </is>
      </c>
      <c r="B376" s="1" t="n">
        <v>45099</v>
      </c>
      <c r="C376" s="1" t="n">
        <v>46046</v>
      </c>
      <c r="D376" t="inlineStr">
        <is>
          <t>DALARNAS LÄN</t>
        </is>
      </c>
      <c r="E376" t="inlineStr">
        <is>
          <t>ORSA</t>
        </is>
      </c>
      <c r="G376" t="n">
        <v>0.4</v>
      </c>
      <c r="H376" t="n">
        <v>0</v>
      </c>
      <c r="I376" t="n">
        <v>0</v>
      </c>
      <c r="J376" t="n">
        <v>0</v>
      </c>
      <c r="K376" t="n">
        <v>0</v>
      </c>
      <c r="L376" t="n">
        <v>0</v>
      </c>
      <c r="M376" t="n">
        <v>0</v>
      </c>
      <c r="N376" t="n">
        <v>0</v>
      </c>
      <c r="O376" t="n">
        <v>0</v>
      </c>
      <c r="P376" t="n">
        <v>0</v>
      </c>
      <c r="Q376" t="n">
        <v>0</v>
      </c>
      <c r="R376" s="2" t="inlineStr"/>
    </row>
    <row r="377" ht="15" customHeight="1">
      <c r="A377" t="inlineStr">
        <is>
          <t>A 4553-2025</t>
        </is>
      </c>
      <c r="B377" s="1" t="n">
        <v>45687.42143518518</v>
      </c>
      <c r="C377" s="1" t="n">
        <v>46046</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51567-2023</t>
        </is>
      </c>
      <c r="B378" s="1" t="n">
        <v>45222.44800925926</v>
      </c>
      <c r="C378" s="1" t="n">
        <v>46046</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17518-2025</t>
        </is>
      </c>
      <c r="B379" s="1" t="n">
        <v>45757.57597222222</v>
      </c>
      <c r="C379" s="1" t="n">
        <v>46046</v>
      </c>
      <c r="D379" t="inlineStr">
        <is>
          <t>DALARNAS LÄN</t>
        </is>
      </c>
      <c r="E379" t="inlineStr">
        <is>
          <t>ORSA</t>
        </is>
      </c>
      <c r="F379" t="inlineStr">
        <is>
          <t>Bergvik skog öst AB</t>
        </is>
      </c>
      <c r="G379" t="n">
        <v>7.3</v>
      </c>
      <c r="H379" t="n">
        <v>0</v>
      </c>
      <c r="I379" t="n">
        <v>0</v>
      </c>
      <c r="J379" t="n">
        <v>0</v>
      </c>
      <c r="K379" t="n">
        <v>0</v>
      </c>
      <c r="L379" t="n">
        <v>0</v>
      </c>
      <c r="M379" t="n">
        <v>0</v>
      </c>
      <c r="N379" t="n">
        <v>0</v>
      </c>
      <c r="O379" t="n">
        <v>0</v>
      </c>
      <c r="P379" t="n">
        <v>0</v>
      </c>
      <c r="Q379" t="n">
        <v>0</v>
      </c>
      <c r="R379" s="2" t="inlineStr"/>
    </row>
    <row r="380" ht="15" customHeight="1">
      <c r="A380" t="inlineStr">
        <is>
          <t>A 29485-2022</t>
        </is>
      </c>
      <c r="B380" s="1" t="n">
        <v>44753</v>
      </c>
      <c r="C380" s="1" t="n">
        <v>46046</v>
      </c>
      <c r="D380" t="inlineStr">
        <is>
          <t>DALARNAS LÄN</t>
        </is>
      </c>
      <c r="E380" t="inlineStr">
        <is>
          <t>ORSA</t>
        </is>
      </c>
      <c r="G380" t="n">
        <v>1.2</v>
      </c>
      <c r="H380" t="n">
        <v>0</v>
      </c>
      <c r="I380" t="n">
        <v>0</v>
      </c>
      <c r="J380" t="n">
        <v>0</v>
      </c>
      <c r="K380" t="n">
        <v>0</v>
      </c>
      <c r="L380" t="n">
        <v>0</v>
      </c>
      <c r="M380" t="n">
        <v>0</v>
      </c>
      <c r="N380" t="n">
        <v>0</v>
      </c>
      <c r="O380" t="n">
        <v>0</v>
      </c>
      <c r="P380" t="n">
        <v>0</v>
      </c>
      <c r="Q380" t="n">
        <v>0</v>
      </c>
      <c r="R380" s="2" t="inlineStr"/>
    </row>
    <row r="381" ht="15" customHeight="1">
      <c r="A381" t="inlineStr">
        <is>
          <t>A 40070-2025</t>
        </is>
      </c>
      <c r="B381" s="1" t="n">
        <v>45894.44197916667</v>
      </c>
      <c r="C381" s="1" t="n">
        <v>46046</v>
      </c>
      <c r="D381" t="inlineStr">
        <is>
          <t>DALARNAS LÄN</t>
        </is>
      </c>
      <c r="E381" t="inlineStr">
        <is>
          <t>ORSA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9466-2023</t>
        </is>
      </c>
      <c r="B382" s="1" t="n">
        <v>44981</v>
      </c>
      <c r="C382" s="1" t="n">
        <v>46046</v>
      </c>
      <c r="D382" t="inlineStr">
        <is>
          <t>DALARNAS LÄN</t>
        </is>
      </c>
      <c r="E382" t="inlineStr">
        <is>
          <t>ORSA</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46046</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30290-2024</t>
        </is>
      </c>
      <c r="B384" s="1" t="n">
        <v>45490.64681712963</v>
      </c>
      <c r="C384" s="1" t="n">
        <v>46046</v>
      </c>
      <c r="D384" t="inlineStr">
        <is>
          <t>DALARNAS LÄN</t>
        </is>
      </c>
      <c r="E384" t="inlineStr">
        <is>
          <t>ORSA</t>
        </is>
      </c>
      <c r="F384" t="inlineStr">
        <is>
          <t>Bergvik skog öst AB</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40111-2025</t>
        </is>
      </c>
      <c r="B385" s="1" t="n">
        <v>45894.49417824074</v>
      </c>
      <c r="C385" s="1" t="n">
        <v>46046</v>
      </c>
      <c r="D385" t="inlineStr">
        <is>
          <t>DALARNAS LÄN</t>
        </is>
      </c>
      <c r="E385" t="inlineStr">
        <is>
          <t>ORSA</t>
        </is>
      </c>
      <c r="F385" t="inlineStr">
        <is>
          <t>Allmännings- och besparingsskogar</t>
        </is>
      </c>
      <c r="G385" t="n">
        <v>18.6</v>
      </c>
      <c r="H385" t="n">
        <v>0</v>
      </c>
      <c r="I385" t="n">
        <v>0</v>
      </c>
      <c r="J385" t="n">
        <v>0</v>
      </c>
      <c r="K385" t="n">
        <v>0</v>
      </c>
      <c r="L385" t="n">
        <v>0</v>
      </c>
      <c r="M385" t="n">
        <v>0</v>
      </c>
      <c r="N385" t="n">
        <v>0</v>
      </c>
      <c r="O385" t="n">
        <v>0</v>
      </c>
      <c r="P385" t="n">
        <v>0</v>
      </c>
      <c r="Q385" t="n">
        <v>0</v>
      </c>
      <c r="R385" s="2" t="inlineStr"/>
    </row>
    <row r="386" ht="15" customHeight="1">
      <c r="A386" t="inlineStr">
        <is>
          <t>A 40127-2025</t>
        </is>
      </c>
      <c r="B386" s="1" t="n">
        <v>45894.53300925926</v>
      </c>
      <c r="C386" s="1" t="n">
        <v>46046</v>
      </c>
      <c r="D386" t="inlineStr">
        <is>
          <t>DALARNAS LÄN</t>
        </is>
      </c>
      <c r="E386" t="inlineStr">
        <is>
          <t>ORSA</t>
        </is>
      </c>
      <c r="F386" t="inlineStr">
        <is>
          <t>Allmännings- och besparingsskogar</t>
        </is>
      </c>
      <c r="G386" t="n">
        <v>17.4</v>
      </c>
      <c r="H386" t="n">
        <v>0</v>
      </c>
      <c r="I386" t="n">
        <v>0</v>
      </c>
      <c r="J386" t="n">
        <v>0</v>
      </c>
      <c r="K386" t="n">
        <v>0</v>
      </c>
      <c r="L386" t="n">
        <v>0</v>
      </c>
      <c r="M386" t="n">
        <v>0</v>
      </c>
      <c r="N386" t="n">
        <v>0</v>
      </c>
      <c r="O386" t="n">
        <v>0</v>
      </c>
      <c r="P386" t="n">
        <v>0</v>
      </c>
      <c r="Q386" t="n">
        <v>0</v>
      </c>
      <c r="R386" s="2" t="inlineStr"/>
    </row>
    <row r="387" ht="15" customHeight="1">
      <c r="A387" t="inlineStr">
        <is>
          <t>A 37836-2024</t>
        </is>
      </c>
      <c r="B387" s="1" t="n">
        <v>45544.35747685185</v>
      </c>
      <c r="C387" s="1" t="n">
        <v>46046</v>
      </c>
      <c r="D387" t="inlineStr">
        <is>
          <t>DALARNAS LÄN</t>
        </is>
      </c>
      <c r="E387" t="inlineStr">
        <is>
          <t>ORSA</t>
        </is>
      </c>
      <c r="G387" t="n">
        <v>2.3</v>
      </c>
      <c r="H387" t="n">
        <v>0</v>
      </c>
      <c r="I387" t="n">
        <v>0</v>
      </c>
      <c r="J387" t="n">
        <v>0</v>
      </c>
      <c r="K387" t="n">
        <v>0</v>
      </c>
      <c r="L387" t="n">
        <v>0</v>
      </c>
      <c r="M387" t="n">
        <v>0</v>
      </c>
      <c r="N387" t="n">
        <v>0</v>
      </c>
      <c r="O387" t="n">
        <v>0</v>
      </c>
      <c r="P387" t="n">
        <v>0</v>
      </c>
      <c r="Q387" t="n">
        <v>0</v>
      </c>
      <c r="R387" s="2" t="inlineStr"/>
    </row>
    <row r="388" ht="15" customHeight="1">
      <c r="A388" t="inlineStr">
        <is>
          <t>A 34374-2024</t>
        </is>
      </c>
      <c r="B388" s="1" t="n">
        <v>45525.40091435185</v>
      </c>
      <c r="C388" s="1" t="n">
        <v>46046</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40091-2025</t>
        </is>
      </c>
      <c r="B389" s="1" t="n">
        <v>45894.47822916666</v>
      </c>
      <c r="C389" s="1" t="n">
        <v>46046</v>
      </c>
      <c r="D389" t="inlineStr">
        <is>
          <t>DALARNAS LÄN</t>
        </is>
      </c>
      <c r="E389" t="inlineStr">
        <is>
          <t>ORSA</t>
        </is>
      </c>
      <c r="F389" t="inlineStr">
        <is>
          <t>Allmännings- och besparingsskogar</t>
        </is>
      </c>
      <c r="G389" t="n">
        <v>20.4</v>
      </c>
      <c r="H389" t="n">
        <v>0</v>
      </c>
      <c r="I389" t="n">
        <v>0</v>
      </c>
      <c r="J389" t="n">
        <v>0</v>
      </c>
      <c r="K389" t="n">
        <v>0</v>
      </c>
      <c r="L389" t="n">
        <v>0</v>
      </c>
      <c r="M389" t="n">
        <v>0</v>
      </c>
      <c r="N389" t="n">
        <v>0</v>
      </c>
      <c r="O389" t="n">
        <v>0</v>
      </c>
      <c r="P389" t="n">
        <v>0</v>
      </c>
      <c r="Q389" t="n">
        <v>0</v>
      </c>
      <c r="R389" s="2" t="inlineStr"/>
    </row>
    <row r="390" ht="15" customHeight="1">
      <c r="A390" t="inlineStr">
        <is>
          <t>A 40577-2025</t>
        </is>
      </c>
      <c r="B390" s="1" t="n">
        <v>45896.51028935185</v>
      </c>
      <c r="C390" s="1" t="n">
        <v>46046</v>
      </c>
      <c r="D390" t="inlineStr">
        <is>
          <t>DALARNAS LÄN</t>
        </is>
      </c>
      <c r="E390" t="inlineStr">
        <is>
          <t>ORSA</t>
        </is>
      </c>
      <c r="F390" t="inlineStr">
        <is>
          <t>Allmännings- och besparingsskogar</t>
        </is>
      </c>
      <c r="G390" t="n">
        <v>13.8</v>
      </c>
      <c r="H390" t="n">
        <v>0</v>
      </c>
      <c r="I390" t="n">
        <v>0</v>
      </c>
      <c r="J390" t="n">
        <v>0</v>
      </c>
      <c r="K390" t="n">
        <v>0</v>
      </c>
      <c r="L390" t="n">
        <v>0</v>
      </c>
      <c r="M390" t="n">
        <v>0</v>
      </c>
      <c r="N390" t="n">
        <v>0</v>
      </c>
      <c r="O390" t="n">
        <v>0</v>
      </c>
      <c r="P390" t="n">
        <v>0</v>
      </c>
      <c r="Q390" t="n">
        <v>0</v>
      </c>
      <c r="R390" s="2" t="inlineStr"/>
    </row>
    <row r="391" ht="15" customHeight="1">
      <c r="A391" t="inlineStr">
        <is>
          <t>A 54546-2024</t>
        </is>
      </c>
      <c r="B391" s="1" t="n">
        <v>45617.61476851852</v>
      </c>
      <c r="C391" s="1" t="n">
        <v>46046</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55534-2023</t>
        </is>
      </c>
      <c r="B392" s="1" t="n">
        <v>45238</v>
      </c>
      <c r="C392" s="1" t="n">
        <v>46046</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10261-2022</t>
        </is>
      </c>
      <c r="B393" s="1" t="n">
        <v>44622.6445949074</v>
      </c>
      <c r="C393" s="1" t="n">
        <v>46046</v>
      </c>
      <c r="D393" t="inlineStr">
        <is>
          <t>DALARNAS LÄN</t>
        </is>
      </c>
      <c r="E393" t="inlineStr">
        <is>
          <t>ORSA</t>
        </is>
      </c>
      <c r="G393" t="n">
        <v>3.1</v>
      </c>
      <c r="H393" t="n">
        <v>0</v>
      </c>
      <c r="I393" t="n">
        <v>0</v>
      </c>
      <c r="J393" t="n">
        <v>0</v>
      </c>
      <c r="K393" t="n">
        <v>0</v>
      </c>
      <c r="L393" t="n">
        <v>0</v>
      </c>
      <c r="M393" t="n">
        <v>0</v>
      </c>
      <c r="N393" t="n">
        <v>0</v>
      </c>
      <c r="O393" t="n">
        <v>0</v>
      </c>
      <c r="P393" t="n">
        <v>0</v>
      </c>
      <c r="Q393" t="n">
        <v>0</v>
      </c>
      <c r="R393" s="2" t="inlineStr"/>
    </row>
    <row r="394" ht="15" customHeight="1">
      <c r="A394" t="inlineStr">
        <is>
          <t>A 22491-2025</t>
        </is>
      </c>
      <c r="B394" s="1" t="n">
        <v>45786.65040509259</v>
      </c>
      <c r="C394" s="1" t="n">
        <v>46046</v>
      </c>
      <c r="D394" t="inlineStr">
        <is>
          <t>DALARNAS LÄN</t>
        </is>
      </c>
      <c r="E394" t="inlineStr">
        <is>
          <t>ORSA</t>
        </is>
      </c>
      <c r="F394" t="inlineStr">
        <is>
          <t>Bergvik skog öst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17848-2025</t>
        </is>
      </c>
      <c r="B395" s="1" t="n">
        <v>45758.59981481481</v>
      </c>
      <c r="C395" s="1" t="n">
        <v>46046</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41991-2025</t>
        </is>
      </c>
      <c r="B396" s="1" t="n">
        <v>45903.54532407408</v>
      </c>
      <c r="C396" s="1" t="n">
        <v>46046</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41927-2025</t>
        </is>
      </c>
      <c r="B397" s="1" t="n">
        <v>45903.4290625</v>
      </c>
      <c r="C397" s="1" t="n">
        <v>46046</v>
      </c>
      <c r="D397" t="inlineStr">
        <is>
          <t>DALARNAS LÄN</t>
        </is>
      </c>
      <c r="E397" t="inlineStr">
        <is>
          <t>ORSA</t>
        </is>
      </c>
      <c r="G397" t="n">
        <v>2.4</v>
      </c>
      <c r="H397" t="n">
        <v>0</v>
      </c>
      <c r="I397" t="n">
        <v>0</v>
      </c>
      <c r="J397" t="n">
        <v>0</v>
      </c>
      <c r="K397" t="n">
        <v>0</v>
      </c>
      <c r="L397" t="n">
        <v>0</v>
      </c>
      <c r="M397" t="n">
        <v>0</v>
      </c>
      <c r="N397" t="n">
        <v>0</v>
      </c>
      <c r="O397" t="n">
        <v>0</v>
      </c>
      <c r="P397" t="n">
        <v>0</v>
      </c>
      <c r="Q397" t="n">
        <v>0</v>
      </c>
      <c r="R397" s="2" t="inlineStr"/>
    </row>
    <row r="398" ht="15" customHeight="1">
      <c r="A398" t="inlineStr">
        <is>
          <t>A 61684-2024</t>
        </is>
      </c>
      <c r="B398" s="1" t="n">
        <v>45647.56491898148</v>
      </c>
      <c r="C398" s="1" t="n">
        <v>46046</v>
      </c>
      <c r="D398" t="inlineStr">
        <is>
          <t>DALARNAS LÄN</t>
        </is>
      </c>
      <c r="E398" t="inlineStr">
        <is>
          <t>ORSA</t>
        </is>
      </c>
      <c r="G398" t="n">
        <v>5.8</v>
      </c>
      <c r="H398" t="n">
        <v>0</v>
      </c>
      <c r="I398" t="n">
        <v>0</v>
      </c>
      <c r="J398" t="n">
        <v>0</v>
      </c>
      <c r="K398" t="n">
        <v>0</v>
      </c>
      <c r="L398" t="n">
        <v>0</v>
      </c>
      <c r="M398" t="n">
        <v>0</v>
      </c>
      <c r="N398" t="n">
        <v>0</v>
      </c>
      <c r="O398" t="n">
        <v>0</v>
      </c>
      <c r="P398" t="n">
        <v>0</v>
      </c>
      <c r="Q398" t="n">
        <v>0</v>
      </c>
      <c r="R398" s="2" t="inlineStr"/>
    </row>
    <row r="399" ht="15" customHeight="1">
      <c r="A399" t="inlineStr">
        <is>
          <t>A 41919-2025</t>
        </is>
      </c>
      <c r="B399" s="1" t="n">
        <v>45903.42372685186</v>
      </c>
      <c r="C399" s="1" t="n">
        <v>46046</v>
      </c>
      <c r="D399" t="inlineStr">
        <is>
          <t>DALARNAS LÄN</t>
        </is>
      </c>
      <c r="E399" t="inlineStr">
        <is>
          <t>ORSA</t>
        </is>
      </c>
      <c r="G399" t="n">
        <v>0.5</v>
      </c>
      <c r="H399" t="n">
        <v>0</v>
      </c>
      <c r="I399" t="n">
        <v>0</v>
      </c>
      <c r="J399" t="n">
        <v>0</v>
      </c>
      <c r="K399" t="n">
        <v>0</v>
      </c>
      <c r="L399" t="n">
        <v>0</v>
      </c>
      <c r="M399" t="n">
        <v>0</v>
      </c>
      <c r="N399" t="n">
        <v>0</v>
      </c>
      <c r="O399" t="n">
        <v>0</v>
      </c>
      <c r="P399" t="n">
        <v>0</v>
      </c>
      <c r="Q399" t="n">
        <v>0</v>
      </c>
      <c r="R399" s="2" t="inlineStr"/>
    </row>
    <row r="400" ht="15" customHeight="1">
      <c r="A400" t="inlineStr">
        <is>
          <t>A 41666-2025</t>
        </is>
      </c>
      <c r="B400" s="1" t="n">
        <v>45902.35822916667</v>
      </c>
      <c r="C400" s="1" t="n">
        <v>46046</v>
      </c>
      <c r="D400" t="inlineStr">
        <is>
          <t>DALARNAS LÄN</t>
        </is>
      </c>
      <c r="E400" t="inlineStr">
        <is>
          <t>ORSA</t>
        </is>
      </c>
      <c r="G400" t="n">
        <v>1.4</v>
      </c>
      <c r="H400" t="n">
        <v>0</v>
      </c>
      <c r="I400" t="n">
        <v>0</v>
      </c>
      <c r="J400" t="n">
        <v>0</v>
      </c>
      <c r="K400" t="n">
        <v>0</v>
      </c>
      <c r="L400" t="n">
        <v>0</v>
      </c>
      <c r="M400" t="n">
        <v>0</v>
      </c>
      <c r="N400" t="n">
        <v>0</v>
      </c>
      <c r="O400" t="n">
        <v>0</v>
      </c>
      <c r="P400" t="n">
        <v>0</v>
      </c>
      <c r="Q400" t="n">
        <v>0</v>
      </c>
      <c r="R400" s="2" t="inlineStr"/>
    </row>
    <row r="401" ht="15" customHeight="1">
      <c r="A401" t="inlineStr">
        <is>
          <t>A 55338-2022</t>
        </is>
      </c>
      <c r="B401" s="1" t="n">
        <v>44887.45185185185</v>
      </c>
      <c r="C401" s="1" t="n">
        <v>46046</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41971-2025</t>
        </is>
      </c>
      <c r="B402" s="1" t="n">
        <v>45903.48930555556</v>
      </c>
      <c r="C402" s="1" t="n">
        <v>46046</v>
      </c>
      <c r="D402" t="inlineStr">
        <is>
          <t>DALARNAS LÄN</t>
        </is>
      </c>
      <c r="E402" t="inlineStr">
        <is>
          <t>ORSA</t>
        </is>
      </c>
      <c r="G402" t="n">
        <v>15.8</v>
      </c>
      <c r="H402" t="n">
        <v>0</v>
      </c>
      <c r="I402" t="n">
        <v>0</v>
      </c>
      <c r="J402" t="n">
        <v>0</v>
      </c>
      <c r="K402" t="n">
        <v>0</v>
      </c>
      <c r="L402" t="n">
        <v>0</v>
      </c>
      <c r="M402" t="n">
        <v>0</v>
      </c>
      <c r="N402" t="n">
        <v>0</v>
      </c>
      <c r="O402" t="n">
        <v>0</v>
      </c>
      <c r="P402" t="n">
        <v>0</v>
      </c>
      <c r="Q402" t="n">
        <v>0</v>
      </c>
      <c r="R402" s="2" t="inlineStr"/>
    </row>
    <row r="403" ht="15" customHeight="1">
      <c r="A403" t="inlineStr">
        <is>
          <t>A 27240-2025</t>
        </is>
      </c>
      <c r="B403" s="1" t="n">
        <v>45812.45170138889</v>
      </c>
      <c r="C403" s="1" t="n">
        <v>46046</v>
      </c>
      <c r="D403" t="inlineStr">
        <is>
          <t>DALARNAS LÄN</t>
        </is>
      </c>
      <c r="E403" t="inlineStr">
        <is>
          <t>ORSA</t>
        </is>
      </c>
      <c r="F403" t="inlineStr">
        <is>
          <t>Bergvik skog öst AB</t>
        </is>
      </c>
      <c r="G403" t="n">
        <v>6.8</v>
      </c>
      <c r="H403" t="n">
        <v>0</v>
      </c>
      <c r="I403" t="n">
        <v>0</v>
      </c>
      <c r="J403" t="n">
        <v>0</v>
      </c>
      <c r="K403" t="n">
        <v>0</v>
      </c>
      <c r="L403" t="n">
        <v>0</v>
      </c>
      <c r="M403" t="n">
        <v>0</v>
      </c>
      <c r="N403" t="n">
        <v>0</v>
      </c>
      <c r="O403" t="n">
        <v>0</v>
      </c>
      <c r="P403" t="n">
        <v>0</v>
      </c>
      <c r="Q403" t="n">
        <v>0</v>
      </c>
      <c r="R403" s="2" t="inlineStr"/>
    </row>
    <row r="404" ht="15" customHeight="1">
      <c r="A404" t="inlineStr">
        <is>
          <t>A 42226-2025</t>
        </is>
      </c>
      <c r="B404" s="1" t="n">
        <v>45904.53831018518</v>
      </c>
      <c r="C404" s="1" t="n">
        <v>46046</v>
      </c>
      <c r="D404" t="inlineStr">
        <is>
          <t>DALARNAS LÄN</t>
        </is>
      </c>
      <c r="E404" t="inlineStr">
        <is>
          <t>ORSA</t>
        </is>
      </c>
      <c r="F404" t="inlineStr">
        <is>
          <t>Allmännings- och besparingsskogar</t>
        </is>
      </c>
      <c r="G404" t="n">
        <v>18</v>
      </c>
      <c r="H404" t="n">
        <v>0</v>
      </c>
      <c r="I404" t="n">
        <v>0</v>
      </c>
      <c r="J404" t="n">
        <v>0</v>
      </c>
      <c r="K404" t="n">
        <v>0</v>
      </c>
      <c r="L404" t="n">
        <v>0</v>
      </c>
      <c r="M404" t="n">
        <v>0</v>
      </c>
      <c r="N404" t="n">
        <v>0</v>
      </c>
      <c r="O404" t="n">
        <v>0</v>
      </c>
      <c r="P404" t="n">
        <v>0</v>
      </c>
      <c r="Q404" t="n">
        <v>0</v>
      </c>
      <c r="R404" s="2" t="inlineStr"/>
    </row>
    <row r="405" ht="15" customHeight="1">
      <c r="A405" t="inlineStr">
        <is>
          <t>A 49814-2023</t>
        </is>
      </c>
      <c r="B405" s="1" t="n">
        <v>45212.67149305555</v>
      </c>
      <c r="C405" s="1" t="n">
        <v>46046</v>
      </c>
      <c r="D405" t="inlineStr">
        <is>
          <t>DALARNAS LÄN</t>
        </is>
      </c>
      <c r="E405" t="inlineStr">
        <is>
          <t>ORSA</t>
        </is>
      </c>
      <c r="G405" t="n">
        <v>0.7</v>
      </c>
      <c r="H405" t="n">
        <v>0</v>
      </c>
      <c r="I405" t="n">
        <v>0</v>
      </c>
      <c r="J405" t="n">
        <v>0</v>
      </c>
      <c r="K405" t="n">
        <v>0</v>
      </c>
      <c r="L405" t="n">
        <v>0</v>
      </c>
      <c r="M405" t="n">
        <v>0</v>
      </c>
      <c r="N405" t="n">
        <v>0</v>
      </c>
      <c r="O405" t="n">
        <v>0</v>
      </c>
      <c r="P405" t="n">
        <v>0</v>
      </c>
      <c r="Q405" t="n">
        <v>0</v>
      </c>
      <c r="R405" s="2" t="inlineStr"/>
    </row>
    <row r="406" ht="15" customHeight="1">
      <c r="A406" t="inlineStr">
        <is>
          <t>A 23875-2025</t>
        </is>
      </c>
      <c r="B406" s="1" t="n">
        <v>45793.68313657407</v>
      </c>
      <c r="C406" s="1" t="n">
        <v>46046</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25591-2022</t>
        </is>
      </c>
      <c r="B407" s="1" t="n">
        <v>44732.67958333333</v>
      </c>
      <c r="C407" s="1" t="n">
        <v>46046</v>
      </c>
      <c r="D407" t="inlineStr">
        <is>
          <t>DALARNAS LÄN</t>
        </is>
      </c>
      <c r="E407" t="inlineStr">
        <is>
          <t>ORSA</t>
        </is>
      </c>
      <c r="G407" t="n">
        <v>6</v>
      </c>
      <c r="H407" t="n">
        <v>0</v>
      </c>
      <c r="I407" t="n">
        <v>0</v>
      </c>
      <c r="J407" t="n">
        <v>0</v>
      </c>
      <c r="K407" t="n">
        <v>0</v>
      </c>
      <c r="L407" t="n">
        <v>0</v>
      </c>
      <c r="M407" t="n">
        <v>0</v>
      </c>
      <c r="N407" t="n">
        <v>0</v>
      </c>
      <c r="O407" t="n">
        <v>0</v>
      </c>
      <c r="P407" t="n">
        <v>0</v>
      </c>
      <c r="Q407" t="n">
        <v>0</v>
      </c>
      <c r="R407" s="2" t="inlineStr"/>
    </row>
    <row r="408" ht="15" customHeight="1">
      <c r="A408" t="inlineStr">
        <is>
          <t>A 60189-2022</t>
        </is>
      </c>
      <c r="B408" s="1" t="n">
        <v>44910.36798611111</v>
      </c>
      <c r="C408" s="1" t="n">
        <v>46046</v>
      </c>
      <c r="D408" t="inlineStr">
        <is>
          <t>DALARNAS LÄN</t>
        </is>
      </c>
      <c r="E408" t="inlineStr">
        <is>
          <t>ORSA</t>
        </is>
      </c>
      <c r="F408" t="inlineStr">
        <is>
          <t>Bergvik skog öst AB</t>
        </is>
      </c>
      <c r="G408" t="n">
        <v>1.5</v>
      </c>
      <c r="H408" t="n">
        <v>0</v>
      </c>
      <c r="I408" t="n">
        <v>0</v>
      </c>
      <c r="J408" t="n">
        <v>0</v>
      </c>
      <c r="K408" t="n">
        <v>0</v>
      </c>
      <c r="L408" t="n">
        <v>0</v>
      </c>
      <c r="M408" t="n">
        <v>0</v>
      </c>
      <c r="N408" t="n">
        <v>0</v>
      </c>
      <c r="O408" t="n">
        <v>0</v>
      </c>
      <c r="P408" t="n">
        <v>0</v>
      </c>
      <c r="Q408" t="n">
        <v>0</v>
      </c>
      <c r="R408" s="2" t="inlineStr"/>
    </row>
    <row r="409" ht="15" customHeight="1">
      <c r="A409" t="inlineStr">
        <is>
          <t>A 44119-2025</t>
        </is>
      </c>
      <c r="B409" s="1" t="n">
        <v>45915.57738425926</v>
      </c>
      <c r="C409" s="1" t="n">
        <v>46046</v>
      </c>
      <c r="D409" t="inlineStr">
        <is>
          <t>DALARNAS LÄN</t>
        </is>
      </c>
      <c r="E409" t="inlineStr">
        <is>
          <t>ORSA</t>
        </is>
      </c>
      <c r="F409" t="inlineStr">
        <is>
          <t>Allmännings- och besparingsskogar</t>
        </is>
      </c>
      <c r="G409" t="n">
        <v>1.5</v>
      </c>
      <c r="H409" t="n">
        <v>0</v>
      </c>
      <c r="I409" t="n">
        <v>0</v>
      </c>
      <c r="J409" t="n">
        <v>0</v>
      </c>
      <c r="K409" t="n">
        <v>0</v>
      </c>
      <c r="L409" t="n">
        <v>0</v>
      </c>
      <c r="M409" t="n">
        <v>0</v>
      </c>
      <c r="N409" t="n">
        <v>0</v>
      </c>
      <c r="O409" t="n">
        <v>0</v>
      </c>
      <c r="P409" t="n">
        <v>0</v>
      </c>
      <c r="Q409" t="n">
        <v>0</v>
      </c>
      <c r="R409" s="2" t="inlineStr"/>
    </row>
    <row r="410" ht="15" customHeight="1">
      <c r="A410" t="inlineStr">
        <is>
          <t>A 44121-2025</t>
        </is>
      </c>
      <c r="B410" s="1" t="n">
        <v>45915.57792824074</v>
      </c>
      <c r="C410" s="1" t="n">
        <v>46046</v>
      </c>
      <c r="D410" t="inlineStr">
        <is>
          <t>DALARNAS LÄN</t>
        </is>
      </c>
      <c r="E410" t="inlineStr">
        <is>
          <t>ORSA</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44053-2025</t>
        </is>
      </c>
      <c r="B411" s="1" t="n">
        <v>45915.51239583334</v>
      </c>
      <c r="C411" s="1" t="n">
        <v>46046</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46046</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44117-2025</t>
        </is>
      </c>
      <c r="B413" s="1" t="n">
        <v>45915.57677083334</v>
      </c>
      <c r="C413" s="1" t="n">
        <v>46046</v>
      </c>
      <c r="D413" t="inlineStr">
        <is>
          <t>DALARNAS LÄN</t>
        </is>
      </c>
      <c r="E413" t="inlineStr">
        <is>
          <t>ORSA</t>
        </is>
      </c>
      <c r="F413" t="inlineStr">
        <is>
          <t>Allmännings- och besparingsskogar</t>
        </is>
      </c>
      <c r="G413" t="n">
        <v>2.7</v>
      </c>
      <c r="H413" t="n">
        <v>0</v>
      </c>
      <c r="I413" t="n">
        <v>0</v>
      </c>
      <c r="J413" t="n">
        <v>0</v>
      </c>
      <c r="K413" t="n">
        <v>0</v>
      </c>
      <c r="L413" t="n">
        <v>0</v>
      </c>
      <c r="M413" t="n">
        <v>0</v>
      </c>
      <c r="N413" t="n">
        <v>0</v>
      </c>
      <c r="O413" t="n">
        <v>0</v>
      </c>
      <c r="P413" t="n">
        <v>0</v>
      </c>
      <c r="Q413" t="n">
        <v>0</v>
      </c>
      <c r="R413" s="2" t="inlineStr"/>
    </row>
    <row r="414" ht="15" customHeight="1">
      <c r="A414" t="inlineStr">
        <is>
          <t>A 44129-2025</t>
        </is>
      </c>
      <c r="B414" s="1" t="n">
        <v>45915.58392361111</v>
      </c>
      <c r="C414" s="1" t="n">
        <v>46046</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52925-2024</t>
        </is>
      </c>
      <c r="B415" s="1" t="n">
        <v>45610.73276620371</v>
      </c>
      <c r="C415" s="1" t="n">
        <v>46046</v>
      </c>
      <c r="D415" t="inlineStr">
        <is>
          <t>DALARNAS LÄN</t>
        </is>
      </c>
      <c r="E415" t="inlineStr">
        <is>
          <t>ORSA</t>
        </is>
      </c>
      <c r="F415" t="inlineStr">
        <is>
          <t>Allmännings- och besparingsskogar</t>
        </is>
      </c>
      <c r="G415" t="n">
        <v>2.5</v>
      </c>
      <c r="H415" t="n">
        <v>0</v>
      </c>
      <c r="I415" t="n">
        <v>0</v>
      </c>
      <c r="J415" t="n">
        <v>0</v>
      </c>
      <c r="K415" t="n">
        <v>0</v>
      </c>
      <c r="L415" t="n">
        <v>0</v>
      </c>
      <c r="M415" t="n">
        <v>0</v>
      </c>
      <c r="N415" t="n">
        <v>0</v>
      </c>
      <c r="O415" t="n">
        <v>0</v>
      </c>
      <c r="P415" t="n">
        <v>0</v>
      </c>
      <c r="Q415" t="n">
        <v>0</v>
      </c>
      <c r="R415" s="2" t="inlineStr"/>
    </row>
    <row r="416" ht="15" customHeight="1">
      <c r="A416" t="inlineStr">
        <is>
          <t>A 43967-2025</t>
        </is>
      </c>
      <c r="B416" s="1" t="n">
        <v>45915.40188657407</v>
      </c>
      <c r="C416" s="1" t="n">
        <v>46046</v>
      </c>
      <c r="D416" t="inlineStr">
        <is>
          <t>DALARNAS LÄN</t>
        </is>
      </c>
      <c r="E416" t="inlineStr">
        <is>
          <t>ORSA</t>
        </is>
      </c>
      <c r="F416" t="inlineStr">
        <is>
          <t>Allmännings- och besparingsskogar</t>
        </is>
      </c>
      <c r="G416" t="n">
        <v>8.4</v>
      </c>
      <c r="H416" t="n">
        <v>0</v>
      </c>
      <c r="I416" t="n">
        <v>0</v>
      </c>
      <c r="J416" t="n">
        <v>0</v>
      </c>
      <c r="K416" t="n">
        <v>0</v>
      </c>
      <c r="L416" t="n">
        <v>0</v>
      </c>
      <c r="M416" t="n">
        <v>0</v>
      </c>
      <c r="N416" t="n">
        <v>0</v>
      </c>
      <c r="O416" t="n">
        <v>0</v>
      </c>
      <c r="P416" t="n">
        <v>0</v>
      </c>
      <c r="Q416" t="n">
        <v>0</v>
      </c>
      <c r="R416" s="2" t="inlineStr"/>
    </row>
    <row r="417" ht="15" customHeight="1">
      <c r="A417" t="inlineStr">
        <is>
          <t>A 43778-2025</t>
        </is>
      </c>
      <c r="B417" s="1" t="n">
        <v>45912.5147337963</v>
      </c>
      <c r="C417" s="1" t="n">
        <v>46046</v>
      </c>
      <c r="D417" t="inlineStr">
        <is>
          <t>DALARNAS LÄN</t>
        </is>
      </c>
      <c r="E417" t="inlineStr">
        <is>
          <t>ORSA</t>
        </is>
      </c>
      <c r="G417" t="n">
        <v>1.1</v>
      </c>
      <c r="H417" t="n">
        <v>0</v>
      </c>
      <c r="I417" t="n">
        <v>0</v>
      </c>
      <c r="J417" t="n">
        <v>0</v>
      </c>
      <c r="K417" t="n">
        <v>0</v>
      </c>
      <c r="L417" t="n">
        <v>0</v>
      </c>
      <c r="M417" t="n">
        <v>0</v>
      </c>
      <c r="N417" t="n">
        <v>0</v>
      </c>
      <c r="O417" t="n">
        <v>0</v>
      </c>
      <c r="P417" t="n">
        <v>0</v>
      </c>
      <c r="Q417" t="n">
        <v>0</v>
      </c>
      <c r="R417" s="2" t="inlineStr"/>
    </row>
    <row r="418" ht="15" customHeight="1">
      <c r="A418" t="inlineStr">
        <is>
          <t>A 44531-2025</t>
        </is>
      </c>
      <c r="B418" s="1" t="n">
        <v>45916.77120370371</v>
      </c>
      <c r="C418" s="1" t="n">
        <v>46046</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6476-2025</t>
        </is>
      </c>
      <c r="B419" s="1" t="n">
        <v>45699</v>
      </c>
      <c r="C419" s="1" t="n">
        <v>46046</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6479-2025</t>
        </is>
      </c>
      <c r="B420" s="1" t="n">
        <v>45699</v>
      </c>
      <c r="C420" s="1" t="n">
        <v>46046</v>
      </c>
      <c r="D420" t="inlineStr">
        <is>
          <t>DALARNAS LÄN</t>
        </is>
      </c>
      <c r="E420" t="inlineStr">
        <is>
          <t>ORSA</t>
        </is>
      </c>
      <c r="G420" t="n">
        <v>3.2</v>
      </c>
      <c r="H420" t="n">
        <v>0</v>
      </c>
      <c r="I420" t="n">
        <v>0</v>
      </c>
      <c r="J420" t="n">
        <v>0</v>
      </c>
      <c r="K420" t="n">
        <v>0</v>
      </c>
      <c r="L420" t="n">
        <v>0</v>
      </c>
      <c r="M420" t="n">
        <v>0</v>
      </c>
      <c r="N420" t="n">
        <v>0</v>
      </c>
      <c r="O420" t="n">
        <v>0</v>
      </c>
      <c r="P420" t="n">
        <v>0</v>
      </c>
      <c r="Q420" t="n">
        <v>0</v>
      </c>
      <c r="R420" s="2" t="inlineStr"/>
    </row>
    <row r="421" ht="15" customHeight="1">
      <c r="A421" t="inlineStr">
        <is>
          <t>A 56807-2024</t>
        </is>
      </c>
      <c r="B421" s="1" t="n">
        <v>45628.47519675926</v>
      </c>
      <c r="C421" s="1" t="n">
        <v>46046</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45155-2025</t>
        </is>
      </c>
      <c r="B422" s="1" t="n">
        <v>45919.47872685185</v>
      </c>
      <c r="C422" s="1" t="n">
        <v>46046</v>
      </c>
      <c r="D422" t="inlineStr">
        <is>
          <t>DALARNAS LÄN</t>
        </is>
      </c>
      <c r="E422" t="inlineStr">
        <is>
          <t>ORSA</t>
        </is>
      </c>
      <c r="G422" t="n">
        <v>1.5</v>
      </c>
      <c r="H422" t="n">
        <v>0</v>
      </c>
      <c r="I422" t="n">
        <v>0</v>
      </c>
      <c r="J422" t="n">
        <v>0</v>
      </c>
      <c r="K422" t="n">
        <v>0</v>
      </c>
      <c r="L422" t="n">
        <v>0</v>
      </c>
      <c r="M422" t="n">
        <v>0</v>
      </c>
      <c r="N422" t="n">
        <v>0</v>
      </c>
      <c r="O422" t="n">
        <v>0</v>
      </c>
      <c r="P422" t="n">
        <v>0</v>
      </c>
      <c r="Q422" t="n">
        <v>0</v>
      </c>
      <c r="R422" s="2" t="inlineStr"/>
    </row>
    <row r="423" ht="15" customHeight="1">
      <c r="A423" t="inlineStr">
        <is>
          <t>A 33057-2025</t>
        </is>
      </c>
      <c r="B423" s="1" t="n">
        <v>45840</v>
      </c>
      <c r="C423" s="1" t="n">
        <v>46046</v>
      </c>
      <c r="D423" t="inlineStr">
        <is>
          <t>DALARNAS LÄN</t>
        </is>
      </c>
      <c r="E423" t="inlineStr">
        <is>
          <t>ORSA</t>
        </is>
      </c>
      <c r="F423" t="inlineStr">
        <is>
          <t>Bergvik skog öst AB</t>
        </is>
      </c>
      <c r="G423" t="n">
        <v>3.3</v>
      </c>
      <c r="H423" t="n">
        <v>0</v>
      </c>
      <c r="I423" t="n">
        <v>0</v>
      </c>
      <c r="J423" t="n">
        <v>0</v>
      </c>
      <c r="K423" t="n">
        <v>0</v>
      </c>
      <c r="L423" t="n">
        <v>0</v>
      </c>
      <c r="M423" t="n">
        <v>0</v>
      </c>
      <c r="N423" t="n">
        <v>0</v>
      </c>
      <c r="O423" t="n">
        <v>0</v>
      </c>
      <c r="P423" t="n">
        <v>0</v>
      </c>
      <c r="Q423" t="n">
        <v>0</v>
      </c>
      <c r="R423" s="2" t="inlineStr"/>
    </row>
    <row r="424" ht="15" customHeight="1">
      <c r="A424" t="inlineStr">
        <is>
          <t>A 52643-2024</t>
        </is>
      </c>
      <c r="B424" s="1" t="n">
        <v>45610.34175925926</v>
      </c>
      <c r="C424" s="1" t="n">
        <v>46046</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47732-2021</t>
        </is>
      </c>
      <c r="B425" s="1" t="n">
        <v>44448.52815972222</v>
      </c>
      <c r="C425" s="1" t="n">
        <v>46046</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45031-2025</t>
        </is>
      </c>
      <c r="B426" s="1" t="n">
        <v>45918.70020833334</v>
      </c>
      <c r="C426" s="1" t="n">
        <v>46046</v>
      </c>
      <c r="D426" t="inlineStr">
        <is>
          <t>DALARNAS LÄN</t>
        </is>
      </c>
      <c r="E426" t="inlineStr">
        <is>
          <t>ORSA</t>
        </is>
      </c>
      <c r="G426" t="n">
        <v>5</v>
      </c>
      <c r="H426" t="n">
        <v>0</v>
      </c>
      <c r="I426" t="n">
        <v>0</v>
      </c>
      <c r="J426" t="n">
        <v>0</v>
      </c>
      <c r="K426" t="n">
        <v>0</v>
      </c>
      <c r="L426" t="n">
        <v>0</v>
      </c>
      <c r="M426" t="n">
        <v>0</v>
      </c>
      <c r="N426" t="n">
        <v>0</v>
      </c>
      <c r="O426" t="n">
        <v>0</v>
      </c>
      <c r="P426" t="n">
        <v>0</v>
      </c>
      <c r="Q426" t="n">
        <v>0</v>
      </c>
      <c r="R426" s="2" t="inlineStr"/>
    </row>
    <row r="427" ht="15" customHeight="1">
      <c r="A427" t="inlineStr">
        <is>
          <t>A 40101-2024</t>
        </is>
      </c>
      <c r="B427" s="1" t="n">
        <v>45554.42622685185</v>
      </c>
      <c r="C427" s="1" t="n">
        <v>46046</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17503-2025</t>
        </is>
      </c>
      <c r="B428" s="1" t="n">
        <v>45757.55321759259</v>
      </c>
      <c r="C428" s="1" t="n">
        <v>46046</v>
      </c>
      <c r="D428" t="inlineStr">
        <is>
          <t>DALARNAS LÄN</t>
        </is>
      </c>
      <c r="E428" t="inlineStr">
        <is>
          <t>ORSA</t>
        </is>
      </c>
      <c r="G428" t="n">
        <v>0.8</v>
      </c>
      <c r="H428" t="n">
        <v>0</v>
      </c>
      <c r="I428" t="n">
        <v>0</v>
      </c>
      <c r="J428" t="n">
        <v>0</v>
      </c>
      <c r="K428" t="n">
        <v>0</v>
      </c>
      <c r="L428" t="n">
        <v>0</v>
      </c>
      <c r="M428" t="n">
        <v>0</v>
      </c>
      <c r="N428" t="n">
        <v>0</v>
      </c>
      <c r="O428" t="n">
        <v>0</v>
      </c>
      <c r="P428" t="n">
        <v>0</v>
      </c>
      <c r="Q428" t="n">
        <v>0</v>
      </c>
      <c r="R428" s="2" t="inlineStr"/>
    </row>
    <row r="429" ht="15" customHeight="1">
      <c r="A429" t="inlineStr">
        <is>
          <t>A 45803-2025</t>
        </is>
      </c>
      <c r="B429" s="1" t="n">
        <v>45923.58125</v>
      </c>
      <c r="C429" s="1" t="n">
        <v>46046</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37830-2024</t>
        </is>
      </c>
      <c r="B430" s="1" t="n">
        <v>45544.34504629629</v>
      </c>
      <c r="C430" s="1" t="n">
        <v>46046</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21905-2022</t>
        </is>
      </c>
      <c r="B431" s="1" t="n">
        <v>44711</v>
      </c>
      <c r="C431" s="1" t="n">
        <v>46046</v>
      </c>
      <c r="D431" t="inlineStr">
        <is>
          <t>DALARNAS LÄN</t>
        </is>
      </c>
      <c r="E431" t="inlineStr">
        <is>
          <t>ORSA</t>
        </is>
      </c>
      <c r="F431" t="inlineStr">
        <is>
          <t>Allmännings- och besparingsskogar</t>
        </is>
      </c>
      <c r="G431" t="n">
        <v>3.1</v>
      </c>
      <c r="H431" t="n">
        <v>0</v>
      </c>
      <c r="I431" t="n">
        <v>0</v>
      </c>
      <c r="J431" t="n">
        <v>0</v>
      </c>
      <c r="K431" t="n">
        <v>0</v>
      </c>
      <c r="L431" t="n">
        <v>0</v>
      </c>
      <c r="M431" t="n">
        <v>0</v>
      </c>
      <c r="N431" t="n">
        <v>0</v>
      </c>
      <c r="O431" t="n">
        <v>0</v>
      </c>
      <c r="P431" t="n">
        <v>0</v>
      </c>
      <c r="Q431" t="n">
        <v>0</v>
      </c>
      <c r="R431" s="2" t="inlineStr"/>
    </row>
    <row r="432" ht="15" customHeight="1">
      <c r="A432" t="inlineStr">
        <is>
          <t>A 48521-2024</t>
        </is>
      </c>
      <c r="B432" s="1" t="n">
        <v>45593.32871527778</v>
      </c>
      <c r="C432" s="1" t="n">
        <v>46046</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46242-2025</t>
        </is>
      </c>
      <c r="B433" s="1" t="n">
        <v>45925.31876157408</v>
      </c>
      <c r="C433" s="1" t="n">
        <v>46046</v>
      </c>
      <c r="D433" t="inlineStr">
        <is>
          <t>DALARNAS LÄN</t>
        </is>
      </c>
      <c r="E433" t="inlineStr">
        <is>
          <t>ORSA</t>
        </is>
      </c>
      <c r="G433" t="n">
        <v>5.6</v>
      </c>
      <c r="H433" t="n">
        <v>0</v>
      </c>
      <c r="I433" t="n">
        <v>0</v>
      </c>
      <c r="J433" t="n">
        <v>0</v>
      </c>
      <c r="K433" t="n">
        <v>0</v>
      </c>
      <c r="L433" t="n">
        <v>0</v>
      </c>
      <c r="M433" t="n">
        <v>0</v>
      </c>
      <c r="N433" t="n">
        <v>0</v>
      </c>
      <c r="O433" t="n">
        <v>0</v>
      </c>
      <c r="P433" t="n">
        <v>0</v>
      </c>
      <c r="Q433" t="n">
        <v>0</v>
      </c>
      <c r="R433" s="2" t="inlineStr"/>
    </row>
    <row r="434" ht="15" customHeight="1">
      <c r="A434" t="inlineStr">
        <is>
          <t>A 46402-2025</t>
        </is>
      </c>
      <c r="B434" s="1" t="n">
        <v>45925.56084490741</v>
      </c>
      <c r="C434" s="1" t="n">
        <v>46046</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46277-2025</t>
        </is>
      </c>
      <c r="B435" s="1" t="n">
        <v>45925.37229166667</v>
      </c>
      <c r="C435" s="1" t="n">
        <v>46046</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46279-2025</t>
        </is>
      </c>
      <c r="B436" s="1" t="n">
        <v>45925.37534722222</v>
      </c>
      <c r="C436" s="1" t="n">
        <v>46046</v>
      </c>
      <c r="D436" t="inlineStr">
        <is>
          <t>DALARNAS LÄN</t>
        </is>
      </c>
      <c r="E436" t="inlineStr">
        <is>
          <t>ORSA</t>
        </is>
      </c>
      <c r="G436" t="n">
        <v>2.2</v>
      </c>
      <c r="H436" t="n">
        <v>0</v>
      </c>
      <c r="I436" t="n">
        <v>0</v>
      </c>
      <c r="J436" t="n">
        <v>0</v>
      </c>
      <c r="K436" t="n">
        <v>0</v>
      </c>
      <c r="L436" t="n">
        <v>0</v>
      </c>
      <c r="M436" t="n">
        <v>0</v>
      </c>
      <c r="N436" t="n">
        <v>0</v>
      </c>
      <c r="O436" t="n">
        <v>0</v>
      </c>
      <c r="P436" t="n">
        <v>0</v>
      </c>
      <c r="Q436" t="n">
        <v>0</v>
      </c>
      <c r="R436" s="2" t="inlineStr"/>
    </row>
    <row r="437" ht="15" customHeight="1">
      <c r="A437" t="inlineStr">
        <is>
          <t>A 46421-2025</t>
        </is>
      </c>
      <c r="B437" s="1" t="n">
        <v>45925.59936342593</v>
      </c>
      <c r="C437" s="1" t="n">
        <v>46046</v>
      </c>
      <c r="D437" t="inlineStr">
        <is>
          <t>DALARNAS LÄN</t>
        </is>
      </c>
      <c r="E437" t="inlineStr">
        <is>
          <t>ORSA</t>
        </is>
      </c>
      <c r="F437" t="inlineStr">
        <is>
          <t>Allmännings- och besparingsskogar</t>
        </is>
      </c>
      <c r="G437" t="n">
        <v>6.2</v>
      </c>
      <c r="H437" t="n">
        <v>0</v>
      </c>
      <c r="I437" t="n">
        <v>0</v>
      </c>
      <c r="J437" t="n">
        <v>0</v>
      </c>
      <c r="K437" t="n">
        <v>0</v>
      </c>
      <c r="L437" t="n">
        <v>0</v>
      </c>
      <c r="M437" t="n">
        <v>0</v>
      </c>
      <c r="N437" t="n">
        <v>0</v>
      </c>
      <c r="O437" t="n">
        <v>0</v>
      </c>
      <c r="P437" t="n">
        <v>0</v>
      </c>
      <c r="Q437" t="n">
        <v>0</v>
      </c>
      <c r="R437" s="2" t="inlineStr"/>
    </row>
    <row r="438" ht="15" customHeight="1">
      <c r="A438" t="inlineStr">
        <is>
          <t>A 46272-2025</t>
        </is>
      </c>
      <c r="B438" s="1" t="n">
        <v>45925.36988425926</v>
      </c>
      <c r="C438" s="1" t="n">
        <v>46046</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41832-2024</t>
        </is>
      </c>
      <c r="B439" s="1" t="n">
        <v>45561.40730324074</v>
      </c>
      <c r="C439" s="1" t="n">
        <v>46046</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53758-2024</t>
        </is>
      </c>
      <c r="B440" s="1" t="n">
        <v>45615.50483796297</v>
      </c>
      <c r="C440" s="1" t="n">
        <v>46046</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27163-2023</t>
        </is>
      </c>
      <c r="B441" s="1" t="n">
        <v>45096.4878125</v>
      </c>
      <c r="C441" s="1" t="n">
        <v>46046</v>
      </c>
      <c r="D441" t="inlineStr">
        <is>
          <t>DALARNAS LÄN</t>
        </is>
      </c>
      <c r="E441" t="inlineStr">
        <is>
          <t>ORSA</t>
        </is>
      </c>
      <c r="F441" t="inlineStr">
        <is>
          <t>Bergvik skog öst AB</t>
        </is>
      </c>
      <c r="G441" t="n">
        <v>0.5</v>
      </c>
      <c r="H441" t="n">
        <v>0</v>
      </c>
      <c r="I441" t="n">
        <v>0</v>
      </c>
      <c r="J441" t="n">
        <v>0</v>
      </c>
      <c r="K441" t="n">
        <v>0</v>
      </c>
      <c r="L441" t="n">
        <v>0</v>
      </c>
      <c r="M441" t="n">
        <v>0</v>
      </c>
      <c r="N441" t="n">
        <v>0</v>
      </c>
      <c r="O441" t="n">
        <v>0</v>
      </c>
      <c r="P441" t="n">
        <v>0</v>
      </c>
      <c r="Q441" t="n">
        <v>0</v>
      </c>
      <c r="R441" s="2" t="inlineStr"/>
    </row>
    <row r="442" ht="15" customHeight="1">
      <c r="A442" t="inlineStr">
        <is>
          <t>A 22022-2022</t>
        </is>
      </c>
      <c r="B442" s="1" t="n">
        <v>44711.60145833333</v>
      </c>
      <c r="C442" s="1" t="n">
        <v>46046</v>
      </c>
      <c r="D442" t="inlineStr">
        <is>
          <t>DALARNAS LÄN</t>
        </is>
      </c>
      <c r="E442" t="inlineStr">
        <is>
          <t>ORSA</t>
        </is>
      </c>
      <c r="F442" t="inlineStr">
        <is>
          <t>Bergvik skog öst AB</t>
        </is>
      </c>
      <c r="G442" t="n">
        <v>1.9</v>
      </c>
      <c r="H442" t="n">
        <v>0</v>
      </c>
      <c r="I442" t="n">
        <v>0</v>
      </c>
      <c r="J442" t="n">
        <v>0</v>
      </c>
      <c r="K442" t="n">
        <v>0</v>
      </c>
      <c r="L442" t="n">
        <v>0</v>
      </c>
      <c r="M442" t="n">
        <v>0</v>
      </c>
      <c r="N442" t="n">
        <v>0</v>
      </c>
      <c r="O442" t="n">
        <v>0</v>
      </c>
      <c r="P442" t="n">
        <v>0</v>
      </c>
      <c r="Q442" t="n">
        <v>0</v>
      </c>
      <c r="R442" s="2" t="inlineStr"/>
    </row>
    <row r="443" ht="15" customHeight="1">
      <c r="A443" t="inlineStr">
        <is>
          <t>A 47953-2025</t>
        </is>
      </c>
      <c r="B443" s="1" t="n">
        <v>45932.5853125</v>
      </c>
      <c r="C443" s="1" t="n">
        <v>46046</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56810-2024</t>
        </is>
      </c>
      <c r="B444" s="1" t="n">
        <v>45628</v>
      </c>
      <c r="C444" s="1" t="n">
        <v>46046</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56811-2024</t>
        </is>
      </c>
      <c r="B445" s="1" t="n">
        <v>45628</v>
      </c>
      <c r="C445" s="1" t="n">
        <v>46046</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56803-2024</t>
        </is>
      </c>
      <c r="B446" s="1" t="n">
        <v>45628.47212962963</v>
      </c>
      <c r="C446" s="1" t="n">
        <v>46046</v>
      </c>
      <c r="D446" t="inlineStr">
        <is>
          <t>DALARNAS LÄN</t>
        </is>
      </c>
      <c r="E446" t="inlineStr">
        <is>
          <t>ORSA</t>
        </is>
      </c>
      <c r="G446" t="n">
        <v>1.4</v>
      </c>
      <c r="H446" t="n">
        <v>0</v>
      </c>
      <c r="I446" t="n">
        <v>0</v>
      </c>
      <c r="J446" t="n">
        <v>0</v>
      </c>
      <c r="K446" t="n">
        <v>0</v>
      </c>
      <c r="L446" t="n">
        <v>0</v>
      </c>
      <c r="M446" t="n">
        <v>0</v>
      </c>
      <c r="N446" t="n">
        <v>0</v>
      </c>
      <c r="O446" t="n">
        <v>0</v>
      </c>
      <c r="P446" t="n">
        <v>0</v>
      </c>
      <c r="Q446" t="n">
        <v>0</v>
      </c>
      <c r="R446" s="2" t="inlineStr"/>
    </row>
    <row r="447" ht="15" customHeight="1">
      <c r="A447" t="inlineStr">
        <is>
          <t>A 9836-2022</t>
        </is>
      </c>
      <c r="B447" s="1" t="n">
        <v>44620</v>
      </c>
      <c r="C447" s="1" t="n">
        <v>46046</v>
      </c>
      <c r="D447" t="inlineStr">
        <is>
          <t>DALARNAS LÄN</t>
        </is>
      </c>
      <c r="E447" t="inlineStr">
        <is>
          <t>ORSA</t>
        </is>
      </c>
      <c r="G447" t="n">
        <v>1</v>
      </c>
      <c r="H447" t="n">
        <v>0</v>
      </c>
      <c r="I447" t="n">
        <v>0</v>
      </c>
      <c r="J447" t="n">
        <v>0</v>
      </c>
      <c r="K447" t="n">
        <v>0</v>
      </c>
      <c r="L447" t="n">
        <v>0</v>
      </c>
      <c r="M447" t="n">
        <v>0</v>
      </c>
      <c r="N447" t="n">
        <v>0</v>
      </c>
      <c r="O447" t="n">
        <v>0</v>
      </c>
      <c r="P447" t="n">
        <v>0</v>
      </c>
      <c r="Q447" t="n">
        <v>0</v>
      </c>
      <c r="R447" s="2" t="inlineStr"/>
    </row>
    <row r="448" ht="15" customHeight="1">
      <c r="A448" t="inlineStr">
        <is>
          <t>A 890-2024</t>
        </is>
      </c>
      <c r="B448" s="1" t="n">
        <v>45301.40552083333</v>
      </c>
      <c r="C448" s="1" t="n">
        <v>46046</v>
      </c>
      <c r="D448" t="inlineStr">
        <is>
          <t>DALARNAS LÄN</t>
        </is>
      </c>
      <c r="E448" t="inlineStr">
        <is>
          <t>ORSA</t>
        </is>
      </c>
      <c r="G448" t="n">
        <v>2.5</v>
      </c>
      <c r="H448" t="n">
        <v>0</v>
      </c>
      <c r="I448" t="n">
        <v>0</v>
      </c>
      <c r="J448" t="n">
        <v>0</v>
      </c>
      <c r="K448" t="n">
        <v>0</v>
      </c>
      <c r="L448" t="n">
        <v>0</v>
      </c>
      <c r="M448" t="n">
        <v>0</v>
      </c>
      <c r="N448" t="n">
        <v>0</v>
      </c>
      <c r="O448" t="n">
        <v>0</v>
      </c>
      <c r="P448" t="n">
        <v>0</v>
      </c>
      <c r="Q448" t="n">
        <v>0</v>
      </c>
      <c r="R448" s="2" t="inlineStr"/>
    </row>
    <row r="449" ht="15" customHeight="1">
      <c r="A449" t="inlineStr">
        <is>
          <t>A 48546-2025</t>
        </is>
      </c>
      <c r="B449" s="1" t="n">
        <v>45936.42172453704</v>
      </c>
      <c r="C449" s="1" t="n">
        <v>46046</v>
      </c>
      <c r="D449" t="inlineStr">
        <is>
          <t>DALARNAS LÄN</t>
        </is>
      </c>
      <c r="E449" t="inlineStr">
        <is>
          <t>ORSA</t>
        </is>
      </c>
      <c r="F449" t="inlineStr">
        <is>
          <t>Allmännings- och besparingsskogar</t>
        </is>
      </c>
      <c r="G449" t="n">
        <v>6</v>
      </c>
      <c r="H449" t="n">
        <v>0</v>
      </c>
      <c r="I449" t="n">
        <v>0</v>
      </c>
      <c r="J449" t="n">
        <v>0</v>
      </c>
      <c r="K449" t="n">
        <v>0</v>
      </c>
      <c r="L449" t="n">
        <v>0</v>
      </c>
      <c r="M449" t="n">
        <v>0</v>
      </c>
      <c r="N449" t="n">
        <v>0</v>
      </c>
      <c r="O449" t="n">
        <v>0</v>
      </c>
      <c r="P449" t="n">
        <v>0</v>
      </c>
      <c r="Q449" t="n">
        <v>0</v>
      </c>
      <c r="R449" s="2" t="inlineStr"/>
    </row>
    <row r="450" ht="15" customHeight="1">
      <c r="A450" t="inlineStr">
        <is>
          <t>A 48584-2025</t>
        </is>
      </c>
      <c r="B450" s="1" t="n">
        <v>45936.45788194444</v>
      </c>
      <c r="C450" s="1" t="n">
        <v>46046</v>
      </c>
      <c r="D450" t="inlineStr">
        <is>
          <t>DALARNAS LÄN</t>
        </is>
      </c>
      <c r="E450" t="inlineStr">
        <is>
          <t>ORSA</t>
        </is>
      </c>
      <c r="F450" t="inlineStr">
        <is>
          <t>Allmännings- och besparingsskogar</t>
        </is>
      </c>
      <c r="G450" t="n">
        <v>10.3</v>
      </c>
      <c r="H450" t="n">
        <v>0</v>
      </c>
      <c r="I450" t="n">
        <v>0</v>
      </c>
      <c r="J450" t="n">
        <v>0</v>
      </c>
      <c r="K450" t="n">
        <v>0</v>
      </c>
      <c r="L450" t="n">
        <v>0</v>
      </c>
      <c r="M450" t="n">
        <v>0</v>
      </c>
      <c r="N450" t="n">
        <v>0</v>
      </c>
      <c r="O450" t="n">
        <v>0</v>
      </c>
      <c r="P450" t="n">
        <v>0</v>
      </c>
      <c r="Q450" t="n">
        <v>0</v>
      </c>
      <c r="R450" s="2" t="inlineStr"/>
    </row>
    <row r="451" ht="15" customHeight="1">
      <c r="A451" t="inlineStr">
        <is>
          <t>A 48504-2025</t>
        </is>
      </c>
      <c r="B451" s="1" t="n">
        <v>45936.38270833333</v>
      </c>
      <c r="C451" s="1" t="n">
        <v>46046</v>
      </c>
      <c r="D451" t="inlineStr">
        <is>
          <t>DALARNAS LÄN</t>
        </is>
      </c>
      <c r="E451" t="inlineStr">
        <is>
          <t>ORSA</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49517-2025</t>
        </is>
      </c>
      <c r="B452" s="1" t="n">
        <v>45939.38850694444</v>
      </c>
      <c r="C452" s="1" t="n">
        <v>46046</v>
      </c>
      <c r="D452" t="inlineStr">
        <is>
          <t>DALARNAS LÄN</t>
        </is>
      </c>
      <c r="E452" t="inlineStr">
        <is>
          <t>ORSA</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49396-2025</t>
        </is>
      </c>
      <c r="B453" s="1" t="n">
        <v>45938.66181712963</v>
      </c>
      <c r="C453" s="1" t="n">
        <v>46046</v>
      </c>
      <c r="D453" t="inlineStr">
        <is>
          <t>DALARNAS LÄN</t>
        </is>
      </c>
      <c r="E453" t="inlineStr">
        <is>
          <t>ORSA</t>
        </is>
      </c>
      <c r="F453" t="inlineStr">
        <is>
          <t>Allmännings- och besparingsskogar</t>
        </is>
      </c>
      <c r="G453" t="n">
        <v>9.9</v>
      </c>
      <c r="H453" t="n">
        <v>0</v>
      </c>
      <c r="I453" t="n">
        <v>0</v>
      </c>
      <c r="J453" t="n">
        <v>0</v>
      </c>
      <c r="K453" t="n">
        <v>0</v>
      </c>
      <c r="L453" t="n">
        <v>0</v>
      </c>
      <c r="M453" t="n">
        <v>0</v>
      </c>
      <c r="N453" t="n">
        <v>0</v>
      </c>
      <c r="O453" t="n">
        <v>0</v>
      </c>
      <c r="P453" t="n">
        <v>0</v>
      </c>
      <c r="Q453" t="n">
        <v>0</v>
      </c>
      <c r="R453" s="2" t="inlineStr"/>
    </row>
    <row r="454" ht="15" customHeight="1">
      <c r="A454" t="inlineStr">
        <is>
          <t>A 49211-2025</t>
        </is>
      </c>
      <c r="B454" s="1" t="n">
        <v>45938.43825231482</v>
      </c>
      <c r="C454" s="1" t="n">
        <v>46046</v>
      </c>
      <c r="D454" t="inlineStr">
        <is>
          <t>DALARNAS LÄN</t>
        </is>
      </c>
      <c r="E454" t="inlineStr">
        <is>
          <t>ORSA</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51067-2025</t>
        </is>
      </c>
      <c r="B455" s="1" t="n">
        <v>45947.45381944445</v>
      </c>
      <c r="C455" s="1" t="n">
        <v>46046</v>
      </c>
      <c r="D455" t="inlineStr">
        <is>
          <t>DALARNAS LÄN</t>
        </is>
      </c>
      <c r="E455" t="inlineStr">
        <is>
          <t>ORSA</t>
        </is>
      </c>
      <c r="G455" t="n">
        <v>5.4</v>
      </c>
      <c r="H455" t="n">
        <v>0</v>
      </c>
      <c r="I455" t="n">
        <v>0</v>
      </c>
      <c r="J455" t="n">
        <v>0</v>
      </c>
      <c r="K455" t="n">
        <v>0</v>
      </c>
      <c r="L455" t="n">
        <v>0</v>
      </c>
      <c r="M455" t="n">
        <v>0</v>
      </c>
      <c r="N455" t="n">
        <v>0</v>
      </c>
      <c r="O455" t="n">
        <v>0</v>
      </c>
      <c r="P455" t="n">
        <v>0</v>
      </c>
      <c r="Q455" t="n">
        <v>0</v>
      </c>
      <c r="R455" s="2" t="inlineStr"/>
    </row>
    <row r="456" ht="15" customHeight="1">
      <c r="A456" t="inlineStr">
        <is>
          <t>A 51055-2025</t>
        </is>
      </c>
      <c r="B456" s="1" t="n">
        <v>45947.44309027777</v>
      </c>
      <c r="C456" s="1" t="n">
        <v>46046</v>
      </c>
      <c r="D456" t="inlineStr">
        <is>
          <t>DALARNAS LÄN</t>
        </is>
      </c>
      <c r="E456" t="inlineStr">
        <is>
          <t>ORSA</t>
        </is>
      </c>
      <c r="G456" t="n">
        <v>4.6</v>
      </c>
      <c r="H456" t="n">
        <v>0</v>
      </c>
      <c r="I456" t="n">
        <v>0</v>
      </c>
      <c r="J456" t="n">
        <v>0</v>
      </c>
      <c r="K456" t="n">
        <v>0</v>
      </c>
      <c r="L456" t="n">
        <v>0</v>
      </c>
      <c r="M456" t="n">
        <v>0</v>
      </c>
      <c r="N456" t="n">
        <v>0</v>
      </c>
      <c r="O456" t="n">
        <v>0</v>
      </c>
      <c r="P456" t="n">
        <v>0</v>
      </c>
      <c r="Q456" t="n">
        <v>0</v>
      </c>
      <c r="R456" s="2" t="inlineStr"/>
    </row>
    <row r="457" ht="15" customHeight="1">
      <c r="A457" t="inlineStr">
        <is>
          <t>A 51049-2025</t>
        </is>
      </c>
      <c r="B457" s="1" t="n">
        <v>45947.43479166667</v>
      </c>
      <c r="C457" s="1" t="n">
        <v>46046</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51064-2025</t>
        </is>
      </c>
      <c r="B458" s="1" t="n">
        <v>45947.45197916667</v>
      </c>
      <c r="C458" s="1" t="n">
        <v>46046</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51334-2025</t>
        </is>
      </c>
      <c r="B459" s="1" t="n">
        <v>45950.42378472222</v>
      </c>
      <c r="C459" s="1" t="n">
        <v>46046</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51340-2025</t>
        </is>
      </c>
      <c r="B460" s="1" t="n">
        <v>45950.42725694444</v>
      </c>
      <c r="C460" s="1" t="n">
        <v>46046</v>
      </c>
      <c r="D460" t="inlineStr">
        <is>
          <t>DALARNAS LÄN</t>
        </is>
      </c>
      <c r="E460" t="inlineStr">
        <is>
          <t>ORSA</t>
        </is>
      </c>
      <c r="F460" t="inlineStr">
        <is>
          <t>Allmännings- och besparingsskogar</t>
        </is>
      </c>
      <c r="G460" t="n">
        <v>14.1</v>
      </c>
      <c r="H460" t="n">
        <v>0</v>
      </c>
      <c r="I460" t="n">
        <v>0</v>
      </c>
      <c r="J460" t="n">
        <v>0</v>
      </c>
      <c r="K460" t="n">
        <v>0</v>
      </c>
      <c r="L460" t="n">
        <v>0</v>
      </c>
      <c r="M460" t="n">
        <v>0</v>
      </c>
      <c r="N460" t="n">
        <v>0</v>
      </c>
      <c r="O460" t="n">
        <v>0</v>
      </c>
      <c r="P460" t="n">
        <v>0</v>
      </c>
      <c r="Q460" t="n">
        <v>0</v>
      </c>
      <c r="R460" s="2" t="inlineStr"/>
    </row>
    <row r="461" ht="15" customHeight="1">
      <c r="A461" t="inlineStr">
        <is>
          <t>A 52485-2025</t>
        </is>
      </c>
      <c r="B461" s="1" t="n">
        <v>45954.47804398148</v>
      </c>
      <c r="C461" s="1" t="n">
        <v>46046</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52486-2025</t>
        </is>
      </c>
      <c r="B462" s="1" t="n">
        <v>45954.47844907407</v>
      </c>
      <c r="C462" s="1" t="n">
        <v>46046</v>
      </c>
      <c r="D462" t="inlineStr">
        <is>
          <t>DALARNAS LÄN</t>
        </is>
      </c>
      <c r="E462" t="inlineStr">
        <is>
          <t>ORSA</t>
        </is>
      </c>
      <c r="G462" t="n">
        <v>2.3</v>
      </c>
      <c r="H462" t="n">
        <v>0</v>
      </c>
      <c r="I462" t="n">
        <v>0</v>
      </c>
      <c r="J462" t="n">
        <v>0</v>
      </c>
      <c r="K462" t="n">
        <v>0</v>
      </c>
      <c r="L462" t="n">
        <v>0</v>
      </c>
      <c r="M462" t="n">
        <v>0</v>
      </c>
      <c r="N462" t="n">
        <v>0</v>
      </c>
      <c r="O462" t="n">
        <v>0</v>
      </c>
      <c r="P462" t="n">
        <v>0</v>
      </c>
      <c r="Q462" t="n">
        <v>0</v>
      </c>
      <c r="R462" s="2" t="inlineStr"/>
    </row>
    <row r="463" ht="15" customHeight="1">
      <c r="A463" t="inlineStr">
        <is>
          <t>A 52702-2025</t>
        </is>
      </c>
      <c r="B463" s="1" t="n">
        <v>45956.86853009259</v>
      </c>
      <c r="C463" s="1" t="n">
        <v>46046</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52949-2025</t>
        </is>
      </c>
      <c r="B464" s="1" t="n">
        <v>45954</v>
      </c>
      <c r="C464" s="1" t="n">
        <v>46046</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52686-2025</t>
        </is>
      </c>
      <c r="B465" s="1" t="n">
        <v>45956.3562037037</v>
      </c>
      <c r="C465" s="1" t="n">
        <v>46046</v>
      </c>
      <c r="D465" t="inlineStr">
        <is>
          <t>DALARNAS LÄN</t>
        </is>
      </c>
      <c r="E465" t="inlineStr">
        <is>
          <t>ORSA</t>
        </is>
      </c>
      <c r="G465" t="n">
        <v>0.5</v>
      </c>
      <c r="H465" t="n">
        <v>0</v>
      </c>
      <c r="I465" t="n">
        <v>0</v>
      </c>
      <c r="J465" t="n">
        <v>0</v>
      </c>
      <c r="K465" t="n">
        <v>0</v>
      </c>
      <c r="L465" t="n">
        <v>0</v>
      </c>
      <c r="M465" t="n">
        <v>0</v>
      </c>
      <c r="N465" t="n">
        <v>0</v>
      </c>
      <c r="O465" t="n">
        <v>0</v>
      </c>
      <c r="P465" t="n">
        <v>0</v>
      </c>
      <c r="Q465" t="n">
        <v>0</v>
      </c>
      <c r="R465" s="2" t="inlineStr"/>
    </row>
    <row r="466" ht="15" customHeight="1">
      <c r="A466" t="inlineStr">
        <is>
          <t>A 53573-2025</t>
        </is>
      </c>
      <c r="B466" s="1" t="n">
        <v>45960.41716435185</v>
      </c>
      <c r="C466" s="1" t="n">
        <v>46046</v>
      </c>
      <c r="D466" t="inlineStr">
        <is>
          <t>DALARNAS LÄN</t>
        </is>
      </c>
      <c r="E466" t="inlineStr">
        <is>
          <t>ORSA</t>
        </is>
      </c>
      <c r="F466" t="inlineStr">
        <is>
          <t>Bergvik skog öst AB</t>
        </is>
      </c>
      <c r="G466" t="n">
        <v>2.3</v>
      </c>
      <c r="H466" t="n">
        <v>0</v>
      </c>
      <c r="I466" t="n">
        <v>0</v>
      </c>
      <c r="J466" t="n">
        <v>0</v>
      </c>
      <c r="K466" t="n">
        <v>0</v>
      </c>
      <c r="L466" t="n">
        <v>0</v>
      </c>
      <c r="M466" t="n">
        <v>0</v>
      </c>
      <c r="N466" t="n">
        <v>0</v>
      </c>
      <c r="O466" t="n">
        <v>0</v>
      </c>
      <c r="P466" t="n">
        <v>0</v>
      </c>
      <c r="Q466" t="n">
        <v>0</v>
      </c>
      <c r="R466" s="2" t="inlineStr"/>
    </row>
    <row r="467" ht="15" customHeight="1">
      <c r="A467" t="inlineStr">
        <is>
          <t>A 53495-2025</t>
        </is>
      </c>
      <c r="B467" s="1" t="n">
        <v>45960.32577546296</v>
      </c>
      <c r="C467" s="1" t="n">
        <v>46046</v>
      </c>
      <c r="D467" t="inlineStr">
        <is>
          <t>DALARNAS LÄN</t>
        </is>
      </c>
      <c r="E467" t="inlineStr">
        <is>
          <t>ORSA</t>
        </is>
      </c>
      <c r="G467" t="n">
        <v>3.6</v>
      </c>
      <c r="H467" t="n">
        <v>0</v>
      </c>
      <c r="I467" t="n">
        <v>0</v>
      </c>
      <c r="J467" t="n">
        <v>0</v>
      </c>
      <c r="K467" t="n">
        <v>0</v>
      </c>
      <c r="L467" t="n">
        <v>0</v>
      </c>
      <c r="M467" t="n">
        <v>0</v>
      </c>
      <c r="N467" t="n">
        <v>0</v>
      </c>
      <c r="O467" t="n">
        <v>0</v>
      </c>
      <c r="P467" t="n">
        <v>0</v>
      </c>
      <c r="Q467" t="n">
        <v>0</v>
      </c>
      <c r="R467" s="2" t="inlineStr"/>
    </row>
    <row r="468" ht="15" customHeight="1">
      <c r="A468" t="inlineStr">
        <is>
          <t>A 53572-2025</t>
        </is>
      </c>
      <c r="B468" s="1" t="n">
        <v>45960.4140625</v>
      </c>
      <c r="C468" s="1" t="n">
        <v>46046</v>
      </c>
      <c r="D468" t="inlineStr">
        <is>
          <t>DALARNAS LÄN</t>
        </is>
      </c>
      <c r="E468" t="inlineStr">
        <is>
          <t>ORSA</t>
        </is>
      </c>
      <c r="F468" t="inlineStr">
        <is>
          <t>Bergvik skog öst AB</t>
        </is>
      </c>
      <c r="G468" t="n">
        <v>4.1</v>
      </c>
      <c r="H468" t="n">
        <v>0</v>
      </c>
      <c r="I468" t="n">
        <v>0</v>
      </c>
      <c r="J468" t="n">
        <v>0</v>
      </c>
      <c r="K468" t="n">
        <v>0</v>
      </c>
      <c r="L468" t="n">
        <v>0</v>
      </c>
      <c r="M468" t="n">
        <v>0</v>
      </c>
      <c r="N468" t="n">
        <v>0</v>
      </c>
      <c r="O468" t="n">
        <v>0</v>
      </c>
      <c r="P468" t="n">
        <v>0</v>
      </c>
      <c r="Q468" t="n">
        <v>0</v>
      </c>
      <c r="R468" s="2" t="inlineStr"/>
    </row>
    <row r="469" ht="15" customHeight="1">
      <c r="A469" t="inlineStr">
        <is>
          <t>A 53855-2025</t>
        </is>
      </c>
      <c r="B469" s="1" t="n">
        <v>45961.37528935185</v>
      </c>
      <c r="C469" s="1" t="n">
        <v>46046</v>
      </c>
      <c r="D469" t="inlineStr">
        <is>
          <t>DALARNAS LÄN</t>
        </is>
      </c>
      <c r="E469" t="inlineStr">
        <is>
          <t>ORSA</t>
        </is>
      </c>
      <c r="G469" t="n">
        <v>11.1</v>
      </c>
      <c r="H469" t="n">
        <v>0</v>
      </c>
      <c r="I469" t="n">
        <v>0</v>
      </c>
      <c r="J469" t="n">
        <v>0</v>
      </c>
      <c r="K469" t="n">
        <v>0</v>
      </c>
      <c r="L469" t="n">
        <v>0</v>
      </c>
      <c r="M469" t="n">
        <v>0</v>
      </c>
      <c r="N469" t="n">
        <v>0</v>
      </c>
      <c r="O469" t="n">
        <v>0</v>
      </c>
      <c r="P469" t="n">
        <v>0</v>
      </c>
      <c r="Q469" t="n">
        <v>0</v>
      </c>
      <c r="R469" s="2" t="inlineStr"/>
    </row>
    <row r="470" ht="15" customHeight="1">
      <c r="A470" t="inlineStr">
        <is>
          <t>A 53501-2025</t>
        </is>
      </c>
      <c r="B470" s="1" t="n">
        <v>45960.34216435185</v>
      </c>
      <c r="C470" s="1" t="n">
        <v>46046</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54509-2025</t>
        </is>
      </c>
      <c r="B471" s="1" t="n">
        <v>45965.61920138889</v>
      </c>
      <c r="C471" s="1" t="n">
        <v>46046</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54176-2025</t>
        </is>
      </c>
      <c r="B472" s="1" t="n">
        <v>45964.5500925926</v>
      </c>
      <c r="C472" s="1" t="n">
        <v>46046</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30751-2025</t>
        </is>
      </c>
      <c r="B473" s="1" t="n">
        <v>45831.58921296296</v>
      </c>
      <c r="C473" s="1" t="n">
        <v>46046</v>
      </c>
      <c r="D473" t="inlineStr">
        <is>
          <t>DALARNAS LÄN</t>
        </is>
      </c>
      <c r="E473" t="inlineStr">
        <is>
          <t>ORSA</t>
        </is>
      </c>
      <c r="G473" t="n">
        <v>5.2</v>
      </c>
      <c r="H473" t="n">
        <v>0</v>
      </c>
      <c r="I473" t="n">
        <v>0</v>
      </c>
      <c r="J473" t="n">
        <v>0</v>
      </c>
      <c r="K473" t="n">
        <v>0</v>
      </c>
      <c r="L473" t="n">
        <v>0</v>
      </c>
      <c r="M473" t="n">
        <v>0</v>
      </c>
      <c r="N473" t="n">
        <v>0</v>
      </c>
      <c r="O473" t="n">
        <v>0</v>
      </c>
      <c r="P473" t="n">
        <v>0</v>
      </c>
      <c r="Q473" t="n">
        <v>0</v>
      </c>
      <c r="R473" s="2" t="inlineStr"/>
    </row>
    <row r="474" ht="15" customHeight="1">
      <c r="A474" t="inlineStr">
        <is>
          <t>A 54527-2025</t>
        </is>
      </c>
      <c r="B474" s="1" t="n">
        <v>45965.63420138889</v>
      </c>
      <c r="C474" s="1" t="n">
        <v>46046</v>
      </c>
      <c r="D474" t="inlineStr">
        <is>
          <t>DALARNAS LÄN</t>
        </is>
      </c>
      <c r="E474" t="inlineStr">
        <is>
          <t>ORSA</t>
        </is>
      </c>
      <c r="G474" t="n">
        <v>1.9</v>
      </c>
      <c r="H474" t="n">
        <v>0</v>
      </c>
      <c r="I474" t="n">
        <v>0</v>
      </c>
      <c r="J474" t="n">
        <v>0</v>
      </c>
      <c r="K474" t="n">
        <v>0</v>
      </c>
      <c r="L474" t="n">
        <v>0</v>
      </c>
      <c r="M474" t="n">
        <v>0</v>
      </c>
      <c r="N474" t="n">
        <v>0</v>
      </c>
      <c r="O474" t="n">
        <v>0</v>
      </c>
      <c r="P474" t="n">
        <v>0</v>
      </c>
      <c r="Q474" t="n">
        <v>0</v>
      </c>
      <c r="R474" s="2" t="inlineStr"/>
    </row>
    <row r="475" ht="15" customHeight="1">
      <c r="A475" t="inlineStr">
        <is>
          <t>A 54543-2025</t>
        </is>
      </c>
      <c r="B475" s="1" t="n">
        <v>45965.64862268518</v>
      </c>
      <c r="C475" s="1" t="n">
        <v>46046</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62748-2025</t>
        </is>
      </c>
      <c r="B476" s="1" t="n">
        <v>46008.57913194445</v>
      </c>
      <c r="C476" s="1" t="n">
        <v>46046</v>
      </c>
      <c r="D476" t="inlineStr">
        <is>
          <t>DALARNAS LÄN</t>
        </is>
      </c>
      <c r="E476" t="inlineStr">
        <is>
          <t>ORSA</t>
        </is>
      </c>
      <c r="G476" t="n">
        <v>10.8</v>
      </c>
      <c r="H476" t="n">
        <v>0</v>
      </c>
      <c r="I476" t="n">
        <v>0</v>
      </c>
      <c r="J476" t="n">
        <v>0</v>
      </c>
      <c r="K476" t="n">
        <v>0</v>
      </c>
      <c r="L476" t="n">
        <v>0</v>
      </c>
      <c r="M476" t="n">
        <v>0</v>
      </c>
      <c r="N476" t="n">
        <v>0</v>
      </c>
      <c r="O476" t="n">
        <v>0</v>
      </c>
      <c r="P476" t="n">
        <v>0</v>
      </c>
      <c r="Q476" t="n">
        <v>0</v>
      </c>
      <c r="R476" s="2" t="inlineStr"/>
    </row>
    <row r="477" ht="15" customHeight="1">
      <c r="A477" t="inlineStr">
        <is>
          <t>A 62832-2025</t>
        </is>
      </c>
      <c r="B477" s="1" t="n">
        <v>46008.67696759259</v>
      </c>
      <c r="C477" s="1" t="n">
        <v>46046</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ht="15" customHeight="1">
      <c r="A478" t="inlineStr">
        <is>
          <t>A 62816-2025</t>
        </is>
      </c>
      <c r="B478" s="1" t="n">
        <v>46008.65450231481</v>
      </c>
      <c r="C478" s="1" t="n">
        <v>46046</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62810-2025</t>
        </is>
      </c>
      <c r="B479" s="1" t="n">
        <v>46008.64875</v>
      </c>
      <c r="C479" s="1" t="n">
        <v>46046</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54726-2025</t>
        </is>
      </c>
      <c r="B480" s="1" t="n">
        <v>45966.54658564815</v>
      </c>
      <c r="C480" s="1" t="n">
        <v>46046</v>
      </c>
      <c r="D480" t="inlineStr">
        <is>
          <t>DALARNAS LÄN</t>
        </is>
      </c>
      <c r="E480" t="inlineStr">
        <is>
          <t>ORSA</t>
        </is>
      </c>
      <c r="G480" t="n">
        <v>4.8</v>
      </c>
      <c r="H480" t="n">
        <v>0</v>
      </c>
      <c r="I480" t="n">
        <v>0</v>
      </c>
      <c r="J480" t="n">
        <v>0</v>
      </c>
      <c r="K480" t="n">
        <v>0</v>
      </c>
      <c r="L480" t="n">
        <v>0</v>
      </c>
      <c r="M480" t="n">
        <v>0</v>
      </c>
      <c r="N480" t="n">
        <v>0</v>
      </c>
      <c r="O480" t="n">
        <v>0</v>
      </c>
      <c r="P480" t="n">
        <v>0</v>
      </c>
      <c r="Q480" t="n">
        <v>0</v>
      </c>
      <c r="R480" s="2" t="inlineStr"/>
    </row>
    <row r="481" ht="15" customHeight="1">
      <c r="A481" t="inlineStr">
        <is>
          <t>A 54773-2025</t>
        </is>
      </c>
      <c r="B481" s="1" t="n">
        <v>45966.61081018519</v>
      </c>
      <c r="C481" s="1" t="n">
        <v>46046</v>
      </c>
      <c r="D481" t="inlineStr">
        <is>
          <t>DALARNAS LÄN</t>
        </is>
      </c>
      <c r="E481" t="inlineStr">
        <is>
          <t>ORSA</t>
        </is>
      </c>
      <c r="G481" t="n">
        <v>3.6</v>
      </c>
      <c r="H481" t="n">
        <v>0</v>
      </c>
      <c r="I481" t="n">
        <v>0</v>
      </c>
      <c r="J481" t="n">
        <v>0</v>
      </c>
      <c r="K481" t="n">
        <v>0</v>
      </c>
      <c r="L481" t="n">
        <v>0</v>
      </c>
      <c r="M481" t="n">
        <v>0</v>
      </c>
      <c r="N481" t="n">
        <v>0</v>
      </c>
      <c r="O481" t="n">
        <v>0</v>
      </c>
      <c r="P481" t="n">
        <v>0</v>
      </c>
      <c r="Q481" t="n">
        <v>0</v>
      </c>
      <c r="R481" s="2" t="inlineStr"/>
    </row>
    <row r="482" ht="15" customHeight="1">
      <c r="A482" t="inlineStr">
        <is>
          <t>A 62808-2025</t>
        </is>
      </c>
      <c r="B482" s="1" t="n">
        <v>46008.64555555556</v>
      </c>
      <c r="C482" s="1" t="n">
        <v>46046</v>
      </c>
      <c r="D482" t="inlineStr">
        <is>
          <t>DALARNAS LÄN</t>
        </is>
      </c>
      <c r="E482" t="inlineStr">
        <is>
          <t>ORSA</t>
        </is>
      </c>
      <c r="G482" t="n">
        <v>4.4</v>
      </c>
      <c r="H482" t="n">
        <v>0</v>
      </c>
      <c r="I482" t="n">
        <v>0</v>
      </c>
      <c r="J482" t="n">
        <v>0</v>
      </c>
      <c r="K482" t="n">
        <v>0</v>
      </c>
      <c r="L482" t="n">
        <v>0</v>
      </c>
      <c r="M482" t="n">
        <v>0</v>
      </c>
      <c r="N482" t="n">
        <v>0</v>
      </c>
      <c r="O482" t="n">
        <v>0</v>
      </c>
      <c r="P482" t="n">
        <v>0</v>
      </c>
      <c r="Q482" t="n">
        <v>0</v>
      </c>
      <c r="R482" s="2" t="inlineStr"/>
    </row>
    <row r="483" ht="15" customHeight="1">
      <c r="A483" t="inlineStr">
        <is>
          <t>A 62858-2025</t>
        </is>
      </c>
      <c r="B483" s="1" t="n">
        <v>46008.74334490741</v>
      </c>
      <c r="C483" s="1" t="n">
        <v>46046</v>
      </c>
      <c r="D483" t="inlineStr">
        <is>
          <t>DALARNAS LÄN</t>
        </is>
      </c>
      <c r="E483" t="inlineStr">
        <is>
          <t>ORSA</t>
        </is>
      </c>
      <c r="G483" t="n">
        <v>5</v>
      </c>
      <c r="H483" t="n">
        <v>0</v>
      </c>
      <c r="I483" t="n">
        <v>0</v>
      </c>
      <c r="J483" t="n">
        <v>0</v>
      </c>
      <c r="K483" t="n">
        <v>0</v>
      </c>
      <c r="L483" t="n">
        <v>0</v>
      </c>
      <c r="M483" t="n">
        <v>0</v>
      </c>
      <c r="N483" t="n">
        <v>0</v>
      </c>
      <c r="O483" t="n">
        <v>0</v>
      </c>
      <c r="P483" t="n">
        <v>0</v>
      </c>
      <c r="Q483" t="n">
        <v>0</v>
      </c>
      <c r="R483" s="2" t="inlineStr"/>
    </row>
    <row r="484" ht="15" customHeight="1">
      <c r="A484" t="inlineStr">
        <is>
          <t>A 62773-2025</t>
        </is>
      </c>
      <c r="B484" s="1" t="n">
        <v>46008.60548611111</v>
      </c>
      <c r="C484" s="1" t="n">
        <v>46046</v>
      </c>
      <c r="D484" t="inlineStr">
        <is>
          <t>DALARNAS LÄN</t>
        </is>
      </c>
      <c r="E484" t="inlineStr">
        <is>
          <t>ORSA</t>
        </is>
      </c>
      <c r="G484" t="n">
        <v>3.9</v>
      </c>
      <c r="H484" t="n">
        <v>0</v>
      </c>
      <c r="I484" t="n">
        <v>0</v>
      </c>
      <c r="J484" t="n">
        <v>0</v>
      </c>
      <c r="K484" t="n">
        <v>0</v>
      </c>
      <c r="L484" t="n">
        <v>0</v>
      </c>
      <c r="M484" t="n">
        <v>0</v>
      </c>
      <c r="N484" t="n">
        <v>0</v>
      </c>
      <c r="O484" t="n">
        <v>0</v>
      </c>
      <c r="P484" t="n">
        <v>0</v>
      </c>
      <c r="Q484" t="n">
        <v>0</v>
      </c>
      <c r="R484" s="2" t="inlineStr"/>
    </row>
    <row r="485" ht="15" customHeight="1">
      <c r="A485" t="inlineStr">
        <is>
          <t>A 62778-2025</t>
        </is>
      </c>
      <c r="B485" s="1" t="n">
        <v>46008.61351851852</v>
      </c>
      <c r="C485" s="1" t="n">
        <v>46046</v>
      </c>
      <c r="D485" t="inlineStr">
        <is>
          <t>DALARNAS LÄN</t>
        </is>
      </c>
      <c r="E485" t="inlineStr">
        <is>
          <t>ORSA</t>
        </is>
      </c>
      <c r="G485" t="n">
        <v>4.2</v>
      </c>
      <c r="H485" t="n">
        <v>0</v>
      </c>
      <c r="I485" t="n">
        <v>0</v>
      </c>
      <c r="J485" t="n">
        <v>0</v>
      </c>
      <c r="K485" t="n">
        <v>0</v>
      </c>
      <c r="L485" t="n">
        <v>0</v>
      </c>
      <c r="M485" t="n">
        <v>0</v>
      </c>
      <c r="N485" t="n">
        <v>0</v>
      </c>
      <c r="O485" t="n">
        <v>0</v>
      </c>
      <c r="P485" t="n">
        <v>0</v>
      </c>
      <c r="Q485" t="n">
        <v>0</v>
      </c>
      <c r="R485" s="2" t="inlineStr"/>
    </row>
    <row r="486" ht="15" customHeight="1">
      <c r="A486" t="inlineStr">
        <is>
          <t>A 54776-2025</t>
        </is>
      </c>
      <c r="B486" s="1" t="n">
        <v>45966.61395833334</v>
      </c>
      <c r="C486" s="1" t="n">
        <v>46046</v>
      </c>
      <c r="D486" t="inlineStr">
        <is>
          <t>DALARNAS LÄN</t>
        </is>
      </c>
      <c r="E486" t="inlineStr">
        <is>
          <t>ORSA</t>
        </is>
      </c>
      <c r="G486" t="n">
        <v>4.8</v>
      </c>
      <c r="H486" t="n">
        <v>0</v>
      </c>
      <c r="I486" t="n">
        <v>0</v>
      </c>
      <c r="J486" t="n">
        <v>0</v>
      </c>
      <c r="K486" t="n">
        <v>0</v>
      </c>
      <c r="L486" t="n">
        <v>0</v>
      </c>
      <c r="M486" t="n">
        <v>0</v>
      </c>
      <c r="N486" t="n">
        <v>0</v>
      </c>
      <c r="O486" t="n">
        <v>0</v>
      </c>
      <c r="P486" t="n">
        <v>0</v>
      </c>
      <c r="Q486" t="n">
        <v>0</v>
      </c>
      <c r="R486" s="2" t="inlineStr"/>
    </row>
    <row r="487" ht="15" customHeight="1">
      <c r="A487" t="inlineStr">
        <is>
          <t>A 62971-2025</t>
        </is>
      </c>
      <c r="B487" s="1" t="n">
        <v>46009.46511574074</v>
      </c>
      <c r="C487" s="1" t="n">
        <v>46046</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45223.62680555556</v>
      </c>
      <c r="C488" s="1" t="n">
        <v>46046</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62829-2025</t>
        </is>
      </c>
      <c r="B489" s="1" t="n">
        <v>46008.66658564815</v>
      </c>
      <c r="C489" s="1" t="n">
        <v>46046</v>
      </c>
      <c r="D489" t="inlineStr">
        <is>
          <t>DALARNAS LÄN</t>
        </is>
      </c>
      <c r="E489" t="inlineStr">
        <is>
          <t>ORSA</t>
        </is>
      </c>
      <c r="G489" t="n">
        <v>10.4</v>
      </c>
      <c r="H489" t="n">
        <v>0</v>
      </c>
      <c r="I489" t="n">
        <v>0</v>
      </c>
      <c r="J489" t="n">
        <v>0</v>
      </c>
      <c r="K489" t="n">
        <v>0</v>
      </c>
      <c r="L489" t="n">
        <v>0</v>
      </c>
      <c r="M489" t="n">
        <v>0</v>
      </c>
      <c r="N489" t="n">
        <v>0</v>
      </c>
      <c r="O489" t="n">
        <v>0</v>
      </c>
      <c r="P489" t="n">
        <v>0</v>
      </c>
      <c r="Q489" t="n">
        <v>0</v>
      </c>
      <c r="R489" s="2" t="inlineStr"/>
    </row>
    <row r="490" ht="15" customHeight="1">
      <c r="A490" t="inlineStr">
        <is>
          <t>A 62830-2025</t>
        </is>
      </c>
      <c r="B490" s="1" t="n">
        <v>46008.67211805555</v>
      </c>
      <c r="C490" s="1" t="n">
        <v>46046</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54782-2025</t>
        </is>
      </c>
      <c r="B491" s="1" t="n">
        <v>45966.61878472222</v>
      </c>
      <c r="C491" s="1" t="n">
        <v>46046</v>
      </c>
      <c r="D491" t="inlineStr">
        <is>
          <t>DALARNAS LÄN</t>
        </is>
      </c>
      <c r="E491" t="inlineStr">
        <is>
          <t>ORSA</t>
        </is>
      </c>
      <c r="G491" t="n">
        <v>3.8</v>
      </c>
      <c r="H491" t="n">
        <v>0</v>
      </c>
      <c r="I491" t="n">
        <v>0</v>
      </c>
      <c r="J491" t="n">
        <v>0</v>
      </c>
      <c r="K491" t="n">
        <v>0</v>
      </c>
      <c r="L491" t="n">
        <v>0</v>
      </c>
      <c r="M491" t="n">
        <v>0</v>
      </c>
      <c r="N491" t="n">
        <v>0</v>
      </c>
      <c r="O491" t="n">
        <v>0</v>
      </c>
      <c r="P491" t="n">
        <v>0</v>
      </c>
      <c r="Q491" t="n">
        <v>0</v>
      </c>
      <c r="R491" s="2" t="inlineStr"/>
    </row>
    <row r="492" ht="15" customHeight="1">
      <c r="A492" t="inlineStr">
        <is>
          <t>A 54676-2025</t>
        </is>
      </c>
      <c r="B492" s="1" t="n">
        <v>45966.42188657408</v>
      </c>
      <c r="C492" s="1" t="n">
        <v>46046</v>
      </c>
      <c r="D492" t="inlineStr">
        <is>
          <t>DALARNAS LÄN</t>
        </is>
      </c>
      <c r="E492" t="inlineStr">
        <is>
          <t>ORSA</t>
        </is>
      </c>
      <c r="F492" t="inlineStr">
        <is>
          <t>Allmännings- och besparingsskogar</t>
        </is>
      </c>
      <c r="G492" t="n">
        <v>4.6</v>
      </c>
      <c r="H492" t="n">
        <v>0</v>
      </c>
      <c r="I492" t="n">
        <v>0</v>
      </c>
      <c r="J492" t="n">
        <v>0</v>
      </c>
      <c r="K492" t="n">
        <v>0</v>
      </c>
      <c r="L492" t="n">
        <v>0</v>
      </c>
      <c r="M492" t="n">
        <v>0</v>
      </c>
      <c r="N492" t="n">
        <v>0</v>
      </c>
      <c r="O492" t="n">
        <v>0</v>
      </c>
      <c r="P492" t="n">
        <v>0</v>
      </c>
      <c r="Q492" t="n">
        <v>0</v>
      </c>
      <c r="R492" s="2" t="inlineStr"/>
    </row>
    <row r="493" ht="15" customHeight="1">
      <c r="A493" t="inlineStr">
        <is>
          <t>A 55105-2025</t>
        </is>
      </c>
      <c r="B493" s="1" t="n">
        <v>45968.36422453704</v>
      </c>
      <c r="C493" s="1" t="n">
        <v>46046</v>
      </c>
      <c r="D493" t="inlineStr">
        <is>
          <t>DALARNAS LÄN</t>
        </is>
      </c>
      <c r="E493" t="inlineStr">
        <is>
          <t>ORSA</t>
        </is>
      </c>
      <c r="F493" t="inlineStr">
        <is>
          <t>Allmännings- och besparingsskogar</t>
        </is>
      </c>
      <c r="G493" t="n">
        <v>31.5</v>
      </c>
      <c r="H493" t="n">
        <v>0</v>
      </c>
      <c r="I493" t="n">
        <v>0</v>
      </c>
      <c r="J493" t="n">
        <v>0</v>
      </c>
      <c r="K493" t="n">
        <v>0</v>
      </c>
      <c r="L493" t="n">
        <v>0</v>
      </c>
      <c r="M493" t="n">
        <v>0</v>
      </c>
      <c r="N493" t="n">
        <v>0</v>
      </c>
      <c r="O493" t="n">
        <v>0</v>
      </c>
      <c r="P493" t="n">
        <v>0</v>
      </c>
      <c r="Q493" t="n">
        <v>0</v>
      </c>
      <c r="R493" s="2" t="inlineStr"/>
    </row>
    <row r="494" ht="15" customHeight="1">
      <c r="A494" t="inlineStr">
        <is>
          <t>A 55369-2025</t>
        </is>
      </c>
      <c r="B494" s="1" t="n">
        <v>45971.41472222222</v>
      </c>
      <c r="C494" s="1" t="n">
        <v>46046</v>
      </c>
      <c r="D494" t="inlineStr">
        <is>
          <t>DALARNAS LÄN</t>
        </is>
      </c>
      <c r="E494" t="inlineStr">
        <is>
          <t>ORSA</t>
        </is>
      </c>
      <c r="F494" t="inlineStr">
        <is>
          <t>Bergvik skog öst AB</t>
        </is>
      </c>
      <c r="G494" t="n">
        <v>1.7</v>
      </c>
      <c r="H494" t="n">
        <v>0</v>
      </c>
      <c r="I494" t="n">
        <v>0</v>
      </c>
      <c r="J494" t="n">
        <v>0</v>
      </c>
      <c r="K494" t="n">
        <v>0</v>
      </c>
      <c r="L494" t="n">
        <v>0</v>
      </c>
      <c r="M494" t="n">
        <v>0</v>
      </c>
      <c r="N494" t="n">
        <v>0</v>
      </c>
      <c r="O494" t="n">
        <v>0</v>
      </c>
      <c r="P494" t="n">
        <v>0</v>
      </c>
      <c r="Q494" t="n">
        <v>0</v>
      </c>
      <c r="R494" s="2" t="inlineStr"/>
    </row>
    <row r="495" ht="15" customHeight="1">
      <c r="A495" t="inlineStr">
        <is>
          <t>A 63209-2025</t>
        </is>
      </c>
      <c r="B495" s="1" t="n">
        <v>46010.47516203704</v>
      </c>
      <c r="C495" s="1" t="n">
        <v>46046</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63231-2025</t>
        </is>
      </c>
      <c r="B496" s="1" t="n">
        <v>46010.50851851852</v>
      </c>
      <c r="C496" s="1" t="n">
        <v>46046</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55405-2025</t>
        </is>
      </c>
      <c r="B497" s="1" t="n">
        <v>45971.45525462963</v>
      </c>
      <c r="C497" s="1" t="n">
        <v>46046</v>
      </c>
      <c r="D497" t="inlineStr">
        <is>
          <t>DALARNAS LÄN</t>
        </is>
      </c>
      <c r="E497" t="inlineStr">
        <is>
          <t>ORSA</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56344-2025</t>
        </is>
      </c>
      <c r="B498" s="1" t="n">
        <v>45974.64894675926</v>
      </c>
      <c r="C498" s="1" t="n">
        <v>46046</v>
      </c>
      <c r="D498" t="inlineStr">
        <is>
          <t>DALARNAS LÄN</t>
        </is>
      </c>
      <c r="E498" t="inlineStr">
        <is>
          <t>ORSA</t>
        </is>
      </c>
      <c r="G498" t="n">
        <v>5.5</v>
      </c>
      <c r="H498" t="n">
        <v>0</v>
      </c>
      <c r="I498" t="n">
        <v>0</v>
      </c>
      <c r="J498" t="n">
        <v>0</v>
      </c>
      <c r="K498" t="n">
        <v>0</v>
      </c>
      <c r="L498" t="n">
        <v>0</v>
      </c>
      <c r="M498" t="n">
        <v>0</v>
      </c>
      <c r="N498" t="n">
        <v>0</v>
      </c>
      <c r="O498" t="n">
        <v>0</v>
      </c>
      <c r="P498" t="n">
        <v>0</v>
      </c>
      <c r="Q498" t="n">
        <v>0</v>
      </c>
      <c r="R498" s="2" t="inlineStr"/>
    </row>
    <row r="499" ht="15" customHeight="1">
      <c r="A499" t="inlineStr">
        <is>
          <t>A 56471-2025</t>
        </is>
      </c>
      <c r="B499" s="1" t="n">
        <v>45975.37766203703</v>
      </c>
      <c r="C499" s="1" t="n">
        <v>46046</v>
      </c>
      <c r="D499" t="inlineStr">
        <is>
          <t>DALARNAS LÄN</t>
        </is>
      </c>
      <c r="E499" t="inlineStr">
        <is>
          <t>ORSA</t>
        </is>
      </c>
      <c r="G499" t="n">
        <v>5.2</v>
      </c>
      <c r="H499" t="n">
        <v>0</v>
      </c>
      <c r="I499" t="n">
        <v>0</v>
      </c>
      <c r="J499" t="n">
        <v>0</v>
      </c>
      <c r="K499" t="n">
        <v>0</v>
      </c>
      <c r="L499" t="n">
        <v>0</v>
      </c>
      <c r="M499" t="n">
        <v>0</v>
      </c>
      <c r="N499" t="n">
        <v>0</v>
      </c>
      <c r="O499" t="n">
        <v>0</v>
      </c>
      <c r="P499" t="n">
        <v>0</v>
      </c>
      <c r="Q499" t="n">
        <v>0</v>
      </c>
      <c r="R499" s="2" t="inlineStr"/>
    </row>
    <row r="500" ht="15" customHeight="1">
      <c r="A500" t="inlineStr">
        <is>
          <t>A 56295-2025</t>
        </is>
      </c>
      <c r="B500" s="1" t="n">
        <v>45974.60144675926</v>
      </c>
      <c r="C500" s="1" t="n">
        <v>46046</v>
      </c>
      <c r="D500" t="inlineStr">
        <is>
          <t>DALARNAS LÄN</t>
        </is>
      </c>
      <c r="E500" t="inlineStr">
        <is>
          <t>ORSA</t>
        </is>
      </c>
      <c r="G500" t="n">
        <v>2.1</v>
      </c>
      <c r="H500" t="n">
        <v>0</v>
      </c>
      <c r="I500" t="n">
        <v>0</v>
      </c>
      <c r="J500" t="n">
        <v>0</v>
      </c>
      <c r="K500" t="n">
        <v>0</v>
      </c>
      <c r="L500" t="n">
        <v>0</v>
      </c>
      <c r="M500" t="n">
        <v>0</v>
      </c>
      <c r="N500" t="n">
        <v>0</v>
      </c>
      <c r="O500" t="n">
        <v>0</v>
      </c>
      <c r="P500" t="n">
        <v>0</v>
      </c>
      <c r="Q500" t="n">
        <v>0</v>
      </c>
      <c r="R500" s="2" t="inlineStr"/>
    </row>
    <row r="501" ht="15" customHeight="1">
      <c r="A501" t="inlineStr">
        <is>
          <t>A 56473-2025</t>
        </is>
      </c>
      <c r="B501" s="1" t="n">
        <v>45975.38001157407</v>
      </c>
      <c r="C501" s="1" t="n">
        <v>46046</v>
      </c>
      <c r="D501" t="inlineStr">
        <is>
          <t>DALARNAS LÄN</t>
        </is>
      </c>
      <c r="E501" t="inlineStr">
        <is>
          <t>ORSA</t>
        </is>
      </c>
      <c r="G501" t="n">
        <v>1.1</v>
      </c>
      <c r="H501" t="n">
        <v>0</v>
      </c>
      <c r="I501" t="n">
        <v>0</v>
      </c>
      <c r="J501" t="n">
        <v>0</v>
      </c>
      <c r="K501" t="n">
        <v>0</v>
      </c>
      <c r="L501" t="n">
        <v>0</v>
      </c>
      <c r="M501" t="n">
        <v>0</v>
      </c>
      <c r="N501" t="n">
        <v>0</v>
      </c>
      <c r="O501" t="n">
        <v>0</v>
      </c>
      <c r="P501" t="n">
        <v>0</v>
      </c>
      <c r="Q501" t="n">
        <v>0</v>
      </c>
      <c r="R501" s="2" t="inlineStr"/>
    </row>
    <row r="502" ht="15" customHeight="1">
      <c r="A502" t="inlineStr">
        <is>
          <t>A 56297-2025</t>
        </is>
      </c>
      <c r="B502" s="1" t="n">
        <v>45974.60431712963</v>
      </c>
      <c r="C502" s="1" t="n">
        <v>46046</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56459-2025</t>
        </is>
      </c>
      <c r="B503" s="1" t="n">
        <v>45975.36898148148</v>
      </c>
      <c r="C503" s="1" t="n">
        <v>46046</v>
      </c>
      <c r="D503" t="inlineStr">
        <is>
          <t>DALARNAS LÄN</t>
        </is>
      </c>
      <c r="E503" t="inlineStr">
        <is>
          <t>ORSA</t>
        </is>
      </c>
      <c r="G503" t="n">
        <v>3.8</v>
      </c>
      <c r="H503" t="n">
        <v>0</v>
      </c>
      <c r="I503" t="n">
        <v>0</v>
      </c>
      <c r="J503" t="n">
        <v>0</v>
      </c>
      <c r="K503" t="n">
        <v>0</v>
      </c>
      <c r="L503" t="n">
        <v>0</v>
      </c>
      <c r="M503" t="n">
        <v>0</v>
      </c>
      <c r="N503" t="n">
        <v>0</v>
      </c>
      <c r="O503" t="n">
        <v>0</v>
      </c>
      <c r="P503" t="n">
        <v>0</v>
      </c>
      <c r="Q503" t="n">
        <v>0</v>
      </c>
      <c r="R503" s="2" t="inlineStr"/>
    </row>
    <row r="504" ht="15" customHeight="1">
      <c r="A504" t="inlineStr">
        <is>
          <t>A 56288-2025</t>
        </is>
      </c>
      <c r="B504" s="1" t="n">
        <v>45974.59688657407</v>
      </c>
      <c r="C504" s="1" t="n">
        <v>46046</v>
      </c>
      <c r="D504" t="inlineStr">
        <is>
          <t>DALARNAS LÄN</t>
        </is>
      </c>
      <c r="E504" t="inlineStr">
        <is>
          <t>ORSA</t>
        </is>
      </c>
      <c r="G504" t="n">
        <v>7.2</v>
      </c>
      <c r="H504" t="n">
        <v>0</v>
      </c>
      <c r="I504" t="n">
        <v>0</v>
      </c>
      <c r="J504" t="n">
        <v>0</v>
      </c>
      <c r="K504" t="n">
        <v>0</v>
      </c>
      <c r="L504" t="n">
        <v>0</v>
      </c>
      <c r="M504" t="n">
        <v>0</v>
      </c>
      <c r="N504" t="n">
        <v>0</v>
      </c>
      <c r="O504" t="n">
        <v>0</v>
      </c>
      <c r="P504" t="n">
        <v>0</v>
      </c>
      <c r="Q504" t="n">
        <v>0</v>
      </c>
      <c r="R504" s="2" t="inlineStr"/>
    </row>
    <row r="505" ht="15" customHeight="1">
      <c r="A505" t="inlineStr">
        <is>
          <t>A 57055-2025</t>
        </is>
      </c>
      <c r="B505" s="1" t="n">
        <v>45979.36299768519</v>
      </c>
      <c r="C505" s="1" t="n">
        <v>46046</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56813-2025</t>
        </is>
      </c>
      <c r="B506" s="1" t="n">
        <v>45978.45585648148</v>
      </c>
      <c r="C506" s="1" t="n">
        <v>46046</v>
      </c>
      <c r="D506" t="inlineStr">
        <is>
          <t>DALARNAS LÄN</t>
        </is>
      </c>
      <c r="E506" t="inlineStr">
        <is>
          <t>ORSA</t>
        </is>
      </c>
      <c r="G506" t="n">
        <v>2</v>
      </c>
      <c r="H506" t="n">
        <v>0</v>
      </c>
      <c r="I506" t="n">
        <v>0</v>
      </c>
      <c r="J506" t="n">
        <v>0</v>
      </c>
      <c r="K506" t="n">
        <v>0</v>
      </c>
      <c r="L506" t="n">
        <v>0</v>
      </c>
      <c r="M506" t="n">
        <v>0</v>
      </c>
      <c r="N506" t="n">
        <v>0</v>
      </c>
      <c r="O506" t="n">
        <v>0</v>
      </c>
      <c r="P506" t="n">
        <v>0</v>
      </c>
      <c r="Q506" t="n">
        <v>0</v>
      </c>
      <c r="R506" s="2" t="inlineStr"/>
    </row>
    <row r="507" ht="15" customHeight="1">
      <c r="A507" t="inlineStr">
        <is>
          <t>A 57383-2025</t>
        </is>
      </c>
      <c r="B507" s="1" t="n">
        <v>45980.40871527778</v>
      </c>
      <c r="C507" s="1" t="n">
        <v>46046</v>
      </c>
      <c r="D507" t="inlineStr">
        <is>
          <t>DALARNAS LÄN</t>
        </is>
      </c>
      <c r="E507" t="inlineStr">
        <is>
          <t>ORSA</t>
        </is>
      </c>
      <c r="F507" t="inlineStr">
        <is>
          <t>Kyrkan</t>
        </is>
      </c>
      <c r="G507" t="n">
        <v>3.5</v>
      </c>
      <c r="H507" t="n">
        <v>0</v>
      </c>
      <c r="I507" t="n">
        <v>0</v>
      </c>
      <c r="J507" t="n">
        <v>0</v>
      </c>
      <c r="K507" t="n">
        <v>0</v>
      </c>
      <c r="L507" t="n">
        <v>0</v>
      </c>
      <c r="M507" t="n">
        <v>0</v>
      </c>
      <c r="N507" t="n">
        <v>0</v>
      </c>
      <c r="O507" t="n">
        <v>0</v>
      </c>
      <c r="P507" t="n">
        <v>0</v>
      </c>
      <c r="Q507" t="n">
        <v>0</v>
      </c>
      <c r="R507" s="2" t="inlineStr"/>
    </row>
    <row r="508" ht="15" customHeight="1">
      <c r="A508" t="inlineStr">
        <is>
          <t>A 57681-2025</t>
        </is>
      </c>
      <c r="B508" s="1" t="n">
        <v>45980.30490740741</v>
      </c>
      <c r="C508" s="1" t="n">
        <v>46046</v>
      </c>
      <c r="D508" t="inlineStr">
        <is>
          <t>DALARNAS LÄN</t>
        </is>
      </c>
      <c r="E508" t="inlineStr">
        <is>
          <t>ORSA</t>
        </is>
      </c>
      <c r="G508" t="n">
        <v>1.7</v>
      </c>
      <c r="H508" t="n">
        <v>0</v>
      </c>
      <c r="I508" t="n">
        <v>0</v>
      </c>
      <c r="J508" t="n">
        <v>0</v>
      </c>
      <c r="K508" t="n">
        <v>0</v>
      </c>
      <c r="L508" t="n">
        <v>0</v>
      </c>
      <c r="M508" t="n">
        <v>0</v>
      </c>
      <c r="N508" t="n">
        <v>0</v>
      </c>
      <c r="O508" t="n">
        <v>0</v>
      </c>
      <c r="P508" t="n">
        <v>0</v>
      </c>
      <c r="Q508" t="n">
        <v>0</v>
      </c>
      <c r="R508" s="2" t="inlineStr"/>
    </row>
    <row r="509" ht="15" customHeight="1">
      <c r="A509" t="inlineStr">
        <is>
          <t>A 144-2026</t>
        </is>
      </c>
      <c r="B509" s="1" t="n">
        <v>46024.63174768518</v>
      </c>
      <c r="C509" s="1" t="n">
        <v>46046</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384-2026</t>
        </is>
      </c>
      <c r="B510" s="1" t="n">
        <v>46027.80430555555</v>
      </c>
      <c r="C510" s="1" t="n">
        <v>46046</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101-2026</t>
        </is>
      </c>
      <c r="B511" s="1" t="n">
        <v>46024.51534722222</v>
      </c>
      <c r="C511" s="1" t="n">
        <v>46046</v>
      </c>
      <c r="D511" t="inlineStr">
        <is>
          <t>DALARNAS LÄN</t>
        </is>
      </c>
      <c r="E511" t="inlineStr">
        <is>
          <t>ORSA</t>
        </is>
      </c>
      <c r="G511" t="n">
        <v>1.1</v>
      </c>
      <c r="H511" t="n">
        <v>0</v>
      </c>
      <c r="I511" t="n">
        <v>0</v>
      </c>
      <c r="J511" t="n">
        <v>0</v>
      </c>
      <c r="K511" t="n">
        <v>0</v>
      </c>
      <c r="L511" t="n">
        <v>0</v>
      </c>
      <c r="M511" t="n">
        <v>0</v>
      </c>
      <c r="N511" t="n">
        <v>0</v>
      </c>
      <c r="O511" t="n">
        <v>0</v>
      </c>
      <c r="P511" t="n">
        <v>0</v>
      </c>
      <c r="Q511" t="n">
        <v>0</v>
      </c>
      <c r="R511" s="2" t="inlineStr"/>
    </row>
    <row r="512" ht="15" customHeight="1">
      <c r="A512" t="inlineStr">
        <is>
          <t>A 58681-2025</t>
        </is>
      </c>
      <c r="B512" s="1" t="n">
        <v>45986.56822916667</v>
      </c>
      <c r="C512" s="1" t="n">
        <v>46046</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58904-2025</t>
        </is>
      </c>
      <c r="B513" s="1" t="n">
        <v>45987.50958333333</v>
      </c>
      <c r="C513" s="1" t="n">
        <v>46046</v>
      </c>
      <c r="D513" t="inlineStr">
        <is>
          <t>DALARNAS LÄN</t>
        </is>
      </c>
      <c r="E513" t="inlineStr">
        <is>
          <t>ORSA</t>
        </is>
      </c>
      <c r="G513" t="n">
        <v>5.5</v>
      </c>
      <c r="H513" t="n">
        <v>0</v>
      </c>
      <c r="I513" t="n">
        <v>0</v>
      </c>
      <c r="J513" t="n">
        <v>0</v>
      </c>
      <c r="K513" t="n">
        <v>0</v>
      </c>
      <c r="L513" t="n">
        <v>0</v>
      </c>
      <c r="M513" t="n">
        <v>0</v>
      </c>
      <c r="N513" t="n">
        <v>0</v>
      </c>
      <c r="O513" t="n">
        <v>0</v>
      </c>
      <c r="P513" t="n">
        <v>0</v>
      </c>
      <c r="Q513" t="n">
        <v>0</v>
      </c>
      <c r="R513" s="2" t="inlineStr"/>
    </row>
    <row r="514" ht="15" customHeight="1">
      <c r="A514" t="inlineStr">
        <is>
          <t>A 58657-2025</t>
        </is>
      </c>
      <c r="B514" s="1" t="n">
        <v>45986.52584490741</v>
      </c>
      <c r="C514" s="1" t="n">
        <v>46046</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58834-2025</t>
        </is>
      </c>
      <c r="B515" s="1" t="n">
        <v>45987.35487268519</v>
      </c>
      <c r="C515" s="1" t="n">
        <v>46046</v>
      </c>
      <c r="D515" t="inlineStr">
        <is>
          <t>DALARNAS LÄN</t>
        </is>
      </c>
      <c r="E515" t="inlineStr">
        <is>
          <t>ORSA</t>
        </is>
      </c>
      <c r="G515" t="n">
        <v>3.6</v>
      </c>
      <c r="H515" t="n">
        <v>0</v>
      </c>
      <c r="I515" t="n">
        <v>0</v>
      </c>
      <c r="J515" t="n">
        <v>0</v>
      </c>
      <c r="K515" t="n">
        <v>0</v>
      </c>
      <c r="L515" t="n">
        <v>0</v>
      </c>
      <c r="M515" t="n">
        <v>0</v>
      </c>
      <c r="N515" t="n">
        <v>0</v>
      </c>
      <c r="O515" t="n">
        <v>0</v>
      </c>
      <c r="P515" t="n">
        <v>0</v>
      </c>
      <c r="Q515" t="n">
        <v>0</v>
      </c>
      <c r="R515" s="2" t="inlineStr"/>
    </row>
    <row r="516" ht="15" customHeight="1">
      <c r="A516" t="inlineStr">
        <is>
          <t>A 58691-2025</t>
        </is>
      </c>
      <c r="B516" s="1" t="n">
        <v>45986.58231481481</v>
      </c>
      <c r="C516" s="1" t="n">
        <v>46046</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58923-2025</t>
        </is>
      </c>
      <c r="B517" s="1" t="n">
        <v>45987.54099537037</v>
      </c>
      <c r="C517" s="1" t="n">
        <v>46046</v>
      </c>
      <c r="D517" t="inlineStr">
        <is>
          <t>DALARNAS LÄN</t>
        </is>
      </c>
      <c r="E517" t="inlineStr">
        <is>
          <t>ORSA</t>
        </is>
      </c>
      <c r="G517" t="n">
        <v>0.6</v>
      </c>
      <c r="H517" t="n">
        <v>0</v>
      </c>
      <c r="I517" t="n">
        <v>0</v>
      </c>
      <c r="J517" t="n">
        <v>0</v>
      </c>
      <c r="K517" t="n">
        <v>0</v>
      </c>
      <c r="L517" t="n">
        <v>0</v>
      </c>
      <c r="M517" t="n">
        <v>0</v>
      </c>
      <c r="N517" t="n">
        <v>0</v>
      </c>
      <c r="O517" t="n">
        <v>0</v>
      </c>
      <c r="P517" t="n">
        <v>0</v>
      </c>
      <c r="Q517" t="n">
        <v>0</v>
      </c>
      <c r="R517" s="2" t="inlineStr"/>
    </row>
    <row r="518" ht="15" customHeight="1">
      <c r="A518" t="inlineStr">
        <is>
          <t>A 58910-2025</t>
        </is>
      </c>
      <c r="B518" s="1" t="n">
        <v>45987.51534722222</v>
      </c>
      <c r="C518" s="1" t="n">
        <v>46046</v>
      </c>
      <c r="D518" t="inlineStr">
        <is>
          <t>DALARNAS LÄN</t>
        </is>
      </c>
      <c r="E518" t="inlineStr">
        <is>
          <t>ORSA</t>
        </is>
      </c>
      <c r="G518" t="n">
        <v>2.1</v>
      </c>
      <c r="H518" t="n">
        <v>0</v>
      </c>
      <c r="I518" t="n">
        <v>0</v>
      </c>
      <c r="J518" t="n">
        <v>0</v>
      </c>
      <c r="K518" t="n">
        <v>0</v>
      </c>
      <c r="L518" t="n">
        <v>0</v>
      </c>
      <c r="M518" t="n">
        <v>0</v>
      </c>
      <c r="N518" t="n">
        <v>0</v>
      </c>
      <c r="O518" t="n">
        <v>0</v>
      </c>
      <c r="P518" t="n">
        <v>0</v>
      </c>
      <c r="Q518" t="n">
        <v>0</v>
      </c>
      <c r="R518" s="2" t="inlineStr"/>
    </row>
    <row r="519" ht="15" customHeight="1">
      <c r="A519" t="inlineStr">
        <is>
          <t>A 58686-2025</t>
        </is>
      </c>
      <c r="B519" s="1" t="n">
        <v>45986.57303240741</v>
      </c>
      <c r="C519" s="1" t="n">
        <v>46046</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58647-2025</t>
        </is>
      </c>
      <c r="B520" s="1" t="n">
        <v>45986.50476851852</v>
      </c>
      <c r="C520" s="1" t="n">
        <v>46046</v>
      </c>
      <c r="D520" t="inlineStr">
        <is>
          <t>DALARNAS LÄN</t>
        </is>
      </c>
      <c r="E520" t="inlineStr">
        <is>
          <t>ORSA</t>
        </is>
      </c>
      <c r="G520" t="n">
        <v>2.8</v>
      </c>
      <c r="H520" t="n">
        <v>0</v>
      </c>
      <c r="I520" t="n">
        <v>0</v>
      </c>
      <c r="J520" t="n">
        <v>0</v>
      </c>
      <c r="K520" t="n">
        <v>0</v>
      </c>
      <c r="L520" t="n">
        <v>0</v>
      </c>
      <c r="M520" t="n">
        <v>0</v>
      </c>
      <c r="N520" t="n">
        <v>0</v>
      </c>
      <c r="O520" t="n">
        <v>0</v>
      </c>
      <c r="P520" t="n">
        <v>0</v>
      </c>
      <c r="Q520" t="n">
        <v>0</v>
      </c>
      <c r="R520" s="2" t="inlineStr"/>
    </row>
    <row r="521" ht="15" customHeight="1">
      <c r="A521" t="inlineStr">
        <is>
          <t>A 58886-2025</t>
        </is>
      </c>
      <c r="B521" s="1" t="n">
        <v>45987.48171296297</v>
      </c>
      <c r="C521" s="1" t="n">
        <v>46046</v>
      </c>
      <c r="D521" t="inlineStr">
        <is>
          <t>DALARNAS LÄN</t>
        </is>
      </c>
      <c r="E521" t="inlineStr">
        <is>
          <t>ORSA</t>
        </is>
      </c>
      <c r="G521" t="n">
        <v>2.7</v>
      </c>
      <c r="H521" t="n">
        <v>0</v>
      </c>
      <c r="I521" t="n">
        <v>0</v>
      </c>
      <c r="J521" t="n">
        <v>0</v>
      </c>
      <c r="K521" t="n">
        <v>0</v>
      </c>
      <c r="L521" t="n">
        <v>0</v>
      </c>
      <c r="M521" t="n">
        <v>0</v>
      </c>
      <c r="N521" t="n">
        <v>0</v>
      </c>
      <c r="O521" t="n">
        <v>0</v>
      </c>
      <c r="P521" t="n">
        <v>0</v>
      </c>
      <c r="Q521" t="n">
        <v>0</v>
      </c>
      <c r="R521" s="2" t="inlineStr"/>
    </row>
    <row r="522" ht="15" customHeight="1">
      <c r="A522" t="inlineStr">
        <is>
          <t>A 58683-2025</t>
        </is>
      </c>
      <c r="B522" s="1" t="n">
        <v>45986.56949074074</v>
      </c>
      <c r="C522" s="1" t="n">
        <v>46046</v>
      </c>
      <c r="D522" t="inlineStr">
        <is>
          <t>DALARNAS LÄN</t>
        </is>
      </c>
      <c r="E522" t="inlineStr">
        <is>
          <t>ORSA</t>
        </is>
      </c>
      <c r="G522" t="n">
        <v>0.6</v>
      </c>
      <c r="H522" t="n">
        <v>0</v>
      </c>
      <c r="I522" t="n">
        <v>0</v>
      </c>
      <c r="J522" t="n">
        <v>0</v>
      </c>
      <c r="K522" t="n">
        <v>0</v>
      </c>
      <c r="L522" t="n">
        <v>0</v>
      </c>
      <c r="M522" t="n">
        <v>0</v>
      </c>
      <c r="N522" t="n">
        <v>0</v>
      </c>
      <c r="O522" t="n">
        <v>0</v>
      </c>
      <c r="P522" t="n">
        <v>0</v>
      </c>
      <c r="Q522" t="n">
        <v>0</v>
      </c>
      <c r="R522" s="2" t="inlineStr"/>
    </row>
    <row r="523" ht="15" customHeight="1">
      <c r="A523" t="inlineStr">
        <is>
          <t>A 59149-2025</t>
        </is>
      </c>
      <c r="B523" s="1" t="n">
        <v>45988.52844907407</v>
      </c>
      <c r="C523" s="1" t="n">
        <v>46046</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59114-2025</t>
        </is>
      </c>
      <c r="B524" s="1" t="n">
        <v>45988.4884375</v>
      </c>
      <c r="C524" s="1" t="n">
        <v>46046</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59124-2025</t>
        </is>
      </c>
      <c r="B525" s="1" t="n">
        <v>45988.4934375</v>
      </c>
      <c r="C525" s="1" t="n">
        <v>46046</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976-2026</t>
        </is>
      </c>
      <c r="B526" s="1" t="n">
        <v>46030.57034722222</v>
      </c>
      <c r="C526" s="1" t="n">
        <v>46046</v>
      </c>
      <c r="D526" t="inlineStr">
        <is>
          <t>DALARNAS LÄN</t>
        </is>
      </c>
      <c r="E526" t="inlineStr">
        <is>
          <t>ORSA</t>
        </is>
      </c>
      <c r="G526" t="n">
        <v>2</v>
      </c>
      <c r="H526" t="n">
        <v>0</v>
      </c>
      <c r="I526" t="n">
        <v>0</v>
      </c>
      <c r="J526" t="n">
        <v>0</v>
      </c>
      <c r="K526" t="n">
        <v>0</v>
      </c>
      <c r="L526" t="n">
        <v>0</v>
      </c>
      <c r="M526" t="n">
        <v>0</v>
      </c>
      <c r="N526" t="n">
        <v>0</v>
      </c>
      <c r="O526" t="n">
        <v>0</v>
      </c>
      <c r="P526" t="n">
        <v>0</v>
      </c>
      <c r="Q526" t="n">
        <v>0</v>
      </c>
      <c r="R526" s="2" t="inlineStr"/>
    </row>
    <row r="527" ht="15" customHeight="1">
      <c r="A527" t="inlineStr">
        <is>
          <t>A 1967-2026</t>
        </is>
      </c>
      <c r="B527" s="1" t="n">
        <v>46035.63864583334</v>
      </c>
      <c r="C527" s="1" t="n">
        <v>46046</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59909-2025</t>
        </is>
      </c>
      <c r="B528" s="1" t="n">
        <v>45993.35644675926</v>
      </c>
      <c r="C528" s="1" t="n">
        <v>46046</v>
      </c>
      <c r="D528" t="inlineStr">
        <is>
          <t>DALARNAS LÄN</t>
        </is>
      </c>
      <c r="E528" t="inlineStr">
        <is>
          <t>ORSA</t>
        </is>
      </c>
      <c r="G528" t="n">
        <v>3.5</v>
      </c>
      <c r="H528" t="n">
        <v>0</v>
      </c>
      <c r="I528" t="n">
        <v>0</v>
      </c>
      <c r="J528" t="n">
        <v>0</v>
      </c>
      <c r="K528" t="n">
        <v>0</v>
      </c>
      <c r="L528" t="n">
        <v>0</v>
      </c>
      <c r="M528" t="n">
        <v>0</v>
      </c>
      <c r="N528" t="n">
        <v>0</v>
      </c>
      <c r="O528" t="n">
        <v>0</v>
      </c>
      <c r="P528" t="n">
        <v>0</v>
      </c>
      <c r="Q528" t="n">
        <v>0</v>
      </c>
      <c r="R528" s="2" t="inlineStr"/>
    </row>
    <row r="529" ht="15" customHeight="1">
      <c r="A529" t="inlineStr">
        <is>
          <t>A 1650-2026</t>
        </is>
      </c>
      <c r="B529" s="1" t="n">
        <v>46034.52905092593</v>
      </c>
      <c r="C529" s="1" t="n">
        <v>46046</v>
      </c>
      <c r="D529" t="inlineStr">
        <is>
          <t>DALARNAS LÄN</t>
        </is>
      </c>
      <c r="E529" t="inlineStr">
        <is>
          <t>ORSA</t>
        </is>
      </c>
      <c r="G529" t="n">
        <v>6.8</v>
      </c>
      <c r="H529" t="n">
        <v>0</v>
      </c>
      <c r="I529" t="n">
        <v>0</v>
      </c>
      <c r="J529" t="n">
        <v>0</v>
      </c>
      <c r="K529" t="n">
        <v>0</v>
      </c>
      <c r="L529" t="n">
        <v>0</v>
      </c>
      <c r="M529" t="n">
        <v>0</v>
      </c>
      <c r="N529" t="n">
        <v>0</v>
      </c>
      <c r="O529" t="n">
        <v>0</v>
      </c>
      <c r="P529" t="n">
        <v>0</v>
      </c>
      <c r="Q529" t="n">
        <v>0</v>
      </c>
      <c r="R529" s="2" t="inlineStr"/>
    </row>
    <row r="530" ht="15" customHeight="1">
      <c r="A530" t="inlineStr">
        <is>
          <t>A 1580-2026</t>
        </is>
      </c>
      <c r="B530" s="1" t="n">
        <v>46034.42577546297</v>
      </c>
      <c r="C530" s="1" t="n">
        <v>46046</v>
      </c>
      <c r="D530" t="inlineStr">
        <is>
          <t>DALARNAS LÄN</t>
        </is>
      </c>
      <c r="E530" t="inlineStr">
        <is>
          <t>ORSA</t>
        </is>
      </c>
      <c r="G530" t="n">
        <v>3.8</v>
      </c>
      <c r="H530" t="n">
        <v>0</v>
      </c>
      <c r="I530" t="n">
        <v>0</v>
      </c>
      <c r="J530" t="n">
        <v>0</v>
      </c>
      <c r="K530" t="n">
        <v>0</v>
      </c>
      <c r="L530" t="n">
        <v>0</v>
      </c>
      <c r="M530" t="n">
        <v>0</v>
      </c>
      <c r="N530" t="n">
        <v>0</v>
      </c>
      <c r="O530" t="n">
        <v>0</v>
      </c>
      <c r="P530" t="n">
        <v>0</v>
      </c>
      <c r="Q530" t="n">
        <v>0</v>
      </c>
      <c r="R530" s="2" t="inlineStr"/>
    </row>
    <row r="531" ht="15" customHeight="1">
      <c r="A531" t="inlineStr">
        <is>
          <t>A 60337-2025</t>
        </is>
      </c>
      <c r="B531" s="1" t="n">
        <v>45994</v>
      </c>
      <c r="C531" s="1" t="n">
        <v>46046</v>
      </c>
      <c r="D531" t="inlineStr">
        <is>
          <t>DALARNAS LÄN</t>
        </is>
      </c>
      <c r="E531" t="inlineStr">
        <is>
          <t>ORSA</t>
        </is>
      </c>
      <c r="G531" t="n">
        <v>6.8</v>
      </c>
      <c r="H531" t="n">
        <v>0</v>
      </c>
      <c r="I531" t="n">
        <v>0</v>
      </c>
      <c r="J531" t="n">
        <v>0</v>
      </c>
      <c r="K531" t="n">
        <v>0</v>
      </c>
      <c r="L531" t="n">
        <v>0</v>
      </c>
      <c r="M531" t="n">
        <v>0</v>
      </c>
      <c r="N531" t="n">
        <v>0</v>
      </c>
      <c r="O531" t="n">
        <v>0</v>
      </c>
      <c r="P531" t="n">
        <v>0</v>
      </c>
      <c r="Q531" t="n">
        <v>0</v>
      </c>
      <c r="R531" s="2" t="inlineStr"/>
    </row>
    <row r="532" ht="15" customHeight="1">
      <c r="A532" t="inlineStr">
        <is>
          <t>A 60162-2025</t>
        </is>
      </c>
      <c r="B532" s="1" t="n">
        <v>45994.43018518519</v>
      </c>
      <c r="C532" s="1" t="n">
        <v>46046</v>
      </c>
      <c r="D532" t="inlineStr">
        <is>
          <t>DALARNAS LÄN</t>
        </is>
      </c>
      <c r="E532" t="inlineStr">
        <is>
          <t>ORSA</t>
        </is>
      </c>
      <c r="G532" t="n">
        <v>1</v>
      </c>
      <c r="H532" t="n">
        <v>0</v>
      </c>
      <c r="I532" t="n">
        <v>0</v>
      </c>
      <c r="J532" t="n">
        <v>0</v>
      </c>
      <c r="K532" t="n">
        <v>0</v>
      </c>
      <c r="L532" t="n">
        <v>0</v>
      </c>
      <c r="M532" t="n">
        <v>0</v>
      </c>
      <c r="N532" t="n">
        <v>0</v>
      </c>
      <c r="O532" t="n">
        <v>0</v>
      </c>
      <c r="P532" t="n">
        <v>0</v>
      </c>
      <c r="Q532" t="n">
        <v>0</v>
      </c>
      <c r="R532" s="2" t="inlineStr"/>
    </row>
    <row r="533" ht="15" customHeight="1">
      <c r="A533" t="inlineStr">
        <is>
          <t>A 2551-2026</t>
        </is>
      </c>
      <c r="B533" s="1" t="n">
        <v>46037.47077546296</v>
      </c>
      <c r="C533" s="1" t="n">
        <v>46046</v>
      </c>
      <c r="D533" t="inlineStr">
        <is>
          <t>DALARNAS LÄN</t>
        </is>
      </c>
      <c r="E533" t="inlineStr">
        <is>
          <t>ORSA</t>
        </is>
      </c>
      <c r="G533" t="n">
        <v>2.6</v>
      </c>
      <c r="H533" t="n">
        <v>0</v>
      </c>
      <c r="I533" t="n">
        <v>0</v>
      </c>
      <c r="J533" t="n">
        <v>0</v>
      </c>
      <c r="K533" t="n">
        <v>0</v>
      </c>
      <c r="L533" t="n">
        <v>0</v>
      </c>
      <c r="M533" t="n">
        <v>0</v>
      </c>
      <c r="N533" t="n">
        <v>0</v>
      </c>
      <c r="O533" t="n">
        <v>0</v>
      </c>
      <c r="P533" t="n">
        <v>0</v>
      </c>
      <c r="Q533" t="n">
        <v>0</v>
      </c>
      <c r="R533" s="2" t="inlineStr"/>
    </row>
    <row r="534" ht="15" customHeight="1">
      <c r="A534" t="inlineStr">
        <is>
          <t>A 64133-2025</t>
        </is>
      </c>
      <c r="B534" s="1" t="n">
        <v>46022</v>
      </c>
      <c r="C534" s="1" t="n">
        <v>46046</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64152-2025</t>
        </is>
      </c>
      <c r="B535" s="1" t="n">
        <v>46022.60030092593</v>
      </c>
      <c r="C535" s="1" t="n">
        <v>46046</v>
      </c>
      <c r="D535" t="inlineStr">
        <is>
          <t>DALARNAS LÄN</t>
        </is>
      </c>
      <c r="E535" t="inlineStr">
        <is>
          <t>ORSA</t>
        </is>
      </c>
      <c r="G535" t="n">
        <v>5</v>
      </c>
      <c r="H535" t="n">
        <v>0</v>
      </c>
      <c r="I535" t="n">
        <v>0</v>
      </c>
      <c r="J535" t="n">
        <v>0</v>
      </c>
      <c r="K535" t="n">
        <v>0</v>
      </c>
      <c r="L535" t="n">
        <v>0</v>
      </c>
      <c r="M535" t="n">
        <v>0</v>
      </c>
      <c r="N535" t="n">
        <v>0</v>
      </c>
      <c r="O535" t="n">
        <v>0</v>
      </c>
      <c r="P535" t="n">
        <v>0</v>
      </c>
      <c r="Q535" t="n">
        <v>0</v>
      </c>
      <c r="R535" s="2" t="inlineStr"/>
    </row>
    <row r="536" ht="15" customHeight="1">
      <c r="A536" t="inlineStr">
        <is>
          <t>A 64155-2025</t>
        </is>
      </c>
      <c r="B536" s="1" t="n">
        <v>46022.6519675926</v>
      </c>
      <c r="C536" s="1" t="n">
        <v>46046</v>
      </c>
      <c r="D536" t="inlineStr">
        <is>
          <t>DALARNAS LÄN</t>
        </is>
      </c>
      <c r="E536" t="inlineStr">
        <is>
          <t>ORSA</t>
        </is>
      </c>
      <c r="G536" t="n">
        <v>7</v>
      </c>
      <c r="H536" t="n">
        <v>0</v>
      </c>
      <c r="I536" t="n">
        <v>0</v>
      </c>
      <c r="J536" t="n">
        <v>0</v>
      </c>
      <c r="K536" t="n">
        <v>0</v>
      </c>
      <c r="L536" t="n">
        <v>0</v>
      </c>
      <c r="M536" t="n">
        <v>0</v>
      </c>
      <c r="N536" t="n">
        <v>0</v>
      </c>
      <c r="O536" t="n">
        <v>0</v>
      </c>
      <c r="P536" t="n">
        <v>0</v>
      </c>
      <c r="Q536" t="n">
        <v>0</v>
      </c>
      <c r="R536" s="2" t="inlineStr"/>
    </row>
    <row r="537" ht="15" customHeight="1">
      <c r="A537" t="inlineStr">
        <is>
          <t>A 48525-2024</t>
        </is>
      </c>
      <c r="B537" s="1" t="n">
        <v>45593.33947916667</v>
      </c>
      <c r="C537" s="1" t="n">
        <v>46046</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48516-2024</t>
        </is>
      </c>
      <c r="B538" s="1" t="n">
        <v>45593.31292824074</v>
      </c>
      <c r="C538" s="1" t="n">
        <v>46046</v>
      </c>
      <c r="D538" t="inlineStr">
        <is>
          <t>DALARNAS LÄN</t>
        </is>
      </c>
      <c r="E538" t="inlineStr">
        <is>
          <t>ORSA</t>
        </is>
      </c>
      <c r="G538" t="n">
        <v>3.3</v>
      </c>
      <c r="H538" t="n">
        <v>0</v>
      </c>
      <c r="I538" t="n">
        <v>0</v>
      </c>
      <c r="J538" t="n">
        <v>0</v>
      </c>
      <c r="K538" t="n">
        <v>0</v>
      </c>
      <c r="L538" t="n">
        <v>0</v>
      </c>
      <c r="M538" t="n">
        <v>0</v>
      </c>
      <c r="N538" t="n">
        <v>0</v>
      </c>
      <c r="O538" t="n">
        <v>0</v>
      </c>
      <c r="P538" t="n">
        <v>0</v>
      </c>
      <c r="Q538" t="n">
        <v>0</v>
      </c>
      <c r="R538" s="2" t="inlineStr"/>
    </row>
    <row r="539" ht="15" customHeight="1">
      <c r="A539" t="inlineStr">
        <is>
          <t>A 55701-2023</t>
        </is>
      </c>
      <c r="B539" s="1" t="n">
        <v>45239.37113425926</v>
      </c>
      <c r="C539" s="1" t="n">
        <v>46046</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63118-2025</t>
        </is>
      </c>
      <c r="B540" s="1" t="n">
        <v>46009.85609953704</v>
      </c>
      <c r="C540" s="1" t="n">
        <v>46046</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60837-2025</t>
        </is>
      </c>
      <c r="B541" s="1" t="n">
        <v>45999.47630787037</v>
      </c>
      <c r="C541" s="1" t="n">
        <v>46046</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31634-2025</t>
        </is>
      </c>
      <c r="B542" s="1" t="n">
        <v>45834</v>
      </c>
      <c r="C542" s="1" t="n">
        <v>46046</v>
      </c>
      <c r="D542" t="inlineStr">
        <is>
          <t>DALARNAS LÄN</t>
        </is>
      </c>
      <c r="E542" t="inlineStr">
        <is>
          <t>ORSA</t>
        </is>
      </c>
      <c r="G542" t="n">
        <v>2</v>
      </c>
      <c r="H542" t="n">
        <v>0</v>
      </c>
      <c r="I542" t="n">
        <v>0</v>
      </c>
      <c r="J542" t="n">
        <v>0</v>
      </c>
      <c r="K542" t="n">
        <v>0</v>
      </c>
      <c r="L542" t="n">
        <v>0</v>
      </c>
      <c r="M542" t="n">
        <v>0</v>
      </c>
      <c r="N542" t="n">
        <v>0</v>
      </c>
      <c r="O542" t="n">
        <v>0</v>
      </c>
      <c r="P542" t="n">
        <v>0</v>
      </c>
      <c r="Q542" t="n">
        <v>0</v>
      </c>
      <c r="R542" s="2" t="inlineStr"/>
    </row>
    <row r="543" ht="15" customHeight="1">
      <c r="A543" t="inlineStr">
        <is>
          <t>A 11784-2024</t>
        </is>
      </c>
      <c r="B543" s="1" t="n">
        <v>45374.67886574074</v>
      </c>
      <c r="C543" s="1" t="n">
        <v>46046</v>
      </c>
      <c r="D543" t="inlineStr">
        <is>
          <t>DALARNAS LÄN</t>
        </is>
      </c>
      <c r="E543" t="inlineStr">
        <is>
          <t>ORSA</t>
        </is>
      </c>
      <c r="G543" t="n">
        <v>1.7</v>
      </c>
      <c r="H543" t="n">
        <v>0</v>
      </c>
      <c r="I543" t="n">
        <v>0</v>
      </c>
      <c r="J543" t="n">
        <v>0</v>
      </c>
      <c r="K543" t="n">
        <v>0</v>
      </c>
      <c r="L543" t="n">
        <v>0</v>
      </c>
      <c r="M543" t="n">
        <v>0</v>
      </c>
      <c r="N543" t="n">
        <v>0</v>
      </c>
      <c r="O543" t="n">
        <v>0</v>
      </c>
      <c r="P543" t="n">
        <v>0</v>
      </c>
      <c r="Q543" t="n">
        <v>0</v>
      </c>
      <c r="R543" s="2" t="inlineStr"/>
    </row>
    <row r="544" ht="15" customHeight="1">
      <c r="A544" t="inlineStr">
        <is>
          <t>A 60945-2025</t>
        </is>
      </c>
      <c r="B544" s="1" t="n">
        <v>45999.64672453704</v>
      </c>
      <c r="C544" s="1" t="n">
        <v>46046</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29984-2025</t>
        </is>
      </c>
      <c r="B545" s="1" t="n">
        <v>45826</v>
      </c>
      <c r="C545" s="1" t="n">
        <v>46046</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47134-2024</t>
        </is>
      </c>
      <c r="B546" s="1" t="n">
        <v>45586.58081018519</v>
      </c>
      <c r="C546" s="1" t="n">
        <v>46046</v>
      </c>
      <c r="D546" t="inlineStr">
        <is>
          <t>DALARNAS LÄN</t>
        </is>
      </c>
      <c r="E546" t="inlineStr">
        <is>
          <t>ORSA</t>
        </is>
      </c>
      <c r="G546" t="n">
        <v>0.3</v>
      </c>
      <c r="H546" t="n">
        <v>0</v>
      </c>
      <c r="I546" t="n">
        <v>0</v>
      </c>
      <c r="J546" t="n">
        <v>0</v>
      </c>
      <c r="K546" t="n">
        <v>0</v>
      </c>
      <c r="L546" t="n">
        <v>0</v>
      </c>
      <c r="M546" t="n">
        <v>0</v>
      </c>
      <c r="N546" t="n">
        <v>0</v>
      </c>
      <c r="O546" t="n">
        <v>0</v>
      </c>
      <c r="P546" t="n">
        <v>0</v>
      </c>
      <c r="Q546" t="n">
        <v>0</v>
      </c>
      <c r="R546" s="2" t="inlineStr"/>
    </row>
    <row r="547" ht="15" customHeight="1">
      <c r="A547" t="inlineStr">
        <is>
          <t>A 61053-2024</t>
        </is>
      </c>
      <c r="B547" s="1" t="n">
        <v>45645.48501157408</v>
      </c>
      <c r="C547" s="1" t="n">
        <v>46046</v>
      </c>
      <c r="D547" t="inlineStr">
        <is>
          <t>DALARNAS LÄN</t>
        </is>
      </c>
      <c r="E547" t="inlineStr">
        <is>
          <t>ORSA</t>
        </is>
      </c>
      <c r="G547" t="n">
        <v>2.6</v>
      </c>
      <c r="H547" t="n">
        <v>0</v>
      </c>
      <c r="I547" t="n">
        <v>0</v>
      </c>
      <c r="J547" t="n">
        <v>0</v>
      </c>
      <c r="K547" t="n">
        <v>0</v>
      </c>
      <c r="L547" t="n">
        <v>0</v>
      </c>
      <c r="M547" t="n">
        <v>0</v>
      </c>
      <c r="N547" t="n">
        <v>0</v>
      </c>
      <c r="O547" t="n">
        <v>0</v>
      </c>
      <c r="P547" t="n">
        <v>0</v>
      </c>
      <c r="Q547" t="n">
        <v>0</v>
      </c>
      <c r="R547" s="2" t="inlineStr"/>
    </row>
    <row r="548" ht="15" customHeight="1">
      <c r="A548" t="inlineStr">
        <is>
          <t>A 55843-2023</t>
        </is>
      </c>
      <c r="B548" s="1" t="n">
        <v>45239</v>
      </c>
      <c r="C548" s="1" t="n">
        <v>46046</v>
      </c>
      <c r="D548" t="inlineStr">
        <is>
          <t>DALARNAS LÄN</t>
        </is>
      </c>
      <c r="E548" t="inlineStr">
        <is>
          <t>ORSA</t>
        </is>
      </c>
      <c r="G548" t="n">
        <v>2.4</v>
      </c>
      <c r="H548" t="n">
        <v>0</v>
      </c>
      <c r="I548" t="n">
        <v>0</v>
      </c>
      <c r="J548" t="n">
        <v>0</v>
      </c>
      <c r="K548" t="n">
        <v>0</v>
      </c>
      <c r="L548" t="n">
        <v>0</v>
      </c>
      <c r="M548" t="n">
        <v>0</v>
      </c>
      <c r="N548" t="n">
        <v>0</v>
      </c>
      <c r="O548" t="n">
        <v>0</v>
      </c>
      <c r="P548" t="n">
        <v>0</v>
      </c>
      <c r="Q548" t="n">
        <v>0</v>
      </c>
      <c r="R548" s="2" t="inlineStr"/>
    </row>
    <row r="549" ht="15" customHeight="1">
      <c r="A549" t="inlineStr">
        <is>
          <t>A 22911-2023</t>
        </is>
      </c>
      <c r="B549" s="1" t="n">
        <v>45072</v>
      </c>
      <c r="C549" s="1" t="n">
        <v>46046</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35477-2023</t>
        </is>
      </c>
      <c r="B550" s="1" t="n">
        <v>45146</v>
      </c>
      <c r="C550" s="1" t="n">
        <v>46046</v>
      </c>
      <c r="D550" t="inlineStr">
        <is>
          <t>DALARNAS LÄN</t>
        </is>
      </c>
      <c r="E550" t="inlineStr">
        <is>
          <t>ORSA</t>
        </is>
      </c>
      <c r="G550" t="n">
        <v>7.7</v>
      </c>
      <c r="H550" t="n">
        <v>0</v>
      </c>
      <c r="I550" t="n">
        <v>0</v>
      </c>
      <c r="J550" t="n">
        <v>0</v>
      </c>
      <c r="K550" t="n">
        <v>0</v>
      </c>
      <c r="L550" t="n">
        <v>0</v>
      </c>
      <c r="M550" t="n">
        <v>0</v>
      </c>
      <c r="N550" t="n">
        <v>0</v>
      </c>
      <c r="O550" t="n">
        <v>0</v>
      </c>
      <c r="P550" t="n">
        <v>0</v>
      </c>
      <c r="Q550" t="n">
        <v>0</v>
      </c>
      <c r="R550" s="2" t="inlineStr"/>
    </row>
    <row r="551" ht="15" customHeight="1">
      <c r="A551" t="inlineStr">
        <is>
          <t>A 47579-2023</t>
        </is>
      </c>
      <c r="B551" s="1" t="n">
        <v>45203.42181712963</v>
      </c>
      <c r="C551" s="1" t="n">
        <v>46046</v>
      </c>
      <c r="D551" t="inlineStr">
        <is>
          <t>DALARNAS LÄN</t>
        </is>
      </c>
      <c r="E551" t="inlineStr">
        <is>
          <t>ORSA</t>
        </is>
      </c>
      <c r="G551" t="n">
        <v>2.9</v>
      </c>
      <c r="H551" t="n">
        <v>0</v>
      </c>
      <c r="I551" t="n">
        <v>0</v>
      </c>
      <c r="J551" t="n">
        <v>0</v>
      </c>
      <c r="K551" t="n">
        <v>0</v>
      </c>
      <c r="L551" t="n">
        <v>0</v>
      </c>
      <c r="M551" t="n">
        <v>0</v>
      </c>
      <c r="N551" t="n">
        <v>0</v>
      </c>
      <c r="O551" t="n">
        <v>0</v>
      </c>
      <c r="P551" t="n">
        <v>0</v>
      </c>
      <c r="Q551" t="n">
        <v>0</v>
      </c>
      <c r="R551" s="2" t="inlineStr"/>
    </row>
    <row r="552" ht="15" customHeight="1">
      <c r="A552" t="inlineStr">
        <is>
          <t>A 48819-2024</t>
        </is>
      </c>
      <c r="B552" s="1" t="n">
        <v>45593.67824074074</v>
      </c>
      <c r="C552" s="1" t="n">
        <v>46046</v>
      </c>
      <c r="D552" t="inlineStr">
        <is>
          <t>DALARNAS LÄN</t>
        </is>
      </c>
      <c r="E552" t="inlineStr">
        <is>
          <t>ORSA</t>
        </is>
      </c>
      <c r="G552" t="n">
        <v>5</v>
      </c>
      <c r="H552" t="n">
        <v>0</v>
      </c>
      <c r="I552" t="n">
        <v>0</v>
      </c>
      <c r="J552" t="n">
        <v>0</v>
      </c>
      <c r="K552" t="n">
        <v>0</v>
      </c>
      <c r="L552" t="n">
        <v>0</v>
      </c>
      <c r="M552" t="n">
        <v>0</v>
      </c>
      <c r="N552" t="n">
        <v>0</v>
      </c>
      <c r="O552" t="n">
        <v>0</v>
      </c>
      <c r="P552" t="n">
        <v>0</v>
      </c>
      <c r="Q552" t="n">
        <v>0</v>
      </c>
      <c r="R552" s="2" t="inlineStr"/>
    </row>
    <row r="553" ht="15" customHeight="1">
      <c r="A553" t="inlineStr">
        <is>
          <t>A 23350-2024</t>
        </is>
      </c>
      <c r="B553" s="1" t="n">
        <v>45453</v>
      </c>
      <c r="C553" s="1" t="n">
        <v>46046</v>
      </c>
      <c r="D553" t="inlineStr">
        <is>
          <t>DALARNAS LÄN</t>
        </is>
      </c>
      <c r="E553" t="inlineStr">
        <is>
          <t>ORSA</t>
        </is>
      </c>
      <c r="G553" t="n">
        <v>18.7</v>
      </c>
      <c r="H553" t="n">
        <v>0</v>
      </c>
      <c r="I553" t="n">
        <v>0</v>
      </c>
      <c r="J553" t="n">
        <v>0</v>
      </c>
      <c r="K553" t="n">
        <v>0</v>
      </c>
      <c r="L553" t="n">
        <v>0</v>
      </c>
      <c r="M553" t="n">
        <v>0</v>
      </c>
      <c r="N553" t="n">
        <v>0</v>
      </c>
      <c r="O553" t="n">
        <v>0</v>
      </c>
      <c r="P553" t="n">
        <v>0</v>
      </c>
      <c r="Q553" t="n">
        <v>0</v>
      </c>
      <c r="R553" s="2" t="inlineStr"/>
    </row>
    <row r="554" ht="15" customHeight="1">
      <c r="A554" t="inlineStr">
        <is>
          <t>A 48447-2023</t>
        </is>
      </c>
      <c r="B554" s="1" t="n">
        <v>45206.39274305556</v>
      </c>
      <c r="C554" s="1" t="n">
        <v>46046</v>
      </c>
      <c r="D554" t="inlineStr">
        <is>
          <t>DALARNAS LÄN</t>
        </is>
      </c>
      <c r="E554" t="inlineStr">
        <is>
          <t>ORSA</t>
        </is>
      </c>
      <c r="G554" t="n">
        <v>0.6</v>
      </c>
      <c r="H554" t="n">
        <v>0</v>
      </c>
      <c r="I554" t="n">
        <v>0</v>
      </c>
      <c r="J554" t="n">
        <v>0</v>
      </c>
      <c r="K554" t="n">
        <v>0</v>
      </c>
      <c r="L554" t="n">
        <v>0</v>
      </c>
      <c r="M554" t="n">
        <v>0</v>
      </c>
      <c r="N554" t="n">
        <v>0</v>
      </c>
      <c r="O554" t="n">
        <v>0</v>
      </c>
      <c r="P554" t="n">
        <v>0</v>
      </c>
      <c r="Q554" t="n">
        <v>0</v>
      </c>
      <c r="R554" s="2" t="inlineStr"/>
    </row>
    <row r="555" ht="15" customHeight="1">
      <c r="A555" t="inlineStr">
        <is>
          <t>A 89-2026</t>
        </is>
      </c>
      <c r="B555" s="1" t="n">
        <v>46016</v>
      </c>
      <c r="C555" s="1" t="n">
        <v>46046</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1735-2026</t>
        </is>
      </c>
      <c r="B556" s="1" t="n">
        <v>46034</v>
      </c>
      <c r="C556" s="1" t="n">
        <v>46046</v>
      </c>
      <c r="D556" t="inlineStr">
        <is>
          <t>DALARNAS LÄN</t>
        </is>
      </c>
      <c r="E556" t="inlineStr">
        <is>
          <t>ORSA</t>
        </is>
      </c>
      <c r="G556" t="n">
        <v>1.4</v>
      </c>
      <c r="H556" t="n">
        <v>0</v>
      </c>
      <c r="I556" t="n">
        <v>0</v>
      </c>
      <c r="J556" t="n">
        <v>0</v>
      </c>
      <c r="K556" t="n">
        <v>0</v>
      </c>
      <c r="L556" t="n">
        <v>0</v>
      </c>
      <c r="M556" t="n">
        <v>0</v>
      </c>
      <c r="N556" t="n">
        <v>0</v>
      </c>
      <c r="O556" t="n">
        <v>0</v>
      </c>
      <c r="P556" t="n">
        <v>0</v>
      </c>
      <c r="Q556" t="n">
        <v>0</v>
      </c>
      <c r="R556" s="2" t="inlineStr"/>
    </row>
    <row r="557" ht="15" customHeight="1">
      <c r="A557" t="inlineStr">
        <is>
          <t>A 2563-2025</t>
        </is>
      </c>
      <c r="B557" s="1" t="n">
        <v>45674.65692129629</v>
      </c>
      <c r="C557" s="1" t="n">
        <v>46046</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31170-2023</t>
        </is>
      </c>
      <c r="B558" s="1" t="n">
        <v>45113.84923611111</v>
      </c>
      <c r="C558" s="1" t="n">
        <v>46046</v>
      </c>
      <c r="D558" t="inlineStr">
        <is>
          <t>DALARNAS LÄN</t>
        </is>
      </c>
      <c r="E558" t="inlineStr">
        <is>
          <t>ORSA</t>
        </is>
      </c>
      <c r="G558" t="n">
        <v>2.1</v>
      </c>
      <c r="H558" t="n">
        <v>0</v>
      </c>
      <c r="I558" t="n">
        <v>0</v>
      </c>
      <c r="J558" t="n">
        <v>0</v>
      </c>
      <c r="K558" t="n">
        <v>0</v>
      </c>
      <c r="L558" t="n">
        <v>0</v>
      </c>
      <c r="M558" t="n">
        <v>0</v>
      </c>
      <c r="N558" t="n">
        <v>0</v>
      </c>
      <c r="O558" t="n">
        <v>0</v>
      </c>
      <c r="P558" t="n">
        <v>0</v>
      </c>
      <c r="Q558" t="n">
        <v>0</v>
      </c>
      <c r="R558" s="2" t="inlineStr"/>
    </row>
    <row r="559" ht="15" customHeight="1">
      <c r="A559" t="inlineStr">
        <is>
          <t>A 31172-2023</t>
        </is>
      </c>
      <c r="B559" s="1" t="n">
        <v>45113.8637037037</v>
      </c>
      <c r="C559" s="1" t="n">
        <v>46046</v>
      </c>
      <c r="D559" t="inlineStr">
        <is>
          <t>DALARNAS LÄN</t>
        </is>
      </c>
      <c r="E559" t="inlineStr">
        <is>
          <t>ORSA</t>
        </is>
      </c>
      <c r="G559" t="n">
        <v>2.9</v>
      </c>
      <c r="H559" t="n">
        <v>0</v>
      </c>
      <c r="I559" t="n">
        <v>0</v>
      </c>
      <c r="J559" t="n">
        <v>0</v>
      </c>
      <c r="K559" t="n">
        <v>0</v>
      </c>
      <c r="L559" t="n">
        <v>0</v>
      </c>
      <c r="M559" t="n">
        <v>0</v>
      </c>
      <c r="N559" t="n">
        <v>0</v>
      </c>
      <c r="O559" t="n">
        <v>0</v>
      </c>
      <c r="P559" t="n">
        <v>0</v>
      </c>
      <c r="Q559" t="n">
        <v>0</v>
      </c>
      <c r="R559" s="2" t="inlineStr"/>
    </row>
    <row r="560" ht="15" customHeight="1">
      <c r="A560" t="inlineStr">
        <is>
          <t>A 31171-2023</t>
        </is>
      </c>
      <c r="B560" s="1" t="n">
        <v>45113.85704861111</v>
      </c>
      <c r="C560" s="1" t="n">
        <v>46046</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54121-2025</t>
        </is>
      </c>
      <c r="B561" s="1" t="n">
        <v>45964.45186342593</v>
      </c>
      <c r="C561" s="1" t="n">
        <v>46046</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61034-2024</t>
        </is>
      </c>
      <c r="B562" s="1" t="n">
        <v>45645.46608796297</v>
      </c>
      <c r="C562" s="1" t="n">
        <v>46046</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58007-2025</t>
        </is>
      </c>
      <c r="B563" s="1" t="n">
        <v>45982.44907407407</v>
      </c>
      <c r="C563" s="1" t="n">
        <v>46046</v>
      </c>
      <c r="D563" t="inlineStr">
        <is>
          <t>DALARNAS LÄN</t>
        </is>
      </c>
      <c r="E563" t="inlineStr">
        <is>
          <t>ORSA</t>
        </is>
      </c>
      <c r="G563" t="n">
        <v>1.8</v>
      </c>
      <c r="H563" t="n">
        <v>0</v>
      </c>
      <c r="I563" t="n">
        <v>0</v>
      </c>
      <c r="J563" t="n">
        <v>0</v>
      </c>
      <c r="K563" t="n">
        <v>0</v>
      </c>
      <c r="L563" t="n">
        <v>0</v>
      </c>
      <c r="M563" t="n">
        <v>0</v>
      </c>
      <c r="N563" t="n">
        <v>0</v>
      </c>
      <c r="O563" t="n">
        <v>0</v>
      </c>
      <c r="P563" t="n">
        <v>0</v>
      </c>
      <c r="Q563" t="n">
        <v>0</v>
      </c>
      <c r="R563" s="2" t="inlineStr"/>
    </row>
    <row r="564" ht="15" customHeight="1">
      <c r="A564" t="inlineStr">
        <is>
          <t>A 60844-2025</t>
        </is>
      </c>
      <c r="B564" s="1" t="n">
        <v>45999.4887037037</v>
      </c>
      <c r="C564" s="1" t="n">
        <v>46046</v>
      </c>
      <c r="D564" t="inlineStr">
        <is>
          <t>DALARNAS LÄN</t>
        </is>
      </c>
      <c r="E564" t="inlineStr">
        <is>
          <t>ORSA</t>
        </is>
      </c>
      <c r="G564" t="n">
        <v>1</v>
      </c>
      <c r="H564" t="n">
        <v>0</v>
      </c>
      <c r="I564" t="n">
        <v>0</v>
      </c>
      <c r="J564" t="n">
        <v>0</v>
      </c>
      <c r="K564" t="n">
        <v>0</v>
      </c>
      <c r="L564" t="n">
        <v>0</v>
      </c>
      <c r="M564" t="n">
        <v>0</v>
      </c>
      <c r="N564" t="n">
        <v>0</v>
      </c>
      <c r="O564" t="n">
        <v>0</v>
      </c>
      <c r="P564" t="n">
        <v>0</v>
      </c>
      <c r="Q564" t="n">
        <v>0</v>
      </c>
      <c r="R564" s="2" t="inlineStr"/>
    </row>
    <row r="565" ht="15" customHeight="1">
      <c r="A565" t="inlineStr">
        <is>
          <t>A 29025-2023</t>
        </is>
      </c>
      <c r="B565" s="1" t="n">
        <v>45104.70399305555</v>
      </c>
      <c r="C565" s="1" t="n">
        <v>46046</v>
      </c>
      <c r="D565" t="inlineStr">
        <is>
          <t>DALARNAS LÄN</t>
        </is>
      </c>
      <c r="E565" t="inlineStr">
        <is>
          <t>ORSA</t>
        </is>
      </c>
      <c r="G565" t="n">
        <v>6.6</v>
      </c>
      <c r="H565" t="n">
        <v>0</v>
      </c>
      <c r="I565" t="n">
        <v>0</v>
      </c>
      <c r="J565" t="n">
        <v>0</v>
      </c>
      <c r="K565" t="n">
        <v>0</v>
      </c>
      <c r="L565" t="n">
        <v>0</v>
      </c>
      <c r="M565" t="n">
        <v>0</v>
      </c>
      <c r="N565" t="n">
        <v>0</v>
      </c>
      <c r="O565" t="n">
        <v>0</v>
      </c>
      <c r="P565" t="n">
        <v>0</v>
      </c>
      <c r="Q565" t="n">
        <v>0</v>
      </c>
      <c r="R565" s="2" t="inlineStr"/>
    </row>
    <row r="566" ht="15" customHeight="1">
      <c r="A566" t="inlineStr">
        <is>
          <t>A 2999-2026</t>
        </is>
      </c>
      <c r="B566" s="1" t="n">
        <v>46038.65268518519</v>
      </c>
      <c r="C566" s="1" t="n">
        <v>46046</v>
      </c>
      <c r="D566" t="inlineStr">
        <is>
          <t>DALARNAS LÄN</t>
        </is>
      </c>
      <c r="E566" t="inlineStr">
        <is>
          <t>ORSA</t>
        </is>
      </c>
      <c r="G566" t="n">
        <v>3.9</v>
      </c>
      <c r="H566" t="n">
        <v>0</v>
      </c>
      <c r="I566" t="n">
        <v>0</v>
      </c>
      <c r="J566" t="n">
        <v>0</v>
      </c>
      <c r="K566" t="n">
        <v>0</v>
      </c>
      <c r="L566" t="n">
        <v>0</v>
      </c>
      <c r="M566" t="n">
        <v>0</v>
      </c>
      <c r="N566" t="n">
        <v>0</v>
      </c>
      <c r="O566" t="n">
        <v>0</v>
      </c>
      <c r="P566" t="n">
        <v>0</v>
      </c>
      <c r="Q566" t="n">
        <v>0</v>
      </c>
      <c r="R566" s="2" t="inlineStr"/>
    </row>
    <row r="567" ht="15" customHeight="1">
      <c r="A567" t="inlineStr">
        <is>
          <t>A 63467-2025</t>
        </is>
      </c>
      <c r="B567" s="1" t="n">
        <v>46013.43195601852</v>
      </c>
      <c r="C567" s="1" t="n">
        <v>46046</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3231-2026</t>
        </is>
      </c>
      <c r="B568" s="1" t="n">
        <v>46041.55847222222</v>
      </c>
      <c r="C568" s="1" t="n">
        <v>46046</v>
      </c>
      <c r="D568" t="inlineStr">
        <is>
          <t>DALARNAS LÄN</t>
        </is>
      </c>
      <c r="E568" t="inlineStr">
        <is>
          <t>ORSA</t>
        </is>
      </c>
      <c r="G568" t="n">
        <v>1.8</v>
      </c>
      <c r="H568" t="n">
        <v>0</v>
      </c>
      <c r="I568" t="n">
        <v>0</v>
      </c>
      <c r="J568" t="n">
        <v>0</v>
      </c>
      <c r="K568" t="n">
        <v>0</v>
      </c>
      <c r="L568" t="n">
        <v>0</v>
      </c>
      <c r="M568" t="n">
        <v>0</v>
      </c>
      <c r="N568" t="n">
        <v>0</v>
      </c>
      <c r="O568" t="n">
        <v>0</v>
      </c>
      <c r="P568" t="n">
        <v>0</v>
      </c>
      <c r="Q568" t="n">
        <v>0</v>
      </c>
      <c r="R568" s="2" t="inlineStr"/>
    </row>
    <row r="569" ht="15" customHeight="1">
      <c r="A569" t="inlineStr">
        <is>
          <t>A 48518-2024</t>
        </is>
      </c>
      <c r="B569" s="1" t="n">
        <v>45593.31915509259</v>
      </c>
      <c r="C569" s="1" t="n">
        <v>46046</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3226-2026</t>
        </is>
      </c>
      <c r="B570" s="1" t="n">
        <v>46041.54016203704</v>
      </c>
      <c r="C570" s="1" t="n">
        <v>46046</v>
      </c>
      <c r="D570" t="inlineStr">
        <is>
          <t>DALARNAS LÄN</t>
        </is>
      </c>
      <c r="E570" t="inlineStr">
        <is>
          <t>ORSA</t>
        </is>
      </c>
      <c r="G570" t="n">
        <v>1.8</v>
      </c>
      <c r="H570" t="n">
        <v>0</v>
      </c>
      <c r="I570" t="n">
        <v>0</v>
      </c>
      <c r="J570" t="n">
        <v>0</v>
      </c>
      <c r="K570" t="n">
        <v>0</v>
      </c>
      <c r="L570" t="n">
        <v>0</v>
      </c>
      <c r="M570" t="n">
        <v>0</v>
      </c>
      <c r="N570" t="n">
        <v>0</v>
      </c>
      <c r="O570" t="n">
        <v>0</v>
      </c>
      <c r="P570" t="n">
        <v>0</v>
      </c>
      <c r="Q570" t="n">
        <v>0</v>
      </c>
      <c r="R570" s="2" t="inlineStr"/>
    </row>
    <row r="571" ht="15" customHeight="1">
      <c r="A571" t="inlineStr">
        <is>
          <t>A 58793-2023</t>
        </is>
      </c>
      <c r="B571" s="1" t="n">
        <v>45252.34607638889</v>
      </c>
      <c r="C571" s="1" t="n">
        <v>46046</v>
      </c>
      <c r="D571" t="inlineStr">
        <is>
          <t>DALARNAS LÄN</t>
        </is>
      </c>
      <c r="E571" t="inlineStr">
        <is>
          <t>ORSA</t>
        </is>
      </c>
      <c r="G571" t="n">
        <v>2.2</v>
      </c>
      <c r="H571" t="n">
        <v>0</v>
      </c>
      <c r="I571" t="n">
        <v>0</v>
      </c>
      <c r="J571" t="n">
        <v>0</v>
      </c>
      <c r="K571" t="n">
        <v>0</v>
      </c>
      <c r="L571" t="n">
        <v>0</v>
      </c>
      <c r="M571" t="n">
        <v>0</v>
      </c>
      <c r="N571" t="n">
        <v>0</v>
      </c>
      <c r="O571" t="n">
        <v>0</v>
      </c>
      <c r="P571" t="n">
        <v>0</v>
      </c>
      <c r="Q571" t="n">
        <v>0</v>
      </c>
      <c r="R571" s="2" t="inlineStr"/>
    </row>
    <row r="572" ht="15" customHeight="1">
      <c r="A572" t="inlineStr">
        <is>
          <t>A 51551-2025</t>
        </is>
      </c>
      <c r="B572" s="1" t="n">
        <v>45950.84275462963</v>
      </c>
      <c r="C572" s="1" t="n">
        <v>46046</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3683-2026</t>
        </is>
      </c>
      <c r="B573" s="1" t="n">
        <v>46043.43420138889</v>
      </c>
      <c r="C573" s="1" t="n">
        <v>46046</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3364-2026</t>
        </is>
      </c>
      <c r="B574" s="1" t="n">
        <v>46042.33304398148</v>
      </c>
      <c r="C574" s="1" t="n">
        <v>46046</v>
      </c>
      <c r="D574" t="inlineStr">
        <is>
          <t>DALARNAS LÄN</t>
        </is>
      </c>
      <c r="E574" t="inlineStr">
        <is>
          <t>ORSA</t>
        </is>
      </c>
      <c r="G574" t="n">
        <v>1.1</v>
      </c>
      <c r="H574" t="n">
        <v>0</v>
      </c>
      <c r="I574" t="n">
        <v>0</v>
      </c>
      <c r="J574" t="n">
        <v>0</v>
      </c>
      <c r="K574" t="n">
        <v>0</v>
      </c>
      <c r="L574" t="n">
        <v>0</v>
      </c>
      <c r="M574" t="n">
        <v>0</v>
      </c>
      <c r="N574" t="n">
        <v>0</v>
      </c>
      <c r="O574" t="n">
        <v>0</v>
      </c>
      <c r="P574" t="n">
        <v>0</v>
      </c>
      <c r="Q574" t="n">
        <v>0</v>
      </c>
      <c r="R574" s="2" t="inlineStr"/>
    </row>
    <row r="575" ht="15" customHeight="1">
      <c r="A575" t="inlineStr">
        <is>
          <t>A 39-2026</t>
        </is>
      </c>
      <c r="B575" s="1" t="n">
        <v>46024</v>
      </c>
      <c r="C575" s="1" t="n">
        <v>46046</v>
      </c>
      <c r="D575" t="inlineStr">
        <is>
          <t>DALARNAS LÄN</t>
        </is>
      </c>
      <c r="E575" t="inlineStr">
        <is>
          <t>ORSA</t>
        </is>
      </c>
      <c r="G575" t="n">
        <v>2.8</v>
      </c>
      <c r="H575" t="n">
        <v>0</v>
      </c>
      <c r="I575" t="n">
        <v>0</v>
      </c>
      <c r="J575" t="n">
        <v>0</v>
      </c>
      <c r="K575" t="n">
        <v>0</v>
      </c>
      <c r="L575" t="n">
        <v>0</v>
      </c>
      <c r="M575" t="n">
        <v>0</v>
      </c>
      <c r="N575" t="n">
        <v>0</v>
      </c>
      <c r="O575" t="n">
        <v>0</v>
      </c>
      <c r="P575" t="n">
        <v>0</v>
      </c>
      <c r="Q575" t="n">
        <v>0</v>
      </c>
      <c r="R575" s="2" t="inlineStr"/>
    </row>
    <row r="576" ht="15" customHeight="1">
      <c r="A576" t="inlineStr">
        <is>
          <t>A 51-2026</t>
        </is>
      </c>
      <c r="B576" s="1" t="n">
        <v>46024</v>
      </c>
      <c r="C576" s="1" t="n">
        <v>46046</v>
      </c>
      <c r="D576" t="inlineStr">
        <is>
          <t>DALARNAS LÄN</t>
        </is>
      </c>
      <c r="E576" t="inlineStr">
        <is>
          <t>ORSA</t>
        </is>
      </c>
      <c r="G576" t="n">
        <v>2</v>
      </c>
      <c r="H576" t="n">
        <v>0</v>
      </c>
      <c r="I576" t="n">
        <v>0</v>
      </c>
      <c r="J576" t="n">
        <v>0</v>
      </c>
      <c r="K576" t="n">
        <v>0</v>
      </c>
      <c r="L576" t="n">
        <v>0</v>
      </c>
      <c r="M576" t="n">
        <v>0</v>
      </c>
      <c r="N576" t="n">
        <v>0</v>
      </c>
      <c r="O576" t="n">
        <v>0</v>
      </c>
      <c r="P576" t="n">
        <v>0</v>
      </c>
      <c r="Q576" t="n">
        <v>0</v>
      </c>
      <c r="R576" s="2" t="inlineStr"/>
    </row>
    <row r="577" ht="15" customHeight="1">
      <c r="A577" t="inlineStr">
        <is>
          <t>A 3000-2026</t>
        </is>
      </c>
      <c r="B577" s="1" t="n">
        <v>46038</v>
      </c>
      <c r="C577" s="1" t="n">
        <v>46046</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63790-2025</t>
        </is>
      </c>
      <c r="B578" s="1" t="n">
        <v>46019</v>
      </c>
      <c r="C578" s="1" t="n">
        <v>46046</v>
      </c>
      <c r="D578" t="inlineStr">
        <is>
          <t>DALARNAS LÄN</t>
        </is>
      </c>
      <c r="E578" t="inlineStr">
        <is>
          <t>ORSA</t>
        </is>
      </c>
      <c r="G578" t="n">
        <v>3.7</v>
      </c>
      <c r="H578" t="n">
        <v>0</v>
      </c>
      <c r="I578" t="n">
        <v>0</v>
      </c>
      <c r="J578" t="n">
        <v>0</v>
      </c>
      <c r="K578" t="n">
        <v>0</v>
      </c>
      <c r="L578" t="n">
        <v>0</v>
      </c>
      <c r="M578" t="n">
        <v>0</v>
      </c>
      <c r="N578" t="n">
        <v>0</v>
      </c>
      <c r="O578" t="n">
        <v>0</v>
      </c>
      <c r="P578" t="n">
        <v>0</v>
      </c>
      <c r="Q578" t="n">
        <v>0</v>
      </c>
      <c r="R578" s="2" t="inlineStr"/>
    </row>
    <row r="579" ht="15" customHeight="1">
      <c r="A579" t="inlineStr">
        <is>
          <t>A 37-2026</t>
        </is>
      </c>
      <c r="B579" s="1" t="n">
        <v>46024</v>
      </c>
      <c r="C579" s="1" t="n">
        <v>46046</v>
      </c>
      <c r="D579" t="inlineStr">
        <is>
          <t>DALARNAS LÄN</t>
        </is>
      </c>
      <c r="E579" t="inlineStr">
        <is>
          <t>ORSA</t>
        </is>
      </c>
      <c r="G579" t="n">
        <v>4.8</v>
      </c>
      <c r="H579" t="n">
        <v>0</v>
      </c>
      <c r="I579" t="n">
        <v>0</v>
      </c>
      <c r="J579" t="n">
        <v>0</v>
      </c>
      <c r="K579" t="n">
        <v>0</v>
      </c>
      <c r="L579" t="n">
        <v>0</v>
      </c>
      <c r="M579" t="n">
        <v>0</v>
      </c>
      <c r="N579" t="n">
        <v>0</v>
      </c>
      <c r="O579" t="n">
        <v>0</v>
      </c>
      <c r="P579" t="n">
        <v>0</v>
      </c>
      <c r="Q579" t="n">
        <v>0</v>
      </c>
      <c r="R579" s="2" t="inlineStr"/>
    </row>
    <row r="580" ht="15" customHeight="1">
      <c r="A580" t="inlineStr">
        <is>
          <t>A 3727-2026</t>
        </is>
      </c>
      <c r="B580" s="1" t="n">
        <v>46043.50483796297</v>
      </c>
      <c r="C580" s="1" t="n">
        <v>46046</v>
      </c>
      <c r="D580" t="inlineStr">
        <is>
          <t>DALARNAS LÄN</t>
        </is>
      </c>
      <c r="E580" t="inlineStr">
        <is>
          <t>ORSA</t>
        </is>
      </c>
      <c r="G580" t="n">
        <v>2.2</v>
      </c>
      <c r="H580" t="n">
        <v>0</v>
      </c>
      <c r="I580" t="n">
        <v>0</v>
      </c>
      <c r="J580" t="n">
        <v>0</v>
      </c>
      <c r="K580" t="n">
        <v>0</v>
      </c>
      <c r="L580" t="n">
        <v>0</v>
      </c>
      <c r="M580" t="n">
        <v>0</v>
      </c>
      <c r="N580" t="n">
        <v>0</v>
      </c>
      <c r="O580" t="n">
        <v>0</v>
      </c>
      <c r="P580" t="n">
        <v>0</v>
      </c>
      <c r="Q580" t="n">
        <v>0</v>
      </c>
      <c r="R580" s="2" t="inlineStr"/>
    </row>
    <row r="581" ht="15" customHeight="1">
      <c r="A581" t="inlineStr">
        <is>
          <t>A 64154-2025</t>
        </is>
      </c>
      <c r="B581" s="1" t="n">
        <v>46022</v>
      </c>
      <c r="C581" s="1" t="n">
        <v>46046</v>
      </c>
      <c r="D581" t="inlineStr">
        <is>
          <t>DALARNAS LÄN</t>
        </is>
      </c>
      <c r="E581" t="inlineStr">
        <is>
          <t>ORSA</t>
        </is>
      </c>
      <c r="G581" t="n">
        <v>29.9</v>
      </c>
      <c r="H581" t="n">
        <v>0</v>
      </c>
      <c r="I581" t="n">
        <v>0</v>
      </c>
      <c r="J581" t="n">
        <v>0</v>
      </c>
      <c r="K581" t="n">
        <v>0</v>
      </c>
      <c r="L581" t="n">
        <v>0</v>
      </c>
      <c r="M581" t="n">
        <v>0</v>
      </c>
      <c r="N581" t="n">
        <v>0</v>
      </c>
      <c r="O581" t="n">
        <v>0</v>
      </c>
      <c r="P581" t="n">
        <v>0</v>
      </c>
      <c r="Q581" t="n">
        <v>0</v>
      </c>
      <c r="R581" s="2" t="inlineStr"/>
    </row>
    <row r="582" ht="15" customHeight="1">
      <c r="A582" t="inlineStr">
        <is>
          <t>A 2090-2026</t>
        </is>
      </c>
      <c r="B582" s="1" t="n">
        <v>46036</v>
      </c>
      <c r="C582" s="1" t="n">
        <v>46046</v>
      </c>
      <c r="D582" t="inlineStr">
        <is>
          <t>DALARNAS LÄN</t>
        </is>
      </c>
      <c r="E582" t="inlineStr">
        <is>
          <t>ORSA</t>
        </is>
      </c>
      <c r="G582" t="n">
        <v>5.7</v>
      </c>
      <c r="H582" t="n">
        <v>0</v>
      </c>
      <c r="I582" t="n">
        <v>0</v>
      </c>
      <c r="J582" t="n">
        <v>0</v>
      </c>
      <c r="K582" t="n">
        <v>0</v>
      </c>
      <c r="L582" t="n">
        <v>0</v>
      </c>
      <c r="M582" t="n">
        <v>0</v>
      </c>
      <c r="N582" t="n">
        <v>0</v>
      </c>
      <c r="O582" t="n">
        <v>0</v>
      </c>
      <c r="P582" t="n">
        <v>0</v>
      </c>
      <c r="Q582" t="n">
        <v>0</v>
      </c>
      <c r="R582" s="2" t="inlineStr"/>
    </row>
    <row r="583" ht="15" customHeight="1">
      <c r="A583" t="inlineStr">
        <is>
          <t>A 4011-2026</t>
        </is>
      </c>
      <c r="B583" s="1" t="n">
        <v>46044.41059027778</v>
      </c>
      <c r="C583" s="1" t="n">
        <v>46046</v>
      </c>
      <c r="D583" t="inlineStr">
        <is>
          <t>DALARNAS LÄN</t>
        </is>
      </c>
      <c r="E583" t="inlineStr">
        <is>
          <t>ORSA</t>
        </is>
      </c>
      <c r="G583" t="n">
        <v>3.6</v>
      </c>
      <c r="H583" t="n">
        <v>0</v>
      </c>
      <c r="I583" t="n">
        <v>0</v>
      </c>
      <c r="J583" t="n">
        <v>0</v>
      </c>
      <c r="K583" t="n">
        <v>0</v>
      </c>
      <c r="L583" t="n">
        <v>0</v>
      </c>
      <c r="M583" t="n">
        <v>0</v>
      </c>
      <c r="N583" t="n">
        <v>0</v>
      </c>
      <c r="O583" t="n">
        <v>0</v>
      </c>
      <c r="P583" t="n">
        <v>0</v>
      </c>
      <c r="Q583" t="n">
        <v>0</v>
      </c>
      <c r="R583" s="2" t="inlineStr"/>
    </row>
    <row r="584" ht="15" customHeight="1">
      <c r="A584" t="inlineStr">
        <is>
          <t>A 4040-2026</t>
        </is>
      </c>
      <c r="B584" s="1" t="n">
        <v>46044.45325231482</v>
      </c>
      <c r="C584" s="1" t="n">
        <v>46046</v>
      </c>
      <c r="D584" t="inlineStr">
        <is>
          <t>DALARNAS LÄN</t>
        </is>
      </c>
      <c r="E584" t="inlineStr">
        <is>
          <t>ORSA</t>
        </is>
      </c>
      <c r="G584" t="n">
        <v>4.3</v>
      </c>
      <c r="H584" t="n">
        <v>0</v>
      </c>
      <c r="I584" t="n">
        <v>0</v>
      </c>
      <c r="J584" t="n">
        <v>0</v>
      </c>
      <c r="K584" t="n">
        <v>0</v>
      </c>
      <c r="L584" t="n">
        <v>0</v>
      </c>
      <c r="M584" t="n">
        <v>0</v>
      </c>
      <c r="N584" t="n">
        <v>0</v>
      </c>
      <c r="O584" t="n">
        <v>0</v>
      </c>
      <c r="P584" t="n">
        <v>0</v>
      </c>
      <c r="Q584" t="n">
        <v>0</v>
      </c>
      <c r="R584" s="2" t="inlineStr"/>
    </row>
    <row r="585" ht="15" customHeight="1">
      <c r="A585" t="inlineStr">
        <is>
          <t>A 4183-2026</t>
        </is>
      </c>
      <c r="B585" s="1" t="n">
        <v>46044.68712962963</v>
      </c>
      <c r="C585" s="1" t="n">
        <v>46046</v>
      </c>
      <c r="D585" t="inlineStr">
        <is>
          <t>DALARNAS LÄN</t>
        </is>
      </c>
      <c r="E585" t="inlineStr">
        <is>
          <t>ORSA</t>
        </is>
      </c>
      <c r="G585" t="n">
        <v>3.7</v>
      </c>
      <c r="H585" t="n">
        <v>0</v>
      </c>
      <c r="I585" t="n">
        <v>0</v>
      </c>
      <c r="J585" t="n">
        <v>0</v>
      </c>
      <c r="K585" t="n">
        <v>0</v>
      </c>
      <c r="L585" t="n">
        <v>0</v>
      </c>
      <c r="M585" t="n">
        <v>0</v>
      </c>
      <c r="N585" t="n">
        <v>0</v>
      </c>
      <c r="O585" t="n">
        <v>0</v>
      </c>
      <c r="P585" t="n">
        <v>0</v>
      </c>
      <c r="Q585" t="n">
        <v>0</v>
      </c>
      <c r="R585" s="2" t="inlineStr"/>
    </row>
    <row r="586" ht="15" customHeight="1">
      <c r="A586" t="inlineStr">
        <is>
          <t>A 3988-2026</t>
        </is>
      </c>
      <c r="B586" s="1" t="n">
        <v>46044.37626157407</v>
      </c>
      <c r="C586" s="1" t="n">
        <v>46046</v>
      </c>
      <c r="D586" t="inlineStr">
        <is>
          <t>DALARNAS LÄN</t>
        </is>
      </c>
      <c r="E586" t="inlineStr">
        <is>
          <t>ORSA</t>
        </is>
      </c>
      <c r="G586" t="n">
        <v>0.7</v>
      </c>
      <c r="H586" t="n">
        <v>0</v>
      </c>
      <c r="I586" t="n">
        <v>0</v>
      </c>
      <c r="J586" t="n">
        <v>0</v>
      </c>
      <c r="K586" t="n">
        <v>0</v>
      </c>
      <c r="L586" t="n">
        <v>0</v>
      </c>
      <c r="M586" t="n">
        <v>0</v>
      </c>
      <c r="N586" t="n">
        <v>0</v>
      </c>
      <c r="O586" t="n">
        <v>0</v>
      </c>
      <c r="P586" t="n">
        <v>0</v>
      </c>
      <c r="Q586" t="n">
        <v>0</v>
      </c>
      <c r="R586" s="2" t="inlineStr"/>
    </row>
    <row r="587">
      <c r="A587" t="inlineStr">
        <is>
          <t>A 4456-2026</t>
        </is>
      </c>
      <c r="B587" s="1" t="n">
        <v>46044</v>
      </c>
      <c r="C587" s="1" t="n">
        <v>46046</v>
      </c>
      <c r="D587" t="inlineStr">
        <is>
          <t>DALARNAS LÄN</t>
        </is>
      </c>
      <c r="E587" t="inlineStr">
        <is>
          <t>ORSA</t>
        </is>
      </c>
      <c r="G587" t="n">
        <v>5.9</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2026-01-24T11:04:13Z</dcterms:created>
  <dcterms:modified xmlns:dcterms="http://purl.org/dc/terms/" xmlns:xsi="http://www.w3.org/2001/XMLSchema-instance" xsi:type="dcterms:W3CDTF">2026-01-24T11:04:14Z</dcterms:modified>
</cp:coreProperties>
</file>