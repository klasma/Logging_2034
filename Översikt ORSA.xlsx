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45796</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45796</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45796</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45796</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45796</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45796</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45796</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45796</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45796</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45796</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45796</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45796</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45796</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45796</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45796</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45796</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45796</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45796</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45796</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45796</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45796</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45796</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45796</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45796</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45796</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45796</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45796</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45796</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45796</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45796</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45796</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45796</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45796</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45796</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45796</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45796</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45796</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45796</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45796</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45796</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45796</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32094-2019</t>
        </is>
      </c>
      <c r="B62" s="1" t="n">
        <v>43643</v>
      </c>
      <c r="C62" s="1" t="n">
        <v>45796</v>
      </c>
      <c r="D62" t="inlineStr">
        <is>
          <t>DALARNAS LÄN</t>
        </is>
      </c>
      <c r="E62" t="inlineStr">
        <is>
          <t>ORSA</t>
        </is>
      </c>
      <c r="F62" t="inlineStr">
        <is>
          <t>Bergvik skog väst AB</t>
        </is>
      </c>
      <c r="G62" t="n">
        <v>19.2</v>
      </c>
      <c r="H62" t="n">
        <v>1</v>
      </c>
      <c r="I62" t="n">
        <v>0</v>
      </c>
      <c r="J62" t="n">
        <v>0</v>
      </c>
      <c r="K62" t="n">
        <v>0</v>
      </c>
      <c r="L62" t="n">
        <v>0</v>
      </c>
      <c r="M62" t="n">
        <v>0</v>
      </c>
      <c r="N62" t="n">
        <v>0</v>
      </c>
      <c r="O62" t="n">
        <v>0</v>
      </c>
      <c r="P62" t="n">
        <v>0</v>
      </c>
      <c r="Q62" t="n">
        <v>1</v>
      </c>
      <c r="R62" s="2" t="inlineStr">
        <is>
          <t>Revlummer</t>
        </is>
      </c>
      <c r="S62">
        <f>HYPERLINK("https://klasma.github.io/Logging_2034/artfynd/A 32094-2019 artfynd.xlsx", "A 32094-2019")</f>
        <v/>
      </c>
      <c r="T62">
        <f>HYPERLINK("https://klasma.github.io/Logging_2034/kartor/A 32094-2019 karta.png", "A 32094-2019")</f>
        <v/>
      </c>
      <c r="V62">
        <f>HYPERLINK("https://klasma.github.io/Logging_2034/klagomål/A 32094-2019 FSC-klagomål.docx", "A 32094-2019")</f>
        <v/>
      </c>
      <c r="W62">
        <f>HYPERLINK("https://klasma.github.io/Logging_2034/klagomålsmail/A 32094-2019 FSC-klagomål mail.docx", "A 32094-2019")</f>
        <v/>
      </c>
      <c r="X62">
        <f>HYPERLINK("https://klasma.github.io/Logging_2034/tillsyn/A 32094-2019 tillsynsbegäran.docx", "A 32094-2019")</f>
        <v/>
      </c>
      <c r="Y62">
        <f>HYPERLINK("https://klasma.github.io/Logging_2034/tillsynsmail/A 32094-2019 tillsynsbegäran mail.docx", "A 32094-2019")</f>
        <v/>
      </c>
    </row>
    <row r="63" ht="15" customHeight="1">
      <c r="A63" t="inlineStr">
        <is>
          <t>A 38211-2020</t>
        </is>
      </c>
      <c r="B63" s="1" t="n">
        <v>44060</v>
      </c>
      <c r="C63" s="1" t="n">
        <v>45796</v>
      </c>
      <c r="D63" t="inlineStr">
        <is>
          <t>DALARNAS LÄN</t>
        </is>
      </c>
      <c r="E63" t="inlineStr">
        <is>
          <t>ORSA</t>
        </is>
      </c>
      <c r="G63" t="n">
        <v>1.2</v>
      </c>
      <c r="H63" t="n">
        <v>1</v>
      </c>
      <c r="I63" t="n">
        <v>0</v>
      </c>
      <c r="J63" t="n">
        <v>1</v>
      </c>
      <c r="K63" t="n">
        <v>0</v>
      </c>
      <c r="L63" t="n">
        <v>0</v>
      </c>
      <c r="M63" t="n">
        <v>0</v>
      </c>
      <c r="N63" t="n">
        <v>0</v>
      </c>
      <c r="O63" t="n">
        <v>1</v>
      </c>
      <c r="P63" t="n">
        <v>0</v>
      </c>
      <c r="Q63" t="n">
        <v>1</v>
      </c>
      <c r="R63" s="2" t="inlineStr">
        <is>
          <t>Utter</t>
        </is>
      </c>
      <c r="S63">
        <f>HYPERLINK("https://klasma.github.io/Logging_2034/artfynd/A 38211-2020 artfynd.xlsx", "A 38211-2020")</f>
        <v/>
      </c>
      <c r="T63">
        <f>HYPERLINK("https://klasma.github.io/Logging_2034/kartor/A 38211-2020 karta.png", "A 38211-2020")</f>
        <v/>
      </c>
      <c r="V63">
        <f>HYPERLINK("https://klasma.github.io/Logging_2034/klagomål/A 38211-2020 FSC-klagomål.docx", "A 38211-2020")</f>
        <v/>
      </c>
      <c r="W63">
        <f>HYPERLINK("https://klasma.github.io/Logging_2034/klagomålsmail/A 38211-2020 FSC-klagomål mail.docx", "A 38211-2020")</f>
        <v/>
      </c>
      <c r="X63">
        <f>HYPERLINK("https://klasma.github.io/Logging_2034/tillsyn/A 38211-2020 tillsynsbegäran.docx", "A 38211-2020")</f>
        <v/>
      </c>
      <c r="Y63">
        <f>HYPERLINK("https://klasma.github.io/Logging_2034/tillsynsmail/A 38211-2020 tillsynsbegäran mail.docx", "A 38211-2020")</f>
        <v/>
      </c>
    </row>
    <row r="64" ht="15" customHeight="1">
      <c r="A64" t="inlineStr">
        <is>
          <t>A 4144-2022</t>
        </is>
      </c>
      <c r="B64" s="1" t="n">
        <v>44588</v>
      </c>
      <c r="C64" s="1" t="n">
        <v>45796</v>
      </c>
      <c r="D64" t="inlineStr">
        <is>
          <t>DALARNAS LÄN</t>
        </is>
      </c>
      <c r="E64" t="inlineStr">
        <is>
          <t>ORSA</t>
        </is>
      </c>
      <c r="G64" t="n">
        <v>1</v>
      </c>
      <c r="H64" t="n">
        <v>0</v>
      </c>
      <c r="I64" t="n">
        <v>1</v>
      </c>
      <c r="J64" t="n">
        <v>0</v>
      </c>
      <c r="K64" t="n">
        <v>0</v>
      </c>
      <c r="L64" t="n">
        <v>0</v>
      </c>
      <c r="M64" t="n">
        <v>0</v>
      </c>
      <c r="N64" t="n">
        <v>0</v>
      </c>
      <c r="O64" t="n">
        <v>0</v>
      </c>
      <c r="P64" t="n">
        <v>0</v>
      </c>
      <c r="Q64" t="n">
        <v>1</v>
      </c>
      <c r="R64" s="2" t="inlineStr">
        <is>
          <t>Svart trolldruva</t>
        </is>
      </c>
      <c r="S64">
        <f>HYPERLINK("https://klasma.github.io/Logging_2034/artfynd/A 4144-2022 artfynd.xlsx", "A 4144-2022")</f>
        <v/>
      </c>
      <c r="T64">
        <f>HYPERLINK("https://klasma.github.io/Logging_2034/kartor/A 4144-2022 karta.png", "A 4144-2022")</f>
        <v/>
      </c>
      <c r="V64">
        <f>HYPERLINK("https://klasma.github.io/Logging_2034/klagomål/A 4144-2022 FSC-klagomål.docx", "A 4144-2022")</f>
        <v/>
      </c>
      <c r="W64">
        <f>HYPERLINK("https://klasma.github.io/Logging_2034/klagomålsmail/A 4144-2022 FSC-klagomål mail.docx", "A 4144-2022")</f>
        <v/>
      </c>
      <c r="X64">
        <f>HYPERLINK("https://klasma.github.io/Logging_2034/tillsyn/A 4144-2022 tillsynsbegäran.docx", "A 4144-2022")</f>
        <v/>
      </c>
      <c r="Y64">
        <f>HYPERLINK("https://klasma.github.io/Logging_2034/tillsynsmail/A 4144-2022 tillsynsbegäran mail.docx", "A 4144-2022")</f>
        <v/>
      </c>
    </row>
    <row r="65" ht="15" customHeight="1">
      <c r="A65" t="inlineStr">
        <is>
          <t>A 48766-2022</t>
        </is>
      </c>
      <c r="B65" s="1" t="n">
        <v>44859</v>
      </c>
      <c r="C65" s="1" t="n">
        <v>45796</v>
      </c>
      <c r="D65" t="inlineStr">
        <is>
          <t>DALARNAS LÄN</t>
        </is>
      </c>
      <c r="E65" t="inlineStr">
        <is>
          <t>ORSA</t>
        </is>
      </c>
      <c r="F65" t="inlineStr">
        <is>
          <t>Allmännings- och besparingsskogar</t>
        </is>
      </c>
      <c r="G65" t="n">
        <v>3.1</v>
      </c>
      <c r="H65" t="n">
        <v>0</v>
      </c>
      <c r="I65" t="n">
        <v>0</v>
      </c>
      <c r="J65" t="n">
        <v>1</v>
      </c>
      <c r="K65" t="n">
        <v>0</v>
      </c>
      <c r="L65" t="n">
        <v>0</v>
      </c>
      <c r="M65" t="n">
        <v>0</v>
      </c>
      <c r="N65" t="n">
        <v>0</v>
      </c>
      <c r="O65" t="n">
        <v>1</v>
      </c>
      <c r="P65" t="n">
        <v>0</v>
      </c>
      <c r="Q65" t="n">
        <v>1</v>
      </c>
      <c r="R65" s="2" t="inlineStr">
        <is>
          <t>Garnlav</t>
        </is>
      </c>
      <c r="S65">
        <f>HYPERLINK("https://klasma.github.io/Logging_2034/artfynd/A 48766-2022 artfynd.xlsx", "A 48766-2022")</f>
        <v/>
      </c>
      <c r="T65">
        <f>HYPERLINK("https://klasma.github.io/Logging_2034/kartor/A 48766-2022 karta.png", "A 48766-2022")</f>
        <v/>
      </c>
      <c r="V65">
        <f>HYPERLINK("https://klasma.github.io/Logging_2034/klagomål/A 48766-2022 FSC-klagomål.docx", "A 48766-2022")</f>
        <v/>
      </c>
      <c r="W65">
        <f>HYPERLINK("https://klasma.github.io/Logging_2034/klagomålsmail/A 48766-2022 FSC-klagomål mail.docx", "A 48766-2022")</f>
        <v/>
      </c>
      <c r="X65">
        <f>HYPERLINK("https://klasma.github.io/Logging_2034/tillsyn/A 48766-2022 tillsynsbegäran.docx", "A 48766-2022")</f>
        <v/>
      </c>
      <c r="Y65">
        <f>HYPERLINK("https://klasma.github.io/Logging_2034/tillsynsmail/A 48766-2022 tillsynsbegäran mail.docx", "A 48766-2022")</f>
        <v/>
      </c>
    </row>
    <row r="66" ht="15" customHeight="1">
      <c r="A66" t="inlineStr">
        <is>
          <t>A 29044-2023</t>
        </is>
      </c>
      <c r="B66" s="1" t="n">
        <v>45104</v>
      </c>
      <c r="C66" s="1" t="n">
        <v>45796</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Korallblylav</t>
        </is>
      </c>
      <c r="S66">
        <f>HYPERLINK("https://klasma.github.io/Logging_2034/artfynd/A 29044-2023 artfynd.xlsx", "A 29044-2023")</f>
        <v/>
      </c>
      <c r="T66">
        <f>HYPERLINK("https://klasma.github.io/Logging_2034/kartor/A 29044-2023 karta.png", "A 29044-2023")</f>
        <v/>
      </c>
      <c r="V66">
        <f>HYPERLINK("https://klasma.github.io/Logging_2034/klagomål/A 29044-2023 FSC-klagomål.docx", "A 29044-2023")</f>
        <v/>
      </c>
      <c r="W66">
        <f>HYPERLINK("https://klasma.github.io/Logging_2034/klagomålsmail/A 29044-2023 FSC-klagomål mail.docx", "A 29044-2023")</f>
        <v/>
      </c>
      <c r="X66">
        <f>HYPERLINK("https://klasma.github.io/Logging_2034/tillsyn/A 29044-2023 tillsynsbegäran.docx", "A 29044-2023")</f>
        <v/>
      </c>
      <c r="Y66">
        <f>HYPERLINK("https://klasma.github.io/Logging_2034/tillsynsmail/A 29044-2023 tillsynsbegäran mail.docx", "A 29044-2023")</f>
        <v/>
      </c>
    </row>
    <row r="67" ht="15" customHeight="1">
      <c r="A67" t="inlineStr">
        <is>
          <t>A 35112-2023</t>
        </is>
      </c>
      <c r="B67" s="1" t="n">
        <v>45145</v>
      </c>
      <c r="C67" s="1" t="n">
        <v>45796</v>
      </c>
      <c r="D67" t="inlineStr">
        <is>
          <t>DALARNAS LÄN</t>
        </is>
      </c>
      <c r="E67" t="inlineStr">
        <is>
          <t>ORSA</t>
        </is>
      </c>
      <c r="F67" t="inlineStr">
        <is>
          <t>Allmännings- och besparingsskogar</t>
        </is>
      </c>
      <c r="G67" t="n">
        <v>6.9</v>
      </c>
      <c r="H67" t="n">
        <v>0</v>
      </c>
      <c r="I67" t="n">
        <v>0</v>
      </c>
      <c r="J67" t="n">
        <v>1</v>
      </c>
      <c r="K67" t="n">
        <v>0</v>
      </c>
      <c r="L67" t="n">
        <v>0</v>
      </c>
      <c r="M67" t="n">
        <v>0</v>
      </c>
      <c r="N67" t="n">
        <v>0</v>
      </c>
      <c r="O67" t="n">
        <v>1</v>
      </c>
      <c r="P67" t="n">
        <v>0</v>
      </c>
      <c r="Q67" t="n">
        <v>1</v>
      </c>
      <c r="R67" s="2" t="inlineStr">
        <is>
          <t>Skrovellav</t>
        </is>
      </c>
      <c r="S67">
        <f>HYPERLINK("https://klasma.github.io/Logging_2034/artfynd/A 35112-2023 artfynd.xlsx", "A 35112-2023")</f>
        <v/>
      </c>
      <c r="T67">
        <f>HYPERLINK("https://klasma.github.io/Logging_2034/kartor/A 35112-2023 karta.png", "A 35112-2023")</f>
        <v/>
      </c>
      <c r="V67">
        <f>HYPERLINK("https://klasma.github.io/Logging_2034/klagomål/A 35112-2023 FSC-klagomål.docx", "A 35112-2023")</f>
        <v/>
      </c>
      <c r="W67">
        <f>HYPERLINK("https://klasma.github.io/Logging_2034/klagomålsmail/A 35112-2023 FSC-klagomål mail.docx", "A 35112-2023")</f>
        <v/>
      </c>
      <c r="X67">
        <f>HYPERLINK("https://klasma.github.io/Logging_2034/tillsyn/A 35112-2023 tillsynsbegäran.docx", "A 35112-2023")</f>
        <v/>
      </c>
      <c r="Y67">
        <f>HYPERLINK("https://klasma.github.io/Logging_2034/tillsynsmail/A 35112-2023 tillsynsbegäran mail.docx", "A 35112-2023")</f>
        <v/>
      </c>
    </row>
    <row r="68" ht="15" customHeight="1">
      <c r="A68" t="inlineStr">
        <is>
          <t>A 37887-2023</t>
        </is>
      </c>
      <c r="B68" s="1" t="n">
        <v>45160</v>
      </c>
      <c r="C68" s="1" t="n">
        <v>45796</v>
      </c>
      <c r="D68" t="inlineStr">
        <is>
          <t>DALARNAS LÄN</t>
        </is>
      </c>
      <c r="E68" t="inlineStr">
        <is>
          <t>ORSA</t>
        </is>
      </c>
      <c r="F68" t="inlineStr">
        <is>
          <t>Allmännings- och besparingsskogar</t>
        </is>
      </c>
      <c r="G68" t="n">
        <v>20.5</v>
      </c>
      <c r="H68" t="n">
        <v>1</v>
      </c>
      <c r="I68" t="n">
        <v>0</v>
      </c>
      <c r="J68" t="n">
        <v>1</v>
      </c>
      <c r="K68" t="n">
        <v>0</v>
      </c>
      <c r="L68" t="n">
        <v>0</v>
      </c>
      <c r="M68" t="n">
        <v>0</v>
      </c>
      <c r="N68" t="n">
        <v>0</v>
      </c>
      <c r="O68" t="n">
        <v>1</v>
      </c>
      <c r="P68" t="n">
        <v>0</v>
      </c>
      <c r="Q68" t="n">
        <v>1</v>
      </c>
      <c r="R68" s="2" t="inlineStr">
        <is>
          <t>Varglav</t>
        </is>
      </c>
      <c r="S68">
        <f>HYPERLINK("https://klasma.github.io/Logging_2034/artfynd/A 37887-2023 artfynd.xlsx", "A 37887-2023")</f>
        <v/>
      </c>
      <c r="T68">
        <f>HYPERLINK("https://klasma.github.io/Logging_2034/kartor/A 37887-2023 karta.png", "A 37887-2023")</f>
        <v/>
      </c>
      <c r="V68">
        <f>HYPERLINK("https://klasma.github.io/Logging_2034/klagomål/A 37887-2023 FSC-klagomål.docx", "A 37887-2023")</f>
        <v/>
      </c>
      <c r="W68">
        <f>HYPERLINK("https://klasma.github.io/Logging_2034/klagomålsmail/A 37887-2023 FSC-klagomål mail.docx", "A 37887-2023")</f>
        <v/>
      </c>
      <c r="X68">
        <f>HYPERLINK("https://klasma.github.io/Logging_2034/tillsyn/A 37887-2023 tillsynsbegäran.docx", "A 37887-2023")</f>
        <v/>
      </c>
      <c r="Y68">
        <f>HYPERLINK("https://klasma.github.io/Logging_2034/tillsynsmail/A 37887-2023 tillsynsbegäran mail.docx", "A 37887-2023")</f>
        <v/>
      </c>
    </row>
    <row r="69" ht="15" customHeight="1">
      <c r="A69" t="inlineStr">
        <is>
          <t>A 40288-2023</t>
        </is>
      </c>
      <c r="B69" s="1" t="n">
        <v>45169</v>
      </c>
      <c r="C69" s="1" t="n">
        <v>45796</v>
      </c>
      <c r="D69" t="inlineStr">
        <is>
          <t>DALARNAS LÄN</t>
        </is>
      </c>
      <c r="E69" t="inlineStr">
        <is>
          <t>ORSA</t>
        </is>
      </c>
      <c r="F69" t="inlineStr">
        <is>
          <t>Allmännings- och besparingsskogar</t>
        </is>
      </c>
      <c r="G69" t="n">
        <v>4.2</v>
      </c>
      <c r="H69" t="n">
        <v>0</v>
      </c>
      <c r="I69" t="n">
        <v>0</v>
      </c>
      <c r="J69" t="n">
        <v>1</v>
      </c>
      <c r="K69" t="n">
        <v>0</v>
      </c>
      <c r="L69" t="n">
        <v>0</v>
      </c>
      <c r="M69" t="n">
        <v>0</v>
      </c>
      <c r="N69" t="n">
        <v>0</v>
      </c>
      <c r="O69" t="n">
        <v>1</v>
      </c>
      <c r="P69" t="n">
        <v>0</v>
      </c>
      <c r="Q69" t="n">
        <v>1</v>
      </c>
      <c r="R69" s="2" t="inlineStr">
        <is>
          <t>Vedflamlav</t>
        </is>
      </c>
      <c r="S69">
        <f>HYPERLINK("https://klasma.github.io/Logging_2034/artfynd/A 40288-2023 artfynd.xlsx", "A 40288-2023")</f>
        <v/>
      </c>
      <c r="T69">
        <f>HYPERLINK("https://klasma.github.io/Logging_2034/kartor/A 40288-2023 karta.png", "A 40288-2023")</f>
        <v/>
      </c>
      <c r="V69">
        <f>HYPERLINK("https://klasma.github.io/Logging_2034/klagomål/A 40288-2023 FSC-klagomål.docx", "A 40288-2023")</f>
        <v/>
      </c>
      <c r="W69">
        <f>HYPERLINK("https://klasma.github.io/Logging_2034/klagomålsmail/A 40288-2023 FSC-klagomål mail.docx", "A 40288-2023")</f>
        <v/>
      </c>
      <c r="X69">
        <f>HYPERLINK("https://klasma.github.io/Logging_2034/tillsyn/A 40288-2023 tillsynsbegäran.docx", "A 40288-2023")</f>
        <v/>
      </c>
      <c r="Y69">
        <f>HYPERLINK("https://klasma.github.io/Logging_2034/tillsynsmail/A 40288-2023 tillsynsbegäran mail.docx", "A 40288-2023")</f>
        <v/>
      </c>
    </row>
    <row r="70" ht="15" customHeight="1">
      <c r="A70" t="inlineStr">
        <is>
          <t>A 46179-2023</t>
        </is>
      </c>
      <c r="B70" s="1" t="n">
        <v>45196</v>
      </c>
      <c r="C70" s="1" t="n">
        <v>45796</v>
      </c>
      <c r="D70" t="inlineStr">
        <is>
          <t>DALARNAS LÄN</t>
        </is>
      </c>
      <c r="E70" t="inlineStr">
        <is>
          <t>ORSA</t>
        </is>
      </c>
      <c r="G70" t="n">
        <v>4.1</v>
      </c>
      <c r="H70" t="n">
        <v>0</v>
      </c>
      <c r="I70" t="n">
        <v>1</v>
      </c>
      <c r="J70" t="n">
        <v>0</v>
      </c>
      <c r="K70" t="n">
        <v>0</v>
      </c>
      <c r="L70" t="n">
        <v>0</v>
      </c>
      <c r="M70" t="n">
        <v>0</v>
      </c>
      <c r="N70" t="n">
        <v>0</v>
      </c>
      <c r="O70" t="n">
        <v>0</v>
      </c>
      <c r="P70" t="n">
        <v>0</v>
      </c>
      <c r="Q70" t="n">
        <v>1</v>
      </c>
      <c r="R70" s="2" t="inlineStr">
        <is>
          <t>Dropptaggsvamp</t>
        </is>
      </c>
      <c r="S70">
        <f>HYPERLINK("https://klasma.github.io/Logging_2034/artfynd/A 46179-2023 artfynd.xlsx", "A 46179-2023")</f>
        <v/>
      </c>
      <c r="T70">
        <f>HYPERLINK("https://klasma.github.io/Logging_2034/kartor/A 46179-2023 karta.png", "A 46179-2023")</f>
        <v/>
      </c>
      <c r="V70">
        <f>HYPERLINK("https://klasma.github.io/Logging_2034/klagomål/A 46179-2023 FSC-klagomål.docx", "A 46179-2023")</f>
        <v/>
      </c>
      <c r="W70">
        <f>HYPERLINK("https://klasma.github.io/Logging_2034/klagomålsmail/A 46179-2023 FSC-klagomål mail.docx", "A 46179-2023")</f>
        <v/>
      </c>
      <c r="X70">
        <f>HYPERLINK("https://klasma.github.io/Logging_2034/tillsyn/A 46179-2023 tillsynsbegäran.docx", "A 46179-2023")</f>
        <v/>
      </c>
      <c r="Y70">
        <f>HYPERLINK("https://klasma.github.io/Logging_2034/tillsynsmail/A 46179-2023 tillsynsbegäran mail.docx", "A 46179-2023")</f>
        <v/>
      </c>
    </row>
    <row r="71" ht="15" customHeight="1">
      <c r="A71" t="inlineStr">
        <is>
          <t>A 48452-2023</t>
        </is>
      </c>
      <c r="B71" s="1" t="n">
        <v>45206</v>
      </c>
      <c r="C71" s="1" t="n">
        <v>45796</v>
      </c>
      <c r="D71" t="inlineStr">
        <is>
          <t>DALARNAS LÄN</t>
        </is>
      </c>
      <c r="E71" t="inlineStr">
        <is>
          <t>ORSA</t>
        </is>
      </c>
      <c r="G71" t="n">
        <v>1.5</v>
      </c>
      <c r="H71" t="n">
        <v>0</v>
      </c>
      <c r="I71" t="n">
        <v>0</v>
      </c>
      <c r="J71" t="n">
        <v>1</v>
      </c>
      <c r="K71" t="n">
        <v>0</v>
      </c>
      <c r="L71" t="n">
        <v>0</v>
      </c>
      <c r="M71" t="n">
        <v>0</v>
      </c>
      <c r="N71" t="n">
        <v>0</v>
      </c>
      <c r="O71" t="n">
        <v>1</v>
      </c>
      <c r="P71" t="n">
        <v>0</v>
      </c>
      <c r="Q71" t="n">
        <v>1</v>
      </c>
      <c r="R71" s="2" t="inlineStr">
        <is>
          <t>Motaggsvamp</t>
        </is>
      </c>
      <c r="S71">
        <f>HYPERLINK("https://klasma.github.io/Logging_2034/artfynd/A 48452-2023 artfynd.xlsx", "A 48452-2023")</f>
        <v/>
      </c>
      <c r="T71">
        <f>HYPERLINK("https://klasma.github.io/Logging_2034/kartor/A 48452-2023 karta.png", "A 48452-2023")</f>
        <v/>
      </c>
      <c r="V71">
        <f>HYPERLINK("https://klasma.github.io/Logging_2034/klagomål/A 48452-2023 FSC-klagomål.docx", "A 48452-2023")</f>
        <v/>
      </c>
      <c r="W71">
        <f>HYPERLINK("https://klasma.github.io/Logging_2034/klagomålsmail/A 48452-2023 FSC-klagomål mail.docx", "A 48452-2023")</f>
        <v/>
      </c>
      <c r="X71">
        <f>HYPERLINK("https://klasma.github.io/Logging_2034/tillsyn/A 48452-2023 tillsynsbegäran.docx", "A 48452-2023")</f>
        <v/>
      </c>
      <c r="Y71">
        <f>HYPERLINK("https://klasma.github.io/Logging_2034/tillsynsmail/A 48452-2023 tillsynsbegäran mail.docx", "A 48452-2023")</f>
        <v/>
      </c>
    </row>
    <row r="72" ht="15" customHeight="1">
      <c r="A72" t="inlineStr">
        <is>
          <t>A 49515-2023</t>
        </is>
      </c>
      <c r="B72" s="1" t="n">
        <v>45211</v>
      </c>
      <c r="C72" s="1" t="n">
        <v>45796</v>
      </c>
      <c r="D72" t="inlineStr">
        <is>
          <t>DALARNAS LÄN</t>
        </is>
      </c>
      <c r="E72" t="inlineStr">
        <is>
          <t>ORSA</t>
        </is>
      </c>
      <c r="F72" t="inlineStr">
        <is>
          <t>Allmännings- och besparingsskogar</t>
        </is>
      </c>
      <c r="G72" t="n">
        <v>17.5</v>
      </c>
      <c r="H72" t="n">
        <v>0</v>
      </c>
      <c r="I72" t="n">
        <v>1</v>
      </c>
      <c r="J72" t="n">
        <v>0</v>
      </c>
      <c r="K72" t="n">
        <v>0</v>
      </c>
      <c r="L72" t="n">
        <v>0</v>
      </c>
      <c r="M72" t="n">
        <v>0</v>
      </c>
      <c r="N72" t="n">
        <v>0</v>
      </c>
      <c r="O72" t="n">
        <v>0</v>
      </c>
      <c r="P72" t="n">
        <v>0</v>
      </c>
      <c r="Q72" t="n">
        <v>1</v>
      </c>
      <c r="R72" s="2" t="inlineStr">
        <is>
          <t>Skarp dropptaggsvamp</t>
        </is>
      </c>
      <c r="S72">
        <f>HYPERLINK("https://klasma.github.io/Logging_2034/artfynd/A 49515-2023 artfynd.xlsx", "A 49515-2023")</f>
        <v/>
      </c>
      <c r="T72">
        <f>HYPERLINK("https://klasma.github.io/Logging_2034/kartor/A 49515-2023 karta.png", "A 49515-2023")</f>
        <v/>
      </c>
      <c r="V72">
        <f>HYPERLINK("https://klasma.github.io/Logging_2034/klagomål/A 49515-2023 FSC-klagomål.docx", "A 49515-2023")</f>
        <v/>
      </c>
      <c r="W72">
        <f>HYPERLINK("https://klasma.github.io/Logging_2034/klagomålsmail/A 49515-2023 FSC-klagomål mail.docx", "A 49515-2023")</f>
        <v/>
      </c>
      <c r="X72">
        <f>HYPERLINK("https://klasma.github.io/Logging_2034/tillsyn/A 49515-2023 tillsynsbegäran.docx", "A 49515-2023")</f>
        <v/>
      </c>
      <c r="Y72">
        <f>HYPERLINK("https://klasma.github.io/Logging_2034/tillsynsmail/A 49515-2023 tillsynsbegäran mail.docx", "A 49515-2023")</f>
        <v/>
      </c>
    </row>
    <row r="73" ht="15" customHeight="1">
      <c r="A73" t="inlineStr">
        <is>
          <t>A 30493-2024</t>
        </is>
      </c>
      <c r="B73" s="1" t="n">
        <v>45492</v>
      </c>
      <c r="C73" s="1" t="n">
        <v>45796</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26119-2019</t>
        </is>
      </c>
      <c r="B74" s="1" t="n">
        <v>43609</v>
      </c>
      <c r="C74" s="1" t="n">
        <v>45796</v>
      </c>
      <c r="D74" t="inlineStr">
        <is>
          <t>DALARNAS LÄN</t>
        </is>
      </c>
      <c r="E74" t="inlineStr">
        <is>
          <t>ORSA</t>
        </is>
      </c>
      <c r="F74" t="inlineStr">
        <is>
          <t>Allmännings- och besparingsskogar</t>
        </is>
      </c>
      <c r="G74" t="n">
        <v>4.7</v>
      </c>
      <c r="H74" t="n">
        <v>0</v>
      </c>
      <c r="I74" t="n">
        <v>0</v>
      </c>
      <c r="J74" t="n">
        <v>0</v>
      </c>
      <c r="K74" t="n">
        <v>0</v>
      </c>
      <c r="L74" t="n">
        <v>0</v>
      </c>
      <c r="M74" t="n">
        <v>0</v>
      </c>
      <c r="N74" t="n">
        <v>0</v>
      </c>
      <c r="O74" t="n">
        <v>0</v>
      </c>
      <c r="P74" t="n">
        <v>0</v>
      </c>
      <c r="Q74" t="n">
        <v>0</v>
      </c>
      <c r="R74" s="2" t="inlineStr"/>
    </row>
    <row r="75" ht="15" customHeight="1">
      <c r="A75" t="inlineStr">
        <is>
          <t>A 28464-2019</t>
        </is>
      </c>
      <c r="B75" s="1" t="n">
        <v>43626</v>
      </c>
      <c r="C75" s="1" t="n">
        <v>45796</v>
      </c>
      <c r="D75" t="inlineStr">
        <is>
          <t>DALARNAS LÄN</t>
        </is>
      </c>
      <c r="E75" t="inlineStr">
        <is>
          <t>ORSA</t>
        </is>
      </c>
      <c r="F75" t="inlineStr">
        <is>
          <t>Bergvik skog öst AB</t>
        </is>
      </c>
      <c r="G75" t="n">
        <v>0.8</v>
      </c>
      <c r="H75" t="n">
        <v>0</v>
      </c>
      <c r="I75" t="n">
        <v>0</v>
      </c>
      <c r="J75" t="n">
        <v>0</v>
      </c>
      <c r="K75" t="n">
        <v>0</v>
      </c>
      <c r="L75" t="n">
        <v>0</v>
      </c>
      <c r="M75" t="n">
        <v>0</v>
      </c>
      <c r="N75" t="n">
        <v>0</v>
      </c>
      <c r="O75" t="n">
        <v>0</v>
      </c>
      <c r="P75" t="n">
        <v>0</v>
      </c>
      <c r="Q75" t="n">
        <v>0</v>
      </c>
      <c r="R75" s="2" t="inlineStr"/>
    </row>
    <row r="76" ht="15" customHeight="1">
      <c r="A76" t="inlineStr">
        <is>
          <t>A 31099-2019</t>
        </is>
      </c>
      <c r="B76" s="1" t="n">
        <v>43640</v>
      </c>
      <c r="C76" s="1" t="n">
        <v>45796</v>
      </c>
      <c r="D76" t="inlineStr">
        <is>
          <t>DALARNAS LÄN</t>
        </is>
      </c>
      <c r="E76" t="inlineStr">
        <is>
          <t>ORSA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31956-2019</t>
        </is>
      </c>
      <c r="B77" s="1" t="n">
        <v>43643</v>
      </c>
      <c r="C77" s="1" t="n">
        <v>45796</v>
      </c>
      <c r="D77" t="inlineStr">
        <is>
          <t>DALARNAS LÄN</t>
        </is>
      </c>
      <c r="E77" t="inlineStr">
        <is>
          <t>ORSA</t>
        </is>
      </c>
      <c r="F77" t="inlineStr">
        <is>
          <t>Bergvik skog öst AB</t>
        </is>
      </c>
      <c r="G77" t="n">
        <v>1.3</v>
      </c>
      <c r="H77" t="n">
        <v>0</v>
      </c>
      <c r="I77" t="n">
        <v>0</v>
      </c>
      <c r="J77" t="n">
        <v>0</v>
      </c>
      <c r="K77" t="n">
        <v>0</v>
      </c>
      <c r="L77" t="n">
        <v>0</v>
      </c>
      <c r="M77" t="n">
        <v>0</v>
      </c>
      <c r="N77" t="n">
        <v>0</v>
      </c>
      <c r="O77" t="n">
        <v>0</v>
      </c>
      <c r="P77" t="n">
        <v>0</v>
      </c>
      <c r="Q77" t="n">
        <v>0</v>
      </c>
      <c r="R77" s="2" t="inlineStr"/>
    </row>
    <row r="78" ht="15" customHeight="1">
      <c r="A78" t="inlineStr">
        <is>
          <t>A 32933-2019</t>
        </is>
      </c>
      <c r="B78" s="1" t="n">
        <v>43648</v>
      </c>
      <c r="C78" s="1" t="n">
        <v>45796</v>
      </c>
      <c r="D78" t="inlineStr">
        <is>
          <t>DALARNAS LÄN</t>
        </is>
      </c>
      <c r="E78" t="inlineStr">
        <is>
          <t>ORSA</t>
        </is>
      </c>
      <c r="G78" t="n">
        <v>6.3</v>
      </c>
      <c r="H78" t="n">
        <v>0</v>
      </c>
      <c r="I78" t="n">
        <v>0</v>
      </c>
      <c r="J78" t="n">
        <v>0</v>
      </c>
      <c r="K78" t="n">
        <v>0</v>
      </c>
      <c r="L78" t="n">
        <v>0</v>
      </c>
      <c r="M78" t="n">
        <v>0</v>
      </c>
      <c r="N78" t="n">
        <v>0</v>
      </c>
      <c r="O78" t="n">
        <v>0</v>
      </c>
      <c r="P78" t="n">
        <v>0</v>
      </c>
      <c r="Q78" t="n">
        <v>0</v>
      </c>
      <c r="R78" s="2" t="inlineStr"/>
    </row>
    <row r="79" ht="15" customHeight="1">
      <c r="A79" t="inlineStr">
        <is>
          <t>A 34257-2019</t>
        </is>
      </c>
      <c r="B79" s="1" t="n">
        <v>43655</v>
      </c>
      <c r="C79" s="1" t="n">
        <v>45796</v>
      </c>
      <c r="D79" t="inlineStr">
        <is>
          <t>DALARNAS LÄN</t>
        </is>
      </c>
      <c r="E79" t="inlineStr">
        <is>
          <t>ORSA</t>
        </is>
      </c>
      <c r="G79" t="n">
        <v>2.9</v>
      </c>
      <c r="H79" t="n">
        <v>0</v>
      </c>
      <c r="I79" t="n">
        <v>0</v>
      </c>
      <c r="J79" t="n">
        <v>0</v>
      </c>
      <c r="K79" t="n">
        <v>0</v>
      </c>
      <c r="L79" t="n">
        <v>0</v>
      </c>
      <c r="M79" t="n">
        <v>0</v>
      </c>
      <c r="N79" t="n">
        <v>0</v>
      </c>
      <c r="O79" t="n">
        <v>0</v>
      </c>
      <c r="P79" t="n">
        <v>0</v>
      </c>
      <c r="Q79" t="n">
        <v>0</v>
      </c>
      <c r="R79" s="2" t="inlineStr"/>
    </row>
    <row r="80" ht="15" customHeight="1">
      <c r="A80" t="inlineStr">
        <is>
          <t>A 34521-2019</t>
        </is>
      </c>
      <c r="B80" s="1" t="n">
        <v>43657</v>
      </c>
      <c r="C80" s="1" t="n">
        <v>45796</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36274-2019</t>
        </is>
      </c>
      <c r="B81" s="1" t="n">
        <v>43661</v>
      </c>
      <c r="C81" s="1" t="n">
        <v>45796</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35663-2019</t>
        </is>
      </c>
      <c r="B82" s="1" t="n">
        <v>43664</v>
      </c>
      <c r="C82" s="1" t="n">
        <v>45796</v>
      </c>
      <c r="D82" t="inlineStr">
        <is>
          <t>DALARNAS LÄN</t>
        </is>
      </c>
      <c r="E82" t="inlineStr">
        <is>
          <t>ORSA</t>
        </is>
      </c>
      <c r="G82" t="n">
        <v>2.7</v>
      </c>
      <c r="H82" t="n">
        <v>0</v>
      </c>
      <c r="I82" t="n">
        <v>0</v>
      </c>
      <c r="J82" t="n">
        <v>0</v>
      </c>
      <c r="K82" t="n">
        <v>0</v>
      </c>
      <c r="L82" t="n">
        <v>0</v>
      </c>
      <c r="M82" t="n">
        <v>0</v>
      </c>
      <c r="N82" t="n">
        <v>0</v>
      </c>
      <c r="O82" t="n">
        <v>0</v>
      </c>
      <c r="P82" t="n">
        <v>0</v>
      </c>
      <c r="Q82" t="n">
        <v>0</v>
      </c>
      <c r="R82" s="2" t="inlineStr"/>
    </row>
    <row r="83" ht="15" customHeight="1">
      <c r="A83" t="inlineStr">
        <is>
          <t>A 36989-2019</t>
        </is>
      </c>
      <c r="B83" s="1" t="n">
        <v>43676</v>
      </c>
      <c r="C83" s="1" t="n">
        <v>45796</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37001-2019</t>
        </is>
      </c>
      <c r="B84" s="1" t="n">
        <v>43676</v>
      </c>
      <c r="C84" s="1" t="n">
        <v>45796</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37809-2019</t>
        </is>
      </c>
      <c r="B85" s="1" t="n">
        <v>43682</v>
      </c>
      <c r="C85" s="1" t="n">
        <v>45796</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38858-2019</t>
        </is>
      </c>
      <c r="B86" s="1" t="n">
        <v>43689</v>
      </c>
      <c r="C86" s="1" t="n">
        <v>45796</v>
      </c>
      <c r="D86" t="inlineStr">
        <is>
          <t>DALARNAS LÄN</t>
        </is>
      </c>
      <c r="E86" t="inlineStr">
        <is>
          <t>ORSA</t>
        </is>
      </c>
      <c r="G86" t="n">
        <v>2.1</v>
      </c>
      <c r="H86" t="n">
        <v>0</v>
      </c>
      <c r="I86" t="n">
        <v>0</v>
      </c>
      <c r="J86" t="n">
        <v>0</v>
      </c>
      <c r="K86" t="n">
        <v>0</v>
      </c>
      <c r="L86" t="n">
        <v>0</v>
      </c>
      <c r="M86" t="n">
        <v>0</v>
      </c>
      <c r="N86" t="n">
        <v>0</v>
      </c>
      <c r="O86" t="n">
        <v>0</v>
      </c>
      <c r="P86" t="n">
        <v>0</v>
      </c>
      <c r="Q86" t="n">
        <v>0</v>
      </c>
      <c r="R86" s="2" t="inlineStr"/>
    </row>
    <row r="87" ht="15" customHeight="1">
      <c r="A87" t="inlineStr">
        <is>
          <t>A 38857-2019</t>
        </is>
      </c>
      <c r="B87" s="1" t="n">
        <v>43689</v>
      </c>
      <c r="C87" s="1" t="n">
        <v>45796</v>
      </c>
      <c r="D87" t="inlineStr">
        <is>
          <t>DALARNAS LÄN</t>
        </is>
      </c>
      <c r="E87" t="inlineStr">
        <is>
          <t>ORSA</t>
        </is>
      </c>
      <c r="G87" t="n">
        <v>1.7</v>
      </c>
      <c r="H87" t="n">
        <v>0</v>
      </c>
      <c r="I87" t="n">
        <v>0</v>
      </c>
      <c r="J87" t="n">
        <v>0</v>
      </c>
      <c r="K87" t="n">
        <v>0</v>
      </c>
      <c r="L87" t="n">
        <v>0</v>
      </c>
      <c r="M87" t="n">
        <v>0</v>
      </c>
      <c r="N87" t="n">
        <v>0</v>
      </c>
      <c r="O87" t="n">
        <v>0</v>
      </c>
      <c r="P87" t="n">
        <v>0</v>
      </c>
      <c r="Q87" t="n">
        <v>0</v>
      </c>
      <c r="R87" s="2" t="inlineStr"/>
    </row>
    <row r="88" ht="15" customHeight="1">
      <c r="A88" t="inlineStr">
        <is>
          <t>A 43403-2019</t>
        </is>
      </c>
      <c r="B88" s="1" t="n">
        <v>43706</v>
      </c>
      <c r="C88" s="1" t="n">
        <v>45796</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45996-2019</t>
        </is>
      </c>
      <c r="B89" s="1" t="n">
        <v>43713</v>
      </c>
      <c r="C89" s="1" t="n">
        <v>45796</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45612-2019</t>
        </is>
      </c>
      <c r="B90" s="1" t="n">
        <v>43717</v>
      </c>
      <c r="C90" s="1" t="n">
        <v>45796</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49953-2019</t>
        </is>
      </c>
      <c r="B91" s="1" t="n">
        <v>43733</v>
      </c>
      <c r="C91" s="1" t="n">
        <v>45796</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50528-2019</t>
        </is>
      </c>
      <c r="B92" s="1" t="n">
        <v>43735</v>
      </c>
      <c r="C92" s="1" t="n">
        <v>45796</v>
      </c>
      <c r="D92" t="inlineStr">
        <is>
          <t>DALARNAS LÄN</t>
        </is>
      </c>
      <c r="E92" t="inlineStr">
        <is>
          <t>ORSA</t>
        </is>
      </c>
      <c r="F92" t="inlineStr">
        <is>
          <t>Kyrkan</t>
        </is>
      </c>
      <c r="G92" t="n">
        <v>4.2</v>
      </c>
      <c r="H92" t="n">
        <v>0</v>
      </c>
      <c r="I92" t="n">
        <v>0</v>
      </c>
      <c r="J92" t="n">
        <v>0</v>
      </c>
      <c r="K92" t="n">
        <v>0</v>
      </c>
      <c r="L92" t="n">
        <v>0</v>
      </c>
      <c r="M92" t="n">
        <v>0</v>
      </c>
      <c r="N92" t="n">
        <v>0</v>
      </c>
      <c r="O92" t="n">
        <v>0</v>
      </c>
      <c r="P92" t="n">
        <v>0</v>
      </c>
      <c r="Q92" t="n">
        <v>0</v>
      </c>
      <c r="R92" s="2" t="inlineStr"/>
    </row>
    <row r="93" ht="15" customHeight="1">
      <c r="A93" t="inlineStr">
        <is>
          <t>A 50934-2019</t>
        </is>
      </c>
      <c r="B93" s="1" t="n">
        <v>43738</v>
      </c>
      <c r="C93" s="1" t="n">
        <v>45796</v>
      </c>
      <c r="D93" t="inlineStr">
        <is>
          <t>DALARNAS LÄN</t>
        </is>
      </c>
      <c r="E93" t="inlineStr">
        <is>
          <t>ORSA</t>
        </is>
      </c>
      <c r="F93" t="inlineStr">
        <is>
          <t>Allmännings- och besparingsskogar</t>
        </is>
      </c>
      <c r="G93" t="n">
        <v>11.4</v>
      </c>
      <c r="H93" t="n">
        <v>0</v>
      </c>
      <c r="I93" t="n">
        <v>0</v>
      </c>
      <c r="J93" t="n">
        <v>0</v>
      </c>
      <c r="K93" t="n">
        <v>0</v>
      </c>
      <c r="L93" t="n">
        <v>0</v>
      </c>
      <c r="M93" t="n">
        <v>0</v>
      </c>
      <c r="N93" t="n">
        <v>0</v>
      </c>
      <c r="O93" t="n">
        <v>0</v>
      </c>
      <c r="P93" t="n">
        <v>0</v>
      </c>
      <c r="Q93" t="n">
        <v>0</v>
      </c>
      <c r="R93" s="2" t="inlineStr"/>
    </row>
    <row r="94" ht="15" customHeight="1">
      <c r="A94" t="inlineStr">
        <is>
          <t>A 55522-2019</t>
        </is>
      </c>
      <c r="B94" s="1" t="n">
        <v>43759</v>
      </c>
      <c r="C94" s="1" t="n">
        <v>45796</v>
      </c>
      <c r="D94" t="inlineStr">
        <is>
          <t>DALARNAS LÄN</t>
        </is>
      </c>
      <c r="E94" t="inlineStr">
        <is>
          <t>ORSA</t>
        </is>
      </c>
      <c r="G94" t="n">
        <v>8.1</v>
      </c>
      <c r="H94" t="n">
        <v>0</v>
      </c>
      <c r="I94" t="n">
        <v>0</v>
      </c>
      <c r="J94" t="n">
        <v>0</v>
      </c>
      <c r="K94" t="n">
        <v>0</v>
      </c>
      <c r="L94" t="n">
        <v>0</v>
      </c>
      <c r="M94" t="n">
        <v>0</v>
      </c>
      <c r="N94" t="n">
        <v>0</v>
      </c>
      <c r="O94" t="n">
        <v>0</v>
      </c>
      <c r="P94" t="n">
        <v>0</v>
      </c>
      <c r="Q94" t="n">
        <v>0</v>
      </c>
      <c r="R94" s="2" t="inlineStr"/>
    </row>
    <row r="95" ht="15" customHeight="1">
      <c r="A95" t="inlineStr">
        <is>
          <t>A 56862-2019</t>
        </is>
      </c>
      <c r="B95" s="1" t="n">
        <v>43765</v>
      </c>
      <c r="C95" s="1" t="n">
        <v>45796</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59007-2019</t>
        </is>
      </c>
      <c r="B96" s="1" t="n">
        <v>43774</v>
      </c>
      <c r="C96" s="1" t="n">
        <v>45796</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64389-2019</t>
        </is>
      </c>
      <c r="B97" s="1" t="n">
        <v>43797</v>
      </c>
      <c r="C97" s="1" t="n">
        <v>45796</v>
      </c>
      <c r="D97" t="inlineStr">
        <is>
          <t>DALARNAS LÄN</t>
        </is>
      </c>
      <c r="E97" t="inlineStr">
        <is>
          <t>ORSA</t>
        </is>
      </c>
      <c r="G97" t="n">
        <v>0.3</v>
      </c>
      <c r="H97" t="n">
        <v>0</v>
      </c>
      <c r="I97" t="n">
        <v>0</v>
      </c>
      <c r="J97" t="n">
        <v>0</v>
      </c>
      <c r="K97" t="n">
        <v>0</v>
      </c>
      <c r="L97" t="n">
        <v>0</v>
      </c>
      <c r="M97" t="n">
        <v>0</v>
      </c>
      <c r="N97" t="n">
        <v>0</v>
      </c>
      <c r="O97" t="n">
        <v>0</v>
      </c>
      <c r="P97" t="n">
        <v>0</v>
      </c>
      <c r="Q97" t="n">
        <v>0</v>
      </c>
      <c r="R97" s="2" t="inlineStr"/>
    </row>
    <row r="98" ht="15" customHeight="1">
      <c r="A98" t="inlineStr">
        <is>
          <t>A 65252-2019</t>
        </is>
      </c>
      <c r="B98" s="1" t="n">
        <v>43797</v>
      </c>
      <c r="C98" s="1" t="n">
        <v>45796</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67884-2019</t>
        </is>
      </c>
      <c r="B99" s="1" t="n">
        <v>43810</v>
      </c>
      <c r="C99" s="1" t="n">
        <v>45796</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66862-2019</t>
        </is>
      </c>
      <c r="B100" s="1" t="n">
        <v>43810</v>
      </c>
      <c r="C100" s="1" t="n">
        <v>45796</v>
      </c>
      <c r="D100" t="inlineStr">
        <is>
          <t>DALARNAS LÄN</t>
        </is>
      </c>
      <c r="E100" t="inlineStr">
        <is>
          <t>ORSA</t>
        </is>
      </c>
      <c r="G100" t="n">
        <v>2.4</v>
      </c>
      <c r="H100" t="n">
        <v>0</v>
      </c>
      <c r="I100" t="n">
        <v>0</v>
      </c>
      <c r="J100" t="n">
        <v>0</v>
      </c>
      <c r="K100" t="n">
        <v>0</v>
      </c>
      <c r="L100" t="n">
        <v>0</v>
      </c>
      <c r="M100" t="n">
        <v>0</v>
      </c>
      <c r="N100" t="n">
        <v>0</v>
      </c>
      <c r="O100" t="n">
        <v>0</v>
      </c>
      <c r="P100" t="n">
        <v>0</v>
      </c>
      <c r="Q100" t="n">
        <v>0</v>
      </c>
      <c r="R100" s="2" t="inlineStr"/>
    </row>
    <row r="101" ht="15" customHeight="1">
      <c r="A101" t="inlineStr">
        <is>
          <t>A 67295-2019</t>
        </is>
      </c>
      <c r="B101" s="1" t="n">
        <v>43811</v>
      </c>
      <c r="C101" s="1" t="n">
        <v>45796</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67878-2019</t>
        </is>
      </c>
      <c r="B102" s="1" t="n">
        <v>43816</v>
      </c>
      <c r="C102" s="1" t="n">
        <v>45796</v>
      </c>
      <c r="D102" t="inlineStr">
        <is>
          <t>DALARNAS LÄN</t>
        </is>
      </c>
      <c r="E102" t="inlineStr">
        <is>
          <t>ORSA</t>
        </is>
      </c>
      <c r="G102" t="n">
        <v>2.7</v>
      </c>
      <c r="H102" t="n">
        <v>0</v>
      </c>
      <c r="I102" t="n">
        <v>0</v>
      </c>
      <c r="J102" t="n">
        <v>0</v>
      </c>
      <c r="K102" t="n">
        <v>0</v>
      </c>
      <c r="L102" t="n">
        <v>0</v>
      </c>
      <c r="M102" t="n">
        <v>0</v>
      </c>
      <c r="N102" t="n">
        <v>0</v>
      </c>
      <c r="O102" t="n">
        <v>0</v>
      </c>
      <c r="P102" t="n">
        <v>0</v>
      </c>
      <c r="Q102" t="n">
        <v>0</v>
      </c>
      <c r="R102" s="2" t="inlineStr"/>
    </row>
    <row r="103" ht="15" customHeight="1">
      <c r="A103" t="inlineStr">
        <is>
          <t>A 68558-2019</t>
        </is>
      </c>
      <c r="B103" s="1" t="n">
        <v>43818</v>
      </c>
      <c r="C103" s="1" t="n">
        <v>45796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68376-2019</t>
        </is>
      </c>
      <c r="B104" s="1" t="n">
        <v>43818</v>
      </c>
      <c r="C104" s="1" t="n">
        <v>45796</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1829-2020</t>
        </is>
      </c>
      <c r="B105" s="1" t="n">
        <v>43844</v>
      </c>
      <c r="C105" s="1" t="n">
        <v>45796</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3337-2020</t>
        </is>
      </c>
      <c r="B106" s="1" t="n">
        <v>43845</v>
      </c>
      <c r="C106" s="1" t="n">
        <v>45796</v>
      </c>
      <c r="D106" t="inlineStr">
        <is>
          <t>DALARNAS LÄN</t>
        </is>
      </c>
      <c r="E106" t="inlineStr">
        <is>
          <t>ORSA</t>
        </is>
      </c>
      <c r="G106" t="n">
        <v>1.3</v>
      </c>
      <c r="H106" t="n">
        <v>0</v>
      </c>
      <c r="I106" t="n">
        <v>0</v>
      </c>
      <c r="J106" t="n">
        <v>0</v>
      </c>
      <c r="K106" t="n">
        <v>0</v>
      </c>
      <c r="L106" t="n">
        <v>0</v>
      </c>
      <c r="M106" t="n">
        <v>0</v>
      </c>
      <c r="N106" t="n">
        <v>0</v>
      </c>
      <c r="O106" t="n">
        <v>0</v>
      </c>
      <c r="P106" t="n">
        <v>0</v>
      </c>
      <c r="Q106" t="n">
        <v>0</v>
      </c>
      <c r="R106" s="2" t="inlineStr"/>
    </row>
    <row r="107" ht="15" customHeight="1">
      <c r="A107" t="inlineStr">
        <is>
          <t>A 2166-2020</t>
        </is>
      </c>
      <c r="B107" s="1" t="n">
        <v>43846</v>
      </c>
      <c r="C107" s="1" t="n">
        <v>45796</v>
      </c>
      <c r="D107" t="inlineStr">
        <is>
          <t>DALARNAS LÄN</t>
        </is>
      </c>
      <c r="E107" t="inlineStr">
        <is>
          <t>ORSA</t>
        </is>
      </c>
      <c r="G107" t="n">
        <v>11.2</v>
      </c>
      <c r="H107" t="n">
        <v>0</v>
      </c>
      <c r="I107" t="n">
        <v>0</v>
      </c>
      <c r="J107" t="n">
        <v>0</v>
      </c>
      <c r="K107" t="n">
        <v>0</v>
      </c>
      <c r="L107" t="n">
        <v>0</v>
      </c>
      <c r="M107" t="n">
        <v>0</v>
      </c>
      <c r="N107" t="n">
        <v>0</v>
      </c>
      <c r="O107" t="n">
        <v>0</v>
      </c>
      <c r="P107" t="n">
        <v>0</v>
      </c>
      <c r="Q107" t="n">
        <v>0</v>
      </c>
      <c r="R107" s="2" t="inlineStr"/>
    </row>
    <row r="108" ht="15" customHeight="1">
      <c r="A108" t="inlineStr">
        <is>
          <t>A 6597-2020</t>
        </is>
      </c>
      <c r="B108" s="1" t="n">
        <v>43865</v>
      </c>
      <c r="C108" s="1" t="n">
        <v>45796</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7249-2020</t>
        </is>
      </c>
      <c r="B109" s="1" t="n">
        <v>43871</v>
      </c>
      <c r="C109" s="1" t="n">
        <v>45796</v>
      </c>
      <c r="D109" t="inlineStr">
        <is>
          <t>DALARNAS LÄN</t>
        </is>
      </c>
      <c r="E109" t="inlineStr">
        <is>
          <t>ORSA</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14947-2020</t>
        </is>
      </c>
      <c r="B110" s="1" t="n">
        <v>43906</v>
      </c>
      <c r="C110" s="1" t="n">
        <v>45796</v>
      </c>
      <c r="D110" t="inlineStr">
        <is>
          <t>DALARNAS LÄN</t>
        </is>
      </c>
      <c r="E110" t="inlineStr">
        <is>
          <t>ORSA</t>
        </is>
      </c>
      <c r="F110" t="inlineStr">
        <is>
          <t>Allmännings- och besparingsskogar</t>
        </is>
      </c>
      <c r="G110" t="n">
        <v>26.8</v>
      </c>
      <c r="H110" t="n">
        <v>0</v>
      </c>
      <c r="I110" t="n">
        <v>0</v>
      </c>
      <c r="J110" t="n">
        <v>0</v>
      </c>
      <c r="K110" t="n">
        <v>0</v>
      </c>
      <c r="L110" t="n">
        <v>0</v>
      </c>
      <c r="M110" t="n">
        <v>0</v>
      </c>
      <c r="N110" t="n">
        <v>0</v>
      </c>
      <c r="O110" t="n">
        <v>0</v>
      </c>
      <c r="P110" t="n">
        <v>0</v>
      </c>
      <c r="Q110" t="n">
        <v>0</v>
      </c>
      <c r="R110" s="2" t="inlineStr"/>
    </row>
    <row r="111" ht="15" customHeight="1">
      <c r="A111" t="inlineStr">
        <is>
          <t>A 14682-2020</t>
        </is>
      </c>
      <c r="B111" s="1" t="n">
        <v>43909</v>
      </c>
      <c r="C111" s="1" t="n">
        <v>45796</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17406-2020</t>
        </is>
      </c>
      <c r="B112" s="1" t="n">
        <v>43923</v>
      </c>
      <c r="C112" s="1" t="n">
        <v>45796</v>
      </c>
      <c r="D112" t="inlineStr">
        <is>
          <t>DALARNAS LÄN</t>
        </is>
      </c>
      <c r="E112" t="inlineStr">
        <is>
          <t>ORSA</t>
        </is>
      </c>
      <c r="F112" t="inlineStr">
        <is>
          <t>Allmännings- och besparingsskogar</t>
        </is>
      </c>
      <c r="G112" t="n">
        <v>89.8</v>
      </c>
      <c r="H112" t="n">
        <v>0</v>
      </c>
      <c r="I112" t="n">
        <v>0</v>
      </c>
      <c r="J112" t="n">
        <v>0</v>
      </c>
      <c r="K112" t="n">
        <v>0</v>
      </c>
      <c r="L112" t="n">
        <v>0</v>
      </c>
      <c r="M112" t="n">
        <v>0</v>
      </c>
      <c r="N112" t="n">
        <v>0</v>
      </c>
      <c r="O112" t="n">
        <v>0</v>
      </c>
      <c r="P112" t="n">
        <v>0</v>
      </c>
      <c r="Q112" t="n">
        <v>0</v>
      </c>
      <c r="R112" s="2" t="inlineStr"/>
    </row>
    <row r="113" ht="15" customHeight="1">
      <c r="A113" t="inlineStr">
        <is>
          <t>A 19208-2020</t>
        </is>
      </c>
      <c r="B113" s="1" t="n">
        <v>43937</v>
      </c>
      <c r="C113" s="1" t="n">
        <v>45796</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19404-2020</t>
        </is>
      </c>
      <c r="B114" s="1" t="n">
        <v>43938</v>
      </c>
      <c r="C114" s="1" t="n">
        <v>45796</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20590-2020</t>
        </is>
      </c>
      <c r="B115" s="1" t="n">
        <v>43948</v>
      </c>
      <c r="C115" s="1" t="n">
        <v>45796</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21057-2020</t>
        </is>
      </c>
      <c r="B116" s="1" t="n">
        <v>43951</v>
      </c>
      <c r="C116" s="1" t="n">
        <v>45796</v>
      </c>
      <c r="D116" t="inlineStr">
        <is>
          <t>DALARNAS LÄN</t>
        </is>
      </c>
      <c r="E116" t="inlineStr">
        <is>
          <t>ORSA</t>
        </is>
      </c>
      <c r="G116" t="n">
        <v>2.2</v>
      </c>
      <c r="H116" t="n">
        <v>0</v>
      </c>
      <c r="I116" t="n">
        <v>0</v>
      </c>
      <c r="J116" t="n">
        <v>0</v>
      </c>
      <c r="K116" t="n">
        <v>0</v>
      </c>
      <c r="L116" t="n">
        <v>0</v>
      </c>
      <c r="M116" t="n">
        <v>0</v>
      </c>
      <c r="N116" t="n">
        <v>0</v>
      </c>
      <c r="O116" t="n">
        <v>0</v>
      </c>
      <c r="P116" t="n">
        <v>0</v>
      </c>
      <c r="Q116" t="n">
        <v>0</v>
      </c>
      <c r="R116" s="2" t="inlineStr"/>
    </row>
    <row r="117" ht="15" customHeight="1">
      <c r="A117" t="inlineStr">
        <is>
          <t>A 22785-2020</t>
        </is>
      </c>
      <c r="B117" s="1" t="n">
        <v>43964</v>
      </c>
      <c r="C117" s="1" t="n">
        <v>45796</v>
      </c>
      <c r="D117" t="inlineStr">
        <is>
          <t>DALARNAS LÄN</t>
        </is>
      </c>
      <c r="E117" t="inlineStr">
        <is>
          <t>ORSA</t>
        </is>
      </c>
      <c r="F117" t="inlineStr">
        <is>
          <t>Bergvik skog öst AB</t>
        </is>
      </c>
      <c r="G117" t="n">
        <v>1</v>
      </c>
      <c r="H117" t="n">
        <v>0</v>
      </c>
      <c r="I117" t="n">
        <v>0</v>
      </c>
      <c r="J117" t="n">
        <v>0</v>
      </c>
      <c r="K117" t="n">
        <v>0</v>
      </c>
      <c r="L117" t="n">
        <v>0</v>
      </c>
      <c r="M117" t="n">
        <v>0</v>
      </c>
      <c r="N117" t="n">
        <v>0</v>
      </c>
      <c r="O117" t="n">
        <v>0</v>
      </c>
      <c r="P117" t="n">
        <v>0</v>
      </c>
      <c r="Q117" t="n">
        <v>0</v>
      </c>
      <c r="R117" s="2" t="inlineStr"/>
    </row>
    <row r="118" ht="15" customHeight="1">
      <c r="A118" t="inlineStr">
        <is>
          <t>A 23746-2020</t>
        </is>
      </c>
      <c r="B118" s="1" t="n">
        <v>43970</v>
      </c>
      <c r="C118" s="1" t="n">
        <v>45796</v>
      </c>
      <c r="D118" t="inlineStr">
        <is>
          <t>DALARNAS LÄN</t>
        </is>
      </c>
      <c r="E118" t="inlineStr">
        <is>
          <t>ORSA</t>
        </is>
      </c>
      <c r="F118" t="inlineStr">
        <is>
          <t>Allmännings- och besparingsskogar</t>
        </is>
      </c>
      <c r="G118" t="n">
        <v>13.9</v>
      </c>
      <c r="H118" t="n">
        <v>0</v>
      </c>
      <c r="I118" t="n">
        <v>0</v>
      </c>
      <c r="J118" t="n">
        <v>0</v>
      </c>
      <c r="K118" t="n">
        <v>0</v>
      </c>
      <c r="L118" t="n">
        <v>0</v>
      </c>
      <c r="M118" t="n">
        <v>0</v>
      </c>
      <c r="N118" t="n">
        <v>0</v>
      </c>
      <c r="O118" t="n">
        <v>0</v>
      </c>
      <c r="P118" t="n">
        <v>0</v>
      </c>
      <c r="Q118" t="n">
        <v>0</v>
      </c>
      <c r="R118" s="2" t="inlineStr"/>
    </row>
    <row r="119" ht="15" customHeight="1">
      <c r="A119" t="inlineStr">
        <is>
          <t>A 23766-2020</t>
        </is>
      </c>
      <c r="B119" s="1" t="n">
        <v>43970</v>
      </c>
      <c r="C119" s="1" t="n">
        <v>45796</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25664-2020</t>
        </is>
      </c>
      <c r="B120" s="1" t="n">
        <v>43983</v>
      </c>
      <c r="C120" s="1" t="n">
        <v>45796</v>
      </c>
      <c r="D120" t="inlineStr">
        <is>
          <t>DALARNAS LÄN</t>
        </is>
      </c>
      <c r="E120" t="inlineStr">
        <is>
          <t>ORSA</t>
        </is>
      </c>
      <c r="G120" t="n">
        <v>5.3</v>
      </c>
      <c r="H120" t="n">
        <v>0</v>
      </c>
      <c r="I120" t="n">
        <v>0</v>
      </c>
      <c r="J120" t="n">
        <v>0</v>
      </c>
      <c r="K120" t="n">
        <v>0</v>
      </c>
      <c r="L120" t="n">
        <v>0</v>
      </c>
      <c r="M120" t="n">
        <v>0</v>
      </c>
      <c r="N120" t="n">
        <v>0</v>
      </c>
      <c r="O120" t="n">
        <v>0</v>
      </c>
      <c r="P120" t="n">
        <v>0</v>
      </c>
      <c r="Q120" t="n">
        <v>0</v>
      </c>
      <c r="R120" s="2" t="inlineStr"/>
    </row>
    <row r="121" ht="15" customHeight="1">
      <c r="A121" t="inlineStr">
        <is>
          <t>A 27436-2020</t>
        </is>
      </c>
      <c r="B121" s="1" t="n">
        <v>43993</v>
      </c>
      <c r="C121" s="1" t="n">
        <v>45796</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27945-2020</t>
        </is>
      </c>
      <c r="B122" s="1" t="n">
        <v>43997</v>
      </c>
      <c r="C122" s="1" t="n">
        <v>45796</v>
      </c>
      <c r="D122" t="inlineStr">
        <is>
          <t>DALARNAS LÄN</t>
        </is>
      </c>
      <c r="E122" t="inlineStr">
        <is>
          <t>ORSA</t>
        </is>
      </c>
      <c r="F122" t="inlineStr">
        <is>
          <t>Bergvik skog öst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30153-2020</t>
        </is>
      </c>
      <c r="B123" s="1" t="n">
        <v>44007</v>
      </c>
      <c r="C123" s="1" t="n">
        <v>45796</v>
      </c>
      <c r="D123" t="inlineStr">
        <is>
          <t>DALARNAS LÄN</t>
        </is>
      </c>
      <c r="E123" t="inlineStr">
        <is>
          <t>ORSA</t>
        </is>
      </c>
      <c r="G123" t="n">
        <v>0.2</v>
      </c>
      <c r="H123" t="n">
        <v>0</v>
      </c>
      <c r="I123" t="n">
        <v>0</v>
      </c>
      <c r="J123" t="n">
        <v>0</v>
      </c>
      <c r="K123" t="n">
        <v>0</v>
      </c>
      <c r="L123" t="n">
        <v>0</v>
      </c>
      <c r="M123" t="n">
        <v>0</v>
      </c>
      <c r="N123" t="n">
        <v>0</v>
      </c>
      <c r="O123" t="n">
        <v>0</v>
      </c>
      <c r="P123" t="n">
        <v>0</v>
      </c>
      <c r="Q123" t="n">
        <v>0</v>
      </c>
      <c r="R123" s="2" t="inlineStr"/>
    </row>
    <row r="124" ht="15" customHeight="1">
      <c r="A124" t="inlineStr">
        <is>
          <t>A 30149-2020</t>
        </is>
      </c>
      <c r="B124" s="1" t="n">
        <v>44007</v>
      </c>
      <c r="C124" s="1" t="n">
        <v>45796</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30672-2020</t>
        </is>
      </c>
      <c r="B125" s="1" t="n">
        <v>44008</v>
      </c>
      <c r="C125" s="1" t="n">
        <v>45796</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32096-2020</t>
        </is>
      </c>
      <c r="B126" s="1" t="n">
        <v>44015</v>
      </c>
      <c r="C126" s="1" t="n">
        <v>45796</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32628-2020</t>
        </is>
      </c>
      <c r="B127" s="1" t="n">
        <v>44019</v>
      </c>
      <c r="C127" s="1" t="n">
        <v>45796</v>
      </c>
      <c r="D127" t="inlineStr">
        <is>
          <t>DALARNAS LÄN</t>
        </is>
      </c>
      <c r="E127" t="inlineStr">
        <is>
          <t>ORSA</t>
        </is>
      </c>
      <c r="F127" t="inlineStr">
        <is>
          <t>Bergvik skog öst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34544-2020</t>
        </is>
      </c>
      <c r="B128" s="1" t="n">
        <v>44032</v>
      </c>
      <c r="C128" s="1" t="n">
        <v>45796</v>
      </c>
      <c r="D128" t="inlineStr">
        <is>
          <t>DALARNAS LÄN</t>
        </is>
      </c>
      <c r="E128" t="inlineStr">
        <is>
          <t>ORSA</t>
        </is>
      </c>
      <c r="G128" t="n">
        <v>3.2</v>
      </c>
      <c r="H128" t="n">
        <v>0</v>
      </c>
      <c r="I128" t="n">
        <v>0</v>
      </c>
      <c r="J128" t="n">
        <v>0</v>
      </c>
      <c r="K128" t="n">
        <v>0</v>
      </c>
      <c r="L128" t="n">
        <v>0</v>
      </c>
      <c r="M128" t="n">
        <v>0</v>
      </c>
      <c r="N128" t="n">
        <v>0</v>
      </c>
      <c r="O128" t="n">
        <v>0</v>
      </c>
      <c r="P128" t="n">
        <v>0</v>
      </c>
      <c r="Q128" t="n">
        <v>0</v>
      </c>
      <c r="R128" s="2" t="inlineStr"/>
    </row>
    <row r="129" ht="15" customHeight="1">
      <c r="A129" t="inlineStr">
        <is>
          <t>A 34986-2020</t>
        </is>
      </c>
      <c r="B129" s="1" t="n">
        <v>44039</v>
      </c>
      <c r="C129" s="1" t="n">
        <v>45796</v>
      </c>
      <c r="D129" t="inlineStr">
        <is>
          <t>DALARNAS LÄN</t>
        </is>
      </c>
      <c r="E129" t="inlineStr">
        <is>
          <t>ORSA</t>
        </is>
      </c>
      <c r="F129" t="inlineStr">
        <is>
          <t>Bergvik skog öst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36822-2020</t>
        </is>
      </c>
      <c r="B130" s="1" t="n">
        <v>44053</v>
      </c>
      <c r="C130" s="1" t="n">
        <v>45796</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36919-2020</t>
        </is>
      </c>
      <c r="B131" s="1" t="n">
        <v>44053</v>
      </c>
      <c r="C131" s="1" t="n">
        <v>45796</v>
      </c>
      <c r="D131" t="inlineStr">
        <is>
          <t>DALARNAS LÄN</t>
        </is>
      </c>
      <c r="E131" t="inlineStr">
        <is>
          <t>ORSA</t>
        </is>
      </c>
      <c r="F131" t="inlineStr">
        <is>
          <t>Bergvik skog öst AB</t>
        </is>
      </c>
      <c r="G131" t="n">
        <v>1.6</v>
      </c>
      <c r="H131" t="n">
        <v>0</v>
      </c>
      <c r="I131" t="n">
        <v>0</v>
      </c>
      <c r="J131" t="n">
        <v>0</v>
      </c>
      <c r="K131" t="n">
        <v>0</v>
      </c>
      <c r="L131" t="n">
        <v>0</v>
      </c>
      <c r="M131" t="n">
        <v>0</v>
      </c>
      <c r="N131" t="n">
        <v>0</v>
      </c>
      <c r="O131" t="n">
        <v>0</v>
      </c>
      <c r="P131" t="n">
        <v>0</v>
      </c>
      <c r="Q131" t="n">
        <v>0</v>
      </c>
      <c r="R131" s="2" t="inlineStr"/>
    </row>
    <row r="132" ht="15" customHeight="1">
      <c r="A132" t="inlineStr">
        <is>
          <t>A 39969-2020</t>
        </is>
      </c>
      <c r="B132" s="1" t="n">
        <v>44067</v>
      </c>
      <c r="C132" s="1" t="n">
        <v>45796</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41079-2020</t>
        </is>
      </c>
      <c r="B133" s="1" t="n">
        <v>44071</v>
      </c>
      <c r="C133" s="1" t="n">
        <v>45796</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48954-2020</t>
        </is>
      </c>
      <c r="B134" s="1" t="n">
        <v>44102</v>
      </c>
      <c r="C134" s="1" t="n">
        <v>45796</v>
      </c>
      <c r="D134" t="inlineStr">
        <is>
          <t>DALARNAS LÄN</t>
        </is>
      </c>
      <c r="E134" t="inlineStr">
        <is>
          <t>ORSA</t>
        </is>
      </c>
      <c r="G134" t="n">
        <v>2.7</v>
      </c>
      <c r="H134" t="n">
        <v>0</v>
      </c>
      <c r="I134" t="n">
        <v>0</v>
      </c>
      <c r="J134" t="n">
        <v>0</v>
      </c>
      <c r="K134" t="n">
        <v>0</v>
      </c>
      <c r="L134" t="n">
        <v>0</v>
      </c>
      <c r="M134" t="n">
        <v>0</v>
      </c>
      <c r="N134" t="n">
        <v>0</v>
      </c>
      <c r="O134" t="n">
        <v>0</v>
      </c>
      <c r="P134" t="n">
        <v>0</v>
      </c>
      <c r="Q134" t="n">
        <v>0</v>
      </c>
      <c r="R134" s="2" t="inlineStr"/>
    </row>
    <row r="135" ht="15" customHeight="1">
      <c r="A135" t="inlineStr">
        <is>
          <t>A 48956-2020</t>
        </is>
      </c>
      <c r="B135" s="1" t="n">
        <v>44102</v>
      </c>
      <c r="C135" s="1" t="n">
        <v>45796</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51094-2020</t>
        </is>
      </c>
      <c r="B136" s="1" t="n">
        <v>44112</v>
      </c>
      <c r="C136" s="1" t="n">
        <v>45796</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52495-2020</t>
        </is>
      </c>
      <c r="B137" s="1" t="n">
        <v>44116</v>
      </c>
      <c r="C137" s="1" t="n">
        <v>45796</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55447-2020</t>
        </is>
      </c>
      <c r="B138" s="1" t="n">
        <v>44131</v>
      </c>
      <c r="C138" s="1" t="n">
        <v>45796</v>
      </c>
      <c r="D138" t="inlineStr">
        <is>
          <t>DALARNAS LÄN</t>
        </is>
      </c>
      <c r="E138" t="inlineStr">
        <is>
          <t>ORSA</t>
        </is>
      </c>
      <c r="F138" t="inlineStr">
        <is>
          <t>Bergvik skog öst AB</t>
        </is>
      </c>
      <c r="G138" t="n">
        <v>3.1</v>
      </c>
      <c r="H138" t="n">
        <v>0</v>
      </c>
      <c r="I138" t="n">
        <v>0</v>
      </c>
      <c r="J138" t="n">
        <v>0</v>
      </c>
      <c r="K138" t="n">
        <v>0</v>
      </c>
      <c r="L138" t="n">
        <v>0</v>
      </c>
      <c r="M138" t="n">
        <v>0</v>
      </c>
      <c r="N138" t="n">
        <v>0</v>
      </c>
      <c r="O138" t="n">
        <v>0</v>
      </c>
      <c r="P138" t="n">
        <v>0</v>
      </c>
      <c r="Q138" t="n">
        <v>0</v>
      </c>
      <c r="R138" s="2" t="inlineStr"/>
    </row>
    <row r="139" ht="15" customHeight="1">
      <c r="A139" t="inlineStr">
        <is>
          <t>A 57765-2020</t>
        </is>
      </c>
      <c r="B139" s="1" t="n">
        <v>44141</v>
      </c>
      <c r="C139" s="1" t="n">
        <v>45796</v>
      </c>
      <c r="D139" t="inlineStr">
        <is>
          <t>DALARNAS LÄN</t>
        </is>
      </c>
      <c r="E139" t="inlineStr">
        <is>
          <t>ORSA</t>
        </is>
      </c>
      <c r="F139" t="inlineStr">
        <is>
          <t>Bergvik skog öst AB</t>
        </is>
      </c>
      <c r="G139" t="n">
        <v>3.7</v>
      </c>
      <c r="H139" t="n">
        <v>0</v>
      </c>
      <c r="I139" t="n">
        <v>0</v>
      </c>
      <c r="J139" t="n">
        <v>0</v>
      </c>
      <c r="K139" t="n">
        <v>0</v>
      </c>
      <c r="L139" t="n">
        <v>0</v>
      </c>
      <c r="M139" t="n">
        <v>0</v>
      </c>
      <c r="N139" t="n">
        <v>0</v>
      </c>
      <c r="O139" t="n">
        <v>0</v>
      </c>
      <c r="P139" t="n">
        <v>0</v>
      </c>
      <c r="Q139" t="n">
        <v>0</v>
      </c>
      <c r="R139" s="2" t="inlineStr"/>
    </row>
    <row r="140" ht="15" customHeight="1">
      <c r="A140" t="inlineStr">
        <is>
          <t>A 58556-2020</t>
        </is>
      </c>
      <c r="B140" s="1" t="n">
        <v>44145</v>
      </c>
      <c r="C140" s="1" t="n">
        <v>45796</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45796</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62379-2020</t>
        </is>
      </c>
      <c r="B142" s="1" t="n">
        <v>44160</v>
      </c>
      <c r="C142" s="1" t="n">
        <v>45796</v>
      </c>
      <c r="D142" t="inlineStr">
        <is>
          <t>DALARNAS LÄN</t>
        </is>
      </c>
      <c r="E142" t="inlineStr">
        <is>
          <t>ORSA</t>
        </is>
      </c>
      <c r="F142" t="inlineStr">
        <is>
          <t>Bergvik skog öst AB</t>
        </is>
      </c>
      <c r="G142" t="n">
        <v>1.9</v>
      </c>
      <c r="H142" t="n">
        <v>0</v>
      </c>
      <c r="I142" t="n">
        <v>0</v>
      </c>
      <c r="J142" t="n">
        <v>0</v>
      </c>
      <c r="K142" t="n">
        <v>0</v>
      </c>
      <c r="L142" t="n">
        <v>0</v>
      </c>
      <c r="M142" t="n">
        <v>0</v>
      </c>
      <c r="N142" t="n">
        <v>0</v>
      </c>
      <c r="O142" t="n">
        <v>0</v>
      </c>
      <c r="P142" t="n">
        <v>0</v>
      </c>
      <c r="Q142" t="n">
        <v>0</v>
      </c>
      <c r="R142" s="2" t="inlineStr"/>
    </row>
    <row r="143" ht="15" customHeight="1">
      <c r="A143" t="inlineStr">
        <is>
          <t>A 63367-2020</t>
        </is>
      </c>
      <c r="B143" s="1" t="n">
        <v>44160</v>
      </c>
      <c r="C143" s="1" t="n">
        <v>45796</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63374-2020</t>
        </is>
      </c>
      <c r="B144" s="1" t="n">
        <v>44160</v>
      </c>
      <c r="C144" s="1" t="n">
        <v>45796</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63543-2020</t>
        </is>
      </c>
      <c r="B145" s="1" t="n">
        <v>44165</v>
      </c>
      <c r="C145" s="1" t="n">
        <v>45796</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66323-2020</t>
        </is>
      </c>
      <c r="B146" s="1" t="n">
        <v>44176</v>
      </c>
      <c r="C146" s="1" t="n">
        <v>45796</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66536-2020</t>
        </is>
      </c>
      <c r="B147" s="1" t="n">
        <v>44179</v>
      </c>
      <c r="C147" s="1" t="n">
        <v>45796</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66567-2020</t>
        </is>
      </c>
      <c r="B148" s="1" t="n">
        <v>44179</v>
      </c>
      <c r="C148" s="1" t="n">
        <v>45796</v>
      </c>
      <c r="D148" t="inlineStr">
        <is>
          <t>DALARNAS LÄN</t>
        </is>
      </c>
      <c r="E148" t="inlineStr">
        <is>
          <t>ORSA</t>
        </is>
      </c>
      <c r="G148" t="n">
        <v>7.8</v>
      </c>
      <c r="H148" t="n">
        <v>0</v>
      </c>
      <c r="I148" t="n">
        <v>0</v>
      </c>
      <c r="J148" t="n">
        <v>0</v>
      </c>
      <c r="K148" t="n">
        <v>0</v>
      </c>
      <c r="L148" t="n">
        <v>0</v>
      </c>
      <c r="M148" t="n">
        <v>0</v>
      </c>
      <c r="N148" t="n">
        <v>0</v>
      </c>
      <c r="O148" t="n">
        <v>0</v>
      </c>
      <c r="P148" t="n">
        <v>0</v>
      </c>
      <c r="Q148" t="n">
        <v>0</v>
      </c>
      <c r="R148" s="2" t="inlineStr"/>
    </row>
    <row r="149" ht="15" customHeight="1">
      <c r="A149" t="inlineStr">
        <is>
          <t>A 66533-2020</t>
        </is>
      </c>
      <c r="B149" s="1" t="n">
        <v>44179</v>
      </c>
      <c r="C149" s="1" t="n">
        <v>45796</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66593-2020</t>
        </is>
      </c>
      <c r="B150" s="1" t="n">
        <v>44179</v>
      </c>
      <c r="C150" s="1" t="n">
        <v>45796</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67189-2020</t>
        </is>
      </c>
      <c r="B151" s="1" t="n">
        <v>44180</v>
      </c>
      <c r="C151" s="1" t="n">
        <v>45796</v>
      </c>
      <c r="D151" t="inlineStr">
        <is>
          <t>DALARNAS LÄN</t>
        </is>
      </c>
      <c r="E151" t="inlineStr">
        <is>
          <t>ORSA</t>
        </is>
      </c>
      <c r="F151" t="inlineStr">
        <is>
          <t>Allmännings- och besparingsskogar</t>
        </is>
      </c>
      <c r="G151" t="n">
        <v>5</v>
      </c>
      <c r="H151" t="n">
        <v>0</v>
      </c>
      <c r="I151" t="n">
        <v>0</v>
      </c>
      <c r="J151" t="n">
        <v>0</v>
      </c>
      <c r="K151" t="n">
        <v>0</v>
      </c>
      <c r="L151" t="n">
        <v>0</v>
      </c>
      <c r="M151" t="n">
        <v>0</v>
      </c>
      <c r="N151" t="n">
        <v>0</v>
      </c>
      <c r="O151" t="n">
        <v>0</v>
      </c>
      <c r="P151" t="n">
        <v>0</v>
      </c>
      <c r="Q151" t="n">
        <v>0</v>
      </c>
      <c r="R151" s="2" t="inlineStr"/>
    </row>
    <row r="152" ht="15" customHeight="1">
      <c r="A152" t="inlineStr">
        <is>
          <t>A 67755-2020</t>
        </is>
      </c>
      <c r="B152" s="1" t="n">
        <v>44182</v>
      </c>
      <c r="C152" s="1" t="n">
        <v>45796</v>
      </c>
      <c r="D152" t="inlineStr">
        <is>
          <t>DALARNAS LÄN</t>
        </is>
      </c>
      <c r="E152" t="inlineStr">
        <is>
          <t>ORSA</t>
        </is>
      </c>
      <c r="G152" t="n">
        <v>7.5</v>
      </c>
      <c r="H152" t="n">
        <v>0</v>
      </c>
      <c r="I152" t="n">
        <v>0</v>
      </c>
      <c r="J152" t="n">
        <v>0</v>
      </c>
      <c r="K152" t="n">
        <v>0</v>
      </c>
      <c r="L152" t="n">
        <v>0</v>
      </c>
      <c r="M152" t="n">
        <v>0</v>
      </c>
      <c r="N152" t="n">
        <v>0</v>
      </c>
      <c r="O152" t="n">
        <v>0</v>
      </c>
      <c r="P152" t="n">
        <v>0</v>
      </c>
      <c r="Q152" t="n">
        <v>0</v>
      </c>
      <c r="R152" s="2" t="inlineStr"/>
    </row>
    <row r="153" ht="15" customHeight="1">
      <c r="A153" t="inlineStr">
        <is>
          <t>A 67834-2020</t>
        </is>
      </c>
      <c r="B153" s="1" t="n">
        <v>44182</v>
      </c>
      <c r="C153" s="1" t="n">
        <v>45796</v>
      </c>
      <c r="D153" t="inlineStr">
        <is>
          <t>DALARNAS LÄN</t>
        </is>
      </c>
      <c r="E153" t="inlineStr">
        <is>
          <t>ORSA</t>
        </is>
      </c>
      <c r="G153" t="n">
        <v>4</v>
      </c>
      <c r="H153" t="n">
        <v>0</v>
      </c>
      <c r="I153" t="n">
        <v>0</v>
      </c>
      <c r="J153" t="n">
        <v>0</v>
      </c>
      <c r="K153" t="n">
        <v>0</v>
      </c>
      <c r="L153" t="n">
        <v>0</v>
      </c>
      <c r="M153" t="n">
        <v>0</v>
      </c>
      <c r="N153" t="n">
        <v>0</v>
      </c>
      <c r="O153" t="n">
        <v>0</v>
      </c>
      <c r="P153" t="n">
        <v>0</v>
      </c>
      <c r="Q153" t="n">
        <v>0</v>
      </c>
      <c r="R153" s="2" t="inlineStr"/>
    </row>
    <row r="154" ht="15" customHeight="1">
      <c r="A154" t="inlineStr">
        <is>
          <t>A 67842-2020</t>
        </is>
      </c>
      <c r="B154" s="1" t="n">
        <v>44182</v>
      </c>
      <c r="C154" s="1" t="n">
        <v>45796</v>
      </c>
      <c r="D154" t="inlineStr">
        <is>
          <t>DALARNAS LÄN</t>
        </is>
      </c>
      <c r="E154" t="inlineStr">
        <is>
          <t>ORSA</t>
        </is>
      </c>
      <c r="G154" t="n">
        <v>10.6</v>
      </c>
      <c r="H154" t="n">
        <v>0</v>
      </c>
      <c r="I154" t="n">
        <v>0</v>
      </c>
      <c r="J154" t="n">
        <v>0</v>
      </c>
      <c r="K154" t="n">
        <v>0</v>
      </c>
      <c r="L154" t="n">
        <v>0</v>
      </c>
      <c r="M154" t="n">
        <v>0</v>
      </c>
      <c r="N154" t="n">
        <v>0</v>
      </c>
      <c r="O154" t="n">
        <v>0</v>
      </c>
      <c r="P154" t="n">
        <v>0</v>
      </c>
      <c r="Q154" t="n">
        <v>0</v>
      </c>
      <c r="R154" s="2" t="inlineStr"/>
    </row>
    <row r="155" ht="15" customHeight="1">
      <c r="A155" t="inlineStr">
        <is>
          <t>A 67950-2020</t>
        </is>
      </c>
      <c r="B155" s="1" t="n">
        <v>44182</v>
      </c>
      <c r="C155" s="1" t="n">
        <v>45796</v>
      </c>
      <c r="D155" t="inlineStr">
        <is>
          <t>DALARNAS LÄN</t>
        </is>
      </c>
      <c r="E155" t="inlineStr">
        <is>
          <t>ORSA</t>
        </is>
      </c>
      <c r="G155" t="n">
        <v>1.1</v>
      </c>
      <c r="H155" t="n">
        <v>0</v>
      </c>
      <c r="I155" t="n">
        <v>0</v>
      </c>
      <c r="J155" t="n">
        <v>0</v>
      </c>
      <c r="K155" t="n">
        <v>0</v>
      </c>
      <c r="L155" t="n">
        <v>0</v>
      </c>
      <c r="M155" t="n">
        <v>0</v>
      </c>
      <c r="N155" t="n">
        <v>0</v>
      </c>
      <c r="O155" t="n">
        <v>0</v>
      </c>
      <c r="P155" t="n">
        <v>0</v>
      </c>
      <c r="Q155" t="n">
        <v>0</v>
      </c>
      <c r="R155" s="2" t="inlineStr"/>
    </row>
    <row r="156" ht="15" customHeight="1">
      <c r="A156" t="inlineStr">
        <is>
          <t>A 67971-2020</t>
        </is>
      </c>
      <c r="B156" s="1" t="n">
        <v>44182</v>
      </c>
      <c r="C156" s="1" t="n">
        <v>45796</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67911-2020</t>
        </is>
      </c>
      <c r="B157" s="1" t="n">
        <v>44182</v>
      </c>
      <c r="C157" s="1" t="n">
        <v>45796</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67929-2020</t>
        </is>
      </c>
      <c r="B158" s="1" t="n">
        <v>44182</v>
      </c>
      <c r="C158" s="1" t="n">
        <v>45796</v>
      </c>
      <c r="D158" t="inlineStr">
        <is>
          <t>DALARNAS LÄN</t>
        </is>
      </c>
      <c r="E158" t="inlineStr">
        <is>
          <t>ORSA</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67935-2020</t>
        </is>
      </c>
      <c r="B159" s="1" t="n">
        <v>44182</v>
      </c>
      <c r="C159" s="1" t="n">
        <v>45796</v>
      </c>
      <c r="D159" t="inlineStr">
        <is>
          <t>DALARNAS LÄN</t>
        </is>
      </c>
      <c r="E159" t="inlineStr">
        <is>
          <t>ORSA</t>
        </is>
      </c>
      <c r="G159" t="n">
        <v>5</v>
      </c>
      <c r="H159" t="n">
        <v>0</v>
      </c>
      <c r="I159" t="n">
        <v>0</v>
      </c>
      <c r="J159" t="n">
        <v>0</v>
      </c>
      <c r="K159" t="n">
        <v>0</v>
      </c>
      <c r="L159" t="n">
        <v>0</v>
      </c>
      <c r="M159" t="n">
        <v>0</v>
      </c>
      <c r="N159" t="n">
        <v>0</v>
      </c>
      <c r="O159" t="n">
        <v>0</v>
      </c>
      <c r="P159" t="n">
        <v>0</v>
      </c>
      <c r="Q159" t="n">
        <v>0</v>
      </c>
      <c r="R159" s="2" t="inlineStr"/>
    </row>
    <row r="160" ht="15" customHeight="1">
      <c r="A160" t="inlineStr">
        <is>
          <t>A 112-2021</t>
        </is>
      </c>
      <c r="B160" s="1" t="n">
        <v>44200</v>
      </c>
      <c r="C160" s="1" t="n">
        <v>45796</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2112-2021</t>
        </is>
      </c>
      <c r="B161" s="1" t="n">
        <v>44211</v>
      </c>
      <c r="C161" s="1" t="n">
        <v>45796</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3452-2021</t>
        </is>
      </c>
      <c r="B162" s="1" t="n">
        <v>44218</v>
      </c>
      <c r="C162" s="1" t="n">
        <v>45796</v>
      </c>
      <c r="D162" t="inlineStr">
        <is>
          <t>DALARNAS LÄN</t>
        </is>
      </c>
      <c r="E162" t="inlineStr">
        <is>
          <t>ORSA</t>
        </is>
      </c>
      <c r="G162" t="n">
        <v>12.5</v>
      </c>
      <c r="H162" t="n">
        <v>0</v>
      </c>
      <c r="I162" t="n">
        <v>0</v>
      </c>
      <c r="J162" t="n">
        <v>0</v>
      </c>
      <c r="K162" t="n">
        <v>0</v>
      </c>
      <c r="L162" t="n">
        <v>0</v>
      </c>
      <c r="M162" t="n">
        <v>0</v>
      </c>
      <c r="N162" t="n">
        <v>0</v>
      </c>
      <c r="O162" t="n">
        <v>0</v>
      </c>
      <c r="P162" t="n">
        <v>0</v>
      </c>
      <c r="Q162" t="n">
        <v>0</v>
      </c>
      <c r="R162" s="2" t="inlineStr"/>
    </row>
    <row r="163" ht="15" customHeight="1">
      <c r="A163" t="inlineStr">
        <is>
          <t>A 4108-2021</t>
        </is>
      </c>
      <c r="B163" s="1" t="n">
        <v>44222</v>
      </c>
      <c r="C163" s="1" t="n">
        <v>45796</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4454-2021</t>
        </is>
      </c>
      <c r="B164" s="1" t="n">
        <v>44224</v>
      </c>
      <c r="C164" s="1" t="n">
        <v>45796</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9306-2021</t>
        </is>
      </c>
      <c r="B165" s="1" t="n">
        <v>44250</v>
      </c>
      <c r="C165" s="1" t="n">
        <v>45796</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12622-2021</t>
        </is>
      </c>
      <c r="B166" s="1" t="n">
        <v>44270</v>
      </c>
      <c r="C166" s="1" t="n">
        <v>45796</v>
      </c>
      <c r="D166" t="inlineStr">
        <is>
          <t>DALARNAS LÄN</t>
        </is>
      </c>
      <c r="E166" t="inlineStr">
        <is>
          <t>ORSA</t>
        </is>
      </c>
      <c r="G166" t="n">
        <v>5.1</v>
      </c>
      <c r="H166" t="n">
        <v>0</v>
      </c>
      <c r="I166" t="n">
        <v>0</v>
      </c>
      <c r="J166" t="n">
        <v>0</v>
      </c>
      <c r="K166" t="n">
        <v>0</v>
      </c>
      <c r="L166" t="n">
        <v>0</v>
      </c>
      <c r="M166" t="n">
        <v>0</v>
      </c>
      <c r="N166" t="n">
        <v>0</v>
      </c>
      <c r="O166" t="n">
        <v>0</v>
      </c>
      <c r="P166" t="n">
        <v>0</v>
      </c>
      <c r="Q166" t="n">
        <v>0</v>
      </c>
      <c r="R166" s="2" t="inlineStr"/>
    </row>
    <row r="167" ht="15" customHeight="1">
      <c r="A167" t="inlineStr">
        <is>
          <t>A 15914-2021</t>
        </is>
      </c>
      <c r="B167" s="1" t="n">
        <v>44287</v>
      </c>
      <c r="C167" s="1" t="n">
        <v>45796</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16270-2021</t>
        </is>
      </c>
      <c r="B168" s="1" t="n">
        <v>44292</v>
      </c>
      <c r="C168" s="1" t="n">
        <v>45796</v>
      </c>
      <c r="D168" t="inlineStr">
        <is>
          <t>DALARNAS LÄN</t>
        </is>
      </c>
      <c r="E168" t="inlineStr">
        <is>
          <t>ORSA</t>
        </is>
      </c>
      <c r="G168" t="n">
        <v>8.4</v>
      </c>
      <c r="H168" t="n">
        <v>0</v>
      </c>
      <c r="I168" t="n">
        <v>0</v>
      </c>
      <c r="J168" t="n">
        <v>0</v>
      </c>
      <c r="K168" t="n">
        <v>0</v>
      </c>
      <c r="L168" t="n">
        <v>0</v>
      </c>
      <c r="M168" t="n">
        <v>0</v>
      </c>
      <c r="N168" t="n">
        <v>0</v>
      </c>
      <c r="O168" t="n">
        <v>0</v>
      </c>
      <c r="P168" t="n">
        <v>0</v>
      </c>
      <c r="Q168" t="n">
        <v>0</v>
      </c>
      <c r="R168" s="2" t="inlineStr"/>
    </row>
    <row r="169" ht="15" customHeight="1">
      <c r="A169" t="inlineStr">
        <is>
          <t>A 17718-2021</t>
        </is>
      </c>
      <c r="B169" s="1" t="n">
        <v>44300</v>
      </c>
      <c r="C169" s="1" t="n">
        <v>45796</v>
      </c>
      <c r="D169" t="inlineStr">
        <is>
          <t>DALARNAS LÄN</t>
        </is>
      </c>
      <c r="E169" t="inlineStr">
        <is>
          <t>ORSA</t>
        </is>
      </c>
      <c r="G169" t="n">
        <v>0.6</v>
      </c>
      <c r="H169" t="n">
        <v>0</v>
      </c>
      <c r="I169" t="n">
        <v>0</v>
      </c>
      <c r="J169" t="n">
        <v>0</v>
      </c>
      <c r="K169" t="n">
        <v>0</v>
      </c>
      <c r="L169" t="n">
        <v>0</v>
      </c>
      <c r="M169" t="n">
        <v>0</v>
      </c>
      <c r="N169" t="n">
        <v>0</v>
      </c>
      <c r="O169" t="n">
        <v>0</v>
      </c>
      <c r="P169" t="n">
        <v>0</v>
      </c>
      <c r="Q169" t="n">
        <v>0</v>
      </c>
      <c r="R169" s="2" t="inlineStr"/>
    </row>
    <row r="170" ht="15" customHeight="1">
      <c r="A170" t="inlineStr">
        <is>
          <t>A 18708-2021</t>
        </is>
      </c>
      <c r="B170" s="1" t="n">
        <v>44307</v>
      </c>
      <c r="C170" s="1" t="n">
        <v>45796</v>
      </c>
      <c r="D170" t="inlineStr">
        <is>
          <t>DALARNAS LÄN</t>
        </is>
      </c>
      <c r="E170" t="inlineStr">
        <is>
          <t>ORSA</t>
        </is>
      </c>
      <c r="G170" t="n">
        <v>2.8</v>
      </c>
      <c r="H170" t="n">
        <v>0</v>
      </c>
      <c r="I170" t="n">
        <v>0</v>
      </c>
      <c r="J170" t="n">
        <v>0</v>
      </c>
      <c r="K170" t="n">
        <v>0</v>
      </c>
      <c r="L170" t="n">
        <v>0</v>
      </c>
      <c r="M170" t="n">
        <v>0</v>
      </c>
      <c r="N170" t="n">
        <v>0</v>
      </c>
      <c r="O170" t="n">
        <v>0</v>
      </c>
      <c r="P170" t="n">
        <v>0</v>
      </c>
      <c r="Q170" t="n">
        <v>0</v>
      </c>
      <c r="R170" s="2" t="inlineStr"/>
    </row>
    <row r="171" ht="15" customHeight="1">
      <c r="A171" t="inlineStr">
        <is>
          <t>A 19024-2021</t>
        </is>
      </c>
      <c r="B171" s="1" t="n">
        <v>44308</v>
      </c>
      <c r="C171" s="1" t="n">
        <v>45796</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19932-2021</t>
        </is>
      </c>
      <c r="B172" s="1" t="n">
        <v>44313</v>
      </c>
      <c r="C172" s="1" t="n">
        <v>45796</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20349-2021</t>
        </is>
      </c>
      <c r="B173" s="1" t="n">
        <v>44315</v>
      </c>
      <c r="C173" s="1" t="n">
        <v>45796</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21678-2021</t>
        </is>
      </c>
      <c r="B174" s="1" t="n">
        <v>44322</v>
      </c>
      <c r="C174" s="1" t="n">
        <v>45796</v>
      </c>
      <c r="D174" t="inlineStr">
        <is>
          <t>DALARNAS LÄN</t>
        </is>
      </c>
      <c r="E174" t="inlineStr">
        <is>
          <t>ORSA</t>
        </is>
      </c>
      <c r="G174" t="n">
        <v>11.4</v>
      </c>
      <c r="H174" t="n">
        <v>0</v>
      </c>
      <c r="I174" t="n">
        <v>0</v>
      </c>
      <c r="J174" t="n">
        <v>0</v>
      </c>
      <c r="K174" t="n">
        <v>0</v>
      </c>
      <c r="L174" t="n">
        <v>0</v>
      </c>
      <c r="M174" t="n">
        <v>0</v>
      </c>
      <c r="N174" t="n">
        <v>0</v>
      </c>
      <c r="O174" t="n">
        <v>0</v>
      </c>
      <c r="P174" t="n">
        <v>0</v>
      </c>
      <c r="Q174" t="n">
        <v>0</v>
      </c>
      <c r="R174" s="2" t="inlineStr"/>
    </row>
    <row r="175" ht="15" customHeight="1">
      <c r="A175" t="inlineStr">
        <is>
          <t>A 23685-2021</t>
        </is>
      </c>
      <c r="B175" s="1" t="n">
        <v>44334</v>
      </c>
      <c r="C175" s="1" t="n">
        <v>45796</v>
      </c>
      <c r="D175" t="inlineStr">
        <is>
          <t>DALARNAS LÄN</t>
        </is>
      </c>
      <c r="E175" t="inlineStr">
        <is>
          <t>ORSA</t>
        </is>
      </c>
      <c r="F175" t="inlineStr">
        <is>
          <t>Allmännings- och besparingsskogar</t>
        </is>
      </c>
      <c r="G175" t="n">
        <v>20.3</v>
      </c>
      <c r="H175" t="n">
        <v>0</v>
      </c>
      <c r="I175" t="n">
        <v>0</v>
      </c>
      <c r="J175" t="n">
        <v>0</v>
      </c>
      <c r="K175" t="n">
        <v>0</v>
      </c>
      <c r="L175" t="n">
        <v>0</v>
      </c>
      <c r="M175" t="n">
        <v>0</v>
      </c>
      <c r="N175" t="n">
        <v>0</v>
      </c>
      <c r="O175" t="n">
        <v>0</v>
      </c>
      <c r="P175" t="n">
        <v>0</v>
      </c>
      <c r="Q175" t="n">
        <v>0</v>
      </c>
      <c r="R175" s="2" t="inlineStr"/>
    </row>
    <row r="176" ht="15" customHeight="1">
      <c r="A176" t="inlineStr">
        <is>
          <t>A 24083-2021</t>
        </is>
      </c>
      <c r="B176" s="1" t="n">
        <v>44336</v>
      </c>
      <c r="C176" s="1" t="n">
        <v>45796</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25761-2021</t>
        </is>
      </c>
      <c r="B177" s="1" t="n">
        <v>44343</v>
      </c>
      <c r="C177" s="1" t="n">
        <v>45796</v>
      </c>
      <c r="D177" t="inlineStr">
        <is>
          <t>DALARNAS LÄN</t>
        </is>
      </c>
      <c r="E177" t="inlineStr">
        <is>
          <t>ORSA</t>
        </is>
      </c>
      <c r="G177" t="n">
        <v>3.4</v>
      </c>
      <c r="H177" t="n">
        <v>0</v>
      </c>
      <c r="I177" t="n">
        <v>0</v>
      </c>
      <c r="J177" t="n">
        <v>0</v>
      </c>
      <c r="K177" t="n">
        <v>0</v>
      </c>
      <c r="L177" t="n">
        <v>0</v>
      </c>
      <c r="M177" t="n">
        <v>0</v>
      </c>
      <c r="N177" t="n">
        <v>0</v>
      </c>
      <c r="O177" t="n">
        <v>0</v>
      </c>
      <c r="P177" t="n">
        <v>0</v>
      </c>
      <c r="Q177" t="n">
        <v>0</v>
      </c>
      <c r="R177" s="2" t="inlineStr"/>
    </row>
    <row r="178" ht="15" customHeight="1">
      <c r="A178" t="inlineStr">
        <is>
          <t>A 26831-2021</t>
        </is>
      </c>
      <c r="B178" s="1" t="n">
        <v>44349</v>
      </c>
      <c r="C178" s="1" t="n">
        <v>45796</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27146-2021</t>
        </is>
      </c>
      <c r="B179" s="1" t="n">
        <v>44350</v>
      </c>
      <c r="C179" s="1" t="n">
        <v>45796</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27542-2021</t>
        </is>
      </c>
      <c r="B180" s="1" t="n">
        <v>44351</v>
      </c>
      <c r="C180" s="1" t="n">
        <v>45796</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27877-2021</t>
        </is>
      </c>
      <c r="B181" s="1" t="n">
        <v>44354</v>
      </c>
      <c r="C181" s="1" t="n">
        <v>45796</v>
      </c>
      <c r="D181" t="inlineStr">
        <is>
          <t>DALARNAS LÄN</t>
        </is>
      </c>
      <c r="E181" t="inlineStr">
        <is>
          <t>ORSA</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28210-2021</t>
        </is>
      </c>
      <c r="B182" s="1" t="n">
        <v>44355</v>
      </c>
      <c r="C182" s="1" t="n">
        <v>45796</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28259-2021</t>
        </is>
      </c>
      <c r="B183" s="1" t="n">
        <v>44355</v>
      </c>
      <c r="C183" s="1" t="n">
        <v>45796</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28630-2021</t>
        </is>
      </c>
      <c r="B184" s="1" t="n">
        <v>44356</v>
      </c>
      <c r="C184" s="1" t="n">
        <v>45796</v>
      </c>
      <c r="D184" t="inlineStr">
        <is>
          <t>DALARNAS LÄN</t>
        </is>
      </c>
      <c r="E184" t="inlineStr">
        <is>
          <t>ORSA</t>
        </is>
      </c>
      <c r="G184" t="n">
        <v>3.5</v>
      </c>
      <c r="H184" t="n">
        <v>0</v>
      </c>
      <c r="I184" t="n">
        <v>0</v>
      </c>
      <c r="J184" t="n">
        <v>0</v>
      </c>
      <c r="K184" t="n">
        <v>0</v>
      </c>
      <c r="L184" t="n">
        <v>0</v>
      </c>
      <c r="M184" t="n">
        <v>0</v>
      </c>
      <c r="N184" t="n">
        <v>0</v>
      </c>
      <c r="O184" t="n">
        <v>0</v>
      </c>
      <c r="P184" t="n">
        <v>0</v>
      </c>
      <c r="Q184" t="n">
        <v>0</v>
      </c>
      <c r="R184" s="2" t="inlineStr"/>
    </row>
    <row r="185" ht="15" customHeight="1">
      <c r="A185" t="inlineStr">
        <is>
          <t>A 29366-2021</t>
        </is>
      </c>
      <c r="B185" s="1" t="n">
        <v>44361</v>
      </c>
      <c r="C185" s="1" t="n">
        <v>45796</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29555-2021</t>
        </is>
      </c>
      <c r="B186" s="1" t="n">
        <v>44361</v>
      </c>
      <c r="C186" s="1" t="n">
        <v>45796</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29874-2021</t>
        </is>
      </c>
      <c r="B187" s="1" t="n">
        <v>44362</v>
      </c>
      <c r="C187" s="1" t="n">
        <v>45796</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30125-2021</t>
        </is>
      </c>
      <c r="B188" s="1" t="n">
        <v>44363</v>
      </c>
      <c r="C188" s="1" t="n">
        <v>45796</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31647-2021</t>
        </is>
      </c>
      <c r="B189" s="1" t="n">
        <v>44369</v>
      </c>
      <c r="C189" s="1" t="n">
        <v>45796</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33265-2021</t>
        </is>
      </c>
      <c r="B190" s="1" t="n">
        <v>44377</v>
      </c>
      <c r="C190" s="1" t="n">
        <v>45796</v>
      </c>
      <c r="D190" t="inlineStr">
        <is>
          <t>DALARNAS LÄN</t>
        </is>
      </c>
      <c r="E190" t="inlineStr">
        <is>
          <t>ORSA</t>
        </is>
      </c>
      <c r="G190" t="n">
        <v>1.9</v>
      </c>
      <c r="H190" t="n">
        <v>0</v>
      </c>
      <c r="I190" t="n">
        <v>0</v>
      </c>
      <c r="J190" t="n">
        <v>0</v>
      </c>
      <c r="K190" t="n">
        <v>0</v>
      </c>
      <c r="L190" t="n">
        <v>0</v>
      </c>
      <c r="M190" t="n">
        <v>0</v>
      </c>
      <c r="N190" t="n">
        <v>0</v>
      </c>
      <c r="O190" t="n">
        <v>0</v>
      </c>
      <c r="P190" t="n">
        <v>0</v>
      </c>
      <c r="Q190" t="n">
        <v>0</v>
      </c>
      <c r="R190" s="2" t="inlineStr"/>
    </row>
    <row r="191" ht="15" customHeight="1">
      <c r="A191" t="inlineStr">
        <is>
          <t>A 33480-2021</t>
        </is>
      </c>
      <c r="B191" s="1" t="n">
        <v>44377</v>
      </c>
      <c r="C191" s="1" t="n">
        <v>45796</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34713-2021</t>
        </is>
      </c>
      <c r="B192" s="1" t="n">
        <v>44382</v>
      </c>
      <c r="C192" s="1" t="n">
        <v>45796</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34708-2021</t>
        </is>
      </c>
      <c r="B193" s="1" t="n">
        <v>44382</v>
      </c>
      <c r="C193" s="1" t="n">
        <v>45796</v>
      </c>
      <c r="D193" t="inlineStr">
        <is>
          <t>DALARNAS LÄN</t>
        </is>
      </c>
      <c r="E193" t="inlineStr">
        <is>
          <t>ORSA</t>
        </is>
      </c>
      <c r="G193" t="n">
        <v>4.3</v>
      </c>
      <c r="H193" t="n">
        <v>0</v>
      </c>
      <c r="I193" t="n">
        <v>0</v>
      </c>
      <c r="J193" t="n">
        <v>0</v>
      </c>
      <c r="K193" t="n">
        <v>0</v>
      </c>
      <c r="L193" t="n">
        <v>0</v>
      </c>
      <c r="M193" t="n">
        <v>0</v>
      </c>
      <c r="N193" t="n">
        <v>0</v>
      </c>
      <c r="O193" t="n">
        <v>0</v>
      </c>
      <c r="P193" t="n">
        <v>0</v>
      </c>
      <c r="Q193" t="n">
        <v>0</v>
      </c>
      <c r="R193" s="2" t="inlineStr"/>
    </row>
    <row r="194" ht="15" customHeight="1">
      <c r="A194" t="inlineStr">
        <is>
          <t>A 36559-2021</t>
        </is>
      </c>
      <c r="B194" s="1" t="n">
        <v>44391</v>
      </c>
      <c r="C194" s="1" t="n">
        <v>45796</v>
      </c>
      <c r="D194" t="inlineStr">
        <is>
          <t>DALARNAS LÄN</t>
        </is>
      </c>
      <c r="E194" t="inlineStr">
        <is>
          <t>ORSA</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36569-2021</t>
        </is>
      </c>
      <c r="B195" s="1" t="n">
        <v>44391</v>
      </c>
      <c r="C195" s="1" t="n">
        <v>45796</v>
      </c>
      <c r="D195" t="inlineStr">
        <is>
          <t>DALARNAS LÄN</t>
        </is>
      </c>
      <c r="E195" t="inlineStr">
        <is>
          <t>ORSA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36613-2021</t>
        </is>
      </c>
      <c r="B196" s="1" t="n">
        <v>44391</v>
      </c>
      <c r="C196" s="1" t="n">
        <v>45796</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39920-2021</t>
        </is>
      </c>
      <c r="B197" s="1" t="n">
        <v>44417</v>
      </c>
      <c r="C197" s="1" t="n">
        <v>45796</v>
      </c>
      <c r="D197" t="inlineStr">
        <is>
          <t>DALARNAS LÄN</t>
        </is>
      </c>
      <c r="E197" t="inlineStr">
        <is>
          <t>ORSA</t>
        </is>
      </c>
      <c r="F197" t="inlineStr">
        <is>
          <t>Kyrkan</t>
        </is>
      </c>
      <c r="G197" t="n">
        <v>2.2</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45796</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41295-2021</t>
        </is>
      </c>
      <c r="B199" s="1" t="n">
        <v>44424</v>
      </c>
      <c r="C199" s="1" t="n">
        <v>45796</v>
      </c>
      <c r="D199" t="inlineStr">
        <is>
          <t>DALARNAS LÄN</t>
        </is>
      </c>
      <c r="E199" t="inlineStr">
        <is>
          <t>ORSA</t>
        </is>
      </c>
      <c r="G199" t="n">
        <v>3.1</v>
      </c>
      <c r="H199" t="n">
        <v>0</v>
      </c>
      <c r="I199" t="n">
        <v>0</v>
      </c>
      <c r="J199" t="n">
        <v>0</v>
      </c>
      <c r="K199" t="n">
        <v>0</v>
      </c>
      <c r="L199" t="n">
        <v>0</v>
      </c>
      <c r="M199" t="n">
        <v>0</v>
      </c>
      <c r="N199" t="n">
        <v>0</v>
      </c>
      <c r="O199" t="n">
        <v>0</v>
      </c>
      <c r="P199" t="n">
        <v>0</v>
      </c>
      <c r="Q199" t="n">
        <v>0</v>
      </c>
      <c r="R199" s="2" t="inlineStr"/>
    </row>
    <row r="200" ht="15" customHeight="1">
      <c r="A200" t="inlineStr">
        <is>
          <t>A 41425-2021</t>
        </is>
      </c>
      <c r="B200" s="1" t="n">
        <v>44424</v>
      </c>
      <c r="C200" s="1" t="n">
        <v>45796</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43391-2021</t>
        </is>
      </c>
      <c r="B201" s="1" t="n">
        <v>44432</v>
      </c>
      <c r="C201" s="1" t="n">
        <v>45796</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47126-2021</t>
        </is>
      </c>
      <c r="B202" s="1" t="n">
        <v>44446</v>
      </c>
      <c r="C202" s="1" t="n">
        <v>45796</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47732-2021</t>
        </is>
      </c>
      <c r="B203" s="1" t="n">
        <v>44448</v>
      </c>
      <c r="C203" s="1" t="n">
        <v>45796</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47778-2021</t>
        </is>
      </c>
      <c r="B204" s="1" t="n">
        <v>44448</v>
      </c>
      <c r="C204" s="1" t="n">
        <v>45796</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49028-2021</t>
        </is>
      </c>
      <c r="B205" s="1" t="n">
        <v>44453</v>
      </c>
      <c r="C205" s="1" t="n">
        <v>45796</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49004-2021</t>
        </is>
      </c>
      <c r="B206" s="1" t="n">
        <v>44453</v>
      </c>
      <c r="C206" s="1" t="n">
        <v>45796</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49533-2021</t>
        </is>
      </c>
      <c r="B207" s="1" t="n">
        <v>44455</v>
      </c>
      <c r="C207" s="1" t="n">
        <v>45796</v>
      </c>
      <c r="D207" t="inlineStr">
        <is>
          <t>DALARNAS LÄN</t>
        </is>
      </c>
      <c r="E207" t="inlineStr">
        <is>
          <t>ORSA</t>
        </is>
      </c>
      <c r="F207" t="inlineStr">
        <is>
          <t>Allmännings- och besparingsskogar</t>
        </is>
      </c>
      <c r="G207" t="n">
        <v>22.2</v>
      </c>
      <c r="H207" t="n">
        <v>0</v>
      </c>
      <c r="I207" t="n">
        <v>0</v>
      </c>
      <c r="J207" t="n">
        <v>0</v>
      </c>
      <c r="K207" t="n">
        <v>0</v>
      </c>
      <c r="L207" t="n">
        <v>0</v>
      </c>
      <c r="M207" t="n">
        <v>0</v>
      </c>
      <c r="N207" t="n">
        <v>0</v>
      </c>
      <c r="O207" t="n">
        <v>0</v>
      </c>
      <c r="P207" t="n">
        <v>0</v>
      </c>
      <c r="Q207" t="n">
        <v>0</v>
      </c>
      <c r="R207" s="2" t="inlineStr"/>
    </row>
    <row r="208" ht="15" customHeight="1">
      <c r="A208" t="inlineStr">
        <is>
          <t>A 50297-2021</t>
        </is>
      </c>
      <c r="B208" s="1" t="n">
        <v>44459</v>
      </c>
      <c r="C208" s="1" t="n">
        <v>45796</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50843-2021</t>
        </is>
      </c>
      <c r="B209" s="1" t="n">
        <v>44460</v>
      </c>
      <c r="C209" s="1" t="n">
        <v>45796</v>
      </c>
      <c r="D209" t="inlineStr">
        <is>
          <t>DALARNAS LÄN</t>
        </is>
      </c>
      <c r="E209" t="inlineStr">
        <is>
          <t>ORSA</t>
        </is>
      </c>
      <c r="G209" t="n">
        <v>2.5</v>
      </c>
      <c r="H209" t="n">
        <v>0</v>
      </c>
      <c r="I209" t="n">
        <v>0</v>
      </c>
      <c r="J209" t="n">
        <v>0</v>
      </c>
      <c r="K209" t="n">
        <v>0</v>
      </c>
      <c r="L209" t="n">
        <v>0</v>
      </c>
      <c r="M209" t="n">
        <v>0</v>
      </c>
      <c r="N209" t="n">
        <v>0</v>
      </c>
      <c r="O209" t="n">
        <v>0</v>
      </c>
      <c r="P209" t="n">
        <v>0</v>
      </c>
      <c r="Q209" t="n">
        <v>0</v>
      </c>
      <c r="R209" s="2" t="inlineStr"/>
    </row>
    <row r="210" ht="15" customHeight="1">
      <c r="A210" t="inlineStr">
        <is>
          <t>A 50779-2021</t>
        </is>
      </c>
      <c r="B210" s="1" t="n">
        <v>44460</v>
      </c>
      <c r="C210" s="1" t="n">
        <v>45796</v>
      </c>
      <c r="D210" t="inlineStr">
        <is>
          <t>DALARNAS LÄN</t>
        </is>
      </c>
      <c r="E210" t="inlineStr">
        <is>
          <t>ORSA</t>
        </is>
      </c>
      <c r="G210" t="n">
        <v>2.2</v>
      </c>
      <c r="H210" t="n">
        <v>0</v>
      </c>
      <c r="I210" t="n">
        <v>0</v>
      </c>
      <c r="J210" t="n">
        <v>0</v>
      </c>
      <c r="K210" t="n">
        <v>0</v>
      </c>
      <c r="L210" t="n">
        <v>0</v>
      </c>
      <c r="M210" t="n">
        <v>0</v>
      </c>
      <c r="N210" t="n">
        <v>0</v>
      </c>
      <c r="O210" t="n">
        <v>0</v>
      </c>
      <c r="P210" t="n">
        <v>0</v>
      </c>
      <c r="Q210" t="n">
        <v>0</v>
      </c>
      <c r="R210" s="2" t="inlineStr"/>
    </row>
    <row r="211" ht="15" customHeight="1">
      <c r="A211" t="inlineStr">
        <is>
          <t>A 50905-2021</t>
        </is>
      </c>
      <c r="B211" s="1" t="n">
        <v>44460</v>
      </c>
      <c r="C211" s="1" t="n">
        <v>45796</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51001-2021</t>
        </is>
      </c>
      <c r="B212" s="1" t="n">
        <v>44460</v>
      </c>
      <c r="C212" s="1" t="n">
        <v>45796</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50999-2021</t>
        </is>
      </c>
      <c r="B213" s="1" t="n">
        <v>44460</v>
      </c>
      <c r="C213" s="1" t="n">
        <v>45796</v>
      </c>
      <c r="D213" t="inlineStr">
        <is>
          <t>DALARNAS LÄN</t>
        </is>
      </c>
      <c r="E213" t="inlineStr">
        <is>
          <t>ORSA</t>
        </is>
      </c>
      <c r="G213" t="n">
        <v>3</v>
      </c>
      <c r="H213" t="n">
        <v>0</v>
      </c>
      <c r="I213" t="n">
        <v>0</v>
      </c>
      <c r="J213" t="n">
        <v>0</v>
      </c>
      <c r="K213" t="n">
        <v>0</v>
      </c>
      <c r="L213" t="n">
        <v>0</v>
      </c>
      <c r="M213" t="n">
        <v>0</v>
      </c>
      <c r="N213" t="n">
        <v>0</v>
      </c>
      <c r="O213" t="n">
        <v>0</v>
      </c>
      <c r="P213" t="n">
        <v>0</v>
      </c>
      <c r="Q213" t="n">
        <v>0</v>
      </c>
      <c r="R213" s="2" t="inlineStr"/>
    </row>
    <row r="214" ht="15" customHeight="1">
      <c r="A214" t="inlineStr">
        <is>
          <t>A 51277-2021</t>
        </is>
      </c>
      <c r="B214" s="1" t="n">
        <v>44461</v>
      </c>
      <c r="C214" s="1" t="n">
        <v>45796</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51278-2021</t>
        </is>
      </c>
      <c r="B215" s="1" t="n">
        <v>44461</v>
      </c>
      <c r="C215" s="1" t="n">
        <v>45796</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52542-2021</t>
        </is>
      </c>
      <c r="B216" s="1" t="n">
        <v>44466</v>
      </c>
      <c r="C216" s="1" t="n">
        <v>45796</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52574-2021</t>
        </is>
      </c>
      <c r="B217" s="1" t="n">
        <v>44466</v>
      </c>
      <c r="C217" s="1" t="n">
        <v>45796</v>
      </c>
      <c r="D217" t="inlineStr">
        <is>
          <t>DALARNAS LÄN</t>
        </is>
      </c>
      <c r="E217" t="inlineStr">
        <is>
          <t>ORSA</t>
        </is>
      </c>
      <c r="G217" t="n">
        <v>1</v>
      </c>
      <c r="H217" t="n">
        <v>0</v>
      </c>
      <c r="I217" t="n">
        <v>0</v>
      </c>
      <c r="J217" t="n">
        <v>0</v>
      </c>
      <c r="K217" t="n">
        <v>0</v>
      </c>
      <c r="L217" t="n">
        <v>0</v>
      </c>
      <c r="M217" t="n">
        <v>0</v>
      </c>
      <c r="N217" t="n">
        <v>0</v>
      </c>
      <c r="O217" t="n">
        <v>0</v>
      </c>
      <c r="P217" t="n">
        <v>0</v>
      </c>
      <c r="Q217" t="n">
        <v>0</v>
      </c>
      <c r="R217" s="2" t="inlineStr"/>
    </row>
    <row r="218" ht="15" customHeight="1">
      <c r="A218" t="inlineStr">
        <is>
          <t>A 53102-2021</t>
        </is>
      </c>
      <c r="B218" s="1" t="n">
        <v>44467</v>
      </c>
      <c r="C218" s="1" t="n">
        <v>45796</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53104-2021</t>
        </is>
      </c>
      <c r="B219" s="1" t="n">
        <v>44467</v>
      </c>
      <c r="C219" s="1" t="n">
        <v>45796</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53106-2021</t>
        </is>
      </c>
      <c r="B220" s="1" t="n">
        <v>44468</v>
      </c>
      <c r="C220" s="1" t="n">
        <v>45796</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53740-2021</t>
        </is>
      </c>
      <c r="B221" s="1" t="n">
        <v>44469</v>
      </c>
      <c r="C221" s="1" t="n">
        <v>45796</v>
      </c>
      <c r="D221" t="inlineStr">
        <is>
          <t>DALARNAS LÄN</t>
        </is>
      </c>
      <c r="E221" t="inlineStr">
        <is>
          <t>ORSA</t>
        </is>
      </c>
      <c r="G221" t="n">
        <v>1.1</v>
      </c>
      <c r="H221" t="n">
        <v>0</v>
      </c>
      <c r="I221" t="n">
        <v>0</v>
      </c>
      <c r="J221" t="n">
        <v>0</v>
      </c>
      <c r="K221" t="n">
        <v>0</v>
      </c>
      <c r="L221" t="n">
        <v>0</v>
      </c>
      <c r="M221" t="n">
        <v>0</v>
      </c>
      <c r="N221" t="n">
        <v>0</v>
      </c>
      <c r="O221" t="n">
        <v>0</v>
      </c>
      <c r="P221" t="n">
        <v>0</v>
      </c>
      <c r="Q221" t="n">
        <v>0</v>
      </c>
      <c r="R221" s="2" t="inlineStr"/>
    </row>
    <row r="222" ht="15" customHeight="1">
      <c r="A222" t="inlineStr">
        <is>
          <t>A 53745-2021</t>
        </is>
      </c>
      <c r="B222" s="1" t="n">
        <v>44469</v>
      </c>
      <c r="C222" s="1" t="n">
        <v>45796</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54760-2021</t>
        </is>
      </c>
      <c r="B223" s="1" t="n">
        <v>44474</v>
      </c>
      <c r="C223" s="1" t="n">
        <v>45796</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55354-2021</t>
        </is>
      </c>
      <c r="B224" s="1" t="n">
        <v>44475</v>
      </c>
      <c r="C224" s="1" t="n">
        <v>45796</v>
      </c>
      <c r="D224" t="inlineStr">
        <is>
          <t>DALARNAS LÄN</t>
        </is>
      </c>
      <c r="E224" t="inlineStr">
        <is>
          <t>ORSA</t>
        </is>
      </c>
      <c r="G224" t="n">
        <v>0.8</v>
      </c>
      <c r="H224" t="n">
        <v>0</v>
      </c>
      <c r="I224" t="n">
        <v>0</v>
      </c>
      <c r="J224" t="n">
        <v>0</v>
      </c>
      <c r="K224" t="n">
        <v>0</v>
      </c>
      <c r="L224" t="n">
        <v>0</v>
      </c>
      <c r="M224" t="n">
        <v>0</v>
      </c>
      <c r="N224" t="n">
        <v>0</v>
      </c>
      <c r="O224" t="n">
        <v>0</v>
      </c>
      <c r="P224" t="n">
        <v>0</v>
      </c>
      <c r="Q224" t="n">
        <v>0</v>
      </c>
      <c r="R224" s="2" t="inlineStr"/>
    </row>
    <row r="225" ht="15" customHeight="1">
      <c r="A225" t="inlineStr">
        <is>
          <t>A 56162-2021</t>
        </is>
      </c>
      <c r="B225" s="1" t="n">
        <v>44477</v>
      </c>
      <c r="C225" s="1" t="n">
        <v>45796</v>
      </c>
      <c r="D225" t="inlineStr">
        <is>
          <t>DALARNAS LÄN</t>
        </is>
      </c>
      <c r="E225" t="inlineStr">
        <is>
          <t>ORSA</t>
        </is>
      </c>
      <c r="G225" t="n">
        <v>0.6</v>
      </c>
      <c r="H225" t="n">
        <v>0</v>
      </c>
      <c r="I225" t="n">
        <v>0</v>
      </c>
      <c r="J225" t="n">
        <v>0</v>
      </c>
      <c r="K225" t="n">
        <v>0</v>
      </c>
      <c r="L225" t="n">
        <v>0</v>
      </c>
      <c r="M225" t="n">
        <v>0</v>
      </c>
      <c r="N225" t="n">
        <v>0</v>
      </c>
      <c r="O225" t="n">
        <v>0</v>
      </c>
      <c r="P225" t="n">
        <v>0</v>
      </c>
      <c r="Q225" t="n">
        <v>0</v>
      </c>
      <c r="R225" s="2" t="inlineStr"/>
    </row>
    <row r="226" ht="15" customHeight="1">
      <c r="A226" t="inlineStr">
        <is>
          <t>A 56711-2021</t>
        </is>
      </c>
      <c r="B226" s="1" t="n">
        <v>44481</v>
      </c>
      <c r="C226" s="1" t="n">
        <v>45796</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56706-2021</t>
        </is>
      </c>
      <c r="B227" s="1" t="n">
        <v>44481</v>
      </c>
      <c r="C227" s="1" t="n">
        <v>45796</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57271-2021</t>
        </is>
      </c>
      <c r="B228" s="1" t="n">
        <v>44483</v>
      </c>
      <c r="C228" s="1" t="n">
        <v>45796</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57685-2021</t>
        </is>
      </c>
      <c r="B229" s="1" t="n">
        <v>44484</v>
      </c>
      <c r="C229" s="1" t="n">
        <v>45796</v>
      </c>
      <c r="D229" t="inlineStr">
        <is>
          <t>DALARNAS LÄN</t>
        </is>
      </c>
      <c r="E229" t="inlineStr">
        <is>
          <t>ORSA</t>
        </is>
      </c>
      <c r="G229" t="n">
        <v>4.1</v>
      </c>
      <c r="H229" t="n">
        <v>0</v>
      </c>
      <c r="I229" t="n">
        <v>0</v>
      </c>
      <c r="J229" t="n">
        <v>0</v>
      </c>
      <c r="K229" t="n">
        <v>0</v>
      </c>
      <c r="L229" t="n">
        <v>0</v>
      </c>
      <c r="M229" t="n">
        <v>0</v>
      </c>
      <c r="N229" t="n">
        <v>0</v>
      </c>
      <c r="O229" t="n">
        <v>0</v>
      </c>
      <c r="P229" t="n">
        <v>0</v>
      </c>
      <c r="Q229" t="n">
        <v>0</v>
      </c>
      <c r="R229" s="2" t="inlineStr"/>
    </row>
    <row r="230" ht="15" customHeight="1">
      <c r="A230" t="inlineStr">
        <is>
          <t>A 59868-2021</t>
        </is>
      </c>
      <c r="B230" s="1" t="n">
        <v>44494</v>
      </c>
      <c r="C230" s="1" t="n">
        <v>45796</v>
      </c>
      <c r="D230" t="inlineStr">
        <is>
          <t>DALARNAS LÄN</t>
        </is>
      </c>
      <c r="E230" t="inlineStr">
        <is>
          <t>ORSA</t>
        </is>
      </c>
      <c r="G230" t="n">
        <v>4.3</v>
      </c>
      <c r="H230" t="n">
        <v>0</v>
      </c>
      <c r="I230" t="n">
        <v>0</v>
      </c>
      <c r="J230" t="n">
        <v>0</v>
      </c>
      <c r="K230" t="n">
        <v>0</v>
      </c>
      <c r="L230" t="n">
        <v>0</v>
      </c>
      <c r="M230" t="n">
        <v>0</v>
      </c>
      <c r="N230" t="n">
        <v>0</v>
      </c>
      <c r="O230" t="n">
        <v>0</v>
      </c>
      <c r="P230" t="n">
        <v>0</v>
      </c>
      <c r="Q230" t="n">
        <v>0</v>
      </c>
      <c r="R230" s="2" t="inlineStr"/>
    </row>
    <row r="231" ht="15" customHeight="1">
      <c r="A231" t="inlineStr">
        <is>
          <t>A 60391-2021</t>
        </is>
      </c>
      <c r="B231" s="1" t="n">
        <v>44496</v>
      </c>
      <c r="C231" s="1" t="n">
        <v>45796</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61005-2021</t>
        </is>
      </c>
      <c r="B232" s="1" t="n">
        <v>44497</v>
      </c>
      <c r="C232" s="1" t="n">
        <v>45796</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60827-2021</t>
        </is>
      </c>
      <c r="B233" s="1" t="n">
        <v>44497</v>
      </c>
      <c r="C233" s="1" t="n">
        <v>45796</v>
      </c>
      <c r="D233" t="inlineStr">
        <is>
          <t>DALARNAS LÄN</t>
        </is>
      </c>
      <c r="E233" t="inlineStr">
        <is>
          <t>ORSA</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61000-2021</t>
        </is>
      </c>
      <c r="B234" s="1" t="n">
        <v>44497</v>
      </c>
      <c r="C234" s="1" t="n">
        <v>45796</v>
      </c>
      <c r="D234" t="inlineStr">
        <is>
          <t>DALARNAS LÄN</t>
        </is>
      </c>
      <c r="E234" t="inlineStr">
        <is>
          <t>ORSA</t>
        </is>
      </c>
      <c r="G234" t="n">
        <v>4.4</v>
      </c>
      <c r="H234" t="n">
        <v>0</v>
      </c>
      <c r="I234" t="n">
        <v>0</v>
      </c>
      <c r="J234" t="n">
        <v>0</v>
      </c>
      <c r="K234" t="n">
        <v>0</v>
      </c>
      <c r="L234" t="n">
        <v>0</v>
      </c>
      <c r="M234" t="n">
        <v>0</v>
      </c>
      <c r="N234" t="n">
        <v>0</v>
      </c>
      <c r="O234" t="n">
        <v>0</v>
      </c>
      <c r="P234" t="n">
        <v>0</v>
      </c>
      <c r="Q234" t="n">
        <v>0</v>
      </c>
      <c r="R234" s="2" t="inlineStr"/>
    </row>
    <row r="235" ht="15" customHeight="1">
      <c r="A235" t="inlineStr">
        <is>
          <t>A 62370-2021</t>
        </is>
      </c>
      <c r="B235" s="1" t="n">
        <v>44503</v>
      </c>
      <c r="C235" s="1" t="n">
        <v>45796</v>
      </c>
      <c r="D235" t="inlineStr">
        <is>
          <t>DALARNAS LÄN</t>
        </is>
      </c>
      <c r="E235" t="inlineStr">
        <is>
          <t>ORSA</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64776-2021</t>
        </is>
      </c>
      <c r="B236" s="1" t="n">
        <v>44512</v>
      </c>
      <c r="C236" s="1" t="n">
        <v>45796</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64747-2021</t>
        </is>
      </c>
      <c r="B237" s="1" t="n">
        <v>44512</v>
      </c>
      <c r="C237" s="1" t="n">
        <v>45796</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68013-2021</t>
        </is>
      </c>
      <c r="B238" s="1" t="n">
        <v>44525</v>
      </c>
      <c r="C238" s="1" t="n">
        <v>45796</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68230-2021</t>
        </is>
      </c>
      <c r="B239" s="1" t="n">
        <v>44526</v>
      </c>
      <c r="C239" s="1" t="n">
        <v>45796</v>
      </c>
      <c r="D239" t="inlineStr">
        <is>
          <t>DALARNAS LÄN</t>
        </is>
      </c>
      <c r="E239" t="inlineStr">
        <is>
          <t>ORSA</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69060-2021</t>
        </is>
      </c>
      <c r="B240" s="1" t="n">
        <v>44530</v>
      </c>
      <c r="C240" s="1" t="n">
        <v>45796</v>
      </c>
      <c r="D240" t="inlineStr">
        <is>
          <t>DALARNAS LÄN</t>
        </is>
      </c>
      <c r="E240" t="inlineStr">
        <is>
          <t>ORSA</t>
        </is>
      </c>
      <c r="F240" t="inlineStr">
        <is>
          <t>Allmännings- och besparingsskogar</t>
        </is>
      </c>
      <c r="G240" t="n">
        <v>2.8</v>
      </c>
      <c r="H240" t="n">
        <v>0</v>
      </c>
      <c r="I240" t="n">
        <v>0</v>
      </c>
      <c r="J240" t="n">
        <v>0</v>
      </c>
      <c r="K240" t="n">
        <v>0</v>
      </c>
      <c r="L240" t="n">
        <v>0</v>
      </c>
      <c r="M240" t="n">
        <v>0</v>
      </c>
      <c r="N240" t="n">
        <v>0</v>
      </c>
      <c r="O240" t="n">
        <v>0</v>
      </c>
      <c r="P240" t="n">
        <v>0</v>
      </c>
      <c r="Q240" t="n">
        <v>0</v>
      </c>
      <c r="R240" s="2" t="inlineStr"/>
    </row>
    <row r="241" ht="15" customHeight="1">
      <c r="A241" t="inlineStr">
        <is>
          <t>A 69046-2021</t>
        </is>
      </c>
      <c r="B241" s="1" t="n">
        <v>44530</v>
      </c>
      <c r="C241" s="1" t="n">
        <v>45796</v>
      </c>
      <c r="D241" t="inlineStr">
        <is>
          <t>DALARNAS LÄN</t>
        </is>
      </c>
      <c r="E241" t="inlineStr">
        <is>
          <t>ORSA</t>
        </is>
      </c>
      <c r="F241" t="inlineStr">
        <is>
          <t>Allmännings- och besparingsskogar</t>
        </is>
      </c>
      <c r="G241" t="n">
        <v>1.3</v>
      </c>
      <c r="H241" t="n">
        <v>0</v>
      </c>
      <c r="I241" t="n">
        <v>0</v>
      </c>
      <c r="J241" t="n">
        <v>0</v>
      </c>
      <c r="K241" t="n">
        <v>0</v>
      </c>
      <c r="L241" t="n">
        <v>0</v>
      </c>
      <c r="M241" t="n">
        <v>0</v>
      </c>
      <c r="N241" t="n">
        <v>0</v>
      </c>
      <c r="O241" t="n">
        <v>0</v>
      </c>
      <c r="P241" t="n">
        <v>0</v>
      </c>
      <c r="Q241" t="n">
        <v>0</v>
      </c>
      <c r="R241" s="2" t="inlineStr"/>
    </row>
    <row r="242" ht="15" customHeight="1">
      <c r="A242" t="inlineStr">
        <is>
          <t>A 69721-2021</t>
        </is>
      </c>
      <c r="B242" s="1" t="n">
        <v>44532</v>
      </c>
      <c r="C242" s="1" t="n">
        <v>45796</v>
      </c>
      <c r="D242" t="inlineStr">
        <is>
          <t>DALARNAS LÄN</t>
        </is>
      </c>
      <c r="E242" t="inlineStr">
        <is>
          <t>ORSA</t>
        </is>
      </c>
      <c r="G242" t="n">
        <v>3.4</v>
      </c>
      <c r="H242" t="n">
        <v>0</v>
      </c>
      <c r="I242" t="n">
        <v>0</v>
      </c>
      <c r="J242" t="n">
        <v>0</v>
      </c>
      <c r="K242" t="n">
        <v>0</v>
      </c>
      <c r="L242" t="n">
        <v>0</v>
      </c>
      <c r="M242" t="n">
        <v>0</v>
      </c>
      <c r="N242" t="n">
        <v>0</v>
      </c>
      <c r="O242" t="n">
        <v>0</v>
      </c>
      <c r="P242" t="n">
        <v>0</v>
      </c>
      <c r="Q242" t="n">
        <v>0</v>
      </c>
      <c r="R242" s="2" t="inlineStr"/>
    </row>
    <row r="243" ht="15" customHeight="1">
      <c r="A243" t="inlineStr">
        <is>
          <t>A 69735-2021</t>
        </is>
      </c>
      <c r="B243" s="1" t="n">
        <v>44532</v>
      </c>
      <c r="C243" s="1" t="n">
        <v>45796</v>
      </c>
      <c r="D243" t="inlineStr">
        <is>
          <t>DALARNAS LÄN</t>
        </is>
      </c>
      <c r="E243" t="inlineStr">
        <is>
          <t>ORSA</t>
        </is>
      </c>
      <c r="G243" t="n">
        <v>2.4</v>
      </c>
      <c r="H243" t="n">
        <v>0</v>
      </c>
      <c r="I243" t="n">
        <v>0</v>
      </c>
      <c r="J243" t="n">
        <v>0</v>
      </c>
      <c r="K243" t="n">
        <v>0</v>
      </c>
      <c r="L243" t="n">
        <v>0</v>
      </c>
      <c r="M243" t="n">
        <v>0</v>
      </c>
      <c r="N243" t="n">
        <v>0</v>
      </c>
      <c r="O243" t="n">
        <v>0</v>
      </c>
      <c r="P243" t="n">
        <v>0</v>
      </c>
      <c r="Q243" t="n">
        <v>0</v>
      </c>
      <c r="R243" s="2" t="inlineStr"/>
    </row>
    <row r="244" ht="15" customHeight="1">
      <c r="A244" t="inlineStr">
        <is>
          <t>A 70332-2021</t>
        </is>
      </c>
      <c r="B244" s="1" t="n">
        <v>44536</v>
      </c>
      <c r="C244" s="1" t="n">
        <v>45796</v>
      </c>
      <c r="D244" t="inlineStr">
        <is>
          <t>DALARNAS LÄN</t>
        </is>
      </c>
      <c r="E244" t="inlineStr">
        <is>
          <t>ORSA</t>
        </is>
      </c>
      <c r="G244" t="n">
        <v>7.2</v>
      </c>
      <c r="H244" t="n">
        <v>0</v>
      </c>
      <c r="I244" t="n">
        <v>0</v>
      </c>
      <c r="J244" t="n">
        <v>0</v>
      </c>
      <c r="K244" t="n">
        <v>0</v>
      </c>
      <c r="L244" t="n">
        <v>0</v>
      </c>
      <c r="M244" t="n">
        <v>0</v>
      </c>
      <c r="N244" t="n">
        <v>0</v>
      </c>
      <c r="O244" t="n">
        <v>0</v>
      </c>
      <c r="P244" t="n">
        <v>0</v>
      </c>
      <c r="Q244" t="n">
        <v>0</v>
      </c>
      <c r="R244" s="2" t="inlineStr"/>
    </row>
    <row r="245" ht="15" customHeight="1">
      <c r="A245" t="inlineStr">
        <is>
          <t>A 71744-2021</t>
        </is>
      </c>
      <c r="B245" s="1" t="n">
        <v>44543</v>
      </c>
      <c r="C245" s="1" t="n">
        <v>45796</v>
      </c>
      <c r="D245" t="inlineStr">
        <is>
          <t>DALARNAS LÄN</t>
        </is>
      </c>
      <c r="E245" t="inlineStr">
        <is>
          <t>ORSA</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72310-2021</t>
        </is>
      </c>
      <c r="B246" s="1" t="n">
        <v>44545</v>
      </c>
      <c r="C246" s="1" t="n">
        <v>45796</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72284-2021</t>
        </is>
      </c>
      <c r="B247" s="1" t="n">
        <v>44545</v>
      </c>
      <c r="C247" s="1" t="n">
        <v>45796</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160-2022</t>
        </is>
      </c>
      <c r="B248" s="1" t="n">
        <v>44564</v>
      </c>
      <c r="C248" s="1" t="n">
        <v>45796</v>
      </c>
      <c r="D248" t="inlineStr">
        <is>
          <t>DALARNAS LÄN</t>
        </is>
      </c>
      <c r="E248" t="inlineStr">
        <is>
          <t>ORSA</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169-2022</t>
        </is>
      </c>
      <c r="B249" s="1" t="n">
        <v>44564</v>
      </c>
      <c r="C249" s="1" t="n">
        <v>45796</v>
      </c>
      <c r="D249" t="inlineStr">
        <is>
          <t>DALARNAS LÄN</t>
        </is>
      </c>
      <c r="E249" t="inlineStr">
        <is>
          <t>ORSA</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2882-2022</t>
        </is>
      </c>
      <c r="B250" s="1" t="n">
        <v>44581</v>
      </c>
      <c r="C250" s="1" t="n">
        <v>45796</v>
      </c>
      <c r="D250" t="inlineStr">
        <is>
          <t>DALARNAS LÄN</t>
        </is>
      </c>
      <c r="E250" t="inlineStr">
        <is>
          <t>ORSA</t>
        </is>
      </c>
      <c r="G250" t="n">
        <v>2.7</v>
      </c>
      <c r="H250" t="n">
        <v>0</v>
      </c>
      <c r="I250" t="n">
        <v>0</v>
      </c>
      <c r="J250" t="n">
        <v>0</v>
      </c>
      <c r="K250" t="n">
        <v>0</v>
      </c>
      <c r="L250" t="n">
        <v>0</v>
      </c>
      <c r="M250" t="n">
        <v>0</v>
      </c>
      <c r="N250" t="n">
        <v>0</v>
      </c>
      <c r="O250" t="n">
        <v>0</v>
      </c>
      <c r="P250" t="n">
        <v>0</v>
      </c>
      <c r="Q250" t="n">
        <v>0</v>
      </c>
      <c r="R250" s="2" t="inlineStr"/>
    </row>
    <row r="251" ht="15" customHeight="1">
      <c r="A251" t="inlineStr">
        <is>
          <t>A 9561-2022</t>
        </is>
      </c>
      <c r="B251" s="1" t="n">
        <v>44617</v>
      </c>
      <c r="C251" s="1" t="n">
        <v>45796</v>
      </c>
      <c r="D251" t="inlineStr">
        <is>
          <t>DALARNAS LÄN</t>
        </is>
      </c>
      <c r="E251" t="inlineStr">
        <is>
          <t>ORSA</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9807-2022</t>
        </is>
      </c>
      <c r="B252" s="1" t="n">
        <v>44620</v>
      </c>
      <c r="C252" s="1" t="n">
        <v>45796</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9836-2022</t>
        </is>
      </c>
      <c r="B253" s="1" t="n">
        <v>44620</v>
      </c>
      <c r="C253" s="1" t="n">
        <v>45796</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10261-2022</t>
        </is>
      </c>
      <c r="B254" s="1" t="n">
        <v>44622</v>
      </c>
      <c r="C254" s="1" t="n">
        <v>45796</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10262-2022</t>
        </is>
      </c>
      <c r="B255" s="1" t="n">
        <v>44622</v>
      </c>
      <c r="C255" s="1" t="n">
        <v>45796</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10398-2022</t>
        </is>
      </c>
      <c r="B256" s="1" t="n">
        <v>44623</v>
      </c>
      <c r="C256" s="1" t="n">
        <v>45796</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10405-2022</t>
        </is>
      </c>
      <c r="B257" s="1" t="n">
        <v>44623</v>
      </c>
      <c r="C257" s="1" t="n">
        <v>45796</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10375-2022</t>
        </is>
      </c>
      <c r="B258" s="1" t="n">
        <v>44623</v>
      </c>
      <c r="C258" s="1" t="n">
        <v>45796</v>
      </c>
      <c r="D258" t="inlineStr">
        <is>
          <t>DALARNAS LÄN</t>
        </is>
      </c>
      <c r="E258" t="inlineStr">
        <is>
          <t>ORSA</t>
        </is>
      </c>
      <c r="G258" t="n">
        <v>4.8</v>
      </c>
      <c r="H258" t="n">
        <v>0</v>
      </c>
      <c r="I258" t="n">
        <v>0</v>
      </c>
      <c r="J258" t="n">
        <v>0</v>
      </c>
      <c r="K258" t="n">
        <v>0</v>
      </c>
      <c r="L258" t="n">
        <v>0</v>
      </c>
      <c r="M258" t="n">
        <v>0</v>
      </c>
      <c r="N258" t="n">
        <v>0</v>
      </c>
      <c r="O258" t="n">
        <v>0</v>
      </c>
      <c r="P258" t="n">
        <v>0</v>
      </c>
      <c r="Q258" t="n">
        <v>0</v>
      </c>
      <c r="R258" s="2" t="inlineStr"/>
    </row>
    <row r="259" ht="15" customHeight="1">
      <c r="A259" t="inlineStr">
        <is>
          <t>A 10832-2022</t>
        </is>
      </c>
      <c r="B259" s="1" t="n">
        <v>44627</v>
      </c>
      <c r="C259" s="1" t="n">
        <v>45796</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11138-2022</t>
        </is>
      </c>
      <c r="B260" s="1" t="n">
        <v>44629</v>
      </c>
      <c r="C260" s="1" t="n">
        <v>45796</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12704-2022</t>
        </is>
      </c>
      <c r="B261" s="1" t="n">
        <v>44641</v>
      </c>
      <c r="C261" s="1" t="n">
        <v>45796</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13236-2022</t>
        </is>
      </c>
      <c r="B262" s="1" t="n">
        <v>44644</v>
      </c>
      <c r="C262" s="1" t="n">
        <v>45796</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v>
      </c>
      <c r="C263" s="1" t="n">
        <v>45796</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13209-2022</t>
        </is>
      </c>
      <c r="B264" s="1" t="n">
        <v>44644</v>
      </c>
      <c r="C264" s="1" t="n">
        <v>45796</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14535-2022</t>
        </is>
      </c>
      <c r="B265" s="1" t="n">
        <v>44655</v>
      </c>
      <c r="C265" s="1" t="n">
        <v>45796</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19067-2022</t>
        </is>
      </c>
      <c r="B266" s="1" t="n">
        <v>44691</v>
      </c>
      <c r="C266" s="1" t="n">
        <v>45796</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19505-2022</t>
        </is>
      </c>
      <c r="B267" s="1" t="n">
        <v>44693</v>
      </c>
      <c r="C267" s="1" t="n">
        <v>45796</v>
      </c>
      <c r="D267" t="inlineStr">
        <is>
          <t>DALARNAS LÄN</t>
        </is>
      </c>
      <c r="E267" t="inlineStr">
        <is>
          <t>ORSA</t>
        </is>
      </c>
      <c r="G267" t="n">
        <v>2.7</v>
      </c>
      <c r="H267" t="n">
        <v>0</v>
      </c>
      <c r="I267" t="n">
        <v>0</v>
      </c>
      <c r="J267" t="n">
        <v>0</v>
      </c>
      <c r="K267" t="n">
        <v>0</v>
      </c>
      <c r="L267" t="n">
        <v>0</v>
      </c>
      <c r="M267" t="n">
        <v>0</v>
      </c>
      <c r="N267" t="n">
        <v>0</v>
      </c>
      <c r="O267" t="n">
        <v>0</v>
      </c>
      <c r="P267" t="n">
        <v>0</v>
      </c>
      <c r="Q267" t="n">
        <v>0</v>
      </c>
      <c r="R267" s="2" t="inlineStr"/>
    </row>
    <row r="268" ht="15" customHeight="1">
      <c r="A268" t="inlineStr">
        <is>
          <t>A 20493-2022</t>
        </is>
      </c>
      <c r="B268" s="1" t="n">
        <v>44699</v>
      </c>
      <c r="C268" s="1" t="n">
        <v>45796</v>
      </c>
      <c r="D268" t="inlineStr">
        <is>
          <t>DALARNAS LÄN</t>
        </is>
      </c>
      <c r="E268" t="inlineStr">
        <is>
          <t>ORSA</t>
        </is>
      </c>
      <c r="F268" t="inlineStr">
        <is>
          <t>Bergvik skog väst AB</t>
        </is>
      </c>
      <c r="G268" t="n">
        <v>61.7</v>
      </c>
      <c r="H268" t="n">
        <v>0</v>
      </c>
      <c r="I268" t="n">
        <v>0</v>
      </c>
      <c r="J268" t="n">
        <v>0</v>
      </c>
      <c r="K268" t="n">
        <v>0</v>
      </c>
      <c r="L268" t="n">
        <v>0</v>
      </c>
      <c r="M268" t="n">
        <v>0</v>
      </c>
      <c r="N268" t="n">
        <v>0</v>
      </c>
      <c r="O268" t="n">
        <v>0</v>
      </c>
      <c r="P268" t="n">
        <v>0</v>
      </c>
      <c r="Q268" t="n">
        <v>0</v>
      </c>
      <c r="R268" s="2" t="inlineStr"/>
    </row>
    <row r="269" ht="15" customHeight="1">
      <c r="A269" t="inlineStr">
        <is>
          <t>A 21905-2022</t>
        </is>
      </c>
      <c r="B269" s="1" t="n">
        <v>44711</v>
      </c>
      <c r="C269" s="1" t="n">
        <v>45796</v>
      </c>
      <c r="D269" t="inlineStr">
        <is>
          <t>DALARNAS LÄN</t>
        </is>
      </c>
      <c r="E269" t="inlineStr">
        <is>
          <t>ORSA</t>
        </is>
      </c>
      <c r="F269" t="inlineStr">
        <is>
          <t>Allmännings- och besparingsskogar</t>
        </is>
      </c>
      <c r="G269" t="n">
        <v>3.1</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v>
      </c>
      <c r="C270" s="1" t="n">
        <v>45796</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22371-2022</t>
        </is>
      </c>
      <c r="B271" s="1" t="n">
        <v>44713</v>
      </c>
      <c r="C271" s="1" t="n">
        <v>45796</v>
      </c>
      <c r="D271" t="inlineStr">
        <is>
          <t>DALARNAS LÄN</t>
        </is>
      </c>
      <c r="E271" t="inlineStr">
        <is>
          <t>ORSA</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22813-2022</t>
        </is>
      </c>
      <c r="B272" s="1" t="n">
        <v>44715</v>
      </c>
      <c r="C272" s="1" t="n">
        <v>45796</v>
      </c>
      <c r="D272" t="inlineStr">
        <is>
          <t>DALARNAS LÄN</t>
        </is>
      </c>
      <c r="E272" t="inlineStr">
        <is>
          <t>ORSA</t>
        </is>
      </c>
      <c r="G272" t="n">
        <v>0.4</v>
      </c>
      <c r="H272" t="n">
        <v>0</v>
      </c>
      <c r="I272" t="n">
        <v>0</v>
      </c>
      <c r="J272" t="n">
        <v>0</v>
      </c>
      <c r="K272" t="n">
        <v>0</v>
      </c>
      <c r="L272" t="n">
        <v>0</v>
      </c>
      <c r="M272" t="n">
        <v>0</v>
      </c>
      <c r="N272" t="n">
        <v>0</v>
      </c>
      <c r="O272" t="n">
        <v>0</v>
      </c>
      <c r="P272" t="n">
        <v>0</v>
      </c>
      <c r="Q272" t="n">
        <v>0</v>
      </c>
      <c r="R272" s="2" t="inlineStr"/>
    </row>
    <row r="273" ht="15" customHeight="1">
      <c r="A273" t="inlineStr">
        <is>
          <t>A 23348-2022</t>
        </is>
      </c>
      <c r="B273" s="1" t="n">
        <v>44720</v>
      </c>
      <c r="C273" s="1" t="n">
        <v>45796</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23344-2022</t>
        </is>
      </c>
      <c r="B274" s="1" t="n">
        <v>44720</v>
      </c>
      <c r="C274" s="1" t="n">
        <v>45796</v>
      </c>
      <c r="D274" t="inlineStr">
        <is>
          <t>DALARNAS LÄN</t>
        </is>
      </c>
      <c r="E274" t="inlineStr">
        <is>
          <t>ORSA</t>
        </is>
      </c>
      <c r="G274" t="n">
        <v>0.2</v>
      </c>
      <c r="H274" t="n">
        <v>0</v>
      </c>
      <c r="I274" t="n">
        <v>0</v>
      </c>
      <c r="J274" t="n">
        <v>0</v>
      </c>
      <c r="K274" t="n">
        <v>0</v>
      </c>
      <c r="L274" t="n">
        <v>0</v>
      </c>
      <c r="M274" t="n">
        <v>0</v>
      </c>
      <c r="N274" t="n">
        <v>0</v>
      </c>
      <c r="O274" t="n">
        <v>0</v>
      </c>
      <c r="P274" t="n">
        <v>0</v>
      </c>
      <c r="Q274" t="n">
        <v>0</v>
      </c>
      <c r="R274" s="2" t="inlineStr"/>
    </row>
    <row r="275" ht="15" customHeight="1">
      <c r="A275" t="inlineStr">
        <is>
          <t>A 23725-2022</t>
        </is>
      </c>
      <c r="B275" s="1" t="n">
        <v>44722</v>
      </c>
      <c r="C275" s="1" t="n">
        <v>45796</v>
      </c>
      <c r="D275" t="inlineStr">
        <is>
          <t>DALARNAS LÄN</t>
        </is>
      </c>
      <c r="E275" t="inlineStr">
        <is>
          <t>ORSA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23821-2022</t>
        </is>
      </c>
      <c r="B276" s="1" t="n">
        <v>44722</v>
      </c>
      <c r="C276" s="1" t="n">
        <v>45796</v>
      </c>
      <c r="D276" t="inlineStr">
        <is>
          <t>DALARNAS LÄN</t>
        </is>
      </c>
      <c r="E276" t="inlineStr">
        <is>
          <t>ORSA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24438-2022</t>
        </is>
      </c>
      <c r="B277" s="1" t="n">
        <v>44726</v>
      </c>
      <c r="C277" s="1" t="n">
        <v>45796</v>
      </c>
      <c r="D277" t="inlineStr">
        <is>
          <t>DALARNAS LÄN</t>
        </is>
      </c>
      <c r="E277" t="inlineStr">
        <is>
          <t>ORSA</t>
        </is>
      </c>
      <c r="F277" t="inlineStr">
        <is>
          <t>Allmännings- och besparingsskogar</t>
        </is>
      </c>
      <c r="G277" t="n">
        <v>4.4</v>
      </c>
      <c r="H277" t="n">
        <v>0</v>
      </c>
      <c r="I277" t="n">
        <v>0</v>
      </c>
      <c r="J277" t="n">
        <v>0</v>
      </c>
      <c r="K277" t="n">
        <v>0</v>
      </c>
      <c r="L277" t="n">
        <v>0</v>
      </c>
      <c r="M277" t="n">
        <v>0</v>
      </c>
      <c r="N277" t="n">
        <v>0</v>
      </c>
      <c r="O277" t="n">
        <v>0</v>
      </c>
      <c r="P277" t="n">
        <v>0</v>
      </c>
      <c r="Q277" t="n">
        <v>0</v>
      </c>
      <c r="R277" s="2" t="inlineStr"/>
    </row>
    <row r="278" ht="15" customHeight="1">
      <c r="A278" t="inlineStr">
        <is>
          <t>A 24651-2022</t>
        </is>
      </c>
      <c r="B278" s="1" t="n">
        <v>44727</v>
      </c>
      <c r="C278" s="1" t="n">
        <v>45796</v>
      </c>
      <c r="D278" t="inlineStr">
        <is>
          <t>DALARNAS LÄN</t>
        </is>
      </c>
      <c r="E278" t="inlineStr">
        <is>
          <t>ORSA</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25172-2022</t>
        </is>
      </c>
      <c r="B279" s="1" t="n">
        <v>44729</v>
      </c>
      <c r="C279" s="1" t="n">
        <v>45796</v>
      </c>
      <c r="D279" t="inlineStr">
        <is>
          <t>DALARNAS LÄN</t>
        </is>
      </c>
      <c r="E279" t="inlineStr">
        <is>
          <t>ORSA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25591-2022</t>
        </is>
      </c>
      <c r="B280" s="1" t="n">
        <v>44732</v>
      </c>
      <c r="C280" s="1" t="n">
        <v>45796</v>
      </c>
      <c r="D280" t="inlineStr">
        <is>
          <t>DALARNAS LÄN</t>
        </is>
      </c>
      <c r="E280" t="inlineStr">
        <is>
          <t>ORSA</t>
        </is>
      </c>
      <c r="G280" t="n">
        <v>6</v>
      </c>
      <c r="H280" t="n">
        <v>0</v>
      </c>
      <c r="I280" t="n">
        <v>0</v>
      </c>
      <c r="J280" t="n">
        <v>0</v>
      </c>
      <c r="K280" t="n">
        <v>0</v>
      </c>
      <c r="L280" t="n">
        <v>0</v>
      </c>
      <c r="M280" t="n">
        <v>0</v>
      </c>
      <c r="N280" t="n">
        <v>0</v>
      </c>
      <c r="O280" t="n">
        <v>0</v>
      </c>
      <c r="P280" t="n">
        <v>0</v>
      </c>
      <c r="Q280" t="n">
        <v>0</v>
      </c>
      <c r="R280" s="2" t="inlineStr"/>
    </row>
    <row r="281" ht="15" customHeight="1">
      <c r="A281" t="inlineStr">
        <is>
          <t>A 26215-2022</t>
        </is>
      </c>
      <c r="B281" s="1" t="n">
        <v>44735</v>
      </c>
      <c r="C281" s="1" t="n">
        <v>45796</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27498-2022</t>
        </is>
      </c>
      <c r="B282" s="1" t="n">
        <v>44742</v>
      </c>
      <c r="C282" s="1" t="n">
        <v>45796</v>
      </c>
      <c r="D282" t="inlineStr">
        <is>
          <t>DALARNAS LÄN</t>
        </is>
      </c>
      <c r="E282" t="inlineStr">
        <is>
          <t>ORSA</t>
        </is>
      </c>
      <c r="G282" t="n">
        <v>5.7</v>
      </c>
      <c r="H282" t="n">
        <v>0</v>
      </c>
      <c r="I282" t="n">
        <v>0</v>
      </c>
      <c r="J282" t="n">
        <v>0</v>
      </c>
      <c r="K282" t="n">
        <v>0</v>
      </c>
      <c r="L282" t="n">
        <v>0</v>
      </c>
      <c r="M282" t="n">
        <v>0</v>
      </c>
      <c r="N282" t="n">
        <v>0</v>
      </c>
      <c r="O282" t="n">
        <v>0</v>
      </c>
      <c r="P282" t="n">
        <v>0</v>
      </c>
      <c r="Q282" t="n">
        <v>0</v>
      </c>
      <c r="R282" s="2" t="inlineStr"/>
    </row>
    <row r="283" ht="15" customHeight="1">
      <c r="A283" t="inlineStr">
        <is>
          <t>A 29485-2022</t>
        </is>
      </c>
      <c r="B283" s="1" t="n">
        <v>44753</v>
      </c>
      <c r="C283" s="1" t="n">
        <v>45796</v>
      </c>
      <c r="D283" t="inlineStr">
        <is>
          <t>DALARNAS LÄN</t>
        </is>
      </c>
      <c r="E283" t="inlineStr">
        <is>
          <t>ORSA</t>
        </is>
      </c>
      <c r="G283" t="n">
        <v>1.2</v>
      </c>
      <c r="H283" t="n">
        <v>0</v>
      </c>
      <c r="I283" t="n">
        <v>0</v>
      </c>
      <c r="J283" t="n">
        <v>0</v>
      </c>
      <c r="K283" t="n">
        <v>0</v>
      </c>
      <c r="L283" t="n">
        <v>0</v>
      </c>
      <c r="M283" t="n">
        <v>0</v>
      </c>
      <c r="N283" t="n">
        <v>0</v>
      </c>
      <c r="O283" t="n">
        <v>0</v>
      </c>
      <c r="P283" t="n">
        <v>0</v>
      </c>
      <c r="Q283" t="n">
        <v>0</v>
      </c>
      <c r="R283" s="2" t="inlineStr"/>
    </row>
    <row r="284" ht="15" customHeight="1">
      <c r="A284" t="inlineStr">
        <is>
          <t>A 30109-2022</t>
        </is>
      </c>
      <c r="B284" s="1" t="n">
        <v>44757</v>
      </c>
      <c r="C284" s="1" t="n">
        <v>45796</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30690-2022</t>
        </is>
      </c>
      <c r="B285" s="1" t="n">
        <v>44763</v>
      </c>
      <c r="C285" s="1" t="n">
        <v>45796</v>
      </c>
      <c r="D285" t="inlineStr">
        <is>
          <t>DALARNAS LÄN</t>
        </is>
      </c>
      <c r="E285" t="inlineStr">
        <is>
          <t>ORSA</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30861-2022</t>
        </is>
      </c>
      <c r="B286" s="1" t="n">
        <v>44767</v>
      </c>
      <c r="C286" s="1" t="n">
        <v>45796</v>
      </c>
      <c r="D286" t="inlineStr">
        <is>
          <t>DALARNAS LÄN</t>
        </is>
      </c>
      <c r="E286" t="inlineStr">
        <is>
          <t>ORSA</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31164-2022</t>
        </is>
      </c>
      <c r="B287" s="1" t="n">
        <v>44770</v>
      </c>
      <c r="C287" s="1" t="n">
        <v>45796</v>
      </c>
      <c r="D287" t="inlineStr">
        <is>
          <t>DALARNAS LÄN</t>
        </is>
      </c>
      <c r="E287" t="inlineStr">
        <is>
          <t>ORSA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31876-2022</t>
        </is>
      </c>
      <c r="B288" s="1" t="n">
        <v>44777</v>
      </c>
      <c r="C288" s="1" t="n">
        <v>45796</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32931-2022</t>
        </is>
      </c>
      <c r="B289" s="1" t="n">
        <v>44784</v>
      </c>
      <c r="C289" s="1" t="n">
        <v>45796</v>
      </c>
      <c r="D289" t="inlineStr">
        <is>
          <t>DALARNAS LÄN</t>
        </is>
      </c>
      <c r="E289" t="inlineStr">
        <is>
          <t>ORSA</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45796</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33945-2022</t>
        </is>
      </c>
      <c r="B291" s="1" t="n">
        <v>44790</v>
      </c>
      <c r="C291" s="1" t="n">
        <v>45796</v>
      </c>
      <c r="D291" t="inlineStr">
        <is>
          <t>DALARNAS LÄN</t>
        </is>
      </c>
      <c r="E291" t="inlineStr">
        <is>
          <t>ORSA</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38303-2022</t>
        </is>
      </c>
      <c r="B292" s="1" t="n">
        <v>44812</v>
      </c>
      <c r="C292" s="1" t="n">
        <v>45796</v>
      </c>
      <c r="D292" t="inlineStr">
        <is>
          <t>DALARNAS LÄN</t>
        </is>
      </c>
      <c r="E292" t="inlineStr">
        <is>
          <t>ORSA</t>
        </is>
      </c>
      <c r="F292" t="inlineStr">
        <is>
          <t>Allmännings- och besparingsskogar</t>
        </is>
      </c>
      <c r="G292" t="n">
        <v>15.5</v>
      </c>
      <c r="H292" t="n">
        <v>0</v>
      </c>
      <c r="I292" t="n">
        <v>0</v>
      </c>
      <c r="J292" t="n">
        <v>0</v>
      </c>
      <c r="K292" t="n">
        <v>0</v>
      </c>
      <c r="L292" t="n">
        <v>0</v>
      </c>
      <c r="M292" t="n">
        <v>0</v>
      </c>
      <c r="N292" t="n">
        <v>0</v>
      </c>
      <c r="O292" t="n">
        <v>0</v>
      </c>
      <c r="P292" t="n">
        <v>0</v>
      </c>
      <c r="Q292" t="n">
        <v>0</v>
      </c>
      <c r="R292" s="2" t="inlineStr"/>
    </row>
    <row r="293" ht="15" customHeight="1">
      <c r="A293" t="inlineStr">
        <is>
          <t>A 38611-2022</t>
        </is>
      </c>
      <c r="B293" s="1" t="n">
        <v>44813</v>
      </c>
      <c r="C293" s="1" t="n">
        <v>45796</v>
      </c>
      <c r="D293" t="inlineStr">
        <is>
          <t>DALARNAS LÄN</t>
        </is>
      </c>
      <c r="E293" t="inlineStr">
        <is>
          <t>ORSA</t>
        </is>
      </c>
      <c r="G293" t="n">
        <v>3.6</v>
      </c>
      <c r="H293" t="n">
        <v>0</v>
      </c>
      <c r="I293" t="n">
        <v>0</v>
      </c>
      <c r="J293" t="n">
        <v>0</v>
      </c>
      <c r="K293" t="n">
        <v>0</v>
      </c>
      <c r="L293" t="n">
        <v>0</v>
      </c>
      <c r="M293" t="n">
        <v>0</v>
      </c>
      <c r="N293" t="n">
        <v>0</v>
      </c>
      <c r="O293" t="n">
        <v>0</v>
      </c>
      <c r="P293" t="n">
        <v>0</v>
      </c>
      <c r="Q293" t="n">
        <v>0</v>
      </c>
      <c r="R293" s="2" t="inlineStr"/>
    </row>
    <row r="294" ht="15" customHeight="1">
      <c r="A294" t="inlineStr">
        <is>
          <t>A 39818-2022</t>
        </is>
      </c>
      <c r="B294" s="1" t="n">
        <v>44819</v>
      </c>
      <c r="C294" s="1" t="n">
        <v>45796</v>
      </c>
      <c r="D294" t="inlineStr">
        <is>
          <t>DALARNAS LÄN</t>
        </is>
      </c>
      <c r="E294" t="inlineStr">
        <is>
          <t>ORSA</t>
        </is>
      </c>
      <c r="F294" t="inlineStr">
        <is>
          <t>Allmännings- och besparingsskogar</t>
        </is>
      </c>
      <c r="G294" t="n">
        <v>9.6</v>
      </c>
      <c r="H294" t="n">
        <v>0</v>
      </c>
      <c r="I294" t="n">
        <v>0</v>
      </c>
      <c r="J294" t="n">
        <v>0</v>
      </c>
      <c r="K294" t="n">
        <v>0</v>
      </c>
      <c r="L294" t="n">
        <v>0</v>
      </c>
      <c r="M294" t="n">
        <v>0</v>
      </c>
      <c r="N294" t="n">
        <v>0</v>
      </c>
      <c r="O294" t="n">
        <v>0</v>
      </c>
      <c r="P294" t="n">
        <v>0</v>
      </c>
      <c r="Q294" t="n">
        <v>0</v>
      </c>
      <c r="R294" s="2" t="inlineStr"/>
    </row>
    <row r="295" ht="15" customHeight="1">
      <c r="A295" t="inlineStr">
        <is>
          <t>A 39816-2022</t>
        </is>
      </c>
      <c r="B295" s="1" t="n">
        <v>44819</v>
      </c>
      <c r="C295" s="1" t="n">
        <v>45796</v>
      </c>
      <c r="D295" t="inlineStr">
        <is>
          <t>DALARNAS LÄN</t>
        </is>
      </c>
      <c r="E295" t="inlineStr">
        <is>
          <t>ORSA</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39893-2022</t>
        </is>
      </c>
      <c r="B296" s="1" t="n">
        <v>44819</v>
      </c>
      <c r="C296" s="1" t="n">
        <v>45796</v>
      </c>
      <c r="D296" t="inlineStr">
        <is>
          <t>DALARNAS LÄN</t>
        </is>
      </c>
      <c r="E296" t="inlineStr">
        <is>
          <t>ORSA</t>
        </is>
      </c>
      <c r="G296" t="n">
        <v>1.8</v>
      </c>
      <c r="H296" t="n">
        <v>0</v>
      </c>
      <c r="I296" t="n">
        <v>0</v>
      </c>
      <c r="J296" t="n">
        <v>0</v>
      </c>
      <c r="K296" t="n">
        <v>0</v>
      </c>
      <c r="L296" t="n">
        <v>0</v>
      </c>
      <c r="M296" t="n">
        <v>0</v>
      </c>
      <c r="N296" t="n">
        <v>0</v>
      </c>
      <c r="O296" t="n">
        <v>0</v>
      </c>
      <c r="P296" t="n">
        <v>0</v>
      </c>
      <c r="Q296" t="n">
        <v>0</v>
      </c>
      <c r="R296" s="2" t="inlineStr"/>
    </row>
    <row r="297" ht="15" customHeight="1">
      <c r="A297" t="inlineStr">
        <is>
          <t>A 40945-2022</t>
        </is>
      </c>
      <c r="B297" s="1" t="n">
        <v>44825</v>
      </c>
      <c r="C297" s="1" t="n">
        <v>45796</v>
      </c>
      <c r="D297" t="inlineStr">
        <is>
          <t>DALARNAS LÄN</t>
        </is>
      </c>
      <c r="E297" t="inlineStr">
        <is>
          <t>ORSA</t>
        </is>
      </c>
      <c r="F297" t="inlineStr">
        <is>
          <t>Allmännings- och besparingsskogar</t>
        </is>
      </c>
      <c r="G297" t="n">
        <v>8.9</v>
      </c>
      <c r="H297" t="n">
        <v>0</v>
      </c>
      <c r="I297" t="n">
        <v>0</v>
      </c>
      <c r="J297" t="n">
        <v>0</v>
      </c>
      <c r="K297" t="n">
        <v>0</v>
      </c>
      <c r="L297" t="n">
        <v>0</v>
      </c>
      <c r="M297" t="n">
        <v>0</v>
      </c>
      <c r="N297" t="n">
        <v>0</v>
      </c>
      <c r="O297" t="n">
        <v>0</v>
      </c>
      <c r="P297" t="n">
        <v>0</v>
      </c>
      <c r="Q297" t="n">
        <v>0</v>
      </c>
      <c r="R297" s="2" t="inlineStr"/>
    </row>
    <row r="298" ht="15" customHeight="1">
      <c r="A298" t="inlineStr">
        <is>
          <t>A 42346-2022</t>
        </is>
      </c>
      <c r="B298" s="1" t="n">
        <v>44831</v>
      </c>
      <c r="C298" s="1" t="n">
        <v>45796</v>
      </c>
      <c r="D298" t="inlineStr">
        <is>
          <t>DALARNAS LÄN</t>
        </is>
      </c>
      <c r="E298" t="inlineStr">
        <is>
          <t>ORSA</t>
        </is>
      </c>
      <c r="G298" t="n">
        <v>2.4</v>
      </c>
      <c r="H298" t="n">
        <v>0</v>
      </c>
      <c r="I298" t="n">
        <v>0</v>
      </c>
      <c r="J298" t="n">
        <v>0</v>
      </c>
      <c r="K298" t="n">
        <v>0</v>
      </c>
      <c r="L298" t="n">
        <v>0</v>
      </c>
      <c r="M298" t="n">
        <v>0</v>
      </c>
      <c r="N298" t="n">
        <v>0</v>
      </c>
      <c r="O298" t="n">
        <v>0</v>
      </c>
      <c r="P298" t="n">
        <v>0</v>
      </c>
      <c r="Q298" t="n">
        <v>0</v>
      </c>
      <c r="R298" s="2" t="inlineStr"/>
    </row>
    <row r="299" ht="15" customHeight="1">
      <c r="A299" t="inlineStr">
        <is>
          <t>A 44035-2022</t>
        </is>
      </c>
      <c r="B299" s="1" t="n">
        <v>44839</v>
      </c>
      <c r="C299" s="1" t="n">
        <v>45796</v>
      </c>
      <c r="D299" t="inlineStr">
        <is>
          <t>DALARNAS LÄN</t>
        </is>
      </c>
      <c r="E299" t="inlineStr">
        <is>
          <t>ORSA</t>
        </is>
      </c>
      <c r="G299" t="n">
        <v>5.8</v>
      </c>
      <c r="H299" t="n">
        <v>0</v>
      </c>
      <c r="I299" t="n">
        <v>0</v>
      </c>
      <c r="J299" t="n">
        <v>0</v>
      </c>
      <c r="K299" t="n">
        <v>0</v>
      </c>
      <c r="L299" t="n">
        <v>0</v>
      </c>
      <c r="M299" t="n">
        <v>0</v>
      </c>
      <c r="N299" t="n">
        <v>0</v>
      </c>
      <c r="O299" t="n">
        <v>0</v>
      </c>
      <c r="P299" t="n">
        <v>0</v>
      </c>
      <c r="Q299" t="n">
        <v>0</v>
      </c>
      <c r="R299" s="2" t="inlineStr"/>
    </row>
    <row r="300" ht="15" customHeight="1">
      <c r="A300" t="inlineStr">
        <is>
          <t>A 44033-2022</t>
        </is>
      </c>
      <c r="B300" s="1" t="n">
        <v>44838</v>
      </c>
      <c r="C300" s="1" t="n">
        <v>45796</v>
      </c>
      <c r="D300" t="inlineStr">
        <is>
          <t>DALARNAS LÄN</t>
        </is>
      </c>
      <c r="E300" t="inlineStr">
        <is>
          <t>ORSA</t>
        </is>
      </c>
      <c r="G300" t="n">
        <v>5.3</v>
      </c>
      <c r="H300" t="n">
        <v>0</v>
      </c>
      <c r="I300" t="n">
        <v>0</v>
      </c>
      <c r="J300" t="n">
        <v>0</v>
      </c>
      <c r="K300" t="n">
        <v>0</v>
      </c>
      <c r="L300" t="n">
        <v>0</v>
      </c>
      <c r="M300" t="n">
        <v>0</v>
      </c>
      <c r="N300" t="n">
        <v>0</v>
      </c>
      <c r="O300" t="n">
        <v>0</v>
      </c>
      <c r="P300" t="n">
        <v>0</v>
      </c>
      <c r="Q300" t="n">
        <v>0</v>
      </c>
      <c r="R300" s="2" t="inlineStr"/>
    </row>
    <row r="301" ht="15" customHeight="1">
      <c r="A301" t="inlineStr">
        <is>
          <t>A 44257-2022</t>
        </is>
      </c>
      <c r="B301" s="1" t="n">
        <v>44839</v>
      </c>
      <c r="C301" s="1" t="n">
        <v>45796</v>
      </c>
      <c r="D301" t="inlineStr">
        <is>
          <t>DALARNAS LÄN</t>
        </is>
      </c>
      <c r="E301" t="inlineStr">
        <is>
          <t>ORSA</t>
        </is>
      </c>
      <c r="G301" t="n">
        <v>13.1</v>
      </c>
      <c r="H301" t="n">
        <v>0</v>
      </c>
      <c r="I301" t="n">
        <v>0</v>
      </c>
      <c r="J301" t="n">
        <v>0</v>
      </c>
      <c r="K301" t="n">
        <v>0</v>
      </c>
      <c r="L301" t="n">
        <v>0</v>
      </c>
      <c r="M301" t="n">
        <v>0</v>
      </c>
      <c r="N301" t="n">
        <v>0</v>
      </c>
      <c r="O301" t="n">
        <v>0</v>
      </c>
      <c r="P301" t="n">
        <v>0</v>
      </c>
      <c r="Q301" t="n">
        <v>0</v>
      </c>
      <c r="R301" s="2" t="inlineStr"/>
    </row>
    <row r="302" ht="15" customHeight="1">
      <c r="A302" t="inlineStr">
        <is>
          <t>A 45272-2022</t>
        </is>
      </c>
      <c r="B302" s="1" t="n">
        <v>44844</v>
      </c>
      <c r="C302" s="1" t="n">
        <v>45796</v>
      </c>
      <c r="D302" t="inlineStr">
        <is>
          <t>DALARNAS LÄN</t>
        </is>
      </c>
      <c r="E302" t="inlineStr">
        <is>
          <t>ORSA</t>
        </is>
      </c>
      <c r="G302" t="n">
        <v>0.3</v>
      </c>
      <c r="H302" t="n">
        <v>0</v>
      </c>
      <c r="I302" t="n">
        <v>0</v>
      </c>
      <c r="J302" t="n">
        <v>0</v>
      </c>
      <c r="K302" t="n">
        <v>0</v>
      </c>
      <c r="L302" t="n">
        <v>0</v>
      </c>
      <c r="M302" t="n">
        <v>0</v>
      </c>
      <c r="N302" t="n">
        <v>0</v>
      </c>
      <c r="O302" t="n">
        <v>0</v>
      </c>
      <c r="P302" t="n">
        <v>0</v>
      </c>
      <c r="Q302" t="n">
        <v>0</v>
      </c>
      <c r="R302" s="2" t="inlineStr"/>
    </row>
    <row r="303" ht="15" customHeight="1">
      <c r="A303" t="inlineStr">
        <is>
          <t>A 46244-2022</t>
        </is>
      </c>
      <c r="B303" s="1" t="n">
        <v>44847</v>
      </c>
      <c r="C303" s="1" t="n">
        <v>45796</v>
      </c>
      <c r="D303" t="inlineStr">
        <is>
          <t>DALARNAS LÄN</t>
        </is>
      </c>
      <c r="E303" t="inlineStr">
        <is>
          <t>ORSA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47135-2022</t>
        </is>
      </c>
      <c r="B304" s="1" t="n">
        <v>44852</v>
      </c>
      <c r="C304" s="1" t="n">
        <v>45796</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47707-2022</t>
        </is>
      </c>
      <c r="B305" s="1" t="n">
        <v>44854</v>
      </c>
      <c r="C305" s="1" t="n">
        <v>45796</v>
      </c>
      <c r="D305" t="inlineStr">
        <is>
          <t>DALARNAS LÄN</t>
        </is>
      </c>
      <c r="E305" t="inlineStr">
        <is>
          <t>ORSA</t>
        </is>
      </c>
      <c r="F305" t="inlineStr">
        <is>
          <t>Bergvik skog öst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47740-2022</t>
        </is>
      </c>
      <c r="B306" s="1" t="n">
        <v>44854</v>
      </c>
      <c r="C306" s="1" t="n">
        <v>45796</v>
      </c>
      <c r="D306" t="inlineStr">
        <is>
          <t>DALARNAS LÄN</t>
        </is>
      </c>
      <c r="E306" t="inlineStr">
        <is>
          <t>ORSA</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47735-2022</t>
        </is>
      </c>
      <c r="B307" s="1" t="n">
        <v>44854</v>
      </c>
      <c r="C307" s="1" t="n">
        <v>45796</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47732-2022</t>
        </is>
      </c>
      <c r="B308" s="1" t="n">
        <v>44854</v>
      </c>
      <c r="C308" s="1" t="n">
        <v>45796</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47746-2022</t>
        </is>
      </c>
      <c r="B309" s="1" t="n">
        <v>44854</v>
      </c>
      <c r="C309" s="1" t="n">
        <v>45796</v>
      </c>
      <c r="D309" t="inlineStr">
        <is>
          <t>DALARNAS LÄN</t>
        </is>
      </c>
      <c r="E309" t="inlineStr">
        <is>
          <t>ORSA</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47742-2022</t>
        </is>
      </c>
      <c r="B310" s="1" t="n">
        <v>44854</v>
      </c>
      <c r="C310" s="1" t="n">
        <v>45796</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48131-2022</t>
        </is>
      </c>
      <c r="B311" s="1" t="n">
        <v>44857</v>
      </c>
      <c r="C311" s="1" t="n">
        <v>45796</v>
      </c>
      <c r="D311" t="inlineStr">
        <is>
          <t>DALARNAS LÄN</t>
        </is>
      </c>
      <c r="E311" t="inlineStr">
        <is>
          <t>ORSA</t>
        </is>
      </c>
      <c r="F311" t="inlineStr">
        <is>
          <t>Bergvik skog öst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48132-2022</t>
        </is>
      </c>
      <c r="B312" s="1" t="n">
        <v>44857</v>
      </c>
      <c r="C312" s="1" t="n">
        <v>45796</v>
      </c>
      <c r="D312" t="inlineStr">
        <is>
          <t>DALARNAS LÄN</t>
        </is>
      </c>
      <c r="E312" t="inlineStr">
        <is>
          <t>ORSA</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48213-2022</t>
        </is>
      </c>
      <c r="B313" s="1" t="n">
        <v>44858</v>
      </c>
      <c r="C313" s="1" t="n">
        <v>45796</v>
      </c>
      <c r="D313" t="inlineStr">
        <is>
          <t>DALARNAS LÄN</t>
        </is>
      </c>
      <c r="E313" t="inlineStr">
        <is>
          <t>ORSA</t>
        </is>
      </c>
      <c r="F313" t="inlineStr">
        <is>
          <t>Allmännings- och besparingsskogar</t>
        </is>
      </c>
      <c r="G313" t="n">
        <v>4.1</v>
      </c>
      <c r="H313" t="n">
        <v>0</v>
      </c>
      <c r="I313" t="n">
        <v>0</v>
      </c>
      <c r="J313" t="n">
        <v>0</v>
      </c>
      <c r="K313" t="n">
        <v>0</v>
      </c>
      <c r="L313" t="n">
        <v>0</v>
      </c>
      <c r="M313" t="n">
        <v>0</v>
      </c>
      <c r="N313" t="n">
        <v>0</v>
      </c>
      <c r="O313" t="n">
        <v>0</v>
      </c>
      <c r="P313" t="n">
        <v>0</v>
      </c>
      <c r="Q313" t="n">
        <v>0</v>
      </c>
      <c r="R313" s="2" t="inlineStr"/>
    </row>
    <row r="314" ht="15" customHeight="1">
      <c r="A314" t="inlineStr">
        <is>
          <t>A 48696-2022</t>
        </is>
      </c>
      <c r="B314" s="1" t="n">
        <v>44859</v>
      </c>
      <c r="C314" s="1" t="n">
        <v>45796</v>
      </c>
      <c r="D314" t="inlineStr">
        <is>
          <t>DALARNAS LÄN</t>
        </is>
      </c>
      <c r="E314" t="inlineStr">
        <is>
          <t>ORSA</t>
        </is>
      </c>
      <c r="F314" t="inlineStr">
        <is>
          <t>Bergvik skog öst AB</t>
        </is>
      </c>
      <c r="G314" t="n">
        <v>4.9</v>
      </c>
      <c r="H314" t="n">
        <v>0</v>
      </c>
      <c r="I314" t="n">
        <v>0</v>
      </c>
      <c r="J314" t="n">
        <v>0</v>
      </c>
      <c r="K314" t="n">
        <v>0</v>
      </c>
      <c r="L314" t="n">
        <v>0</v>
      </c>
      <c r="M314" t="n">
        <v>0</v>
      </c>
      <c r="N314" t="n">
        <v>0</v>
      </c>
      <c r="O314" t="n">
        <v>0</v>
      </c>
      <c r="P314" t="n">
        <v>0</v>
      </c>
      <c r="Q314" t="n">
        <v>0</v>
      </c>
      <c r="R314" s="2" t="inlineStr"/>
    </row>
    <row r="315" ht="15" customHeight="1">
      <c r="A315" t="inlineStr">
        <is>
          <t>A 50454-2022</t>
        </is>
      </c>
      <c r="B315" s="1" t="n">
        <v>44866</v>
      </c>
      <c r="C315" s="1" t="n">
        <v>45796</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50474-2022</t>
        </is>
      </c>
      <c r="B316" s="1" t="n">
        <v>44866</v>
      </c>
      <c r="C316" s="1" t="n">
        <v>45796</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51395-2022</t>
        </is>
      </c>
      <c r="B317" s="1" t="n">
        <v>44869</v>
      </c>
      <c r="C317" s="1" t="n">
        <v>45796</v>
      </c>
      <c r="D317" t="inlineStr">
        <is>
          <t>DALARNAS LÄN</t>
        </is>
      </c>
      <c r="E317" t="inlineStr">
        <is>
          <t>ORSA</t>
        </is>
      </c>
      <c r="F317" t="inlineStr">
        <is>
          <t>Kyrkan</t>
        </is>
      </c>
      <c r="G317" t="n">
        <v>11.8</v>
      </c>
      <c r="H317" t="n">
        <v>0</v>
      </c>
      <c r="I317" t="n">
        <v>0</v>
      </c>
      <c r="J317" t="n">
        <v>0</v>
      </c>
      <c r="K317" t="n">
        <v>0</v>
      </c>
      <c r="L317" t="n">
        <v>0</v>
      </c>
      <c r="M317" t="n">
        <v>0</v>
      </c>
      <c r="N317" t="n">
        <v>0</v>
      </c>
      <c r="O317" t="n">
        <v>0</v>
      </c>
      <c r="P317" t="n">
        <v>0</v>
      </c>
      <c r="Q317" t="n">
        <v>0</v>
      </c>
      <c r="R317" s="2" t="inlineStr"/>
    </row>
    <row r="318" ht="15" customHeight="1">
      <c r="A318" t="inlineStr">
        <is>
          <t>A 51915-2022</t>
        </is>
      </c>
      <c r="B318" s="1" t="n">
        <v>44872</v>
      </c>
      <c r="C318" s="1" t="n">
        <v>45796</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51864-2022</t>
        </is>
      </c>
      <c r="B319" s="1" t="n">
        <v>44872</v>
      </c>
      <c r="C319" s="1" t="n">
        <v>45796</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52579-2022</t>
        </is>
      </c>
      <c r="B320" s="1" t="n">
        <v>44874</v>
      </c>
      <c r="C320" s="1" t="n">
        <v>45796</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52776-2022</t>
        </is>
      </c>
      <c r="B321" s="1" t="n">
        <v>44875</v>
      </c>
      <c r="C321" s="1" t="n">
        <v>45796</v>
      </c>
      <c r="D321" t="inlineStr">
        <is>
          <t>DALARNAS LÄN</t>
        </is>
      </c>
      <c r="E321" t="inlineStr">
        <is>
          <t>ORSA</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53693-2022</t>
        </is>
      </c>
      <c r="B322" s="1" t="n">
        <v>44880</v>
      </c>
      <c r="C322" s="1" t="n">
        <v>45796</v>
      </c>
      <c r="D322" t="inlineStr">
        <is>
          <t>DALARNAS LÄN</t>
        </is>
      </c>
      <c r="E322" t="inlineStr">
        <is>
          <t>ORSA</t>
        </is>
      </c>
      <c r="F322" t="inlineStr">
        <is>
          <t>Allmännings- och besparingsskogar</t>
        </is>
      </c>
      <c r="G322" t="n">
        <v>3</v>
      </c>
      <c r="H322" t="n">
        <v>0</v>
      </c>
      <c r="I322" t="n">
        <v>0</v>
      </c>
      <c r="J322" t="n">
        <v>0</v>
      </c>
      <c r="K322" t="n">
        <v>0</v>
      </c>
      <c r="L322" t="n">
        <v>0</v>
      </c>
      <c r="M322" t="n">
        <v>0</v>
      </c>
      <c r="N322" t="n">
        <v>0</v>
      </c>
      <c r="O322" t="n">
        <v>0</v>
      </c>
      <c r="P322" t="n">
        <v>0</v>
      </c>
      <c r="Q322" t="n">
        <v>0</v>
      </c>
      <c r="R322" s="2" t="inlineStr"/>
    </row>
    <row r="323" ht="15" customHeight="1">
      <c r="A323" t="inlineStr">
        <is>
          <t>A 53704-2022</t>
        </is>
      </c>
      <c r="B323" s="1" t="n">
        <v>44880</v>
      </c>
      <c r="C323" s="1" t="n">
        <v>45796</v>
      </c>
      <c r="D323" t="inlineStr">
        <is>
          <t>DALARNAS LÄN</t>
        </is>
      </c>
      <c r="E323" t="inlineStr">
        <is>
          <t>ORSA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53709-2022</t>
        </is>
      </c>
      <c r="B324" s="1" t="n">
        <v>44880</v>
      </c>
      <c r="C324" s="1" t="n">
        <v>45796</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53831-2022</t>
        </is>
      </c>
      <c r="B325" s="1" t="n">
        <v>44880</v>
      </c>
      <c r="C325" s="1" t="n">
        <v>45796</v>
      </c>
      <c r="D325" t="inlineStr">
        <is>
          <t>DALARNAS LÄN</t>
        </is>
      </c>
      <c r="E325" t="inlineStr">
        <is>
          <t>ORSA</t>
        </is>
      </c>
      <c r="F325" t="inlineStr">
        <is>
          <t>Allmännings- och besparingsskogar</t>
        </is>
      </c>
      <c r="G325" t="n">
        <v>14.6</v>
      </c>
      <c r="H325" t="n">
        <v>0</v>
      </c>
      <c r="I325" t="n">
        <v>0</v>
      </c>
      <c r="J325" t="n">
        <v>0</v>
      </c>
      <c r="K325" t="n">
        <v>0</v>
      </c>
      <c r="L325" t="n">
        <v>0</v>
      </c>
      <c r="M325" t="n">
        <v>0</v>
      </c>
      <c r="N325" t="n">
        <v>0</v>
      </c>
      <c r="O325" t="n">
        <v>0</v>
      </c>
      <c r="P325" t="n">
        <v>0</v>
      </c>
      <c r="Q325" t="n">
        <v>0</v>
      </c>
      <c r="R325" s="2" t="inlineStr"/>
    </row>
    <row r="326" ht="15" customHeight="1">
      <c r="A326" t="inlineStr">
        <is>
          <t>A 55338-2022</t>
        </is>
      </c>
      <c r="B326" s="1" t="n">
        <v>44887</v>
      </c>
      <c r="C326" s="1" t="n">
        <v>45796</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55691-2022</t>
        </is>
      </c>
      <c r="B327" s="1" t="n">
        <v>44888</v>
      </c>
      <c r="C327" s="1" t="n">
        <v>45796</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56587-2022</t>
        </is>
      </c>
      <c r="B328" s="1" t="n">
        <v>44893</v>
      </c>
      <c r="C328" s="1" t="n">
        <v>45796</v>
      </c>
      <c r="D328" t="inlineStr">
        <is>
          <t>DALARNAS LÄN</t>
        </is>
      </c>
      <c r="E328" t="inlineStr">
        <is>
          <t>ORSA</t>
        </is>
      </c>
      <c r="F328" t="inlineStr">
        <is>
          <t>Allmännings- och besparingsskogar</t>
        </is>
      </c>
      <c r="G328" t="n">
        <v>1.1</v>
      </c>
      <c r="H328" t="n">
        <v>0</v>
      </c>
      <c r="I328" t="n">
        <v>0</v>
      </c>
      <c r="J328" t="n">
        <v>0</v>
      </c>
      <c r="K328" t="n">
        <v>0</v>
      </c>
      <c r="L328" t="n">
        <v>0</v>
      </c>
      <c r="M328" t="n">
        <v>0</v>
      </c>
      <c r="N328" t="n">
        <v>0</v>
      </c>
      <c r="O328" t="n">
        <v>0</v>
      </c>
      <c r="P328" t="n">
        <v>0</v>
      </c>
      <c r="Q328" t="n">
        <v>0</v>
      </c>
      <c r="R328" s="2" t="inlineStr"/>
    </row>
    <row r="329" ht="15" customHeight="1">
      <c r="A329" t="inlineStr">
        <is>
          <t>A 56632-2022</t>
        </is>
      </c>
      <c r="B329" s="1" t="n">
        <v>44893</v>
      </c>
      <c r="C329" s="1" t="n">
        <v>45796</v>
      </c>
      <c r="D329" t="inlineStr">
        <is>
          <t>DALARNAS LÄN</t>
        </is>
      </c>
      <c r="E329" t="inlineStr">
        <is>
          <t>ORSA</t>
        </is>
      </c>
      <c r="G329" t="n">
        <v>6.7</v>
      </c>
      <c r="H329" t="n">
        <v>0</v>
      </c>
      <c r="I329" t="n">
        <v>0</v>
      </c>
      <c r="J329" t="n">
        <v>0</v>
      </c>
      <c r="K329" t="n">
        <v>0</v>
      </c>
      <c r="L329" t="n">
        <v>0</v>
      </c>
      <c r="M329" t="n">
        <v>0</v>
      </c>
      <c r="N329" t="n">
        <v>0</v>
      </c>
      <c r="O329" t="n">
        <v>0</v>
      </c>
      <c r="P329" t="n">
        <v>0</v>
      </c>
      <c r="Q329" t="n">
        <v>0</v>
      </c>
      <c r="R329" s="2" t="inlineStr"/>
    </row>
    <row r="330" ht="15" customHeight="1">
      <c r="A330" t="inlineStr">
        <is>
          <t>A 56578-2022</t>
        </is>
      </c>
      <c r="B330" s="1" t="n">
        <v>44893</v>
      </c>
      <c r="C330" s="1" t="n">
        <v>45796</v>
      </c>
      <c r="D330" t="inlineStr">
        <is>
          <t>DALARNAS LÄN</t>
        </is>
      </c>
      <c r="E330" t="inlineStr">
        <is>
          <t>ORSA</t>
        </is>
      </c>
      <c r="F330" t="inlineStr">
        <is>
          <t>Allmännings- och besparingsskogar</t>
        </is>
      </c>
      <c r="G330" t="n">
        <v>2.3</v>
      </c>
      <c r="H330" t="n">
        <v>0</v>
      </c>
      <c r="I330" t="n">
        <v>0</v>
      </c>
      <c r="J330" t="n">
        <v>0</v>
      </c>
      <c r="K330" t="n">
        <v>0</v>
      </c>
      <c r="L330" t="n">
        <v>0</v>
      </c>
      <c r="M330" t="n">
        <v>0</v>
      </c>
      <c r="N330" t="n">
        <v>0</v>
      </c>
      <c r="O330" t="n">
        <v>0</v>
      </c>
      <c r="P330" t="n">
        <v>0</v>
      </c>
      <c r="Q330" t="n">
        <v>0</v>
      </c>
      <c r="R330" s="2" t="inlineStr"/>
    </row>
    <row r="331" ht="15" customHeight="1">
      <c r="A331" t="inlineStr">
        <is>
          <t>A 57552-2022</t>
        </is>
      </c>
      <c r="B331" s="1" t="n">
        <v>44896</v>
      </c>
      <c r="C331" s="1" t="n">
        <v>45796</v>
      </c>
      <c r="D331" t="inlineStr">
        <is>
          <t>DALARNAS LÄN</t>
        </is>
      </c>
      <c r="E331" t="inlineStr">
        <is>
          <t>ORSA</t>
        </is>
      </c>
      <c r="F331" t="inlineStr">
        <is>
          <t>Bergvik skog öst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57533-2022</t>
        </is>
      </c>
      <c r="B332" s="1" t="n">
        <v>44896</v>
      </c>
      <c r="C332" s="1" t="n">
        <v>45796</v>
      </c>
      <c r="D332" t="inlineStr">
        <is>
          <t>DALARNAS LÄN</t>
        </is>
      </c>
      <c r="E332" t="inlineStr">
        <is>
          <t>ORSA</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58068-2022</t>
        </is>
      </c>
      <c r="B333" s="1" t="n">
        <v>44900</v>
      </c>
      <c r="C333" s="1" t="n">
        <v>45796</v>
      </c>
      <c r="D333" t="inlineStr">
        <is>
          <t>DALARNAS LÄN</t>
        </is>
      </c>
      <c r="E333" t="inlineStr">
        <is>
          <t>ORSA</t>
        </is>
      </c>
      <c r="F333" t="inlineStr">
        <is>
          <t>Bergvik skog öst AB</t>
        </is>
      </c>
      <c r="G333" t="n">
        <v>10.6</v>
      </c>
      <c r="H333" t="n">
        <v>0</v>
      </c>
      <c r="I333" t="n">
        <v>0</v>
      </c>
      <c r="J333" t="n">
        <v>0</v>
      </c>
      <c r="K333" t="n">
        <v>0</v>
      </c>
      <c r="L333" t="n">
        <v>0</v>
      </c>
      <c r="M333" t="n">
        <v>0</v>
      </c>
      <c r="N333" t="n">
        <v>0</v>
      </c>
      <c r="O333" t="n">
        <v>0</v>
      </c>
      <c r="P333" t="n">
        <v>0</v>
      </c>
      <c r="Q333" t="n">
        <v>0</v>
      </c>
      <c r="R333" s="2" t="inlineStr"/>
    </row>
    <row r="334" ht="15" customHeight="1">
      <c r="A334" t="inlineStr">
        <is>
          <t>A 58853-2022</t>
        </is>
      </c>
      <c r="B334" s="1" t="n">
        <v>44903</v>
      </c>
      <c r="C334" s="1" t="n">
        <v>45796</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58851-2022</t>
        </is>
      </c>
      <c r="B335" s="1" t="n">
        <v>44903</v>
      </c>
      <c r="C335" s="1" t="n">
        <v>45796</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58846-2022</t>
        </is>
      </c>
      <c r="B336" s="1" t="n">
        <v>44903</v>
      </c>
      <c r="C336" s="1" t="n">
        <v>45796</v>
      </c>
      <c r="D336" t="inlineStr">
        <is>
          <t>DALARNAS LÄN</t>
        </is>
      </c>
      <c r="E336" t="inlineStr">
        <is>
          <t>ORSA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59442-2022</t>
        </is>
      </c>
      <c r="B337" s="1" t="n">
        <v>44907</v>
      </c>
      <c r="C337" s="1" t="n">
        <v>45796</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59462-2022</t>
        </is>
      </c>
      <c r="B338" s="1" t="n">
        <v>44907</v>
      </c>
      <c r="C338" s="1" t="n">
        <v>45796</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59737-2022</t>
        </is>
      </c>
      <c r="B339" s="1" t="n">
        <v>44908</v>
      </c>
      <c r="C339" s="1" t="n">
        <v>45796</v>
      </c>
      <c r="D339" t="inlineStr">
        <is>
          <t>DALARNAS LÄN</t>
        </is>
      </c>
      <c r="E339" t="inlineStr">
        <is>
          <t>ORSA</t>
        </is>
      </c>
      <c r="G339" t="n">
        <v>3.5</v>
      </c>
      <c r="H339" t="n">
        <v>0</v>
      </c>
      <c r="I339" t="n">
        <v>0</v>
      </c>
      <c r="J339" t="n">
        <v>0</v>
      </c>
      <c r="K339" t="n">
        <v>0</v>
      </c>
      <c r="L339" t="n">
        <v>0</v>
      </c>
      <c r="M339" t="n">
        <v>0</v>
      </c>
      <c r="N339" t="n">
        <v>0</v>
      </c>
      <c r="O339" t="n">
        <v>0</v>
      </c>
      <c r="P339" t="n">
        <v>0</v>
      </c>
      <c r="Q339" t="n">
        <v>0</v>
      </c>
      <c r="R339" s="2" t="inlineStr"/>
    </row>
    <row r="340" ht="15" customHeight="1">
      <c r="A340" t="inlineStr">
        <is>
          <t>A 59944-2022</t>
        </is>
      </c>
      <c r="B340" s="1" t="n">
        <v>44909</v>
      </c>
      <c r="C340" s="1" t="n">
        <v>45796</v>
      </c>
      <c r="D340" t="inlineStr">
        <is>
          <t>DALARNAS LÄN</t>
        </is>
      </c>
      <c r="E340" t="inlineStr">
        <is>
          <t>ORSA</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60189-2022</t>
        </is>
      </c>
      <c r="B341" s="1" t="n">
        <v>44910</v>
      </c>
      <c r="C341" s="1" t="n">
        <v>45796</v>
      </c>
      <c r="D341" t="inlineStr">
        <is>
          <t>DALARNAS LÄN</t>
        </is>
      </c>
      <c r="E341" t="inlineStr">
        <is>
          <t>ORSA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45796</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61118-2022</t>
        </is>
      </c>
      <c r="B343" s="1" t="n">
        <v>44915</v>
      </c>
      <c r="C343" s="1" t="n">
        <v>45796</v>
      </c>
      <c r="D343" t="inlineStr">
        <is>
          <t>DALARNAS LÄN</t>
        </is>
      </c>
      <c r="E343" t="inlineStr">
        <is>
          <t>ORSA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61698-2022</t>
        </is>
      </c>
      <c r="B344" s="1" t="n">
        <v>44917</v>
      </c>
      <c r="C344" s="1" t="n">
        <v>45796</v>
      </c>
      <c r="D344" t="inlineStr">
        <is>
          <t>DALARNAS LÄN</t>
        </is>
      </c>
      <c r="E344" t="inlineStr">
        <is>
          <t>ORSA</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61699-2022</t>
        </is>
      </c>
      <c r="B345" s="1" t="n">
        <v>44917</v>
      </c>
      <c r="C345" s="1" t="n">
        <v>45796</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61865-2022</t>
        </is>
      </c>
      <c r="B346" s="1" t="n">
        <v>44917</v>
      </c>
      <c r="C346" s="1" t="n">
        <v>45796</v>
      </c>
      <c r="D346" t="inlineStr">
        <is>
          <t>DALARNAS LÄN</t>
        </is>
      </c>
      <c r="E346" t="inlineStr">
        <is>
          <t>ORSA</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159-2023</t>
        </is>
      </c>
      <c r="B347" s="1" t="n">
        <v>44928</v>
      </c>
      <c r="C347" s="1" t="n">
        <v>45796</v>
      </c>
      <c r="D347" t="inlineStr">
        <is>
          <t>DALARNAS LÄN</t>
        </is>
      </c>
      <c r="E347" t="inlineStr">
        <is>
          <t>ORSA</t>
        </is>
      </c>
      <c r="F347" t="inlineStr">
        <is>
          <t>Kyrkan</t>
        </is>
      </c>
      <c r="G347" t="n">
        <v>5.8</v>
      </c>
      <c r="H347" t="n">
        <v>0</v>
      </c>
      <c r="I347" t="n">
        <v>0</v>
      </c>
      <c r="J347" t="n">
        <v>0</v>
      </c>
      <c r="K347" t="n">
        <v>0</v>
      </c>
      <c r="L347" t="n">
        <v>0</v>
      </c>
      <c r="M347" t="n">
        <v>0</v>
      </c>
      <c r="N347" t="n">
        <v>0</v>
      </c>
      <c r="O347" t="n">
        <v>0</v>
      </c>
      <c r="P347" t="n">
        <v>0</v>
      </c>
      <c r="Q347" t="n">
        <v>0</v>
      </c>
      <c r="R347" s="2" t="inlineStr"/>
    </row>
    <row r="348" ht="15" customHeight="1">
      <c r="A348" t="inlineStr">
        <is>
          <t>A 162-2023</t>
        </is>
      </c>
      <c r="B348" s="1" t="n">
        <v>44928</v>
      </c>
      <c r="C348" s="1" t="n">
        <v>45796</v>
      </c>
      <c r="D348" t="inlineStr">
        <is>
          <t>DALARNAS LÄN</t>
        </is>
      </c>
      <c r="E348" t="inlineStr">
        <is>
          <t>ORSA</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160-2023</t>
        </is>
      </c>
      <c r="B349" s="1" t="n">
        <v>44928</v>
      </c>
      <c r="C349" s="1" t="n">
        <v>45796</v>
      </c>
      <c r="D349" t="inlineStr">
        <is>
          <t>DALARNAS LÄN</t>
        </is>
      </c>
      <c r="E349" t="inlineStr">
        <is>
          <t>ORSA</t>
        </is>
      </c>
      <c r="F349" t="inlineStr">
        <is>
          <t>Kyrkan</t>
        </is>
      </c>
      <c r="G349" t="n">
        <v>3.4</v>
      </c>
      <c r="H349" t="n">
        <v>0</v>
      </c>
      <c r="I349" t="n">
        <v>0</v>
      </c>
      <c r="J349" t="n">
        <v>0</v>
      </c>
      <c r="K349" t="n">
        <v>0</v>
      </c>
      <c r="L349" t="n">
        <v>0</v>
      </c>
      <c r="M349" t="n">
        <v>0</v>
      </c>
      <c r="N349" t="n">
        <v>0</v>
      </c>
      <c r="O349" t="n">
        <v>0</v>
      </c>
      <c r="P349" t="n">
        <v>0</v>
      </c>
      <c r="Q349" t="n">
        <v>0</v>
      </c>
      <c r="R349" s="2" t="inlineStr"/>
    </row>
    <row r="350" ht="15" customHeight="1">
      <c r="A350" t="inlineStr">
        <is>
          <t>A 2044-2023</t>
        </is>
      </c>
      <c r="B350" s="1" t="n">
        <v>44939</v>
      </c>
      <c r="C350" s="1" t="n">
        <v>45796</v>
      </c>
      <c r="D350" t="inlineStr">
        <is>
          <t>DALARNAS LÄN</t>
        </is>
      </c>
      <c r="E350" t="inlineStr">
        <is>
          <t>ORSA</t>
        </is>
      </c>
      <c r="G350" t="n">
        <v>4.1</v>
      </c>
      <c r="H350" t="n">
        <v>0</v>
      </c>
      <c r="I350" t="n">
        <v>0</v>
      </c>
      <c r="J350" t="n">
        <v>0</v>
      </c>
      <c r="K350" t="n">
        <v>0</v>
      </c>
      <c r="L350" t="n">
        <v>0</v>
      </c>
      <c r="M350" t="n">
        <v>0</v>
      </c>
      <c r="N350" t="n">
        <v>0</v>
      </c>
      <c r="O350" t="n">
        <v>0</v>
      </c>
      <c r="P350" t="n">
        <v>0</v>
      </c>
      <c r="Q350" t="n">
        <v>0</v>
      </c>
      <c r="R350" s="2" t="inlineStr"/>
    </row>
    <row r="351" ht="15" customHeight="1">
      <c r="A351" t="inlineStr">
        <is>
          <t>A 2228-2023</t>
        </is>
      </c>
      <c r="B351" s="1" t="n">
        <v>44942</v>
      </c>
      <c r="C351" s="1" t="n">
        <v>45796</v>
      </c>
      <c r="D351" t="inlineStr">
        <is>
          <t>DALARNAS LÄN</t>
        </is>
      </c>
      <c r="E351" t="inlineStr">
        <is>
          <t>ORSA</t>
        </is>
      </c>
      <c r="G351" t="n">
        <v>6.4</v>
      </c>
      <c r="H351" t="n">
        <v>0</v>
      </c>
      <c r="I351" t="n">
        <v>0</v>
      </c>
      <c r="J351" t="n">
        <v>0</v>
      </c>
      <c r="K351" t="n">
        <v>0</v>
      </c>
      <c r="L351" t="n">
        <v>0</v>
      </c>
      <c r="M351" t="n">
        <v>0</v>
      </c>
      <c r="N351" t="n">
        <v>0</v>
      </c>
      <c r="O351" t="n">
        <v>0</v>
      </c>
      <c r="P351" t="n">
        <v>0</v>
      </c>
      <c r="Q351" t="n">
        <v>0</v>
      </c>
      <c r="R351" s="2" t="inlineStr"/>
    </row>
    <row r="352" ht="15" customHeight="1">
      <c r="A352" t="inlineStr">
        <is>
          <t>A 3318-2023</t>
        </is>
      </c>
      <c r="B352" s="1" t="n">
        <v>44949</v>
      </c>
      <c r="C352" s="1" t="n">
        <v>45796</v>
      </c>
      <c r="D352" t="inlineStr">
        <is>
          <t>DALARNAS LÄN</t>
        </is>
      </c>
      <c r="E352" t="inlineStr">
        <is>
          <t>ORSA</t>
        </is>
      </c>
      <c r="G352" t="n">
        <v>4.4</v>
      </c>
      <c r="H352" t="n">
        <v>0</v>
      </c>
      <c r="I352" t="n">
        <v>0</v>
      </c>
      <c r="J352" t="n">
        <v>0</v>
      </c>
      <c r="K352" t="n">
        <v>0</v>
      </c>
      <c r="L352" t="n">
        <v>0</v>
      </c>
      <c r="M352" t="n">
        <v>0</v>
      </c>
      <c r="N352" t="n">
        <v>0</v>
      </c>
      <c r="O352" t="n">
        <v>0</v>
      </c>
      <c r="P352" t="n">
        <v>0</v>
      </c>
      <c r="Q352" t="n">
        <v>0</v>
      </c>
      <c r="R352" s="2" t="inlineStr"/>
    </row>
    <row r="353" ht="15" customHeight="1">
      <c r="A353" t="inlineStr">
        <is>
          <t>A 3320-2023</t>
        </is>
      </c>
      <c r="B353" s="1" t="n">
        <v>44949</v>
      </c>
      <c r="C353" s="1" t="n">
        <v>45796</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3720-2023</t>
        </is>
      </c>
      <c r="B354" s="1" t="n">
        <v>44951</v>
      </c>
      <c r="C354" s="1" t="n">
        <v>45796</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3951-2023</t>
        </is>
      </c>
      <c r="B355" s="1" t="n">
        <v>44952</v>
      </c>
      <c r="C355" s="1" t="n">
        <v>45796</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6047-2023</t>
        </is>
      </c>
      <c r="B356" s="1" t="n">
        <v>44964</v>
      </c>
      <c r="C356" s="1" t="n">
        <v>45796</v>
      </c>
      <c r="D356" t="inlineStr">
        <is>
          <t>DALARNAS LÄN</t>
        </is>
      </c>
      <c r="E356" t="inlineStr">
        <is>
          <t>ORSA</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7814-2023</t>
        </is>
      </c>
      <c r="B357" s="1" t="n">
        <v>44973</v>
      </c>
      <c r="C357" s="1" t="n">
        <v>45796</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7878-2023</t>
        </is>
      </c>
      <c r="B358" s="1" t="n">
        <v>44973</v>
      </c>
      <c r="C358" s="1" t="n">
        <v>45796</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9466-2023</t>
        </is>
      </c>
      <c r="B359" s="1" t="n">
        <v>44981</v>
      </c>
      <c r="C359" s="1" t="n">
        <v>45796</v>
      </c>
      <c r="D359" t="inlineStr">
        <is>
          <t>DALARNAS LÄN</t>
        </is>
      </c>
      <c r="E359" t="inlineStr">
        <is>
          <t>ORSA</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10004-2023</t>
        </is>
      </c>
      <c r="B360" s="1" t="n">
        <v>44985</v>
      </c>
      <c r="C360" s="1" t="n">
        <v>45796</v>
      </c>
      <c r="D360" t="inlineStr">
        <is>
          <t>DALARNAS LÄN</t>
        </is>
      </c>
      <c r="E360" t="inlineStr">
        <is>
          <t>ORSA</t>
        </is>
      </c>
      <c r="G360" t="n">
        <v>2.1</v>
      </c>
      <c r="H360" t="n">
        <v>0</v>
      </c>
      <c r="I360" t="n">
        <v>0</v>
      </c>
      <c r="J360" t="n">
        <v>0</v>
      </c>
      <c r="K360" t="n">
        <v>0</v>
      </c>
      <c r="L360" t="n">
        <v>0</v>
      </c>
      <c r="M360" t="n">
        <v>0</v>
      </c>
      <c r="N360" t="n">
        <v>0</v>
      </c>
      <c r="O360" t="n">
        <v>0</v>
      </c>
      <c r="P360" t="n">
        <v>0</v>
      </c>
      <c r="Q360" t="n">
        <v>0</v>
      </c>
      <c r="R360" s="2" t="inlineStr"/>
    </row>
    <row r="361" ht="15" customHeight="1">
      <c r="A361" t="inlineStr">
        <is>
          <t>A 10048-2023</t>
        </is>
      </c>
      <c r="B361" s="1" t="n">
        <v>44985</v>
      </c>
      <c r="C361" s="1" t="n">
        <v>45796</v>
      </c>
      <c r="D361" t="inlineStr">
        <is>
          <t>DALARNAS LÄN</t>
        </is>
      </c>
      <c r="E361" t="inlineStr">
        <is>
          <t>ORSA</t>
        </is>
      </c>
      <c r="G361" t="n">
        <v>4.8</v>
      </c>
      <c r="H361" t="n">
        <v>0</v>
      </c>
      <c r="I361" t="n">
        <v>0</v>
      </c>
      <c r="J361" t="n">
        <v>0</v>
      </c>
      <c r="K361" t="n">
        <v>0</v>
      </c>
      <c r="L361" t="n">
        <v>0</v>
      </c>
      <c r="M361" t="n">
        <v>0</v>
      </c>
      <c r="N361" t="n">
        <v>0</v>
      </c>
      <c r="O361" t="n">
        <v>0</v>
      </c>
      <c r="P361" t="n">
        <v>0</v>
      </c>
      <c r="Q361" t="n">
        <v>0</v>
      </c>
      <c r="R361" s="2" t="inlineStr"/>
    </row>
    <row r="362" ht="15" customHeight="1">
      <c r="A362" t="inlineStr">
        <is>
          <t>A 10227-2023</t>
        </is>
      </c>
      <c r="B362" s="1" t="n">
        <v>44986</v>
      </c>
      <c r="C362" s="1" t="n">
        <v>45796</v>
      </c>
      <c r="D362" t="inlineStr">
        <is>
          <t>DALARNAS LÄN</t>
        </is>
      </c>
      <c r="E362" t="inlineStr">
        <is>
          <t>ORSA</t>
        </is>
      </c>
      <c r="G362" t="n">
        <v>3.1</v>
      </c>
      <c r="H362" t="n">
        <v>0</v>
      </c>
      <c r="I362" t="n">
        <v>0</v>
      </c>
      <c r="J362" t="n">
        <v>0</v>
      </c>
      <c r="K362" t="n">
        <v>0</v>
      </c>
      <c r="L362" t="n">
        <v>0</v>
      </c>
      <c r="M362" t="n">
        <v>0</v>
      </c>
      <c r="N362" t="n">
        <v>0</v>
      </c>
      <c r="O362" t="n">
        <v>0</v>
      </c>
      <c r="P362" t="n">
        <v>0</v>
      </c>
      <c r="Q362" t="n">
        <v>0</v>
      </c>
      <c r="R362" s="2" t="inlineStr"/>
    </row>
    <row r="363" ht="15" customHeight="1">
      <c r="A363" t="inlineStr">
        <is>
          <t>A 10359-2023</t>
        </is>
      </c>
      <c r="B363" s="1" t="n">
        <v>44987</v>
      </c>
      <c r="C363" s="1" t="n">
        <v>45796</v>
      </c>
      <c r="D363" t="inlineStr">
        <is>
          <t>DALARNAS LÄN</t>
        </is>
      </c>
      <c r="E363" t="inlineStr">
        <is>
          <t>ORSA</t>
        </is>
      </c>
      <c r="G363" t="n">
        <v>2.5</v>
      </c>
      <c r="H363" t="n">
        <v>0</v>
      </c>
      <c r="I363" t="n">
        <v>0</v>
      </c>
      <c r="J363" t="n">
        <v>0</v>
      </c>
      <c r="K363" t="n">
        <v>0</v>
      </c>
      <c r="L363" t="n">
        <v>0</v>
      </c>
      <c r="M363" t="n">
        <v>0</v>
      </c>
      <c r="N363" t="n">
        <v>0</v>
      </c>
      <c r="O363" t="n">
        <v>0</v>
      </c>
      <c r="P363" t="n">
        <v>0</v>
      </c>
      <c r="Q363" t="n">
        <v>0</v>
      </c>
      <c r="R363" s="2" t="inlineStr"/>
    </row>
    <row r="364" ht="15" customHeight="1">
      <c r="A364" t="inlineStr">
        <is>
          <t>A 10374-2023</t>
        </is>
      </c>
      <c r="B364" s="1" t="n">
        <v>44987</v>
      </c>
      <c r="C364" s="1" t="n">
        <v>45796</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11595-2023</t>
        </is>
      </c>
      <c r="B365" s="1" t="n">
        <v>44994</v>
      </c>
      <c r="C365" s="1" t="n">
        <v>45796</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12065-2023</t>
        </is>
      </c>
      <c r="B366" s="1" t="n">
        <v>44997</v>
      </c>
      <c r="C366" s="1" t="n">
        <v>45796</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14680-2023</t>
        </is>
      </c>
      <c r="B367" s="1" t="n">
        <v>45014</v>
      </c>
      <c r="C367" s="1" t="n">
        <v>45796</v>
      </c>
      <c r="D367" t="inlineStr">
        <is>
          <t>DALARNAS LÄN</t>
        </is>
      </c>
      <c r="E367" t="inlineStr">
        <is>
          <t>ORSA</t>
        </is>
      </c>
      <c r="G367" t="n">
        <v>4.2</v>
      </c>
      <c r="H367" t="n">
        <v>0</v>
      </c>
      <c r="I367" t="n">
        <v>0</v>
      </c>
      <c r="J367" t="n">
        <v>0</v>
      </c>
      <c r="K367" t="n">
        <v>0</v>
      </c>
      <c r="L367" t="n">
        <v>0</v>
      </c>
      <c r="M367" t="n">
        <v>0</v>
      </c>
      <c r="N367" t="n">
        <v>0</v>
      </c>
      <c r="O367" t="n">
        <v>0</v>
      </c>
      <c r="P367" t="n">
        <v>0</v>
      </c>
      <c r="Q367" t="n">
        <v>0</v>
      </c>
      <c r="R367" s="2" t="inlineStr"/>
    </row>
    <row r="368" ht="15" customHeight="1">
      <c r="A368" t="inlineStr">
        <is>
          <t>A 15594-2023</t>
        </is>
      </c>
      <c r="B368" s="1" t="n">
        <v>45020</v>
      </c>
      <c r="C368" s="1" t="n">
        <v>45796</v>
      </c>
      <c r="D368" t="inlineStr">
        <is>
          <t>DALARNAS LÄN</t>
        </is>
      </c>
      <c r="E368" t="inlineStr">
        <is>
          <t>ORSA</t>
        </is>
      </c>
      <c r="F368" t="inlineStr">
        <is>
          <t>Bergvik skog öst AB</t>
        </is>
      </c>
      <c r="G368" t="n">
        <v>1.9</v>
      </c>
      <c r="H368" t="n">
        <v>0</v>
      </c>
      <c r="I368" t="n">
        <v>0</v>
      </c>
      <c r="J368" t="n">
        <v>0</v>
      </c>
      <c r="K368" t="n">
        <v>0</v>
      </c>
      <c r="L368" t="n">
        <v>0</v>
      </c>
      <c r="M368" t="n">
        <v>0</v>
      </c>
      <c r="N368" t="n">
        <v>0</v>
      </c>
      <c r="O368" t="n">
        <v>0</v>
      </c>
      <c r="P368" t="n">
        <v>0</v>
      </c>
      <c r="Q368" t="n">
        <v>0</v>
      </c>
      <c r="R368" s="2" t="inlineStr"/>
    </row>
    <row r="369" ht="15" customHeight="1">
      <c r="A369" t="inlineStr">
        <is>
          <t>A 16423-2023</t>
        </is>
      </c>
      <c r="B369" s="1" t="n">
        <v>45029</v>
      </c>
      <c r="C369" s="1" t="n">
        <v>45796</v>
      </c>
      <c r="D369" t="inlineStr">
        <is>
          <t>DALARNAS LÄN</t>
        </is>
      </c>
      <c r="E369" t="inlineStr">
        <is>
          <t>ORSA</t>
        </is>
      </c>
      <c r="F369" t="inlineStr">
        <is>
          <t>Bergvik skog öst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16585-2023</t>
        </is>
      </c>
      <c r="B370" s="1" t="n">
        <v>45030</v>
      </c>
      <c r="C370" s="1" t="n">
        <v>45796</v>
      </c>
      <c r="D370" t="inlineStr">
        <is>
          <t>DALARNAS LÄN</t>
        </is>
      </c>
      <c r="E370" t="inlineStr">
        <is>
          <t>ORSA</t>
        </is>
      </c>
      <c r="G370" t="n">
        <v>1</v>
      </c>
      <c r="H370" t="n">
        <v>0</v>
      </c>
      <c r="I370" t="n">
        <v>0</v>
      </c>
      <c r="J370" t="n">
        <v>0</v>
      </c>
      <c r="K370" t="n">
        <v>0</v>
      </c>
      <c r="L370" t="n">
        <v>0</v>
      </c>
      <c r="M370" t="n">
        <v>0</v>
      </c>
      <c r="N370" t="n">
        <v>0</v>
      </c>
      <c r="O370" t="n">
        <v>0</v>
      </c>
      <c r="P370" t="n">
        <v>0</v>
      </c>
      <c r="Q370" t="n">
        <v>0</v>
      </c>
      <c r="R370" s="2" t="inlineStr"/>
    </row>
    <row r="371" ht="15" customHeight="1">
      <c r="A371" t="inlineStr">
        <is>
          <t>A 18037-2023</t>
        </is>
      </c>
      <c r="B371" s="1" t="n">
        <v>45040</v>
      </c>
      <c r="C371" s="1" t="n">
        <v>45796</v>
      </c>
      <c r="D371" t="inlineStr">
        <is>
          <t>DALARNAS LÄN</t>
        </is>
      </c>
      <c r="E371" t="inlineStr">
        <is>
          <t>ORSA</t>
        </is>
      </c>
      <c r="G371" t="n">
        <v>6.6</v>
      </c>
      <c r="H371" t="n">
        <v>0</v>
      </c>
      <c r="I371" t="n">
        <v>0</v>
      </c>
      <c r="J371" t="n">
        <v>0</v>
      </c>
      <c r="K371" t="n">
        <v>0</v>
      </c>
      <c r="L371" t="n">
        <v>0</v>
      </c>
      <c r="M371" t="n">
        <v>0</v>
      </c>
      <c r="N371" t="n">
        <v>0</v>
      </c>
      <c r="O371" t="n">
        <v>0</v>
      </c>
      <c r="P371" t="n">
        <v>0</v>
      </c>
      <c r="Q371" t="n">
        <v>0</v>
      </c>
      <c r="R371" s="2" t="inlineStr"/>
    </row>
    <row r="372" ht="15" customHeight="1">
      <c r="A372" t="inlineStr">
        <is>
          <t>A 18069-2023</t>
        </is>
      </c>
      <c r="B372" s="1" t="n">
        <v>45040</v>
      </c>
      <c r="C372" s="1" t="n">
        <v>45796</v>
      </c>
      <c r="D372" t="inlineStr">
        <is>
          <t>DALARNAS LÄN</t>
        </is>
      </c>
      <c r="E372" t="inlineStr">
        <is>
          <t>ORSA</t>
        </is>
      </c>
      <c r="G372" t="n">
        <v>3.7</v>
      </c>
      <c r="H372" t="n">
        <v>0</v>
      </c>
      <c r="I372" t="n">
        <v>0</v>
      </c>
      <c r="J372" t="n">
        <v>0</v>
      </c>
      <c r="K372" t="n">
        <v>0</v>
      </c>
      <c r="L372" t="n">
        <v>0</v>
      </c>
      <c r="M372" t="n">
        <v>0</v>
      </c>
      <c r="N372" t="n">
        <v>0</v>
      </c>
      <c r="O372" t="n">
        <v>0</v>
      </c>
      <c r="P372" t="n">
        <v>0</v>
      </c>
      <c r="Q372" t="n">
        <v>0</v>
      </c>
      <c r="R372" s="2" t="inlineStr"/>
    </row>
    <row r="373" ht="15" customHeight="1">
      <c r="A373" t="inlineStr">
        <is>
          <t>A 18009-2023</t>
        </is>
      </c>
      <c r="B373" s="1" t="n">
        <v>45040</v>
      </c>
      <c r="C373" s="1" t="n">
        <v>45796</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18070-2023</t>
        </is>
      </c>
      <c r="B374" s="1" t="n">
        <v>45040</v>
      </c>
      <c r="C374" s="1" t="n">
        <v>45796</v>
      </c>
      <c r="D374" t="inlineStr">
        <is>
          <t>DALARNAS LÄN</t>
        </is>
      </c>
      <c r="E374" t="inlineStr">
        <is>
          <t>ORSA</t>
        </is>
      </c>
      <c r="G374" t="n">
        <v>3.3</v>
      </c>
      <c r="H374" t="n">
        <v>0</v>
      </c>
      <c r="I374" t="n">
        <v>0</v>
      </c>
      <c r="J374" t="n">
        <v>0</v>
      </c>
      <c r="K374" t="n">
        <v>0</v>
      </c>
      <c r="L374" t="n">
        <v>0</v>
      </c>
      <c r="M374" t="n">
        <v>0</v>
      </c>
      <c r="N374" t="n">
        <v>0</v>
      </c>
      <c r="O374" t="n">
        <v>0</v>
      </c>
      <c r="P374" t="n">
        <v>0</v>
      </c>
      <c r="Q374" t="n">
        <v>0</v>
      </c>
      <c r="R374" s="2" t="inlineStr"/>
    </row>
    <row r="375" ht="15" customHeight="1">
      <c r="A375" t="inlineStr">
        <is>
          <t>A 18817-2023</t>
        </is>
      </c>
      <c r="B375" s="1" t="n">
        <v>45043</v>
      </c>
      <c r="C375" s="1" t="n">
        <v>45796</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19266-2023</t>
        </is>
      </c>
      <c r="B376" s="1" t="n">
        <v>45049</v>
      </c>
      <c r="C376" s="1" t="n">
        <v>45796</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20302-2023</t>
        </is>
      </c>
      <c r="B377" s="1" t="n">
        <v>45056</v>
      </c>
      <c r="C377" s="1" t="n">
        <v>45796</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20493-2023</t>
        </is>
      </c>
      <c r="B378" s="1" t="n">
        <v>45057</v>
      </c>
      <c r="C378" s="1" t="n">
        <v>45796</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20561-2023</t>
        </is>
      </c>
      <c r="B379" s="1" t="n">
        <v>45057</v>
      </c>
      <c r="C379" s="1" t="n">
        <v>45796</v>
      </c>
      <c r="D379" t="inlineStr">
        <is>
          <t>DALARNAS LÄN</t>
        </is>
      </c>
      <c r="E379" t="inlineStr">
        <is>
          <t>ORSA</t>
        </is>
      </c>
      <c r="F379" t="inlineStr">
        <is>
          <t>Allmännings- och besparingsskogar</t>
        </is>
      </c>
      <c r="G379" t="n">
        <v>4.3</v>
      </c>
      <c r="H379" t="n">
        <v>0</v>
      </c>
      <c r="I379" t="n">
        <v>0</v>
      </c>
      <c r="J379" t="n">
        <v>0</v>
      </c>
      <c r="K379" t="n">
        <v>0</v>
      </c>
      <c r="L379" t="n">
        <v>0</v>
      </c>
      <c r="M379" t="n">
        <v>0</v>
      </c>
      <c r="N379" t="n">
        <v>0</v>
      </c>
      <c r="O379" t="n">
        <v>0</v>
      </c>
      <c r="P379" t="n">
        <v>0</v>
      </c>
      <c r="Q379" t="n">
        <v>0</v>
      </c>
      <c r="R379" s="2" t="inlineStr"/>
    </row>
    <row r="380" ht="15" customHeight="1">
      <c r="A380" t="inlineStr">
        <is>
          <t>A 20741-2023</t>
        </is>
      </c>
      <c r="B380" s="1" t="n">
        <v>45058</v>
      </c>
      <c r="C380" s="1" t="n">
        <v>45796</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20927-2023</t>
        </is>
      </c>
      <c r="B381" s="1" t="n">
        <v>45061</v>
      </c>
      <c r="C381" s="1" t="n">
        <v>45796</v>
      </c>
      <c r="D381" t="inlineStr">
        <is>
          <t>DALARNAS LÄN</t>
        </is>
      </c>
      <c r="E381" t="inlineStr">
        <is>
          <t>ORSA</t>
        </is>
      </c>
      <c r="G381" t="n">
        <v>3.8</v>
      </c>
      <c r="H381" t="n">
        <v>0</v>
      </c>
      <c r="I381" t="n">
        <v>0</v>
      </c>
      <c r="J381" t="n">
        <v>0</v>
      </c>
      <c r="K381" t="n">
        <v>0</v>
      </c>
      <c r="L381" t="n">
        <v>0</v>
      </c>
      <c r="M381" t="n">
        <v>0</v>
      </c>
      <c r="N381" t="n">
        <v>0</v>
      </c>
      <c r="O381" t="n">
        <v>0</v>
      </c>
      <c r="P381" t="n">
        <v>0</v>
      </c>
      <c r="Q381" t="n">
        <v>0</v>
      </c>
      <c r="R381" s="2" t="inlineStr"/>
    </row>
    <row r="382" ht="15" customHeight="1">
      <c r="A382" t="inlineStr">
        <is>
          <t>A 21301-2023</t>
        </is>
      </c>
      <c r="B382" s="1" t="n">
        <v>45062</v>
      </c>
      <c r="C382" s="1" t="n">
        <v>45796</v>
      </c>
      <c r="D382" t="inlineStr">
        <is>
          <t>DALARNAS LÄN</t>
        </is>
      </c>
      <c r="E382" t="inlineStr">
        <is>
          <t>ORSA</t>
        </is>
      </c>
      <c r="G382" t="n">
        <v>2.2</v>
      </c>
      <c r="H382" t="n">
        <v>0</v>
      </c>
      <c r="I382" t="n">
        <v>0</v>
      </c>
      <c r="J382" t="n">
        <v>0</v>
      </c>
      <c r="K382" t="n">
        <v>0</v>
      </c>
      <c r="L382" t="n">
        <v>0</v>
      </c>
      <c r="M382" t="n">
        <v>0</v>
      </c>
      <c r="N382" t="n">
        <v>0</v>
      </c>
      <c r="O382" t="n">
        <v>0</v>
      </c>
      <c r="P382" t="n">
        <v>0</v>
      </c>
      <c r="Q382" t="n">
        <v>0</v>
      </c>
      <c r="R382" s="2" t="inlineStr"/>
    </row>
    <row r="383" ht="15" customHeight="1">
      <c r="A383" t="inlineStr">
        <is>
          <t>A 21216-2023</t>
        </is>
      </c>
      <c r="B383" s="1" t="n">
        <v>45062</v>
      </c>
      <c r="C383" s="1" t="n">
        <v>45796</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21560-2023</t>
        </is>
      </c>
      <c r="B384" s="1" t="n">
        <v>45063</v>
      </c>
      <c r="C384" s="1" t="n">
        <v>45796</v>
      </c>
      <c r="D384" t="inlineStr">
        <is>
          <t>DALARNAS LÄN</t>
        </is>
      </c>
      <c r="E384" t="inlineStr">
        <is>
          <t>ORSA</t>
        </is>
      </c>
      <c r="F384" t="inlineStr">
        <is>
          <t>Bergvik skog öst AB</t>
        </is>
      </c>
      <c r="G384" t="n">
        <v>19.1</v>
      </c>
      <c r="H384" t="n">
        <v>0</v>
      </c>
      <c r="I384" t="n">
        <v>0</v>
      </c>
      <c r="J384" t="n">
        <v>0</v>
      </c>
      <c r="K384" t="n">
        <v>0</v>
      </c>
      <c r="L384" t="n">
        <v>0</v>
      </c>
      <c r="M384" t="n">
        <v>0</v>
      </c>
      <c r="N384" t="n">
        <v>0</v>
      </c>
      <c r="O384" t="n">
        <v>0</v>
      </c>
      <c r="P384" t="n">
        <v>0</v>
      </c>
      <c r="Q384" t="n">
        <v>0</v>
      </c>
      <c r="R384" s="2" t="inlineStr"/>
    </row>
    <row r="385" ht="15" customHeight="1">
      <c r="A385" t="inlineStr">
        <is>
          <t>A 21595-2023</t>
        </is>
      </c>
      <c r="B385" s="1" t="n">
        <v>45063</v>
      </c>
      <c r="C385" s="1" t="n">
        <v>45796</v>
      </c>
      <c r="D385" t="inlineStr">
        <is>
          <t>DALARNAS LÄN</t>
        </is>
      </c>
      <c r="E385" t="inlineStr">
        <is>
          <t>ORSA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22902-2023</t>
        </is>
      </c>
      <c r="B386" s="1" t="n">
        <v>45072</v>
      </c>
      <c r="C386" s="1" t="n">
        <v>45796</v>
      </c>
      <c r="D386" t="inlineStr">
        <is>
          <t>DALARNAS LÄN</t>
        </is>
      </c>
      <c r="E386" t="inlineStr">
        <is>
          <t>ORSA</t>
        </is>
      </c>
      <c r="G386" t="n">
        <v>6.3</v>
      </c>
      <c r="H386" t="n">
        <v>0</v>
      </c>
      <c r="I386" t="n">
        <v>0</v>
      </c>
      <c r="J386" t="n">
        <v>0</v>
      </c>
      <c r="K386" t="n">
        <v>0</v>
      </c>
      <c r="L386" t="n">
        <v>0</v>
      </c>
      <c r="M386" t="n">
        <v>0</v>
      </c>
      <c r="N386" t="n">
        <v>0</v>
      </c>
      <c r="O386" t="n">
        <v>0</v>
      </c>
      <c r="P386" t="n">
        <v>0</v>
      </c>
      <c r="Q386" t="n">
        <v>0</v>
      </c>
      <c r="R386" s="2" t="inlineStr"/>
    </row>
    <row r="387" ht="15" customHeight="1">
      <c r="A387" t="inlineStr">
        <is>
          <t>A 22912-2023</t>
        </is>
      </c>
      <c r="B387" s="1" t="n">
        <v>45072</v>
      </c>
      <c r="C387" s="1" t="n">
        <v>45796</v>
      </c>
      <c r="D387" t="inlineStr">
        <is>
          <t>DALARNAS LÄN</t>
        </is>
      </c>
      <c r="E387" t="inlineStr">
        <is>
          <t>ORSA</t>
        </is>
      </c>
      <c r="G387" t="n">
        <v>3.6</v>
      </c>
      <c r="H387" t="n">
        <v>0</v>
      </c>
      <c r="I387" t="n">
        <v>0</v>
      </c>
      <c r="J387" t="n">
        <v>0</v>
      </c>
      <c r="K387" t="n">
        <v>0</v>
      </c>
      <c r="L387" t="n">
        <v>0</v>
      </c>
      <c r="M387" t="n">
        <v>0</v>
      </c>
      <c r="N387" t="n">
        <v>0</v>
      </c>
      <c r="O387" t="n">
        <v>0</v>
      </c>
      <c r="P387" t="n">
        <v>0</v>
      </c>
      <c r="Q387" t="n">
        <v>0</v>
      </c>
      <c r="R387" s="2" t="inlineStr"/>
    </row>
    <row r="388" ht="15" customHeight="1">
      <c r="A388" t="inlineStr">
        <is>
          <t>A 22911-2023</t>
        </is>
      </c>
      <c r="B388" s="1" t="n">
        <v>45072</v>
      </c>
      <c r="C388" s="1" t="n">
        <v>45796</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23031-2023</t>
        </is>
      </c>
      <c r="B389" s="1" t="n">
        <v>45074</v>
      </c>
      <c r="C389" s="1" t="n">
        <v>45796</v>
      </c>
      <c r="D389" t="inlineStr">
        <is>
          <t>DALARNAS LÄN</t>
        </is>
      </c>
      <c r="E389" t="inlineStr">
        <is>
          <t>ORSA</t>
        </is>
      </c>
      <c r="G389" t="n">
        <v>5.9</v>
      </c>
      <c r="H389" t="n">
        <v>0</v>
      </c>
      <c r="I389" t="n">
        <v>0</v>
      </c>
      <c r="J389" t="n">
        <v>0</v>
      </c>
      <c r="K389" t="n">
        <v>0</v>
      </c>
      <c r="L389" t="n">
        <v>0</v>
      </c>
      <c r="M389" t="n">
        <v>0</v>
      </c>
      <c r="N389" t="n">
        <v>0</v>
      </c>
      <c r="O389" t="n">
        <v>0</v>
      </c>
      <c r="P389" t="n">
        <v>0</v>
      </c>
      <c r="Q389" t="n">
        <v>0</v>
      </c>
      <c r="R389" s="2" t="inlineStr"/>
    </row>
    <row r="390" ht="15" customHeight="1">
      <c r="A390" t="inlineStr">
        <is>
          <t>A 23457-2023</t>
        </is>
      </c>
      <c r="B390" s="1" t="n">
        <v>45076</v>
      </c>
      <c r="C390" s="1" t="n">
        <v>45796</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23461-2023</t>
        </is>
      </c>
      <c r="B391" s="1" t="n">
        <v>45076</v>
      </c>
      <c r="C391" s="1" t="n">
        <v>45796</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23987-2023</t>
        </is>
      </c>
      <c r="B392" s="1" t="n">
        <v>45078</v>
      </c>
      <c r="C392" s="1" t="n">
        <v>45796</v>
      </c>
      <c r="D392" t="inlineStr">
        <is>
          <t>DALARNAS LÄN</t>
        </is>
      </c>
      <c r="E392" t="inlineStr">
        <is>
          <t>ORSA</t>
        </is>
      </c>
      <c r="F392" t="inlineStr">
        <is>
          <t>Bergvik skog öst AB</t>
        </is>
      </c>
      <c r="G392" t="n">
        <v>4.1</v>
      </c>
      <c r="H392" t="n">
        <v>0</v>
      </c>
      <c r="I392" t="n">
        <v>0</v>
      </c>
      <c r="J392" t="n">
        <v>0</v>
      </c>
      <c r="K392" t="n">
        <v>0</v>
      </c>
      <c r="L392" t="n">
        <v>0</v>
      </c>
      <c r="M392" t="n">
        <v>0</v>
      </c>
      <c r="N392" t="n">
        <v>0</v>
      </c>
      <c r="O392" t="n">
        <v>0</v>
      </c>
      <c r="P392" t="n">
        <v>0</v>
      </c>
      <c r="Q392" t="n">
        <v>0</v>
      </c>
      <c r="R392" s="2" t="inlineStr"/>
    </row>
    <row r="393" ht="15" customHeight="1">
      <c r="A393" t="inlineStr">
        <is>
          <t>A 23988-2023</t>
        </is>
      </c>
      <c r="B393" s="1" t="n">
        <v>45078</v>
      </c>
      <c r="C393" s="1" t="n">
        <v>45796</v>
      </c>
      <c r="D393" t="inlineStr">
        <is>
          <t>DALARNAS LÄN</t>
        </is>
      </c>
      <c r="E393" t="inlineStr">
        <is>
          <t>ORSA</t>
        </is>
      </c>
      <c r="F393" t="inlineStr">
        <is>
          <t>Bergvik skog öst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24126-2023</t>
        </is>
      </c>
      <c r="B394" s="1" t="n">
        <v>45079</v>
      </c>
      <c r="C394" s="1" t="n">
        <v>45796</v>
      </c>
      <c r="D394" t="inlineStr">
        <is>
          <t>DALARNAS LÄN</t>
        </is>
      </c>
      <c r="E394" t="inlineStr">
        <is>
          <t>ORSA</t>
        </is>
      </c>
      <c r="F394" t="inlineStr">
        <is>
          <t>Allmännings- och besparingsskogar</t>
        </is>
      </c>
      <c r="G394" t="n">
        <v>1.6</v>
      </c>
      <c r="H394" t="n">
        <v>0</v>
      </c>
      <c r="I394" t="n">
        <v>0</v>
      </c>
      <c r="J394" t="n">
        <v>0</v>
      </c>
      <c r="K394" t="n">
        <v>0</v>
      </c>
      <c r="L394" t="n">
        <v>0</v>
      </c>
      <c r="M394" t="n">
        <v>0</v>
      </c>
      <c r="N394" t="n">
        <v>0</v>
      </c>
      <c r="O394" t="n">
        <v>0</v>
      </c>
      <c r="P394" t="n">
        <v>0</v>
      </c>
      <c r="Q394" t="n">
        <v>0</v>
      </c>
      <c r="R394" s="2" t="inlineStr"/>
    </row>
    <row r="395" ht="15" customHeight="1">
      <c r="A395" t="inlineStr">
        <is>
          <t>A 24282-2023</t>
        </is>
      </c>
      <c r="B395" s="1" t="n">
        <v>45079</v>
      </c>
      <c r="C395" s="1" t="n">
        <v>45796</v>
      </c>
      <c r="D395" t="inlineStr">
        <is>
          <t>DALARNAS LÄN</t>
        </is>
      </c>
      <c r="E395" t="inlineStr">
        <is>
          <t>ORSA</t>
        </is>
      </c>
      <c r="F395" t="inlineStr">
        <is>
          <t>Allmännings- och besparingsskogar</t>
        </is>
      </c>
      <c r="G395" t="n">
        <v>2.8</v>
      </c>
      <c r="H395" t="n">
        <v>0</v>
      </c>
      <c r="I395" t="n">
        <v>0</v>
      </c>
      <c r="J395" t="n">
        <v>0</v>
      </c>
      <c r="K395" t="n">
        <v>0</v>
      </c>
      <c r="L395" t="n">
        <v>0</v>
      </c>
      <c r="M395" t="n">
        <v>0</v>
      </c>
      <c r="N395" t="n">
        <v>0</v>
      </c>
      <c r="O395" t="n">
        <v>0</v>
      </c>
      <c r="P395" t="n">
        <v>0</v>
      </c>
      <c r="Q395" t="n">
        <v>0</v>
      </c>
      <c r="R395" s="2" t="inlineStr"/>
    </row>
    <row r="396" ht="15" customHeight="1">
      <c r="A396" t="inlineStr">
        <is>
          <t>A 25753-2023</t>
        </is>
      </c>
      <c r="B396" s="1" t="n">
        <v>45090</v>
      </c>
      <c r="C396" s="1" t="n">
        <v>45796</v>
      </c>
      <c r="D396" t="inlineStr">
        <is>
          <t>DALARNAS LÄN</t>
        </is>
      </c>
      <c r="E396" t="inlineStr">
        <is>
          <t>ORSA</t>
        </is>
      </c>
      <c r="G396" t="n">
        <v>20.4</v>
      </c>
      <c r="H396" t="n">
        <v>0</v>
      </c>
      <c r="I396" t="n">
        <v>0</v>
      </c>
      <c r="J396" t="n">
        <v>0</v>
      </c>
      <c r="K396" t="n">
        <v>0</v>
      </c>
      <c r="L396" t="n">
        <v>0</v>
      </c>
      <c r="M396" t="n">
        <v>0</v>
      </c>
      <c r="N396" t="n">
        <v>0</v>
      </c>
      <c r="O396" t="n">
        <v>0</v>
      </c>
      <c r="P396" t="n">
        <v>0</v>
      </c>
      <c r="Q396" t="n">
        <v>0</v>
      </c>
      <c r="R396" s="2" t="inlineStr"/>
    </row>
    <row r="397" ht="15" customHeight="1">
      <c r="A397" t="inlineStr">
        <is>
          <t>A 25862-2023</t>
        </is>
      </c>
      <c r="B397" s="1" t="n">
        <v>45090</v>
      </c>
      <c r="C397" s="1" t="n">
        <v>45796</v>
      </c>
      <c r="D397" t="inlineStr">
        <is>
          <t>DALARNAS LÄN</t>
        </is>
      </c>
      <c r="E397" t="inlineStr">
        <is>
          <t>ORSA</t>
        </is>
      </c>
      <c r="G397" t="n">
        <v>3.1</v>
      </c>
      <c r="H397" t="n">
        <v>0</v>
      </c>
      <c r="I397" t="n">
        <v>0</v>
      </c>
      <c r="J397" t="n">
        <v>0</v>
      </c>
      <c r="K397" t="n">
        <v>0</v>
      </c>
      <c r="L397" t="n">
        <v>0</v>
      </c>
      <c r="M397" t="n">
        <v>0</v>
      </c>
      <c r="N397" t="n">
        <v>0</v>
      </c>
      <c r="O397" t="n">
        <v>0</v>
      </c>
      <c r="P397" t="n">
        <v>0</v>
      </c>
      <c r="Q397" t="n">
        <v>0</v>
      </c>
      <c r="R397" s="2" t="inlineStr"/>
    </row>
    <row r="398" ht="15" customHeight="1">
      <c r="A398" t="inlineStr">
        <is>
          <t>A 25888-2023</t>
        </is>
      </c>
      <c r="B398" s="1" t="n">
        <v>45090</v>
      </c>
      <c r="C398" s="1" t="n">
        <v>45796</v>
      </c>
      <c r="D398" t="inlineStr">
        <is>
          <t>DALARNAS LÄN</t>
        </is>
      </c>
      <c r="E398" t="inlineStr">
        <is>
          <t>ORSA</t>
        </is>
      </c>
      <c r="F398" t="inlineStr">
        <is>
          <t>Bergvik skog öst AB</t>
        </is>
      </c>
      <c r="G398" t="n">
        <v>11.2</v>
      </c>
      <c r="H398" t="n">
        <v>0</v>
      </c>
      <c r="I398" t="n">
        <v>0</v>
      </c>
      <c r="J398" t="n">
        <v>0</v>
      </c>
      <c r="K398" t="n">
        <v>0</v>
      </c>
      <c r="L398" t="n">
        <v>0</v>
      </c>
      <c r="M398" t="n">
        <v>0</v>
      </c>
      <c r="N398" t="n">
        <v>0</v>
      </c>
      <c r="O398" t="n">
        <v>0</v>
      </c>
      <c r="P398" t="n">
        <v>0</v>
      </c>
      <c r="Q398" t="n">
        <v>0</v>
      </c>
      <c r="R398" s="2" t="inlineStr"/>
    </row>
    <row r="399" ht="15" customHeight="1">
      <c r="A399" t="inlineStr">
        <is>
          <t>A 25859-2023</t>
        </is>
      </c>
      <c r="B399" s="1" t="n">
        <v>45090</v>
      </c>
      <c r="C399" s="1" t="n">
        <v>45796</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26285-2023</t>
        </is>
      </c>
      <c r="B400" s="1" t="n">
        <v>45091</v>
      </c>
      <c r="C400" s="1" t="n">
        <v>45796</v>
      </c>
      <c r="D400" t="inlineStr">
        <is>
          <t>DALARNAS LÄN</t>
        </is>
      </c>
      <c r="E400" t="inlineStr">
        <is>
          <t>ORSA</t>
        </is>
      </c>
      <c r="G400" t="n">
        <v>16.7</v>
      </c>
      <c r="H400" t="n">
        <v>0</v>
      </c>
      <c r="I400" t="n">
        <v>0</v>
      </c>
      <c r="J400" t="n">
        <v>0</v>
      </c>
      <c r="K400" t="n">
        <v>0</v>
      </c>
      <c r="L400" t="n">
        <v>0</v>
      </c>
      <c r="M400" t="n">
        <v>0</v>
      </c>
      <c r="N400" t="n">
        <v>0</v>
      </c>
      <c r="O400" t="n">
        <v>0</v>
      </c>
      <c r="P400" t="n">
        <v>0</v>
      </c>
      <c r="Q400" t="n">
        <v>0</v>
      </c>
      <c r="R400" s="2" t="inlineStr"/>
    </row>
    <row r="401" ht="15" customHeight="1">
      <c r="A401" t="inlineStr">
        <is>
          <t>A 26261-2023</t>
        </is>
      </c>
      <c r="B401" s="1" t="n">
        <v>45091</v>
      </c>
      <c r="C401" s="1" t="n">
        <v>45796</v>
      </c>
      <c r="D401" t="inlineStr">
        <is>
          <t>DALARNAS LÄN</t>
        </is>
      </c>
      <c r="E401" t="inlineStr">
        <is>
          <t>ORSA</t>
        </is>
      </c>
      <c r="G401" t="n">
        <v>33.5</v>
      </c>
      <c r="H401" t="n">
        <v>0</v>
      </c>
      <c r="I401" t="n">
        <v>0</v>
      </c>
      <c r="J401" t="n">
        <v>0</v>
      </c>
      <c r="K401" t="n">
        <v>0</v>
      </c>
      <c r="L401" t="n">
        <v>0</v>
      </c>
      <c r="M401" t="n">
        <v>0</v>
      </c>
      <c r="N401" t="n">
        <v>0</v>
      </c>
      <c r="O401" t="n">
        <v>0</v>
      </c>
      <c r="P401" t="n">
        <v>0</v>
      </c>
      <c r="Q401" t="n">
        <v>0</v>
      </c>
      <c r="R401" s="2" t="inlineStr"/>
    </row>
    <row r="402" ht="15" customHeight="1">
      <c r="A402" t="inlineStr">
        <is>
          <t>A 26301-2023</t>
        </is>
      </c>
      <c r="B402" s="1" t="n">
        <v>45091</v>
      </c>
      <c r="C402" s="1" t="n">
        <v>45796</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26288-2023</t>
        </is>
      </c>
      <c r="B403" s="1" t="n">
        <v>45091</v>
      </c>
      <c r="C403" s="1" t="n">
        <v>45796</v>
      </c>
      <c r="D403" t="inlineStr">
        <is>
          <t>DALARNAS LÄN</t>
        </is>
      </c>
      <c r="E403" t="inlineStr">
        <is>
          <t>ORSA</t>
        </is>
      </c>
      <c r="G403" t="n">
        <v>4.8</v>
      </c>
      <c r="H403" t="n">
        <v>0</v>
      </c>
      <c r="I403" t="n">
        <v>0</v>
      </c>
      <c r="J403" t="n">
        <v>0</v>
      </c>
      <c r="K403" t="n">
        <v>0</v>
      </c>
      <c r="L403" t="n">
        <v>0</v>
      </c>
      <c r="M403" t="n">
        <v>0</v>
      </c>
      <c r="N403" t="n">
        <v>0</v>
      </c>
      <c r="O403" t="n">
        <v>0</v>
      </c>
      <c r="P403" t="n">
        <v>0</v>
      </c>
      <c r="Q403" t="n">
        <v>0</v>
      </c>
      <c r="R403" s="2" t="inlineStr"/>
    </row>
    <row r="404" ht="15" customHeight="1">
      <c r="A404" t="inlineStr">
        <is>
          <t>A 26294-2023</t>
        </is>
      </c>
      <c r="B404" s="1" t="n">
        <v>45091</v>
      </c>
      <c r="C404" s="1" t="n">
        <v>45796</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26088-2023</t>
        </is>
      </c>
      <c r="B405" s="1" t="n">
        <v>45091</v>
      </c>
      <c r="C405" s="1" t="n">
        <v>45796</v>
      </c>
      <c r="D405" t="inlineStr">
        <is>
          <t>DALARNAS LÄN</t>
        </is>
      </c>
      <c r="E405" t="inlineStr">
        <is>
          <t>ORSA</t>
        </is>
      </c>
      <c r="G405" t="n">
        <v>2.8</v>
      </c>
      <c r="H405" t="n">
        <v>0</v>
      </c>
      <c r="I405" t="n">
        <v>0</v>
      </c>
      <c r="J405" t="n">
        <v>0</v>
      </c>
      <c r="K405" t="n">
        <v>0</v>
      </c>
      <c r="L405" t="n">
        <v>0</v>
      </c>
      <c r="M405" t="n">
        <v>0</v>
      </c>
      <c r="N405" t="n">
        <v>0</v>
      </c>
      <c r="O405" t="n">
        <v>0</v>
      </c>
      <c r="P405" t="n">
        <v>0</v>
      </c>
      <c r="Q405" t="n">
        <v>0</v>
      </c>
      <c r="R405" s="2" t="inlineStr"/>
    </row>
    <row r="406" ht="15" customHeight="1">
      <c r="A406" t="inlineStr">
        <is>
          <t>A 27163-2023</t>
        </is>
      </c>
      <c r="B406" s="1" t="n">
        <v>45096</v>
      </c>
      <c r="C406" s="1" t="n">
        <v>45796</v>
      </c>
      <c r="D406" t="inlineStr">
        <is>
          <t>DALARNAS LÄN</t>
        </is>
      </c>
      <c r="E406" t="inlineStr">
        <is>
          <t>ORSA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27531-2023</t>
        </is>
      </c>
      <c r="B407" s="1" t="n">
        <v>45097</v>
      </c>
      <c r="C407" s="1" t="n">
        <v>45796</v>
      </c>
      <c r="D407" t="inlineStr">
        <is>
          <t>DALARNAS LÄN</t>
        </is>
      </c>
      <c r="E407" t="inlineStr">
        <is>
          <t>ORSA</t>
        </is>
      </c>
      <c r="F407" t="inlineStr">
        <is>
          <t>Allmännings- och besparingsskogar</t>
        </is>
      </c>
      <c r="G407" t="n">
        <v>13.4</v>
      </c>
      <c r="H407" t="n">
        <v>0</v>
      </c>
      <c r="I407" t="n">
        <v>0</v>
      </c>
      <c r="J407" t="n">
        <v>0</v>
      </c>
      <c r="K407" t="n">
        <v>0</v>
      </c>
      <c r="L407" t="n">
        <v>0</v>
      </c>
      <c r="M407" t="n">
        <v>0</v>
      </c>
      <c r="N407" t="n">
        <v>0</v>
      </c>
      <c r="O407" t="n">
        <v>0</v>
      </c>
      <c r="P407" t="n">
        <v>0</v>
      </c>
      <c r="Q407" t="n">
        <v>0</v>
      </c>
      <c r="R407" s="2" t="inlineStr"/>
    </row>
    <row r="408" ht="15" customHeight="1">
      <c r="A408" t="inlineStr">
        <is>
          <t>A 28082-2023</t>
        </is>
      </c>
      <c r="B408" s="1" t="n">
        <v>45099</v>
      </c>
      <c r="C408" s="1" t="n">
        <v>45796</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28196-2023</t>
        </is>
      </c>
      <c r="B409" s="1" t="n">
        <v>45099</v>
      </c>
      <c r="C409" s="1" t="n">
        <v>45796</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28155-2023</t>
        </is>
      </c>
      <c r="B410" s="1" t="n">
        <v>45099</v>
      </c>
      <c r="C410" s="1" t="n">
        <v>45796</v>
      </c>
      <c r="D410" t="inlineStr">
        <is>
          <t>DALARNAS LÄN</t>
        </is>
      </c>
      <c r="E410" t="inlineStr">
        <is>
          <t>ORSA</t>
        </is>
      </c>
      <c r="F410" t="inlineStr">
        <is>
          <t>Bergvik skog öst AB</t>
        </is>
      </c>
      <c r="G410" t="n">
        <v>7.8</v>
      </c>
      <c r="H410" t="n">
        <v>0</v>
      </c>
      <c r="I410" t="n">
        <v>0</v>
      </c>
      <c r="J410" t="n">
        <v>0</v>
      </c>
      <c r="K410" t="n">
        <v>0</v>
      </c>
      <c r="L410" t="n">
        <v>0</v>
      </c>
      <c r="M410" t="n">
        <v>0</v>
      </c>
      <c r="N410" t="n">
        <v>0</v>
      </c>
      <c r="O410" t="n">
        <v>0</v>
      </c>
      <c r="P410" t="n">
        <v>0</v>
      </c>
      <c r="Q410" t="n">
        <v>0</v>
      </c>
      <c r="R410" s="2" t="inlineStr"/>
    </row>
    <row r="411" ht="15" customHeight="1">
      <c r="A411" t="inlineStr">
        <is>
          <t>A 28195-2023</t>
        </is>
      </c>
      <c r="B411" s="1" t="n">
        <v>45099</v>
      </c>
      <c r="C411" s="1" t="n">
        <v>45796</v>
      </c>
      <c r="D411" t="inlineStr">
        <is>
          <t>DALARNAS LÄN</t>
        </is>
      </c>
      <c r="E411" t="inlineStr">
        <is>
          <t>ORSA</t>
        </is>
      </c>
      <c r="F411" t="inlineStr">
        <is>
          <t>Bergvik skog öst AB</t>
        </is>
      </c>
      <c r="G411" t="n">
        <v>10.3</v>
      </c>
      <c r="H411" t="n">
        <v>0</v>
      </c>
      <c r="I411" t="n">
        <v>0</v>
      </c>
      <c r="J411" t="n">
        <v>0</v>
      </c>
      <c r="K411" t="n">
        <v>0</v>
      </c>
      <c r="L411" t="n">
        <v>0</v>
      </c>
      <c r="M411" t="n">
        <v>0</v>
      </c>
      <c r="N411" t="n">
        <v>0</v>
      </c>
      <c r="O411" t="n">
        <v>0</v>
      </c>
      <c r="P411" t="n">
        <v>0</v>
      </c>
      <c r="Q411" t="n">
        <v>0</v>
      </c>
      <c r="R411" s="2" t="inlineStr"/>
    </row>
    <row r="412" ht="15" customHeight="1">
      <c r="A412" t="inlineStr">
        <is>
          <t>A 30474-2023</t>
        </is>
      </c>
      <c r="B412" s="1" t="n">
        <v>45099</v>
      </c>
      <c r="C412" s="1" t="n">
        <v>45796</v>
      </c>
      <c r="D412" t="inlineStr">
        <is>
          <t>DALARNAS LÄN</t>
        </is>
      </c>
      <c r="E412" t="inlineStr">
        <is>
          <t>ORSA</t>
        </is>
      </c>
      <c r="G412" t="n">
        <v>2.2</v>
      </c>
      <c r="H412" t="n">
        <v>0</v>
      </c>
      <c r="I412" t="n">
        <v>0</v>
      </c>
      <c r="J412" t="n">
        <v>0</v>
      </c>
      <c r="K412" t="n">
        <v>0</v>
      </c>
      <c r="L412" t="n">
        <v>0</v>
      </c>
      <c r="M412" t="n">
        <v>0</v>
      </c>
      <c r="N412" t="n">
        <v>0</v>
      </c>
      <c r="O412" t="n">
        <v>0</v>
      </c>
      <c r="P412" t="n">
        <v>0</v>
      </c>
      <c r="Q412" t="n">
        <v>0</v>
      </c>
      <c r="R412" s="2" t="inlineStr"/>
    </row>
    <row r="413" ht="15" customHeight="1">
      <c r="A413" t="inlineStr">
        <is>
          <t>A 30464-2023</t>
        </is>
      </c>
      <c r="B413" s="1" t="n">
        <v>45099</v>
      </c>
      <c r="C413" s="1" t="n">
        <v>45796</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v>
      </c>
      <c r="C414" s="1" t="n">
        <v>45796</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28511-2023</t>
        </is>
      </c>
      <c r="B415" s="1" t="n">
        <v>45103</v>
      </c>
      <c r="C415" s="1" t="n">
        <v>45796</v>
      </c>
      <c r="D415" t="inlineStr">
        <is>
          <t>DALARNAS LÄN</t>
        </is>
      </c>
      <c r="E415" t="inlineStr">
        <is>
          <t>ORSA</t>
        </is>
      </c>
      <c r="F415" t="inlineStr">
        <is>
          <t>Allmännings- och besparingsskogar</t>
        </is>
      </c>
      <c r="G415" t="n">
        <v>41.4</v>
      </c>
      <c r="H415" t="n">
        <v>0</v>
      </c>
      <c r="I415" t="n">
        <v>0</v>
      </c>
      <c r="J415" t="n">
        <v>0</v>
      </c>
      <c r="K415" t="n">
        <v>0</v>
      </c>
      <c r="L415" t="n">
        <v>0</v>
      </c>
      <c r="M415" t="n">
        <v>0</v>
      </c>
      <c r="N415" t="n">
        <v>0</v>
      </c>
      <c r="O415" t="n">
        <v>0</v>
      </c>
      <c r="P415" t="n">
        <v>0</v>
      </c>
      <c r="Q415" t="n">
        <v>0</v>
      </c>
      <c r="R415" s="2" t="inlineStr"/>
    </row>
    <row r="416" ht="15" customHeight="1">
      <c r="A416" t="inlineStr">
        <is>
          <t>A 29025-2023</t>
        </is>
      </c>
      <c r="B416" s="1" t="n">
        <v>45104</v>
      </c>
      <c r="C416" s="1" t="n">
        <v>45796</v>
      </c>
      <c r="D416" t="inlineStr">
        <is>
          <t>DALARNAS LÄN</t>
        </is>
      </c>
      <c r="E416" t="inlineStr">
        <is>
          <t>ORSA</t>
        </is>
      </c>
      <c r="G416" t="n">
        <v>6.6</v>
      </c>
      <c r="H416" t="n">
        <v>0</v>
      </c>
      <c r="I416" t="n">
        <v>0</v>
      </c>
      <c r="J416" t="n">
        <v>0</v>
      </c>
      <c r="K416" t="n">
        <v>0</v>
      </c>
      <c r="L416" t="n">
        <v>0</v>
      </c>
      <c r="M416" t="n">
        <v>0</v>
      </c>
      <c r="N416" t="n">
        <v>0</v>
      </c>
      <c r="O416" t="n">
        <v>0</v>
      </c>
      <c r="P416" t="n">
        <v>0</v>
      </c>
      <c r="Q416" t="n">
        <v>0</v>
      </c>
      <c r="R416" s="2" t="inlineStr"/>
    </row>
    <row r="417" ht="15" customHeight="1">
      <c r="A417" t="inlineStr">
        <is>
          <t>A 29041-2023</t>
        </is>
      </c>
      <c r="B417" s="1" t="n">
        <v>45104</v>
      </c>
      <c r="C417" s="1" t="n">
        <v>45796</v>
      </c>
      <c r="D417" t="inlineStr">
        <is>
          <t>DALARNAS LÄN</t>
        </is>
      </c>
      <c r="E417" t="inlineStr">
        <is>
          <t>ORSA</t>
        </is>
      </c>
      <c r="G417" t="n">
        <v>3.2</v>
      </c>
      <c r="H417" t="n">
        <v>0</v>
      </c>
      <c r="I417" t="n">
        <v>0</v>
      </c>
      <c r="J417" t="n">
        <v>0</v>
      </c>
      <c r="K417" t="n">
        <v>0</v>
      </c>
      <c r="L417" t="n">
        <v>0</v>
      </c>
      <c r="M417" t="n">
        <v>0</v>
      </c>
      <c r="N417" t="n">
        <v>0</v>
      </c>
      <c r="O417" t="n">
        <v>0</v>
      </c>
      <c r="P417" t="n">
        <v>0</v>
      </c>
      <c r="Q417" t="n">
        <v>0</v>
      </c>
      <c r="R417" s="2" t="inlineStr"/>
    </row>
    <row r="418" ht="15" customHeight="1">
      <c r="A418" t="inlineStr">
        <is>
          <t>A 30458-2023</t>
        </is>
      </c>
      <c r="B418" s="1" t="n">
        <v>45111</v>
      </c>
      <c r="C418" s="1" t="n">
        <v>45796</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30356-2023</t>
        </is>
      </c>
      <c r="B419" s="1" t="n">
        <v>45111</v>
      </c>
      <c r="C419" s="1" t="n">
        <v>45796</v>
      </c>
      <c r="D419" t="inlineStr">
        <is>
          <t>DALARNAS LÄN</t>
        </is>
      </c>
      <c r="E419" t="inlineStr">
        <is>
          <t>ORSA</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30389-2023</t>
        </is>
      </c>
      <c r="B420" s="1" t="n">
        <v>45111</v>
      </c>
      <c r="C420" s="1" t="n">
        <v>45796</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30382-2023</t>
        </is>
      </c>
      <c r="B421" s="1" t="n">
        <v>45111</v>
      </c>
      <c r="C421" s="1" t="n">
        <v>45796</v>
      </c>
      <c r="D421" t="inlineStr">
        <is>
          <t>DALARNAS LÄN</t>
        </is>
      </c>
      <c r="E421" t="inlineStr">
        <is>
          <t>ORSA</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30392-2023</t>
        </is>
      </c>
      <c r="B422" s="1" t="n">
        <v>45111</v>
      </c>
      <c r="C422" s="1" t="n">
        <v>45796</v>
      </c>
      <c r="D422" t="inlineStr">
        <is>
          <t>DALARNAS LÄN</t>
        </is>
      </c>
      <c r="E422" t="inlineStr">
        <is>
          <t>ORSA</t>
        </is>
      </c>
      <c r="F422" t="inlineStr">
        <is>
          <t>Bergvik skog öst AB</t>
        </is>
      </c>
      <c r="G422" t="n">
        <v>2</v>
      </c>
      <c r="H422" t="n">
        <v>0</v>
      </c>
      <c r="I422" t="n">
        <v>0</v>
      </c>
      <c r="J422" t="n">
        <v>0</v>
      </c>
      <c r="K422" t="n">
        <v>0</v>
      </c>
      <c r="L422" t="n">
        <v>0</v>
      </c>
      <c r="M422" t="n">
        <v>0</v>
      </c>
      <c r="N422" t="n">
        <v>0</v>
      </c>
      <c r="O422" t="n">
        <v>0</v>
      </c>
      <c r="P422" t="n">
        <v>0</v>
      </c>
      <c r="Q422" t="n">
        <v>0</v>
      </c>
      <c r="R422" s="2" t="inlineStr"/>
    </row>
    <row r="423" ht="15" customHeight="1">
      <c r="A423" t="inlineStr">
        <is>
          <t>A 30664-2023</t>
        </is>
      </c>
      <c r="B423" s="1" t="n">
        <v>45112</v>
      </c>
      <c r="C423" s="1" t="n">
        <v>45796</v>
      </c>
      <c r="D423" t="inlineStr">
        <is>
          <t>DALARNAS LÄN</t>
        </is>
      </c>
      <c r="E423" t="inlineStr">
        <is>
          <t>ORSA</t>
        </is>
      </c>
      <c r="F423" t="inlineStr">
        <is>
          <t>Allmännings- och besparingsskogar</t>
        </is>
      </c>
      <c r="G423" t="n">
        <v>18.1</v>
      </c>
      <c r="H423" t="n">
        <v>0</v>
      </c>
      <c r="I423" t="n">
        <v>0</v>
      </c>
      <c r="J423" t="n">
        <v>0</v>
      </c>
      <c r="K423" t="n">
        <v>0</v>
      </c>
      <c r="L423" t="n">
        <v>0</v>
      </c>
      <c r="M423" t="n">
        <v>0</v>
      </c>
      <c r="N423" t="n">
        <v>0</v>
      </c>
      <c r="O423" t="n">
        <v>0</v>
      </c>
      <c r="P423" t="n">
        <v>0</v>
      </c>
      <c r="Q423" t="n">
        <v>0</v>
      </c>
      <c r="R423" s="2" t="inlineStr"/>
    </row>
    <row r="424" ht="15" customHeight="1">
      <c r="A424" t="inlineStr">
        <is>
          <t>A 31031-2023</t>
        </is>
      </c>
      <c r="B424" s="1" t="n">
        <v>45113</v>
      </c>
      <c r="C424" s="1" t="n">
        <v>45796</v>
      </c>
      <c r="D424" t="inlineStr">
        <is>
          <t>DALARNAS LÄN</t>
        </is>
      </c>
      <c r="E424" t="inlineStr">
        <is>
          <t>ORSA</t>
        </is>
      </c>
      <c r="F424" t="inlineStr">
        <is>
          <t>Bergvik skog öst AB</t>
        </is>
      </c>
      <c r="G424" t="n">
        <v>0.4</v>
      </c>
      <c r="H424" t="n">
        <v>0</v>
      </c>
      <c r="I424" t="n">
        <v>0</v>
      </c>
      <c r="J424" t="n">
        <v>0</v>
      </c>
      <c r="K424" t="n">
        <v>0</v>
      </c>
      <c r="L424" t="n">
        <v>0</v>
      </c>
      <c r="M424" t="n">
        <v>0</v>
      </c>
      <c r="N424" t="n">
        <v>0</v>
      </c>
      <c r="O424" t="n">
        <v>0</v>
      </c>
      <c r="P424" t="n">
        <v>0</v>
      </c>
      <c r="Q424" t="n">
        <v>0</v>
      </c>
      <c r="R424" s="2" t="inlineStr"/>
    </row>
    <row r="425" ht="15" customHeight="1">
      <c r="A425" t="inlineStr">
        <is>
          <t>A 31044-2023</t>
        </is>
      </c>
      <c r="B425" s="1" t="n">
        <v>45113</v>
      </c>
      <c r="C425" s="1" t="n">
        <v>45796</v>
      </c>
      <c r="D425" t="inlineStr">
        <is>
          <t>DALARNAS LÄN</t>
        </is>
      </c>
      <c r="E425" t="inlineStr">
        <is>
          <t>ORSA</t>
        </is>
      </c>
      <c r="G425" t="n">
        <v>4.6</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v>
      </c>
      <c r="C426" s="1" t="n">
        <v>45796</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31059-2023</t>
        </is>
      </c>
      <c r="B427" s="1" t="n">
        <v>45113</v>
      </c>
      <c r="C427" s="1" t="n">
        <v>45796</v>
      </c>
      <c r="D427" t="inlineStr">
        <is>
          <t>DALARNAS LÄN</t>
        </is>
      </c>
      <c r="E427" t="inlineStr">
        <is>
          <t>ORSA</t>
        </is>
      </c>
      <c r="F427" t="inlineStr">
        <is>
          <t>Bergvik skog öst AB</t>
        </is>
      </c>
      <c r="G427" t="n">
        <v>2.7</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v>
      </c>
      <c r="C428" s="1" t="n">
        <v>45796</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31174-2023</t>
        </is>
      </c>
      <c r="B429" s="1" t="n">
        <v>45113</v>
      </c>
      <c r="C429" s="1" t="n">
        <v>45796</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31171-2023</t>
        </is>
      </c>
      <c r="B430" s="1" t="n">
        <v>45113</v>
      </c>
      <c r="C430" s="1" t="n">
        <v>45796</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31172-2023</t>
        </is>
      </c>
      <c r="B431" s="1" t="n">
        <v>45113</v>
      </c>
      <c r="C431" s="1" t="n">
        <v>45796</v>
      </c>
      <c r="D431" t="inlineStr">
        <is>
          <t>DALARNAS LÄN</t>
        </is>
      </c>
      <c r="E431" t="inlineStr">
        <is>
          <t>ORSA</t>
        </is>
      </c>
      <c r="G431" t="n">
        <v>2.9</v>
      </c>
      <c r="H431" t="n">
        <v>0</v>
      </c>
      <c r="I431" t="n">
        <v>0</v>
      </c>
      <c r="J431" t="n">
        <v>0</v>
      </c>
      <c r="K431" t="n">
        <v>0</v>
      </c>
      <c r="L431" t="n">
        <v>0</v>
      </c>
      <c r="M431" t="n">
        <v>0</v>
      </c>
      <c r="N431" t="n">
        <v>0</v>
      </c>
      <c r="O431" t="n">
        <v>0</v>
      </c>
      <c r="P431" t="n">
        <v>0</v>
      </c>
      <c r="Q431" t="n">
        <v>0</v>
      </c>
      <c r="R431" s="2" t="inlineStr"/>
    </row>
    <row r="432" ht="15" customHeight="1">
      <c r="A432" t="inlineStr">
        <is>
          <t>A 31409-2023</t>
        </is>
      </c>
      <c r="B432" s="1" t="n">
        <v>45114</v>
      </c>
      <c r="C432" s="1" t="n">
        <v>45796</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31782-2023</t>
        </is>
      </c>
      <c r="B433" s="1" t="n">
        <v>45118</v>
      </c>
      <c r="C433" s="1" t="n">
        <v>45796</v>
      </c>
      <c r="D433" t="inlineStr">
        <is>
          <t>DALARNAS LÄN</t>
        </is>
      </c>
      <c r="E433" t="inlineStr">
        <is>
          <t>ORSA</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31780-2023</t>
        </is>
      </c>
      <c r="B434" s="1" t="n">
        <v>45118</v>
      </c>
      <c r="C434" s="1" t="n">
        <v>45796</v>
      </c>
      <c r="D434" t="inlineStr">
        <is>
          <t>DALARNAS LÄN</t>
        </is>
      </c>
      <c r="E434" t="inlineStr">
        <is>
          <t>ORSA</t>
        </is>
      </c>
      <c r="F434" t="inlineStr">
        <is>
          <t>Allmännings- och besparingsskogar</t>
        </is>
      </c>
      <c r="G434" t="n">
        <v>1.6</v>
      </c>
      <c r="H434" t="n">
        <v>0</v>
      </c>
      <c r="I434" t="n">
        <v>0</v>
      </c>
      <c r="J434" t="n">
        <v>0</v>
      </c>
      <c r="K434" t="n">
        <v>0</v>
      </c>
      <c r="L434" t="n">
        <v>0</v>
      </c>
      <c r="M434" t="n">
        <v>0</v>
      </c>
      <c r="N434" t="n">
        <v>0</v>
      </c>
      <c r="O434" t="n">
        <v>0</v>
      </c>
      <c r="P434" t="n">
        <v>0</v>
      </c>
      <c r="Q434" t="n">
        <v>0</v>
      </c>
      <c r="R434" s="2" t="inlineStr"/>
    </row>
    <row r="435" ht="15" customHeight="1">
      <c r="A435" t="inlineStr">
        <is>
          <t>A 33753-2023</t>
        </is>
      </c>
      <c r="B435" s="1" t="n">
        <v>45120</v>
      </c>
      <c r="C435" s="1" t="n">
        <v>45796</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33348-2023</t>
        </is>
      </c>
      <c r="B436" s="1" t="n">
        <v>45128</v>
      </c>
      <c r="C436" s="1" t="n">
        <v>45796</v>
      </c>
      <c r="D436" t="inlineStr">
        <is>
          <t>DALARNAS LÄN</t>
        </is>
      </c>
      <c r="E436" t="inlineStr">
        <is>
          <t>ORSA</t>
        </is>
      </c>
      <c r="F436" t="inlineStr">
        <is>
          <t>Allmännings- och besparingsskogar</t>
        </is>
      </c>
      <c r="G436" t="n">
        <v>25.9</v>
      </c>
      <c r="H436" t="n">
        <v>0</v>
      </c>
      <c r="I436" t="n">
        <v>0</v>
      </c>
      <c r="J436" t="n">
        <v>0</v>
      </c>
      <c r="K436" t="n">
        <v>0</v>
      </c>
      <c r="L436" t="n">
        <v>0</v>
      </c>
      <c r="M436" t="n">
        <v>0</v>
      </c>
      <c r="N436" t="n">
        <v>0</v>
      </c>
      <c r="O436" t="n">
        <v>0</v>
      </c>
      <c r="P436" t="n">
        <v>0</v>
      </c>
      <c r="Q436" t="n">
        <v>0</v>
      </c>
      <c r="R436" s="2" t="inlineStr"/>
    </row>
    <row r="437" ht="15" customHeight="1">
      <c r="A437" t="inlineStr">
        <is>
          <t>A 33452-2023</t>
        </is>
      </c>
      <c r="B437" s="1" t="n">
        <v>45130</v>
      </c>
      <c r="C437" s="1" t="n">
        <v>45796</v>
      </c>
      <c r="D437" t="inlineStr">
        <is>
          <t>DALARNAS LÄN</t>
        </is>
      </c>
      <c r="E437" t="inlineStr">
        <is>
          <t>ORSA</t>
        </is>
      </c>
      <c r="G437" t="n">
        <v>1.1</v>
      </c>
      <c r="H437" t="n">
        <v>0</v>
      </c>
      <c r="I437" t="n">
        <v>0</v>
      </c>
      <c r="J437" t="n">
        <v>0</v>
      </c>
      <c r="K437" t="n">
        <v>0</v>
      </c>
      <c r="L437" t="n">
        <v>0</v>
      </c>
      <c r="M437" t="n">
        <v>0</v>
      </c>
      <c r="N437" t="n">
        <v>0</v>
      </c>
      <c r="O437" t="n">
        <v>0</v>
      </c>
      <c r="P437" t="n">
        <v>0</v>
      </c>
      <c r="Q437" t="n">
        <v>0</v>
      </c>
      <c r="R437" s="2" t="inlineStr"/>
    </row>
    <row r="438" ht="15" customHeight="1">
      <c r="A438" t="inlineStr">
        <is>
          <t>A 33693-2023</t>
        </is>
      </c>
      <c r="B438" s="1" t="n">
        <v>45132</v>
      </c>
      <c r="C438" s="1" t="n">
        <v>45796</v>
      </c>
      <c r="D438" t="inlineStr">
        <is>
          <t>DALARNAS LÄN</t>
        </is>
      </c>
      <c r="E438" t="inlineStr">
        <is>
          <t>ORSA</t>
        </is>
      </c>
      <c r="G438" t="n">
        <v>22.8</v>
      </c>
      <c r="H438" t="n">
        <v>0</v>
      </c>
      <c r="I438" t="n">
        <v>0</v>
      </c>
      <c r="J438" t="n">
        <v>0</v>
      </c>
      <c r="K438" t="n">
        <v>0</v>
      </c>
      <c r="L438" t="n">
        <v>0</v>
      </c>
      <c r="M438" t="n">
        <v>0</v>
      </c>
      <c r="N438" t="n">
        <v>0</v>
      </c>
      <c r="O438" t="n">
        <v>0</v>
      </c>
      <c r="P438" t="n">
        <v>0</v>
      </c>
      <c r="Q438" t="n">
        <v>0</v>
      </c>
      <c r="R438" s="2" t="inlineStr"/>
    </row>
    <row r="439" ht="15" customHeight="1">
      <c r="A439" t="inlineStr">
        <is>
          <t>A 33673-2023</t>
        </is>
      </c>
      <c r="B439" s="1" t="n">
        <v>45132</v>
      </c>
      <c r="C439" s="1" t="n">
        <v>45796</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33823-2023</t>
        </is>
      </c>
      <c r="B440" s="1" t="n">
        <v>45133</v>
      </c>
      <c r="C440" s="1" t="n">
        <v>45796</v>
      </c>
      <c r="D440" t="inlineStr">
        <is>
          <t>DALARNAS LÄN</t>
        </is>
      </c>
      <c r="E440" t="inlineStr">
        <is>
          <t>ORSA</t>
        </is>
      </c>
      <c r="G440" t="n">
        <v>19.7</v>
      </c>
      <c r="H440" t="n">
        <v>0</v>
      </c>
      <c r="I440" t="n">
        <v>0</v>
      </c>
      <c r="J440" t="n">
        <v>0</v>
      </c>
      <c r="K440" t="n">
        <v>0</v>
      </c>
      <c r="L440" t="n">
        <v>0</v>
      </c>
      <c r="M440" t="n">
        <v>0</v>
      </c>
      <c r="N440" t="n">
        <v>0</v>
      </c>
      <c r="O440" t="n">
        <v>0</v>
      </c>
      <c r="P440" t="n">
        <v>0</v>
      </c>
      <c r="Q440" t="n">
        <v>0</v>
      </c>
      <c r="R440" s="2" t="inlineStr"/>
    </row>
    <row r="441" ht="15" customHeight="1">
      <c r="A441" t="inlineStr">
        <is>
          <t>A 33977-2023</t>
        </is>
      </c>
      <c r="B441" s="1" t="n">
        <v>45134</v>
      </c>
      <c r="C441" s="1" t="n">
        <v>45796</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34125-2023</t>
        </is>
      </c>
      <c r="B442" s="1" t="n">
        <v>45135</v>
      </c>
      <c r="C442" s="1" t="n">
        <v>45796</v>
      </c>
      <c r="D442" t="inlineStr">
        <is>
          <t>DALARNAS LÄN</t>
        </is>
      </c>
      <c r="E442" t="inlineStr">
        <is>
          <t>ORSA</t>
        </is>
      </c>
      <c r="G442" t="n">
        <v>2.7</v>
      </c>
      <c r="H442" t="n">
        <v>0</v>
      </c>
      <c r="I442" t="n">
        <v>0</v>
      </c>
      <c r="J442" t="n">
        <v>0</v>
      </c>
      <c r="K442" t="n">
        <v>0</v>
      </c>
      <c r="L442" t="n">
        <v>0</v>
      </c>
      <c r="M442" t="n">
        <v>0</v>
      </c>
      <c r="N442" t="n">
        <v>0</v>
      </c>
      <c r="O442" t="n">
        <v>0</v>
      </c>
      <c r="P442" t="n">
        <v>0</v>
      </c>
      <c r="Q442" t="n">
        <v>0</v>
      </c>
      <c r="R442" s="2" t="inlineStr"/>
    </row>
    <row r="443" ht="15" customHeight="1">
      <c r="A443" t="inlineStr">
        <is>
          <t>A 34131-2023</t>
        </is>
      </c>
      <c r="B443" s="1" t="n">
        <v>45135</v>
      </c>
      <c r="C443" s="1" t="n">
        <v>45796</v>
      </c>
      <c r="D443" t="inlineStr">
        <is>
          <t>DALARNAS LÄN</t>
        </is>
      </c>
      <c r="E443" t="inlineStr">
        <is>
          <t>ORSA</t>
        </is>
      </c>
      <c r="G443" t="n">
        <v>5.1</v>
      </c>
      <c r="H443" t="n">
        <v>0</v>
      </c>
      <c r="I443" t="n">
        <v>0</v>
      </c>
      <c r="J443" t="n">
        <v>0</v>
      </c>
      <c r="K443" t="n">
        <v>0</v>
      </c>
      <c r="L443" t="n">
        <v>0</v>
      </c>
      <c r="M443" t="n">
        <v>0</v>
      </c>
      <c r="N443" t="n">
        <v>0</v>
      </c>
      <c r="O443" t="n">
        <v>0</v>
      </c>
      <c r="P443" t="n">
        <v>0</v>
      </c>
      <c r="Q443" t="n">
        <v>0</v>
      </c>
      <c r="R443" s="2" t="inlineStr"/>
    </row>
    <row r="444" ht="15" customHeight="1">
      <c r="A444" t="inlineStr">
        <is>
          <t>A 34169-2023</t>
        </is>
      </c>
      <c r="B444" s="1" t="n">
        <v>45138</v>
      </c>
      <c r="C444" s="1" t="n">
        <v>45796</v>
      </c>
      <c r="D444" t="inlineStr">
        <is>
          <t>DALARNAS LÄN</t>
        </is>
      </c>
      <c r="E444" t="inlineStr">
        <is>
          <t>ORSA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34406-2023</t>
        </is>
      </c>
      <c r="B445" s="1" t="n">
        <v>45139</v>
      </c>
      <c r="C445" s="1" t="n">
        <v>45796</v>
      </c>
      <c r="D445" t="inlineStr">
        <is>
          <t>DALARNAS LÄN</t>
        </is>
      </c>
      <c r="E445" t="inlineStr">
        <is>
          <t>ORSA</t>
        </is>
      </c>
      <c r="F445" t="inlineStr">
        <is>
          <t>Allmännings- och besparingsskogar</t>
        </is>
      </c>
      <c r="G445" t="n">
        <v>30.8</v>
      </c>
      <c r="H445" t="n">
        <v>0</v>
      </c>
      <c r="I445" t="n">
        <v>0</v>
      </c>
      <c r="J445" t="n">
        <v>0</v>
      </c>
      <c r="K445" t="n">
        <v>0</v>
      </c>
      <c r="L445" t="n">
        <v>0</v>
      </c>
      <c r="M445" t="n">
        <v>0</v>
      </c>
      <c r="N445" t="n">
        <v>0</v>
      </c>
      <c r="O445" t="n">
        <v>0</v>
      </c>
      <c r="P445" t="n">
        <v>0</v>
      </c>
      <c r="Q445" t="n">
        <v>0</v>
      </c>
      <c r="R445" s="2" t="inlineStr"/>
    </row>
    <row r="446" ht="15" customHeight="1">
      <c r="A446" t="inlineStr">
        <is>
          <t>A 34345-2023</t>
        </is>
      </c>
      <c r="B446" s="1" t="n">
        <v>45139</v>
      </c>
      <c r="C446" s="1" t="n">
        <v>45796</v>
      </c>
      <c r="D446" t="inlineStr">
        <is>
          <t>DALARNAS LÄN</t>
        </is>
      </c>
      <c r="E446" t="inlineStr">
        <is>
          <t>ORSA</t>
        </is>
      </c>
      <c r="G446" t="n">
        <v>2.7</v>
      </c>
      <c r="H446" t="n">
        <v>0</v>
      </c>
      <c r="I446" t="n">
        <v>0</v>
      </c>
      <c r="J446" t="n">
        <v>0</v>
      </c>
      <c r="K446" t="n">
        <v>0</v>
      </c>
      <c r="L446" t="n">
        <v>0</v>
      </c>
      <c r="M446" t="n">
        <v>0</v>
      </c>
      <c r="N446" t="n">
        <v>0</v>
      </c>
      <c r="O446" t="n">
        <v>0</v>
      </c>
      <c r="P446" t="n">
        <v>0</v>
      </c>
      <c r="Q446" t="n">
        <v>0</v>
      </c>
      <c r="R446" s="2" t="inlineStr"/>
    </row>
    <row r="447" ht="15" customHeight="1">
      <c r="A447" t="inlineStr">
        <is>
          <t>A 35235-2023</t>
        </is>
      </c>
      <c r="B447" s="1" t="n">
        <v>45145</v>
      </c>
      <c r="C447" s="1" t="n">
        <v>45796</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35177-2023</t>
        </is>
      </c>
      <c r="B448" s="1" t="n">
        <v>45145</v>
      </c>
      <c r="C448" s="1" t="n">
        <v>45796</v>
      </c>
      <c r="D448" t="inlineStr">
        <is>
          <t>DALARNAS LÄN</t>
        </is>
      </c>
      <c r="E448" t="inlineStr">
        <is>
          <t>ORSA</t>
        </is>
      </c>
      <c r="F448" t="inlineStr">
        <is>
          <t>Allmännings- och besparingsskogar</t>
        </is>
      </c>
      <c r="G448" t="n">
        <v>2.5</v>
      </c>
      <c r="H448" t="n">
        <v>0</v>
      </c>
      <c r="I448" t="n">
        <v>0</v>
      </c>
      <c r="J448" t="n">
        <v>0</v>
      </c>
      <c r="K448" t="n">
        <v>0</v>
      </c>
      <c r="L448" t="n">
        <v>0</v>
      </c>
      <c r="M448" t="n">
        <v>0</v>
      </c>
      <c r="N448" t="n">
        <v>0</v>
      </c>
      <c r="O448" t="n">
        <v>0</v>
      </c>
      <c r="P448" t="n">
        <v>0</v>
      </c>
      <c r="Q448" t="n">
        <v>0</v>
      </c>
      <c r="R448" s="2" t="inlineStr"/>
    </row>
    <row r="449" ht="15" customHeight="1">
      <c r="A449" t="inlineStr">
        <is>
          <t>A 35397-2023</t>
        </is>
      </c>
      <c r="B449" s="1" t="n">
        <v>45146</v>
      </c>
      <c r="C449" s="1" t="n">
        <v>45796</v>
      </c>
      <c r="D449" t="inlineStr">
        <is>
          <t>DALARNAS LÄN</t>
        </is>
      </c>
      <c r="E449" t="inlineStr">
        <is>
          <t>ORSA</t>
        </is>
      </c>
      <c r="F449" t="inlineStr">
        <is>
          <t>Allmännings- och besparingsskogar</t>
        </is>
      </c>
      <c r="G449" t="n">
        <v>1.4</v>
      </c>
      <c r="H449" t="n">
        <v>0</v>
      </c>
      <c r="I449" t="n">
        <v>0</v>
      </c>
      <c r="J449" t="n">
        <v>0</v>
      </c>
      <c r="K449" t="n">
        <v>0</v>
      </c>
      <c r="L449" t="n">
        <v>0</v>
      </c>
      <c r="M449" t="n">
        <v>0</v>
      </c>
      <c r="N449" t="n">
        <v>0</v>
      </c>
      <c r="O449" t="n">
        <v>0</v>
      </c>
      <c r="P449" t="n">
        <v>0</v>
      </c>
      <c r="Q449" t="n">
        <v>0</v>
      </c>
      <c r="R449" s="2" t="inlineStr"/>
    </row>
    <row r="450" ht="15" customHeight="1">
      <c r="A450" t="inlineStr">
        <is>
          <t>A 35333-2023</t>
        </is>
      </c>
      <c r="B450" s="1" t="n">
        <v>45146</v>
      </c>
      <c r="C450" s="1" t="n">
        <v>45796</v>
      </c>
      <c r="D450" t="inlineStr">
        <is>
          <t>DALARNAS LÄN</t>
        </is>
      </c>
      <c r="E450" t="inlineStr">
        <is>
          <t>ORSA</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35460-2023</t>
        </is>
      </c>
      <c r="B451" s="1" t="n">
        <v>45146</v>
      </c>
      <c r="C451" s="1" t="n">
        <v>45796</v>
      </c>
      <c r="D451" t="inlineStr">
        <is>
          <t>DALARNAS LÄN</t>
        </is>
      </c>
      <c r="E451" t="inlineStr">
        <is>
          <t>ORSA</t>
        </is>
      </c>
      <c r="G451" t="n">
        <v>3</v>
      </c>
      <c r="H451" t="n">
        <v>0</v>
      </c>
      <c r="I451" t="n">
        <v>0</v>
      </c>
      <c r="J451" t="n">
        <v>0</v>
      </c>
      <c r="K451" t="n">
        <v>0</v>
      </c>
      <c r="L451" t="n">
        <v>0</v>
      </c>
      <c r="M451" t="n">
        <v>0</v>
      </c>
      <c r="N451" t="n">
        <v>0</v>
      </c>
      <c r="O451" t="n">
        <v>0</v>
      </c>
      <c r="P451" t="n">
        <v>0</v>
      </c>
      <c r="Q451" t="n">
        <v>0</v>
      </c>
      <c r="R451" s="2" t="inlineStr"/>
    </row>
    <row r="452" ht="15" customHeight="1">
      <c r="A452" t="inlineStr">
        <is>
          <t>A 35477-2023</t>
        </is>
      </c>
      <c r="B452" s="1" t="n">
        <v>45146</v>
      </c>
      <c r="C452" s="1" t="n">
        <v>45796</v>
      </c>
      <c r="D452" t="inlineStr">
        <is>
          <t>DALARNAS LÄN</t>
        </is>
      </c>
      <c r="E452" t="inlineStr">
        <is>
          <t>ORSA</t>
        </is>
      </c>
      <c r="G452" t="n">
        <v>7.7</v>
      </c>
      <c r="H452" t="n">
        <v>0</v>
      </c>
      <c r="I452" t="n">
        <v>0</v>
      </c>
      <c r="J452" t="n">
        <v>0</v>
      </c>
      <c r="K452" t="n">
        <v>0</v>
      </c>
      <c r="L452" t="n">
        <v>0</v>
      </c>
      <c r="M452" t="n">
        <v>0</v>
      </c>
      <c r="N452" t="n">
        <v>0</v>
      </c>
      <c r="O452" t="n">
        <v>0</v>
      </c>
      <c r="P452" t="n">
        <v>0</v>
      </c>
      <c r="Q452" t="n">
        <v>0</v>
      </c>
      <c r="R452" s="2" t="inlineStr"/>
    </row>
    <row r="453" ht="15" customHeight="1">
      <c r="A453" t="inlineStr">
        <is>
          <t>A 36133-2023</t>
        </is>
      </c>
      <c r="B453" s="1" t="n">
        <v>45149</v>
      </c>
      <c r="C453" s="1" t="n">
        <v>45796</v>
      </c>
      <c r="D453" t="inlineStr">
        <is>
          <t>DALARNAS LÄN</t>
        </is>
      </c>
      <c r="E453" t="inlineStr">
        <is>
          <t>ORSA</t>
        </is>
      </c>
      <c r="G453" t="n">
        <v>9</v>
      </c>
      <c r="H453" t="n">
        <v>0</v>
      </c>
      <c r="I453" t="n">
        <v>0</v>
      </c>
      <c r="J453" t="n">
        <v>0</v>
      </c>
      <c r="K453" t="n">
        <v>0</v>
      </c>
      <c r="L453" t="n">
        <v>0</v>
      </c>
      <c r="M453" t="n">
        <v>0</v>
      </c>
      <c r="N453" t="n">
        <v>0</v>
      </c>
      <c r="O453" t="n">
        <v>0</v>
      </c>
      <c r="P453" t="n">
        <v>0</v>
      </c>
      <c r="Q453" t="n">
        <v>0</v>
      </c>
      <c r="R453" s="2" t="inlineStr"/>
    </row>
    <row r="454" ht="15" customHeight="1">
      <c r="A454" t="inlineStr">
        <is>
          <t>A 36089-2023</t>
        </is>
      </c>
      <c r="B454" s="1" t="n">
        <v>45149</v>
      </c>
      <c r="C454" s="1" t="n">
        <v>45796</v>
      </c>
      <c r="D454" t="inlineStr">
        <is>
          <t>DALARNAS LÄN</t>
        </is>
      </c>
      <c r="E454" t="inlineStr">
        <is>
          <t>ORSA</t>
        </is>
      </c>
      <c r="F454" t="inlineStr">
        <is>
          <t>Allmännings- och besparingsskogar</t>
        </is>
      </c>
      <c r="G454" t="n">
        <v>1.2</v>
      </c>
      <c r="H454" t="n">
        <v>0</v>
      </c>
      <c r="I454" t="n">
        <v>0</v>
      </c>
      <c r="J454" t="n">
        <v>0</v>
      </c>
      <c r="K454" t="n">
        <v>0</v>
      </c>
      <c r="L454" t="n">
        <v>0</v>
      </c>
      <c r="M454" t="n">
        <v>0</v>
      </c>
      <c r="N454" t="n">
        <v>0</v>
      </c>
      <c r="O454" t="n">
        <v>0</v>
      </c>
      <c r="P454" t="n">
        <v>0</v>
      </c>
      <c r="Q454" t="n">
        <v>0</v>
      </c>
      <c r="R454" s="2" t="inlineStr"/>
    </row>
    <row r="455" ht="15" customHeight="1">
      <c r="A455" t="inlineStr">
        <is>
          <t>A 36093-2023</t>
        </is>
      </c>
      <c r="B455" s="1" t="n">
        <v>45149</v>
      </c>
      <c r="C455" s="1" t="n">
        <v>45796</v>
      </c>
      <c r="D455" t="inlineStr">
        <is>
          <t>DALARNAS LÄN</t>
        </is>
      </c>
      <c r="E455" t="inlineStr">
        <is>
          <t>ORSA</t>
        </is>
      </c>
      <c r="F455" t="inlineStr">
        <is>
          <t>Allmännings- och besparingsskogar</t>
        </is>
      </c>
      <c r="G455" t="n">
        <v>1.9</v>
      </c>
      <c r="H455" t="n">
        <v>0</v>
      </c>
      <c r="I455" t="n">
        <v>0</v>
      </c>
      <c r="J455" t="n">
        <v>0</v>
      </c>
      <c r="K455" t="n">
        <v>0</v>
      </c>
      <c r="L455" t="n">
        <v>0</v>
      </c>
      <c r="M455" t="n">
        <v>0</v>
      </c>
      <c r="N455" t="n">
        <v>0</v>
      </c>
      <c r="O455" t="n">
        <v>0</v>
      </c>
      <c r="P455" t="n">
        <v>0</v>
      </c>
      <c r="Q455" t="n">
        <v>0</v>
      </c>
      <c r="R455" s="2" t="inlineStr"/>
    </row>
    <row r="456" ht="15" customHeight="1">
      <c r="A456" t="inlineStr">
        <is>
          <t>A 36427-2023</t>
        </is>
      </c>
      <c r="B456" s="1" t="n">
        <v>45152</v>
      </c>
      <c r="C456" s="1" t="n">
        <v>45796</v>
      </c>
      <c r="D456" t="inlineStr">
        <is>
          <t>DALARNAS LÄN</t>
        </is>
      </c>
      <c r="E456" t="inlineStr">
        <is>
          <t>ORSA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37023-2023</t>
        </is>
      </c>
      <c r="B457" s="1" t="n">
        <v>45155</v>
      </c>
      <c r="C457" s="1" t="n">
        <v>45796</v>
      </c>
      <c r="D457" t="inlineStr">
        <is>
          <t>DALARNAS LÄN</t>
        </is>
      </c>
      <c r="E457" t="inlineStr">
        <is>
          <t>ORSA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37116-2023</t>
        </is>
      </c>
      <c r="B458" s="1" t="n">
        <v>45155</v>
      </c>
      <c r="C458" s="1" t="n">
        <v>45796</v>
      </c>
      <c r="D458" t="inlineStr">
        <is>
          <t>DALARNAS LÄN</t>
        </is>
      </c>
      <c r="E458" t="inlineStr">
        <is>
          <t>ORSA</t>
        </is>
      </c>
      <c r="F458" t="inlineStr">
        <is>
          <t>Allmännings- och besparingsskogar</t>
        </is>
      </c>
      <c r="G458" t="n">
        <v>4.5</v>
      </c>
      <c r="H458" t="n">
        <v>0</v>
      </c>
      <c r="I458" t="n">
        <v>0</v>
      </c>
      <c r="J458" t="n">
        <v>0</v>
      </c>
      <c r="K458" t="n">
        <v>0</v>
      </c>
      <c r="L458" t="n">
        <v>0</v>
      </c>
      <c r="M458" t="n">
        <v>0</v>
      </c>
      <c r="N458" t="n">
        <v>0</v>
      </c>
      <c r="O458" t="n">
        <v>0</v>
      </c>
      <c r="P458" t="n">
        <v>0</v>
      </c>
      <c r="Q458" t="n">
        <v>0</v>
      </c>
      <c r="R458" s="2" t="inlineStr"/>
    </row>
    <row r="459" ht="15" customHeight="1">
      <c r="A459" t="inlineStr">
        <is>
          <t>A 37124-2023</t>
        </is>
      </c>
      <c r="B459" s="1" t="n">
        <v>45155</v>
      </c>
      <c r="C459" s="1" t="n">
        <v>45796</v>
      </c>
      <c r="D459" t="inlineStr">
        <is>
          <t>DALARNAS LÄN</t>
        </is>
      </c>
      <c r="E459" t="inlineStr">
        <is>
          <t>ORSA</t>
        </is>
      </c>
      <c r="F459" t="inlineStr">
        <is>
          <t>Allmännings- och besparingsskogar</t>
        </is>
      </c>
      <c r="G459" t="n">
        <v>1.5</v>
      </c>
      <c r="H459" t="n">
        <v>0</v>
      </c>
      <c r="I459" t="n">
        <v>0</v>
      </c>
      <c r="J459" t="n">
        <v>0</v>
      </c>
      <c r="K459" t="n">
        <v>0</v>
      </c>
      <c r="L459" t="n">
        <v>0</v>
      </c>
      <c r="M459" t="n">
        <v>0</v>
      </c>
      <c r="N459" t="n">
        <v>0</v>
      </c>
      <c r="O459" t="n">
        <v>0</v>
      </c>
      <c r="P459" t="n">
        <v>0</v>
      </c>
      <c r="Q459" t="n">
        <v>0</v>
      </c>
      <c r="R459" s="2" t="inlineStr"/>
    </row>
    <row r="460" ht="15" customHeight="1">
      <c r="A460" t="inlineStr">
        <is>
          <t>A 37151-2023</t>
        </is>
      </c>
      <c r="B460" s="1" t="n">
        <v>45155</v>
      </c>
      <c r="C460" s="1" t="n">
        <v>45796</v>
      </c>
      <c r="D460" t="inlineStr">
        <is>
          <t>DALARNAS LÄN</t>
        </is>
      </c>
      <c r="E460" t="inlineStr">
        <is>
          <t>ORSA</t>
        </is>
      </c>
      <c r="F460" t="inlineStr">
        <is>
          <t>Allmännings- och besparingsskogar</t>
        </is>
      </c>
      <c r="G460" t="n">
        <v>2.2</v>
      </c>
      <c r="H460" t="n">
        <v>0</v>
      </c>
      <c r="I460" t="n">
        <v>0</v>
      </c>
      <c r="J460" t="n">
        <v>0</v>
      </c>
      <c r="K460" t="n">
        <v>0</v>
      </c>
      <c r="L460" t="n">
        <v>0</v>
      </c>
      <c r="M460" t="n">
        <v>0</v>
      </c>
      <c r="N460" t="n">
        <v>0</v>
      </c>
      <c r="O460" t="n">
        <v>0</v>
      </c>
      <c r="P460" t="n">
        <v>0</v>
      </c>
      <c r="Q460" t="n">
        <v>0</v>
      </c>
      <c r="R460" s="2" t="inlineStr"/>
    </row>
    <row r="461" ht="15" customHeight="1">
      <c r="A461" t="inlineStr">
        <is>
          <t>A 37193-2023</t>
        </is>
      </c>
      <c r="B461" s="1" t="n">
        <v>45155</v>
      </c>
      <c r="C461" s="1" t="n">
        <v>45796</v>
      </c>
      <c r="D461" t="inlineStr">
        <is>
          <t>DALARNAS LÄN</t>
        </is>
      </c>
      <c r="E461" t="inlineStr">
        <is>
          <t>ORSA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37647-2023</t>
        </is>
      </c>
      <c r="B462" s="1" t="n">
        <v>45159</v>
      </c>
      <c r="C462" s="1" t="n">
        <v>45796</v>
      </c>
      <c r="D462" t="inlineStr">
        <is>
          <t>DALARNAS LÄN</t>
        </is>
      </c>
      <c r="E462" t="inlineStr">
        <is>
          <t>ORSA</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37770-2023</t>
        </is>
      </c>
      <c r="B463" s="1" t="n">
        <v>45159</v>
      </c>
      <c r="C463" s="1" t="n">
        <v>45796</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37931-2023</t>
        </is>
      </c>
      <c r="B464" s="1" t="n">
        <v>45160</v>
      </c>
      <c r="C464" s="1" t="n">
        <v>45796</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38534-2023</t>
        </is>
      </c>
      <c r="B465" s="1" t="n">
        <v>45162</v>
      </c>
      <c r="C465" s="1" t="n">
        <v>45796</v>
      </c>
      <c r="D465" t="inlineStr">
        <is>
          <t>DALARNAS LÄN</t>
        </is>
      </c>
      <c r="E465" t="inlineStr">
        <is>
          <t>ORSA</t>
        </is>
      </c>
      <c r="F465" t="inlineStr">
        <is>
          <t>Bergvik skog öst AB</t>
        </is>
      </c>
      <c r="G465" t="n">
        <v>4.1</v>
      </c>
      <c r="H465" t="n">
        <v>0</v>
      </c>
      <c r="I465" t="n">
        <v>0</v>
      </c>
      <c r="J465" t="n">
        <v>0</v>
      </c>
      <c r="K465" t="n">
        <v>0</v>
      </c>
      <c r="L465" t="n">
        <v>0</v>
      </c>
      <c r="M465" t="n">
        <v>0</v>
      </c>
      <c r="N465" t="n">
        <v>0</v>
      </c>
      <c r="O465" t="n">
        <v>0</v>
      </c>
      <c r="P465" t="n">
        <v>0</v>
      </c>
      <c r="Q465" t="n">
        <v>0</v>
      </c>
      <c r="R465" s="2" t="inlineStr"/>
    </row>
    <row r="466" ht="15" customHeight="1">
      <c r="A466" t="inlineStr">
        <is>
          <t>A 40003-2023</t>
        </is>
      </c>
      <c r="B466" s="1" t="n">
        <v>45168</v>
      </c>
      <c r="C466" s="1" t="n">
        <v>45796</v>
      </c>
      <c r="D466" t="inlineStr">
        <is>
          <t>DALARNAS LÄN</t>
        </is>
      </c>
      <c r="E466" t="inlineStr">
        <is>
          <t>ORSA</t>
        </is>
      </c>
      <c r="G466" t="n">
        <v>2.3</v>
      </c>
      <c r="H466" t="n">
        <v>0</v>
      </c>
      <c r="I466" t="n">
        <v>0</v>
      </c>
      <c r="J466" t="n">
        <v>0</v>
      </c>
      <c r="K466" t="n">
        <v>0</v>
      </c>
      <c r="L466" t="n">
        <v>0</v>
      </c>
      <c r="M466" t="n">
        <v>0</v>
      </c>
      <c r="N466" t="n">
        <v>0</v>
      </c>
      <c r="O466" t="n">
        <v>0</v>
      </c>
      <c r="P466" t="n">
        <v>0</v>
      </c>
      <c r="Q466" t="n">
        <v>0</v>
      </c>
      <c r="R466" s="2" t="inlineStr"/>
    </row>
    <row r="467" ht="15" customHeight="1">
      <c r="A467" t="inlineStr">
        <is>
          <t>A 40234-2023</t>
        </is>
      </c>
      <c r="B467" s="1" t="n">
        <v>45169</v>
      </c>
      <c r="C467" s="1" t="n">
        <v>45796</v>
      </c>
      <c r="D467" t="inlineStr">
        <is>
          <t>DALARNAS LÄN</t>
        </is>
      </c>
      <c r="E467" t="inlineStr">
        <is>
          <t>ORSA</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row>
    <row r="468" ht="15" customHeight="1">
      <c r="A468" t="inlineStr">
        <is>
          <t>A 40283-2023</t>
        </is>
      </c>
      <c r="B468" s="1" t="n">
        <v>45169</v>
      </c>
      <c r="C468" s="1" t="n">
        <v>45796</v>
      </c>
      <c r="D468" t="inlineStr">
        <is>
          <t>DALARNAS LÄN</t>
        </is>
      </c>
      <c r="E468" t="inlineStr">
        <is>
          <t>ORSA</t>
        </is>
      </c>
      <c r="G468" t="n">
        <v>4.3</v>
      </c>
      <c r="H468" t="n">
        <v>0</v>
      </c>
      <c r="I468" t="n">
        <v>0</v>
      </c>
      <c r="J468" t="n">
        <v>0</v>
      </c>
      <c r="K468" t="n">
        <v>0</v>
      </c>
      <c r="L468" t="n">
        <v>0</v>
      </c>
      <c r="M468" t="n">
        <v>0</v>
      </c>
      <c r="N468" t="n">
        <v>0</v>
      </c>
      <c r="O468" t="n">
        <v>0</v>
      </c>
      <c r="P468" t="n">
        <v>0</v>
      </c>
      <c r="Q468" t="n">
        <v>0</v>
      </c>
      <c r="R468" s="2" t="inlineStr"/>
    </row>
    <row r="469" ht="15" customHeight="1">
      <c r="A469" t="inlineStr">
        <is>
          <t>A 41119-2023</t>
        </is>
      </c>
      <c r="B469" s="1" t="n">
        <v>45173</v>
      </c>
      <c r="C469" s="1" t="n">
        <v>45796</v>
      </c>
      <c r="D469" t="inlineStr">
        <is>
          <t>DALARNAS LÄN</t>
        </is>
      </c>
      <c r="E469" t="inlineStr">
        <is>
          <t>ORSA</t>
        </is>
      </c>
      <c r="G469" t="n">
        <v>6</v>
      </c>
      <c r="H469" t="n">
        <v>0</v>
      </c>
      <c r="I469" t="n">
        <v>0</v>
      </c>
      <c r="J469" t="n">
        <v>0</v>
      </c>
      <c r="K469" t="n">
        <v>0</v>
      </c>
      <c r="L469" t="n">
        <v>0</v>
      </c>
      <c r="M469" t="n">
        <v>0</v>
      </c>
      <c r="N469" t="n">
        <v>0</v>
      </c>
      <c r="O469" t="n">
        <v>0</v>
      </c>
      <c r="P469" t="n">
        <v>0</v>
      </c>
      <c r="Q469" t="n">
        <v>0</v>
      </c>
      <c r="R469" s="2" t="inlineStr"/>
    </row>
    <row r="470" ht="15" customHeight="1">
      <c r="A470" t="inlineStr">
        <is>
          <t>A 41120-2023</t>
        </is>
      </c>
      <c r="B470" s="1" t="n">
        <v>45173</v>
      </c>
      <c r="C470" s="1" t="n">
        <v>45796</v>
      </c>
      <c r="D470" t="inlineStr">
        <is>
          <t>DALARNAS LÄN</t>
        </is>
      </c>
      <c r="E470" t="inlineStr">
        <is>
          <t>ORSA</t>
        </is>
      </c>
      <c r="G470" t="n">
        <v>13.2</v>
      </c>
      <c r="H470" t="n">
        <v>0</v>
      </c>
      <c r="I470" t="n">
        <v>0</v>
      </c>
      <c r="J470" t="n">
        <v>0</v>
      </c>
      <c r="K470" t="n">
        <v>0</v>
      </c>
      <c r="L470" t="n">
        <v>0</v>
      </c>
      <c r="M470" t="n">
        <v>0</v>
      </c>
      <c r="N470" t="n">
        <v>0</v>
      </c>
      <c r="O470" t="n">
        <v>0</v>
      </c>
      <c r="P470" t="n">
        <v>0</v>
      </c>
      <c r="Q470" t="n">
        <v>0</v>
      </c>
      <c r="R470" s="2" t="inlineStr"/>
    </row>
    <row r="471" ht="15" customHeight="1">
      <c r="A471" t="inlineStr">
        <is>
          <t>A 42043-2023</t>
        </is>
      </c>
      <c r="B471" s="1" t="n">
        <v>45177</v>
      </c>
      <c r="C471" s="1" t="n">
        <v>45796</v>
      </c>
      <c r="D471" t="inlineStr">
        <is>
          <t>DALARNAS LÄN</t>
        </is>
      </c>
      <c r="E471" t="inlineStr">
        <is>
          <t>ORSA</t>
        </is>
      </c>
      <c r="G471" t="n">
        <v>3.3</v>
      </c>
      <c r="H471" t="n">
        <v>0</v>
      </c>
      <c r="I471" t="n">
        <v>0</v>
      </c>
      <c r="J471" t="n">
        <v>0</v>
      </c>
      <c r="K471" t="n">
        <v>0</v>
      </c>
      <c r="L471" t="n">
        <v>0</v>
      </c>
      <c r="M471" t="n">
        <v>0</v>
      </c>
      <c r="N471" t="n">
        <v>0</v>
      </c>
      <c r="O471" t="n">
        <v>0</v>
      </c>
      <c r="P471" t="n">
        <v>0</v>
      </c>
      <c r="Q471" t="n">
        <v>0</v>
      </c>
      <c r="R471" s="2" t="inlineStr"/>
    </row>
    <row r="472" ht="15" customHeight="1">
      <c r="A472" t="inlineStr">
        <is>
          <t>A 42238-2023</t>
        </is>
      </c>
      <c r="B472" s="1" t="n">
        <v>45180</v>
      </c>
      <c r="C472" s="1" t="n">
        <v>45796</v>
      </c>
      <c r="D472" t="inlineStr">
        <is>
          <t>DALARNAS LÄN</t>
        </is>
      </c>
      <c r="E472" t="inlineStr">
        <is>
          <t>ORSA</t>
        </is>
      </c>
      <c r="F472" t="inlineStr">
        <is>
          <t>Allmännings- och besparingsskogar</t>
        </is>
      </c>
      <c r="G472" t="n">
        <v>0.5</v>
      </c>
      <c r="H472" t="n">
        <v>0</v>
      </c>
      <c r="I472" t="n">
        <v>0</v>
      </c>
      <c r="J472" t="n">
        <v>0</v>
      </c>
      <c r="K472" t="n">
        <v>0</v>
      </c>
      <c r="L472" t="n">
        <v>0</v>
      </c>
      <c r="M472" t="n">
        <v>0</v>
      </c>
      <c r="N472" t="n">
        <v>0</v>
      </c>
      <c r="O472" t="n">
        <v>0</v>
      </c>
      <c r="P472" t="n">
        <v>0</v>
      </c>
      <c r="Q472" t="n">
        <v>0</v>
      </c>
      <c r="R472" s="2" t="inlineStr"/>
    </row>
    <row r="473" ht="15" customHeight="1">
      <c r="A473" t="inlineStr">
        <is>
          <t>A 42236-2023</t>
        </is>
      </c>
      <c r="B473" s="1" t="n">
        <v>45180</v>
      </c>
      <c r="C473" s="1" t="n">
        <v>45796</v>
      </c>
      <c r="D473" t="inlineStr">
        <is>
          <t>DALARNAS LÄN</t>
        </is>
      </c>
      <c r="E473" t="inlineStr">
        <is>
          <t>ORSA</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42240-2023</t>
        </is>
      </c>
      <c r="B474" s="1" t="n">
        <v>45180</v>
      </c>
      <c r="C474" s="1" t="n">
        <v>45796</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44600-2023</t>
        </is>
      </c>
      <c r="B475" s="1" t="n">
        <v>45189</v>
      </c>
      <c r="C475" s="1" t="n">
        <v>45796</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44592-2023</t>
        </is>
      </c>
      <c r="B476" s="1" t="n">
        <v>45189</v>
      </c>
      <c r="C476" s="1" t="n">
        <v>45796</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45256-2023</t>
        </is>
      </c>
      <c r="B477" s="1" t="n">
        <v>45191</v>
      </c>
      <c r="C477" s="1" t="n">
        <v>45796</v>
      </c>
      <c r="D477" t="inlineStr">
        <is>
          <t>DALARNAS LÄN</t>
        </is>
      </c>
      <c r="E477" t="inlineStr">
        <is>
          <t>ORSA</t>
        </is>
      </c>
      <c r="F477" t="inlineStr">
        <is>
          <t>Bergvik skog öst AB</t>
        </is>
      </c>
      <c r="G477" t="n">
        <v>8.5</v>
      </c>
      <c r="H477" t="n">
        <v>0</v>
      </c>
      <c r="I477" t="n">
        <v>0</v>
      </c>
      <c r="J477" t="n">
        <v>0</v>
      </c>
      <c r="K477" t="n">
        <v>0</v>
      </c>
      <c r="L477" t="n">
        <v>0</v>
      </c>
      <c r="M477" t="n">
        <v>0</v>
      </c>
      <c r="N477" t="n">
        <v>0</v>
      </c>
      <c r="O477" t="n">
        <v>0</v>
      </c>
      <c r="P477" t="n">
        <v>0</v>
      </c>
      <c r="Q477" t="n">
        <v>0</v>
      </c>
      <c r="R477" s="2" t="inlineStr"/>
    </row>
    <row r="478" ht="15" customHeight="1">
      <c r="A478" t="inlineStr">
        <is>
          <t>A 46494-2023</t>
        </is>
      </c>
      <c r="B478" s="1" t="n">
        <v>45197</v>
      </c>
      <c r="C478" s="1" t="n">
        <v>45796</v>
      </c>
      <c r="D478" t="inlineStr">
        <is>
          <t>DALARNAS LÄN</t>
        </is>
      </c>
      <c r="E478" t="inlineStr">
        <is>
          <t>ORSA</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46726-2023</t>
        </is>
      </c>
      <c r="B479" s="1" t="n">
        <v>45198</v>
      </c>
      <c r="C479" s="1" t="n">
        <v>45796</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47579-2023</t>
        </is>
      </c>
      <c r="B480" s="1" t="n">
        <v>45203</v>
      </c>
      <c r="C480" s="1" t="n">
        <v>45796</v>
      </c>
      <c r="D480" t="inlineStr">
        <is>
          <t>DALARNAS LÄN</t>
        </is>
      </c>
      <c r="E480" t="inlineStr">
        <is>
          <t>ORSA</t>
        </is>
      </c>
      <c r="G480" t="n">
        <v>2.9</v>
      </c>
      <c r="H480" t="n">
        <v>0</v>
      </c>
      <c r="I480" t="n">
        <v>0</v>
      </c>
      <c r="J480" t="n">
        <v>0</v>
      </c>
      <c r="K480" t="n">
        <v>0</v>
      </c>
      <c r="L480" t="n">
        <v>0</v>
      </c>
      <c r="M480" t="n">
        <v>0</v>
      </c>
      <c r="N480" t="n">
        <v>0</v>
      </c>
      <c r="O480" t="n">
        <v>0</v>
      </c>
      <c r="P480" t="n">
        <v>0</v>
      </c>
      <c r="Q480" t="n">
        <v>0</v>
      </c>
      <c r="R480" s="2" t="inlineStr"/>
    </row>
    <row r="481" ht="15" customHeight="1">
      <c r="A481" t="inlineStr">
        <is>
          <t>A 47564-2023</t>
        </is>
      </c>
      <c r="B481" s="1" t="n">
        <v>45203</v>
      </c>
      <c r="C481" s="1" t="n">
        <v>45796</v>
      </c>
      <c r="D481" t="inlineStr">
        <is>
          <t>DALARNAS LÄN</t>
        </is>
      </c>
      <c r="E481" t="inlineStr">
        <is>
          <t>ORSA</t>
        </is>
      </c>
      <c r="F481" t="inlineStr">
        <is>
          <t>Allmännings- och besparingsskogar</t>
        </is>
      </c>
      <c r="G481" t="n">
        <v>0.8</v>
      </c>
      <c r="H481" t="n">
        <v>0</v>
      </c>
      <c r="I481" t="n">
        <v>0</v>
      </c>
      <c r="J481" t="n">
        <v>0</v>
      </c>
      <c r="K481" t="n">
        <v>0</v>
      </c>
      <c r="L481" t="n">
        <v>0</v>
      </c>
      <c r="M481" t="n">
        <v>0</v>
      </c>
      <c r="N481" t="n">
        <v>0</v>
      </c>
      <c r="O481" t="n">
        <v>0</v>
      </c>
      <c r="P481" t="n">
        <v>0</v>
      </c>
      <c r="Q481" t="n">
        <v>0</v>
      </c>
      <c r="R481" s="2" t="inlineStr"/>
    </row>
    <row r="482" ht="15" customHeight="1">
      <c r="A482" t="inlineStr">
        <is>
          <t>A 47583-2023</t>
        </is>
      </c>
      <c r="B482" s="1" t="n">
        <v>45203</v>
      </c>
      <c r="C482" s="1" t="n">
        <v>45796</v>
      </c>
      <c r="D482" t="inlineStr">
        <is>
          <t>DALARNAS LÄN</t>
        </is>
      </c>
      <c r="E482" t="inlineStr">
        <is>
          <t>ORSA</t>
        </is>
      </c>
      <c r="G482" t="n">
        <v>5.6</v>
      </c>
      <c r="H482" t="n">
        <v>0</v>
      </c>
      <c r="I482" t="n">
        <v>0</v>
      </c>
      <c r="J482" t="n">
        <v>0</v>
      </c>
      <c r="K482" t="n">
        <v>0</v>
      </c>
      <c r="L482" t="n">
        <v>0</v>
      </c>
      <c r="M482" t="n">
        <v>0</v>
      </c>
      <c r="N482" t="n">
        <v>0</v>
      </c>
      <c r="O482" t="n">
        <v>0</v>
      </c>
      <c r="P482" t="n">
        <v>0</v>
      </c>
      <c r="Q482" t="n">
        <v>0</v>
      </c>
      <c r="R482" s="2" t="inlineStr"/>
    </row>
    <row r="483" ht="15" customHeight="1">
      <c r="A483" t="inlineStr">
        <is>
          <t>A 47586-2023</t>
        </is>
      </c>
      <c r="B483" s="1" t="n">
        <v>45203</v>
      </c>
      <c r="C483" s="1" t="n">
        <v>45796</v>
      </c>
      <c r="D483" t="inlineStr">
        <is>
          <t>DALARNAS LÄN</t>
        </is>
      </c>
      <c r="E483" t="inlineStr">
        <is>
          <t>ORSA</t>
        </is>
      </c>
      <c r="G483" t="n">
        <v>3.2</v>
      </c>
      <c r="H483" t="n">
        <v>0</v>
      </c>
      <c r="I483" t="n">
        <v>0</v>
      </c>
      <c r="J483" t="n">
        <v>0</v>
      </c>
      <c r="K483" t="n">
        <v>0</v>
      </c>
      <c r="L483" t="n">
        <v>0</v>
      </c>
      <c r="M483" t="n">
        <v>0</v>
      </c>
      <c r="N483" t="n">
        <v>0</v>
      </c>
      <c r="O483" t="n">
        <v>0</v>
      </c>
      <c r="P483" t="n">
        <v>0</v>
      </c>
      <c r="Q483" t="n">
        <v>0</v>
      </c>
      <c r="R483" s="2" t="inlineStr"/>
    </row>
    <row r="484" ht="15" customHeight="1">
      <c r="A484" t="inlineStr">
        <is>
          <t>A 48311-2023</t>
        </is>
      </c>
      <c r="B484" s="1" t="n">
        <v>45205</v>
      </c>
      <c r="C484" s="1" t="n">
        <v>45796</v>
      </c>
      <c r="D484" t="inlineStr">
        <is>
          <t>DALARNAS LÄN</t>
        </is>
      </c>
      <c r="E484" t="inlineStr">
        <is>
          <t>ORSA</t>
        </is>
      </c>
      <c r="F484" t="inlineStr">
        <is>
          <t>Allmännings- och besparingsskogar</t>
        </is>
      </c>
      <c r="G484" t="n">
        <v>7</v>
      </c>
      <c r="H484" t="n">
        <v>0</v>
      </c>
      <c r="I484" t="n">
        <v>0</v>
      </c>
      <c r="J484" t="n">
        <v>0</v>
      </c>
      <c r="K484" t="n">
        <v>0</v>
      </c>
      <c r="L484" t="n">
        <v>0</v>
      </c>
      <c r="M484" t="n">
        <v>0</v>
      </c>
      <c r="N484" t="n">
        <v>0</v>
      </c>
      <c r="O484" t="n">
        <v>0</v>
      </c>
      <c r="P484" t="n">
        <v>0</v>
      </c>
      <c r="Q484" t="n">
        <v>0</v>
      </c>
      <c r="R484" s="2" t="inlineStr"/>
    </row>
    <row r="485" ht="15" customHeight="1">
      <c r="A485" t="inlineStr">
        <is>
          <t>A 48448-2023</t>
        </is>
      </c>
      <c r="B485" s="1" t="n">
        <v>45206</v>
      </c>
      <c r="C485" s="1" t="n">
        <v>45796</v>
      </c>
      <c r="D485" t="inlineStr">
        <is>
          <t>DALARNAS LÄN</t>
        </is>
      </c>
      <c r="E485" t="inlineStr">
        <is>
          <t>ORSA</t>
        </is>
      </c>
      <c r="G485" t="n">
        <v>3.4</v>
      </c>
      <c r="H485" t="n">
        <v>0</v>
      </c>
      <c r="I485" t="n">
        <v>0</v>
      </c>
      <c r="J485" t="n">
        <v>0</v>
      </c>
      <c r="K485" t="n">
        <v>0</v>
      </c>
      <c r="L485" t="n">
        <v>0</v>
      </c>
      <c r="M485" t="n">
        <v>0</v>
      </c>
      <c r="N485" t="n">
        <v>0</v>
      </c>
      <c r="O485" t="n">
        <v>0</v>
      </c>
      <c r="P485" t="n">
        <v>0</v>
      </c>
      <c r="Q485" t="n">
        <v>0</v>
      </c>
      <c r="R485" s="2" t="inlineStr"/>
    </row>
    <row r="486" ht="15" customHeight="1">
      <c r="A486" t="inlineStr">
        <is>
          <t>A 48447-2023</t>
        </is>
      </c>
      <c r="B486" s="1" t="n">
        <v>45206</v>
      </c>
      <c r="C486" s="1" t="n">
        <v>45796</v>
      </c>
      <c r="D486" t="inlineStr">
        <is>
          <t>DALARNAS LÄN</t>
        </is>
      </c>
      <c r="E486" t="inlineStr">
        <is>
          <t>ORSA</t>
        </is>
      </c>
      <c r="G486" t="n">
        <v>0.6</v>
      </c>
      <c r="H486" t="n">
        <v>0</v>
      </c>
      <c r="I486" t="n">
        <v>0</v>
      </c>
      <c r="J486" t="n">
        <v>0</v>
      </c>
      <c r="K486" t="n">
        <v>0</v>
      </c>
      <c r="L486" t="n">
        <v>0</v>
      </c>
      <c r="M486" t="n">
        <v>0</v>
      </c>
      <c r="N486" t="n">
        <v>0</v>
      </c>
      <c r="O486" t="n">
        <v>0</v>
      </c>
      <c r="P486" t="n">
        <v>0</v>
      </c>
      <c r="Q486" t="n">
        <v>0</v>
      </c>
      <c r="R486" s="2" t="inlineStr"/>
    </row>
    <row r="487" ht="15" customHeight="1">
      <c r="A487" t="inlineStr">
        <is>
          <t>A 48451-2023</t>
        </is>
      </c>
      <c r="B487" s="1" t="n">
        <v>45206</v>
      </c>
      <c r="C487" s="1" t="n">
        <v>45796</v>
      </c>
      <c r="D487" t="inlineStr">
        <is>
          <t>DALARNAS LÄN</t>
        </is>
      </c>
      <c r="E487" t="inlineStr">
        <is>
          <t>ORSA</t>
        </is>
      </c>
      <c r="G487" t="n">
        <v>3.6</v>
      </c>
      <c r="H487" t="n">
        <v>0</v>
      </c>
      <c r="I487" t="n">
        <v>0</v>
      </c>
      <c r="J487" t="n">
        <v>0</v>
      </c>
      <c r="K487" t="n">
        <v>0</v>
      </c>
      <c r="L487" t="n">
        <v>0</v>
      </c>
      <c r="M487" t="n">
        <v>0</v>
      </c>
      <c r="N487" t="n">
        <v>0</v>
      </c>
      <c r="O487" t="n">
        <v>0</v>
      </c>
      <c r="P487" t="n">
        <v>0</v>
      </c>
      <c r="Q487" t="n">
        <v>0</v>
      </c>
      <c r="R487" s="2" t="inlineStr"/>
    </row>
    <row r="488" ht="15" customHeight="1">
      <c r="A488" t="inlineStr">
        <is>
          <t>A 48985-2023</t>
        </is>
      </c>
      <c r="B488" s="1" t="n">
        <v>45209</v>
      </c>
      <c r="C488" s="1" t="n">
        <v>45796</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48990-2023</t>
        </is>
      </c>
      <c r="B489" s="1" t="n">
        <v>45209</v>
      </c>
      <c r="C489" s="1" t="n">
        <v>45796</v>
      </c>
      <c r="D489" t="inlineStr">
        <is>
          <t>DALARNAS LÄN</t>
        </is>
      </c>
      <c r="E489" t="inlineStr">
        <is>
          <t>ORSA</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49806-2023</t>
        </is>
      </c>
      <c r="B490" s="1" t="n">
        <v>45212</v>
      </c>
      <c r="C490" s="1" t="n">
        <v>45796</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49812-2023</t>
        </is>
      </c>
      <c r="B491" s="1" t="n">
        <v>45212</v>
      </c>
      <c r="C491" s="1" t="n">
        <v>45796</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49781-2023</t>
        </is>
      </c>
      <c r="B492" s="1" t="n">
        <v>45212</v>
      </c>
      <c r="C492" s="1" t="n">
        <v>45796</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49814-2023</t>
        </is>
      </c>
      <c r="B493" s="1" t="n">
        <v>45212</v>
      </c>
      <c r="C493" s="1" t="n">
        <v>45796</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50312-2023</t>
        </is>
      </c>
      <c r="B494" s="1" t="n">
        <v>45216</v>
      </c>
      <c r="C494" s="1" t="n">
        <v>45796</v>
      </c>
      <c r="D494" t="inlineStr">
        <is>
          <t>DALARNAS LÄN</t>
        </is>
      </c>
      <c r="E494" t="inlineStr">
        <is>
          <t>ORSA</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50623-2023</t>
        </is>
      </c>
      <c r="B495" s="1" t="n">
        <v>45217</v>
      </c>
      <c r="C495" s="1" t="n">
        <v>45796</v>
      </c>
      <c r="D495" t="inlineStr">
        <is>
          <t>DALARNAS LÄN</t>
        </is>
      </c>
      <c r="E495" t="inlineStr">
        <is>
          <t>ORSA</t>
        </is>
      </c>
      <c r="G495" t="n">
        <v>5.9</v>
      </c>
      <c r="H495" t="n">
        <v>0</v>
      </c>
      <c r="I495" t="n">
        <v>0</v>
      </c>
      <c r="J495" t="n">
        <v>0</v>
      </c>
      <c r="K495" t="n">
        <v>0</v>
      </c>
      <c r="L495" t="n">
        <v>0</v>
      </c>
      <c r="M495" t="n">
        <v>0</v>
      </c>
      <c r="N495" t="n">
        <v>0</v>
      </c>
      <c r="O495" t="n">
        <v>0</v>
      </c>
      <c r="P495" t="n">
        <v>0</v>
      </c>
      <c r="Q495" t="n">
        <v>0</v>
      </c>
      <c r="R495" s="2" t="inlineStr"/>
    </row>
    <row r="496" ht="15" customHeight="1">
      <c r="A496" t="inlineStr">
        <is>
          <t>A 50714-2023</t>
        </is>
      </c>
      <c r="B496" s="1" t="n">
        <v>45217</v>
      </c>
      <c r="C496" s="1" t="n">
        <v>45796</v>
      </c>
      <c r="D496" t="inlineStr">
        <is>
          <t>DALARNAS LÄN</t>
        </is>
      </c>
      <c r="E496" t="inlineStr">
        <is>
          <t>ORSA</t>
        </is>
      </c>
      <c r="G496" t="n">
        <v>1.1</v>
      </c>
      <c r="H496" t="n">
        <v>0</v>
      </c>
      <c r="I496" t="n">
        <v>0</v>
      </c>
      <c r="J496" t="n">
        <v>0</v>
      </c>
      <c r="K496" t="n">
        <v>0</v>
      </c>
      <c r="L496" t="n">
        <v>0</v>
      </c>
      <c r="M496" t="n">
        <v>0</v>
      </c>
      <c r="N496" t="n">
        <v>0</v>
      </c>
      <c r="O496" t="n">
        <v>0</v>
      </c>
      <c r="P496" t="n">
        <v>0</v>
      </c>
      <c r="Q496" t="n">
        <v>0</v>
      </c>
      <c r="R496" s="2" t="inlineStr"/>
    </row>
    <row r="497" ht="15" customHeight="1">
      <c r="A497" t="inlineStr">
        <is>
          <t>A 50734-2023</t>
        </is>
      </c>
      <c r="B497" s="1" t="n">
        <v>45217</v>
      </c>
      <c r="C497" s="1" t="n">
        <v>45796</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50742-2023</t>
        </is>
      </c>
      <c r="B498" s="1" t="n">
        <v>45217</v>
      </c>
      <c r="C498" s="1" t="n">
        <v>45796</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51289-2023</t>
        </is>
      </c>
      <c r="B499" s="1" t="n">
        <v>45219</v>
      </c>
      <c r="C499" s="1" t="n">
        <v>45796</v>
      </c>
      <c r="D499" t="inlineStr">
        <is>
          <t>DALARNAS LÄN</t>
        </is>
      </c>
      <c r="E499" t="inlineStr">
        <is>
          <t>ORSA</t>
        </is>
      </c>
      <c r="G499" t="n">
        <v>1.5</v>
      </c>
      <c r="H499" t="n">
        <v>0</v>
      </c>
      <c r="I499" t="n">
        <v>0</v>
      </c>
      <c r="J499" t="n">
        <v>0</v>
      </c>
      <c r="K499" t="n">
        <v>0</v>
      </c>
      <c r="L499" t="n">
        <v>0</v>
      </c>
      <c r="M499" t="n">
        <v>0</v>
      </c>
      <c r="N499" t="n">
        <v>0</v>
      </c>
      <c r="O499" t="n">
        <v>0</v>
      </c>
      <c r="P499" t="n">
        <v>0</v>
      </c>
      <c r="Q499" t="n">
        <v>0</v>
      </c>
      <c r="R499" s="2" t="inlineStr"/>
    </row>
    <row r="500" ht="15" customHeight="1">
      <c r="A500" t="inlineStr">
        <is>
          <t>A 51303-2023</t>
        </is>
      </c>
      <c r="B500" s="1" t="n">
        <v>45219</v>
      </c>
      <c r="C500" s="1" t="n">
        <v>45796</v>
      </c>
      <c r="D500" t="inlineStr">
        <is>
          <t>DALARNAS LÄN</t>
        </is>
      </c>
      <c r="E500" t="inlineStr">
        <is>
          <t>ORSA</t>
        </is>
      </c>
      <c r="G500" t="n">
        <v>1.8</v>
      </c>
      <c r="H500" t="n">
        <v>0</v>
      </c>
      <c r="I500" t="n">
        <v>0</v>
      </c>
      <c r="J500" t="n">
        <v>0</v>
      </c>
      <c r="K500" t="n">
        <v>0</v>
      </c>
      <c r="L500" t="n">
        <v>0</v>
      </c>
      <c r="M500" t="n">
        <v>0</v>
      </c>
      <c r="N500" t="n">
        <v>0</v>
      </c>
      <c r="O500" t="n">
        <v>0</v>
      </c>
      <c r="P500" t="n">
        <v>0</v>
      </c>
      <c r="Q500" t="n">
        <v>0</v>
      </c>
      <c r="R500" s="2" t="inlineStr"/>
    </row>
    <row r="501" ht="15" customHeight="1">
      <c r="A501" t="inlineStr">
        <is>
          <t>A 51574-2023</t>
        </is>
      </c>
      <c r="B501" s="1" t="n">
        <v>45222</v>
      </c>
      <c r="C501" s="1" t="n">
        <v>45796</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51583-2023</t>
        </is>
      </c>
      <c r="B502" s="1" t="n">
        <v>45222</v>
      </c>
      <c r="C502" s="1" t="n">
        <v>45796</v>
      </c>
      <c r="D502" t="inlineStr">
        <is>
          <t>DALARNAS LÄN</t>
        </is>
      </c>
      <c r="E502" t="inlineStr">
        <is>
          <t>ORSA</t>
        </is>
      </c>
      <c r="G502" t="n">
        <v>2.4</v>
      </c>
      <c r="H502" t="n">
        <v>0</v>
      </c>
      <c r="I502" t="n">
        <v>0</v>
      </c>
      <c r="J502" t="n">
        <v>0</v>
      </c>
      <c r="K502" t="n">
        <v>0</v>
      </c>
      <c r="L502" t="n">
        <v>0</v>
      </c>
      <c r="M502" t="n">
        <v>0</v>
      </c>
      <c r="N502" t="n">
        <v>0</v>
      </c>
      <c r="O502" t="n">
        <v>0</v>
      </c>
      <c r="P502" t="n">
        <v>0</v>
      </c>
      <c r="Q502" t="n">
        <v>0</v>
      </c>
      <c r="R502" s="2" t="inlineStr"/>
    </row>
    <row r="503" ht="15" customHeight="1">
      <c r="A503" t="inlineStr">
        <is>
          <t>A 51563-2023</t>
        </is>
      </c>
      <c r="B503" s="1" t="n">
        <v>45222</v>
      </c>
      <c r="C503" s="1" t="n">
        <v>45796</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51567-2023</t>
        </is>
      </c>
      <c r="B504" s="1" t="n">
        <v>45222</v>
      </c>
      <c r="C504" s="1" t="n">
        <v>45796</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51994-2023</t>
        </is>
      </c>
      <c r="B505" s="1" t="n">
        <v>45223</v>
      </c>
      <c r="C505" s="1" t="n">
        <v>45796</v>
      </c>
      <c r="D505" t="inlineStr">
        <is>
          <t>DALARNAS LÄN</t>
        </is>
      </c>
      <c r="E505" t="inlineStr">
        <is>
          <t>ORSA</t>
        </is>
      </c>
      <c r="G505" t="n">
        <v>10.7</v>
      </c>
      <c r="H505" t="n">
        <v>0</v>
      </c>
      <c r="I505" t="n">
        <v>0</v>
      </c>
      <c r="J505" t="n">
        <v>0</v>
      </c>
      <c r="K505" t="n">
        <v>0</v>
      </c>
      <c r="L505" t="n">
        <v>0</v>
      </c>
      <c r="M505" t="n">
        <v>0</v>
      </c>
      <c r="N505" t="n">
        <v>0</v>
      </c>
      <c r="O505" t="n">
        <v>0</v>
      </c>
      <c r="P505" t="n">
        <v>0</v>
      </c>
      <c r="Q505" t="n">
        <v>0</v>
      </c>
      <c r="R505" s="2" t="inlineStr"/>
    </row>
    <row r="506" ht="15" customHeight="1">
      <c r="A506" t="inlineStr">
        <is>
          <t>A 52055-2023</t>
        </is>
      </c>
      <c r="B506" s="1" t="n">
        <v>45223</v>
      </c>
      <c r="C506" s="1" t="n">
        <v>45796</v>
      </c>
      <c r="D506" t="inlineStr">
        <is>
          <t>DALARNAS LÄN</t>
        </is>
      </c>
      <c r="E506" t="inlineStr">
        <is>
          <t>ORSA</t>
        </is>
      </c>
      <c r="G506" t="n">
        <v>2.3</v>
      </c>
      <c r="H506" t="n">
        <v>0</v>
      </c>
      <c r="I506" t="n">
        <v>0</v>
      </c>
      <c r="J506" t="n">
        <v>0</v>
      </c>
      <c r="K506" t="n">
        <v>0</v>
      </c>
      <c r="L506" t="n">
        <v>0</v>
      </c>
      <c r="M506" t="n">
        <v>0</v>
      </c>
      <c r="N506" t="n">
        <v>0</v>
      </c>
      <c r="O506" t="n">
        <v>0</v>
      </c>
      <c r="P506" t="n">
        <v>0</v>
      </c>
      <c r="Q506" t="n">
        <v>0</v>
      </c>
      <c r="R506" s="2" t="inlineStr"/>
    </row>
    <row r="507" ht="15" customHeight="1">
      <c r="A507" t="inlineStr">
        <is>
          <t>A 51905-2023</t>
        </is>
      </c>
      <c r="B507" s="1" t="n">
        <v>45223</v>
      </c>
      <c r="C507" s="1" t="n">
        <v>45796</v>
      </c>
      <c r="D507" t="inlineStr">
        <is>
          <t>DALARNAS LÄN</t>
        </is>
      </c>
      <c r="E507" t="inlineStr">
        <is>
          <t>ORSA</t>
        </is>
      </c>
      <c r="F507" t="inlineStr">
        <is>
          <t>Allmännings- och besparingsskogar</t>
        </is>
      </c>
      <c r="G507" t="n">
        <v>2.6</v>
      </c>
      <c r="H507" t="n">
        <v>0</v>
      </c>
      <c r="I507" t="n">
        <v>0</v>
      </c>
      <c r="J507" t="n">
        <v>0</v>
      </c>
      <c r="K507" t="n">
        <v>0</v>
      </c>
      <c r="L507" t="n">
        <v>0</v>
      </c>
      <c r="M507" t="n">
        <v>0</v>
      </c>
      <c r="N507" t="n">
        <v>0</v>
      </c>
      <c r="O507" t="n">
        <v>0</v>
      </c>
      <c r="P507" t="n">
        <v>0</v>
      </c>
      <c r="Q507" t="n">
        <v>0</v>
      </c>
      <c r="R507" s="2" t="inlineStr"/>
    </row>
    <row r="508" ht="15" customHeight="1">
      <c r="A508" t="inlineStr">
        <is>
          <t>A 52033-2023</t>
        </is>
      </c>
      <c r="B508" s="1" t="n">
        <v>45223</v>
      </c>
      <c r="C508" s="1" t="n">
        <v>45796</v>
      </c>
      <c r="D508" t="inlineStr">
        <is>
          <t>DALARNAS LÄN</t>
        </is>
      </c>
      <c r="E508" t="inlineStr">
        <is>
          <t>ORSA</t>
        </is>
      </c>
      <c r="G508" t="n">
        <v>11.5</v>
      </c>
      <c r="H508" t="n">
        <v>0</v>
      </c>
      <c r="I508" t="n">
        <v>0</v>
      </c>
      <c r="J508" t="n">
        <v>0</v>
      </c>
      <c r="K508" t="n">
        <v>0</v>
      </c>
      <c r="L508" t="n">
        <v>0</v>
      </c>
      <c r="M508" t="n">
        <v>0</v>
      </c>
      <c r="N508" t="n">
        <v>0</v>
      </c>
      <c r="O508" t="n">
        <v>0</v>
      </c>
      <c r="P508" t="n">
        <v>0</v>
      </c>
      <c r="Q508" t="n">
        <v>0</v>
      </c>
      <c r="R508" s="2" t="inlineStr"/>
    </row>
    <row r="509" ht="15" customHeight="1">
      <c r="A509" t="inlineStr">
        <is>
          <t>A 52044-2023</t>
        </is>
      </c>
      <c r="B509" s="1" t="n">
        <v>45223</v>
      </c>
      <c r="C509" s="1" t="n">
        <v>45796</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52458-2023</t>
        </is>
      </c>
      <c r="B510" s="1" t="n">
        <v>45225</v>
      </c>
      <c r="C510" s="1" t="n">
        <v>45796</v>
      </c>
      <c r="D510" t="inlineStr">
        <is>
          <t>DALARNAS LÄN</t>
        </is>
      </c>
      <c r="E510" t="inlineStr">
        <is>
          <t>ORSA</t>
        </is>
      </c>
      <c r="F510" t="inlineStr">
        <is>
          <t>Allmännings- och besparingsskogar</t>
        </is>
      </c>
      <c r="G510" t="n">
        <v>1.9</v>
      </c>
      <c r="H510" t="n">
        <v>0</v>
      </c>
      <c r="I510" t="n">
        <v>0</v>
      </c>
      <c r="J510" t="n">
        <v>0</v>
      </c>
      <c r="K510" t="n">
        <v>0</v>
      </c>
      <c r="L510" t="n">
        <v>0</v>
      </c>
      <c r="M510" t="n">
        <v>0</v>
      </c>
      <c r="N510" t="n">
        <v>0</v>
      </c>
      <c r="O510" t="n">
        <v>0</v>
      </c>
      <c r="P510" t="n">
        <v>0</v>
      </c>
      <c r="Q510" t="n">
        <v>0</v>
      </c>
      <c r="R510" s="2" t="inlineStr"/>
    </row>
    <row r="511" ht="15" customHeight="1">
      <c r="A511" t="inlineStr">
        <is>
          <t>A 52506-2023</t>
        </is>
      </c>
      <c r="B511" s="1" t="n">
        <v>45225</v>
      </c>
      <c r="C511" s="1" t="n">
        <v>45796</v>
      </c>
      <c r="D511" t="inlineStr">
        <is>
          <t>DALARNAS LÄN</t>
        </is>
      </c>
      <c r="E511" t="inlineStr">
        <is>
          <t>ORSA</t>
        </is>
      </c>
      <c r="F511" t="inlineStr">
        <is>
          <t>Bergvik skog öst AB</t>
        </is>
      </c>
      <c r="G511" t="n">
        <v>13.2</v>
      </c>
      <c r="H511" t="n">
        <v>0</v>
      </c>
      <c r="I511" t="n">
        <v>0</v>
      </c>
      <c r="J511" t="n">
        <v>0</v>
      </c>
      <c r="K511" t="n">
        <v>0</v>
      </c>
      <c r="L511" t="n">
        <v>0</v>
      </c>
      <c r="M511" t="n">
        <v>0</v>
      </c>
      <c r="N511" t="n">
        <v>0</v>
      </c>
      <c r="O511" t="n">
        <v>0</v>
      </c>
      <c r="P511" t="n">
        <v>0</v>
      </c>
      <c r="Q511" t="n">
        <v>0</v>
      </c>
      <c r="R511" s="2" t="inlineStr"/>
    </row>
    <row r="512" ht="15" customHeight="1">
      <c r="A512" t="inlineStr">
        <is>
          <t>A 52912-2023</t>
        </is>
      </c>
      <c r="B512" s="1" t="n">
        <v>45226</v>
      </c>
      <c r="C512" s="1" t="n">
        <v>45796</v>
      </c>
      <c r="D512" t="inlineStr">
        <is>
          <t>DALARNAS LÄN</t>
        </is>
      </c>
      <c r="E512" t="inlineStr">
        <is>
          <t>ORSA</t>
        </is>
      </c>
      <c r="G512" t="n">
        <v>10.9</v>
      </c>
      <c r="H512" t="n">
        <v>0</v>
      </c>
      <c r="I512" t="n">
        <v>0</v>
      </c>
      <c r="J512" t="n">
        <v>0</v>
      </c>
      <c r="K512" t="n">
        <v>0</v>
      </c>
      <c r="L512" t="n">
        <v>0</v>
      </c>
      <c r="M512" t="n">
        <v>0</v>
      </c>
      <c r="N512" t="n">
        <v>0</v>
      </c>
      <c r="O512" t="n">
        <v>0</v>
      </c>
      <c r="P512" t="n">
        <v>0</v>
      </c>
      <c r="Q512" t="n">
        <v>0</v>
      </c>
      <c r="R512" s="2" t="inlineStr"/>
    </row>
    <row r="513" ht="15" customHeight="1">
      <c r="A513" t="inlineStr">
        <is>
          <t>A 52985-2023</t>
        </is>
      </c>
      <c r="B513" s="1" t="n">
        <v>45226</v>
      </c>
      <c r="C513" s="1" t="n">
        <v>45796</v>
      </c>
      <c r="D513" t="inlineStr">
        <is>
          <t>DALARNAS LÄN</t>
        </is>
      </c>
      <c r="E513" t="inlineStr">
        <is>
          <t>ORSA</t>
        </is>
      </c>
      <c r="G513" t="n">
        <v>5.9</v>
      </c>
      <c r="H513" t="n">
        <v>0</v>
      </c>
      <c r="I513" t="n">
        <v>0</v>
      </c>
      <c r="J513" t="n">
        <v>0</v>
      </c>
      <c r="K513" t="n">
        <v>0</v>
      </c>
      <c r="L513" t="n">
        <v>0</v>
      </c>
      <c r="M513" t="n">
        <v>0</v>
      </c>
      <c r="N513" t="n">
        <v>0</v>
      </c>
      <c r="O513" t="n">
        <v>0</v>
      </c>
      <c r="P513" t="n">
        <v>0</v>
      </c>
      <c r="Q513" t="n">
        <v>0</v>
      </c>
      <c r="R513" s="2" t="inlineStr"/>
    </row>
    <row r="514" ht="15" customHeight="1">
      <c r="A514" t="inlineStr">
        <is>
          <t>A 53229-2023</t>
        </is>
      </c>
      <c r="B514" s="1" t="n">
        <v>45229</v>
      </c>
      <c r="C514" s="1" t="n">
        <v>45796</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54553-2023</t>
        </is>
      </c>
      <c r="B515" s="1" t="n">
        <v>45233</v>
      </c>
      <c r="C515" s="1" t="n">
        <v>45796</v>
      </c>
      <c r="D515" t="inlineStr">
        <is>
          <t>DALARNAS LÄN</t>
        </is>
      </c>
      <c r="E515" t="inlineStr">
        <is>
          <t>ORSA</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54519-2023</t>
        </is>
      </c>
      <c r="B516" s="1" t="n">
        <v>45233</v>
      </c>
      <c r="C516" s="1" t="n">
        <v>45796</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54402-2023</t>
        </is>
      </c>
      <c r="B517" s="1" t="n">
        <v>45233</v>
      </c>
      <c r="C517" s="1" t="n">
        <v>45796</v>
      </c>
      <c r="D517" t="inlineStr">
        <is>
          <t>DALARNAS LÄN</t>
        </is>
      </c>
      <c r="E517" t="inlineStr">
        <is>
          <t>ORSA</t>
        </is>
      </c>
      <c r="F517" t="inlineStr">
        <is>
          <t>Bergvik skog öst AB</t>
        </is>
      </c>
      <c r="G517" t="n">
        <v>44.4</v>
      </c>
      <c r="H517" t="n">
        <v>0</v>
      </c>
      <c r="I517" t="n">
        <v>0</v>
      </c>
      <c r="J517" t="n">
        <v>0</v>
      </c>
      <c r="K517" t="n">
        <v>0</v>
      </c>
      <c r="L517" t="n">
        <v>0</v>
      </c>
      <c r="M517" t="n">
        <v>0</v>
      </c>
      <c r="N517" t="n">
        <v>0</v>
      </c>
      <c r="O517" t="n">
        <v>0</v>
      </c>
      <c r="P517" t="n">
        <v>0</v>
      </c>
      <c r="Q517" t="n">
        <v>0</v>
      </c>
      <c r="R517" s="2" t="inlineStr"/>
    </row>
    <row r="518" ht="15" customHeight="1">
      <c r="A518" t="inlineStr">
        <is>
          <t>A 55234-2023</t>
        </is>
      </c>
      <c r="B518" s="1" t="n">
        <v>45237</v>
      </c>
      <c r="C518" s="1" t="n">
        <v>45796</v>
      </c>
      <c r="D518" t="inlineStr">
        <is>
          <t>DALARNAS LÄN</t>
        </is>
      </c>
      <c r="E518" t="inlineStr">
        <is>
          <t>ORSA</t>
        </is>
      </c>
      <c r="G518" t="n">
        <v>3.9</v>
      </c>
      <c r="H518" t="n">
        <v>0</v>
      </c>
      <c r="I518" t="n">
        <v>0</v>
      </c>
      <c r="J518" t="n">
        <v>0</v>
      </c>
      <c r="K518" t="n">
        <v>0</v>
      </c>
      <c r="L518" t="n">
        <v>0</v>
      </c>
      <c r="M518" t="n">
        <v>0</v>
      </c>
      <c r="N518" t="n">
        <v>0</v>
      </c>
      <c r="O518" t="n">
        <v>0</v>
      </c>
      <c r="P518" t="n">
        <v>0</v>
      </c>
      <c r="Q518" t="n">
        <v>0</v>
      </c>
      <c r="R518" s="2" t="inlineStr"/>
    </row>
    <row r="519" ht="15" customHeight="1">
      <c r="A519" t="inlineStr">
        <is>
          <t>A 55283-2023</t>
        </is>
      </c>
      <c r="B519" s="1" t="n">
        <v>45237</v>
      </c>
      <c r="C519" s="1" t="n">
        <v>45796</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55540-2023</t>
        </is>
      </c>
      <c r="B520" s="1" t="n">
        <v>45238</v>
      </c>
      <c r="C520" s="1" t="n">
        <v>45796</v>
      </c>
      <c r="D520" t="inlineStr">
        <is>
          <t>DALARNAS LÄN</t>
        </is>
      </c>
      <c r="E520" t="inlineStr">
        <is>
          <t>ORSA</t>
        </is>
      </c>
      <c r="G520" t="n">
        <v>3.3</v>
      </c>
      <c r="H520" t="n">
        <v>0</v>
      </c>
      <c r="I520" t="n">
        <v>0</v>
      </c>
      <c r="J520" t="n">
        <v>0</v>
      </c>
      <c r="K520" t="n">
        <v>0</v>
      </c>
      <c r="L520" t="n">
        <v>0</v>
      </c>
      <c r="M520" t="n">
        <v>0</v>
      </c>
      <c r="N520" t="n">
        <v>0</v>
      </c>
      <c r="O520" t="n">
        <v>0</v>
      </c>
      <c r="P520" t="n">
        <v>0</v>
      </c>
      <c r="Q520" t="n">
        <v>0</v>
      </c>
      <c r="R520" s="2" t="inlineStr"/>
    </row>
    <row r="521" ht="15" customHeight="1">
      <c r="A521" t="inlineStr">
        <is>
          <t>A 55534-2023</t>
        </is>
      </c>
      <c r="B521" s="1" t="n">
        <v>45238</v>
      </c>
      <c r="C521" s="1" t="n">
        <v>45796</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55538-2023</t>
        </is>
      </c>
      <c r="B522" s="1" t="n">
        <v>45238</v>
      </c>
      <c r="C522" s="1" t="n">
        <v>45796</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55709-2023</t>
        </is>
      </c>
      <c r="B523" s="1" t="n">
        <v>45239</v>
      </c>
      <c r="C523" s="1" t="n">
        <v>45796</v>
      </c>
      <c r="D523" t="inlineStr">
        <is>
          <t>DALARNAS LÄN</t>
        </is>
      </c>
      <c r="E523" t="inlineStr">
        <is>
          <t>ORSA</t>
        </is>
      </c>
      <c r="G523" t="n">
        <v>3.2</v>
      </c>
      <c r="H523" t="n">
        <v>0</v>
      </c>
      <c r="I523" t="n">
        <v>0</v>
      </c>
      <c r="J523" t="n">
        <v>0</v>
      </c>
      <c r="K523" t="n">
        <v>0</v>
      </c>
      <c r="L523" t="n">
        <v>0</v>
      </c>
      <c r="M523" t="n">
        <v>0</v>
      </c>
      <c r="N523" t="n">
        <v>0</v>
      </c>
      <c r="O523" t="n">
        <v>0</v>
      </c>
      <c r="P523" t="n">
        <v>0</v>
      </c>
      <c r="Q523" t="n">
        <v>0</v>
      </c>
      <c r="R523" s="2" t="inlineStr"/>
    </row>
    <row r="524" ht="15" customHeight="1">
      <c r="A524" t="inlineStr">
        <is>
          <t>A 55701-2023</t>
        </is>
      </c>
      <c r="B524" s="1" t="n">
        <v>45239</v>
      </c>
      <c r="C524" s="1" t="n">
        <v>45796</v>
      </c>
      <c r="D524" t="inlineStr">
        <is>
          <t>DALARNAS LÄN</t>
        </is>
      </c>
      <c r="E524" t="inlineStr">
        <is>
          <t>ORSA</t>
        </is>
      </c>
      <c r="G524" t="n">
        <v>1.7</v>
      </c>
      <c r="H524" t="n">
        <v>0</v>
      </c>
      <c r="I524" t="n">
        <v>0</v>
      </c>
      <c r="J524" t="n">
        <v>0</v>
      </c>
      <c r="K524" t="n">
        <v>0</v>
      </c>
      <c r="L524" t="n">
        <v>0</v>
      </c>
      <c r="M524" t="n">
        <v>0</v>
      </c>
      <c r="N524" t="n">
        <v>0</v>
      </c>
      <c r="O524" t="n">
        <v>0</v>
      </c>
      <c r="P524" t="n">
        <v>0</v>
      </c>
      <c r="Q524" t="n">
        <v>0</v>
      </c>
      <c r="R524" s="2" t="inlineStr"/>
    </row>
    <row r="525" ht="15" customHeight="1">
      <c r="A525" t="inlineStr">
        <is>
          <t>A 55843-2023</t>
        </is>
      </c>
      <c r="B525" s="1" t="n">
        <v>45239</v>
      </c>
      <c r="C525" s="1" t="n">
        <v>45796</v>
      </c>
      <c r="D525" t="inlineStr">
        <is>
          <t>DALARNAS LÄN</t>
        </is>
      </c>
      <c r="E525" t="inlineStr">
        <is>
          <t>ORSA</t>
        </is>
      </c>
      <c r="G525" t="n">
        <v>2.4</v>
      </c>
      <c r="H525" t="n">
        <v>0</v>
      </c>
      <c r="I525" t="n">
        <v>0</v>
      </c>
      <c r="J525" t="n">
        <v>0</v>
      </c>
      <c r="K525" t="n">
        <v>0</v>
      </c>
      <c r="L525" t="n">
        <v>0</v>
      </c>
      <c r="M525" t="n">
        <v>0</v>
      </c>
      <c r="N525" t="n">
        <v>0</v>
      </c>
      <c r="O525" t="n">
        <v>0</v>
      </c>
      <c r="P525" t="n">
        <v>0</v>
      </c>
      <c r="Q525" t="n">
        <v>0</v>
      </c>
      <c r="R525" s="2" t="inlineStr"/>
    </row>
    <row r="526" ht="15" customHeight="1">
      <c r="A526" t="inlineStr">
        <is>
          <t>A 55689-2023</t>
        </is>
      </c>
      <c r="B526" s="1" t="n">
        <v>45239</v>
      </c>
      <c r="C526" s="1" t="n">
        <v>45796</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56196-2023</t>
        </is>
      </c>
      <c r="B527" s="1" t="n">
        <v>45240</v>
      </c>
      <c r="C527" s="1" t="n">
        <v>45796</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56298-2023</t>
        </is>
      </c>
      <c r="B528" s="1" t="n">
        <v>45242</v>
      </c>
      <c r="C528" s="1" t="n">
        <v>45796</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56648-2023</t>
        </is>
      </c>
      <c r="B529" s="1" t="n">
        <v>45243</v>
      </c>
      <c r="C529" s="1" t="n">
        <v>45796</v>
      </c>
      <c r="D529" t="inlineStr">
        <is>
          <t>DALARNAS LÄN</t>
        </is>
      </c>
      <c r="E529" t="inlineStr">
        <is>
          <t>ORSA</t>
        </is>
      </c>
      <c r="F529" t="inlineStr">
        <is>
          <t>Bergvik skog öst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57059-2023</t>
        </is>
      </c>
      <c r="B530" s="1" t="n">
        <v>45244</v>
      </c>
      <c r="C530" s="1" t="n">
        <v>45796</v>
      </c>
      <c r="D530" t="inlineStr">
        <is>
          <t>DALARNAS LÄN</t>
        </is>
      </c>
      <c r="E530" t="inlineStr">
        <is>
          <t>ORSA</t>
        </is>
      </c>
      <c r="G530" t="n">
        <v>6.3</v>
      </c>
      <c r="H530" t="n">
        <v>0</v>
      </c>
      <c r="I530" t="n">
        <v>0</v>
      </c>
      <c r="J530" t="n">
        <v>0</v>
      </c>
      <c r="K530" t="n">
        <v>0</v>
      </c>
      <c r="L530" t="n">
        <v>0</v>
      </c>
      <c r="M530" t="n">
        <v>0</v>
      </c>
      <c r="N530" t="n">
        <v>0</v>
      </c>
      <c r="O530" t="n">
        <v>0</v>
      </c>
      <c r="P530" t="n">
        <v>0</v>
      </c>
      <c r="Q530" t="n">
        <v>0</v>
      </c>
      <c r="R530" s="2" t="inlineStr"/>
    </row>
    <row r="531" ht="15" customHeight="1">
      <c r="A531" t="inlineStr">
        <is>
          <t>A 56975-2023</t>
        </is>
      </c>
      <c r="B531" s="1" t="n">
        <v>45244</v>
      </c>
      <c r="C531" s="1" t="n">
        <v>45796</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57192-2023</t>
        </is>
      </c>
      <c r="B532" s="1" t="n">
        <v>45245</v>
      </c>
      <c r="C532" s="1" t="n">
        <v>45796</v>
      </c>
      <c r="D532" t="inlineStr">
        <is>
          <t>DALARNAS LÄN</t>
        </is>
      </c>
      <c r="E532" t="inlineStr">
        <is>
          <t>ORSA</t>
        </is>
      </c>
      <c r="F532" t="inlineStr">
        <is>
          <t>Övriga statliga verk och myndigheter</t>
        </is>
      </c>
      <c r="G532" t="n">
        <v>1.7</v>
      </c>
      <c r="H532" t="n">
        <v>0</v>
      </c>
      <c r="I532" t="n">
        <v>0</v>
      </c>
      <c r="J532" t="n">
        <v>0</v>
      </c>
      <c r="K532" t="n">
        <v>0</v>
      </c>
      <c r="L532" t="n">
        <v>0</v>
      </c>
      <c r="M532" t="n">
        <v>0</v>
      </c>
      <c r="N532" t="n">
        <v>0</v>
      </c>
      <c r="O532" t="n">
        <v>0</v>
      </c>
      <c r="P532" t="n">
        <v>0</v>
      </c>
      <c r="Q532" t="n">
        <v>0</v>
      </c>
      <c r="R532" s="2" t="inlineStr"/>
    </row>
    <row r="533" ht="15" customHeight="1">
      <c r="A533" t="inlineStr">
        <is>
          <t>A 57960-2023</t>
        </is>
      </c>
      <c r="B533" s="1" t="n">
        <v>45247</v>
      </c>
      <c r="C533" s="1" t="n">
        <v>45796</v>
      </c>
      <c r="D533" t="inlineStr">
        <is>
          <t>DALARNAS LÄN</t>
        </is>
      </c>
      <c r="E533" t="inlineStr">
        <is>
          <t>ORSA</t>
        </is>
      </c>
      <c r="G533" t="n">
        <v>11.8</v>
      </c>
      <c r="H533" t="n">
        <v>0</v>
      </c>
      <c r="I533" t="n">
        <v>0</v>
      </c>
      <c r="J533" t="n">
        <v>0</v>
      </c>
      <c r="K533" t="n">
        <v>0</v>
      </c>
      <c r="L533" t="n">
        <v>0</v>
      </c>
      <c r="M533" t="n">
        <v>0</v>
      </c>
      <c r="N533" t="n">
        <v>0</v>
      </c>
      <c r="O533" t="n">
        <v>0</v>
      </c>
      <c r="P533" t="n">
        <v>0</v>
      </c>
      <c r="Q533" t="n">
        <v>0</v>
      </c>
      <c r="R533" s="2" t="inlineStr"/>
    </row>
    <row r="534" ht="15" customHeight="1">
      <c r="A534" t="inlineStr">
        <is>
          <t>A 58074-2023</t>
        </is>
      </c>
      <c r="B534" s="1" t="n">
        <v>45247</v>
      </c>
      <c r="C534" s="1" t="n">
        <v>45796</v>
      </c>
      <c r="D534" t="inlineStr">
        <is>
          <t>DALARNAS LÄN</t>
        </is>
      </c>
      <c r="E534" t="inlineStr">
        <is>
          <t>ORSA</t>
        </is>
      </c>
      <c r="G534" t="n">
        <v>9.5</v>
      </c>
      <c r="H534" t="n">
        <v>0</v>
      </c>
      <c r="I534" t="n">
        <v>0</v>
      </c>
      <c r="J534" t="n">
        <v>0</v>
      </c>
      <c r="K534" t="n">
        <v>0</v>
      </c>
      <c r="L534" t="n">
        <v>0</v>
      </c>
      <c r="M534" t="n">
        <v>0</v>
      </c>
      <c r="N534" t="n">
        <v>0</v>
      </c>
      <c r="O534" t="n">
        <v>0</v>
      </c>
      <c r="P534" t="n">
        <v>0</v>
      </c>
      <c r="Q534" t="n">
        <v>0</v>
      </c>
      <c r="R534" s="2" t="inlineStr"/>
    </row>
    <row r="535" ht="15" customHeight="1">
      <c r="A535" t="inlineStr">
        <is>
          <t>A 58549-2023</t>
        </is>
      </c>
      <c r="B535" s="1" t="n">
        <v>45251</v>
      </c>
      <c r="C535" s="1" t="n">
        <v>45796</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58793-2023</t>
        </is>
      </c>
      <c r="B536" s="1" t="n">
        <v>45252</v>
      </c>
      <c r="C536" s="1" t="n">
        <v>45796</v>
      </c>
      <c r="D536" t="inlineStr">
        <is>
          <t>DALARNAS LÄN</t>
        </is>
      </c>
      <c r="E536" t="inlineStr">
        <is>
          <t>ORSA</t>
        </is>
      </c>
      <c r="G536" t="n">
        <v>2.2</v>
      </c>
      <c r="H536" t="n">
        <v>0</v>
      </c>
      <c r="I536" t="n">
        <v>0</v>
      </c>
      <c r="J536" t="n">
        <v>0</v>
      </c>
      <c r="K536" t="n">
        <v>0</v>
      </c>
      <c r="L536" t="n">
        <v>0</v>
      </c>
      <c r="M536" t="n">
        <v>0</v>
      </c>
      <c r="N536" t="n">
        <v>0</v>
      </c>
      <c r="O536" t="n">
        <v>0</v>
      </c>
      <c r="P536" t="n">
        <v>0</v>
      </c>
      <c r="Q536" t="n">
        <v>0</v>
      </c>
      <c r="R536" s="2" t="inlineStr"/>
    </row>
    <row r="537" ht="15" customHeight="1">
      <c r="A537" t="inlineStr">
        <is>
          <t>A 59012-2023</t>
        </is>
      </c>
      <c r="B537" s="1" t="n">
        <v>45252</v>
      </c>
      <c r="C537" s="1" t="n">
        <v>45796</v>
      </c>
      <c r="D537" t="inlineStr">
        <is>
          <t>DALARNAS LÄN</t>
        </is>
      </c>
      <c r="E537" t="inlineStr">
        <is>
          <t>ORSA</t>
        </is>
      </c>
      <c r="F537" t="inlineStr">
        <is>
          <t>Bergvik skog öst AB</t>
        </is>
      </c>
      <c r="G537" t="n">
        <v>16.6</v>
      </c>
      <c r="H537" t="n">
        <v>0</v>
      </c>
      <c r="I537" t="n">
        <v>0</v>
      </c>
      <c r="J537" t="n">
        <v>0</v>
      </c>
      <c r="K537" t="n">
        <v>0</v>
      </c>
      <c r="L537" t="n">
        <v>0</v>
      </c>
      <c r="M537" t="n">
        <v>0</v>
      </c>
      <c r="N537" t="n">
        <v>0</v>
      </c>
      <c r="O537" t="n">
        <v>0</v>
      </c>
      <c r="P537" t="n">
        <v>0</v>
      </c>
      <c r="Q537" t="n">
        <v>0</v>
      </c>
      <c r="R537" s="2" t="inlineStr"/>
    </row>
    <row r="538" ht="15" customHeight="1">
      <c r="A538" t="inlineStr">
        <is>
          <t>A 59321-2023</t>
        </is>
      </c>
      <c r="B538" s="1" t="n">
        <v>45253</v>
      </c>
      <c r="C538" s="1" t="n">
        <v>45796</v>
      </c>
      <c r="D538" t="inlineStr">
        <is>
          <t>DALARNAS LÄN</t>
        </is>
      </c>
      <c r="E538" t="inlineStr">
        <is>
          <t>ORSA</t>
        </is>
      </c>
      <c r="G538" t="n">
        <v>4.8</v>
      </c>
      <c r="H538" t="n">
        <v>0</v>
      </c>
      <c r="I538" t="n">
        <v>0</v>
      </c>
      <c r="J538" t="n">
        <v>0</v>
      </c>
      <c r="K538" t="n">
        <v>0</v>
      </c>
      <c r="L538" t="n">
        <v>0</v>
      </c>
      <c r="M538" t="n">
        <v>0</v>
      </c>
      <c r="N538" t="n">
        <v>0</v>
      </c>
      <c r="O538" t="n">
        <v>0</v>
      </c>
      <c r="P538" t="n">
        <v>0</v>
      </c>
      <c r="Q538" t="n">
        <v>0</v>
      </c>
      <c r="R538" s="2" t="inlineStr"/>
    </row>
    <row r="539" ht="15" customHeight="1">
      <c r="A539" t="inlineStr">
        <is>
          <t>A 61048-2023</t>
        </is>
      </c>
      <c r="B539" s="1" t="n">
        <v>45261</v>
      </c>
      <c r="C539" s="1" t="n">
        <v>45796</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61277-2023</t>
        </is>
      </c>
      <c r="B540" s="1" t="n">
        <v>45264</v>
      </c>
      <c r="C540" s="1" t="n">
        <v>45796</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61279-2023</t>
        </is>
      </c>
      <c r="B541" s="1" t="n">
        <v>45264</v>
      </c>
      <c r="C541" s="1" t="n">
        <v>45796</v>
      </c>
      <c r="D541" t="inlineStr">
        <is>
          <t>DALARNAS LÄN</t>
        </is>
      </c>
      <c r="E541" t="inlineStr">
        <is>
          <t>ORSA</t>
        </is>
      </c>
      <c r="G541" t="n">
        <v>0.2</v>
      </c>
      <c r="H541" t="n">
        <v>0</v>
      </c>
      <c r="I541" t="n">
        <v>0</v>
      </c>
      <c r="J541" t="n">
        <v>0</v>
      </c>
      <c r="K541" t="n">
        <v>0</v>
      </c>
      <c r="L541" t="n">
        <v>0</v>
      </c>
      <c r="M541" t="n">
        <v>0</v>
      </c>
      <c r="N541" t="n">
        <v>0</v>
      </c>
      <c r="O541" t="n">
        <v>0</v>
      </c>
      <c r="P541" t="n">
        <v>0</v>
      </c>
      <c r="Q541" t="n">
        <v>0</v>
      </c>
      <c r="R541" s="2" t="inlineStr"/>
    </row>
    <row r="542" ht="15" customHeight="1">
      <c r="A542" t="inlineStr">
        <is>
          <t>A 62289-2023</t>
        </is>
      </c>
      <c r="B542" s="1" t="n">
        <v>45266</v>
      </c>
      <c r="C542" s="1" t="n">
        <v>45796</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62342-2023</t>
        </is>
      </c>
      <c r="B543" s="1" t="n">
        <v>45267</v>
      </c>
      <c r="C543" s="1" t="n">
        <v>45796</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62945-2023</t>
        </is>
      </c>
      <c r="B544" s="1" t="n">
        <v>45271</v>
      </c>
      <c r="C544" s="1" t="n">
        <v>45796</v>
      </c>
      <c r="D544" t="inlineStr">
        <is>
          <t>DALARNAS LÄN</t>
        </is>
      </c>
      <c r="E544" t="inlineStr">
        <is>
          <t>ORSA</t>
        </is>
      </c>
      <c r="G544" t="n">
        <v>1.6</v>
      </c>
      <c r="H544" t="n">
        <v>0</v>
      </c>
      <c r="I544" t="n">
        <v>0</v>
      </c>
      <c r="J544" t="n">
        <v>0</v>
      </c>
      <c r="K544" t="n">
        <v>0</v>
      </c>
      <c r="L544" t="n">
        <v>0</v>
      </c>
      <c r="M544" t="n">
        <v>0</v>
      </c>
      <c r="N544" t="n">
        <v>0</v>
      </c>
      <c r="O544" t="n">
        <v>0</v>
      </c>
      <c r="P544" t="n">
        <v>0</v>
      </c>
      <c r="Q544" t="n">
        <v>0</v>
      </c>
      <c r="R544" s="2" t="inlineStr"/>
    </row>
    <row r="545" ht="15" customHeight="1">
      <c r="A545" t="inlineStr">
        <is>
          <t>A 63371-2023</t>
        </is>
      </c>
      <c r="B545" s="1" t="n">
        <v>45274</v>
      </c>
      <c r="C545" s="1" t="n">
        <v>45796</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63453-2023</t>
        </is>
      </c>
      <c r="B546" s="1" t="n">
        <v>45274</v>
      </c>
      <c r="C546" s="1" t="n">
        <v>45796</v>
      </c>
      <c r="D546" t="inlineStr">
        <is>
          <t>DALARNAS LÄN</t>
        </is>
      </c>
      <c r="E546" t="inlineStr">
        <is>
          <t>ORSA</t>
        </is>
      </c>
      <c r="G546" t="n">
        <v>3.2</v>
      </c>
      <c r="H546" t="n">
        <v>0</v>
      </c>
      <c r="I546" t="n">
        <v>0</v>
      </c>
      <c r="J546" t="n">
        <v>0</v>
      </c>
      <c r="K546" t="n">
        <v>0</v>
      </c>
      <c r="L546" t="n">
        <v>0</v>
      </c>
      <c r="M546" t="n">
        <v>0</v>
      </c>
      <c r="N546" t="n">
        <v>0</v>
      </c>
      <c r="O546" t="n">
        <v>0</v>
      </c>
      <c r="P546" t="n">
        <v>0</v>
      </c>
      <c r="Q546" t="n">
        <v>0</v>
      </c>
      <c r="R546" s="2" t="inlineStr"/>
    </row>
    <row r="547" ht="15" customHeight="1">
      <c r="A547" t="inlineStr">
        <is>
          <t>A 63457-2023</t>
        </is>
      </c>
      <c r="B547" s="1" t="n">
        <v>45274</v>
      </c>
      <c r="C547" s="1" t="n">
        <v>45796</v>
      </c>
      <c r="D547" t="inlineStr">
        <is>
          <t>DALARNAS LÄN</t>
        </is>
      </c>
      <c r="E547" t="inlineStr">
        <is>
          <t>ORSA</t>
        </is>
      </c>
      <c r="G547" t="n">
        <v>1.7</v>
      </c>
      <c r="H547" t="n">
        <v>0</v>
      </c>
      <c r="I547" t="n">
        <v>0</v>
      </c>
      <c r="J547" t="n">
        <v>0</v>
      </c>
      <c r="K547" t="n">
        <v>0</v>
      </c>
      <c r="L547" t="n">
        <v>0</v>
      </c>
      <c r="M547" t="n">
        <v>0</v>
      </c>
      <c r="N547" t="n">
        <v>0</v>
      </c>
      <c r="O547" t="n">
        <v>0</v>
      </c>
      <c r="P547" t="n">
        <v>0</v>
      </c>
      <c r="Q547" t="n">
        <v>0</v>
      </c>
      <c r="R547" s="2" t="inlineStr"/>
    </row>
    <row r="548" ht="15" customHeight="1">
      <c r="A548" t="inlineStr">
        <is>
          <t>A 63917-2023</t>
        </is>
      </c>
      <c r="B548" s="1" t="n">
        <v>45278</v>
      </c>
      <c r="C548" s="1" t="n">
        <v>45796</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593-2024</t>
        </is>
      </c>
      <c r="B549" s="1" t="n">
        <v>45299</v>
      </c>
      <c r="C549" s="1" t="n">
        <v>45796</v>
      </c>
      <c r="D549" t="inlineStr">
        <is>
          <t>DALARNAS LÄN</t>
        </is>
      </c>
      <c r="E549" t="inlineStr">
        <is>
          <t>ORSA</t>
        </is>
      </c>
      <c r="G549" t="n">
        <v>1.5</v>
      </c>
      <c r="H549" t="n">
        <v>0</v>
      </c>
      <c r="I549" t="n">
        <v>0</v>
      </c>
      <c r="J549" t="n">
        <v>0</v>
      </c>
      <c r="K549" t="n">
        <v>0</v>
      </c>
      <c r="L549" t="n">
        <v>0</v>
      </c>
      <c r="M549" t="n">
        <v>0</v>
      </c>
      <c r="N549" t="n">
        <v>0</v>
      </c>
      <c r="O549" t="n">
        <v>0</v>
      </c>
      <c r="P549" t="n">
        <v>0</v>
      </c>
      <c r="Q549" t="n">
        <v>0</v>
      </c>
      <c r="R549" s="2" t="inlineStr"/>
    </row>
    <row r="550" ht="15" customHeight="1">
      <c r="A550" t="inlineStr">
        <is>
          <t>A 597-2024</t>
        </is>
      </c>
      <c r="B550" s="1" t="n">
        <v>45299</v>
      </c>
      <c r="C550" s="1" t="n">
        <v>45796</v>
      </c>
      <c r="D550" t="inlineStr">
        <is>
          <t>DALARNAS LÄN</t>
        </is>
      </c>
      <c r="E550" t="inlineStr">
        <is>
          <t>ORSA</t>
        </is>
      </c>
      <c r="G550" t="n">
        <v>4.4</v>
      </c>
      <c r="H550" t="n">
        <v>0</v>
      </c>
      <c r="I550" t="n">
        <v>0</v>
      </c>
      <c r="J550" t="n">
        <v>0</v>
      </c>
      <c r="K550" t="n">
        <v>0</v>
      </c>
      <c r="L550" t="n">
        <v>0</v>
      </c>
      <c r="M550" t="n">
        <v>0</v>
      </c>
      <c r="N550" t="n">
        <v>0</v>
      </c>
      <c r="O550" t="n">
        <v>0</v>
      </c>
      <c r="P550" t="n">
        <v>0</v>
      </c>
      <c r="Q550" t="n">
        <v>0</v>
      </c>
      <c r="R550" s="2" t="inlineStr"/>
    </row>
    <row r="551" ht="15" customHeight="1">
      <c r="A551" t="inlineStr">
        <is>
          <t>A 879-2024</t>
        </is>
      </c>
      <c r="B551" s="1" t="n">
        <v>45301</v>
      </c>
      <c r="C551" s="1" t="n">
        <v>45796</v>
      </c>
      <c r="D551" t="inlineStr">
        <is>
          <t>DALARNAS LÄN</t>
        </is>
      </c>
      <c r="E551" t="inlineStr">
        <is>
          <t>ORSA</t>
        </is>
      </c>
      <c r="G551" t="n">
        <v>2.1</v>
      </c>
      <c r="H551" t="n">
        <v>0</v>
      </c>
      <c r="I551" t="n">
        <v>0</v>
      </c>
      <c r="J551" t="n">
        <v>0</v>
      </c>
      <c r="K551" t="n">
        <v>0</v>
      </c>
      <c r="L551" t="n">
        <v>0</v>
      </c>
      <c r="M551" t="n">
        <v>0</v>
      </c>
      <c r="N551" t="n">
        <v>0</v>
      </c>
      <c r="O551" t="n">
        <v>0</v>
      </c>
      <c r="P551" t="n">
        <v>0</v>
      </c>
      <c r="Q551" t="n">
        <v>0</v>
      </c>
      <c r="R551" s="2" t="inlineStr"/>
    </row>
    <row r="552" ht="15" customHeight="1">
      <c r="A552" t="inlineStr">
        <is>
          <t>A 892-2024</t>
        </is>
      </c>
      <c r="B552" s="1" t="n">
        <v>45301</v>
      </c>
      <c r="C552" s="1" t="n">
        <v>45796</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890-2024</t>
        </is>
      </c>
      <c r="B553" s="1" t="n">
        <v>45301</v>
      </c>
      <c r="C553" s="1" t="n">
        <v>45796</v>
      </c>
      <c r="D553" t="inlineStr">
        <is>
          <t>DALARNAS LÄN</t>
        </is>
      </c>
      <c r="E553" t="inlineStr">
        <is>
          <t>ORSA</t>
        </is>
      </c>
      <c r="G553" t="n">
        <v>2.5</v>
      </c>
      <c r="H553" t="n">
        <v>0</v>
      </c>
      <c r="I553" t="n">
        <v>0</v>
      </c>
      <c r="J553" t="n">
        <v>0</v>
      </c>
      <c r="K553" t="n">
        <v>0</v>
      </c>
      <c r="L553" t="n">
        <v>0</v>
      </c>
      <c r="M553" t="n">
        <v>0</v>
      </c>
      <c r="N553" t="n">
        <v>0</v>
      </c>
      <c r="O553" t="n">
        <v>0</v>
      </c>
      <c r="P553" t="n">
        <v>0</v>
      </c>
      <c r="Q553" t="n">
        <v>0</v>
      </c>
      <c r="R553" s="2" t="inlineStr"/>
    </row>
    <row r="554" ht="15" customHeight="1">
      <c r="A554" t="inlineStr">
        <is>
          <t>A 1304-2024</t>
        </is>
      </c>
      <c r="B554" s="1" t="n">
        <v>45303</v>
      </c>
      <c r="C554" s="1" t="n">
        <v>45796</v>
      </c>
      <c r="D554" t="inlineStr">
        <is>
          <t>DALARNAS LÄN</t>
        </is>
      </c>
      <c r="E554" t="inlineStr">
        <is>
          <t>ORSA</t>
        </is>
      </c>
      <c r="G554" t="n">
        <v>3.8</v>
      </c>
      <c r="H554" t="n">
        <v>0</v>
      </c>
      <c r="I554" t="n">
        <v>0</v>
      </c>
      <c r="J554" t="n">
        <v>0</v>
      </c>
      <c r="K554" t="n">
        <v>0</v>
      </c>
      <c r="L554" t="n">
        <v>0</v>
      </c>
      <c r="M554" t="n">
        <v>0</v>
      </c>
      <c r="N554" t="n">
        <v>0</v>
      </c>
      <c r="O554" t="n">
        <v>0</v>
      </c>
      <c r="P554" t="n">
        <v>0</v>
      </c>
      <c r="Q554" t="n">
        <v>0</v>
      </c>
      <c r="R554" s="2" t="inlineStr"/>
    </row>
    <row r="555" ht="15" customHeight="1">
      <c r="A555" t="inlineStr">
        <is>
          <t>A 1337-2024</t>
        </is>
      </c>
      <c r="B555" s="1" t="n">
        <v>45303</v>
      </c>
      <c r="C555" s="1" t="n">
        <v>45796</v>
      </c>
      <c r="D555" t="inlineStr">
        <is>
          <t>DALARNAS LÄN</t>
        </is>
      </c>
      <c r="E555" t="inlineStr">
        <is>
          <t>ORSA</t>
        </is>
      </c>
      <c r="G555" t="n">
        <v>5.2</v>
      </c>
      <c r="H555" t="n">
        <v>0</v>
      </c>
      <c r="I555" t="n">
        <v>0</v>
      </c>
      <c r="J555" t="n">
        <v>0</v>
      </c>
      <c r="K555" t="n">
        <v>0</v>
      </c>
      <c r="L555" t="n">
        <v>0</v>
      </c>
      <c r="M555" t="n">
        <v>0</v>
      </c>
      <c r="N555" t="n">
        <v>0</v>
      </c>
      <c r="O555" t="n">
        <v>0</v>
      </c>
      <c r="P555" t="n">
        <v>0</v>
      </c>
      <c r="Q555" t="n">
        <v>0</v>
      </c>
      <c r="R555" s="2" t="inlineStr"/>
    </row>
    <row r="556" ht="15" customHeight="1">
      <c r="A556" t="inlineStr">
        <is>
          <t>A 1298-2024</t>
        </is>
      </c>
      <c r="B556" s="1" t="n">
        <v>45303</v>
      </c>
      <c r="C556" s="1" t="n">
        <v>45796</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1569-2024</t>
        </is>
      </c>
      <c r="B557" s="1" t="n">
        <v>45306</v>
      </c>
      <c r="C557" s="1" t="n">
        <v>45796</v>
      </c>
      <c r="D557" t="inlineStr">
        <is>
          <t>DALARNAS LÄN</t>
        </is>
      </c>
      <c r="E557" t="inlineStr">
        <is>
          <t>ORSA</t>
        </is>
      </c>
      <c r="G557" t="n">
        <v>15.3</v>
      </c>
      <c r="H557" t="n">
        <v>0</v>
      </c>
      <c r="I557" t="n">
        <v>0</v>
      </c>
      <c r="J557" t="n">
        <v>0</v>
      </c>
      <c r="K557" t="n">
        <v>0</v>
      </c>
      <c r="L557" t="n">
        <v>0</v>
      </c>
      <c r="M557" t="n">
        <v>0</v>
      </c>
      <c r="N557" t="n">
        <v>0</v>
      </c>
      <c r="O557" t="n">
        <v>0</v>
      </c>
      <c r="P557" t="n">
        <v>0</v>
      </c>
      <c r="Q557" t="n">
        <v>0</v>
      </c>
      <c r="R557" s="2" t="inlineStr"/>
    </row>
    <row r="558" ht="15" customHeight="1">
      <c r="A558" t="inlineStr">
        <is>
          <t>A 1624-2024</t>
        </is>
      </c>
      <c r="B558" s="1" t="n">
        <v>45306</v>
      </c>
      <c r="C558" s="1" t="n">
        <v>45796</v>
      </c>
      <c r="D558" t="inlineStr">
        <is>
          <t>DALARNAS LÄN</t>
        </is>
      </c>
      <c r="E558" t="inlineStr">
        <is>
          <t>ORSA</t>
        </is>
      </c>
      <c r="G558" t="n">
        <v>1.9</v>
      </c>
      <c r="H558" t="n">
        <v>0</v>
      </c>
      <c r="I558" t="n">
        <v>0</v>
      </c>
      <c r="J558" t="n">
        <v>0</v>
      </c>
      <c r="K558" t="n">
        <v>0</v>
      </c>
      <c r="L558" t="n">
        <v>0</v>
      </c>
      <c r="M558" t="n">
        <v>0</v>
      </c>
      <c r="N558" t="n">
        <v>0</v>
      </c>
      <c r="O558" t="n">
        <v>0</v>
      </c>
      <c r="P558" t="n">
        <v>0</v>
      </c>
      <c r="Q558" t="n">
        <v>0</v>
      </c>
      <c r="R558" s="2" t="inlineStr"/>
    </row>
    <row r="559" ht="15" customHeight="1">
      <c r="A559" t="inlineStr">
        <is>
          <t>A 1755-2024</t>
        </is>
      </c>
      <c r="B559" s="1" t="n">
        <v>45307</v>
      </c>
      <c r="C559" s="1" t="n">
        <v>45796</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1785-2024</t>
        </is>
      </c>
      <c r="B560" s="1" t="n">
        <v>45307</v>
      </c>
      <c r="C560" s="1" t="n">
        <v>45796</v>
      </c>
      <c r="D560" t="inlineStr">
        <is>
          <t>DALARNAS LÄN</t>
        </is>
      </c>
      <c r="E560" t="inlineStr">
        <is>
          <t>ORSA</t>
        </is>
      </c>
      <c r="G560" t="n">
        <v>42.8</v>
      </c>
      <c r="H560" t="n">
        <v>0</v>
      </c>
      <c r="I560" t="n">
        <v>0</v>
      </c>
      <c r="J560" t="n">
        <v>0</v>
      </c>
      <c r="K560" t="n">
        <v>0</v>
      </c>
      <c r="L560" t="n">
        <v>0</v>
      </c>
      <c r="M560" t="n">
        <v>0</v>
      </c>
      <c r="N560" t="n">
        <v>0</v>
      </c>
      <c r="O560" t="n">
        <v>0</v>
      </c>
      <c r="P560" t="n">
        <v>0</v>
      </c>
      <c r="Q560" t="n">
        <v>0</v>
      </c>
      <c r="R560" s="2" t="inlineStr"/>
    </row>
    <row r="561" ht="15" customHeight="1">
      <c r="A561" t="inlineStr">
        <is>
          <t>A 2717-2024</t>
        </is>
      </c>
      <c r="B561" s="1" t="n">
        <v>45314</v>
      </c>
      <c r="C561" s="1" t="n">
        <v>45796</v>
      </c>
      <c r="D561" t="inlineStr">
        <is>
          <t>DALARNAS LÄN</t>
        </is>
      </c>
      <c r="E561" t="inlineStr">
        <is>
          <t>ORSA</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2714-2024</t>
        </is>
      </c>
      <c r="B562" s="1" t="n">
        <v>45314</v>
      </c>
      <c r="C562" s="1" t="n">
        <v>45796</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2728-2024</t>
        </is>
      </c>
      <c r="B563" s="1" t="n">
        <v>45314</v>
      </c>
      <c r="C563" s="1" t="n">
        <v>45796</v>
      </c>
      <c r="D563" t="inlineStr">
        <is>
          <t>DALARNAS LÄN</t>
        </is>
      </c>
      <c r="E563" t="inlineStr">
        <is>
          <t>ORSA</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3166-2024</t>
        </is>
      </c>
      <c r="B564" s="1" t="n">
        <v>45316</v>
      </c>
      <c r="C564" s="1" t="n">
        <v>45796</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3168-2024</t>
        </is>
      </c>
      <c r="B565" s="1" t="n">
        <v>45316</v>
      </c>
      <c r="C565" s="1" t="n">
        <v>45796</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5303-2024</t>
        </is>
      </c>
      <c r="B566" s="1" t="n">
        <v>45331</v>
      </c>
      <c r="C566" s="1" t="n">
        <v>45796</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5302-2024</t>
        </is>
      </c>
      <c r="B567" s="1" t="n">
        <v>45331</v>
      </c>
      <c r="C567" s="1" t="n">
        <v>45796</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8107-2024</t>
        </is>
      </c>
      <c r="B568" s="1" t="n">
        <v>45351</v>
      </c>
      <c r="C568" s="1" t="n">
        <v>45796</v>
      </c>
      <c r="D568" t="inlineStr">
        <is>
          <t>DALARNAS LÄN</t>
        </is>
      </c>
      <c r="E568" t="inlineStr">
        <is>
          <t>ORSA</t>
        </is>
      </c>
      <c r="G568" t="n">
        <v>13.6</v>
      </c>
      <c r="H568" t="n">
        <v>0</v>
      </c>
      <c r="I568" t="n">
        <v>0</v>
      </c>
      <c r="J568" t="n">
        <v>0</v>
      </c>
      <c r="K568" t="n">
        <v>0</v>
      </c>
      <c r="L568" t="n">
        <v>0</v>
      </c>
      <c r="M568" t="n">
        <v>0</v>
      </c>
      <c r="N568" t="n">
        <v>0</v>
      </c>
      <c r="O568" t="n">
        <v>0</v>
      </c>
      <c r="P568" t="n">
        <v>0</v>
      </c>
      <c r="Q568" t="n">
        <v>0</v>
      </c>
      <c r="R568" s="2" t="inlineStr"/>
    </row>
    <row r="569" ht="15" customHeight="1">
      <c r="A569" t="inlineStr">
        <is>
          <t>A 8110-2024</t>
        </is>
      </c>
      <c r="B569" s="1" t="n">
        <v>45351</v>
      </c>
      <c r="C569" s="1" t="n">
        <v>45796</v>
      </c>
      <c r="D569" t="inlineStr">
        <is>
          <t>DALARNAS LÄN</t>
        </is>
      </c>
      <c r="E569" t="inlineStr">
        <is>
          <t>ORSA</t>
        </is>
      </c>
      <c r="G569" t="n">
        <v>1.1</v>
      </c>
      <c r="H569" t="n">
        <v>0</v>
      </c>
      <c r="I569" t="n">
        <v>0</v>
      </c>
      <c r="J569" t="n">
        <v>0</v>
      </c>
      <c r="K569" t="n">
        <v>0</v>
      </c>
      <c r="L569" t="n">
        <v>0</v>
      </c>
      <c r="M569" t="n">
        <v>0</v>
      </c>
      <c r="N569" t="n">
        <v>0</v>
      </c>
      <c r="O569" t="n">
        <v>0</v>
      </c>
      <c r="P569" t="n">
        <v>0</v>
      </c>
      <c r="Q569" t="n">
        <v>0</v>
      </c>
      <c r="R569" s="2" t="inlineStr"/>
    </row>
    <row r="570" ht="15" customHeight="1">
      <c r="A570" t="inlineStr">
        <is>
          <t>A 8430-2024</t>
        </is>
      </c>
      <c r="B570" s="1" t="n">
        <v>45353</v>
      </c>
      <c r="C570" s="1" t="n">
        <v>45796</v>
      </c>
      <c r="D570" t="inlineStr">
        <is>
          <t>DALARNAS LÄN</t>
        </is>
      </c>
      <c r="E570" t="inlineStr">
        <is>
          <t>ORSA</t>
        </is>
      </c>
      <c r="G570" t="n">
        <v>14.4</v>
      </c>
      <c r="H570" t="n">
        <v>0</v>
      </c>
      <c r="I570" t="n">
        <v>0</v>
      </c>
      <c r="J570" t="n">
        <v>0</v>
      </c>
      <c r="K570" t="n">
        <v>0</v>
      </c>
      <c r="L570" t="n">
        <v>0</v>
      </c>
      <c r="M570" t="n">
        <v>0</v>
      </c>
      <c r="N570" t="n">
        <v>0</v>
      </c>
      <c r="O570" t="n">
        <v>0</v>
      </c>
      <c r="P570" t="n">
        <v>0</v>
      </c>
      <c r="Q570" t="n">
        <v>0</v>
      </c>
      <c r="R570" s="2" t="inlineStr"/>
    </row>
    <row r="571" ht="15" customHeight="1">
      <c r="A571" t="inlineStr">
        <is>
          <t>A 8429-2024</t>
        </is>
      </c>
      <c r="B571" s="1" t="n">
        <v>45353</v>
      </c>
      <c r="C571" s="1" t="n">
        <v>45796</v>
      </c>
      <c r="D571" t="inlineStr">
        <is>
          <t>DALARNAS LÄN</t>
        </is>
      </c>
      <c r="E571" t="inlineStr">
        <is>
          <t>ORSA</t>
        </is>
      </c>
      <c r="G571" t="n">
        <v>0.3</v>
      </c>
      <c r="H571" t="n">
        <v>0</v>
      </c>
      <c r="I571" t="n">
        <v>0</v>
      </c>
      <c r="J571" t="n">
        <v>0</v>
      </c>
      <c r="K571" t="n">
        <v>0</v>
      </c>
      <c r="L571" t="n">
        <v>0</v>
      </c>
      <c r="M571" t="n">
        <v>0</v>
      </c>
      <c r="N571" t="n">
        <v>0</v>
      </c>
      <c r="O571" t="n">
        <v>0</v>
      </c>
      <c r="P571" t="n">
        <v>0</v>
      </c>
      <c r="Q571" t="n">
        <v>0</v>
      </c>
      <c r="R571" s="2" t="inlineStr"/>
    </row>
    <row r="572" ht="15" customHeight="1">
      <c r="A572" t="inlineStr">
        <is>
          <t>A 9014-2024</t>
        </is>
      </c>
      <c r="B572" s="1" t="n">
        <v>45357</v>
      </c>
      <c r="C572" s="1" t="n">
        <v>45796</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9794-2024</t>
        </is>
      </c>
      <c r="B573" s="1" t="n">
        <v>45362</v>
      </c>
      <c r="C573" s="1" t="n">
        <v>45796</v>
      </c>
      <c r="D573" t="inlineStr">
        <is>
          <t>DALARNAS LÄN</t>
        </is>
      </c>
      <c r="E573" t="inlineStr">
        <is>
          <t>ORSA</t>
        </is>
      </c>
      <c r="G573" t="n">
        <v>3.6</v>
      </c>
      <c r="H573" t="n">
        <v>0</v>
      </c>
      <c r="I573" t="n">
        <v>0</v>
      </c>
      <c r="J573" t="n">
        <v>0</v>
      </c>
      <c r="K573" t="n">
        <v>0</v>
      </c>
      <c r="L573" t="n">
        <v>0</v>
      </c>
      <c r="M573" t="n">
        <v>0</v>
      </c>
      <c r="N573" t="n">
        <v>0</v>
      </c>
      <c r="O573" t="n">
        <v>0</v>
      </c>
      <c r="P573" t="n">
        <v>0</v>
      </c>
      <c r="Q573" t="n">
        <v>0</v>
      </c>
      <c r="R573" s="2" t="inlineStr"/>
    </row>
    <row r="574" ht="15" customHeight="1">
      <c r="A574" t="inlineStr">
        <is>
          <t>A 10523-2024</t>
        </is>
      </c>
      <c r="B574" s="1" t="n">
        <v>45366</v>
      </c>
      <c r="C574" s="1" t="n">
        <v>45796</v>
      </c>
      <c r="D574" t="inlineStr">
        <is>
          <t>DALARNAS LÄN</t>
        </is>
      </c>
      <c r="E574" t="inlineStr">
        <is>
          <t>ORSA</t>
        </is>
      </c>
      <c r="G574" t="n">
        <v>1.5</v>
      </c>
      <c r="H574" t="n">
        <v>0</v>
      </c>
      <c r="I574" t="n">
        <v>0</v>
      </c>
      <c r="J574" t="n">
        <v>0</v>
      </c>
      <c r="K574" t="n">
        <v>0</v>
      </c>
      <c r="L574" t="n">
        <v>0</v>
      </c>
      <c r="M574" t="n">
        <v>0</v>
      </c>
      <c r="N574" t="n">
        <v>0</v>
      </c>
      <c r="O574" t="n">
        <v>0</v>
      </c>
      <c r="P574" t="n">
        <v>0</v>
      </c>
      <c r="Q574" t="n">
        <v>0</v>
      </c>
      <c r="R574" s="2" t="inlineStr"/>
    </row>
    <row r="575" ht="15" customHeight="1">
      <c r="A575" t="inlineStr">
        <is>
          <t>A 11712-2024</t>
        </is>
      </c>
      <c r="B575" s="1" t="n">
        <v>45373</v>
      </c>
      <c r="C575" s="1" t="n">
        <v>45796</v>
      </c>
      <c r="D575" t="inlineStr">
        <is>
          <t>DALARNAS LÄN</t>
        </is>
      </c>
      <c r="E575" t="inlineStr">
        <is>
          <t>ORSA</t>
        </is>
      </c>
      <c r="G575" t="n">
        <v>1.3</v>
      </c>
      <c r="H575" t="n">
        <v>0</v>
      </c>
      <c r="I575" t="n">
        <v>0</v>
      </c>
      <c r="J575" t="n">
        <v>0</v>
      </c>
      <c r="K575" t="n">
        <v>0</v>
      </c>
      <c r="L575" t="n">
        <v>0</v>
      </c>
      <c r="M575" t="n">
        <v>0</v>
      </c>
      <c r="N575" t="n">
        <v>0</v>
      </c>
      <c r="O575" t="n">
        <v>0</v>
      </c>
      <c r="P575" t="n">
        <v>0</v>
      </c>
      <c r="Q575" t="n">
        <v>0</v>
      </c>
      <c r="R575" s="2" t="inlineStr"/>
    </row>
    <row r="576" ht="15" customHeight="1">
      <c r="A576" t="inlineStr">
        <is>
          <t>A 11733-2024</t>
        </is>
      </c>
      <c r="B576" s="1" t="n">
        <v>45373</v>
      </c>
      <c r="C576" s="1" t="n">
        <v>45796</v>
      </c>
      <c r="D576" t="inlineStr">
        <is>
          <t>DALARNAS LÄN</t>
        </is>
      </c>
      <c r="E576" t="inlineStr">
        <is>
          <t>ORSA</t>
        </is>
      </c>
      <c r="G576" t="n">
        <v>0.7</v>
      </c>
      <c r="H576" t="n">
        <v>0</v>
      </c>
      <c r="I576" t="n">
        <v>0</v>
      </c>
      <c r="J576" t="n">
        <v>0</v>
      </c>
      <c r="K576" t="n">
        <v>0</v>
      </c>
      <c r="L576" t="n">
        <v>0</v>
      </c>
      <c r="M576" t="n">
        <v>0</v>
      </c>
      <c r="N576" t="n">
        <v>0</v>
      </c>
      <c r="O576" t="n">
        <v>0</v>
      </c>
      <c r="P576" t="n">
        <v>0</v>
      </c>
      <c r="Q576" t="n">
        <v>0</v>
      </c>
      <c r="R576" s="2" t="inlineStr"/>
    </row>
    <row r="577" ht="15" customHeight="1">
      <c r="A577" t="inlineStr">
        <is>
          <t>A 11784-2024</t>
        </is>
      </c>
      <c r="B577" s="1" t="n">
        <v>45374</v>
      </c>
      <c r="C577" s="1" t="n">
        <v>45796</v>
      </c>
      <c r="D577" t="inlineStr">
        <is>
          <t>DALARNAS LÄN</t>
        </is>
      </c>
      <c r="E577" t="inlineStr">
        <is>
          <t>ORSA</t>
        </is>
      </c>
      <c r="G577" t="n">
        <v>1.7</v>
      </c>
      <c r="H577" t="n">
        <v>0</v>
      </c>
      <c r="I577" t="n">
        <v>0</v>
      </c>
      <c r="J577" t="n">
        <v>0</v>
      </c>
      <c r="K577" t="n">
        <v>0</v>
      </c>
      <c r="L577" t="n">
        <v>0</v>
      </c>
      <c r="M577" t="n">
        <v>0</v>
      </c>
      <c r="N577" t="n">
        <v>0</v>
      </c>
      <c r="O577" t="n">
        <v>0</v>
      </c>
      <c r="P577" t="n">
        <v>0</v>
      </c>
      <c r="Q577" t="n">
        <v>0</v>
      </c>
      <c r="R577" s="2" t="inlineStr"/>
    </row>
    <row r="578" ht="15" customHeight="1">
      <c r="A578" t="inlineStr">
        <is>
          <t>A 15268-2024</t>
        </is>
      </c>
      <c r="B578" s="1" t="n">
        <v>45400</v>
      </c>
      <c r="C578" s="1" t="n">
        <v>45796</v>
      </c>
      <c r="D578" t="inlineStr">
        <is>
          <t>DALARNAS LÄN</t>
        </is>
      </c>
      <c r="E578" t="inlineStr">
        <is>
          <t>ORSA</t>
        </is>
      </c>
      <c r="G578" t="n">
        <v>1.2</v>
      </c>
      <c r="H578" t="n">
        <v>0</v>
      </c>
      <c r="I578" t="n">
        <v>0</v>
      </c>
      <c r="J578" t="n">
        <v>0</v>
      </c>
      <c r="K578" t="n">
        <v>0</v>
      </c>
      <c r="L578" t="n">
        <v>0</v>
      </c>
      <c r="M578" t="n">
        <v>0</v>
      </c>
      <c r="N578" t="n">
        <v>0</v>
      </c>
      <c r="O578" t="n">
        <v>0</v>
      </c>
      <c r="P578" t="n">
        <v>0</v>
      </c>
      <c r="Q578" t="n">
        <v>0</v>
      </c>
      <c r="R578" s="2" t="inlineStr"/>
    </row>
    <row r="579" ht="15" customHeight="1">
      <c r="A579" t="inlineStr">
        <is>
          <t>A 16383-2024</t>
        </is>
      </c>
      <c r="B579" s="1" t="n">
        <v>45407</v>
      </c>
      <c r="C579" s="1" t="n">
        <v>45796</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16388-2024</t>
        </is>
      </c>
      <c r="B580" s="1" t="n">
        <v>45407</v>
      </c>
      <c r="C580" s="1" t="n">
        <v>45796</v>
      </c>
      <c r="D580" t="inlineStr">
        <is>
          <t>DALARNAS LÄN</t>
        </is>
      </c>
      <c r="E580" t="inlineStr">
        <is>
          <t>ORSA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16392-2024</t>
        </is>
      </c>
      <c r="B581" s="1" t="n">
        <v>45407</v>
      </c>
      <c r="C581" s="1" t="n">
        <v>45796</v>
      </c>
      <c r="D581" t="inlineStr">
        <is>
          <t>DALARNAS LÄN</t>
        </is>
      </c>
      <c r="E581" t="inlineStr">
        <is>
          <t>ORSA</t>
        </is>
      </c>
      <c r="G581" t="n">
        <v>3.4</v>
      </c>
      <c r="H581" t="n">
        <v>0</v>
      </c>
      <c r="I581" t="n">
        <v>0</v>
      </c>
      <c r="J581" t="n">
        <v>0</v>
      </c>
      <c r="K581" t="n">
        <v>0</v>
      </c>
      <c r="L581" t="n">
        <v>0</v>
      </c>
      <c r="M581" t="n">
        <v>0</v>
      </c>
      <c r="N581" t="n">
        <v>0</v>
      </c>
      <c r="O581" t="n">
        <v>0</v>
      </c>
      <c r="P581" t="n">
        <v>0</v>
      </c>
      <c r="Q581" t="n">
        <v>0</v>
      </c>
      <c r="R581" s="2" t="inlineStr"/>
    </row>
    <row r="582" ht="15" customHeight="1">
      <c r="A582" t="inlineStr">
        <is>
          <t>A 16396-2024</t>
        </is>
      </c>
      <c r="B582" s="1" t="n">
        <v>45407</v>
      </c>
      <c r="C582" s="1" t="n">
        <v>45796</v>
      </c>
      <c r="D582" t="inlineStr">
        <is>
          <t>DALARNAS LÄN</t>
        </is>
      </c>
      <c r="E582" t="inlineStr">
        <is>
          <t>ORSA</t>
        </is>
      </c>
      <c r="F582" t="inlineStr">
        <is>
          <t>Bergvik skog öst AB</t>
        </is>
      </c>
      <c r="G582" t="n">
        <v>3.9</v>
      </c>
      <c r="H582" t="n">
        <v>0</v>
      </c>
      <c r="I582" t="n">
        <v>0</v>
      </c>
      <c r="J582" t="n">
        <v>0</v>
      </c>
      <c r="K582" t="n">
        <v>0</v>
      </c>
      <c r="L582" t="n">
        <v>0</v>
      </c>
      <c r="M582" t="n">
        <v>0</v>
      </c>
      <c r="N582" t="n">
        <v>0</v>
      </c>
      <c r="O582" t="n">
        <v>0</v>
      </c>
      <c r="P582" t="n">
        <v>0</v>
      </c>
      <c r="Q582" t="n">
        <v>0</v>
      </c>
      <c r="R582" s="2" t="inlineStr"/>
    </row>
    <row r="583" ht="15" customHeight="1">
      <c r="A583" t="inlineStr">
        <is>
          <t>A 16481-2024</t>
        </is>
      </c>
      <c r="B583" s="1" t="n">
        <v>45408</v>
      </c>
      <c r="C583" s="1" t="n">
        <v>45796</v>
      </c>
      <c r="D583" t="inlineStr">
        <is>
          <t>DALARNAS LÄN</t>
        </is>
      </c>
      <c r="E583" t="inlineStr">
        <is>
          <t>ORSA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16848-2024</t>
        </is>
      </c>
      <c r="B584" s="1" t="n">
        <v>45411</v>
      </c>
      <c r="C584" s="1" t="n">
        <v>45796</v>
      </c>
      <c r="D584" t="inlineStr">
        <is>
          <t>DALARNAS LÄN</t>
        </is>
      </c>
      <c r="E584" t="inlineStr">
        <is>
          <t>ORSA</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16811-2024</t>
        </is>
      </c>
      <c r="B585" s="1" t="n">
        <v>45411</v>
      </c>
      <c r="C585" s="1" t="n">
        <v>45796</v>
      </c>
      <c r="D585" t="inlineStr">
        <is>
          <t>DALARNAS LÄN</t>
        </is>
      </c>
      <c r="E585" t="inlineStr">
        <is>
          <t>ORSA</t>
        </is>
      </c>
      <c r="F585" t="inlineStr">
        <is>
          <t>Bergvik skog öst AB</t>
        </is>
      </c>
      <c r="G585" t="n">
        <v>5</v>
      </c>
      <c r="H585" t="n">
        <v>0</v>
      </c>
      <c r="I585" t="n">
        <v>0</v>
      </c>
      <c r="J585" t="n">
        <v>0</v>
      </c>
      <c r="K585" t="n">
        <v>0</v>
      </c>
      <c r="L585" t="n">
        <v>0</v>
      </c>
      <c r="M585" t="n">
        <v>0</v>
      </c>
      <c r="N585" t="n">
        <v>0</v>
      </c>
      <c r="O585" t="n">
        <v>0</v>
      </c>
      <c r="P585" t="n">
        <v>0</v>
      </c>
      <c r="Q585" t="n">
        <v>0</v>
      </c>
      <c r="R585" s="2" t="inlineStr"/>
    </row>
    <row r="586" ht="15" customHeight="1">
      <c r="A586" t="inlineStr">
        <is>
          <t>A 16777-2024</t>
        </is>
      </c>
      <c r="B586" s="1" t="n">
        <v>45411</v>
      </c>
      <c r="C586" s="1" t="n">
        <v>45796</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17769-2024</t>
        </is>
      </c>
      <c r="B587" s="1" t="n">
        <v>45418</v>
      </c>
      <c r="C587" s="1" t="n">
        <v>45796</v>
      </c>
      <c r="D587" t="inlineStr">
        <is>
          <t>DALARNAS LÄN</t>
        </is>
      </c>
      <c r="E587" t="inlineStr">
        <is>
          <t>ORSA</t>
        </is>
      </c>
      <c r="G587" t="n">
        <v>1.6</v>
      </c>
      <c r="H587" t="n">
        <v>0</v>
      </c>
      <c r="I587" t="n">
        <v>0</v>
      </c>
      <c r="J587" t="n">
        <v>0</v>
      </c>
      <c r="K587" t="n">
        <v>0</v>
      </c>
      <c r="L587" t="n">
        <v>0</v>
      </c>
      <c r="M587" t="n">
        <v>0</v>
      </c>
      <c r="N587" t="n">
        <v>0</v>
      </c>
      <c r="O587" t="n">
        <v>0</v>
      </c>
      <c r="P587" t="n">
        <v>0</v>
      </c>
      <c r="Q587" t="n">
        <v>0</v>
      </c>
      <c r="R587" s="2" t="inlineStr"/>
    </row>
    <row r="588" ht="15" customHeight="1">
      <c r="A588" t="inlineStr">
        <is>
          <t>A 17913-2024</t>
        </is>
      </c>
      <c r="B588" s="1" t="n">
        <v>45419</v>
      </c>
      <c r="C588" s="1" t="n">
        <v>45796</v>
      </c>
      <c r="D588" t="inlineStr">
        <is>
          <t>DALARNAS LÄN</t>
        </is>
      </c>
      <c r="E588" t="inlineStr">
        <is>
          <t>ORSA</t>
        </is>
      </c>
      <c r="G588" t="n">
        <v>1.9</v>
      </c>
      <c r="H588" t="n">
        <v>0</v>
      </c>
      <c r="I588" t="n">
        <v>0</v>
      </c>
      <c r="J588" t="n">
        <v>0</v>
      </c>
      <c r="K588" t="n">
        <v>0</v>
      </c>
      <c r="L588" t="n">
        <v>0</v>
      </c>
      <c r="M588" t="n">
        <v>0</v>
      </c>
      <c r="N588" t="n">
        <v>0</v>
      </c>
      <c r="O588" t="n">
        <v>0</v>
      </c>
      <c r="P588" t="n">
        <v>0</v>
      </c>
      <c r="Q588" t="n">
        <v>0</v>
      </c>
      <c r="R588" s="2" t="inlineStr"/>
    </row>
    <row r="589" ht="15" customHeight="1">
      <c r="A589" t="inlineStr">
        <is>
          <t>A 17896-2024</t>
        </is>
      </c>
      <c r="B589" s="1" t="n">
        <v>45419</v>
      </c>
      <c r="C589" s="1" t="n">
        <v>45796</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18094-2024</t>
        </is>
      </c>
      <c r="B590" s="1" t="n">
        <v>45420</v>
      </c>
      <c r="C590" s="1" t="n">
        <v>45796</v>
      </c>
      <c r="D590" t="inlineStr">
        <is>
          <t>DALARNAS LÄN</t>
        </is>
      </c>
      <c r="E590" t="inlineStr">
        <is>
          <t>ORSA</t>
        </is>
      </c>
      <c r="F590" t="inlineStr">
        <is>
          <t>Bergvik skog öst AB</t>
        </is>
      </c>
      <c r="G590" t="n">
        <v>12.8</v>
      </c>
      <c r="H590" t="n">
        <v>0</v>
      </c>
      <c r="I590" t="n">
        <v>0</v>
      </c>
      <c r="J590" t="n">
        <v>0</v>
      </c>
      <c r="K590" t="n">
        <v>0</v>
      </c>
      <c r="L590" t="n">
        <v>0</v>
      </c>
      <c r="M590" t="n">
        <v>0</v>
      </c>
      <c r="N590" t="n">
        <v>0</v>
      </c>
      <c r="O590" t="n">
        <v>0</v>
      </c>
      <c r="P590" t="n">
        <v>0</v>
      </c>
      <c r="Q590" t="n">
        <v>0</v>
      </c>
      <c r="R590" s="2" t="inlineStr"/>
    </row>
    <row r="591" ht="15" customHeight="1">
      <c r="A591" t="inlineStr">
        <is>
          <t>A 18198-2024</t>
        </is>
      </c>
      <c r="B591" s="1" t="n">
        <v>45420</v>
      </c>
      <c r="C591" s="1" t="n">
        <v>45796</v>
      </c>
      <c r="D591" t="inlineStr">
        <is>
          <t>DALARNAS LÄN</t>
        </is>
      </c>
      <c r="E591" t="inlineStr">
        <is>
          <t>ORSA</t>
        </is>
      </c>
      <c r="F591" t="inlineStr">
        <is>
          <t>Bergvik skog öst AB</t>
        </is>
      </c>
      <c r="G591" t="n">
        <v>4.6</v>
      </c>
      <c r="H591" t="n">
        <v>0</v>
      </c>
      <c r="I591" t="n">
        <v>0</v>
      </c>
      <c r="J591" t="n">
        <v>0</v>
      </c>
      <c r="K591" t="n">
        <v>0</v>
      </c>
      <c r="L591" t="n">
        <v>0</v>
      </c>
      <c r="M591" t="n">
        <v>0</v>
      </c>
      <c r="N591" t="n">
        <v>0</v>
      </c>
      <c r="O591" t="n">
        <v>0</v>
      </c>
      <c r="P591" t="n">
        <v>0</v>
      </c>
      <c r="Q591" t="n">
        <v>0</v>
      </c>
      <c r="R591" s="2" t="inlineStr"/>
    </row>
    <row r="592" ht="15" customHeight="1">
      <c r="A592" t="inlineStr">
        <is>
          <t>A 18312-2024</t>
        </is>
      </c>
      <c r="B592" s="1" t="n">
        <v>45422</v>
      </c>
      <c r="C592" s="1" t="n">
        <v>45796</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row r="593" ht="15" customHeight="1">
      <c r="A593" t="inlineStr">
        <is>
          <t>A 18413-2024</t>
        </is>
      </c>
      <c r="B593" s="1" t="n">
        <v>45425</v>
      </c>
      <c r="C593" s="1" t="n">
        <v>45796</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18945-2024</t>
        </is>
      </c>
      <c r="B594" s="1" t="n">
        <v>45427</v>
      </c>
      <c r="C594" s="1" t="n">
        <v>45796</v>
      </c>
      <c r="D594" t="inlineStr">
        <is>
          <t>DALARNAS LÄN</t>
        </is>
      </c>
      <c r="E594" t="inlineStr">
        <is>
          <t>ORSA</t>
        </is>
      </c>
      <c r="G594" t="n">
        <v>7</v>
      </c>
      <c r="H594" t="n">
        <v>0</v>
      </c>
      <c r="I594" t="n">
        <v>0</v>
      </c>
      <c r="J594" t="n">
        <v>0</v>
      </c>
      <c r="K594" t="n">
        <v>0</v>
      </c>
      <c r="L594" t="n">
        <v>0</v>
      </c>
      <c r="M594" t="n">
        <v>0</v>
      </c>
      <c r="N594" t="n">
        <v>0</v>
      </c>
      <c r="O594" t="n">
        <v>0</v>
      </c>
      <c r="P594" t="n">
        <v>0</v>
      </c>
      <c r="Q594" t="n">
        <v>0</v>
      </c>
      <c r="R594" s="2" t="inlineStr"/>
    </row>
    <row r="595" ht="15" customHeight="1">
      <c r="A595" t="inlineStr">
        <is>
          <t>A 18944-2024</t>
        </is>
      </c>
      <c r="B595" s="1" t="n">
        <v>45427</v>
      </c>
      <c r="C595" s="1" t="n">
        <v>45796</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20327-2024</t>
        </is>
      </c>
      <c r="B596" s="1" t="n">
        <v>45435</v>
      </c>
      <c r="C596" s="1" t="n">
        <v>45796</v>
      </c>
      <c r="D596" t="inlineStr">
        <is>
          <t>DALARNAS LÄN</t>
        </is>
      </c>
      <c r="E596" t="inlineStr">
        <is>
          <t>ORSA</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20357-2024</t>
        </is>
      </c>
      <c r="B597" s="1" t="n">
        <v>45435</v>
      </c>
      <c r="C597" s="1" t="n">
        <v>45796</v>
      </c>
      <c r="D597" t="inlineStr">
        <is>
          <t>DALARNAS LÄN</t>
        </is>
      </c>
      <c r="E597" t="inlineStr">
        <is>
          <t>ORSA</t>
        </is>
      </c>
      <c r="G597" t="n">
        <v>0.9</v>
      </c>
      <c r="H597" t="n">
        <v>0</v>
      </c>
      <c r="I597" t="n">
        <v>0</v>
      </c>
      <c r="J597" t="n">
        <v>0</v>
      </c>
      <c r="K597" t="n">
        <v>0</v>
      </c>
      <c r="L597" t="n">
        <v>0</v>
      </c>
      <c r="M597" t="n">
        <v>0</v>
      </c>
      <c r="N597" t="n">
        <v>0</v>
      </c>
      <c r="O597" t="n">
        <v>0</v>
      </c>
      <c r="P597" t="n">
        <v>0</v>
      </c>
      <c r="Q597" t="n">
        <v>0</v>
      </c>
      <c r="R597" s="2" t="inlineStr"/>
    </row>
    <row r="598" ht="15" customHeight="1">
      <c r="A598" t="inlineStr">
        <is>
          <t>A 20452-2024</t>
        </is>
      </c>
      <c r="B598" s="1" t="n">
        <v>45435</v>
      </c>
      <c r="C598" s="1" t="n">
        <v>45796</v>
      </c>
      <c r="D598" t="inlineStr">
        <is>
          <t>DALARNAS LÄN</t>
        </is>
      </c>
      <c r="E598" t="inlineStr">
        <is>
          <t>ORSA</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21168-2024</t>
        </is>
      </c>
      <c r="B599" s="1" t="n">
        <v>45440</v>
      </c>
      <c r="C599" s="1" t="n">
        <v>45796</v>
      </c>
      <c r="D599" t="inlineStr">
        <is>
          <t>DALARNAS LÄN</t>
        </is>
      </c>
      <c r="E599" t="inlineStr">
        <is>
          <t>ORSA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21162-2024</t>
        </is>
      </c>
      <c r="B600" s="1" t="n">
        <v>45440</v>
      </c>
      <c r="C600" s="1" t="n">
        <v>45796</v>
      </c>
      <c r="D600" t="inlineStr">
        <is>
          <t>DALARNAS LÄN</t>
        </is>
      </c>
      <c r="E600" t="inlineStr">
        <is>
          <t>ORSA</t>
        </is>
      </c>
      <c r="F600" t="inlineStr">
        <is>
          <t>Bergvik skog öst AB</t>
        </is>
      </c>
      <c r="G600" t="n">
        <v>32.3</v>
      </c>
      <c r="H600" t="n">
        <v>0</v>
      </c>
      <c r="I600" t="n">
        <v>0</v>
      </c>
      <c r="J600" t="n">
        <v>0</v>
      </c>
      <c r="K600" t="n">
        <v>0</v>
      </c>
      <c r="L600" t="n">
        <v>0</v>
      </c>
      <c r="M600" t="n">
        <v>0</v>
      </c>
      <c r="N600" t="n">
        <v>0</v>
      </c>
      <c r="O600" t="n">
        <v>0</v>
      </c>
      <c r="P600" t="n">
        <v>0</v>
      </c>
      <c r="Q600" t="n">
        <v>0</v>
      </c>
      <c r="R600" s="2" t="inlineStr"/>
    </row>
    <row r="601" ht="15" customHeight="1">
      <c r="A601" t="inlineStr">
        <is>
          <t>A 21165-2024</t>
        </is>
      </c>
      <c r="B601" s="1" t="n">
        <v>45440</v>
      </c>
      <c r="C601" s="1" t="n">
        <v>45796</v>
      </c>
      <c r="D601" t="inlineStr">
        <is>
          <t>DALARNAS LÄN</t>
        </is>
      </c>
      <c r="E601" t="inlineStr">
        <is>
          <t>ORSA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21189-2024</t>
        </is>
      </c>
      <c r="B602" s="1" t="n">
        <v>45440</v>
      </c>
      <c r="C602" s="1" t="n">
        <v>45796</v>
      </c>
      <c r="D602" t="inlineStr">
        <is>
          <t>DALARNAS LÄN</t>
        </is>
      </c>
      <c r="E602" t="inlineStr">
        <is>
          <t>ORSA</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21446-2024</t>
        </is>
      </c>
      <c r="B603" s="1" t="n">
        <v>45441</v>
      </c>
      <c r="C603" s="1" t="n">
        <v>45796</v>
      </c>
      <c r="D603" t="inlineStr">
        <is>
          <t>DALARNAS LÄN</t>
        </is>
      </c>
      <c r="E603" t="inlineStr">
        <is>
          <t>ORSA</t>
        </is>
      </c>
      <c r="G603" t="n">
        <v>1.6</v>
      </c>
      <c r="H603" t="n">
        <v>0</v>
      </c>
      <c r="I603" t="n">
        <v>0</v>
      </c>
      <c r="J603" t="n">
        <v>0</v>
      </c>
      <c r="K603" t="n">
        <v>0</v>
      </c>
      <c r="L603" t="n">
        <v>0</v>
      </c>
      <c r="M603" t="n">
        <v>0</v>
      </c>
      <c r="N603" t="n">
        <v>0</v>
      </c>
      <c r="O603" t="n">
        <v>0</v>
      </c>
      <c r="P603" t="n">
        <v>0</v>
      </c>
      <c r="Q603" t="n">
        <v>0</v>
      </c>
      <c r="R603" s="2" t="inlineStr"/>
    </row>
    <row r="604" ht="15" customHeight="1">
      <c r="A604" t="inlineStr">
        <is>
          <t>A 22154-2024</t>
        </is>
      </c>
      <c r="B604" s="1" t="n">
        <v>45445</v>
      </c>
      <c r="C604" s="1" t="n">
        <v>45796</v>
      </c>
      <c r="D604" t="inlineStr">
        <is>
          <t>DALARNAS LÄN</t>
        </is>
      </c>
      <c r="E604" t="inlineStr">
        <is>
          <t>ORSA</t>
        </is>
      </c>
      <c r="G604" t="n">
        <v>1.8</v>
      </c>
      <c r="H604" t="n">
        <v>0</v>
      </c>
      <c r="I604" t="n">
        <v>0</v>
      </c>
      <c r="J604" t="n">
        <v>0</v>
      </c>
      <c r="K604" t="n">
        <v>0</v>
      </c>
      <c r="L604" t="n">
        <v>0</v>
      </c>
      <c r="M604" t="n">
        <v>0</v>
      </c>
      <c r="N604" t="n">
        <v>0</v>
      </c>
      <c r="O604" t="n">
        <v>0</v>
      </c>
      <c r="P604" t="n">
        <v>0</v>
      </c>
      <c r="Q604" t="n">
        <v>0</v>
      </c>
      <c r="R604" s="2" t="inlineStr"/>
    </row>
    <row r="605" ht="15" customHeight="1">
      <c r="A605" t="inlineStr">
        <is>
          <t>A 22739-2024</t>
        </is>
      </c>
      <c r="B605" s="1" t="n">
        <v>45448</v>
      </c>
      <c r="C605" s="1" t="n">
        <v>45796</v>
      </c>
      <c r="D605" t="inlineStr">
        <is>
          <t>DALARNAS LÄN</t>
        </is>
      </c>
      <c r="E605" t="inlineStr">
        <is>
          <t>ORSA</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22731-2024</t>
        </is>
      </c>
      <c r="B606" s="1" t="n">
        <v>45448</v>
      </c>
      <c r="C606" s="1" t="n">
        <v>45796</v>
      </c>
      <c r="D606" t="inlineStr">
        <is>
          <t>DALARNAS LÄN</t>
        </is>
      </c>
      <c r="E606" t="inlineStr">
        <is>
          <t>ORSA</t>
        </is>
      </c>
      <c r="F606" t="inlineStr">
        <is>
          <t>Allmännings- och besparingsskogar</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23074-2024</t>
        </is>
      </c>
      <c r="B607" s="1" t="n">
        <v>45450</v>
      </c>
      <c r="C607" s="1" t="n">
        <v>45796</v>
      </c>
      <c r="D607" t="inlineStr">
        <is>
          <t>DALARNAS LÄN</t>
        </is>
      </c>
      <c r="E607" t="inlineStr">
        <is>
          <t>ORSA</t>
        </is>
      </c>
      <c r="G607" t="n">
        <v>1.1</v>
      </c>
      <c r="H607" t="n">
        <v>0</v>
      </c>
      <c r="I607" t="n">
        <v>0</v>
      </c>
      <c r="J607" t="n">
        <v>0</v>
      </c>
      <c r="K607" t="n">
        <v>0</v>
      </c>
      <c r="L607" t="n">
        <v>0</v>
      </c>
      <c r="M607" t="n">
        <v>0</v>
      </c>
      <c r="N607" t="n">
        <v>0</v>
      </c>
      <c r="O607" t="n">
        <v>0</v>
      </c>
      <c r="P607" t="n">
        <v>0</v>
      </c>
      <c r="Q607" t="n">
        <v>0</v>
      </c>
      <c r="R607" s="2" t="inlineStr"/>
    </row>
    <row r="608" ht="15" customHeight="1">
      <c r="A608" t="inlineStr">
        <is>
          <t>A 23022-2024</t>
        </is>
      </c>
      <c r="B608" s="1" t="n">
        <v>45450</v>
      </c>
      <c r="C608" s="1" t="n">
        <v>45796</v>
      </c>
      <c r="D608" t="inlineStr">
        <is>
          <t>DALARNAS LÄN</t>
        </is>
      </c>
      <c r="E608" t="inlineStr">
        <is>
          <t>ORSA</t>
        </is>
      </c>
      <c r="G608" t="n">
        <v>2.4</v>
      </c>
      <c r="H608" t="n">
        <v>0</v>
      </c>
      <c r="I608" t="n">
        <v>0</v>
      </c>
      <c r="J608" t="n">
        <v>0</v>
      </c>
      <c r="K608" t="n">
        <v>0</v>
      </c>
      <c r="L608" t="n">
        <v>0</v>
      </c>
      <c r="M608" t="n">
        <v>0</v>
      </c>
      <c r="N608" t="n">
        <v>0</v>
      </c>
      <c r="O608" t="n">
        <v>0</v>
      </c>
      <c r="P608" t="n">
        <v>0</v>
      </c>
      <c r="Q608" t="n">
        <v>0</v>
      </c>
      <c r="R608" s="2" t="inlineStr"/>
    </row>
    <row r="609" ht="15" customHeight="1">
      <c r="A609" t="inlineStr">
        <is>
          <t>A 23350-2024</t>
        </is>
      </c>
      <c r="B609" s="1" t="n">
        <v>45453</v>
      </c>
      <c r="C609" s="1" t="n">
        <v>45796</v>
      </c>
      <c r="D609" t="inlineStr">
        <is>
          <t>DALARNAS LÄN</t>
        </is>
      </c>
      <c r="E609" t="inlineStr">
        <is>
          <t>ORSA</t>
        </is>
      </c>
      <c r="G609" t="n">
        <v>18.7</v>
      </c>
      <c r="H609" t="n">
        <v>0</v>
      </c>
      <c r="I609" t="n">
        <v>0</v>
      </c>
      <c r="J609" t="n">
        <v>0</v>
      </c>
      <c r="K609" t="n">
        <v>0</v>
      </c>
      <c r="L609" t="n">
        <v>0</v>
      </c>
      <c r="M609" t="n">
        <v>0</v>
      </c>
      <c r="N609" t="n">
        <v>0</v>
      </c>
      <c r="O609" t="n">
        <v>0</v>
      </c>
      <c r="P609" t="n">
        <v>0</v>
      </c>
      <c r="Q609" t="n">
        <v>0</v>
      </c>
      <c r="R609" s="2" t="inlineStr"/>
    </row>
    <row r="610" ht="15" customHeight="1">
      <c r="A610" t="inlineStr">
        <is>
          <t>A 23339-2024</t>
        </is>
      </c>
      <c r="B610" s="1" t="n">
        <v>45453</v>
      </c>
      <c r="C610" s="1" t="n">
        <v>45796</v>
      </c>
      <c r="D610" t="inlineStr">
        <is>
          <t>DALARNAS LÄN</t>
        </is>
      </c>
      <c r="E610" t="inlineStr">
        <is>
          <t>ORSA</t>
        </is>
      </c>
      <c r="G610" t="n">
        <v>3.8</v>
      </c>
      <c r="H610" t="n">
        <v>0</v>
      </c>
      <c r="I610" t="n">
        <v>0</v>
      </c>
      <c r="J610" t="n">
        <v>0</v>
      </c>
      <c r="K610" t="n">
        <v>0</v>
      </c>
      <c r="L610" t="n">
        <v>0</v>
      </c>
      <c r="M610" t="n">
        <v>0</v>
      </c>
      <c r="N610" t="n">
        <v>0</v>
      </c>
      <c r="O610" t="n">
        <v>0</v>
      </c>
      <c r="P610" t="n">
        <v>0</v>
      </c>
      <c r="Q610" t="n">
        <v>0</v>
      </c>
      <c r="R610" s="2" t="inlineStr"/>
    </row>
    <row r="611" ht="15" customHeight="1">
      <c r="A611" t="inlineStr">
        <is>
          <t>A 23757-2024</t>
        </is>
      </c>
      <c r="B611" s="1" t="n">
        <v>45455</v>
      </c>
      <c r="C611" s="1" t="n">
        <v>45796</v>
      </c>
      <c r="D611" t="inlineStr">
        <is>
          <t>DALARNAS LÄN</t>
        </is>
      </c>
      <c r="E611" t="inlineStr">
        <is>
          <t>ORSA</t>
        </is>
      </c>
      <c r="G611" t="n">
        <v>1</v>
      </c>
      <c r="H611" t="n">
        <v>0</v>
      </c>
      <c r="I611" t="n">
        <v>0</v>
      </c>
      <c r="J611" t="n">
        <v>0</v>
      </c>
      <c r="K611" t="n">
        <v>0</v>
      </c>
      <c r="L611" t="n">
        <v>0</v>
      </c>
      <c r="M611" t="n">
        <v>0</v>
      </c>
      <c r="N611" t="n">
        <v>0</v>
      </c>
      <c r="O611" t="n">
        <v>0</v>
      </c>
      <c r="P611" t="n">
        <v>0</v>
      </c>
      <c r="Q611" t="n">
        <v>0</v>
      </c>
      <c r="R611" s="2" t="inlineStr"/>
    </row>
    <row r="612" ht="15" customHeight="1">
      <c r="A612" t="inlineStr">
        <is>
          <t>A 23774-2024</t>
        </is>
      </c>
      <c r="B612" s="1" t="n">
        <v>45455</v>
      </c>
      <c r="C612" s="1" t="n">
        <v>45796</v>
      </c>
      <c r="D612" t="inlineStr">
        <is>
          <t>DALARNAS LÄN</t>
        </is>
      </c>
      <c r="E612" t="inlineStr">
        <is>
          <t>ORSA</t>
        </is>
      </c>
      <c r="F612" t="inlineStr">
        <is>
          <t>Allmännings- och besparingsskogar</t>
        </is>
      </c>
      <c r="G612" t="n">
        <v>4.2</v>
      </c>
      <c r="H612" t="n">
        <v>0</v>
      </c>
      <c r="I612" t="n">
        <v>0</v>
      </c>
      <c r="J612" t="n">
        <v>0</v>
      </c>
      <c r="K612" t="n">
        <v>0</v>
      </c>
      <c r="L612" t="n">
        <v>0</v>
      </c>
      <c r="M612" t="n">
        <v>0</v>
      </c>
      <c r="N612" t="n">
        <v>0</v>
      </c>
      <c r="O612" t="n">
        <v>0</v>
      </c>
      <c r="P612" t="n">
        <v>0</v>
      </c>
      <c r="Q612" t="n">
        <v>0</v>
      </c>
      <c r="R612" s="2" t="inlineStr"/>
    </row>
    <row r="613" ht="15" customHeight="1">
      <c r="A613" t="inlineStr">
        <is>
          <t>A 24120-2024</t>
        </is>
      </c>
      <c r="B613" s="1" t="n">
        <v>45456</v>
      </c>
      <c r="C613" s="1" t="n">
        <v>45796</v>
      </c>
      <c r="D613" t="inlineStr">
        <is>
          <t>DALARNAS LÄN</t>
        </is>
      </c>
      <c r="E613" t="inlineStr">
        <is>
          <t>ORSA</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24142-2024</t>
        </is>
      </c>
      <c r="B614" s="1" t="n">
        <v>45456</v>
      </c>
      <c r="C614" s="1" t="n">
        <v>45796</v>
      </c>
      <c r="D614" t="inlineStr">
        <is>
          <t>DALARNAS LÄN</t>
        </is>
      </c>
      <c r="E614" t="inlineStr">
        <is>
          <t>ORSA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24215-2024</t>
        </is>
      </c>
      <c r="B615" s="1" t="n">
        <v>45457</v>
      </c>
      <c r="C615" s="1" t="n">
        <v>45796</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24217-2024</t>
        </is>
      </c>
      <c r="B616" s="1" t="n">
        <v>45457</v>
      </c>
      <c r="C616" s="1" t="n">
        <v>45796</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24396-2024</t>
        </is>
      </c>
      <c r="B617" s="1" t="n">
        <v>45457</v>
      </c>
      <c r="C617" s="1" t="n">
        <v>45796</v>
      </c>
      <c r="D617" t="inlineStr">
        <is>
          <t>DALARNAS LÄN</t>
        </is>
      </c>
      <c r="E617" t="inlineStr">
        <is>
          <t>ORSA</t>
        </is>
      </c>
      <c r="G617" t="n">
        <v>6.7</v>
      </c>
      <c r="H617" t="n">
        <v>0</v>
      </c>
      <c r="I617" t="n">
        <v>0</v>
      </c>
      <c r="J617" t="n">
        <v>0</v>
      </c>
      <c r="K617" t="n">
        <v>0</v>
      </c>
      <c r="L617" t="n">
        <v>0</v>
      </c>
      <c r="M617" t="n">
        <v>0</v>
      </c>
      <c r="N617" t="n">
        <v>0</v>
      </c>
      <c r="O617" t="n">
        <v>0</v>
      </c>
      <c r="P617" t="n">
        <v>0</v>
      </c>
      <c r="Q617" t="n">
        <v>0</v>
      </c>
      <c r="R617" s="2" t="inlineStr"/>
    </row>
    <row r="618" ht="15" customHeight="1">
      <c r="A618" t="inlineStr">
        <is>
          <t>A 24564-2024</t>
        </is>
      </c>
      <c r="B618" s="1" t="n">
        <v>45460</v>
      </c>
      <c r="C618" s="1" t="n">
        <v>45796</v>
      </c>
      <c r="D618" t="inlineStr">
        <is>
          <t>DALARNAS LÄN</t>
        </is>
      </c>
      <c r="E618" t="inlineStr">
        <is>
          <t>ORSA</t>
        </is>
      </c>
      <c r="G618" t="n">
        <v>1.4</v>
      </c>
      <c r="H618" t="n">
        <v>0</v>
      </c>
      <c r="I618" t="n">
        <v>0</v>
      </c>
      <c r="J618" t="n">
        <v>0</v>
      </c>
      <c r="K618" t="n">
        <v>0</v>
      </c>
      <c r="L618" t="n">
        <v>0</v>
      </c>
      <c r="M618" t="n">
        <v>0</v>
      </c>
      <c r="N618" t="n">
        <v>0</v>
      </c>
      <c r="O618" t="n">
        <v>0</v>
      </c>
      <c r="P618" t="n">
        <v>0</v>
      </c>
      <c r="Q618" t="n">
        <v>0</v>
      </c>
      <c r="R618" s="2" t="inlineStr"/>
    </row>
    <row r="619" ht="15" customHeight="1">
      <c r="A619" t="inlineStr">
        <is>
          <t>A 26670-2024</t>
        </is>
      </c>
      <c r="B619" s="1" t="n">
        <v>45469</v>
      </c>
      <c r="C619" s="1" t="n">
        <v>45796</v>
      </c>
      <c r="D619" t="inlineStr">
        <is>
          <t>DALARNAS LÄN</t>
        </is>
      </c>
      <c r="E619" t="inlineStr">
        <is>
          <t>ORSA</t>
        </is>
      </c>
      <c r="F619" t="inlineStr">
        <is>
          <t>Allmännings- och besparingsskogar</t>
        </is>
      </c>
      <c r="G619" t="n">
        <v>2.8</v>
      </c>
      <c r="H619" t="n">
        <v>0</v>
      </c>
      <c r="I619" t="n">
        <v>0</v>
      </c>
      <c r="J619" t="n">
        <v>0</v>
      </c>
      <c r="K619" t="n">
        <v>0</v>
      </c>
      <c r="L619" t="n">
        <v>0</v>
      </c>
      <c r="M619" t="n">
        <v>0</v>
      </c>
      <c r="N619" t="n">
        <v>0</v>
      </c>
      <c r="O619" t="n">
        <v>0</v>
      </c>
      <c r="P619" t="n">
        <v>0</v>
      </c>
      <c r="Q619" t="n">
        <v>0</v>
      </c>
      <c r="R619" s="2" t="inlineStr"/>
    </row>
    <row r="620" ht="15" customHeight="1">
      <c r="A620" t="inlineStr">
        <is>
          <t>A 27156-2024</t>
        </is>
      </c>
      <c r="B620" s="1" t="n">
        <v>45471</v>
      </c>
      <c r="C620" s="1" t="n">
        <v>45796</v>
      </c>
      <c r="D620" t="inlineStr">
        <is>
          <t>DALARNAS LÄN</t>
        </is>
      </c>
      <c r="E620" t="inlineStr">
        <is>
          <t>ORSA</t>
        </is>
      </c>
      <c r="F620" t="inlineStr">
        <is>
          <t>Bergvik skog öst AB</t>
        </is>
      </c>
      <c r="G620" t="n">
        <v>6.9</v>
      </c>
      <c r="H620" t="n">
        <v>0</v>
      </c>
      <c r="I620" t="n">
        <v>0</v>
      </c>
      <c r="J620" t="n">
        <v>0</v>
      </c>
      <c r="K620" t="n">
        <v>0</v>
      </c>
      <c r="L620" t="n">
        <v>0</v>
      </c>
      <c r="M620" t="n">
        <v>0</v>
      </c>
      <c r="N620" t="n">
        <v>0</v>
      </c>
      <c r="O620" t="n">
        <v>0</v>
      </c>
      <c r="P620" t="n">
        <v>0</v>
      </c>
      <c r="Q620" t="n">
        <v>0</v>
      </c>
      <c r="R620" s="2" t="inlineStr"/>
    </row>
    <row r="621" ht="15" customHeight="1">
      <c r="A621" t="inlineStr">
        <is>
          <t>A 27989-2024</t>
        </is>
      </c>
      <c r="B621" s="1" t="n">
        <v>45476</v>
      </c>
      <c r="C621" s="1" t="n">
        <v>45796</v>
      </c>
      <c r="D621" t="inlineStr">
        <is>
          <t>DALARNAS LÄN</t>
        </is>
      </c>
      <c r="E621" t="inlineStr">
        <is>
          <t>ORSA</t>
        </is>
      </c>
      <c r="F621" t="inlineStr">
        <is>
          <t>Allmännings- och besparingsskogar</t>
        </is>
      </c>
      <c r="G621" t="n">
        <v>2</v>
      </c>
      <c r="H621" t="n">
        <v>0</v>
      </c>
      <c r="I621" t="n">
        <v>0</v>
      </c>
      <c r="J621" t="n">
        <v>0</v>
      </c>
      <c r="K621" t="n">
        <v>0</v>
      </c>
      <c r="L621" t="n">
        <v>0</v>
      </c>
      <c r="M621" t="n">
        <v>0</v>
      </c>
      <c r="N621" t="n">
        <v>0</v>
      </c>
      <c r="O621" t="n">
        <v>0</v>
      </c>
      <c r="P621" t="n">
        <v>0</v>
      </c>
      <c r="Q621" t="n">
        <v>0</v>
      </c>
      <c r="R621" s="2" t="inlineStr"/>
    </row>
    <row r="622" ht="15" customHeight="1">
      <c r="A622" t="inlineStr">
        <is>
          <t>A 28417-2024</t>
        </is>
      </c>
      <c r="B622" s="1" t="n">
        <v>45477</v>
      </c>
      <c r="C622" s="1" t="n">
        <v>45796</v>
      </c>
      <c r="D622" t="inlineStr">
        <is>
          <t>DALARNAS LÄN</t>
        </is>
      </c>
      <c r="E622" t="inlineStr">
        <is>
          <t>ORSA</t>
        </is>
      </c>
      <c r="F622" t="inlineStr">
        <is>
          <t>Bergvik skog öst AB</t>
        </is>
      </c>
      <c r="G622" t="n">
        <v>8</v>
      </c>
      <c r="H622" t="n">
        <v>0</v>
      </c>
      <c r="I622" t="n">
        <v>0</v>
      </c>
      <c r="J622" t="n">
        <v>0</v>
      </c>
      <c r="K622" t="n">
        <v>0</v>
      </c>
      <c r="L622" t="n">
        <v>0</v>
      </c>
      <c r="M622" t="n">
        <v>0</v>
      </c>
      <c r="N622" t="n">
        <v>0</v>
      </c>
      <c r="O622" t="n">
        <v>0</v>
      </c>
      <c r="P622" t="n">
        <v>0</v>
      </c>
      <c r="Q622" t="n">
        <v>0</v>
      </c>
      <c r="R622" s="2" t="inlineStr"/>
    </row>
    <row r="623" ht="15" customHeight="1">
      <c r="A623" t="inlineStr">
        <is>
          <t>A 28388-2024</t>
        </is>
      </c>
      <c r="B623" s="1" t="n">
        <v>45477</v>
      </c>
      <c r="C623" s="1" t="n">
        <v>45796</v>
      </c>
      <c r="D623" t="inlineStr">
        <is>
          <t>DALARNAS LÄN</t>
        </is>
      </c>
      <c r="E623" t="inlineStr">
        <is>
          <t>ORSA</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28923-2024</t>
        </is>
      </c>
      <c r="B624" s="1" t="n">
        <v>45481</v>
      </c>
      <c r="C624" s="1" t="n">
        <v>45796</v>
      </c>
      <c r="D624" t="inlineStr">
        <is>
          <t>DALARNAS LÄN</t>
        </is>
      </c>
      <c r="E624" t="inlineStr">
        <is>
          <t>ORSA</t>
        </is>
      </c>
      <c r="F624" t="inlineStr">
        <is>
          <t>Allmännings- och besparingsskogar</t>
        </is>
      </c>
      <c r="G624" t="n">
        <v>13.9</v>
      </c>
      <c r="H624" t="n">
        <v>0</v>
      </c>
      <c r="I624" t="n">
        <v>0</v>
      </c>
      <c r="J624" t="n">
        <v>0</v>
      </c>
      <c r="K624" t="n">
        <v>0</v>
      </c>
      <c r="L624" t="n">
        <v>0</v>
      </c>
      <c r="M624" t="n">
        <v>0</v>
      </c>
      <c r="N624" t="n">
        <v>0</v>
      </c>
      <c r="O624" t="n">
        <v>0</v>
      </c>
      <c r="P624" t="n">
        <v>0</v>
      </c>
      <c r="Q624" t="n">
        <v>0</v>
      </c>
      <c r="R624" s="2" t="inlineStr"/>
    </row>
    <row r="625" ht="15" customHeight="1">
      <c r="A625" t="inlineStr">
        <is>
          <t>A 28971-2024</t>
        </is>
      </c>
      <c r="B625" s="1" t="n">
        <v>45481</v>
      </c>
      <c r="C625" s="1" t="n">
        <v>45796</v>
      </c>
      <c r="D625" t="inlineStr">
        <is>
          <t>DALARNAS LÄN</t>
        </is>
      </c>
      <c r="E625" t="inlineStr">
        <is>
          <t>ORSA</t>
        </is>
      </c>
      <c r="F625" t="inlineStr">
        <is>
          <t>Bergvik skog öst AB</t>
        </is>
      </c>
      <c r="G625" t="n">
        <v>7.7</v>
      </c>
      <c r="H625" t="n">
        <v>0</v>
      </c>
      <c r="I625" t="n">
        <v>0</v>
      </c>
      <c r="J625" t="n">
        <v>0</v>
      </c>
      <c r="K625" t="n">
        <v>0</v>
      </c>
      <c r="L625" t="n">
        <v>0</v>
      </c>
      <c r="M625" t="n">
        <v>0</v>
      </c>
      <c r="N625" t="n">
        <v>0</v>
      </c>
      <c r="O625" t="n">
        <v>0</v>
      </c>
      <c r="P625" t="n">
        <v>0</v>
      </c>
      <c r="Q625" t="n">
        <v>0</v>
      </c>
      <c r="R625" s="2" t="inlineStr"/>
    </row>
    <row r="626" ht="15" customHeight="1">
      <c r="A626" t="inlineStr">
        <is>
          <t>A 29038-2024</t>
        </is>
      </c>
      <c r="B626" s="1" t="n">
        <v>45481</v>
      </c>
      <c r="C626" s="1" t="n">
        <v>45796</v>
      </c>
      <c r="D626" t="inlineStr">
        <is>
          <t>DALARNAS LÄN</t>
        </is>
      </c>
      <c r="E626" t="inlineStr">
        <is>
          <t>ORSA</t>
        </is>
      </c>
      <c r="G626" t="n">
        <v>3</v>
      </c>
      <c r="H626" t="n">
        <v>0</v>
      </c>
      <c r="I626" t="n">
        <v>0</v>
      </c>
      <c r="J626" t="n">
        <v>0</v>
      </c>
      <c r="K626" t="n">
        <v>0</v>
      </c>
      <c r="L626" t="n">
        <v>0</v>
      </c>
      <c r="M626" t="n">
        <v>0</v>
      </c>
      <c r="N626" t="n">
        <v>0</v>
      </c>
      <c r="O626" t="n">
        <v>0</v>
      </c>
      <c r="P626" t="n">
        <v>0</v>
      </c>
      <c r="Q626" t="n">
        <v>0</v>
      </c>
      <c r="R626" s="2" t="inlineStr"/>
    </row>
    <row r="627" ht="15" customHeight="1">
      <c r="A627" t="inlineStr">
        <is>
          <t>A 28974-2024</t>
        </is>
      </c>
      <c r="B627" s="1" t="n">
        <v>45481</v>
      </c>
      <c r="C627" s="1" t="n">
        <v>45796</v>
      </c>
      <c r="D627" t="inlineStr">
        <is>
          <t>DALARNAS LÄN</t>
        </is>
      </c>
      <c r="E627" t="inlineStr">
        <is>
          <t>ORSA</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28970-2024</t>
        </is>
      </c>
      <c r="B628" s="1" t="n">
        <v>45481</v>
      </c>
      <c r="C628" s="1" t="n">
        <v>45796</v>
      </c>
      <c r="D628" t="inlineStr">
        <is>
          <t>DALARNAS LÄN</t>
        </is>
      </c>
      <c r="E628" t="inlineStr">
        <is>
          <t>ORSA</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29499-2024</t>
        </is>
      </c>
      <c r="B629" s="1" t="n">
        <v>45484</v>
      </c>
      <c r="C629" s="1" t="n">
        <v>45796</v>
      </c>
      <c r="D629" t="inlineStr">
        <is>
          <t>DALARNAS LÄN</t>
        </is>
      </c>
      <c r="E629" t="inlineStr">
        <is>
          <t>ORSA</t>
        </is>
      </c>
      <c r="G629" t="n">
        <v>1.7</v>
      </c>
      <c r="H629" t="n">
        <v>0</v>
      </c>
      <c r="I629" t="n">
        <v>0</v>
      </c>
      <c r="J629" t="n">
        <v>0</v>
      </c>
      <c r="K629" t="n">
        <v>0</v>
      </c>
      <c r="L629" t="n">
        <v>0</v>
      </c>
      <c r="M629" t="n">
        <v>0</v>
      </c>
      <c r="N629" t="n">
        <v>0</v>
      </c>
      <c r="O629" t="n">
        <v>0</v>
      </c>
      <c r="P629" t="n">
        <v>0</v>
      </c>
      <c r="Q629" t="n">
        <v>0</v>
      </c>
      <c r="R629" s="2" t="inlineStr"/>
    </row>
    <row r="630" ht="15" customHeight="1">
      <c r="A630" t="inlineStr">
        <is>
          <t>A 30290-2024</t>
        </is>
      </c>
      <c r="B630" s="1" t="n">
        <v>45490</v>
      </c>
      <c r="C630" s="1" t="n">
        <v>45796</v>
      </c>
      <c r="D630" t="inlineStr">
        <is>
          <t>DALARNAS LÄN</t>
        </is>
      </c>
      <c r="E630" t="inlineStr">
        <is>
          <t>ORSA</t>
        </is>
      </c>
      <c r="F630" t="inlineStr">
        <is>
          <t>Bergvik skog öst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30189-2024</t>
        </is>
      </c>
      <c r="B631" s="1" t="n">
        <v>45490</v>
      </c>
      <c r="C631" s="1" t="n">
        <v>45796</v>
      </c>
      <c r="D631" t="inlineStr">
        <is>
          <t>DALARNAS LÄN</t>
        </is>
      </c>
      <c r="E631" t="inlineStr">
        <is>
          <t>ORSA</t>
        </is>
      </c>
      <c r="G631" t="n">
        <v>3.9</v>
      </c>
      <c r="H631" t="n">
        <v>0</v>
      </c>
      <c r="I631" t="n">
        <v>0</v>
      </c>
      <c r="J631" t="n">
        <v>0</v>
      </c>
      <c r="K631" t="n">
        <v>0</v>
      </c>
      <c r="L631" t="n">
        <v>0</v>
      </c>
      <c r="M631" t="n">
        <v>0</v>
      </c>
      <c r="N631" t="n">
        <v>0</v>
      </c>
      <c r="O631" t="n">
        <v>0</v>
      </c>
      <c r="P631" t="n">
        <v>0</v>
      </c>
      <c r="Q631" t="n">
        <v>0</v>
      </c>
      <c r="R631" s="2" t="inlineStr"/>
    </row>
    <row r="632" ht="15" customHeight="1">
      <c r="A632" t="inlineStr">
        <is>
          <t>A 30291-2024</t>
        </is>
      </c>
      <c r="B632" s="1" t="n">
        <v>45490</v>
      </c>
      <c r="C632" s="1" t="n">
        <v>45796</v>
      </c>
      <c r="D632" t="inlineStr">
        <is>
          <t>DALARNAS LÄN</t>
        </is>
      </c>
      <c r="E632" t="inlineStr">
        <is>
          <t>ORSA</t>
        </is>
      </c>
      <c r="F632" t="inlineStr">
        <is>
          <t>Bergvik skog öst AB</t>
        </is>
      </c>
      <c r="G632" t="n">
        <v>7.5</v>
      </c>
      <c r="H632" t="n">
        <v>0</v>
      </c>
      <c r="I632" t="n">
        <v>0</v>
      </c>
      <c r="J632" t="n">
        <v>0</v>
      </c>
      <c r="K632" t="n">
        <v>0</v>
      </c>
      <c r="L632" t="n">
        <v>0</v>
      </c>
      <c r="M632" t="n">
        <v>0</v>
      </c>
      <c r="N632" t="n">
        <v>0</v>
      </c>
      <c r="O632" t="n">
        <v>0</v>
      </c>
      <c r="P632" t="n">
        <v>0</v>
      </c>
      <c r="Q632" t="n">
        <v>0</v>
      </c>
      <c r="R632" s="2" t="inlineStr"/>
    </row>
    <row r="633" ht="15" customHeight="1">
      <c r="A633" t="inlineStr">
        <is>
          <t>A 31008-2024</t>
        </is>
      </c>
      <c r="B633" s="1" t="n">
        <v>45499</v>
      </c>
      <c r="C633" s="1" t="n">
        <v>45796</v>
      </c>
      <c r="D633" t="inlineStr">
        <is>
          <t>DALARNAS LÄN</t>
        </is>
      </c>
      <c r="E633" t="inlineStr">
        <is>
          <t>ORSA</t>
        </is>
      </c>
      <c r="G633" t="n">
        <v>1.3</v>
      </c>
      <c r="H633" t="n">
        <v>0</v>
      </c>
      <c r="I633" t="n">
        <v>0</v>
      </c>
      <c r="J633" t="n">
        <v>0</v>
      </c>
      <c r="K633" t="n">
        <v>0</v>
      </c>
      <c r="L633" t="n">
        <v>0</v>
      </c>
      <c r="M633" t="n">
        <v>0</v>
      </c>
      <c r="N633" t="n">
        <v>0</v>
      </c>
      <c r="O633" t="n">
        <v>0</v>
      </c>
      <c r="P633" t="n">
        <v>0</v>
      </c>
      <c r="Q633" t="n">
        <v>0</v>
      </c>
      <c r="R633" s="2" t="inlineStr"/>
    </row>
    <row r="634" ht="15" customHeight="1">
      <c r="A634" t="inlineStr">
        <is>
          <t>A 31262-2024</t>
        </is>
      </c>
      <c r="B634" s="1" t="n">
        <v>45504</v>
      </c>
      <c r="C634" s="1" t="n">
        <v>45796</v>
      </c>
      <c r="D634" t="inlineStr">
        <is>
          <t>DALARNAS LÄN</t>
        </is>
      </c>
      <c r="E634" t="inlineStr">
        <is>
          <t>ORSA</t>
        </is>
      </c>
      <c r="G634" t="n">
        <v>4.8</v>
      </c>
      <c r="H634" t="n">
        <v>0</v>
      </c>
      <c r="I634" t="n">
        <v>0</v>
      </c>
      <c r="J634" t="n">
        <v>0</v>
      </c>
      <c r="K634" t="n">
        <v>0</v>
      </c>
      <c r="L634" t="n">
        <v>0</v>
      </c>
      <c r="M634" t="n">
        <v>0</v>
      </c>
      <c r="N634" t="n">
        <v>0</v>
      </c>
      <c r="O634" t="n">
        <v>0</v>
      </c>
      <c r="P634" t="n">
        <v>0</v>
      </c>
      <c r="Q634" t="n">
        <v>0</v>
      </c>
      <c r="R634" s="2" t="inlineStr"/>
    </row>
    <row r="635" ht="15" customHeight="1">
      <c r="A635" t="inlineStr">
        <is>
          <t>A 31688-2024</t>
        </is>
      </c>
      <c r="B635" s="1" t="n">
        <v>45507</v>
      </c>
      <c r="C635" s="1" t="n">
        <v>45796</v>
      </c>
      <c r="D635" t="inlineStr">
        <is>
          <t>DALARNAS LÄN</t>
        </is>
      </c>
      <c r="E635" t="inlineStr">
        <is>
          <t>ORSA</t>
        </is>
      </c>
      <c r="G635" t="n">
        <v>0.7</v>
      </c>
      <c r="H635" t="n">
        <v>0</v>
      </c>
      <c r="I635" t="n">
        <v>0</v>
      </c>
      <c r="J635" t="n">
        <v>0</v>
      </c>
      <c r="K635" t="n">
        <v>0</v>
      </c>
      <c r="L635" t="n">
        <v>0</v>
      </c>
      <c r="M635" t="n">
        <v>0</v>
      </c>
      <c r="N635" t="n">
        <v>0</v>
      </c>
      <c r="O635" t="n">
        <v>0</v>
      </c>
      <c r="P635" t="n">
        <v>0</v>
      </c>
      <c r="Q635" t="n">
        <v>0</v>
      </c>
      <c r="R635" s="2" t="inlineStr"/>
    </row>
    <row r="636" ht="15" customHeight="1">
      <c r="A636" t="inlineStr">
        <is>
          <t>A 32087-2024</t>
        </is>
      </c>
      <c r="B636" s="1" t="n">
        <v>45511</v>
      </c>
      <c r="C636" s="1" t="n">
        <v>45796</v>
      </c>
      <c r="D636" t="inlineStr">
        <is>
          <t>DALARNAS LÄN</t>
        </is>
      </c>
      <c r="E636" t="inlineStr">
        <is>
          <t>ORSA</t>
        </is>
      </c>
      <c r="F636" t="inlineStr">
        <is>
          <t>Allmännings- och besparingsskogar</t>
        </is>
      </c>
      <c r="G636" t="n">
        <v>4.3</v>
      </c>
      <c r="H636" t="n">
        <v>0</v>
      </c>
      <c r="I636" t="n">
        <v>0</v>
      </c>
      <c r="J636" t="n">
        <v>0</v>
      </c>
      <c r="K636" t="n">
        <v>0</v>
      </c>
      <c r="L636" t="n">
        <v>0</v>
      </c>
      <c r="M636" t="n">
        <v>0</v>
      </c>
      <c r="N636" t="n">
        <v>0</v>
      </c>
      <c r="O636" t="n">
        <v>0</v>
      </c>
      <c r="P636" t="n">
        <v>0</v>
      </c>
      <c r="Q636" t="n">
        <v>0</v>
      </c>
      <c r="R636" s="2" t="inlineStr"/>
    </row>
    <row r="637" ht="15" customHeight="1">
      <c r="A637" t="inlineStr">
        <is>
          <t>A 32088-2024</t>
        </is>
      </c>
      <c r="B637" s="1" t="n">
        <v>45511</v>
      </c>
      <c r="C637" s="1" t="n">
        <v>45796</v>
      </c>
      <c r="D637" t="inlineStr">
        <is>
          <t>DALARNAS LÄN</t>
        </is>
      </c>
      <c r="E637" t="inlineStr">
        <is>
          <t>ORSA</t>
        </is>
      </c>
      <c r="F637" t="inlineStr">
        <is>
          <t>Allmännings- och besparingsskogar</t>
        </is>
      </c>
      <c r="G637" t="n">
        <v>5.6</v>
      </c>
      <c r="H637" t="n">
        <v>0</v>
      </c>
      <c r="I637" t="n">
        <v>0</v>
      </c>
      <c r="J637" t="n">
        <v>0</v>
      </c>
      <c r="K637" t="n">
        <v>0</v>
      </c>
      <c r="L637" t="n">
        <v>0</v>
      </c>
      <c r="M637" t="n">
        <v>0</v>
      </c>
      <c r="N637" t="n">
        <v>0</v>
      </c>
      <c r="O637" t="n">
        <v>0</v>
      </c>
      <c r="P637" t="n">
        <v>0</v>
      </c>
      <c r="Q637" t="n">
        <v>0</v>
      </c>
      <c r="R637" s="2" t="inlineStr"/>
    </row>
    <row r="638" ht="15" customHeight="1">
      <c r="A638" t="inlineStr">
        <is>
          <t>A 32125-2024</t>
        </is>
      </c>
      <c r="B638" s="1" t="n">
        <v>45511</v>
      </c>
      <c r="C638" s="1" t="n">
        <v>45796</v>
      </c>
      <c r="D638" t="inlineStr">
        <is>
          <t>DALARNAS LÄN</t>
        </is>
      </c>
      <c r="E638" t="inlineStr">
        <is>
          <t>ORSA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32333-2024</t>
        </is>
      </c>
      <c r="B639" s="1" t="n">
        <v>45512</v>
      </c>
      <c r="C639" s="1" t="n">
        <v>45796</v>
      </c>
      <c r="D639" t="inlineStr">
        <is>
          <t>DALARNAS LÄN</t>
        </is>
      </c>
      <c r="E639" t="inlineStr">
        <is>
          <t>ORSA</t>
        </is>
      </c>
      <c r="G639" t="n">
        <v>1</v>
      </c>
      <c r="H639" t="n">
        <v>0</v>
      </c>
      <c r="I639" t="n">
        <v>0</v>
      </c>
      <c r="J639" t="n">
        <v>0</v>
      </c>
      <c r="K639" t="n">
        <v>0</v>
      </c>
      <c r="L639" t="n">
        <v>0</v>
      </c>
      <c r="M639" t="n">
        <v>0</v>
      </c>
      <c r="N639" t="n">
        <v>0</v>
      </c>
      <c r="O639" t="n">
        <v>0</v>
      </c>
      <c r="P639" t="n">
        <v>0</v>
      </c>
      <c r="Q639" t="n">
        <v>0</v>
      </c>
      <c r="R639" s="2" t="inlineStr"/>
    </row>
    <row r="640" ht="15" customHeight="1">
      <c r="A640" t="inlineStr">
        <is>
          <t>A 33170-2024</t>
        </is>
      </c>
      <c r="B640" s="1" t="n">
        <v>45518</v>
      </c>
      <c r="C640" s="1" t="n">
        <v>45796</v>
      </c>
      <c r="D640" t="inlineStr">
        <is>
          <t>DALARNAS LÄN</t>
        </is>
      </c>
      <c r="E640" t="inlineStr">
        <is>
          <t>ORSA</t>
        </is>
      </c>
      <c r="F640" t="inlineStr">
        <is>
          <t>Allmännings- och besparingsskogar</t>
        </is>
      </c>
      <c r="G640" t="n">
        <v>4.5</v>
      </c>
      <c r="H640" t="n">
        <v>0</v>
      </c>
      <c r="I640" t="n">
        <v>0</v>
      </c>
      <c r="J640" t="n">
        <v>0</v>
      </c>
      <c r="K640" t="n">
        <v>0</v>
      </c>
      <c r="L640" t="n">
        <v>0</v>
      </c>
      <c r="M640" t="n">
        <v>0</v>
      </c>
      <c r="N640" t="n">
        <v>0</v>
      </c>
      <c r="O640" t="n">
        <v>0</v>
      </c>
      <c r="P640" t="n">
        <v>0</v>
      </c>
      <c r="Q640" t="n">
        <v>0</v>
      </c>
      <c r="R640" s="2" t="inlineStr"/>
    </row>
    <row r="641" ht="15" customHeight="1">
      <c r="A641" t="inlineStr">
        <is>
          <t>A 33473-2024</t>
        </is>
      </c>
      <c r="B641" s="1" t="n">
        <v>45519</v>
      </c>
      <c r="C641" s="1" t="n">
        <v>45796</v>
      </c>
      <c r="D641" t="inlineStr">
        <is>
          <t>DALARNAS LÄN</t>
        </is>
      </c>
      <c r="E641" t="inlineStr">
        <is>
          <t>ORSA</t>
        </is>
      </c>
      <c r="F641" t="inlineStr">
        <is>
          <t>Övriga statliga verk och myndigheter</t>
        </is>
      </c>
      <c r="G641" t="n">
        <v>2.3</v>
      </c>
      <c r="H641" t="n">
        <v>0</v>
      </c>
      <c r="I641" t="n">
        <v>0</v>
      </c>
      <c r="J641" t="n">
        <v>0</v>
      </c>
      <c r="K641" t="n">
        <v>0</v>
      </c>
      <c r="L641" t="n">
        <v>0</v>
      </c>
      <c r="M641" t="n">
        <v>0</v>
      </c>
      <c r="N641" t="n">
        <v>0</v>
      </c>
      <c r="O641" t="n">
        <v>0</v>
      </c>
      <c r="P641" t="n">
        <v>0</v>
      </c>
      <c r="Q641" t="n">
        <v>0</v>
      </c>
      <c r="R641" s="2" t="inlineStr"/>
    </row>
    <row r="642" ht="15" customHeight="1">
      <c r="A642" t="inlineStr">
        <is>
          <t>A 33458-2024</t>
        </is>
      </c>
      <c r="B642" s="1" t="n">
        <v>45519</v>
      </c>
      <c r="C642" s="1" t="n">
        <v>45796</v>
      </c>
      <c r="D642" t="inlineStr">
        <is>
          <t>DALARNAS LÄN</t>
        </is>
      </c>
      <c r="E642" t="inlineStr">
        <is>
          <t>ORSA</t>
        </is>
      </c>
      <c r="F642" t="inlineStr">
        <is>
          <t>Övriga statliga verk och myndigheter</t>
        </is>
      </c>
      <c r="G642" t="n">
        <v>0.9</v>
      </c>
      <c r="H642" t="n">
        <v>0</v>
      </c>
      <c r="I642" t="n">
        <v>0</v>
      </c>
      <c r="J642" t="n">
        <v>0</v>
      </c>
      <c r="K642" t="n">
        <v>0</v>
      </c>
      <c r="L642" t="n">
        <v>0</v>
      </c>
      <c r="M642" t="n">
        <v>0</v>
      </c>
      <c r="N642" t="n">
        <v>0</v>
      </c>
      <c r="O642" t="n">
        <v>0</v>
      </c>
      <c r="P642" t="n">
        <v>0</v>
      </c>
      <c r="Q642" t="n">
        <v>0</v>
      </c>
      <c r="R642" s="2" t="inlineStr"/>
    </row>
    <row r="643" ht="15" customHeight="1">
      <c r="A643" t="inlineStr">
        <is>
          <t>A 33488-2024</t>
        </is>
      </c>
      <c r="B643" s="1" t="n">
        <v>45519</v>
      </c>
      <c r="C643" s="1" t="n">
        <v>45796</v>
      </c>
      <c r="D643" t="inlineStr">
        <is>
          <t>DALARNAS LÄN</t>
        </is>
      </c>
      <c r="E643" t="inlineStr">
        <is>
          <t>ORSA</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33808-2024</t>
        </is>
      </c>
      <c r="B644" s="1" t="n">
        <v>45520</v>
      </c>
      <c r="C644" s="1" t="n">
        <v>45796</v>
      </c>
      <c r="D644" t="inlineStr">
        <is>
          <t>DALARNAS LÄN</t>
        </is>
      </c>
      <c r="E644" t="inlineStr">
        <is>
          <t>ORSA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33820-2024</t>
        </is>
      </c>
      <c r="B645" s="1" t="n">
        <v>45520</v>
      </c>
      <c r="C645" s="1" t="n">
        <v>45796</v>
      </c>
      <c r="D645" t="inlineStr">
        <is>
          <t>DALARNAS LÄN</t>
        </is>
      </c>
      <c r="E645" t="inlineStr">
        <is>
          <t>ORSA</t>
        </is>
      </c>
      <c r="F645" t="inlineStr">
        <is>
          <t>Bergvik skog öst AB</t>
        </is>
      </c>
      <c r="G645" t="n">
        <v>4.5</v>
      </c>
      <c r="H645" t="n">
        <v>0</v>
      </c>
      <c r="I645" t="n">
        <v>0</v>
      </c>
      <c r="J645" t="n">
        <v>0</v>
      </c>
      <c r="K645" t="n">
        <v>0</v>
      </c>
      <c r="L645" t="n">
        <v>0</v>
      </c>
      <c r="M645" t="n">
        <v>0</v>
      </c>
      <c r="N645" t="n">
        <v>0</v>
      </c>
      <c r="O645" t="n">
        <v>0</v>
      </c>
      <c r="P645" t="n">
        <v>0</v>
      </c>
      <c r="Q645" t="n">
        <v>0</v>
      </c>
      <c r="R645" s="2" t="inlineStr"/>
    </row>
    <row r="646" ht="15" customHeight="1">
      <c r="A646" t="inlineStr">
        <is>
          <t>A 34374-2024</t>
        </is>
      </c>
      <c r="B646" s="1" t="n">
        <v>45525</v>
      </c>
      <c r="C646" s="1" t="n">
        <v>45796</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34431-2024</t>
        </is>
      </c>
      <c r="B647" s="1" t="n">
        <v>45525</v>
      </c>
      <c r="C647" s="1" t="n">
        <v>45796</v>
      </c>
      <c r="D647" t="inlineStr">
        <is>
          <t>DALARNAS LÄN</t>
        </is>
      </c>
      <c r="E647" t="inlineStr">
        <is>
          <t>ORSA</t>
        </is>
      </c>
      <c r="F647" t="inlineStr">
        <is>
          <t>Allmännings- och besparingsskogar</t>
        </is>
      </c>
      <c r="G647" t="n">
        <v>3.3</v>
      </c>
      <c r="H647" t="n">
        <v>0</v>
      </c>
      <c r="I647" t="n">
        <v>0</v>
      </c>
      <c r="J647" t="n">
        <v>0</v>
      </c>
      <c r="K647" t="n">
        <v>0</v>
      </c>
      <c r="L647" t="n">
        <v>0</v>
      </c>
      <c r="M647" t="n">
        <v>0</v>
      </c>
      <c r="N647" t="n">
        <v>0</v>
      </c>
      <c r="O647" t="n">
        <v>0</v>
      </c>
      <c r="P647" t="n">
        <v>0</v>
      </c>
      <c r="Q647" t="n">
        <v>0</v>
      </c>
      <c r="R647" s="2" t="inlineStr"/>
    </row>
    <row r="648" ht="15" customHeight="1">
      <c r="A648" t="inlineStr">
        <is>
          <t>A 34503-2024</t>
        </is>
      </c>
      <c r="B648" s="1" t="n">
        <v>45525</v>
      </c>
      <c r="C648" s="1" t="n">
        <v>45796</v>
      </c>
      <c r="D648" t="inlineStr">
        <is>
          <t>DALARNAS LÄN</t>
        </is>
      </c>
      <c r="E648" t="inlineStr">
        <is>
          <t>ORSA</t>
        </is>
      </c>
      <c r="G648" t="n">
        <v>1.5</v>
      </c>
      <c r="H648" t="n">
        <v>0</v>
      </c>
      <c r="I648" t="n">
        <v>0</v>
      </c>
      <c r="J648" t="n">
        <v>0</v>
      </c>
      <c r="K648" t="n">
        <v>0</v>
      </c>
      <c r="L648" t="n">
        <v>0</v>
      </c>
      <c r="M648" t="n">
        <v>0</v>
      </c>
      <c r="N648" t="n">
        <v>0</v>
      </c>
      <c r="O648" t="n">
        <v>0</v>
      </c>
      <c r="P648" t="n">
        <v>0</v>
      </c>
      <c r="Q648" t="n">
        <v>0</v>
      </c>
      <c r="R648" s="2" t="inlineStr"/>
    </row>
    <row r="649" ht="15" customHeight="1">
      <c r="A649" t="inlineStr">
        <is>
          <t>A 35727-2024</t>
        </is>
      </c>
      <c r="B649" s="1" t="n">
        <v>45532</v>
      </c>
      <c r="C649" s="1" t="n">
        <v>45796</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35730-2024</t>
        </is>
      </c>
      <c r="B650" s="1" t="n">
        <v>45532</v>
      </c>
      <c r="C650" s="1" t="n">
        <v>45796</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36236-2024</t>
        </is>
      </c>
      <c r="B651" s="1" t="n">
        <v>45534</v>
      </c>
      <c r="C651" s="1" t="n">
        <v>45796</v>
      </c>
      <c r="D651" t="inlineStr">
        <is>
          <t>DALARNAS LÄN</t>
        </is>
      </c>
      <c r="E651" t="inlineStr">
        <is>
          <t>ORSA</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36682-2024</t>
        </is>
      </c>
      <c r="B652" s="1" t="n">
        <v>45537</v>
      </c>
      <c r="C652" s="1" t="n">
        <v>45796</v>
      </c>
      <c r="D652" t="inlineStr">
        <is>
          <t>DALARNAS LÄN</t>
        </is>
      </c>
      <c r="E652" t="inlineStr">
        <is>
          <t>ORSA</t>
        </is>
      </c>
      <c r="G652" t="n">
        <v>1.2</v>
      </c>
      <c r="H652" t="n">
        <v>0</v>
      </c>
      <c r="I652" t="n">
        <v>0</v>
      </c>
      <c r="J652" t="n">
        <v>0</v>
      </c>
      <c r="K652" t="n">
        <v>0</v>
      </c>
      <c r="L652" t="n">
        <v>0</v>
      </c>
      <c r="M652" t="n">
        <v>0</v>
      </c>
      <c r="N652" t="n">
        <v>0</v>
      </c>
      <c r="O652" t="n">
        <v>0</v>
      </c>
      <c r="P652" t="n">
        <v>0</v>
      </c>
      <c r="Q652" t="n">
        <v>0</v>
      </c>
      <c r="R652" s="2" t="inlineStr"/>
    </row>
    <row r="653" ht="15" customHeight="1">
      <c r="A653" t="inlineStr">
        <is>
          <t>A 36798-2024</t>
        </is>
      </c>
      <c r="B653" s="1" t="n">
        <v>45538</v>
      </c>
      <c r="C653" s="1" t="n">
        <v>45796</v>
      </c>
      <c r="D653" t="inlineStr">
        <is>
          <t>DALARNAS LÄN</t>
        </is>
      </c>
      <c r="E653" t="inlineStr">
        <is>
          <t>ORSA</t>
        </is>
      </c>
      <c r="G653" t="n">
        <v>2.8</v>
      </c>
      <c r="H653" t="n">
        <v>0</v>
      </c>
      <c r="I653" t="n">
        <v>0</v>
      </c>
      <c r="J653" t="n">
        <v>0</v>
      </c>
      <c r="K653" t="n">
        <v>0</v>
      </c>
      <c r="L653" t="n">
        <v>0</v>
      </c>
      <c r="M653" t="n">
        <v>0</v>
      </c>
      <c r="N653" t="n">
        <v>0</v>
      </c>
      <c r="O653" t="n">
        <v>0</v>
      </c>
      <c r="P653" t="n">
        <v>0</v>
      </c>
      <c r="Q653" t="n">
        <v>0</v>
      </c>
      <c r="R653" s="2" t="inlineStr"/>
    </row>
    <row r="654" ht="15" customHeight="1">
      <c r="A654" t="inlineStr">
        <is>
          <t>A 36808-2024</t>
        </is>
      </c>
      <c r="B654" s="1" t="n">
        <v>45538</v>
      </c>
      <c r="C654" s="1" t="n">
        <v>45796</v>
      </c>
      <c r="D654" t="inlineStr">
        <is>
          <t>DALARNAS LÄN</t>
        </is>
      </c>
      <c r="E654" t="inlineStr">
        <is>
          <t>ORSA</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37836-2024</t>
        </is>
      </c>
      <c r="B655" s="1" t="n">
        <v>45544</v>
      </c>
      <c r="C655" s="1" t="n">
        <v>45796</v>
      </c>
      <c r="D655" t="inlineStr">
        <is>
          <t>DALARNAS LÄN</t>
        </is>
      </c>
      <c r="E655" t="inlineStr">
        <is>
          <t>ORSA</t>
        </is>
      </c>
      <c r="G655" t="n">
        <v>2.3</v>
      </c>
      <c r="H655" t="n">
        <v>0</v>
      </c>
      <c r="I655" t="n">
        <v>0</v>
      </c>
      <c r="J655" t="n">
        <v>0</v>
      </c>
      <c r="K655" t="n">
        <v>0</v>
      </c>
      <c r="L655" t="n">
        <v>0</v>
      </c>
      <c r="M655" t="n">
        <v>0</v>
      </c>
      <c r="N655" t="n">
        <v>0</v>
      </c>
      <c r="O655" t="n">
        <v>0</v>
      </c>
      <c r="P655" t="n">
        <v>0</v>
      </c>
      <c r="Q655" t="n">
        <v>0</v>
      </c>
      <c r="R655" s="2" t="inlineStr"/>
    </row>
    <row r="656" ht="15" customHeight="1">
      <c r="A656" t="inlineStr">
        <is>
          <t>A 37852-2024</t>
        </is>
      </c>
      <c r="B656" s="1" t="n">
        <v>45544</v>
      </c>
      <c r="C656" s="1" t="n">
        <v>45796</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37981-2024</t>
        </is>
      </c>
      <c r="B657" s="1" t="n">
        <v>45544</v>
      </c>
      <c r="C657" s="1" t="n">
        <v>45796</v>
      </c>
      <c r="D657" t="inlineStr">
        <is>
          <t>DALARNAS LÄN</t>
        </is>
      </c>
      <c r="E657" t="inlineStr">
        <is>
          <t>ORSA</t>
        </is>
      </c>
      <c r="F657" t="inlineStr">
        <is>
          <t>Allmännings- och besparingsskogar</t>
        </is>
      </c>
      <c r="G657" t="n">
        <v>1.2</v>
      </c>
      <c r="H657" t="n">
        <v>0</v>
      </c>
      <c r="I657" t="n">
        <v>0</v>
      </c>
      <c r="J657" t="n">
        <v>0</v>
      </c>
      <c r="K657" t="n">
        <v>0</v>
      </c>
      <c r="L657" t="n">
        <v>0</v>
      </c>
      <c r="M657" t="n">
        <v>0</v>
      </c>
      <c r="N657" t="n">
        <v>0</v>
      </c>
      <c r="O657" t="n">
        <v>0</v>
      </c>
      <c r="P657" t="n">
        <v>0</v>
      </c>
      <c r="Q657" t="n">
        <v>0</v>
      </c>
      <c r="R657" s="2" t="inlineStr"/>
    </row>
    <row r="658" ht="15" customHeight="1">
      <c r="A658" t="inlineStr">
        <is>
          <t>A 37830-2024</t>
        </is>
      </c>
      <c r="B658" s="1" t="n">
        <v>45544</v>
      </c>
      <c r="C658" s="1" t="n">
        <v>45796</v>
      </c>
      <c r="D658" t="inlineStr">
        <is>
          <t>DALARNAS LÄN</t>
        </is>
      </c>
      <c r="E658" t="inlineStr">
        <is>
          <t>ORSA</t>
        </is>
      </c>
      <c r="G658" t="n">
        <v>0.8</v>
      </c>
      <c r="H658" t="n">
        <v>0</v>
      </c>
      <c r="I658" t="n">
        <v>0</v>
      </c>
      <c r="J658" t="n">
        <v>0</v>
      </c>
      <c r="K658" t="n">
        <v>0</v>
      </c>
      <c r="L658" t="n">
        <v>0</v>
      </c>
      <c r="M658" t="n">
        <v>0</v>
      </c>
      <c r="N658" t="n">
        <v>0</v>
      </c>
      <c r="O658" t="n">
        <v>0</v>
      </c>
      <c r="P658" t="n">
        <v>0</v>
      </c>
      <c r="Q658" t="n">
        <v>0</v>
      </c>
      <c r="R658" s="2" t="inlineStr"/>
    </row>
    <row r="659" ht="15" customHeight="1">
      <c r="A659" t="inlineStr">
        <is>
          <t>A 37838-2024</t>
        </is>
      </c>
      <c r="B659" s="1" t="n">
        <v>45544</v>
      </c>
      <c r="C659" s="1" t="n">
        <v>45796</v>
      </c>
      <c r="D659" t="inlineStr">
        <is>
          <t>DALARNAS LÄN</t>
        </is>
      </c>
      <c r="E659" t="inlineStr">
        <is>
          <t>ORSA</t>
        </is>
      </c>
      <c r="G659" t="n">
        <v>2.9</v>
      </c>
      <c r="H659" t="n">
        <v>0</v>
      </c>
      <c r="I659" t="n">
        <v>0</v>
      </c>
      <c r="J659" t="n">
        <v>0</v>
      </c>
      <c r="K659" t="n">
        <v>0</v>
      </c>
      <c r="L659" t="n">
        <v>0</v>
      </c>
      <c r="M659" t="n">
        <v>0</v>
      </c>
      <c r="N659" t="n">
        <v>0</v>
      </c>
      <c r="O659" t="n">
        <v>0</v>
      </c>
      <c r="P659" t="n">
        <v>0</v>
      </c>
      <c r="Q659" t="n">
        <v>0</v>
      </c>
      <c r="R659" s="2" t="inlineStr"/>
    </row>
    <row r="660" ht="15" customHeight="1">
      <c r="A660" t="inlineStr">
        <is>
          <t>A 38777-2024</t>
        </is>
      </c>
      <c r="B660" s="1" t="n">
        <v>45547</v>
      </c>
      <c r="C660" s="1" t="n">
        <v>45796</v>
      </c>
      <c r="D660" t="inlineStr">
        <is>
          <t>DALARNAS LÄN</t>
        </is>
      </c>
      <c r="E660" t="inlineStr">
        <is>
          <t>ORSA</t>
        </is>
      </c>
      <c r="G660" t="n">
        <v>3.3</v>
      </c>
      <c r="H660" t="n">
        <v>0</v>
      </c>
      <c r="I660" t="n">
        <v>0</v>
      </c>
      <c r="J660" t="n">
        <v>0</v>
      </c>
      <c r="K660" t="n">
        <v>0</v>
      </c>
      <c r="L660" t="n">
        <v>0</v>
      </c>
      <c r="M660" t="n">
        <v>0</v>
      </c>
      <c r="N660" t="n">
        <v>0</v>
      </c>
      <c r="O660" t="n">
        <v>0</v>
      </c>
      <c r="P660" t="n">
        <v>0</v>
      </c>
      <c r="Q660" t="n">
        <v>0</v>
      </c>
      <c r="R660" s="2" t="inlineStr"/>
    </row>
    <row r="661" ht="15" customHeight="1">
      <c r="A661" t="inlineStr">
        <is>
          <t>A 39336-2024</t>
        </is>
      </c>
      <c r="B661" s="1" t="n">
        <v>45551</v>
      </c>
      <c r="C661" s="1" t="n">
        <v>45796</v>
      </c>
      <c r="D661" t="inlineStr">
        <is>
          <t>DALARNAS LÄN</t>
        </is>
      </c>
      <c r="E661" t="inlineStr">
        <is>
          <t>ORSA</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39475-2024</t>
        </is>
      </c>
      <c r="B662" s="1" t="n">
        <v>45551</v>
      </c>
      <c r="C662" s="1" t="n">
        <v>45796</v>
      </c>
      <c r="D662" t="inlineStr">
        <is>
          <t>DALARNAS LÄN</t>
        </is>
      </c>
      <c r="E662" t="inlineStr">
        <is>
          <t>ORSA</t>
        </is>
      </c>
      <c r="F662" t="inlineStr">
        <is>
          <t>Bergvik skog öst AB</t>
        </is>
      </c>
      <c r="G662" t="n">
        <v>11.4</v>
      </c>
      <c r="H662" t="n">
        <v>0</v>
      </c>
      <c r="I662" t="n">
        <v>0</v>
      </c>
      <c r="J662" t="n">
        <v>0</v>
      </c>
      <c r="K662" t="n">
        <v>0</v>
      </c>
      <c r="L662" t="n">
        <v>0</v>
      </c>
      <c r="M662" t="n">
        <v>0</v>
      </c>
      <c r="N662" t="n">
        <v>0</v>
      </c>
      <c r="O662" t="n">
        <v>0</v>
      </c>
      <c r="P662" t="n">
        <v>0</v>
      </c>
      <c r="Q662" t="n">
        <v>0</v>
      </c>
      <c r="R662" s="2" t="inlineStr"/>
    </row>
    <row r="663" ht="15" customHeight="1">
      <c r="A663" t="inlineStr">
        <is>
          <t>A 39476-2024</t>
        </is>
      </c>
      <c r="B663" s="1" t="n">
        <v>45551</v>
      </c>
      <c r="C663" s="1" t="n">
        <v>45796</v>
      </c>
      <c r="D663" t="inlineStr">
        <is>
          <t>DALARNAS LÄN</t>
        </is>
      </c>
      <c r="E663" t="inlineStr">
        <is>
          <t>ORSA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40101-2024</t>
        </is>
      </c>
      <c r="B664" s="1" t="n">
        <v>45554</v>
      </c>
      <c r="C664" s="1" t="n">
        <v>45796</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41835-2024</t>
        </is>
      </c>
      <c r="B665" s="1" t="n">
        <v>45561</v>
      </c>
      <c r="C665" s="1" t="n">
        <v>45796</v>
      </c>
      <c r="D665" t="inlineStr">
        <is>
          <t>DALARNAS LÄN</t>
        </is>
      </c>
      <c r="E665" t="inlineStr">
        <is>
          <t>ORSA</t>
        </is>
      </c>
      <c r="G665" t="n">
        <v>0.7</v>
      </c>
      <c r="H665" t="n">
        <v>0</v>
      </c>
      <c r="I665" t="n">
        <v>0</v>
      </c>
      <c r="J665" t="n">
        <v>0</v>
      </c>
      <c r="K665" t="n">
        <v>0</v>
      </c>
      <c r="L665" t="n">
        <v>0</v>
      </c>
      <c r="M665" t="n">
        <v>0</v>
      </c>
      <c r="N665" t="n">
        <v>0</v>
      </c>
      <c r="O665" t="n">
        <v>0</v>
      </c>
      <c r="P665" t="n">
        <v>0</v>
      </c>
      <c r="Q665" t="n">
        <v>0</v>
      </c>
      <c r="R665" s="2" t="inlineStr"/>
    </row>
    <row r="666" ht="15" customHeight="1">
      <c r="A666" t="inlineStr">
        <is>
          <t>A 41832-2024</t>
        </is>
      </c>
      <c r="B666" s="1" t="n">
        <v>45561</v>
      </c>
      <c r="C666" s="1" t="n">
        <v>45796</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42411-2024</t>
        </is>
      </c>
      <c r="B667" s="1" t="n">
        <v>45565</v>
      </c>
      <c r="C667" s="1" t="n">
        <v>45796</v>
      </c>
      <c r="D667" t="inlineStr">
        <is>
          <t>DALARNAS LÄN</t>
        </is>
      </c>
      <c r="E667" t="inlineStr">
        <is>
          <t>ORSA</t>
        </is>
      </c>
      <c r="G667" t="n">
        <v>1.5</v>
      </c>
      <c r="H667" t="n">
        <v>0</v>
      </c>
      <c r="I667" t="n">
        <v>0</v>
      </c>
      <c r="J667" t="n">
        <v>0</v>
      </c>
      <c r="K667" t="n">
        <v>0</v>
      </c>
      <c r="L667" t="n">
        <v>0</v>
      </c>
      <c r="M667" t="n">
        <v>0</v>
      </c>
      <c r="N667" t="n">
        <v>0</v>
      </c>
      <c r="O667" t="n">
        <v>0</v>
      </c>
      <c r="P667" t="n">
        <v>0</v>
      </c>
      <c r="Q667" t="n">
        <v>0</v>
      </c>
      <c r="R667" s="2" t="inlineStr"/>
    </row>
    <row r="668" ht="15" customHeight="1">
      <c r="A668" t="inlineStr">
        <is>
          <t>A 42517-2024</t>
        </is>
      </c>
      <c r="B668" s="1" t="n">
        <v>45565</v>
      </c>
      <c r="C668" s="1" t="n">
        <v>45796</v>
      </c>
      <c r="D668" t="inlineStr">
        <is>
          <t>DALARNAS LÄN</t>
        </is>
      </c>
      <c r="E668" t="inlineStr">
        <is>
          <t>ORSA</t>
        </is>
      </c>
      <c r="G668" t="n">
        <v>3</v>
      </c>
      <c r="H668" t="n">
        <v>0</v>
      </c>
      <c r="I668" t="n">
        <v>0</v>
      </c>
      <c r="J668" t="n">
        <v>0</v>
      </c>
      <c r="K668" t="n">
        <v>0</v>
      </c>
      <c r="L668" t="n">
        <v>0</v>
      </c>
      <c r="M668" t="n">
        <v>0</v>
      </c>
      <c r="N668" t="n">
        <v>0</v>
      </c>
      <c r="O668" t="n">
        <v>0</v>
      </c>
      <c r="P668" t="n">
        <v>0</v>
      </c>
      <c r="Q668" t="n">
        <v>0</v>
      </c>
      <c r="R668" s="2" t="inlineStr"/>
    </row>
    <row r="669" ht="15" customHeight="1">
      <c r="A669" t="inlineStr">
        <is>
          <t>A 42513-2024</t>
        </is>
      </c>
      <c r="B669" s="1" t="n">
        <v>45565</v>
      </c>
      <c r="C669" s="1" t="n">
        <v>45796</v>
      </c>
      <c r="D669" t="inlineStr">
        <is>
          <t>DALARNAS LÄN</t>
        </is>
      </c>
      <c r="E669" t="inlineStr">
        <is>
          <t>ORSA</t>
        </is>
      </c>
      <c r="G669" t="n">
        <v>1.6</v>
      </c>
      <c r="H669" t="n">
        <v>0</v>
      </c>
      <c r="I669" t="n">
        <v>0</v>
      </c>
      <c r="J669" t="n">
        <v>0</v>
      </c>
      <c r="K669" t="n">
        <v>0</v>
      </c>
      <c r="L669" t="n">
        <v>0</v>
      </c>
      <c r="M669" t="n">
        <v>0</v>
      </c>
      <c r="N669" t="n">
        <v>0</v>
      </c>
      <c r="O669" t="n">
        <v>0</v>
      </c>
      <c r="P669" t="n">
        <v>0</v>
      </c>
      <c r="Q669" t="n">
        <v>0</v>
      </c>
      <c r="R669" s="2" t="inlineStr"/>
    </row>
    <row r="670" ht="15" customHeight="1">
      <c r="A670" t="inlineStr">
        <is>
          <t>A 42669-2024</t>
        </is>
      </c>
      <c r="B670" s="1" t="n">
        <v>45566</v>
      </c>
      <c r="C670" s="1" t="n">
        <v>45796</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43757-2024</t>
        </is>
      </c>
      <c r="B671" s="1" t="n">
        <v>45569</v>
      </c>
      <c r="C671" s="1" t="n">
        <v>45796</v>
      </c>
      <c r="D671" t="inlineStr">
        <is>
          <t>DALARNAS LÄN</t>
        </is>
      </c>
      <c r="E671" t="inlineStr">
        <is>
          <t>ORSA</t>
        </is>
      </c>
      <c r="G671" t="n">
        <v>3.6</v>
      </c>
      <c r="H671" t="n">
        <v>0</v>
      </c>
      <c r="I671" t="n">
        <v>0</v>
      </c>
      <c r="J671" t="n">
        <v>0</v>
      </c>
      <c r="K671" t="n">
        <v>0</v>
      </c>
      <c r="L671" t="n">
        <v>0</v>
      </c>
      <c r="M671" t="n">
        <v>0</v>
      </c>
      <c r="N671" t="n">
        <v>0</v>
      </c>
      <c r="O671" t="n">
        <v>0</v>
      </c>
      <c r="P671" t="n">
        <v>0</v>
      </c>
      <c r="Q671" t="n">
        <v>0</v>
      </c>
      <c r="R671" s="2" t="inlineStr"/>
    </row>
    <row r="672" ht="15" customHeight="1">
      <c r="A672" t="inlineStr">
        <is>
          <t>A 43759-2024</t>
        </is>
      </c>
      <c r="B672" s="1" t="n">
        <v>45569</v>
      </c>
      <c r="C672" s="1" t="n">
        <v>45796</v>
      </c>
      <c r="D672" t="inlineStr">
        <is>
          <t>DALARNAS LÄN</t>
        </is>
      </c>
      <c r="E672" t="inlineStr">
        <is>
          <t>ORSA</t>
        </is>
      </c>
      <c r="G672" t="n">
        <v>2.1</v>
      </c>
      <c r="H672" t="n">
        <v>0</v>
      </c>
      <c r="I672" t="n">
        <v>0</v>
      </c>
      <c r="J672" t="n">
        <v>0</v>
      </c>
      <c r="K672" t="n">
        <v>0</v>
      </c>
      <c r="L672" t="n">
        <v>0</v>
      </c>
      <c r="M672" t="n">
        <v>0</v>
      </c>
      <c r="N672" t="n">
        <v>0</v>
      </c>
      <c r="O672" t="n">
        <v>0</v>
      </c>
      <c r="P672" t="n">
        <v>0</v>
      </c>
      <c r="Q672" t="n">
        <v>0</v>
      </c>
      <c r="R672" s="2" t="inlineStr"/>
    </row>
    <row r="673" ht="15" customHeight="1">
      <c r="A673" t="inlineStr">
        <is>
          <t>A 45096-2024</t>
        </is>
      </c>
      <c r="B673" s="1" t="n">
        <v>45575</v>
      </c>
      <c r="C673" s="1" t="n">
        <v>45796</v>
      </c>
      <c r="D673" t="inlineStr">
        <is>
          <t>DALARNAS LÄN</t>
        </is>
      </c>
      <c r="E673" t="inlineStr">
        <is>
          <t>ORSA</t>
        </is>
      </c>
      <c r="G673" t="n">
        <v>13.4</v>
      </c>
      <c r="H673" t="n">
        <v>0</v>
      </c>
      <c r="I673" t="n">
        <v>0</v>
      </c>
      <c r="J673" t="n">
        <v>0</v>
      </c>
      <c r="K673" t="n">
        <v>0</v>
      </c>
      <c r="L673" t="n">
        <v>0</v>
      </c>
      <c r="M673" t="n">
        <v>0</v>
      </c>
      <c r="N673" t="n">
        <v>0</v>
      </c>
      <c r="O673" t="n">
        <v>0</v>
      </c>
      <c r="P673" t="n">
        <v>0</v>
      </c>
      <c r="Q673" t="n">
        <v>0</v>
      </c>
      <c r="R673" s="2" t="inlineStr"/>
    </row>
    <row r="674" ht="15" customHeight="1">
      <c r="A674" t="inlineStr">
        <is>
          <t>A 44904-2024</t>
        </is>
      </c>
      <c r="B674" s="1" t="n">
        <v>45575</v>
      </c>
      <c r="C674" s="1" t="n">
        <v>45796</v>
      </c>
      <c r="D674" t="inlineStr">
        <is>
          <t>DALARNAS LÄN</t>
        </is>
      </c>
      <c r="E674" t="inlineStr">
        <is>
          <t>ORSA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44909-2024</t>
        </is>
      </c>
      <c r="B675" s="1" t="n">
        <v>45575</v>
      </c>
      <c r="C675" s="1" t="n">
        <v>45796</v>
      </c>
      <c r="D675" t="inlineStr">
        <is>
          <t>DALARNAS LÄN</t>
        </is>
      </c>
      <c r="E675" t="inlineStr">
        <is>
          <t>ORSA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45028-2024</t>
        </is>
      </c>
      <c r="B676" s="1" t="n">
        <v>45575</v>
      </c>
      <c r="C676" s="1" t="n">
        <v>45796</v>
      </c>
      <c r="D676" t="inlineStr">
        <is>
          <t>DALARNAS LÄN</t>
        </is>
      </c>
      <c r="E676" t="inlineStr">
        <is>
          <t>ORSA</t>
        </is>
      </c>
      <c r="G676" t="n">
        <v>2.4</v>
      </c>
      <c r="H676" t="n">
        <v>0</v>
      </c>
      <c r="I676" t="n">
        <v>0</v>
      </c>
      <c r="J676" t="n">
        <v>0</v>
      </c>
      <c r="K676" t="n">
        <v>0</v>
      </c>
      <c r="L676" t="n">
        <v>0</v>
      </c>
      <c r="M676" t="n">
        <v>0</v>
      </c>
      <c r="N676" t="n">
        <v>0</v>
      </c>
      <c r="O676" t="n">
        <v>0</v>
      </c>
      <c r="P676" t="n">
        <v>0</v>
      </c>
      <c r="Q676" t="n">
        <v>0</v>
      </c>
      <c r="R676" s="2" t="inlineStr"/>
    </row>
    <row r="677" ht="15" customHeight="1">
      <c r="A677" t="inlineStr">
        <is>
          <t>A 45020-2024</t>
        </is>
      </c>
      <c r="B677" s="1" t="n">
        <v>45575</v>
      </c>
      <c r="C677" s="1" t="n">
        <v>45796</v>
      </c>
      <c r="D677" t="inlineStr">
        <is>
          <t>DALARNAS LÄN</t>
        </is>
      </c>
      <c r="E677" t="inlineStr">
        <is>
          <t>ORSA</t>
        </is>
      </c>
      <c r="G677" t="n">
        <v>5.1</v>
      </c>
      <c r="H677" t="n">
        <v>0</v>
      </c>
      <c r="I677" t="n">
        <v>0</v>
      </c>
      <c r="J677" t="n">
        <v>0</v>
      </c>
      <c r="K677" t="n">
        <v>0</v>
      </c>
      <c r="L677" t="n">
        <v>0</v>
      </c>
      <c r="M677" t="n">
        <v>0</v>
      </c>
      <c r="N677" t="n">
        <v>0</v>
      </c>
      <c r="O677" t="n">
        <v>0</v>
      </c>
      <c r="P677" t="n">
        <v>0</v>
      </c>
      <c r="Q677" t="n">
        <v>0</v>
      </c>
      <c r="R677" s="2" t="inlineStr"/>
    </row>
    <row r="678" ht="15" customHeight="1">
      <c r="A678" t="inlineStr">
        <is>
          <t>A 46454-2024</t>
        </is>
      </c>
      <c r="B678" s="1" t="n">
        <v>45582</v>
      </c>
      <c r="C678" s="1" t="n">
        <v>45796</v>
      </c>
      <c r="D678" t="inlineStr">
        <is>
          <t>DALARNAS LÄN</t>
        </is>
      </c>
      <c r="E678" t="inlineStr">
        <is>
          <t>ORSA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46606-2024</t>
        </is>
      </c>
      <c r="B679" s="1" t="n">
        <v>45582</v>
      </c>
      <c r="C679" s="1" t="n">
        <v>45796</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46939-2024</t>
        </is>
      </c>
      <c r="B680" s="1" t="n">
        <v>45585</v>
      </c>
      <c r="C680" s="1" t="n">
        <v>45796</v>
      </c>
      <c r="D680" t="inlineStr">
        <is>
          <t>DALARNAS LÄN</t>
        </is>
      </c>
      <c r="E680" t="inlineStr">
        <is>
          <t>ORSA</t>
        </is>
      </c>
      <c r="F680" t="inlineStr">
        <is>
          <t>Bergvik skog öst AB</t>
        </is>
      </c>
      <c r="G680" t="n">
        <v>3.7</v>
      </c>
      <c r="H680" t="n">
        <v>0</v>
      </c>
      <c r="I680" t="n">
        <v>0</v>
      </c>
      <c r="J680" t="n">
        <v>0</v>
      </c>
      <c r="K680" t="n">
        <v>0</v>
      </c>
      <c r="L680" t="n">
        <v>0</v>
      </c>
      <c r="M680" t="n">
        <v>0</v>
      </c>
      <c r="N680" t="n">
        <v>0</v>
      </c>
      <c r="O680" t="n">
        <v>0</v>
      </c>
      <c r="P680" t="n">
        <v>0</v>
      </c>
      <c r="Q680" t="n">
        <v>0</v>
      </c>
      <c r="R680" s="2" t="inlineStr"/>
    </row>
    <row r="681" ht="15" customHeight="1">
      <c r="A681" t="inlineStr">
        <is>
          <t>A 46938-2024</t>
        </is>
      </c>
      <c r="B681" s="1" t="n">
        <v>45585</v>
      </c>
      <c r="C681" s="1" t="n">
        <v>45796</v>
      </c>
      <c r="D681" t="inlineStr">
        <is>
          <t>DALARNAS LÄN</t>
        </is>
      </c>
      <c r="E681" t="inlineStr">
        <is>
          <t>ORSA</t>
        </is>
      </c>
      <c r="F681" t="inlineStr">
        <is>
          <t>Bergvik skog öst AB</t>
        </is>
      </c>
      <c r="G681" t="n">
        <v>3.3</v>
      </c>
      <c r="H681" t="n">
        <v>0</v>
      </c>
      <c r="I681" t="n">
        <v>0</v>
      </c>
      <c r="J681" t="n">
        <v>0</v>
      </c>
      <c r="K681" t="n">
        <v>0</v>
      </c>
      <c r="L681" t="n">
        <v>0</v>
      </c>
      <c r="M681" t="n">
        <v>0</v>
      </c>
      <c r="N681" t="n">
        <v>0</v>
      </c>
      <c r="O681" t="n">
        <v>0</v>
      </c>
      <c r="P681" t="n">
        <v>0</v>
      </c>
      <c r="Q681" t="n">
        <v>0</v>
      </c>
      <c r="R681" s="2" t="inlineStr"/>
    </row>
    <row r="682" ht="15" customHeight="1">
      <c r="A682" t="inlineStr">
        <is>
          <t>A 47134-2024</t>
        </is>
      </c>
      <c r="B682" s="1" t="n">
        <v>45586</v>
      </c>
      <c r="C682" s="1" t="n">
        <v>45796</v>
      </c>
      <c r="D682" t="inlineStr">
        <is>
          <t>DALARNAS LÄN</t>
        </is>
      </c>
      <c r="E682" t="inlineStr">
        <is>
          <t>ORSA</t>
        </is>
      </c>
      <c r="G682" t="n">
        <v>0.3</v>
      </c>
      <c r="H682" t="n">
        <v>0</v>
      </c>
      <c r="I682" t="n">
        <v>0</v>
      </c>
      <c r="J682" t="n">
        <v>0</v>
      </c>
      <c r="K682" t="n">
        <v>0</v>
      </c>
      <c r="L682" t="n">
        <v>0</v>
      </c>
      <c r="M682" t="n">
        <v>0</v>
      </c>
      <c r="N682" t="n">
        <v>0</v>
      </c>
      <c r="O682" t="n">
        <v>0</v>
      </c>
      <c r="P682" t="n">
        <v>0</v>
      </c>
      <c r="Q682" t="n">
        <v>0</v>
      </c>
      <c r="R682" s="2" t="inlineStr"/>
    </row>
    <row r="683" ht="15" customHeight="1">
      <c r="A683" t="inlineStr">
        <is>
          <t>A 47128-2024</t>
        </is>
      </c>
      <c r="B683" s="1" t="n">
        <v>45586</v>
      </c>
      <c r="C683" s="1" t="n">
        <v>45796</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47315-2024</t>
        </is>
      </c>
      <c r="B684" s="1" t="n">
        <v>45587</v>
      </c>
      <c r="C684" s="1" t="n">
        <v>45796</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47691-2024</t>
        </is>
      </c>
      <c r="B685" s="1" t="n">
        <v>45588</v>
      </c>
      <c r="C685" s="1" t="n">
        <v>45796</v>
      </c>
      <c r="D685" t="inlineStr">
        <is>
          <t>DALARNAS LÄN</t>
        </is>
      </c>
      <c r="E685" t="inlineStr">
        <is>
          <t>ORSA</t>
        </is>
      </c>
      <c r="G685" t="n">
        <v>0.5</v>
      </c>
      <c r="H685" t="n">
        <v>0</v>
      </c>
      <c r="I685" t="n">
        <v>0</v>
      </c>
      <c r="J685" t="n">
        <v>0</v>
      </c>
      <c r="K685" t="n">
        <v>0</v>
      </c>
      <c r="L685" t="n">
        <v>0</v>
      </c>
      <c r="M685" t="n">
        <v>0</v>
      </c>
      <c r="N685" t="n">
        <v>0</v>
      </c>
      <c r="O685" t="n">
        <v>0</v>
      </c>
      <c r="P685" t="n">
        <v>0</v>
      </c>
      <c r="Q685" t="n">
        <v>0</v>
      </c>
      <c r="R685" s="2" t="inlineStr"/>
    </row>
    <row r="686" ht="15" customHeight="1">
      <c r="A686" t="inlineStr">
        <is>
          <t>A 47809-2024</t>
        </is>
      </c>
      <c r="B686" s="1" t="n">
        <v>45588</v>
      </c>
      <c r="C686" s="1" t="n">
        <v>45796</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48500-2024</t>
        </is>
      </c>
      <c r="B687" s="1" t="n">
        <v>45592</v>
      </c>
      <c r="C687" s="1" t="n">
        <v>45796</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48516-2024</t>
        </is>
      </c>
      <c r="B688" s="1" t="n">
        <v>45593</v>
      </c>
      <c r="C688" s="1" t="n">
        <v>45796</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48517-2024</t>
        </is>
      </c>
      <c r="B689" s="1" t="n">
        <v>45593</v>
      </c>
      <c r="C689" s="1" t="n">
        <v>45796</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48521-2024</t>
        </is>
      </c>
      <c r="B690" s="1" t="n">
        <v>45593</v>
      </c>
      <c r="C690" s="1" t="n">
        <v>45796</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48525-2024</t>
        </is>
      </c>
      <c r="B691" s="1" t="n">
        <v>45593</v>
      </c>
      <c r="C691" s="1" t="n">
        <v>45796</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48819-2024</t>
        </is>
      </c>
      <c r="B692" s="1" t="n">
        <v>45593</v>
      </c>
      <c r="C692" s="1" t="n">
        <v>45796</v>
      </c>
      <c r="D692" t="inlineStr">
        <is>
          <t>DALARNAS LÄN</t>
        </is>
      </c>
      <c r="E692" t="inlineStr">
        <is>
          <t>ORSA</t>
        </is>
      </c>
      <c r="G692" t="n">
        <v>5</v>
      </c>
      <c r="H692" t="n">
        <v>0</v>
      </c>
      <c r="I692" t="n">
        <v>0</v>
      </c>
      <c r="J692" t="n">
        <v>0</v>
      </c>
      <c r="K692" t="n">
        <v>0</v>
      </c>
      <c r="L692" t="n">
        <v>0</v>
      </c>
      <c r="M692" t="n">
        <v>0</v>
      </c>
      <c r="N692" t="n">
        <v>0</v>
      </c>
      <c r="O692" t="n">
        <v>0</v>
      </c>
      <c r="P692" t="n">
        <v>0</v>
      </c>
      <c r="Q692" t="n">
        <v>0</v>
      </c>
      <c r="R692" s="2" t="inlineStr"/>
    </row>
    <row r="693" ht="15" customHeight="1">
      <c r="A693" t="inlineStr">
        <is>
          <t>A 48518-2024</t>
        </is>
      </c>
      <c r="B693" s="1" t="n">
        <v>45593</v>
      </c>
      <c r="C693" s="1" t="n">
        <v>45796</v>
      </c>
      <c r="D693" t="inlineStr">
        <is>
          <t>DALARNAS LÄN</t>
        </is>
      </c>
      <c r="E693" t="inlineStr">
        <is>
          <t>ORSA</t>
        </is>
      </c>
      <c r="G693" t="n">
        <v>1.9</v>
      </c>
      <c r="H693" t="n">
        <v>0</v>
      </c>
      <c r="I693" t="n">
        <v>0</v>
      </c>
      <c r="J693" t="n">
        <v>0</v>
      </c>
      <c r="K693" t="n">
        <v>0</v>
      </c>
      <c r="L693" t="n">
        <v>0</v>
      </c>
      <c r="M693" t="n">
        <v>0</v>
      </c>
      <c r="N693" t="n">
        <v>0</v>
      </c>
      <c r="O693" t="n">
        <v>0</v>
      </c>
      <c r="P693" t="n">
        <v>0</v>
      </c>
      <c r="Q693" t="n">
        <v>0</v>
      </c>
      <c r="R693" s="2" t="inlineStr"/>
    </row>
    <row r="694" ht="15" customHeight="1">
      <c r="A694" t="inlineStr">
        <is>
          <t>A 48519-2024</t>
        </is>
      </c>
      <c r="B694" s="1" t="n">
        <v>45593</v>
      </c>
      <c r="C694" s="1" t="n">
        <v>45796</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48958-2024</t>
        </is>
      </c>
      <c r="B695" s="1" t="n">
        <v>45594</v>
      </c>
      <c r="C695" s="1" t="n">
        <v>45796</v>
      </c>
      <c r="D695" t="inlineStr">
        <is>
          <t>DALARNAS LÄN</t>
        </is>
      </c>
      <c r="E695" t="inlineStr">
        <is>
          <t>ORSA</t>
        </is>
      </c>
      <c r="G695" t="n">
        <v>1.1</v>
      </c>
      <c r="H695" t="n">
        <v>0</v>
      </c>
      <c r="I695" t="n">
        <v>0</v>
      </c>
      <c r="J695" t="n">
        <v>0</v>
      </c>
      <c r="K695" t="n">
        <v>0</v>
      </c>
      <c r="L695" t="n">
        <v>0</v>
      </c>
      <c r="M695" t="n">
        <v>0</v>
      </c>
      <c r="N695" t="n">
        <v>0</v>
      </c>
      <c r="O695" t="n">
        <v>0</v>
      </c>
      <c r="P695" t="n">
        <v>0</v>
      </c>
      <c r="Q695" t="n">
        <v>0</v>
      </c>
      <c r="R695" s="2" t="inlineStr"/>
    </row>
    <row r="696" ht="15" customHeight="1">
      <c r="A696" t="inlineStr">
        <is>
          <t>A 49270-2024</t>
        </is>
      </c>
      <c r="B696" s="1" t="n">
        <v>45595</v>
      </c>
      <c r="C696" s="1" t="n">
        <v>45796</v>
      </c>
      <c r="D696" t="inlineStr">
        <is>
          <t>DALARNAS LÄN</t>
        </is>
      </c>
      <c r="E696" t="inlineStr">
        <is>
          <t>ORSA</t>
        </is>
      </c>
      <c r="G696" t="n">
        <v>0.9</v>
      </c>
      <c r="H696" t="n">
        <v>0</v>
      </c>
      <c r="I696" t="n">
        <v>0</v>
      </c>
      <c r="J696" t="n">
        <v>0</v>
      </c>
      <c r="K696" t="n">
        <v>0</v>
      </c>
      <c r="L696" t="n">
        <v>0</v>
      </c>
      <c r="M696" t="n">
        <v>0</v>
      </c>
      <c r="N696" t="n">
        <v>0</v>
      </c>
      <c r="O696" t="n">
        <v>0</v>
      </c>
      <c r="P696" t="n">
        <v>0</v>
      </c>
      <c r="Q696" t="n">
        <v>0</v>
      </c>
      <c r="R696" s="2" t="inlineStr"/>
    </row>
    <row r="697" ht="15" customHeight="1">
      <c r="A697" t="inlineStr">
        <is>
          <t>A 49466-2024</t>
        </is>
      </c>
      <c r="B697" s="1" t="n">
        <v>45596</v>
      </c>
      <c r="C697" s="1" t="n">
        <v>45796</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49864-2024</t>
        </is>
      </c>
      <c r="B698" s="1" t="n">
        <v>45597</v>
      </c>
      <c r="C698" s="1" t="n">
        <v>45796</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50061-2024</t>
        </is>
      </c>
      <c r="B699" s="1" t="n">
        <v>45600</v>
      </c>
      <c r="C699" s="1" t="n">
        <v>45796</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50392-2024</t>
        </is>
      </c>
      <c r="B700" s="1" t="n">
        <v>45601</v>
      </c>
      <c r="C700" s="1" t="n">
        <v>45796</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51862-2024</t>
        </is>
      </c>
      <c r="B701" s="1" t="n">
        <v>45607</v>
      </c>
      <c r="C701" s="1" t="n">
        <v>45796</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51764-2024</t>
        </is>
      </c>
      <c r="B702" s="1" t="n">
        <v>45607</v>
      </c>
      <c r="C702" s="1" t="n">
        <v>45796</v>
      </c>
      <c r="D702" t="inlineStr">
        <is>
          <t>DALARNAS LÄN</t>
        </is>
      </c>
      <c r="E702" t="inlineStr">
        <is>
          <t>ORSA</t>
        </is>
      </c>
      <c r="F702" t="inlineStr">
        <is>
          <t>Bergvik skog öst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52422-2024</t>
        </is>
      </c>
      <c r="B703" s="1" t="n">
        <v>45609</v>
      </c>
      <c r="C703" s="1" t="n">
        <v>45796</v>
      </c>
      <c r="D703" t="inlineStr">
        <is>
          <t>DALARNAS LÄN</t>
        </is>
      </c>
      <c r="E703" t="inlineStr">
        <is>
          <t>ORSA</t>
        </is>
      </c>
      <c r="G703" t="n">
        <v>4.5</v>
      </c>
      <c r="H703" t="n">
        <v>0</v>
      </c>
      <c r="I703" t="n">
        <v>0</v>
      </c>
      <c r="J703" t="n">
        <v>0</v>
      </c>
      <c r="K703" t="n">
        <v>0</v>
      </c>
      <c r="L703" t="n">
        <v>0</v>
      </c>
      <c r="M703" t="n">
        <v>0</v>
      </c>
      <c r="N703" t="n">
        <v>0</v>
      </c>
      <c r="O703" t="n">
        <v>0</v>
      </c>
      <c r="P703" t="n">
        <v>0</v>
      </c>
      <c r="Q703" t="n">
        <v>0</v>
      </c>
      <c r="R703" s="2" t="inlineStr"/>
    </row>
    <row r="704" ht="15" customHeight="1">
      <c r="A704" t="inlineStr">
        <is>
          <t>A 52649-2024</t>
        </is>
      </c>
      <c r="B704" s="1" t="n">
        <v>45610</v>
      </c>
      <c r="C704" s="1" t="n">
        <v>45796</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52640-2024</t>
        </is>
      </c>
      <c r="B705" s="1" t="n">
        <v>45610</v>
      </c>
      <c r="C705" s="1" t="n">
        <v>45796</v>
      </c>
      <c r="D705" t="inlineStr">
        <is>
          <t>DALARNAS LÄN</t>
        </is>
      </c>
      <c r="E705" t="inlineStr">
        <is>
          <t>ORSA</t>
        </is>
      </c>
      <c r="G705" t="n">
        <v>1.2</v>
      </c>
      <c r="H705" t="n">
        <v>0</v>
      </c>
      <c r="I705" t="n">
        <v>0</v>
      </c>
      <c r="J705" t="n">
        <v>0</v>
      </c>
      <c r="K705" t="n">
        <v>0</v>
      </c>
      <c r="L705" t="n">
        <v>0</v>
      </c>
      <c r="M705" t="n">
        <v>0</v>
      </c>
      <c r="N705" t="n">
        <v>0</v>
      </c>
      <c r="O705" t="n">
        <v>0</v>
      </c>
      <c r="P705" t="n">
        <v>0</v>
      </c>
      <c r="Q705" t="n">
        <v>0</v>
      </c>
      <c r="R705" s="2" t="inlineStr"/>
    </row>
    <row r="706" ht="15" customHeight="1">
      <c r="A706" t="inlineStr">
        <is>
          <t>A 52925-2024</t>
        </is>
      </c>
      <c r="B706" s="1" t="n">
        <v>45610</v>
      </c>
      <c r="C706" s="1" t="n">
        <v>45796</v>
      </c>
      <c r="D706" t="inlineStr">
        <is>
          <t>DALARNAS LÄN</t>
        </is>
      </c>
      <c r="E706" t="inlineStr">
        <is>
          <t>ORSA</t>
        </is>
      </c>
      <c r="F706" t="inlineStr">
        <is>
          <t>Allmännings- och besparingsskogar</t>
        </is>
      </c>
      <c r="G706" t="n">
        <v>2.5</v>
      </c>
      <c r="H706" t="n">
        <v>0</v>
      </c>
      <c r="I706" t="n">
        <v>0</v>
      </c>
      <c r="J706" t="n">
        <v>0</v>
      </c>
      <c r="K706" t="n">
        <v>0</v>
      </c>
      <c r="L706" t="n">
        <v>0</v>
      </c>
      <c r="M706" t="n">
        <v>0</v>
      </c>
      <c r="N706" t="n">
        <v>0</v>
      </c>
      <c r="O706" t="n">
        <v>0</v>
      </c>
      <c r="P706" t="n">
        <v>0</v>
      </c>
      <c r="Q706" t="n">
        <v>0</v>
      </c>
      <c r="R706" s="2" t="inlineStr"/>
    </row>
    <row r="707" ht="15" customHeight="1">
      <c r="A707" t="inlineStr">
        <is>
          <t>A 52816-2024</t>
        </is>
      </c>
      <c r="B707" s="1" t="n">
        <v>45610</v>
      </c>
      <c r="C707" s="1" t="n">
        <v>45796</v>
      </c>
      <c r="D707" t="inlineStr">
        <is>
          <t>DALARNAS LÄN</t>
        </is>
      </c>
      <c r="E707" t="inlineStr">
        <is>
          <t>ORSA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52643-2024</t>
        </is>
      </c>
      <c r="B708" s="1" t="n">
        <v>45610</v>
      </c>
      <c r="C708" s="1" t="n">
        <v>45796</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52903-2024</t>
        </is>
      </c>
      <c r="B709" s="1" t="n">
        <v>45610</v>
      </c>
      <c r="C709" s="1" t="n">
        <v>45796</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52923-2024</t>
        </is>
      </c>
      <c r="B710" s="1" t="n">
        <v>45610</v>
      </c>
      <c r="C710" s="1" t="n">
        <v>45796</v>
      </c>
      <c r="D710" t="inlineStr">
        <is>
          <t>DALARNAS LÄN</t>
        </is>
      </c>
      <c r="E710" t="inlineStr">
        <is>
          <t>ORSA</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52931-2024</t>
        </is>
      </c>
      <c r="B711" s="1" t="n">
        <v>45610</v>
      </c>
      <c r="C711" s="1" t="n">
        <v>45796</v>
      </c>
      <c r="D711" t="inlineStr">
        <is>
          <t>DALARNAS LÄN</t>
        </is>
      </c>
      <c r="E711" t="inlineStr">
        <is>
          <t>ORSA</t>
        </is>
      </c>
      <c r="F711" t="inlineStr">
        <is>
          <t>Allmännings- och besparingsskogar</t>
        </is>
      </c>
      <c r="G711" t="n">
        <v>27.5</v>
      </c>
      <c r="H711" t="n">
        <v>0</v>
      </c>
      <c r="I711" t="n">
        <v>0</v>
      </c>
      <c r="J711" t="n">
        <v>0</v>
      </c>
      <c r="K711" t="n">
        <v>0</v>
      </c>
      <c r="L711" t="n">
        <v>0</v>
      </c>
      <c r="M711" t="n">
        <v>0</v>
      </c>
      <c r="N711" t="n">
        <v>0</v>
      </c>
      <c r="O711" t="n">
        <v>0</v>
      </c>
      <c r="P711" t="n">
        <v>0</v>
      </c>
      <c r="Q711" t="n">
        <v>0</v>
      </c>
      <c r="R711" s="2" t="inlineStr"/>
    </row>
    <row r="712" ht="15" customHeight="1">
      <c r="A712" t="inlineStr">
        <is>
          <t>A 52926-2024</t>
        </is>
      </c>
      <c r="B712" s="1" t="n">
        <v>45610</v>
      </c>
      <c r="C712" s="1" t="n">
        <v>45796</v>
      </c>
      <c r="D712" t="inlineStr">
        <is>
          <t>DALARNAS LÄN</t>
        </is>
      </c>
      <c r="E712" t="inlineStr">
        <is>
          <t>ORSA</t>
        </is>
      </c>
      <c r="F712" t="inlineStr">
        <is>
          <t>Allmännings- och besparingsskogar</t>
        </is>
      </c>
      <c r="G712" t="n">
        <v>0.8</v>
      </c>
      <c r="H712" t="n">
        <v>0</v>
      </c>
      <c r="I712" t="n">
        <v>0</v>
      </c>
      <c r="J712" t="n">
        <v>0</v>
      </c>
      <c r="K712" t="n">
        <v>0</v>
      </c>
      <c r="L712" t="n">
        <v>0</v>
      </c>
      <c r="M712" t="n">
        <v>0</v>
      </c>
      <c r="N712" t="n">
        <v>0</v>
      </c>
      <c r="O712" t="n">
        <v>0</v>
      </c>
      <c r="P712" t="n">
        <v>0</v>
      </c>
      <c r="Q712" t="n">
        <v>0</v>
      </c>
      <c r="R712" s="2" t="inlineStr"/>
    </row>
    <row r="713" ht="15" customHeight="1">
      <c r="A713" t="inlineStr">
        <is>
          <t>A 52995-2024</t>
        </is>
      </c>
      <c r="B713" s="1" t="n">
        <v>45611</v>
      </c>
      <c r="C713" s="1" t="n">
        <v>45796</v>
      </c>
      <c r="D713" t="inlineStr">
        <is>
          <t>DALARNAS LÄN</t>
        </is>
      </c>
      <c r="E713" t="inlineStr">
        <is>
          <t>ORSA</t>
        </is>
      </c>
      <c r="F713" t="inlineStr">
        <is>
          <t>Allmännings- och besparingsskogar</t>
        </is>
      </c>
      <c r="G713" t="n">
        <v>17.5</v>
      </c>
      <c r="H713" t="n">
        <v>0</v>
      </c>
      <c r="I713" t="n">
        <v>0</v>
      </c>
      <c r="J713" t="n">
        <v>0</v>
      </c>
      <c r="K713" t="n">
        <v>0</v>
      </c>
      <c r="L713" t="n">
        <v>0</v>
      </c>
      <c r="M713" t="n">
        <v>0</v>
      </c>
      <c r="N713" t="n">
        <v>0</v>
      </c>
      <c r="O713" t="n">
        <v>0</v>
      </c>
      <c r="P713" t="n">
        <v>0</v>
      </c>
      <c r="Q713" t="n">
        <v>0</v>
      </c>
      <c r="R713" s="2" t="inlineStr"/>
    </row>
    <row r="714" ht="15" customHeight="1">
      <c r="A714" t="inlineStr">
        <is>
          <t>A 53758-2024</t>
        </is>
      </c>
      <c r="B714" s="1" t="n">
        <v>45615</v>
      </c>
      <c r="C714" s="1" t="n">
        <v>45796</v>
      </c>
      <c r="D714" t="inlineStr">
        <is>
          <t>DALARNAS LÄN</t>
        </is>
      </c>
      <c r="E714" t="inlineStr">
        <is>
          <t>ORSA</t>
        </is>
      </c>
      <c r="G714" t="n">
        <v>0.5</v>
      </c>
      <c r="H714" t="n">
        <v>0</v>
      </c>
      <c r="I714" t="n">
        <v>0</v>
      </c>
      <c r="J714" t="n">
        <v>0</v>
      </c>
      <c r="K714" t="n">
        <v>0</v>
      </c>
      <c r="L714" t="n">
        <v>0</v>
      </c>
      <c r="M714" t="n">
        <v>0</v>
      </c>
      <c r="N714" t="n">
        <v>0</v>
      </c>
      <c r="O714" t="n">
        <v>0</v>
      </c>
      <c r="P714" t="n">
        <v>0</v>
      </c>
      <c r="Q714" t="n">
        <v>0</v>
      </c>
      <c r="R714" s="2" t="inlineStr"/>
    </row>
    <row r="715" ht="15" customHeight="1">
      <c r="A715" t="inlineStr">
        <is>
          <t>A 53712-2024</t>
        </is>
      </c>
      <c r="B715" s="1" t="n">
        <v>45615</v>
      </c>
      <c r="C715" s="1" t="n">
        <v>45796</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53703-2024</t>
        </is>
      </c>
      <c r="B716" s="1" t="n">
        <v>45615</v>
      </c>
      <c r="C716" s="1" t="n">
        <v>45796</v>
      </c>
      <c r="D716" t="inlineStr">
        <is>
          <t>DALARNAS LÄN</t>
        </is>
      </c>
      <c r="E716" t="inlineStr">
        <is>
          <t>ORSA</t>
        </is>
      </c>
      <c r="G716" t="n">
        <v>1.4</v>
      </c>
      <c r="H716" t="n">
        <v>0</v>
      </c>
      <c r="I716" t="n">
        <v>0</v>
      </c>
      <c r="J716" t="n">
        <v>0</v>
      </c>
      <c r="K716" t="n">
        <v>0</v>
      </c>
      <c r="L716" t="n">
        <v>0</v>
      </c>
      <c r="M716" t="n">
        <v>0</v>
      </c>
      <c r="N716" t="n">
        <v>0</v>
      </c>
      <c r="O716" t="n">
        <v>0</v>
      </c>
      <c r="P716" t="n">
        <v>0</v>
      </c>
      <c r="Q716" t="n">
        <v>0</v>
      </c>
      <c r="R716" s="2" t="inlineStr"/>
    </row>
    <row r="717" ht="15" customHeight="1">
      <c r="A717" t="inlineStr">
        <is>
          <t>A 53717-2024</t>
        </is>
      </c>
      <c r="B717" s="1" t="n">
        <v>45615</v>
      </c>
      <c r="C717" s="1" t="n">
        <v>45796</v>
      </c>
      <c r="D717" t="inlineStr">
        <is>
          <t>DALARNAS LÄN</t>
        </is>
      </c>
      <c r="E717" t="inlineStr">
        <is>
          <t>ORSA</t>
        </is>
      </c>
      <c r="G717" t="n">
        <v>1.5</v>
      </c>
      <c r="H717" t="n">
        <v>0</v>
      </c>
      <c r="I717" t="n">
        <v>0</v>
      </c>
      <c r="J717" t="n">
        <v>0</v>
      </c>
      <c r="K717" t="n">
        <v>0</v>
      </c>
      <c r="L717" t="n">
        <v>0</v>
      </c>
      <c r="M717" t="n">
        <v>0</v>
      </c>
      <c r="N717" t="n">
        <v>0</v>
      </c>
      <c r="O717" t="n">
        <v>0</v>
      </c>
      <c r="P717" t="n">
        <v>0</v>
      </c>
      <c r="Q717" t="n">
        <v>0</v>
      </c>
      <c r="R717" s="2" t="inlineStr"/>
    </row>
    <row r="718" ht="15" customHeight="1">
      <c r="A718" t="inlineStr">
        <is>
          <t>A 54066-2024</t>
        </is>
      </c>
      <c r="B718" s="1" t="n">
        <v>45616</v>
      </c>
      <c r="C718" s="1" t="n">
        <v>45796</v>
      </c>
      <c r="D718" t="inlineStr">
        <is>
          <t>DALARNAS LÄN</t>
        </is>
      </c>
      <c r="E718" t="inlineStr">
        <is>
          <t>ORSA</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54530-2024</t>
        </is>
      </c>
      <c r="B719" s="1" t="n">
        <v>45617</v>
      </c>
      <c r="C719" s="1" t="n">
        <v>45796</v>
      </c>
      <c r="D719" t="inlineStr">
        <is>
          <t>DALARNAS LÄN</t>
        </is>
      </c>
      <c r="E719" t="inlineStr">
        <is>
          <t>ORSA</t>
        </is>
      </c>
      <c r="G719" t="n">
        <v>6.7</v>
      </c>
      <c r="H719" t="n">
        <v>0</v>
      </c>
      <c r="I719" t="n">
        <v>0</v>
      </c>
      <c r="J719" t="n">
        <v>0</v>
      </c>
      <c r="K719" t="n">
        <v>0</v>
      </c>
      <c r="L719" t="n">
        <v>0</v>
      </c>
      <c r="M719" t="n">
        <v>0</v>
      </c>
      <c r="N719" t="n">
        <v>0</v>
      </c>
      <c r="O719" t="n">
        <v>0</v>
      </c>
      <c r="P719" t="n">
        <v>0</v>
      </c>
      <c r="Q719" t="n">
        <v>0</v>
      </c>
      <c r="R719" s="2" t="inlineStr"/>
    </row>
    <row r="720" ht="15" customHeight="1">
      <c r="A720" t="inlineStr">
        <is>
          <t>A 54546-2024</t>
        </is>
      </c>
      <c r="B720" s="1" t="n">
        <v>45617</v>
      </c>
      <c r="C720" s="1" t="n">
        <v>45796</v>
      </c>
      <c r="D720" t="inlineStr">
        <is>
          <t>DALARNAS LÄN</t>
        </is>
      </c>
      <c r="E720" t="inlineStr">
        <is>
          <t>ORSA</t>
        </is>
      </c>
      <c r="G720" t="n">
        <v>0.7</v>
      </c>
      <c r="H720" t="n">
        <v>0</v>
      </c>
      <c r="I720" t="n">
        <v>0</v>
      </c>
      <c r="J720" t="n">
        <v>0</v>
      </c>
      <c r="K720" t="n">
        <v>0</v>
      </c>
      <c r="L720" t="n">
        <v>0</v>
      </c>
      <c r="M720" t="n">
        <v>0</v>
      </c>
      <c r="N720" t="n">
        <v>0</v>
      </c>
      <c r="O720" t="n">
        <v>0</v>
      </c>
      <c r="P720" t="n">
        <v>0</v>
      </c>
      <c r="Q720" t="n">
        <v>0</v>
      </c>
      <c r="R720" s="2" t="inlineStr"/>
    </row>
    <row r="721" ht="15" customHeight="1">
      <c r="A721" t="inlineStr">
        <is>
          <t>A 54639-2024</t>
        </is>
      </c>
      <c r="B721" s="1" t="n">
        <v>45617</v>
      </c>
      <c r="C721" s="1" t="n">
        <v>45796</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55280-2024</t>
        </is>
      </c>
      <c r="B722" s="1" t="n">
        <v>45621</v>
      </c>
      <c r="C722" s="1" t="n">
        <v>45796</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55557-2024</t>
        </is>
      </c>
      <c r="B723" s="1" t="n">
        <v>45622</v>
      </c>
      <c r="C723" s="1" t="n">
        <v>45796</v>
      </c>
      <c r="D723" t="inlineStr">
        <is>
          <t>DALARNAS LÄN</t>
        </is>
      </c>
      <c r="E723" t="inlineStr">
        <is>
          <t>ORSA</t>
        </is>
      </c>
      <c r="G723" t="n">
        <v>19.4</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45796</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45796</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45796</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45796</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45796</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45796</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45796</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45796</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45796</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45796</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45796</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45796</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45796</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45796</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45796</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45796</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45796</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45796</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45796</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45796</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45796</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45796</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45796</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45796</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45796</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45796</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45796</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45796</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45796</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45796</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45796</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45796</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45796</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45796</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45796</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45796</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45796</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45796</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45796</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45796</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45796</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45796</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45796</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45796</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45796</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45796</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45796</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45796</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45796</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45796</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45796</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45796</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45796</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45796</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45796</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45796</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45796</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45796</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45796</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45796</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45796</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45796</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45796</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45796</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45796</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45796</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45796</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45796</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45796</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45796</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45796</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45796</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45796</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45796</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20808-2025</t>
        </is>
      </c>
      <c r="B798" s="1" t="n">
        <v>45776</v>
      </c>
      <c r="C798" s="1" t="n">
        <v>45796</v>
      </c>
      <c r="D798" t="inlineStr">
        <is>
          <t>DALARNAS LÄN</t>
        </is>
      </c>
      <c r="E798" t="inlineStr">
        <is>
          <t>ORSA</t>
        </is>
      </c>
      <c r="F798" t="inlineStr">
        <is>
          <t>Bergvik skog väst AB</t>
        </is>
      </c>
      <c r="G798" t="n">
        <v>14.3</v>
      </c>
      <c r="H798" t="n">
        <v>0</v>
      </c>
      <c r="I798" t="n">
        <v>0</v>
      </c>
      <c r="J798" t="n">
        <v>0</v>
      </c>
      <c r="K798" t="n">
        <v>0</v>
      </c>
      <c r="L798" t="n">
        <v>0</v>
      </c>
      <c r="M798" t="n">
        <v>0</v>
      </c>
      <c r="N798" t="n">
        <v>0</v>
      </c>
      <c r="O798" t="n">
        <v>0</v>
      </c>
      <c r="P798" t="n">
        <v>0</v>
      </c>
      <c r="Q798" t="n">
        <v>0</v>
      </c>
      <c r="R798" s="2" t="inlineStr"/>
    </row>
    <row r="799" ht="15" customHeight="1">
      <c r="A799" t="inlineStr">
        <is>
          <t>A 21376-2025</t>
        </is>
      </c>
      <c r="B799" s="1" t="n">
        <v>45782</v>
      </c>
      <c r="C799" s="1" t="n">
        <v>45796</v>
      </c>
      <c r="D799" t="inlineStr">
        <is>
          <t>DALARNAS LÄN</t>
        </is>
      </c>
      <c r="E799" t="inlineStr">
        <is>
          <t>ORSA</t>
        </is>
      </c>
      <c r="G799" t="n">
        <v>4.6</v>
      </c>
      <c r="H799" t="n">
        <v>0</v>
      </c>
      <c r="I799" t="n">
        <v>0</v>
      </c>
      <c r="J799" t="n">
        <v>0</v>
      </c>
      <c r="K799" t="n">
        <v>0</v>
      </c>
      <c r="L799" t="n">
        <v>0</v>
      </c>
      <c r="M799" t="n">
        <v>0</v>
      </c>
      <c r="N799" t="n">
        <v>0</v>
      </c>
      <c r="O799" t="n">
        <v>0</v>
      </c>
      <c r="P799" t="n">
        <v>0</v>
      </c>
      <c r="Q799" t="n">
        <v>0</v>
      </c>
      <c r="R799" s="2" t="inlineStr"/>
    </row>
    <row r="800" ht="15" customHeight="1">
      <c r="A800" t="inlineStr">
        <is>
          <t>A 21364-2025</t>
        </is>
      </c>
      <c r="B800" s="1" t="n">
        <v>45782</v>
      </c>
      <c r="C800" s="1" t="n">
        <v>45796</v>
      </c>
      <c r="D800" t="inlineStr">
        <is>
          <t>DALARNAS LÄN</t>
        </is>
      </c>
      <c r="E800" t="inlineStr">
        <is>
          <t>ORSA</t>
        </is>
      </c>
      <c r="F800" t="inlineStr">
        <is>
          <t>Allmännings- och besparingsskogar</t>
        </is>
      </c>
      <c r="G800" t="n">
        <v>52.6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45796</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45796</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21747-2025</t>
        </is>
      </c>
      <c r="B803" s="1" t="n">
        <v>45783</v>
      </c>
      <c r="C803" s="1" t="n">
        <v>45796</v>
      </c>
      <c r="D803" t="inlineStr">
        <is>
          <t>DALARNAS LÄN</t>
        </is>
      </c>
      <c r="E803" t="inlineStr">
        <is>
          <t>ORSA</t>
        </is>
      </c>
      <c r="G803" t="n">
        <v>1.2</v>
      </c>
      <c r="H803" t="n">
        <v>0</v>
      </c>
      <c r="I803" t="n">
        <v>0</v>
      </c>
      <c r="J803" t="n">
        <v>0</v>
      </c>
      <c r="K803" t="n">
        <v>0</v>
      </c>
      <c r="L803" t="n">
        <v>0</v>
      </c>
      <c r="M803" t="n">
        <v>0</v>
      </c>
      <c r="N803" t="n">
        <v>0</v>
      </c>
      <c r="O803" t="n">
        <v>0</v>
      </c>
      <c r="P803" t="n">
        <v>0</v>
      </c>
      <c r="Q803" t="n">
        <v>0</v>
      </c>
      <c r="R803" s="2" t="inlineStr"/>
    </row>
    <row r="804" ht="15" customHeight="1">
      <c r="A804" t="inlineStr">
        <is>
          <t>A 21949-2025</t>
        </is>
      </c>
      <c r="B804" s="1" t="n">
        <v>45784</v>
      </c>
      <c r="C804" s="1" t="n">
        <v>45796</v>
      </c>
      <c r="D804" t="inlineStr">
        <is>
          <t>DALARNAS LÄN</t>
        </is>
      </c>
      <c r="E804" t="inlineStr">
        <is>
          <t>ORSA</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22172-2025</t>
        </is>
      </c>
      <c r="B805" s="1" t="n">
        <v>45785</v>
      </c>
      <c r="C805" s="1" t="n">
        <v>45796</v>
      </c>
      <c r="D805" t="inlineStr">
        <is>
          <t>DALARNAS LÄN</t>
        </is>
      </c>
      <c r="E805" t="inlineStr">
        <is>
          <t>ORSA</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22482-2025</t>
        </is>
      </c>
      <c r="B806" s="1" t="n">
        <v>45786</v>
      </c>
      <c r="C806" s="1" t="n">
        <v>45796</v>
      </c>
      <c r="D806" t="inlineStr">
        <is>
          <t>DALARNAS LÄN</t>
        </is>
      </c>
      <c r="E806" t="inlineStr">
        <is>
          <t>ORSA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ht="15" customHeight="1">
      <c r="A807" t="inlineStr">
        <is>
          <t>A 22491-2025</t>
        </is>
      </c>
      <c r="B807" s="1" t="n">
        <v>45786</v>
      </c>
      <c r="C807" s="1" t="n">
        <v>45796</v>
      </c>
      <c r="D807" t="inlineStr">
        <is>
          <t>DALARNAS LÄN</t>
        </is>
      </c>
      <c r="E807" t="inlineStr">
        <is>
          <t>ORSA</t>
        </is>
      </c>
      <c r="F807" t="inlineStr">
        <is>
          <t>Bergvik skog öst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22487-2025</t>
        </is>
      </c>
      <c r="B808" s="1" t="n">
        <v>45786</v>
      </c>
      <c r="C808" s="1" t="n">
        <v>45796</v>
      </c>
      <c r="D808" t="inlineStr">
        <is>
          <t>DALARNAS LÄN</t>
        </is>
      </c>
      <c r="E808" t="inlineStr">
        <is>
          <t>ORSA</t>
        </is>
      </c>
      <c r="F808" t="inlineStr">
        <is>
          <t>Bergvik skog öst AB</t>
        </is>
      </c>
      <c r="G808" t="n">
        <v>17.8</v>
      </c>
      <c r="H808" t="n">
        <v>0</v>
      </c>
      <c r="I808" t="n">
        <v>0</v>
      </c>
      <c r="J808" t="n">
        <v>0</v>
      </c>
      <c r="K808" t="n">
        <v>0</v>
      </c>
      <c r="L808" t="n">
        <v>0</v>
      </c>
      <c r="M808" t="n">
        <v>0</v>
      </c>
      <c r="N808" t="n">
        <v>0</v>
      </c>
      <c r="O808" t="n">
        <v>0</v>
      </c>
      <c r="P808" t="n">
        <v>0</v>
      </c>
      <c r="Q808" t="n">
        <v>0</v>
      </c>
      <c r="R808" s="2" t="inlineStr"/>
    </row>
    <row r="809" ht="15" customHeight="1">
      <c r="A809" t="inlineStr">
        <is>
          <t>A 22332-2025</t>
        </is>
      </c>
      <c r="B809" s="1" t="n">
        <v>45786</v>
      </c>
      <c r="C809" s="1" t="n">
        <v>45796</v>
      </c>
      <c r="D809" t="inlineStr">
        <is>
          <t>DALARNAS LÄN</t>
        </is>
      </c>
      <c r="E809" t="inlineStr">
        <is>
          <t>ORSA</t>
        </is>
      </c>
      <c r="G809" t="n">
        <v>5.5</v>
      </c>
      <c r="H809" t="n">
        <v>0</v>
      </c>
      <c r="I809" t="n">
        <v>0</v>
      </c>
      <c r="J809" t="n">
        <v>0</v>
      </c>
      <c r="K809" t="n">
        <v>0</v>
      </c>
      <c r="L809" t="n">
        <v>0</v>
      </c>
      <c r="M809" t="n">
        <v>0</v>
      </c>
      <c r="N809" t="n">
        <v>0</v>
      </c>
      <c r="O809" t="n">
        <v>0</v>
      </c>
      <c r="P809" t="n">
        <v>0</v>
      </c>
      <c r="Q809" t="n">
        <v>0</v>
      </c>
      <c r="R809" s="2" t="inlineStr"/>
    </row>
    <row r="810" ht="15" customHeight="1">
      <c r="A810" t="inlineStr">
        <is>
          <t>A 22701-2025</t>
        </is>
      </c>
      <c r="B810" s="1" t="n">
        <v>45787</v>
      </c>
      <c r="C810" s="1" t="n">
        <v>45796</v>
      </c>
      <c r="D810" t="inlineStr">
        <is>
          <t>DALARNAS LÄN</t>
        </is>
      </c>
      <c r="E810" t="inlineStr">
        <is>
          <t>ORSA</t>
        </is>
      </c>
      <c r="G810" t="n">
        <v>23.2</v>
      </c>
      <c r="H810" t="n">
        <v>0</v>
      </c>
      <c r="I810" t="n">
        <v>0</v>
      </c>
      <c r="J810" t="n">
        <v>0</v>
      </c>
      <c r="K810" t="n">
        <v>0</v>
      </c>
      <c r="L810" t="n">
        <v>0</v>
      </c>
      <c r="M810" t="n">
        <v>0</v>
      </c>
      <c r="N810" t="n">
        <v>0</v>
      </c>
      <c r="O810" t="n">
        <v>0</v>
      </c>
      <c r="P810" t="n">
        <v>0</v>
      </c>
      <c r="Q810" t="n">
        <v>0</v>
      </c>
      <c r="R810" s="2" t="inlineStr"/>
    </row>
    <row r="811" ht="15" customHeight="1">
      <c r="A811" t="inlineStr">
        <is>
          <t>A 23057-2025</t>
        </is>
      </c>
      <c r="B811" s="1" t="n">
        <v>45790</v>
      </c>
      <c r="C811" s="1" t="n">
        <v>45796</v>
      </c>
      <c r="D811" t="inlineStr">
        <is>
          <t>DALARNAS LÄN</t>
        </is>
      </c>
      <c r="E811" t="inlineStr">
        <is>
          <t>ORSA</t>
        </is>
      </c>
      <c r="G811" t="n">
        <v>0.8</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45796</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23053-2025</t>
        </is>
      </c>
      <c r="B813" s="1" t="n">
        <v>45790</v>
      </c>
      <c r="C813" s="1" t="n">
        <v>45796</v>
      </c>
      <c r="D813" t="inlineStr">
        <is>
          <t>DALARNAS LÄN</t>
        </is>
      </c>
      <c r="E813" t="inlineStr">
        <is>
          <t>ORSA</t>
        </is>
      </c>
      <c r="G813" t="n">
        <v>3.3</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45796</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45796</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23875-2025</t>
        </is>
      </c>
      <c r="B816" s="1" t="n">
        <v>45793</v>
      </c>
      <c r="C816" s="1" t="n">
        <v>45796</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c r="A817" t="inlineStr">
        <is>
          <t>A 23740-2025</t>
        </is>
      </c>
      <c r="B817" s="1" t="n">
        <v>45793</v>
      </c>
      <c r="C817" s="1" t="n">
        <v>45796</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2025-05-19T18:29:56Z</dcterms:created>
  <dcterms:modified xmlns:dcterms="http://purl.org/dc/terms/" xmlns:xsi="http://www.w3.org/2001/XMLSchema-instance" xsi:type="dcterms:W3CDTF">2025-05-19T18:29:57Z</dcterms:modified>
</cp:coreProperties>
</file>