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45703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45703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45703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45703</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45703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45703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45703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45703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45703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45703</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45703</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45703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45703</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45703</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45703</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45703</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45703</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45703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45703</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45703</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45703</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40037-2023</t>
        </is>
      </c>
      <c r="B23" s="1" t="n">
        <v>45168</v>
      </c>
      <c r="C23" s="1" t="n">
        <v>45703</v>
      </c>
      <c r="D23" t="inlineStr">
        <is>
          <t>DALARNAS LÄN</t>
        </is>
      </c>
      <c r="E23" t="inlineStr">
        <is>
          <t>ORSA</t>
        </is>
      </c>
      <c r="F23" t="inlineStr">
        <is>
          <t>Allmännings- och besparingsskogar</t>
        </is>
      </c>
      <c r="G23" t="n">
        <v>13</v>
      </c>
      <c r="H23" t="n">
        <v>4</v>
      </c>
      <c r="I23" t="n">
        <v>1</v>
      </c>
      <c r="J23" t="n">
        <v>8</v>
      </c>
      <c r="K23" t="n">
        <v>1</v>
      </c>
      <c r="L23" t="n">
        <v>0</v>
      </c>
      <c r="M23" t="n">
        <v>0</v>
      </c>
      <c r="N23" t="n">
        <v>0</v>
      </c>
      <c r="O23" t="n">
        <v>9</v>
      </c>
      <c r="P23" t="n">
        <v>1</v>
      </c>
      <c r="Q23" t="n">
        <v>10</v>
      </c>
      <c r="R23" s="2" t="inlineStr">
        <is>
          <t>Doftticka
Garnlav
Motaggsvamp
Mörk kolflarnlav
Rödvingetrast
Talltita
Vedflamlav
Vedskivlav
Violettgrå tagellav
Plattlummer</t>
        </is>
      </c>
      <c r="S23">
        <f>HYPERLINK("https://klasma.github.io/Logging_2034/artfynd/A 40037-2023 artfynd.xlsx", "A 40037-2023")</f>
        <v/>
      </c>
      <c r="T23">
        <f>HYPERLINK("https://klasma.github.io/Logging_2034/kartor/A 40037-2023 karta.png", "A 40037-2023")</f>
        <v/>
      </c>
      <c r="V23">
        <f>HYPERLINK("https://klasma.github.io/Logging_2034/klagomål/A 40037-2023 FSC-klagomål.docx", "A 40037-2023")</f>
        <v/>
      </c>
      <c r="W23">
        <f>HYPERLINK("https://klasma.github.io/Logging_2034/klagomålsmail/A 40037-2023 FSC-klagomål mail.docx", "A 40037-2023")</f>
        <v/>
      </c>
      <c r="X23">
        <f>HYPERLINK("https://klasma.github.io/Logging_2034/tillsyn/A 40037-2023 tillsynsbegäran.docx", "A 40037-2023")</f>
        <v/>
      </c>
      <c r="Y23">
        <f>HYPERLINK("https://klasma.github.io/Logging_2034/tillsynsmail/A 40037-2023 tillsynsbegäran mail.docx", "A 40037-2023")</f>
        <v/>
      </c>
      <c r="Z23">
        <f>HYPERLINK("https://klasma.github.io/Logging_2034/fåglar/A 40037-2023 prioriterade fågelarter.docx", "A 40037-2023")</f>
        <v/>
      </c>
    </row>
    <row r="24" ht="15" customHeight="1">
      <c r="A24" t="inlineStr">
        <is>
          <t>A 50972-2020</t>
        </is>
      </c>
      <c r="B24" s="1" t="n">
        <v>44111</v>
      </c>
      <c r="C24" s="1" t="n">
        <v>45703</v>
      </c>
      <c r="D24" t="inlineStr">
        <is>
          <t>DALARNAS LÄN</t>
        </is>
      </c>
      <c r="E24" t="inlineStr">
        <is>
          <t>ORSA</t>
        </is>
      </c>
      <c r="G24" t="n">
        <v>6.9</v>
      </c>
      <c r="H24" t="n">
        <v>1</v>
      </c>
      <c r="I24" t="n">
        <v>3</v>
      </c>
      <c r="J24" t="n">
        <v>6</v>
      </c>
      <c r="K24" t="n">
        <v>0</v>
      </c>
      <c r="L24" t="n">
        <v>0</v>
      </c>
      <c r="M24" t="n">
        <v>0</v>
      </c>
      <c r="N24" t="n">
        <v>0</v>
      </c>
      <c r="O24" t="n">
        <v>6</v>
      </c>
      <c r="P24" t="n">
        <v>0</v>
      </c>
      <c r="Q24" t="n">
        <v>9</v>
      </c>
      <c r="R24" s="2" t="inlineStr">
        <is>
          <t>Kolflarnlav
Nordtagging
Vaddporing
Varglav
Vedflamlav
Violettgrå tagellav
Dropptaggsvamp
Gullgröppa
Skarp dropptaggsvamp</t>
        </is>
      </c>
      <c r="S24">
        <f>HYPERLINK("https://klasma.github.io/Logging_2034/artfynd/A 50972-2020 artfynd.xlsx", "A 50972-2020")</f>
        <v/>
      </c>
      <c r="T24">
        <f>HYPERLINK("https://klasma.github.io/Logging_2034/kartor/A 50972-2020 karta.png", "A 50972-2020")</f>
        <v/>
      </c>
      <c r="V24">
        <f>HYPERLINK("https://klasma.github.io/Logging_2034/klagomål/A 50972-2020 FSC-klagomål.docx", "A 50972-2020")</f>
        <v/>
      </c>
      <c r="W24">
        <f>HYPERLINK("https://klasma.github.io/Logging_2034/klagomålsmail/A 50972-2020 FSC-klagomål mail.docx", "A 50972-2020")</f>
        <v/>
      </c>
      <c r="X24">
        <f>HYPERLINK("https://klasma.github.io/Logging_2034/tillsyn/A 50972-2020 tillsynsbegäran.docx", "A 50972-2020")</f>
        <v/>
      </c>
      <c r="Y24">
        <f>HYPERLINK("https://klasma.github.io/Logging_2034/tillsynsmail/A 50972-2020 tillsynsbegäran mail.docx", "A 50972-2020")</f>
        <v/>
      </c>
    </row>
    <row r="25" ht="15" customHeight="1">
      <c r="A25" t="inlineStr">
        <is>
          <t>A 37606-2023</t>
        </is>
      </c>
      <c r="B25" s="1" t="n">
        <v>45159</v>
      </c>
      <c r="C25" s="1" t="n">
        <v>45703</v>
      </c>
      <c r="D25" t="inlineStr">
        <is>
          <t>DALARNAS LÄN</t>
        </is>
      </c>
      <c r="E25" t="inlineStr">
        <is>
          <t>ORSA</t>
        </is>
      </c>
      <c r="F25" t="inlineStr">
        <is>
          <t>Allmännings- och besparingsskogar</t>
        </is>
      </c>
      <c r="G25" t="n">
        <v>6.1</v>
      </c>
      <c r="H25" t="n">
        <v>0</v>
      </c>
      <c r="I25" t="n">
        <v>4</v>
      </c>
      <c r="J25" t="n">
        <v>5</v>
      </c>
      <c r="K25" t="n">
        <v>0</v>
      </c>
      <c r="L25" t="n">
        <v>0</v>
      </c>
      <c r="M25" t="n">
        <v>0</v>
      </c>
      <c r="N25" t="n">
        <v>0</v>
      </c>
      <c r="O25" t="n">
        <v>5</v>
      </c>
      <c r="P25" t="n">
        <v>0</v>
      </c>
      <c r="Q25" t="n">
        <v>9</v>
      </c>
      <c r="R25" s="2" t="inlineStr">
        <is>
          <t>Garnlav
Kortskaftad ärgspik
Mörk kolflarnlav
Tallticka
Vedflamlav
Dropptaggsvamp
Mindre märgborre
Skarp dropptaggsvamp
Vedticka</t>
        </is>
      </c>
      <c r="S25">
        <f>HYPERLINK("https://klasma.github.io/Logging_2034/artfynd/A 37606-2023 artfynd.xlsx", "A 37606-2023")</f>
        <v/>
      </c>
      <c r="T25">
        <f>HYPERLINK("https://klasma.github.io/Logging_2034/kartor/A 37606-2023 karta.png", "A 37606-2023")</f>
        <v/>
      </c>
      <c r="U25">
        <f>HYPERLINK("https://klasma.github.io/Logging_2034/knärot/A 37606-2023 karta knärot.png", "A 37606-2023")</f>
        <v/>
      </c>
      <c r="V25">
        <f>HYPERLINK("https://klasma.github.io/Logging_2034/klagomål/A 37606-2023 FSC-klagomål.docx", "A 37606-2023")</f>
        <v/>
      </c>
      <c r="W25">
        <f>HYPERLINK("https://klasma.github.io/Logging_2034/klagomålsmail/A 37606-2023 FSC-klagomål mail.docx", "A 37606-2023")</f>
        <v/>
      </c>
      <c r="X25">
        <f>HYPERLINK("https://klasma.github.io/Logging_2034/tillsyn/A 37606-2023 tillsynsbegäran.docx", "A 37606-2023")</f>
        <v/>
      </c>
      <c r="Y25">
        <f>HYPERLINK("https://klasma.github.io/Logging_2034/tillsynsmail/A 37606-2023 tillsynsbegäran mail.docx", "A 37606-2023")</f>
        <v/>
      </c>
    </row>
    <row r="26" ht="15" customHeight="1">
      <c r="A26" t="inlineStr">
        <is>
          <t>A 48359-2023</t>
        </is>
      </c>
      <c r="B26" s="1" t="n">
        <v>45205</v>
      </c>
      <c r="C26" s="1" t="n">
        <v>45703</v>
      </c>
      <c r="D26" t="inlineStr">
        <is>
          <t>DALARNAS LÄN</t>
        </is>
      </c>
      <c r="E26" t="inlineStr">
        <is>
          <t>ORSA</t>
        </is>
      </c>
      <c r="F26" t="inlineStr">
        <is>
          <t>Allmännings- och besparingsskogar</t>
        </is>
      </c>
      <c r="G26" t="n">
        <v>9.6</v>
      </c>
      <c r="H26" t="n">
        <v>0</v>
      </c>
      <c r="I26" t="n">
        <v>3</v>
      </c>
      <c r="J26" t="n">
        <v>5</v>
      </c>
      <c r="K26" t="n">
        <v>1</v>
      </c>
      <c r="L26" t="n">
        <v>0</v>
      </c>
      <c r="M26" t="n">
        <v>0</v>
      </c>
      <c r="N26" t="n">
        <v>0</v>
      </c>
      <c r="O26" t="n">
        <v>6</v>
      </c>
      <c r="P26" t="n">
        <v>1</v>
      </c>
      <c r="Q26" t="n">
        <v>9</v>
      </c>
      <c r="R26" s="2" t="inlineStr">
        <is>
          <t>Smalfotad taggsvamp
Dvärgbägarlav
Garnlav
Kolflarnlav
Mörk kolflarnlav
Tallticka
Dropptaggsvamp
Mindre märgborre
Skinnlav</t>
        </is>
      </c>
      <c r="S26">
        <f>HYPERLINK("https://klasma.github.io/Logging_2034/artfynd/A 48359-2023 artfynd.xlsx", "A 48359-2023")</f>
        <v/>
      </c>
      <c r="T26">
        <f>HYPERLINK("https://klasma.github.io/Logging_2034/kartor/A 48359-2023 karta.png", "A 48359-2023")</f>
        <v/>
      </c>
      <c r="V26">
        <f>HYPERLINK("https://klasma.github.io/Logging_2034/klagomål/A 48359-2023 FSC-klagomål.docx", "A 48359-2023")</f>
        <v/>
      </c>
      <c r="W26">
        <f>HYPERLINK("https://klasma.github.io/Logging_2034/klagomålsmail/A 48359-2023 FSC-klagomål mail.docx", "A 48359-2023")</f>
        <v/>
      </c>
      <c r="X26">
        <f>HYPERLINK("https://klasma.github.io/Logging_2034/tillsyn/A 48359-2023 tillsynsbegäran.docx", "A 48359-2023")</f>
        <v/>
      </c>
      <c r="Y26">
        <f>HYPERLINK("https://klasma.github.io/Logging_2034/tillsynsmail/A 48359-2023 tillsynsbegäran mail.docx", "A 48359-2023")</f>
        <v/>
      </c>
    </row>
    <row r="27" ht="15" customHeight="1">
      <c r="A27" t="inlineStr">
        <is>
          <t>A 27178-2024</t>
        </is>
      </c>
      <c r="B27" s="1" t="n">
        <v>45471</v>
      </c>
      <c r="C27" s="1" t="n">
        <v>45703</v>
      </c>
      <c r="D27" t="inlineStr">
        <is>
          <t>DALARNAS LÄN</t>
        </is>
      </c>
      <c r="E27" t="inlineStr">
        <is>
          <t>ORSA</t>
        </is>
      </c>
      <c r="F27" t="inlineStr">
        <is>
          <t>Bergvik skog öst AB</t>
        </is>
      </c>
      <c r="G27" t="n">
        <v>13.3</v>
      </c>
      <c r="H27" t="n">
        <v>5</v>
      </c>
      <c r="I27" t="n">
        <v>2</v>
      </c>
      <c r="J27" t="n">
        <v>6</v>
      </c>
      <c r="K27" t="n">
        <v>0</v>
      </c>
      <c r="L27" t="n">
        <v>0</v>
      </c>
      <c r="M27" t="n">
        <v>0</v>
      </c>
      <c r="N27" t="n">
        <v>0</v>
      </c>
      <c r="O27" t="n">
        <v>6</v>
      </c>
      <c r="P27" t="n">
        <v>0</v>
      </c>
      <c r="Q27" t="n">
        <v>9</v>
      </c>
      <c r="R27" s="2" t="inlineStr">
        <is>
          <t>Doftskinn
Garnlav
Spillkråka
Talltita
Tretåig hackspett
Violettgrå tagellav
Bronshjon
Plattlummer
Tjäder</t>
        </is>
      </c>
      <c r="S27">
        <f>HYPERLINK("https://klasma.github.io/Logging_2034/artfynd/A 27178-2024 artfynd.xlsx", "A 27178-2024")</f>
        <v/>
      </c>
      <c r="T27">
        <f>HYPERLINK("https://klasma.github.io/Logging_2034/kartor/A 27178-2024 karta.png", "A 27178-2024")</f>
        <v/>
      </c>
      <c r="V27">
        <f>HYPERLINK("https://klasma.github.io/Logging_2034/klagomål/A 27178-2024 FSC-klagomål.docx", "A 27178-2024")</f>
        <v/>
      </c>
      <c r="W27">
        <f>HYPERLINK("https://klasma.github.io/Logging_2034/klagomålsmail/A 27178-2024 FSC-klagomål mail.docx", "A 27178-2024")</f>
        <v/>
      </c>
      <c r="X27">
        <f>HYPERLINK("https://klasma.github.io/Logging_2034/tillsyn/A 27178-2024 tillsynsbegäran.docx", "A 27178-2024")</f>
        <v/>
      </c>
      <c r="Y27">
        <f>HYPERLINK("https://klasma.github.io/Logging_2034/tillsynsmail/A 27178-2024 tillsynsbegäran mail.docx", "A 27178-2024")</f>
        <v/>
      </c>
      <c r="Z27">
        <f>HYPERLINK("https://klasma.github.io/Logging_2034/fåglar/A 27178-2024 prioriterade fågelarter.docx", "A 27178-2024")</f>
        <v/>
      </c>
    </row>
    <row r="28" ht="15" customHeight="1">
      <c r="A28" t="inlineStr">
        <is>
          <t>A 45887-2024</t>
        </is>
      </c>
      <c r="B28" s="1" t="n">
        <v>45580</v>
      </c>
      <c r="C28" s="1" t="n">
        <v>45703</v>
      </c>
      <c r="D28" t="inlineStr">
        <is>
          <t>DALARNAS LÄN</t>
        </is>
      </c>
      <c r="E28" t="inlineStr">
        <is>
          <t>ORSA</t>
        </is>
      </c>
      <c r="F28" t="inlineStr">
        <is>
          <t>Kommuner</t>
        </is>
      </c>
      <c r="G28" t="n">
        <v>6.5</v>
      </c>
      <c r="H28" t="n">
        <v>2</v>
      </c>
      <c r="I28" t="n">
        <v>1</v>
      </c>
      <c r="J28" t="n">
        <v>7</v>
      </c>
      <c r="K28" t="n">
        <v>0</v>
      </c>
      <c r="L28" t="n">
        <v>0</v>
      </c>
      <c r="M28" t="n">
        <v>0</v>
      </c>
      <c r="N28" t="n">
        <v>0</v>
      </c>
      <c r="O28" t="n">
        <v>7</v>
      </c>
      <c r="P28" t="n">
        <v>0</v>
      </c>
      <c r="Q28" t="n">
        <v>8</v>
      </c>
      <c r="R28" s="2" t="inlineStr">
        <is>
          <t>Garnlav
Granticka
Tallticka
Talltita
Tretåig hackspett
Ullticka
Violettgrå tagellav
Vedticka</t>
        </is>
      </c>
      <c r="S28">
        <f>HYPERLINK("https://klasma.github.io/Logging_2034/artfynd/A 45887-2024 artfynd.xlsx", "A 45887-2024")</f>
        <v/>
      </c>
      <c r="T28">
        <f>HYPERLINK("https://klasma.github.io/Logging_2034/kartor/A 45887-2024 karta.png", "A 45887-2024")</f>
        <v/>
      </c>
      <c r="V28">
        <f>HYPERLINK("https://klasma.github.io/Logging_2034/klagomål/A 45887-2024 FSC-klagomål.docx", "A 45887-2024")</f>
        <v/>
      </c>
      <c r="W28">
        <f>HYPERLINK("https://klasma.github.io/Logging_2034/klagomålsmail/A 45887-2024 FSC-klagomål mail.docx", "A 45887-2024")</f>
        <v/>
      </c>
      <c r="X28">
        <f>HYPERLINK("https://klasma.github.io/Logging_2034/tillsyn/A 45887-2024 tillsynsbegäran.docx", "A 45887-2024")</f>
        <v/>
      </c>
      <c r="Y28">
        <f>HYPERLINK("https://klasma.github.io/Logging_2034/tillsynsmail/A 45887-2024 tillsynsbegäran mail.docx", "A 45887-2024")</f>
        <v/>
      </c>
      <c r="Z28">
        <f>HYPERLINK("https://klasma.github.io/Logging_2034/fåglar/A 45887-2024 prioriterade fågelarter.docx", "A 45887-2024")</f>
        <v/>
      </c>
    </row>
    <row r="29" ht="15" customHeight="1">
      <c r="A29" t="inlineStr">
        <is>
          <t>A 27655-2019</t>
        </is>
      </c>
      <c r="B29" s="1" t="n">
        <v>43619</v>
      </c>
      <c r="C29" s="1" t="n">
        <v>45703</v>
      </c>
      <c r="D29" t="inlineStr">
        <is>
          <t>DALARNAS LÄN</t>
        </is>
      </c>
      <c r="E29" t="inlineStr">
        <is>
          <t>ORSA</t>
        </is>
      </c>
      <c r="F29" t="inlineStr">
        <is>
          <t>Bergvik skog öst AB</t>
        </is>
      </c>
      <c r="G29" t="n">
        <v>26.9</v>
      </c>
      <c r="H29" t="n">
        <v>7</v>
      </c>
      <c r="I29" t="n">
        <v>0</v>
      </c>
      <c r="J29" t="n">
        <v>5</v>
      </c>
      <c r="K29" t="n">
        <v>0</v>
      </c>
      <c r="L29" t="n">
        <v>0</v>
      </c>
      <c r="M29" t="n">
        <v>0</v>
      </c>
      <c r="N29" t="n">
        <v>0</v>
      </c>
      <c r="O29" t="n">
        <v>5</v>
      </c>
      <c r="P29" t="n">
        <v>0</v>
      </c>
      <c r="Q29" t="n">
        <v>7</v>
      </c>
      <c r="R29" s="2" t="inlineStr">
        <is>
          <t>Blå kärrhök
Fjällvråk
Kungsörn
Stenfalk
Sävsparv
Grönsiska
Sångsvan</t>
        </is>
      </c>
      <c r="S29">
        <f>HYPERLINK("https://klasma.github.io/Logging_2034/artfynd/A 27655-2019 artfynd.xlsx", "A 27655-2019")</f>
        <v/>
      </c>
      <c r="T29">
        <f>HYPERLINK("https://klasma.github.io/Logging_2034/kartor/A 27655-2019 karta.png", "A 27655-2019")</f>
        <v/>
      </c>
      <c r="V29">
        <f>HYPERLINK("https://klasma.github.io/Logging_2034/klagomål/A 27655-2019 FSC-klagomål.docx", "A 27655-2019")</f>
        <v/>
      </c>
      <c r="W29">
        <f>HYPERLINK("https://klasma.github.io/Logging_2034/klagomålsmail/A 27655-2019 FSC-klagomål mail.docx", "A 27655-2019")</f>
        <v/>
      </c>
      <c r="X29">
        <f>HYPERLINK("https://klasma.github.io/Logging_2034/tillsyn/A 27655-2019 tillsynsbegäran.docx", "A 27655-2019")</f>
        <v/>
      </c>
      <c r="Y29">
        <f>HYPERLINK("https://klasma.github.io/Logging_2034/tillsynsmail/A 27655-2019 tillsynsbegäran mail.docx", "A 27655-2019")</f>
        <v/>
      </c>
      <c r="Z29">
        <f>HYPERLINK("https://klasma.github.io/Logging_2034/fåglar/A 27655-2019 prioriterade fågelarter.docx", "A 27655-2019")</f>
        <v/>
      </c>
    </row>
    <row r="30" ht="15" customHeight="1">
      <c r="A30" t="inlineStr">
        <is>
          <t>A 40213-2023</t>
        </is>
      </c>
      <c r="B30" s="1" t="n">
        <v>45169</v>
      </c>
      <c r="C30" s="1" t="n">
        <v>45703</v>
      </c>
      <c r="D30" t="inlineStr">
        <is>
          <t>DALARNAS LÄN</t>
        </is>
      </c>
      <c r="E30" t="inlineStr">
        <is>
          <t>ORSA</t>
        </is>
      </c>
      <c r="F30" t="inlineStr">
        <is>
          <t>Allmännings- och besparingsskogar</t>
        </is>
      </c>
      <c r="G30" t="n">
        <v>4.4</v>
      </c>
      <c r="H30" t="n">
        <v>0</v>
      </c>
      <c r="I30" t="n">
        <v>0</v>
      </c>
      <c r="J30" t="n">
        <v>7</v>
      </c>
      <c r="K30" t="n">
        <v>0</v>
      </c>
      <c r="L30" t="n">
        <v>0</v>
      </c>
      <c r="M30" t="n">
        <v>0</v>
      </c>
      <c r="N30" t="n">
        <v>0</v>
      </c>
      <c r="O30" t="n">
        <v>7</v>
      </c>
      <c r="P30" t="n">
        <v>0</v>
      </c>
      <c r="Q30" t="n">
        <v>7</v>
      </c>
      <c r="R30" s="2" t="inlineStr">
        <is>
          <t>Blågrå svartspik
Doftskinn
Garnlav
Granticka
Mörk kolflarnlav
Vedskivlav
Violettgrå tagellav</t>
        </is>
      </c>
      <c r="S30">
        <f>HYPERLINK("https://klasma.github.io/Logging_2034/artfynd/A 40213-2023 artfynd.xlsx", "A 40213-2023")</f>
        <v/>
      </c>
      <c r="T30">
        <f>HYPERLINK("https://klasma.github.io/Logging_2034/kartor/A 40213-2023 karta.png", "A 40213-2023")</f>
        <v/>
      </c>
      <c r="V30">
        <f>HYPERLINK("https://klasma.github.io/Logging_2034/klagomål/A 40213-2023 FSC-klagomål.docx", "A 40213-2023")</f>
        <v/>
      </c>
      <c r="W30">
        <f>HYPERLINK("https://klasma.github.io/Logging_2034/klagomålsmail/A 40213-2023 FSC-klagomål mail.docx", "A 40213-2023")</f>
        <v/>
      </c>
      <c r="X30">
        <f>HYPERLINK("https://klasma.github.io/Logging_2034/tillsyn/A 40213-2023 tillsynsbegäran.docx", "A 40213-2023")</f>
        <v/>
      </c>
      <c r="Y30">
        <f>HYPERLINK("https://klasma.github.io/Logging_2034/tillsynsmail/A 40213-2023 tillsynsbegäran mail.docx", "A 40213-2023")</f>
        <v/>
      </c>
    </row>
    <row r="31" ht="15" customHeight="1">
      <c r="A31" t="inlineStr">
        <is>
          <t>A 46984-2023</t>
        </is>
      </c>
      <c r="B31" s="1" t="n">
        <v>45201</v>
      </c>
      <c r="C31" s="1" t="n">
        <v>45703</v>
      </c>
      <c r="D31" t="inlineStr">
        <is>
          <t>DALARNAS LÄN</t>
        </is>
      </c>
      <c r="E31" t="inlineStr">
        <is>
          <t>ORSA</t>
        </is>
      </c>
      <c r="F31" t="inlineStr">
        <is>
          <t>Allmännings- och besparingsskogar</t>
        </is>
      </c>
      <c r="G31" t="n">
        <v>3.4</v>
      </c>
      <c r="H31" t="n">
        <v>2</v>
      </c>
      <c r="I31" t="n">
        <v>1</v>
      </c>
      <c r="J31" t="n">
        <v>5</v>
      </c>
      <c r="K31" t="n">
        <v>1</v>
      </c>
      <c r="L31" t="n">
        <v>0</v>
      </c>
      <c r="M31" t="n">
        <v>0</v>
      </c>
      <c r="N31" t="n">
        <v>0</v>
      </c>
      <c r="O31" t="n">
        <v>6</v>
      </c>
      <c r="P31" t="n">
        <v>1</v>
      </c>
      <c r="Q31" t="n">
        <v>7</v>
      </c>
      <c r="R31" s="2" t="inlineStr">
        <is>
          <t>Knärot
Garnlav
Kungsörn
Ullticka
Vedskivlav
Vitplätt
Dropptaggsvamp</t>
        </is>
      </c>
      <c r="S31">
        <f>HYPERLINK("https://klasma.github.io/Logging_2034/artfynd/A 46984-2023 artfynd.xlsx", "A 46984-2023")</f>
        <v/>
      </c>
      <c r="T31">
        <f>HYPERLINK("https://klasma.github.io/Logging_2034/kartor/A 46984-2023 karta.png", "A 46984-2023")</f>
        <v/>
      </c>
      <c r="U31">
        <f>HYPERLINK("https://klasma.github.io/Logging_2034/knärot/A 46984-2023 karta knärot.png", "A 46984-2023")</f>
        <v/>
      </c>
      <c r="V31">
        <f>HYPERLINK("https://klasma.github.io/Logging_2034/klagomål/A 46984-2023 FSC-klagomål.docx", "A 46984-2023")</f>
        <v/>
      </c>
      <c r="W31">
        <f>HYPERLINK("https://klasma.github.io/Logging_2034/klagomålsmail/A 46984-2023 FSC-klagomål mail.docx", "A 46984-2023")</f>
        <v/>
      </c>
      <c r="X31">
        <f>HYPERLINK("https://klasma.github.io/Logging_2034/tillsyn/A 46984-2023 tillsynsbegäran.docx", "A 46984-2023")</f>
        <v/>
      </c>
      <c r="Y31">
        <f>HYPERLINK("https://klasma.github.io/Logging_2034/tillsynsmail/A 46984-2023 tillsynsbegäran mail.docx", "A 46984-2023")</f>
        <v/>
      </c>
      <c r="Z31">
        <f>HYPERLINK("https://klasma.github.io/Logging_2034/fåglar/A 46984-2023 prioriterade fågelarter.docx", "A 46984-2023")</f>
        <v/>
      </c>
    </row>
    <row r="32" ht="15" customHeight="1">
      <c r="A32" t="inlineStr">
        <is>
          <t>A 707-2024</t>
        </is>
      </c>
      <c r="B32" s="1" t="n">
        <v>45300</v>
      </c>
      <c r="C32" s="1" t="n">
        <v>45703</v>
      </c>
      <c r="D32" t="inlineStr">
        <is>
          <t>DALARNAS LÄN</t>
        </is>
      </c>
      <c r="E32" t="inlineStr">
        <is>
          <t>ORSA</t>
        </is>
      </c>
      <c r="G32" t="n">
        <v>9.4</v>
      </c>
      <c r="H32" t="n">
        <v>2</v>
      </c>
      <c r="I32" t="n">
        <v>0</v>
      </c>
      <c r="J32" t="n">
        <v>7</v>
      </c>
      <c r="K32" t="n">
        <v>0</v>
      </c>
      <c r="L32" t="n">
        <v>0</v>
      </c>
      <c r="M32" t="n">
        <v>0</v>
      </c>
      <c r="N32" t="n">
        <v>0</v>
      </c>
      <c r="O32" t="n">
        <v>7</v>
      </c>
      <c r="P32" t="n">
        <v>0</v>
      </c>
      <c r="Q32" t="n">
        <v>7</v>
      </c>
      <c r="R32" s="2" t="inlineStr">
        <is>
          <t>Doftskinn
Garnlav
Granticka
Knottrig blåslav
Svartvit flugsnappare
Tretåig hackspett
Violettgrå tagellav</t>
        </is>
      </c>
      <c r="S32">
        <f>HYPERLINK("https://klasma.github.io/Logging_2034/artfynd/A 707-2024 artfynd.xlsx", "A 707-2024")</f>
        <v/>
      </c>
      <c r="T32">
        <f>HYPERLINK("https://klasma.github.io/Logging_2034/kartor/A 707-2024 karta.png", "A 707-2024")</f>
        <v/>
      </c>
      <c r="V32">
        <f>HYPERLINK("https://klasma.github.io/Logging_2034/klagomål/A 707-2024 FSC-klagomål.docx", "A 707-2024")</f>
        <v/>
      </c>
      <c r="W32">
        <f>HYPERLINK("https://klasma.github.io/Logging_2034/klagomålsmail/A 707-2024 FSC-klagomål mail.docx", "A 707-2024")</f>
        <v/>
      </c>
      <c r="X32">
        <f>HYPERLINK("https://klasma.github.io/Logging_2034/tillsyn/A 707-2024 tillsynsbegäran.docx", "A 707-2024")</f>
        <v/>
      </c>
      <c r="Y32">
        <f>HYPERLINK("https://klasma.github.io/Logging_2034/tillsynsmail/A 707-2024 tillsynsbegäran mail.docx", "A 707-2024")</f>
        <v/>
      </c>
      <c r="Z32">
        <f>HYPERLINK("https://klasma.github.io/Logging_2034/fåglar/A 707-2024 prioriterade fågelarter.docx", "A 707-2024")</f>
        <v/>
      </c>
    </row>
    <row r="33" ht="15" customHeight="1">
      <c r="A33" t="inlineStr">
        <is>
          <t>A 2121-2025</t>
        </is>
      </c>
      <c r="B33" s="1" t="n">
        <v>45672</v>
      </c>
      <c r="C33" s="1" t="n">
        <v>45703</v>
      </c>
      <c r="D33" t="inlineStr">
        <is>
          <t>DALARNAS LÄN</t>
        </is>
      </c>
      <c r="E33" t="inlineStr">
        <is>
          <t>ORSA</t>
        </is>
      </c>
      <c r="G33" t="n">
        <v>16</v>
      </c>
      <c r="H33" t="n">
        <v>1</v>
      </c>
      <c r="I33" t="n">
        <v>2</v>
      </c>
      <c r="J33" t="n">
        <v>4</v>
      </c>
      <c r="K33" t="n">
        <v>0</v>
      </c>
      <c r="L33" t="n">
        <v>0</v>
      </c>
      <c r="M33" t="n">
        <v>0</v>
      </c>
      <c r="N33" t="n">
        <v>0</v>
      </c>
      <c r="O33" t="n">
        <v>4</v>
      </c>
      <c r="P33" t="n">
        <v>0</v>
      </c>
      <c r="Q33" t="n">
        <v>7</v>
      </c>
      <c r="R33" s="2" t="inlineStr">
        <is>
          <t>Garnlav
Kolflarnlav
Mörk kolflarnlav
Tallticka
Mindre märgborre
Nästlav
Tjäder</t>
        </is>
      </c>
      <c r="S33">
        <f>HYPERLINK("https://klasma.github.io/Logging_2034/artfynd/A 2121-2025 artfynd.xlsx", "A 2121-2025")</f>
        <v/>
      </c>
      <c r="T33">
        <f>HYPERLINK("https://klasma.github.io/Logging_2034/kartor/A 2121-2025 karta.png", "A 2121-2025")</f>
        <v/>
      </c>
      <c r="V33">
        <f>HYPERLINK("https://klasma.github.io/Logging_2034/klagomål/A 2121-2025 FSC-klagomål.docx", "A 2121-2025")</f>
        <v/>
      </c>
      <c r="W33">
        <f>HYPERLINK("https://klasma.github.io/Logging_2034/klagomålsmail/A 2121-2025 FSC-klagomål mail.docx", "A 2121-2025")</f>
        <v/>
      </c>
      <c r="X33">
        <f>HYPERLINK("https://klasma.github.io/Logging_2034/tillsyn/A 2121-2025 tillsynsbegäran.docx", "A 2121-2025")</f>
        <v/>
      </c>
      <c r="Y33">
        <f>HYPERLINK("https://klasma.github.io/Logging_2034/tillsynsmail/A 2121-2025 tillsynsbegäran mail.docx", "A 2121-2025")</f>
        <v/>
      </c>
      <c r="Z33">
        <f>HYPERLINK("https://klasma.github.io/Logging_2034/fåglar/A 2121-2025 prioriterade fågelarter.docx", "A 2121-2025")</f>
        <v/>
      </c>
    </row>
    <row r="34" ht="15" customHeight="1">
      <c r="A34" t="inlineStr">
        <is>
          <t>A 22647-2022</t>
        </is>
      </c>
      <c r="B34" s="1" t="n">
        <v>44714</v>
      </c>
      <c r="C34" s="1" t="n">
        <v>45703</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45703</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45703</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45703</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45703</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45703</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45703</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45703</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45703</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45703</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45703</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45703</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45703</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45703</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45703</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45703</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45703</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45703</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45703</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45703</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45703</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45703</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45703</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45703</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45703</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45703</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45703</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45703</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45703</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45703</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45703</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45703</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45703</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45703</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45703</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45703</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45703</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45703</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45703</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45703</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45703</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45703</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45703</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45703</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45703</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45703</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45703</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45703</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45703</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45703</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45703</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45703</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45703</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45703</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45703</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45703</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45703</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45703</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45703</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45703</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45703</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45703</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45703</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45703</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45703</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45703</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45703</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45703</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45703</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45703</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45703</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45703</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45703</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45703</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45703</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45703</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45703</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45703</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45703</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45703</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45703</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45703</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45703</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45703</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45703</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45703</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45703</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45703</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45703</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45703</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45703</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45703</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45703</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45703</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45703</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45703</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45703</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45703</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45703</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45703</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45703</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45703</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45703</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45703</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45703</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45703</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45703</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45703</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45703</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45703</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45703</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45703</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45703</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45703</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45703</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45703</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45703</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45703</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45703</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45703</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45703</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45703</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45703</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45703</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45703</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45703</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45703</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45703</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45703</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45703</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45703</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45703</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45703</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45703</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45703</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45703</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45703</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45703</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45703</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45703</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45703</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45703</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45703</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45703</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45703</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45703</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45703</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45703</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45703</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45703</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45703</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45703</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45703</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45703</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45703</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45703</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45703</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45703</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45703</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45703</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45703</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45703</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45703</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45703</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45703</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45703</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45703</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45703</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45703</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45703</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45703</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45703</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45703</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45703</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45703</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45703</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45703</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45703</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45703</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45703</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45703</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45703</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45703</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45703</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45703</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45703</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45703</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45703</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45703</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45703</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45703</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45703</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45703</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45703</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45703</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45703</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45703</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45703</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45703</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45703</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45703</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45703</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45703</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45703</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45703</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45703</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45703</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45703</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45703</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45703</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45703</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45703</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45703</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45703</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45703</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45703</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45703</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45703</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45703</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45703</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45703</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45703</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45703</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45703</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45703</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45703</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45703</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45703</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45703</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45703</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45703</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45703</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45703</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45703</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45703</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45703</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45703</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45703</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45703</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45703</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45703</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45703</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45703</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45703</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45703</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45703</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45703</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45703</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45703</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45703</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45703</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45703</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45703</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45703</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45703</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45703</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45703</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45703</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45703</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45703</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45703</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45703</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45703</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45703</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45703</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45703</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45703</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45703</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45703</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45703</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45703</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45703</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45703</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45703</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45703</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45703</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45703</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45703</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45703</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45703</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45703</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45703</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45703</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45703</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45703</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45703</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45703</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45703</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45703</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45703</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45703</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45703</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45703</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45703</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45703</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45703</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45703</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45703</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45703</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45703</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45703</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45703</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45703</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45703</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45703</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45703</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45703</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45703</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45703</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45703</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45703</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45703</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45703</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45703</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45703</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45703</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45703</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45703</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45703</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45703</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45703</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45703</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45703</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45703</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45703</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45703</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45703</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45703</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45703</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45703</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45703</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45703</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45703</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45703</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45703</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45703</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45703</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45703</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45703</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45703</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45703</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45703</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45703</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45703</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45703</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45703</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45703</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45703</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45703</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45703</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45703</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45703</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45703</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45703</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45703</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45703</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45703</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45703</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45703</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45703</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45703</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45703</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45703</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45703</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45703</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45703</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45703</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45703</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45703</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45703</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45703</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45703</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45703</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45703</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45703</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45703</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45703</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45703</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45703</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45703</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45703</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45703</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45703</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45703</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45703</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45703</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45703</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45703</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45703</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45703</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45703</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45703</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45703</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45703</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45703</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45703</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45703</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45703</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45703</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45703</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45703</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45703</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45703</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45703</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45703</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45703</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45703</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45703</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45703</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45703</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45703</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45703</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45703</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45703</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45703</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45703</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45703</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45703</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45703</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45703</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45703</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45703</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45703</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45703</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45703</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45703</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45703</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45703</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45703</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45703</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45703</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45703</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45703</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45703</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45703</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45703</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45703</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45703</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45703</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45703</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45703</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45703</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45703</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45703</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45703</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45703</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45703</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45703</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45703</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45703</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45703</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45703</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45703</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45703</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45703</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45703</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45703</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45703</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45703</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45703</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45703</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45703</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45703</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45703</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45703</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45703</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45703</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45703</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45703</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45703</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45703</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45703</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45703</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45703</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45703</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45703</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45703</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45703</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45703</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45703</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45703</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45703</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45703</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45703</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45703</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45703</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45703</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45703</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45703</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45703</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45703</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45703</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45703</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45703</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45703</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45703</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45703</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45703</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45703</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45703</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45703</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45703</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45703</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45703</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45703</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45703</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45703</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45703</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45703</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45703</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45703</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45703</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45703</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45703</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45703</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45703</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45703</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45703</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45703</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45703</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45703</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45703</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45703</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45703</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45703</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45703</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45703</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45703</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45703</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45703</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45703</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45703</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45703</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45703</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45703</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45703</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45703</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45703</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45703</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45703</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45703</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45703</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45703</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45703</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45703</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45703</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45703</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45703</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45703</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45703</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45703</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45703</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45703</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45703</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45703</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45703</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45703</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45703</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45703</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45703</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45703</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45703</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45703</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45703</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45703</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45703</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45703</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45703</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45703</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45703</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45703</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45703</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45703</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45703</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45703</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45703</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45703</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45703</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45703</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45703</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45703</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45703</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45703</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45703</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45703</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45703</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45703</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45703</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45703</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45703</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45703</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45703</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45703</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45703</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45703</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45703</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45703</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45703</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45703</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45703</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45703</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45703</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45703</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45703</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45703</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45703</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45703</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45703</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45703</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45703</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45703</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45703</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45703</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45703</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45703</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45703</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45703</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45703</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45703</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45703</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45703</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45703</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45703</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45703</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45703</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45703</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45703</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45703</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45703</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45703</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45703</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45703</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45703</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45703</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45703</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45703</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45703</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45703</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45703</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45703</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45703</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45703</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45703</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45703</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45703</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45703</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45703</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45703</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45703</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45703</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45703</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45703</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45703</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45703</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45703</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45703</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45703</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45703</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45703</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45703</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45703</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45703</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45703</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45703</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45703</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45703</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45703</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45703</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45703</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45703</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45703</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45703</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45703</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45703</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45703</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45703</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45703</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45703</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45703</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45703</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45703</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45703</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45703</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45703</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45703</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45703</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45703</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45703</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45703</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45703</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45703</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45703</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45703</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45703</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45703</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45703</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45703</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45703</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45703</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45703</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45703</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45703</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45703</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45703</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45703</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45703</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45703</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45703</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45703</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45703</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45703</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45703</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45703</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45703</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45703</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45703</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2914-2025</t>
        </is>
      </c>
      <c r="B750" s="1" t="n">
        <v>45677</v>
      </c>
      <c r="C750" s="1" t="n">
        <v>45703</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2913-2025</t>
        </is>
      </c>
      <c r="B751" s="1" t="n">
        <v>45677</v>
      </c>
      <c r="C751" s="1" t="n">
        <v>45703</v>
      </c>
      <c r="D751" t="inlineStr">
        <is>
          <t>DALARNAS LÄN</t>
        </is>
      </c>
      <c r="E751" t="inlineStr">
        <is>
          <t>ORSA</t>
        </is>
      </c>
      <c r="G751" t="n">
        <v>2</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45703</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45703</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45703</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45703</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45703</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45703</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45703</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5815-2025</t>
        </is>
      </c>
      <c r="B759" s="1" t="n">
        <v>45694</v>
      </c>
      <c r="C759" s="1" t="n">
        <v>45703</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5921-2025</t>
        </is>
      </c>
      <c r="B760" s="1" t="n">
        <v>45695</v>
      </c>
      <c r="C760" s="1" t="n">
        <v>45703</v>
      </c>
      <c r="D760" t="inlineStr">
        <is>
          <t>DALARNAS LÄN</t>
        </is>
      </c>
      <c r="E760" t="inlineStr">
        <is>
          <t>ORSA</t>
        </is>
      </c>
      <c r="G760" t="n">
        <v>1.4</v>
      </c>
      <c r="H760" t="n">
        <v>0</v>
      </c>
      <c r="I760" t="n">
        <v>0</v>
      </c>
      <c r="J760" t="n">
        <v>0</v>
      </c>
      <c r="K760" t="n">
        <v>0</v>
      </c>
      <c r="L760" t="n">
        <v>0</v>
      </c>
      <c r="M760" t="n">
        <v>0</v>
      </c>
      <c r="N760" t="n">
        <v>0</v>
      </c>
      <c r="O760" t="n">
        <v>0</v>
      </c>
      <c r="P760" t="n">
        <v>0</v>
      </c>
      <c r="Q760" t="n">
        <v>0</v>
      </c>
      <c r="R760" s="2" t="inlineStr"/>
    </row>
    <row r="761">
      <c r="A761" t="inlineStr">
        <is>
          <t>A 6171-2025</t>
        </is>
      </c>
      <c r="B761" s="1" t="n">
        <v>45698</v>
      </c>
      <c r="C761" s="1" t="n">
        <v>45703</v>
      </c>
      <c r="D761" t="inlineStr">
        <is>
          <t>DALARNAS LÄN</t>
        </is>
      </c>
      <c r="E761" t="inlineStr">
        <is>
          <t>ORSA</t>
        </is>
      </c>
      <c r="G761" t="n">
        <v>11.1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2025-02-15T16:18:45Z</dcterms:created>
  <dcterms:modified xmlns:dcterms="http://purl.org/dc/terms/" xmlns:xsi="http://www.w3.org/2001/XMLSchema-instance" xsi:type="dcterms:W3CDTF">2025-02-15T16:18:46Z</dcterms:modified>
</cp:coreProperties>
</file>