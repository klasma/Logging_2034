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45834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45834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45834</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45834</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45834</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45834</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45834</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45834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45834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45834</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30212-2024</t>
        </is>
      </c>
      <c r="B12" s="1" t="n">
        <v>45490</v>
      </c>
      <c r="C12" s="1" t="n">
        <v>45834</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30212-2024 artfynd.xlsx", "A 30212-2024")</f>
        <v/>
      </c>
      <c r="T12">
        <f>HYPERLINK("https://klasma.github.io/Logging_2034/kartor/A 30212-2024 karta.png", "A 30212-2024")</f>
        <v/>
      </c>
      <c r="V12">
        <f>HYPERLINK("https://klasma.github.io/Logging_2034/klagomål/A 30212-2024 FSC-klagomål.docx", "A 30212-2024")</f>
        <v/>
      </c>
      <c r="W12">
        <f>HYPERLINK("https://klasma.github.io/Logging_2034/klagomålsmail/A 30212-2024 FSC-klagomål mail.docx", "A 30212-2024")</f>
        <v/>
      </c>
      <c r="X12">
        <f>HYPERLINK("https://klasma.github.io/Logging_2034/tillsyn/A 30212-2024 tillsynsbegäran.docx", "A 30212-2024")</f>
        <v/>
      </c>
      <c r="Y12">
        <f>HYPERLINK("https://klasma.github.io/Logging_2034/tillsynsmail/A 30212-2024 tillsynsbegäran mail.docx", "A 30212-2024")</f>
        <v/>
      </c>
      <c r="Z12">
        <f>HYPERLINK("https://klasma.github.io/Logging_2034/fåglar/A 30212-2024 prioriterade fågelarter.docx", "A 30212-2024")</f>
        <v/>
      </c>
    </row>
    <row r="13" ht="15" customHeight="1">
      <c r="A13" t="inlineStr">
        <is>
          <t>A 62470-2019</t>
        </is>
      </c>
      <c r="B13" s="1" t="n">
        <v>43788</v>
      </c>
      <c r="C13" s="1" t="n">
        <v>45834</v>
      </c>
      <c r="D13" t="inlineStr">
        <is>
          <t>DALARNAS LÄN</t>
        </is>
      </c>
      <c r="E13" t="inlineStr">
        <is>
          <t>ORSA</t>
        </is>
      </c>
      <c r="G13" t="n">
        <v>26.8</v>
      </c>
      <c r="H13" t="n">
        <v>0</v>
      </c>
      <c r="I13" t="n">
        <v>5</v>
      </c>
      <c r="J13" t="n">
        <v>11</v>
      </c>
      <c r="K13" t="n">
        <v>1</v>
      </c>
      <c r="L13" t="n">
        <v>0</v>
      </c>
      <c r="M13" t="n">
        <v>0</v>
      </c>
      <c r="N13" t="n">
        <v>0</v>
      </c>
      <c r="O13" t="n">
        <v>12</v>
      </c>
      <c r="P13" t="n">
        <v>1</v>
      </c>
      <c r="Q13" t="n">
        <v>17</v>
      </c>
      <c r="R13" s="2" t="inlineStr">
        <is>
          <t>Lateritticka
Dvärgbägarlav
Hapalopilus aurantiacus
Kolflarnlav
Kortskaftad ärgspik
Lunglav
Nordtagging
Tallticka
Vaddporing
Vedflamlav
Vedskivlav
Vitplätt
Bårdlav
Dropptaggsvamp
Jättesvampmal
Mindre märgborre
Stuplav</t>
        </is>
      </c>
      <c r="S13">
        <f>HYPERLINK("https://klasma.github.io/Logging_2034/artfynd/A 62470-2019 artfynd.xlsx", "A 62470-2019")</f>
        <v/>
      </c>
      <c r="T13">
        <f>HYPERLINK("https://klasma.github.io/Logging_2034/kartor/A 62470-2019 karta.png", "A 62470-2019")</f>
        <v/>
      </c>
      <c r="V13">
        <f>HYPERLINK("https://klasma.github.io/Logging_2034/klagomål/A 62470-2019 FSC-klagomål.docx", "A 62470-2019")</f>
        <v/>
      </c>
      <c r="W13">
        <f>HYPERLINK("https://klasma.github.io/Logging_2034/klagomålsmail/A 62470-2019 FSC-klagomål mail.docx", "A 62470-2019")</f>
        <v/>
      </c>
      <c r="X13">
        <f>HYPERLINK("https://klasma.github.io/Logging_2034/tillsyn/A 62470-2019 tillsynsbegäran.docx", "A 62470-2019")</f>
        <v/>
      </c>
      <c r="Y13">
        <f>HYPERLINK("https://klasma.github.io/Logging_2034/tillsynsmail/A 62470-2019 tillsynsbegäran mail.docx", "A 62470-2019")</f>
        <v/>
      </c>
    </row>
    <row r="14" ht="15" customHeight="1">
      <c r="A14" t="inlineStr">
        <is>
          <t>A 47905-2023</t>
        </is>
      </c>
      <c r="B14" s="1" t="n">
        <v>45204</v>
      </c>
      <c r="C14" s="1" t="n">
        <v>45834</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34474-2024</t>
        </is>
      </c>
      <c r="B15" s="1" t="n">
        <v>45525</v>
      </c>
      <c r="C15" s="1" t="n">
        <v>45834</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45834</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45834</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45834</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45834</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45834</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45834</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45834</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45834</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45834</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45834</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45834</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45834</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45834</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45834</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45834</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45834</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45834</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45834</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45834</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45834</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45834</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45834</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45834</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45834</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45834</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45834</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45834</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45834</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45834</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45834</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45834</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45834</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45834</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45834</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45834</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45834</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45834</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45834</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63810-2021</t>
        </is>
      </c>
      <c r="B54" s="1" t="n">
        <v>44509</v>
      </c>
      <c r="C54" s="1" t="n">
        <v>45834</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45834</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45834</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45834</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45834</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45834</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45834</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45834</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45834</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45834</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45834</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45834</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45834</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45834</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45834</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45834</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45834</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45834</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45834</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45834</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45834</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45834</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45834</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45834</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45834</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45834</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45834</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45834</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45834</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45834</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45834</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45834</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45834</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45834</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45834</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45834</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45834</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45834</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45834</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45834</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45834</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45834</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45834</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45834</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45834</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45834</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45834</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45834</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45834</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45834</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45834</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45834</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45834</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45834</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45834</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45834</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45834</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45834</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45834</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45834</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45834</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45834</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45834</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45834</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45834</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45834</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45834</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45834</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45834</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45834</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45834</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45834</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45834</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45834</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45834</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45834</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45834</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45834</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45834</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45834</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45834</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45834</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45834</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45834</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45834</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45834</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45834</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45834</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45834</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45834</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45834</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45834</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45834</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45834</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45834</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45834</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45834</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45834</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45834</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45834</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45834</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45834</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45834</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45834</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45834</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45834</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45834</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45834</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45834</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45834</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45834</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45834</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45834</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45834</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45834</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45834</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45834</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45834</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45834</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45834</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45834</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45834</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45834</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45834</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45834</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45834</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45834</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45834</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45834</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45834</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45834</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45834</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45834</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45834</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45834</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45834</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45834</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45834</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45834</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45834</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45834</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45834</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45834</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45834</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45834</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45834</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45834</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45834</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45834</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45834</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45834</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45834</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45834</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45834</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45834</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45834</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45834</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45834</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45834</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45834</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45834</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45834</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45834</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45834</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45834</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45834</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45834</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45834</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45834</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45834</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45834</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45834</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45834</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45834</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45834</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45834</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45834</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45834</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45834</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45834</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45834</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45834</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45834</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45834</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45834</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45834</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45834</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45834</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45834</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45834</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45834</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45834</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45834</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45834</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45834</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45834</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45834</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45834</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45834</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45834</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45834</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45834</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45834</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45834</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45834</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45834</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45834</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45834</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45834</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45834</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45834</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45834</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45834</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45834</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45834</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45834</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45834</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45834</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45834</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45834</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45834</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45834</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45834</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45834</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45834</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45834</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45834</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45834</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45834</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45834</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45834</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45834</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45834</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45834</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45834</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45834</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45834</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45834</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45834</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45834</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45834</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45834</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45834</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45834</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45834</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45834</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45834</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45834</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45834</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45834</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45834</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45834</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45834</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45834</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45834</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45834</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45834</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45834</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45834</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45834</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45834</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45834</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45834</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45834</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45834</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45834</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45834</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45834</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45834</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45834</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45834</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45834</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45834</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45834</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45834</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45834</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45834</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45834</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45834</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45834</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45834</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45834</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45834</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45834</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45834</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45834</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45834</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45834</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45834</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45834</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45834</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45834</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45834</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45834</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45834</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45834</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45834</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45834</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45834</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45834</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45834</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45834</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45834</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45834</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45834</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45834</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45834</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45834</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45834</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45834</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45834</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45834</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45834</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45834</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45834</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45834</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45834</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45834</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45834</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45834</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45834</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45834</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45834</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45834</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45834</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45834</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45834</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45834</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45834</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45834</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45834</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45834</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45834</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45834</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45834</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45834</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45834</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45834</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45834</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45834</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45834</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45834</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45834</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45834</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45834</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45834</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45834</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45834</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45834</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45834</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45834</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45834</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45834</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45834</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45834</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45834</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45834</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45834</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45834</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45834</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45834</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45834</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45834</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45834</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45834</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45834</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45834</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45834</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45834</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45834</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45834</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45834</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45834</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45834</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45834</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45834</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45834</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45834</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45834</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45834</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45834</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45834</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45834</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45834</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45834</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45834</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45834</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45834</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45834</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45834</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45834</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45834</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45834</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45834</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45834</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45834</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45834</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45834</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45834</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45834</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45834</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45834</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45834</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45834</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45834</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45834</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45834</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45834</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45834</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45834</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45834</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45834</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45834</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45834</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45834</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45834</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45834</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45834</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45834</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45834</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45834</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45834</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45834</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45834</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45834</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45834</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45834</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45834</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45834</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45834</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45834</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45834</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45834</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45834</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45834</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45834</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45834</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45834</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45834</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45834</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45834</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45834</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45834</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45834</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45834</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45834</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45834</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45834</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45834</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45834</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45834</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45834</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45834</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45834</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45834</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45834</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45834</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45834</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45834</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45834</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45834</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45834</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45834</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45834</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45834</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45834</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45834</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45834</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45834</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45834</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45834</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45834</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45834</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45834</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45834</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45834</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45834</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45834</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45834</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45834</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45834</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45834</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45834</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45834</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45834</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45834</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45834</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45834</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45834</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45834</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45834</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45834</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45834</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45834</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45834</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45834</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45834</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45834</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45834</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45834</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45834</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45834</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45834</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45834</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45834</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45834</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45834</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45834</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45834</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45834</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45834</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45834</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45834</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45834</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45834</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45834</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45834</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45834</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45834</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45834</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45834</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45834</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45834</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45834</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45834</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45834</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45834</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45834</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45834</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45834</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45834</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45834</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45834</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45834</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45834</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45834</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45834</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45834</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45834</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45834</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45834</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45834</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45834</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45834</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45834</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45834</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45834</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45834</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45834</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45834</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45834</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45834</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45834</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45834</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45834</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45834</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45834</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45834</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45834</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45834</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45834</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45834</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45834</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45834</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45834</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45834</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45834</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45834</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45834</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45834</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45834</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45834</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45834</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45834</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45834</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45834</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45834</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45834</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45834</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45834</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45834</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45834</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45834</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45834</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45834</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45834</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45834</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45834</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45834</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45834</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45834</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45834</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45834</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45834</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45834</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45834</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45834</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45834</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45834</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45834</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45834</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45834</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45834</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45834</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45834</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45834</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45834</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45834</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45834</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45834</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45834</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45834</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45834</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45834</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45834</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45834</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45834</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45834</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45834</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45834</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45834</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45834</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45834</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45834</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45834</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45834</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45834</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45834</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45834</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45834</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45834</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45834</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45834</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45834</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45834</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45834</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45834</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45834</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45834</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45834</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45834</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45834</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45834</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45834</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45834</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45834</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45834</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45834</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45834</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45834</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45834</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45834</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45834</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45834</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45834</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45834</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45834</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45834</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45834</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45834</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45834</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45834</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45834</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45834</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45834</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45834</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45834</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45834</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45834</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45834</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45834</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45834</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45834</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45834</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45834</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45834</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45834</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45834</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45834</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45834</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45834</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45834</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45834</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45834</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45834</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45834</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45834</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45834</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45834</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45834</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45834</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45834</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45834</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45834</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45834</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45834</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45834</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45834</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45834</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45834</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45834</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45834</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45834</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45834</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45834</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45834</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45834</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45834</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45834</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45834</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45834</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45834</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45834</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45834</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45834</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45834</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45834</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45834</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45834</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45834</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45834</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45834</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45834</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45834</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45834</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45834</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45834</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45834</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45834</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45834</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45834</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45834</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45834</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45834</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45834</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45834</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45834</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45834</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45834</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45834</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45834</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45834</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45834</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45834</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45834</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45834</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45834</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45834</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21335-2025</t>
        </is>
      </c>
      <c r="B802" s="1" t="n">
        <v>45782</v>
      </c>
      <c r="C802" s="1" t="n">
        <v>45834</v>
      </c>
      <c r="D802" t="inlineStr">
        <is>
          <t>DALARNAS LÄN</t>
        </is>
      </c>
      <c r="E802" t="inlineStr">
        <is>
          <t>ORSA</t>
        </is>
      </c>
      <c r="F802" t="inlineStr">
        <is>
          <t>Bergvik skog väst AB</t>
        </is>
      </c>
      <c r="G802" t="n">
        <v>14.3</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45834</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45834</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45834</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45834</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22332-2025</t>
        </is>
      </c>
      <c r="B807" s="1" t="n">
        <v>45786</v>
      </c>
      <c r="C807" s="1" t="n">
        <v>45834</v>
      </c>
      <c r="D807" t="inlineStr">
        <is>
          <t>DALARNAS LÄN</t>
        </is>
      </c>
      <c r="E807" t="inlineStr">
        <is>
          <t>ORSA</t>
        </is>
      </c>
      <c r="G807" t="n">
        <v>5.5</v>
      </c>
      <c r="H807" t="n">
        <v>0</v>
      </c>
      <c r="I807" t="n">
        <v>0</v>
      </c>
      <c r="J807" t="n">
        <v>0</v>
      </c>
      <c r="K807" t="n">
        <v>0</v>
      </c>
      <c r="L807" t="n">
        <v>0</v>
      </c>
      <c r="M807" t="n">
        <v>0</v>
      </c>
      <c r="N807" t="n">
        <v>0</v>
      </c>
      <c r="O807" t="n">
        <v>0</v>
      </c>
      <c r="P807" t="n">
        <v>0</v>
      </c>
      <c r="Q807" t="n">
        <v>0</v>
      </c>
      <c r="R807" s="2" t="inlineStr"/>
    </row>
    <row r="808" ht="15" customHeight="1">
      <c r="A808" t="inlineStr">
        <is>
          <t>A 22491-2025</t>
        </is>
      </c>
      <c r="B808" s="1" t="n">
        <v>45786</v>
      </c>
      <c r="C808" s="1" t="n">
        <v>45834</v>
      </c>
      <c r="D808" t="inlineStr">
        <is>
          <t>DALARNAS LÄN</t>
        </is>
      </c>
      <c r="E808" t="inlineStr">
        <is>
          <t>ORSA</t>
        </is>
      </c>
      <c r="F808" t="inlineStr">
        <is>
          <t>Bergvik skog öst AB</t>
        </is>
      </c>
      <c r="G808" t="n">
        <v>5.7</v>
      </c>
      <c r="H808" t="n">
        <v>0</v>
      </c>
      <c r="I808" t="n">
        <v>0</v>
      </c>
      <c r="J808" t="n">
        <v>0</v>
      </c>
      <c r="K808" t="n">
        <v>0</v>
      </c>
      <c r="L808" t="n">
        <v>0</v>
      </c>
      <c r="M808" t="n">
        <v>0</v>
      </c>
      <c r="N808" t="n">
        <v>0</v>
      </c>
      <c r="O808" t="n">
        <v>0</v>
      </c>
      <c r="P808" t="n">
        <v>0</v>
      </c>
      <c r="Q808" t="n">
        <v>0</v>
      </c>
      <c r="R808" s="2" t="inlineStr"/>
    </row>
    <row r="809" ht="15" customHeight="1">
      <c r="A809" t="inlineStr">
        <is>
          <t>A 22482-2025</t>
        </is>
      </c>
      <c r="B809" s="1" t="n">
        <v>45786</v>
      </c>
      <c r="C809" s="1" t="n">
        <v>45834</v>
      </c>
      <c r="D809" t="inlineStr">
        <is>
          <t>DALARNAS LÄN</t>
        </is>
      </c>
      <c r="E809" t="inlineStr">
        <is>
          <t>ORSA</t>
        </is>
      </c>
      <c r="F809" t="inlineStr">
        <is>
          <t>Bergvik skog öst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22487-2025</t>
        </is>
      </c>
      <c r="B810" s="1" t="n">
        <v>45786</v>
      </c>
      <c r="C810" s="1" t="n">
        <v>45834</v>
      </c>
      <c r="D810" t="inlineStr">
        <is>
          <t>DALARNAS LÄN</t>
        </is>
      </c>
      <c r="E810" t="inlineStr">
        <is>
          <t>ORSA</t>
        </is>
      </c>
      <c r="F810" t="inlineStr">
        <is>
          <t>Bergvik skog öst AB</t>
        </is>
      </c>
      <c r="G810" t="n">
        <v>17.8</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45834</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23055-2025</t>
        </is>
      </c>
      <c r="B812" s="1" t="n">
        <v>45790</v>
      </c>
      <c r="C812" s="1" t="n">
        <v>45834</v>
      </c>
      <c r="D812" t="inlineStr">
        <is>
          <t>DALARNAS LÄN</t>
        </is>
      </c>
      <c r="E812" t="inlineStr">
        <is>
          <t>ORSA</t>
        </is>
      </c>
      <c r="G812" t="n">
        <v>0.9</v>
      </c>
      <c r="H812" t="n">
        <v>0</v>
      </c>
      <c r="I812" t="n">
        <v>0</v>
      </c>
      <c r="J812" t="n">
        <v>0</v>
      </c>
      <c r="K812" t="n">
        <v>0</v>
      </c>
      <c r="L812" t="n">
        <v>0</v>
      </c>
      <c r="M812" t="n">
        <v>0</v>
      </c>
      <c r="N812" t="n">
        <v>0</v>
      </c>
      <c r="O812" t="n">
        <v>0</v>
      </c>
      <c r="P812" t="n">
        <v>0</v>
      </c>
      <c r="Q812" t="n">
        <v>0</v>
      </c>
      <c r="R812" s="2" t="inlineStr"/>
    </row>
    <row r="813" ht="15" customHeight="1">
      <c r="A813" t="inlineStr">
        <is>
          <t>A 23056-2025</t>
        </is>
      </c>
      <c r="B813" s="1" t="n">
        <v>45790</v>
      </c>
      <c r="C813" s="1" t="n">
        <v>45834</v>
      </c>
      <c r="D813" t="inlineStr">
        <is>
          <t>DALARNAS LÄN</t>
        </is>
      </c>
      <c r="E813" t="inlineStr">
        <is>
          <t>ORSA</t>
        </is>
      </c>
      <c r="G813" t="n">
        <v>0.5</v>
      </c>
      <c r="H813" t="n">
        <v>0</v>
      </c>
      <c r="I813" t="n">
        <v>0</v>
      </c>
      <c r="J813" t="n">
        <v>0</v>
      </c>
      <c r="K813" t="n">
        <v>0</v>
      </c>
      <c r="L813" t="n">
        <v>0</v>
      </c>
      <c r="M813" t="n">
        <v>0</v>
      </c>
      <c r="N813" t="n">
        <v>0</v>
      </c>
      <c r="O813" t="n">
        <v>0</v>
      </c>
      <c r="P813" t="n">
        <v>0</v>
      </c>
      <c r="Q813" t="n">
        <v>0</v>
      </c>
      <c r="R813" s="2" t="inlineStr"/>
    </row>
    <row r="814" ht="15" customHeight="1">
      <c r="A814" t="inlineStr">
        <is>
          <t>A 23015-2025</t>
        </is>
      </c>
      <c r="B814" s="1" t="n">
        <v>45790</v>
      </c>
      <c r="C814" s="1" t="n">
        <v>45834</v>
      </c>
      <c r="D814" t="inlineStr">
        <is>
          <t>DALARNAS LÄN</t>
        </is>
      </c>
      <c r="E814" t="inlineStr">
        <is>
          <t>ORSA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23053-2025</t>
        </is>
      </c>
      <c r="B815" s="1" t="n">
        <v>45790</v>
      </c>
      <c r="C815" s="1" t="n">
        <v>45834</v>
      </c>
      <c r="D815" t="inlineStr">
        <is>
          <t>DALARNAS LÄN</t>
        </is>
      </c>
      <c r="E815" t="inlineStr">
        <is>
          <t>ORSA</t>
        </is>
      </c>
      <c r="G815" t="n">
        <v>3.3</v>
      </c>
      <c r="H815" t="n">
        <v>0</v>
      </c>
      <c r="I815" t="n">
        <v>0</v>
      </c>
      <c r="J815" t="n">
        <v>0</v>
      </c>
      <c r="K815" t="n">
        <v>0</v>
      </c>
      <c r="L815" t="n">
        <v>0</v>
      </c>
      <c r="M815" t="n">
        <v>0</v>
      </c>
      <c r="N815" t="n">
        <v>0</v>
      </c>
      <c r="O815" t="n">
        <v>0</v>
      </c>
      <c r="P815" t="n">
        <v>0</v>
      </c>
      <c r="Q815" t="n">
        <v>0</v>
      </c>
      <c r="R815" s="2" t="inlineStr"/>
    </row>
    <row r="816" ht="15" customHeight="1">
      <c r="A816" t="inlineStr">
        <is>
          <t>A 23057-2025</t>
        </is>
      </c>
      <c r="B816" s="1" t="n">
        <v>45790</v>
      </c>
      <c r="C816" s="1" t="n">
        <v>45834</v>
      </c>
      <c r="D816" t="inlineStr">
        <is>
          <t>DALARNAS LÄN</t>
        </is>
      </c>
      <c r="E816" t="inlineStr">
        <is>
          <t>ORSA</t>
        </is>
      </c>
      <c r="G816" t="n">
        <v>0.8</v>
      </c>
      <c r="H816" t="n">
        <v>0</v>
      </c>
      <c r="I816" t="n">
        <v>0</v>
      </c>
      <c r="J816" t="n">
        <v>0</v>
      </c>
      <c r="K816" t="n">
        <v>0</v>
      </c>
      <c r="L816" t="n">
        <v>0</v>
      </c>
      <c r="M816" t="n">
        <v>0</v>
      </c>
      <c r="N816" t="n">
        <v>0</v>
      </c>
      <c r="O816" t="n">
        <v>0</v>
      </c>
      <c r="P816" t="n">
        <v>0</v>
      </c>
      <c r="Q816" t="n">
        <v>0</v>
      </c>
      <c r="R816" s="2" t="inlineStr"/>
    </row>
    <row r="817" ht="15" customHeight="1">
      <c r="A817" t="inlineStr">
        <is>
          <t>A 23875-2025</t>
        </is>
      </c>
      <c r="B817" s="1" t="n">
        <v>45793</v>
      </c>
      <c r="C817" s="1" t="n">
        <v>45834</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23740-2025</t>
        </is>
      </c>
      <c r="B818" s="1" t="n">
        <v>45793</v>
      </c>
      <c r="C818" s="1" t="n">
        <v>45834</v>
      </c>
      <c r="D818" t="inlineStr">
        <is>
          <t>DALARNAS LÄN</t>
        </is>
      </c>
      <c r="E818" t="inlineStr">
        <is>
          <t>ORSA</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24235-2025</t>
        </is>
      </c>
      <c r="B819" s="1" t="n">
        <v>45797</v>
      </c>
      <c r="C819" s="1" t="n">
        <v>45834</v>
      </c>
      <c r="D819" t="inlineStr">
        <is>
          <t>DALARNAS LÄN</t>
        </is>
      </c>
      <c r="E819" t="inlineStr">
        <is>
          <t>ORSA</t>
        </is>
      </c>
      <c r="G819" t="n">
        <v>3.1</v>
      </c>
      <c r="H819" t="n">
        <v>0</v>
      </c>
      <c r="I819" t="n">
        <v>0</v>
      </c>
      <c r="J819" t="n">
        <v>0</v>
      </c>
      <c r="K819" t="n">
        <v>0</v>
      </c>
      <c r="L819" t="n">
        <v>0</v>
      </c>
      <c r="M819" t="n">
        <v>0</v>
      </c>
      <c r="N819" t="n">
        <v>0</v>
      </c>
      <c r="O819" t="n">
        <v>0</v>
      </c>
      <c r="P819" t="n">
        <v>0</v>
      </c>
      <c r="Q819" t="n">
        <v>0</v>
      </c>
      <c r="R819" s="2" t="inlineStr"/>
    </row>
    <row r="820" ht="15" customHeight="1">
      <c r="A820" t="inlineStr">
        <is>
          <t>A 24248-2025</t>
        </is>
      </c>
      <c r="B820" s="1" t="n">
        <v>45797</v>
      </c>
      <c r="C820" s="1" t="n">
        <v>45834</v>
      </c>
      <c r="D820" t="inlineStr">
        <is>
          <t>DALARNAS LÄN</t>
        </is>
      </c>
      <c r="E820" t="inlineStr">
        <is>
          <t>ORSA</t>
        </is>
      </c>
      <c r="F820" t="inlineStr">
        <is>
          <t>Bergvik skog öst AB</t>
        </is>
      </c>
      <c r="G820" t="n">
        <v>4.3</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45834</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ht="15" customHeight="1">
      <c r="A822" t="inlineStr">
        <is>
          <t>A 25211-2025</t>
        </is>
      </c>
      <c r="B822" s="1" t="n">
        <v>45800</v>
      </c>
      <c r="C822" s="1" t="n">
        <v>45834</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26741-2025</t>
        </is>
      </c>
      <c r="B823" s="1" t="n">
        <v>45810</v>
      </c>
      <c r="C823" s="1" t="n">
        <v>45834</v>
      </c>
      <c r="D823" t="inlineStr">
        <is>
          <t>DALARNAS LÄN</t>
        </is>
      </c>
      <c r="E823" t="inlineStr">
        <is>
          <t>ORSA</t>
        </is>
      </c>
      <c r="G823" t="n">
        <v>0.7</v>
      </c>
      <c r="H823" t="n">
        <v>0</v>
      </c>
      <c r="I823" t="n">
        <v>0</v>
      </c>
      <c r="J823" t="n">
        <v>0</v>
      </c>
      <c r="K823" t="n">
        <v>0</v>
      </c>
      <c r="L823" t="n">
        <v>0</v>
      </c>
      <c r="M823" t="n">
        <v>0</v>
      </c>
      <c r="N823" t="n">
        <v>0</v>
      </c>
      <c r="O823" t="n">
        <v>0</v>
      </c>
      <c r="P823" t="n">
        <v>0</v>
      </c>
      <c r="Q823" t="n">
        <v>0</v>
      </c>
      <c r="R823" s="2" t="inlineStr"/>
    </row>
    <row r="824" ht="15" customHeight="1">
      <c r="A824" t="inlineStr">
        <is>
          <t>A 27313-2025</t>
        </is>
      </c>
      <c r="B824" s="1" t="n">
        <v>45812</v>
      </c>
      <c r="C824" s="1" t="n">
        <v>45834</v>
      </c>
      <c r="D824" t="inlineStr">
        <is>
          <t>DALARNAS LÄN</t>
        </is>
      </c>
      <c r="E824" t="inlineStr">
        <is>
          <t>ORSA</t>
        </is>
      </c>
      <c r="F824" t="inlineStr">
        <is>
          <t>Allmännings- och besparingsskogar</t>
        </is>
      </c>
      <c r="G824" t="n">
        <v>1.4</v>
      </c>
      <c r="H824" t="n">
        <v>0</v>
      </c>
      <c r="I824" t="n">
        <v>0</v>
      </c>
      <c r="J824" t="n">
        <v>0</v>
      </c>
      <c r="K824" t="n">
        <v>0</v>
      </c>
      <c r="L824" t="n">
        <v>0</v>
      </c>
      <c r="M824" t="n">
        <v>0</v>
      </c>
      <c r="N824" t="n">
        <v>0</v>
      </c>
      <c r="O824" t="n">
        <v>0</v>
      </c>
      <c r="P824" t="n">
        <v>0</v>
      </c>
      <c r="Q824" t="n">
        <v>0</v>
      </c>
      <c r="R824" s="2" t="inlineStr"/>
    </row>
    <row r="825" ht="15" customHeight="1">
      <c r="A825" t="inlineStr">
        <is>
          <t>A 27240-2025</t>
        </is>
      </c>
      <c r="B825" s="1" t="n">
        <v>45812</v>
      </c>
      <c r="C825" s="1" t="n">
        <v>45834</v>
      </c>
      <c r="D825" t="inlineStr">
        <is>
          <t>DALARNAS LÄN</t>
        </is>
      </c>
      <c r="E825" t="inlineStr">
        <is>
          <t>ORSA</t>
        </is>
      </c>
      <c r="F825" t="inlineStr">
        <is>
          <t>Bergvik skog öst AB</t>
        </is>
      </c>
      <c r="G825" t="n">
        <v>6.8</v>
      </c>
      <c r="H825" t="n">
        <v>0</v>
      </c>
      <c r="I825" t="n">
        <v>0</v>
      </c>
      <c r="J825" t="n">
        <v>0</v>
      </c>
      <c r="K825" t="n">
        <v>0</v>
      </c>
      <c r="L825" t="n">
        <v>0</v>
      </c>
      <c r="M825" t="n">
        <v>0</v>
      </c>
      <c r="N825" t="n">
        <v>0</v>
      </c>
      <c r="O825" t="n">
        <v>0</v>
      </c>
      <c r="P825" t="n">
        <v>0</v>
      </c>
      <c r="Q825" t="n">
        <v>0</v>
      </c>
      <c r="R825" s="2" t="inlineStr"/>
    </row>
    <row r="826" ht="15" customHeight="1">
      <c r="A826" t="inlineStr">
        <is>
          <t>A 27190-2025</t>
        </is>
      </c>
      <c r="B826" s="1" t="n">
        <v>45812</v>
      </c>
      <c r="C826" s="1" t="n">
        <v>45834</v>
      </c>
      <c r="D826" t="inlineStr">
        <is>
          <t>DALARNAS LÄN</t>
        </is>
      </c>
      <c r="E826" t="inlineStr">
        <is>
          <t>ORSA</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27221-2025</t>
        </is>
      </c>
      <c r="B827" s="1" t="n">
        <v>45812</v>
      </c>
      <c r="C827" s="1" t="n">
        <v>45834</v>
      </c>
      <c r="D827" t="inlineStr">
        <is>
          <t>DALARNAS LÄN</t>
        </is>
      </c>
      <c r="E827" t="inlineStr">
        <is>
          <t>ORSA</t>
        </is>
      </c>
      <c r="F827" t="inlineStr">
        <is>
          <t>Bergvik skog öst AB</t>
        </is>
      </c>
      <c r="G827" t="n">
        <v>3.7</v>
      </c>
      <c r="H827" t="n">
        <v>0</v>
      </c>
      <c r="I827" t="n">
        <v>0</v>
      </c>
      <c r="J827" t="n">
        <v>0</v>
      </c>
      <c r="K827" t="n">
        <v>0</v>
      </c>
      <c r="L827" t="n">
        <v>0</v>
      </c>
      <c r="M827" t="n">
        <v>0</v>
      </c>
      <c r="N827" t="n">
        <v>0</v>
      </c>
      <c r="O827" t="n">
        <v>0</v>
      </c>
      <c r="P827" t="n">
        <v>0</v>
      </c>
      <c r="Q827" t="n">
        <v>0</v>
      </c>
      <c r="R827" s="2" t="inlineStr"/>
    </row>
    <row r="828" ht="15" customHeight="1">
      <c r="A828" t="inlineStr">
        <is>
          <t>A 27885-2025</t>
        </is>
      </c>
      <c r="B828" s="1" t="n">
        <v>45817</v>
      </c>
      <c r="C828" s="1" t="n">
        <v>45834</v>
      </c>
      <c r="D828" t="inlineStr">
        <is>
          <t>DALARNAS LÄN</t>
        </is>
      </c>
      <c r="E828" t="inlineStr">
        <is>
          <t>ORSA</t>
        </is>
      </c>
      <c r="F828" t="inlineStr">
        <is>
          <t>Allmännings- och besparingsskogar</t>
        </is>
      </c>
      <c r="G828" t="n">
        <v>3.4</v>
      </c>
      <c r="H828" t="n">
        <v>0</v>
      </c>
      <c r="I828" t="n">
        <v>0</v>
      </c>
      <c r="J828" t="n">
        <v>0</v>
      </c>
      <c r="K828" t="n">
        <v>0</v>
      </c>
      <c r="L828" t="n">
        <v>0</v>
      </c>
      <c r="M828" t="n">
        <v>0</v>
      </c>
      <c r="N828" t="n">
        <v>0</v>
      </c>
      <c r="O828" t="n">
        <v>0</v>
      </c>
      <c r="P828" t="n">
        <v>0</v>
      </c>
      <c r="Q828" t="n">
        <v>0</v>
      </c>
      <c r="R828" s="2" t="inlineStr"/>
    </row>
    <row r="829" ht="15" customHeight="1">
      <c r="A829" t="inlineStr">
        <is>
          <t>A 27987-2025</t>
        </is>
      </c>
      <c r="B829" s="1" t="n">
        <v>45817</v>
      </c>
      <c r="C829" s="1" t="n">
        <v>45834</v>
      </c>
      <c r="D829" t="inlineStr">
        <is>
          <t>DALARNAS LÄN</t>
        </is>
      </c>
      <c r="E829" t="inlineStr">
        <is>
          <t>ORSA</t>
        </is>
      </c>
      <c r="F829" t="inlineStr">
        <is>
          <t>Allmännings- och besparingsskogar</t>
        </is>
      </c>
      <c r="G829" t="n">
        <v>2.5</v>
      </c>
      <c r="H829" t="n">
        <v>0</v>
      </c>
      <c r="I829" t="n">
        <v>0</v>
      </c>
      <c r="J829" t="n">
        <v>0</v>
      </c>
      <c r="K829" t="n">
        <v>0</v>
      </c>
      <c r="L829" t="n">
        <v>0</v>
      </c>
      <c r="M829" t="n">
        <v>0</v>
      </c>
      <c r="N829" t="n">
        <v>0</v>
      </c>
      <c r="O829" t="n">
        <v>0</v>
      </c>
      <c r="P829" t="n">
        <v>0</v>
      </c>
      <c r="Q829" t="n">
        <v>0</v>
      </c>
      <c r="R829" s="2" t="inlineStr"/>
    </row>
    <row r="830" ht="15" customHeight="1">
      <c r="A830" t="inlineStr">
        <is>
          <t>A 27866-2025</t>
        </is>
      </c>
      <c r="B830" s="1" t="n">
        <v>45817</v>
      </c>
      <c r="C830" s="1" t="n">
        <v>45834</v>
      </c>
      <c r="D830" t="inlineStr">
        <is>
          <t>DALARNAS LÄN</t>
        </is>
      </c>
      <c r="E830" t="inlineStr">
        <is>
          <t>ORSA</t>
        </is>
      </c>
      <c r="F830" t="inlineStr">
        <is>
          <t>Allmännings- och besparingsskogar</t>
        </is>
      </c>
      <c r="G830" t="n">
        <v>6</v>
      </c>
      <c r="H830" t="n">
        <v>0</v>
      </c>
      <c r="I830" t="n">
        <v>0</v>
      </c>
      <c r="J830" t="n">
        <v>0</v>
      </c>
      <c r="K830" t="n">
        <v>0</v>
      </c>
      <c r="L830" t="n">
        <v>0</v>
      </c>
      <c r="M830" t="n">
        <v>0</v>
      </c>
      <c r="N830" t="n">
        <v>0</v>
      </c>
      <c r="O830" t="n">
        <v>0</v>
      </c>
      <c r="P830" t="n">
        <v>0</v>
      </c>
      <c r="Q830" t="n">
        <v>0</v>
      </c>
      <c r="R830" s="2" t="inlineStr"/>
    </row>
    <row r="831" ht="15" customHeight="1">
      <c r="A831" t="inlineStr">
        <is>
          <t>A 28207-2025</t>
        </is>
      </c>
      <c r="B831" s="1" t="n">
        <v>45818</v>
      </c>
      <c r="C831" s="1" t="n">
        <v>45834</v>
      </c>
      <c r="D831" t="inlineStr">
        <is>
          <t>DALARNAS LÄN</t>
        </is>
      </c>
      <c r="E831" t="inlineStr">
        <is>
          <t>ORSA</t>
        </is>
      </c>
      <c r="F831" t="inlineStr">
        <is>
          <t>Bergvik skog öst AB</t>
        </is>
      </c>
      <c r="G831" t="n">
        <v>2.9</v>
      </c>
      <c r="H831" t="n">
        <v>0</v>
      </c>
      <c r="I831" t="n">
        <v>0</v>
      </c>
      <c r="J831" t="n">
        <v>0</v>
      </c>
      <c r="K831" t="n">
        <v>0</v>
      </c>
      <c r="L831" t="n">
        <v>0</v>
      </c>
      <c r="M831" t="n">
        <v>0</v>
      </c>
      <c r="N831" t="n">
        <v>0</v>
      </c>
      <c r="O831" t="n">
        <v>0</v>
      </c>
      <c r="P831" t="n">
        <v>0</v>
      </c>
      <c r="Q831" t="n">
        <v>0</v>
      </c>
      <c r="R831" s="2" t="inlineStr"/>
    </row>
    <row r="832" ht="15" customHeight="1">
      <c r="A832" t="inlineStr">
        <is>
          <t>A 28317-2025</t>
        </is>
      </c>
      <c r="B832" s="1" t="n">
        <v>45818</v>
      </c>
      <c r="C832" s="1" t="n">
        <v>45834</v>
      </c>
      <c r="D832" t="inlineStr">
        <is>
          <t>DALARNAS LÄN</t>
        </is>
      </c>
      <c r="E832" t="inlineStr">
        <is>
          <t>ORSA</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28609-2025</t>
        </is>
      </c>
      <c r="B833" s="1" t="n">
        <v>45819</v>
      </c>
      <c r="C833" s="1" t="n">
        <v>45834</v>
      </c>
      <c r="D833" t="inlineStr">
        <is>
          <t>DALARNAS LÄN</t>
        </is>
      </c>
      <c r="E833" t="inlineStr">
        <is>
          <t>ORSA</t>
        </is>
      </c>
      <c r="F833" t="inlineStr">
        <is>
          <t>Bergvik skog öst AB</t>
        </is>
      </c>
      <c r="G833" t="n">
        <v>9.1</v>
      </c>
      <c r="H833" t="n">
        <v>0</v>
      </c>
      <c r="I833" t="n">
        <v>0</v>
      </c>
      <c r="J833" t="n">
        <v>0</v>
      </c>
      <c r="K833" t="n">
        <v>0</v>
      </c>
      <c r="L833" t="n">
        <v>0</v>
      </c>
      <c r="M833" t="n">
        <v>0</v>
      </c>
      <c r="N833" t="n">
        <v>0</v>
      </c>
      <c r="O833" t="n">
        <v>0</v>
      </c>
      <c r="P833" t="n">
        <v>0</v>
      </c>
      <c r="Q833" t="n">
        <v>0</v>
      </c>
      <c r="R833" s="2" t="inlineStr"/>
    </row>
    <row r="834" ht="15" customHeight="1">
      <c r="A834" t="inlineStr">
        <is>
          <t>A 28635-2025</t>
        </is>
      </c>
      <c r="B834" s="1" t="n">
        <v>45819</v>
      </c>
      <c r="C834" s="1" t="n">
        <v>45834</v>
      </c>
      <c r="D834" t="inlineStr">
        <is>
          <t>DALARNAS LÄN</t>
        </is>
      </c>
      <c r="E834" t="inlineStr">
        <is>
          <t>ORSA</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29933-2025</t>
        </is>
      </c>
      <c r="B835" s="1" t="n">
        <v>45826</v>
      </c>
      <c r="C835" s="1" t="n">
        <v>45834</v>
      </c>
      <c r="D835" t="inlineStr">
        <is>
          <t>DALARNAS LÄN</t>
        </is>
      </c>
      <c r="E835" t="inlineStr">
        <is>
          <t>ORSA</t>
        </is>
      </c>
      <c r="G835" t="n">
        <v>1.8</v>
      </c>
      <c r="H835" t="n">
        <v>0</v>
      </c>
      <c r="I835" t="n">
        <v>0</v>
      </c>
      <c r="J835" t="n">
        <v>0</v>
      </c>
      <c r="K835" t="n">
        <v>0</v>
      </c>
      <c r="L835" t="n">
        <v>0</v>
      </c>
      <c r="M835" t="n">
        <v>0</v>
      </c>
      <c r="N835" t="n">
        <v>0</v>
      </c>
      <c r="O835" t="n">
        <v>0</v>
      </c>
      <c r="P835" t="n">
        <v>0</v>
      </c>
      <c r="Q835" t="n">
        <v>0</v>
      </c>
      <c r="R835" s="2" t="inlineStr"/>
    </row>
    <row r="836" ht="15" customHeight="1">
      <c r="A836" t="inlineStr">
        <is>
          <t>A 29976-2025</t>
        </is>
      </c>
      <c r="B836" s="1" t="n">
        <v>45826</v>
      </c>
      <c r="C836" s="1" t="n">
        <v>45834</v>
      </c>
      <c r="D836" t="inlineStr">
        <is>
          <t>DALARNAS LÄN</t>
        </is>
      </c>
      <c r="E836" t="inlineStr">
        <is>
          <t>ORSA</t>
        </is>
      </c>
      <c r="G836" t="n">
        <v>1.3</v>
      </c>
      <c r="H836" t="n">
        <v>0</v>
      </c>
      <c r="I836" t="n">
        <v>0</v>
      </c>
      <c r="J836" t="n">
        <v>0</v>
      </c>
      <c r="K836" t="n">
        <v>0</v>
      </c>
      <c r="L836" t="n">
        <v>0</v>
      </c>
      <c r="M836" t="n">
        <v>0</v>
      </c>
      <c r="N836" t="n">
        <v>0</v>
      </c>
      <c r="O836" t="n">
        <v>0</v>
      </c>
      <c r="P836" t="n">
        <v>0</v>
      </c>
      <c r="Q836" t="n">
        <v>0</v>
      </c>
      <c r="R836" s="2" t="inlineStr"/>
    </row>
    <row r="837" ht="15" customHeight="1">
      <c r="A837" t="inlineStr">
        <is>
          <t>A 29984-2025</t>
        </is>
      </c>
      <c r="B837" s="1" t="n">
        <v>45826</v>
      </c>
      <c r="C837" s="1" t="n">
        <v>45834</v>
      </c>
      <c r="D837" t="inlineStr">
        <is>
          <t>DALARNAS LÄN</t>
        </is>
      </c>
      <c r="E837" t="inlineStr">
        <is>
          <t>ORSA</t>
        </is>
      </c>
      <c r="G837" t="n">
        <v>0.7</v>
      </c>
      <c r="H837" t="n">
        <v>0</v>
      </c>
      <c r="I837" t="n">
        <v>0</v>
      </c>
      <c r="J837" t="n">
        <v>0</v>
      </c>
      <c r="K837" t="n">
        <v>0</v>
      </c>
      <c r="L837" t="n">
        <v>0</v>
      </c>
      <c r="M837" t="n">
        <v>0</v>
      </c>
      <c r="N837" t="n">
        <v>0</v>
      </c>
      <c r="O837" t="n">
        <v>0</v>
      </c>
      <c r="P837" t="n">
        <v>0</v>
      </c>
      <c r="Q837" t="n">
        <v>0</v>
      </c>
      <c r="R837" s="2" t="inlineStr"/>
    </row>
    <row r="838" ht="15" customHeight="1">
      <c r="A838" t="inlineStr">
        <is>
          <t>A 29844-2025</t>
        </is>
      </c>
      <c r="B838" s="1" t="n">
        <v>45826</v>
      </c>
      <c r="C838" s="1" t="n">
        <v>45834</v>
      </c>
      <c r="D838" t="inlineStr">
        <is>
          <t>DALARNAS LÄN</t>
        </is>
      </c>
      <c r="E838" t="inlineStr">
        <is>
          <t>ORSA</t>
        </is>
      </c>
      <c r="F838" t="inlineStr">
        <is>
          <t>Allmännings- och besparingsskogar</t>
        </is>
      </c>
      <c r="G838" t="n">
        <v>53.9</v>
      </c>
      <c r="H838" t="n">
        <v>0</v>
      </c>
      <c r="I838" t="n">
        <v>0</v>
      </c>
      <c r="J838" t="n">
        <v>0</v>
      </c>
      <c r="K838" t="n">
        <v>0</v>
      </c>
      <c r="L838" t="n">
        <v>0</v>
      </c>
      <c r="M838" t="n">
        <v>0</v>
      </c>
      <c r="N838" t="n">
        <v>0</v>
      </c>
      <c r="O838" t="n">
        <v>0</v>
      </c>
      <c r="P838" t="n">
        <v>0</v>
      </c>
      <c r="Q838" t="n">
        <v>0</v>
      </c>
      <c r="R838" s="2" t="inlineStr"/>
    </row>
    <row r="839" ht="15" customHeight="1">
      <c r="A839" t="inlineStr">
        <is>
          <t>A 30751-2025</t>
        </is>
      </c>
      <c r="B839" s="1" t="n">
        <v>45831</v>
      </c>
      <c r="C839" s="1" t="n">
        <v>45834</v>
      </c>
      <c r="D839" t="inlineStr">
        <is>
          <t>DALARNAS LÄN</t>
        </is>
      </c>
      <c r="E839" t="inlineStr">
        <is>
          <t>ORSA</t>
        </is>
      </c>
      <c r="G839" t="n">
        <v>5.2</v>
      </c>
      <c r="H839" t="n">
        <v>0</v>
      </c>
      <c r="I839" t="n">
        <v>0</v>
      </c>
      <c r="J839" t="n">
        <v>0</v>
      </c>
      <c r="K839" t="n">
        <v>0</v>
      </c>
      <c r="L839" t="n">
        <v>0</v>
      </c>
      <c r="M839" t="n">
        <v>0</v>
      </c>
      <c r="N839" t="n">
        <v>0</v>
      </c>
      <c r="O839" t="n">
        <v>0</v>
      </c>
      <c r="P839" t="n">
        <v>0</v>
      </c>
      <c r="Q839" t="n">
        <v>0</v>
      </c>
      <c r="R839" s="2" t="inlineStr"/>
    </row>
    <row r="840" ht="15" customHeight="1">
      <c r="A840" t="inlineStr">
        <is>
          <t>A 31124-2025</t>
        </is>
      </c>
      <c r="B840" s="1" t="n">
        <v>45832</v>
      </c>
      <c r="C840" s="1" t="n">
        <v>45834</v>
      </c>
      <c r="D840" t="inlineStr">
        <is>
          <t>DALARNAS LÄN</t>
        </is>
      </c>
      <c r="E840" t="inlineStr">
        <is>
          <t>ORSA</t>
        </is>
      </c>
      <c r="G840" t="n">
        <v>1.8</v>
      </c>
      <c r="H840" t="n">
        <v>0</v>
      </c>
      <c r="I840" t="n">
        <v>0</v>
      </c>
      <c r="J840" t="n">
        <v>0</v>
      </c>
      <c r="K840" t="n">
        <v>0</v>
      </c>
      <c r="L840" t="n">
        <v>0</v>
      </c>
      <c r="M840" t="n">
        <v>0</v>
      </c>
      <c r="N840" t="n">
        <v>0</v>
      </c>
      <c r="O840" t="n">
        <v>0</v>
      </c>
      <c r="P840" t="n">
        <v>0</v>
      </c>
      <c r="Q840" t="n">
        <v>0</v>
      </c>
      <c r="R840" s="2" t="inlineStr"/>
    </row>
    <row r="841" ht="15" customHeight="1">
      <c r="A841" t="inlineStr">
        <is>
          <t>A 31137-2025</t>
        </is>
      </c>
      <c r="B841" s="1" t="n">
        <v>45832</v>
      </c>
      <c r="C841" s="1" t="n">
        <v>45834</v>
      </c>
      <c r="D841" t="inlineStr">
        <is>
          <t>DALARNAS LÄN</t>
        </is>
      </c>
      <c r="E841" t="inlineStr">
        <is>
          <t>ORSA</t>
        </is>
      </c>
      <c r="G841" t="n">
        <v>1.4</v>
      </c>
      <c r="H841" t="n">
        <v>0</v>
      </c>
      <c r="I841" t="n">
        <v>0</v>
      </c>
      <c r="J841" t="n">
        <v>0</v>
      </c>
      <c r="K841" t="n">
        <v>0</v>
      </c>
      <c r="L841" t="n">
        <v>0</v>
      </c>
      <c r="M841" t="n">
        <v>0</v>
      </c>
      <c r="N841" t="n">
        <v>0</v>
      </c>
      <c r="O841" t="n">
        <v>0</v>
      </c>
      <c r="P841" t="n">
        <v>0</v>
      </c>
      <c r="Q841" t="n">
        <v>0</v>
      </c>
      <c r="R841" s="2" t="inlineStr"/>
    </row>
    <row r="842" ht="15" customHeight="1">
      <c r="A842" t="inlineStr">
        <is>
          <t>A 31164-2025</t>
        </is>
      </c>
      <c r="B842" s="1" t="n">
        <v>45832</v>
      </c>
      <c r="C842" s="1" t="n">
        <v>45834</v>
      </c>
      <c r="D842" t="inlineStr">
        <is>
          <t>DALARNAS LÄN</t>
        </is>
      </c>
      <c r="E842" t="inlineStr">
        <is>
          <t>ORSA</t>
        </is>
      </c>
      <c r="G842" t="n">
        <v>0.9</v>
      </c>
      <c r="H842" t="n">
        <v>0</v>
      </c>
      <c r="I842" t="n">
        <v>0</v>
      </c>
      <c r="J842" t="n">
        <v>0</v>
      </c>
      <c r="K842" t="n">
        <v>0</v>
      </c>
      <c r="L842" t="n">
        <v>0</v>
      </c>
      <c r="M842" t="n">
        <v>0</v>
      </c>
      <c r="N842" t="n">
        <v>0</v>
      </c>
      <c r="O842" t="n">
        <v>0</v>
      </c>
      <c r="P842" t="n">
        <v>0</v>
      </c>
      <c r="Q842" t="n">
        <v>0</v>
      </c>
      <c r="R842" s="2" t="inlineStr"/>
    </row>
    <row r="843" ht="15" customHeight="1">
      <c r="A843" t="inlineStr">
        <is>
          <t>A 31161-2025</t>
        </is>
      </c>
      <c r="B843" s="1" t="n">
        <v>45832</v>
      </c>
      <c r="C843" s="1" t="n">
        <v>45834</v>
      </c>
      <c r="D843" t="inlineStr">
        <is>
          <t>DALARNAS LÄN</t>
        </is>
      </c>
      <c r="E843" t="inlineStr">
        <is>
          <t>ORSA</t>
        </is>
      </c>
      <c r="G843" t="n">
        <v>1.7</v>
      </c>
      <c r="H843" t="n">
        <v>0</v>
      </c>
      <c r="I843" t="n">
        <v>0</v>
      </c>
      <c r="J843" t="n">
        <v>0</v>
      </c>
      <c r="K843" t="n">
        <v>0</v>
      </c>
      <c r="L843" t="n">
        <v>0</v>
      </c>
      <c r="M843" t="n">
        <v>0</v>
      </c>
      <c r="N843" t="n">
        <v>0</v>
      </c>
      <c r="O843" t="n">
        <v>0</v>
      </c>
      <c r="P843" t="n">
        <v>0</v>
      </c>
      <c r="Q843" t="n">
        <v>0</v>
      </c>
      <c r="R843" s="2" t="inlineStr"/>
    </row>
    <row r="844" ht="15" customHeight="1">
      <c r="A844" t="inlineStr">
        <is>
          <t>A 31336-2025</t>
        </is>
      </c>
      <c r="B844" s="1" t="n">
        <v>45833</v>
      </c>
      <c r="C844" s="1" t="n">
        <v>45834</v>
      </c>
      <c r="D844" t="inlineStr">
        <is>
          <t>DALARNAS LÄN</t>
        </is>
      </c>
      <c r="E844" t="inlineStr">
        <is>
          <t>ORSA</t>
        </is>
      </c>
      <c r="G844" t="n">
        <v>12.8</v>
      </c>
      <c r="H844" t="n">
        <v>0</v>
      </c>
      <c r="I844" t="n">
        <v>0</v>
      </c>
      <c r="J844" t="n">
        <v>0</v>
      </c>
      <c r="K844" t="n">
        <v>0</v>
      </c>
      <c r="L844" t="n">
        <v>0</v>
      </c>
      <c r="M844" t="n">
        <v>0</v>
      </c>
      <c r="N844" t="n">
        <v>0</v>
      </c>
      <c r="O844" t="n">
        <v>0</v>
      </c>
      <c r="P844" t="n">
        <v>0</v>
      </c>
      <c r="Q844" t="n">
        <v>0</v>
      </c>
      <c r="R844" s="2" t="inlineStr"/>
    </row>
    <row r="845">
      <c r="A845" t="inlineStr">
        <is>
          <t>A 31365-2025</t>
        </is>
      </c>
      <c r="B845" s="1" t="n">
        <v>45833</v>
      </c>
      <c r="C845" s="1" t="n">
        <v>45834</v>
      </c>
      <c r="D845" t="inlineStr">
        <is>
          <t>DALARNAS LÄN</t>
        </is>
      </c>
      <c r="E845" t="inlineStr">
        <is>
          <t>ORSA</t>
        </is>
      </c>
      <c r="G845" t="n">
        <v>1.6</v>
      </c>
      <c r="H845" t="n">
        <v>0</v>
      </c>
      <c r="I845" t="n">
        <v>0</v>
      </c>
      <c r="J845" t="n">
        <v>0</v>
      </c>
      <c r="K845" t="n">
        <v>0</v>
      </c>
      <c r="L845" t="n">
        <v>0</v>
      </c>
      <c r="M845" t="n">
        <v>0</v>
      </c>
      <c r="N845" t="n">
        <v>0</v>
      </c>
      <c r="O845" t="n">
        <v>0</v>
      </c>
      <c r="P845" t="n">
        <v>0</v>
      </c>
      <c r="Q845" t="n">
        <v>0</v>
      </c>
      <c r="R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2025-06-26T19:17:03Z</dcterms:created>
  <dcterms:modified xmlns:dcterms="http://purl.org/dc/terms/" xmlns:xsi="http://www.w3.org/2001/XMLSchema-instance" xsi:type="dcterms:W3CDTF">2025-06-26T19:17:04Z</dcterms:modified>
</cp:coreProperties>
</file>