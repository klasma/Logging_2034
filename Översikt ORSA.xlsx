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45937</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45937</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45937</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51902-2023</t>
        </is>
      </c>
      <c r="B6" s="1" t="n">
        <v>45223</v>
      </c>
      <c r="C6" s="1" t="n">
        <v>45937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45937</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45937</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45937</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45937</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45937</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45937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31124-2025</t>
        </is>
      </c>
      <c r="B19" s="1" t="n">
        <v>45832</v>
      </c>
      <c r="C19" s="1" t="n">
        <v>45937</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31137-2025</t>
        </is>
      </c>
      <c r="B20" s="1" t="n">
        <v>45832</v>
      </c>
      <c r="C20" s="1" t="n">
        <v>45937</v>
      </c>
      <c r="D20" t="inlineStr">
        <is>
          <t>DALARNAS LÄN</t>
        </is>
      </c>
      <c r="E20" t="inlineStr">
        <is>
          <t>ORSA</t>
        </is>
      </c>
      <c r="G20" t="n">
        <v>1.4</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31137-2025 artfynd.xlsx", "A 31137-2025")</f>
        <v/>
      </c>
      <c r="T20">
        <f>HYPERLINK("https://klasma.github.io/Logging_2034/kartor/A 31137-2025 karta.png", "A 31137-2025")</f>
        <v/>
      </c>
      <c r="V20">
        <f>HYPERLINK("https://klasma.github.io/Logging_2034/klagomål/A 31137-2025 FSC-klagomål.docx", "A 31137-2025")</f>
        <v/>
      </c>
      <c r="W20">
        <f>HYPERLINK("https://klasma.github.io/Logging_2034/klagomålsmail/A 31137-2025 FSC-klagomål mail.docx", "A 31137-2025")</f>
        <v/>
      </c>
      <c r="X20">
        <f>HYPERLINK("https://klasma.github.io/Logging_2034/tillsyn/A 31137-2025 tillsynsbegäran.docx", "A 31137-2025")</f>
        <v/>
      </c>
      <c r="Y20">
        <f>HYPERLINK("https://klasma.github.io/Logging_2034/tillsynsmail/A 31137-2025 tillsynsbegäran mail.docx", "A 31137-2025")</f>
        <v/>
      </c>
      <c r="Z20">
        <f>HYPERLINK("https://klasma.github.io/Logging_2034/fåglar/A 31137-2025 prioriterade fågelarter.docx", "A 31137-2025")</f>
        <v/>
      </c>
    </row>
    <row r="21" ht="15" customHeight="1">
      <c r="A21" t="inlineStr">
        <is>
          <t>A 2121-2025</t>
        </is>
      </c>
      <c r="B21" s="1" t="n">
        <v>45672</v>
      </c>
      <c r="C21" s="1" t="n">
        <v>45937</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45937</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45937</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45937</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45937</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45937</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45937</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22172-2025</t>
        </is>
      </c>
      <c r="B28" s="1" t="n">
        <v>45785.6050925926</v>
      </c>
      <c r="C28" s="1" t="n">
        <v>45937</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50728-2022</t>
        </is>
      </c>
      <c r="B29" s="1" t="n">
        <v>44867</v>
      </c>
      <c r="C29" s="1" t="n">
        <v>45937</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7618-2025</t>
        </is>
      </c>
      <c r="B30" s="1" t="n">
        <v>45705</v>
      </c>
      <c r="C30" s="1" t="n">
        <v>45937</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22701-2025</t>
        </is>
      </c>
      <c r="B31" s="1" t="n">
        <v>45787</v>
      </c>
      <c r="C31" s="1" t="n">
        <v>45937</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45937</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7619-2025</t>
        </is>
      </c>
      <c r="B33" s="1" t="n">
        <v>45705</v>
      </c>
      <c r="C33" s="1" t="n">
        <v>45937</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3421-2021</t>
        </is>
      </c>
      <c r="B34" s="1" t="n">
        <v>44218</v>
      </c>
      <c r="C34" s="1" t="n">
        <v>45937</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45937</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33366-2023</t>
        </is>
      </c>
      <c r="B36" s="1" t="n">
        <v>45128</v>
      </c>
      <c r="C36" s="1" t="n">
        <v>45937</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31161-2025</t>
        </is>
      </c>
      <c r="B37" s="1" t="n">
        <v>45832</v>
      </c>
      <c r="C37" s="1" t="n">
        <v>45937</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45937</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63810-2021</t>
        </is>
      </c>
      <c r="B39" s="1" t="n">
        <v>44509</v>
      </c>
      <c r="C39" s="1" t="n">
        <v>45937</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v>
      </c>
      <c r="C40" s="1" t="n">
        <v>45937</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45937</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6029-2024</t>
        </is>
      </c>
      <c r="B42" s="1" t="n">
        <v>45336</v>
      </c>
      <c r="C42" s="1" t="n">
        <v>45937</v>
      </c>
      <c r="D42" t="inlineStr">
        <is>
          <t>DALARNAS LÄN</t>
        </is>
      </c>
      <c r="E42" t="inlineStr">
        <is>
          <t>ORSA</t>
        </is>
      </c>
      <c r="F42" t="inlineStr">
        <is>
          <t>Kommuner</t>
        </is>
      </c>
      <c r="G42" t="n">
        <v>0.8</v>
      </c>
      <c r="H42" t="n">
        <v>0</v>
      </c>
      <c r="I42" t="n">
        <v>2</v>
      </c>
      <c r="J42" t="n">
        <v>0</v>
      </c>
      <c r="K42" t="n">
        <v>0</v>
      </c>
      <c r="L42" t="n">
        <v>0</v>
      </c>
      <c r="M42" t="n">
        <v>0</v>
      </c>
      <c r="N42" t="n">
        <v>0</v>
      </c>
      <c r="O42" t="n">
        <v>0</v>
      </c>
      <c r="P42" t="n">
        <v>0</v>
      </c>
      <c r="Q42" t="n">
        <v>2</v>
      </c>
      <c r="R42" s="2" t="inlineStr">
        <is>
          <t>Svart trolldruva
Svavelriska</t>
        </is>
      </c>
      <c r="S42">
        <f>HYPERLINK("https://klasma.github.io/Logging_2034/artfynd/A 6029-2024 artfynd.xlsx", "A 6029-2024")</f>
        <v/>
      </c>
      <c r="T42">
        <f>HYPERLINK("https://klasma.github.io/Logging_2034/kartor/A 6029-2024 karta.png", "A 6029-2024")</f>
        <v/>
      </c>
      <c r="V42">
        <f>HYPERLINK("https://klasma.github.io/Logging_2034/klagomål/A 6029-2024 FSC-klagomål.docx", "A 6029-2024")</f>
        <v/>
      </c>
      <c r="W42">
        <f>HYPERLINK("https://klasma.github.io/Logging_2034/klagomålsmail/A 6029-2024 FSC-klagomål mail.docx", "A 6029-2024")</f>
        <v/>
      </c>
      <c r="X42">
        <f>HYPERLINK("https://klasma.github.io/Logging_2034/tillsyn/A 6029-2024 tillsynsbegäran.docx", "A 6029-2024")</f>
        <v/>
      </c>
      <c r="Y42">
        <f>HYPERLINK("https://klasma.github.io/Logging_2034/tillsynsmail/A 6029-2024 tillsynsbegäran mail.docx", "A 6029-2024")</f>
        <v/>
      </c>
    </row>
    <row r="43" ht="15" customHeight="1">
      <c r="A43" t="inlineStr">
        <is>
          <t>A 37887-2023</t>
        </is>
      </c>
      <c r="B43" s="1" t="n">
        <v>45160</v>
      </c>
      <c r="C43" s="1" t="n">
        <v>45937</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30493-2024</t>
        </is>
      </c>
      <c r="B44" s="1" t="n">
        <v>45492.34811342593</v>
      </c>
      <c r="C44" s="1" t="n">
        <v>45937</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41799-2025</t>
        </is>
      </c>
      <c r="B45" s="1" t="n">
        <v>45902.6065162037</v>
      </c>
      <c r="C45" s="1" t="n">
        <v>45937</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45937</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45937</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45029-2025</t>
        </is>
      </c>
      <c r="B48" s="1" t="n">
        <v>45918.69835648148</v>
      </c>
      <c r="C48" s="1" t="n">
        <v>45937</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34713-2021</t>
        </is>
      </c>
      <c r="B49" s="1" t="n">
        <v>44382</v>
      </c>
      <c r="C49" s="1" t="n">
        <v>45937</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45937</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45937</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45937</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45937</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45937</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45937</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45937</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45937</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68436-2020</t>
        </is>
      </c>
      <c r="B58" s="1" t="n">
        <v>44186</v>
      </c>
      <c r="C58" s="1" t="n">
        <v>45937</v>
      </c>
      <c r="D58" t="inlineStr">
        <is>
          <t>DALARNAS LÄN</t>
        </is>
      </c>
      <c r="E58" t="inlineStr">
        <is>
          <t>ORSA</t>
        </is>
      </c>
      <c r="F58" t="inlineStr">
        <is>
          <t>Allmännings- och besparingsskogar</t>
        </is>
      </c>
      <c r="G58" t="n">
        <v>3.5</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45937</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45937</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10262-2022</t>
        </is>
      </c>
      <c r="B61" s="1" t="n">
        <v>44622.6487037037</v>
      </c>
      <c r="C61" s="1" t="n">
        <v>45937</v>
      </c>
      <c r="D61" t="inlineStr">
        <is>
          <t>DALARNAS LÄN</t>
        </is>
      </c>
      <c r="E61" t="inlineStr">
        <is>
          <t>ORSA</t>
        </is>
      </c>
      <c r="G61" t="n">
        <v>0.6</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45937</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45937</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45937</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45937</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45937</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45937</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45937</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54760-2021</t>
        </is>
      </c>
      <c r="B69" s="1" t="n">
        <v>44473.93685185185</v>
      </c>
      <c r="C69" s="1" t="n">
        <v>45937</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45937</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45937</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45937</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45937</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45937</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45937</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45937</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45937</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45937</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45937</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29366-2021</t>
        </is>
      </c>
      <c r="B80" s="1" t="n">
        <v>44361.46637731481</v>
      </c>
      <c r="C80" s="1" t="n">
        <v>45937</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4454-2021</t>
        </is>
      </c>
      <c r="B81" s="1" t="n">
        <v>44224</v>
      </c>
      <c r="C81" s="1" t="n">
        <v>45937</v>
      </c>
      <c r="D81" t="inlineStr">
        <is>
          <t>DALARNAS LÄN</t>
        </is>
      </c>
      <c r="E81" t="inlineStr">
        <is>
          <t>ORSA</t>
        </is>
      </c>
      <c r="G81" t="n">
        <v>1.2</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45937</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66536-2020</t>
        </is>
      </c>
      <c r="B83" s="1" t="n">
        <v>44179</v>
      </c>
      <c r="C83" s="1" t="n">
        <v>45937</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66533-2020</t>
        </is>
      </c>
      <c r="B84" s="1" t="n">
        <v>44179</v>
      </c>
      <c r="C84" s="1" t="n">
        <v>45937</v>
      </c>
      <c r="D84" t="inlineStr">
        <is>
          <t>DALARNAS LÄN</t>
        </is>
      </c>
      <c r="E84" t="inlineStr">
        <is>
          <t>ORSA</t>
        </is>
      </c>
      <c r="G84" t="n">
        <v>2.3</v>
      </c>
      <c r="H84" t="n">
        <v>0</v>
      </c>
      <c r="I84" t="n">
        <v>0</v>
      </c>
      <c r="J84" t="n">
        <v>0</v>
      </c>
      <c r="K84" t="n">
        <v>0</v>
      </c>
      <c r="L84" t="n">
        <v>0</v>
      </c>
      <c r="M84" t="n">
        <v>0</v>
      </c>
      <c r="N84" t="n">
        <v>0</v>
      </c>
      <c r="O84" t="n">
        <v>0</v>
      </c>
      <c r="P84" t="n">
        <v>0</v>
      </c>
      <c r="Q84" t="n">
        <v>0</v>
      </c>
      <c r="R84" s="2" t="inlineStr"/>
    </row>
    <row r="85" ht="15" customHeight="1">
      <c r="A85" t="inlineStr">
        <is>
          <t>A 14535-2022</t>
        </is>
      </c>
      <c r="B85" s="1" t="n">
        <v>44655.44512731482</v>
      </c>
      <c r="C85" s="1" t="n">
        <v>45937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169-2022</t>
        </is>
      </c>
      <c r="B86" s="1" t="n">
        <v>44564</v>
      </c>
      <c r="C86" s="1" t="n">
        <v>45937</v>
      </c>
      <c r="D86" t="inlineStr">
        <is>
          <t>DALARNAS LÄN</t>
        </is>
      </c>
      <c r="E86" t="inlineStr">
        <is>
          <t>ORSA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41425-2021</t>
        </is>
      </c>
      <c r="B87" s="1" t="n">
        <v>44424.71729166667</v>
      </c>
      <c r="C87" s="1" t="n">
        <v>45937</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51277-2021</t>
        </is>
      </c>
      <c r="B88" s="1" t="n">
        <v>44461</v>
      </c>
      <c r="C88" s="1" t="n">
        <v>45937</v>
      </c>
      <c r="D88" t="inlineStr">
        <is>
          <t>DALARNAS LÄN</t>
        </is>
      </c>
      <c r="E88" t="inlineStr">
        <is>
          <t>ORSA</t>
        </is>
      </c>
      <c r="F88" t="inlineStr">
        <is>
          <t>Allmännings- och besparingsskogar</t>
        </is>
      </c>
      <c r="G88" t="n">
        <v>0.2</v>
      </c>
      <c r="H88" t="n">
        <v>0</v>
      </c>
      <c r="I88" t="n">
        <v>0</v>
      </c>
      <c r="J88" t="n">
        <v>0</v>
      </c>
      <c r="K88" t="n">
        <v>0</v>
      </c>
      <c r="L88" t="n">
        <v>0</v>
      </c>
      <c r="M88" t="n">
        <v>0</v>
      </c>
      <c r="N88" t="n">
        <v>0</v>
      </c>
      <c r="O88" t="n">
        <v>0</v>
      </c>
      <c r="P88" t="n">
        <v>0</v>
      </c>
      <c r="Q88" t="n">
        <v>0</v>
      </c>
      <c r="R88" s="2" t="inlineStr"/>
    </row>
    <row r="89" ht="15" customHeight="1">
      <c r="A89" t="inlineStr">
        <is>
          <t>A 23344-2022</t>
        </is>
      </c>
      <c r="B89" s="1" t="n">
        <v>44720.54599537037</v>
      </c>
      <c r="C89" s="1" t="n">
        <v>45937</v>
      </c>
      <c r="D89" t="inlineStr">
        <is>
          <t>DALARNAS LÄN</t>
        </is>
      </c>
      <c r="E89" t="inlineStr">
        <is>
          <t>ORSA</t>
        </is>
      </c>
      <c r="G89" t="n">
        <v>0.2</v>
      </c>
      <c r="H89" t="n">
        <v>0</v>
      </c>
      <c r="I89" t="n">
        <v>0</v>
      </c>
      <c r="J89" t="n">
        <v>0</v>
      </c>
      <c r="K89" t="n">
        <v>0</v>
      </c>
      <c r="L89" t="n">
        <v>0</v>
      </c>
      <c r="M89" t="n">
        <v>0</v>
      </c>
      <c r="N89" t="n">
        <v>0</v>
      </c>
      <c r="O89" t="n">
        <v>0</v>
      </c>
      <c r="P89" t="n">
        <v>0</v>
      </c>
      <c r="Q89" t="n">
        <v>0</v>
      </c>
      <c r="R89" s="2" t="inlineStr"/>
    </row>
    <row r="90" ht="15" customHeight="1">
      <c r="A90" t="inlineStr">
        <is>
          <t>A 51278-2021</t>
        </is>
      </c>
      <c r="B90" s="1" t="n">
        <v>44461</v>
      </c>
      <c r="C90" s="1" t="n">
        <v>45937</v>
      </c>
      <c r="D90" t="inlineStr">
        <is>
          <t>DALARNAS LÄN</t>
        </is>
      </c>
      <c r="E90" t="inlineStr">
        <is>
          <t>ORSA</t>
        </is>
      </c>
      <c r="F90" t="inlineStr">
        <is>
          <t>Allmännings- och besparingsskogar</t>
        </is>
      </c>
      <c r="G90" t="n">
        <v>0.2</v>
      </c>
      <c r="H90" t="n">
        <v>0</v>
      </c>
      <c r="I90" t="n">
        <v>0</v>
      </c>
      <c r="J90" t="n">
        <v>0</v>
      </c>
      <c r="K90" t="n">
        <v>0</v>
      </c>
      <c r="L90" t="n">
        <v>0</v>
      </c>
      <c r="M90" t="n">
        <v>0</v>
      </c>
      <c r="N90" t="n">
        <v>0</v>
      </c>
      <c r="O90" t="n">
        <v>0</v>
      </c>
      <c r="P90" t="n">
        <v>0</v>
      </c>
      <c r="Q90" t="n">
        <v>0</v>
      </c>
      <c r="R90" s="2" t="inlineStr"/>
    </row>
    <row r="91" ht="15" customHeight="1">
      <c r="A91" t="inlineStr">
        <is>
          <t>A 44035-2022</t>
        </is>
      </c>
      <c r="B91" s="1" t="n">
        <v>44838.94439814815</v>
      </c>
      <c r="C91" s="1" t="n">
        <v>45937</v>
      </c>
      <c r="D91" t="inlineStr">
        <is>
          <t>DALARNAS LÄN</t>
        </is>
      </c>
      <c r="E91" t="inlineStr">
        <is>
          <t>ORSA</t>
        </is>
      </c>
      <c r="G91" t="n">
        <v>5.8</v>
      </c>
      <c r="H91" t="n">
        <v>0</v>
      </c>
      <c r="I91" t="n">
        <v>0</v>
      </c>
      <c r="J91" t="n">
        <v>0</v>
      </c>
      <c r="K91" t="n">
        <v>0</v>
      </c>
      <c r="L91" t="n">
        <v>0</v>
      </c>
      <c r="M91" t="n">
        <v>0</v>
      </c>
      <c r="N91" t="n">
        <v>0</v>
      </c>
      <c r="O91" t="n">
        <v>0</v>
      </c>
      <c r="P91" t="n">
        <v>0</v>
      </c>
      <c r="Q91" t="n">
        <v>0</v>
      </c>
      <c r="R91" s="2" t="inlineStr"/>
    </row>
    <row r="92" ht="15" customHeight="1">
      <c r="A92" t="inlineStr">
        <is>
          <t>A 31647-2021</t>
        </is>
      </c>
      <c r="B92" s="1" t="n">
        <v>44369.63069444444</v>
      </c>
      <c r="C92" s="1" t="n">
        <v>45937</v>
      </c>
      <c r="D92" t="inlineStr">
        <is>
          <t>DALARNAS LÄN</t>
        </is>
      </c>
      <c r="E92" t="inlineStr">
        <is>
          <t>ORSA</t>
        </is>
      </c>
      <c r="G92" t="n">
        <v>1.4</v>
      </c>
      <c r="H92" t="n">
        <v>0</v>
      </c>
      <c r="I92" t="n">
        <v>0</v>
      </c>
      <c r="J92" t="n">
        <v>0</v>
      </c>
      <c r="K92" t="n">
        <v>0</v>
      </c>
      <c r="L92" t="n">
        <v>0</v>
      </c>
      <c r="M92" t="n">
        <v>0</v>
      </c>
      <c r="N92" t="n">
        <v>0</v>
      </c>
      <c r="O92" t="n">
        <v>0</v>
      </c>
      <c r="P92" t="n">
        <v>0</v>
      </c>
      <c r="Q92" t="n">
        <v>0</v>
      </c>
      <c r="R92" s="2" t="inlineStr"/>
    </row>
    <row r="93" ht="15" customHeight="1">
      <c r="A93" t="inlineStr">
        <is>
          <t>A 21678-2021</t>
        </is>
      </c>
      <c r="B93" s="1" t="n">
        <v>44322</v>
      </c>
      <c r="C93" s="1" t="n">
        <v>45937</v>
      </c>
      <c r="D93" t="inlineStr">
        <is>
          <t>DALARNAS LÄN</t>
        </is>
      </c>
      <c r="E93" t="inlineStr">
        <is>
          <t>ORSA</t>
        </is>
      </c>
      <c r="G93" t="n">
        <v>11.4</v>
      </c>
      <c r="H93" t="n">
        <v>0</v>
      </c>
      <c r="I93" t="n">
        <v>0</v>
      </c>
      <c r="J93" t="n">
        <v>0</v>
      </c>
      <c r="K93" t="n">
        <v>0</v>
      </c>
      <c r="L93" t="n">
        <v>0</v>
      </c>
      <c r="M93" t="n">
        <v>0</v>
      </c>
      <c r="N93" t="n">
        <v>0</v>
      </c>
      <c r="O93" t="n">
        <v>0</v>
      </c>
      <c r="P93" t="n">
        <v>0</v>
      </c>
      <c r="Q93" t="n">
        <v>0</v>
      </c>
      <c r="R93" s="2" t="inlineStr"/>
    </row>
    <row r="94" ht="15" customHeight="1">
      <c r="A94" t="inlineStr">
        <is>
          <t>A 56162-2021</t>
        </is>
      </c>
      <c r="B94" s="1" t="n">
        <v>44477</v>
      </c>
      <c r="C94" s="1" t="n">
        <v>45937</v>
      </c>
      <c r="D94" t="inlineStr">
        <is>
          <t>DALARNAS LÄN</t>
        </is>
      </c>
      <c r="E94" t="inlineStr">
        <is>
          <t>ORSA</t>
        </is>
      </c>
      <c r="G94" t="n">
        <v>0.6</v>
      </c>
      <c r="H94" t="n">
        <v>0</v>
      </c>
      <c r="I94" t="n">
        <v>0</v>
      </c>
      <c r="J94" t="n">
        <v>0</v>
      </c>
      <c r="K94" t="n">
        <v>0</v>
      </c>
      <c r="L94" t="n">
        <v>0</v>
      </c>
      <c r="M94" t="n">
        <v>0</v>
      </c>
      <c r="N94" t="n">
        <v>0</v>
      </c>
      <c r="O94" t="n">
        <v>0</v>
      </c>
      <c r="P94" t="n">
        <v>0</v>
      </c>
      <c r="Q94" t="n">
        <v>0</v>
      </c>
      <c r="R94" s="2" t="inlineStr"/>
    </row>
    <row r="95" ht="15" customHeight="1">
      <c r="A95" t="inlineStr">
        <is>
          <t>A 22813-2022</t>
        </is>
      </c>
      <c r="B95" s="1" t="n">
        <v>44715</v>
      </c>
      <c r="C95" s="1" t="n">
        <v>45937</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46244-2022</t>
        </is>
      </c>
      <c r="B96" s="1" t="n">
        <v>44847.62055555556</v>
      </c>
      <c r="C96" s="1" t="n">
        <v>45937</v>
      </c>
      <c r="D96" t="inlineStr">
        <is>
          <t>DALARNAS LÄN</t>
        </is>
      </c>
      <c r="E96" t="inlineStr">
        <is>
          <t>ORSA</t>
        </is>
      </c>
      <c r="F96" t="inlineStr">
        <is>
          <t>Bergvik skog öst AB</t>
        </is>
      </c>
      <c r="G96" t="n">
        <v>2.6</v>
      </c>
      <c r="H96" t="n">
        <v>0</v>
      </c>
      <c r="I96" t="n">
        <v>0</v>
      </c>
      <c r="J96" t="n">
        <v>0</v>
      </c>
      <c r="K96" t="n">
        <v>0</v>
      </c>
      <c r="L96" t="n">
        <v>0</v>
      </c>
      <c r="M96" t="n">
        <v>0</v>
      </c>
      <c r="N96" t="n">
        <v>0</v>
      </c>
      <c r="O96" t="n">
        <v>0</v>
      </c>
      <c r="P96" t="n">
        <v>0</v>
      </c>
      <c r="Q96" t="n">
        <v>0</v>
      </c>
      <c r="R96" s="2" t="inlineStr"/>
    </row>
    <row r="97" ht="15" customHeight="1">
      <c r="A97" t="inlineStr">
        <is>
          <t>A 3452-2021</t>
        </is>
      </c>
      <c r="B97" s="1" t="n">
        <v>44218</v>
      </c>
      <c r="C97" s="1" t="n">
        <v>45937</v>
      </c>
      <c r="D97" t="inlineStr">
        <is>
          <t>DALARNAS LÄN</t>
        </is>
      </c>
      <c r="E97" t="inlineStr">
        <is>
          <t>ORSA</t>
        </is>
      </c>
      <c r="G97" t="n">
        <v>12.5</v>
      </c>
      <c r="H97" t="n">
        <v>0</v>
      </c>
      <c r="I97" t="n">
        <v>0</v>
      </c>
      <c r="J97" t="n">
        <v>0</v>
      </c>
      <c r="K97" t="n">
        <v>0</v>
      </c>
      <c r="L97" t="n">
        <v>0</v>
      </c>
      <c r="M97" t="n">
        <v>0</v>
      </c>
      <c r="N97" t="n">
        <v>0</v>
      </c>
      <c r="O97" t="n">
        <v>0</v>
      </c>
      <c r="P97" t="n">
        <v>0</v>
      </c>
      <c r="Q97" t="n">
        <v>0</v>
      </c>
      <c r="R97" s="2" t="inlineStr"/>
    </row>
    <row r="98" ht="15" customHeight="1">
      <c r="A98" t="inlineStr">
        <is>
          <t>A 68230-2021</t>
        </is>
      </c>
      <c r="B98" s="1" t="n">
        <v>44526</v>
      </c>
      <c r="C98" s="1" t="n">
        <v>45937</v>
      </c>
      <c r="D98" t="inlineStr">
        <is>
          <t>DALARNAS LÄN</t>
        </is>
      </c>
      <c r="E98" t="inlineStr">
        <is>
          <t>ORSA</t>
        </is>
      </c>
      <c r="F98" t="inlineStr">
        <is>
          <t>Kyrkan</t>
        </is>
      </c>
      <c r="G98" t="n">
        <v>2.2</v>
      </c>
      <c r="H98" t="n">
        <v>0</v>
      </c>
      <c r="I98" t="n">
        <v>0</v>
      </c>
      <c r="J98" t="n">
        <v>0</v>
      </c>
      <c r="K98" t="n">
        <v>0</v>
      </c>
      <c r="L98" t="n">
        <v>0</v>
      </c>
      <c r="M98" t="n">
        <v>0</v>
      </c>
      <c r="N98" t="n">
        <v>0</v>
      </c>
      <c r="O98" t="n">
        <v>0</v>
      </c>
      <c r="P98" t="n">
        <v>0</v>
      </c>
      <c r="Q98" t="n">
        <v>0</v>
      </c>
      <c r="R98" s="2" t="inlineStr"/>
    </row>
    <row r="99" ht="15" customHeight="1">
      <c r="A99" t="inlineStr">
        <is>
          <t>A 44033-2022</t>
        </is>
      </c>
      <c r="B99" s="1" t="n">
        <v>44838</v>
      </c>
      <c r="C99" s="1" t="n">
        <v>45937</v>
      </c>
      <c r="D99" t="inlineStr">
        <is>
          <t>DALARNAS LÄN</t>
        </is>
      </c>
      <c r="E99" t="inlineStr">
        <is>
          <t>ORSA</t>
        </is>
      </c>
      <c r="G99" t="n">
        <v>5.3</v>
      </c>
      <c r="H99" t="n">
        <v>0</v>
      </c>
      <c r="I99" t="n">
        <v>0</v>
      </c>
      <c r="J99" t="n">
        <v>0</v>
      </c>
      <c r="K99" t="n">
        <v>0</v>
      </c>
      <c r="L99" t="n">
        <v>0</v>
      </c>
      <c r="M99" t="n">
        <v>0</v>
      </c>
      <c r="N99" t="n">
        <v>0</v>
      </c>
      <c r="O99" t="n">
        <v>0</v>
      </c>
      <c r="P99" t="n">
        <v>0</v>
      </c>
      <c r="Q99" t="n">
        <v>0</v>
      </c>
      <c r="R99" s="2" t="inlineStr"/>
    </row>
    <row r="100" ht="15" customHeight="1">
      <c r="A100" t="inlineStr">
        <is>
          <t>A 9807-2022</t>
        </is>
      </c>
      <c r="B100" s="1" t="n">
        <v>44620.40868055556</v>
      </c>
      <c r="C100" s="1" t="n">
        <v>45937</v>
      </c>
      <c r="D100" t="inlineStr">
        <is>
          <t>DALARNAS LÄN</t>
        </is>
      </c>
      <c r="E100" t="inlineStr">
        <is>
          <t>ORSA</t>
        </is>
      </c>
      <c r="G100" t="n">
        <v>0.5</v>
      </c>
      <c r="H100" t="n">
        <v>0</v>
      </c>
      <c r="I100" t="n">
        <v>0</v>
      </c>
      <c r="J100" t="n">
        <v>0</v>
      </c>
      <c r="K100" t="n">
        <v>0</v>
      </c>
      <c r="L100" t="n">
        <v>0</v>
      </c>
      <c r="M100" t="n">
        <v>0</v>
      </c>
      <c r="N100" t="n">
        <v>0</v>
      </c>
      <c r="O100" t="n">
        <v>0</v>
      </c>
      <c r="P100" t="n">
        <v>0</v>
      </c>
      <c r="Q100" t="n">
        <v>0</v>
      </c>
      <c r="R100" s="2" t="inlineStr"/>
    </row>
    <row r="101" ht="15" customHeight="1">
      <c r="A101" t="inlineStr">
        <is>
          <t>A 47126-2021</t>
        </is>
      </c>
      <c r="B101" s="1" t="n">
        <v>44446.78168981482</v>
      </c>
      <c r="C101" s="1" t="n">
        <v>45937</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30290-2024</t>
        </is>
      </c>
      <c r="B102" s="1" t="n">
        <v>45490.64681712963</v>
      </c>
      <c r="C102" s="1" t="n">
        <v>45937</v>
      </c>
      <c r="D102" t="inlineStr">
        <is>
          <t>DALARNAS LÄN</t>
        </is>
      </c>
      <c r="E102" t="inlineStr">
        <is>
          <t>ORSA</t>
        </is>
      </c>
      <c r="F102" t="inlineStr">
        <is>
          <t>Bergvik skog öst AB</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45937</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63367-2020</t>
        </is>
      </c>
      <c r="B104" s="1" t="n">
        <v>44160</v>
      </c>
      <c r="C104" s="1" t="n">
        <v>45937</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55338-2022</t>
        </is>
      </c>
      <c r="B105" s="1" t="n">
        <v>44887.45185185185</v>
      </c>
      <c r="C105" s="1" t="n">
        <v>45937</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36682-2024</t>
        </is>
      </c>
      <c r="B106" s="1" t="n">
        <v>45537.65519675926</v>
      </c>
      <c r="C106" s="1" t="n">
        <v>45937</v>
      </c>
      <c r="D106" t="inlineStr">
        <is>
          <t>DALARNAS LÄN</t>
        </is>
      </c>
      <c r="E106" t="inlineStr">
        <is>
          <t>ORSA</t>
        </is>
      </c>
      <c r="G106" t="n">
        <v>1.2</v>
      </c>
      <c r="H106" t="n">
        <v>0</v>
      </c>
      <c r="I106" t="n">
        <v>0</v>
      </c>
      <c r="J106" t="n">
        <v>0</v>
      </c>
      <c r="K106" t="n">
        <v>0</v>
      </c>
      <c r="L106" t="n">
        <v>0</v>
      </c>
      <c r="M106" t="n">
        <v>0</v>
      </c>
      <c r="N106" t="n">
        <v>0</v>
      </c>
      <c r="O106" t="n">
        <v>0</v>
      </c>
      <c r="P106" t="n">
        <v>0</v>
      </c>
      <c r="Q106" t="n">
        <v>0</v>
      </c>
      <c r="R106" s="2" t="inlineStr"/>
    </row>
    <row r="107" ht="15" customHeight="1">
      <c r="A107" t="inlineStr">
        <is>
          <t>A 9561-2022</t>
        </is>
      </c>
      <c r="B107" s="1" t="n">
        <v>44617</v>
      </c>
      <c r="C107" s="1" t="n">
        <v>45937</v>
      </c>
      <c r="D107" t="inlineStr">
        <is>
          <t>DALARNAS LÄN</t>
        </is>
      </c>
      <c r="E107" t="inlineStr">
        <is>
          <t>ORSA</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52574-2021</t>
        </is>
      </c>
      <c r="B108" s="1" t="n">
        <v>44466.55795138889</v>
      </c>
      <c r="C108" s="1" t="n">
        <v>45937</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51864-2022</t>
        </is>
      </c>
      <c r="B109" s="1" t="n">
        <v>44872</v>
      </c>
      <c r="C109" s="1" t="n">
        <v>45937</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6476-2025</t>
        </is>
      </c>
      <c r="B110" s="1" t="n">
        <v>45699</v>
      </c>
      <c r="C110" s="1" t="n">
        <v>45937</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6479-2025</t>
        </is>
      </c>
      <c r="B111" s="1" t="n">
        <v>45699</v>
      </c>
      <c r="C111" s="1" t="n">
        <v>45937</v>
      </c>
      <c r="D111" t="inlineStr">
        <is>
          <t>DALARNAS LÄN</t>
        </is>
      </c>
      <c r="E111" t="inlineStr">
        <is>
          <t>ORSA</t>
        </is>
      </c>
      <c r="G111" t="n">
        <v>3.2</v>
      </c>
      <c r="H111" t="n">
        <v>0</v>
      </c>
      <c r="I111" t="n">
        <v>0</v>
      </c>
      <c r="J111" t="n">
        <v>0</v>
      </c>
      <c r="K111" t="n">
        <v>0</v>
      </c>
      <c r="L111" t="n">
        <v>0</v>
      </c>
      <c r="M111" t="n">
        <v>0</v>
      </c>
      <c r="N111" t="n">
        <v>0</v>
      </c>
      <c r="O111" t="n">
        <v>0</v>
      </c>
      <c r="P111" t="n">
        <v>0</v>
      </c>
      <c r="Q111" t="n">
        <v>0</v>
      </c>
      <c r="R111" s="2" t="inlineStr"/>
    </row>
    <row r="112" ht="15" customHeight="1">
      <c r="A112" t="inlineStr">
        <is>
          <t>A 20588-2025</t>
        </is>
      </c>
      <c r="B112" s="1" t="n">
        <v>45775</v>
      </c>
      <c r="C112" s="1" t="n">
        <v>45937</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12101-2025</t>
        </is>
      </c>
      <c r="B113" s="1" t="n">
        <v>45729.33743055556</v>
      </c>
      <c r="C113" s="1" t="n">
        <v>45937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29499-2024</t>
        </is>
      </c>
      <c r="B114" s="1" t="n">
        <v>45484</v>
      </c>
      <c r="C114" s="1" t="n">
        <v>45937</v>
      </c>
      <c r="D114" t="inlineStr">
        <is>
          <t>DALARNAS LÄN</t>
        </is>
      </c>
      <c r="E114" t="inlineStr">
        <is>
          <t>ORSA</t>
        </is>
      </c>
      <c r="G114" t="n">
        <v>1.7</v>
      </c>
      <c r="H114" t="n">
        <v>0</v>
      </c>
      <c r="I114" t="n">
        <v>0</v>
      </c>
      <c r="J114" t="n">
        <v>0</v>
      </c>
      <c r="K114" t="n">
        <v>0</v>
      </c>
      <c r="L114" t="n">
        <v>0</v>
      </c>
      <c r="M114" t="n">
        <v>0</v>
      </c>
      <c r="N114" t="n">
        <v>0</v>
      </c>
      <c r="O114" t="n">
        <v>0</v>
      </c>
      <c r="P114" t="n">
        <v>0</v>
      </c>
      <c r="Q114" t="n">
        <v>0</v>
      </c>
      <c r="R114" s="2" t="inlineStr"/>
    </row>
    <row r="115" ht="15" customHeight="1">
      <c r="A115" t="inlineStr">
        <is>
          <t>A 30291-2024</t>
        </is>
      </c>
      <c r="B115" s="1" t="n">
        <v>45490.64978009259</v>
      </c>
      <c r="C115" s="1" t="n">
        <v>45937</v>
      </c>
      <c r="D115" t="inlineStr">
        <is>
          <t>DALARNAS LÄN</t>
        </is>
      </c>
      <c r="E115" t="inlineStr">
        <is>
          <t>ORSA</t>
        </is>
      </c>
      <c r="F115" t="inlineStr">
        <is>
          <t>Bergvik skog öst AB</t>
        </is>
      </c>
      <c r="G115" t="n">
        <v>7.5</v>
      </c>
      <c r="H115" t="n">
        <v>0</v>
      </c>
      <c r="I115" t="n">
        <v>0</v>
      </c>
      <c r="J115" t="n">
        <v>0</v>
      </c>
      <c r="K115" t="n">
        <v>0</v>
      </c>
      <c r="L115" t="n">
        <v>0</v>
      </c>
      <c r="M115" t="n">
        <v>0</v>
      </c>
      <c r="N115" t="n">
        <v>0</v>
      </c>
      <c r="O115" t="n">
        <v>0</v>
      </c>
      <c r="P115" t="n">
        <v>0</v>
      </c>
      <c r="Q115" t="n">
        <v>0</v>
      </c>
      <c r="R115" s="2" t="inlineStr"/>
    </row>
    <row r="116" ht="15" customHeight="1">
      <c r="A116" t="inlineStr">
        <is>
          <t>A 5921-2025</t>
        </is>
      </c>
      <c r="B116" s="1" t="n">
        <v>45695</v>
      </c>
      <c r="C116" s="1" t="n">
        <v>45937</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37836-2024</t>
        </is>
      </c>
      <c r="B117" s="1" t="n">
        <v>45544.35747685185</v>
      </c>
      <c r="C117" s="1" t="n">
        <v>45937</v>
      </c>
      <c r="D117" t="inlineStr">
        <is>
          <t>DALARNAS LÄN</t>
        </is>
      </c>
      <c r="E117" t="inlineStr">
        <is>
          <t>ORSA</t>
        </is>
      </c>
      <c r="G117" t="n">
        <v>2.3</v>
      </c>
      <c r="H117" t="n">
        <v>0</v>
      </c>
      <c r="I117" t="n">
        <v>0</v>
      </c>
      <c r="J117" t="n">
        <v>0</v>
      </c>
      <c r="K117" t="n">
        <v>0</v>
      </c>
      <c r="L117" t="n">
        <v>0</v>
      </c>
      <c r="M117" t="n">
        <v>0</v>
      </c>
      <c r="N117" t="n">
        <v>0</v>
      </c>
      <c r="O117" t="n">
        <v>0</v>
      </c>
      <c r="P117" t="n">
        <v>0</v>
      </c>
      <c r="Q117" t="n">
        <v>0</v>
      </c>
      <c r="R117" s="2" t="inlineStr"/>
    </row>
    <row r="118" ht="15" customHeight="1">
      <c r="A118" t="inlineStr">
        <is>
          <t>A 7626-2025</t>
        </is>
      </c>
      <c r="B118" s="1" t="n">
        <v>45705.72799768519</v>
      </c>
      <c r="C118" s="1" t="n">
        <v>45937</v>
      </c>
      <c r="D118" t="inlineStr">
        <is>
          <t>DALARNAS LÄN</t>
        </is>
      </c>
      <c r="E118" t="inlineStr">
        <is>
          <t>ORSA</t>
        </is>
      </c>
      <c r="G118" t="n">
        <v>15.5</v>
      </c>
      <c r="H118" t="n">
        <v>0</v>
      </c>
      <c r="I118" t="n">
        <v>0</v>
      </c>
      <c r="J118" t="n">
        <v>0</v>
      </c>
      <c r="K118" t="n">
        <v>0</v>
      </c>
      <c r="L118" t="n">
        <v>0</v>
      </c>
      <c r="M118" t="n">
        <v>0</v>
      </c>
      <c r="N118" t="n">
        <v>0</v>
      </c>
      <c r="O118" t="n">
        <v>0</v>
      </c>
      <c r="P118" t="n">
        <v>0</v>
      </c>
      <c r="Q118" t="n">
        <v>0</v>
      </c>
      <c r="R118" s="2" t="inlineStr"/>
    </row>
    <row r="119" ht="15" customHeight="1">
      <c r="A119" t="inlineStr">
        <is>
          <t>A 28974-2024</t>
        </is>
      </c>
      <c r="B119" s="1" t="n">
        <v>45481.45445601852</v>
      </c>
      <c r="C119" s="1" t="n">
        <v>45937</v>
      </c>
      <c r="D119" t="inlineStr">
        <is>
          <t>DALARNAS LÄN</t>
        </is>
      </c>
      <c r="E119" t="inlineStr">
        <is>
          <t>ORSA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50392-2024</t>
        </is>
      </c>
      <c r="B120" s="1" t="n">
        <v>45601.33789351852</v>
      </c>
      <c r="C120" s="1" t="n">
        <v>45937</v>
      </c>
      <c r="D120" t="inlineStr">
        <is>
          <t>DALARNAS LÄN</t>
        </is>
      </c>
      <c r="E120" t="inlineStr">
        <is>
          <t>ORSA</t>
        </is>
      </c>
      <c r="G120" t="n">
        <v>0.5</v>
      </c>
      <c r="H120" t="n">
        <v>0</v>
      </c>
      <c r="I120" t="n">
        <v>0</v>
      </c>
      <c r="J120" t="n">
        <v>0</v>
      </c>
      <c r="K120" t="n">
        <v>0</v>
      </c>
      <c r="L120" t="n">
        <v>0</v>
      </c>
      <c r="M120" t="n">
        <v>0</v>
      </c>
      <c r="N120" t="n">
        <v>0</v>
      </c>
      <c r="O120" t="n">
        <v>0</v>
      </c>
      <c r="P120" t="n">
        <v>0</v>
      </c>
      <c r="Q120" t="n">
        <v>0</v>
      </c>
      <c r="R120" s="2" t="inlineStr"/>
    </row>
    <row r="121" ht="15" customHeight="1">
      <c r="A121" t="inlineStr">
        <is>
          <t>A 48819-2024</t>
        </is>
      </c>
      <c r="B121" s="1" t="n">
        <v>45593.67824074074</v>
      </c>
      <c r="C121" s="1" t="n">
        <v>45937</v>
      </c>
      <c r="D121" t="inlineStr">
        <is>
          <t>DALARNAS LÄN</t>
        </is>
      </c>
      <c r="E121" t="inlineStr">
        <is>
          <t>ORSA</t>
        </is>
      </c>
      <c r="G121" t="n">
        <v>5</v>
      </c>
      <c r="H121" t="n">
        <v>0</v>
      </c>
      <c r="I121" t="n">
        <v>0</v>
      </c>
      <c r="J121" t="n">
        <v>0</v>
      </c>
      <c r="K121" t="n">
        <v>0</v>
      </c>
      <c r="L121" t="n">
        <v>0</v>
      </c>
      <c r="M121" t="n">
        <v>0</v>
      </c>
      <c r="N121" t="n">
        <v>0</v>
      </c>
      <c r="O121" t="n">
        <v>0</v>
      </c>
      <c r="P121" t="n">
        <v>0</v>
      </c>
      <c r="Q121" t="n">
        <v>0</v>
      </c>
      <c r="R121" s="2" t="inlineStr"/>
    </row>
    <row r="122" ht="15" customHeight="1">
      <c r="A122" t="inlineStr">
        <is>
          <t>A 36089-2023</t>
        </is>
      </c>
      <c r="B122" s="1" t="n">
        <v>45149.51068287037</v>
      </c>
      <c r="C122" s="1" t="n">
        <v>45937</v>
      </c>
      <c r="D122" t="inlineStr">
        <is>
          <t>DALARNAS LÄN</t>
        </is>
      </c>
      <c r="E122" t="inlineStr">
        <is>
          <t>ORSA</t>
        </is>
      </c>
      <c r="F122" t="inlineStr">
        <is>
          <t>Allmännings- och besparingsskogar</t>
        </is>
      </c>
      <c r="G122" t="n">
        <v>1.2</v>
      </c>
      <c r="H122" t="n">
        <v>0</v>
      </c>
      <c r="I122" t="n">
        <v>0</v>
      </c>
      <c r="J122" t="n">
        <v>0</v>
      </c>
      <c r="K122" t="n">
        <v>0</v>
      </c>
      <c r="L122" t="n">
        <v>0</v>
      </c>
      <c r="M122" t="n">
        <v>0</v>
      </c>
      <c r="N122" t="n">
        <v>0</v>
      </c>
      <c r="O122" t="n">
        <v>0</v>
      </c>
      <c r="P122" t="n">
        <v>0</v>
      </c>
      <c r="Q122" t="n">
        <v>0</v>
      </c>
      <c r="R122" s="2" t="inlineStr"/>
    </row>
    <row r="123" ht="15" customHeight="1">
      <c r="A123" t="inlineStr">
        <is>
          <t>A 21446-2024</t>
        </is>
      </c>
      <c r="B123" s="1" t="n">
        <v>45441.45840277777</v>
      </c>
      <c r="C123" s="1" t="n">
        <v>45937</v>
      </c>
      <c r="D123" t="inlineStr">
        <is>
          <t>DALARNAS LÄN</t>
        </is>
      </c>
      <c r="E123" t="inlineStr">
        <is>
          <t>ORSA</t>
        </is>
      </c>
      <c r="G123" t="n">
        <v>1.6</v>
      </c>
      <c r="H123" t="n">
        <v>0</v>
      </c>
      <c r="I123" t="n">
        <v>0</v>
      </c>
      <c r="J123" t="n">
        <v>0</v>
      </c>
      <c r="K123" t="n">
        <v>0</v>
      </c>
      <c r="L123" t="n">
        <v>0</v>
      </c>
      <c r="M123" t="n">
        <v>0</v>
      </c>
      <c r="N123" t="n">
        <v>0</v>
      </c>
      <c r="O123" t="n">
        <v>0</v>
      </c>
      <c r="P123" t="n">
        <v>0</v>
      </c>
      <c r="Q123" t="n">
        <v>0</v>
      </c>
      <c r="R123" s="2" t="inlineStr"/>
    </row>
    <row r="124" ht="15" customHeight="1">
      <c r="A124" t="inlineStr">
        <is>
          <t>A 61277-2023</t>
        </is>
      </c>
      <c r="B124" s="1" t="n">
        <v>45264.52465277778</v>
      </c>
      <c r="C124" s="1" t="n">
        <v>45937</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62342-2023</t>
        </is>
      </c>
      <c r="B125" s="1" t="n">
        <v>45267.9268287037</v>
      </c>
      <c r="C125" s="1" t="n">
        <v>45937</v>
      </c>
      <c r="D125" t="inlineStr">
        <is>
          <t>DALARNAS LÄN</t>
        </is>
      </c>
      <c r="E125" t="inlineStr">
        <is>
          <t>ORSA</t>
        </is>
      </c>
      <c r="G125" t="n">
        <v>2.5</v>
      </c>
      <c r="H125" t="n">
        <v>0</v>
      </c>
      <c r="I125" t="n">
        <v>0</v>
      </c>
      <c r="J125" t="n">
        <v>0</v>
      </c>
      <c r="K125" t="n">
        <v>0</v>
      </c>
      <c r="L125" t="n">
        <v>0</v>
      </c>
      <c r="M125" t="n">
        <v>0</v>
      </c>
      <c r="N125" t="n">
        <v>0</v>
      </c>
      <c r="O125" t="n">
        <v>0</v>
      </c>
      <c r="P125" t="n">
        <v>0</v>
      </c>
      <c r="Q125" t="n">
        <v>0</v>
      </c>
      <c r="R125" s="2" t="inlineStr"/>
    </row>
    <row r="126" ht="15" customHeight="1">
      <c r="A126" t="inlineStr">
        <is>
          <t>A 26215-2022</t>
        </is>
      </c>
      <c r="B126" s="1" t="n">
        <v>44735.4421412037</v>
      </c>
      <c r="C126" s="1" t="n">
        <v>45937</v>
      </c>
      <c r="D126" t="inlineStr">
        <is>
          <t>DALARNAS LÄN</t>
        </is>
      </c>
      <c r="E126" t="inlineStr">
        <is>
          <t>ORSA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52903-2024</t>
        </is>
      </c>
      <c r="B127" s="1" t="n">
        <v>45610.6875462963</v>
      </c>
      <c r="C127" s="1" t="n">
        <v>45937</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20808-2025</t>
        </is>
      </c>
      <c r="B128" s="1" t="n">
        <v>45776</v>
      </c>
      <c r="C128" s="1" t="n">
        <v>45937</v>
      </c>
      <c r="D128" t="inlineStr">
        <is>
          <t>DALARNAS LÄN</t>
        </is>
      </c>
      <c r="E128" t="inlineStr">
        <is>
          <t>ORSA</t>
        </is>
      </c>
      <c r="F128" t="inlineStr">
        <is>
          <t>Bergvik skog väst AB</t>
        </is>
      </c>
      <c r="G128" t="n">
        <v>14.3</v>
      </c>
      <c r="H128" t="n">
        <v>0</v>
      </c>
      <c r="I128" t="n">
        <v>0</v>
      </c>
      <c r="J128" t="n">
        <v>0</v>
      </c>
      <c r="K128" t="n">
        <v>0</v>
      </c>
      <c r="L128" t="n">
        <v>0</v>
      </c>
      <c r="M128" t="n">
        <v>0</v>
      </c>
      <c r="N128" t="n">
        <v>0</v>
      </c>
      <c r="O128" t="n">
        <v>0</v>
      </c>
      <c r="P128" t="n">
        <v>0</v>
      </c>
      <c r="Q128" t="n">
        <v>0</v>
      </c>
      <c r="R128" s="2" t="inlineStr"/>
    </row>
    <row r="129" ht="15" customHeight="1">
      <c r="A129" t="inlineStr">
        <is>
          <t>A 18009-2023</t>
        </is>
      </c>
      <c r="B129" s="1" t="n">
        <v>45040.56190972222</v>
      </c>
      <c r="C129" s="1" t="n">
        <v>45937</v>
      </c>
      <c r="D129" t="inlineStr">
        <is>
          <t>DALARNAS LÄN</t>
        </is>
      </c>
      <c r="E129" t="inlineStr">
        <is>
          <t>ORSA</t>
        </is>
      </c>
      <c r="G129" t="n">
        <v>5.8</v>
      </c>
      <c r="H129" t="n">
        <v>0</v>
      </c>
      <c r="I129" t="n">
        <v>0</v>
      </c>
      <c r="J129" t="n">
        <v>0</v>
      </c>
      <c r="K129" t="n">
        <v>0</v>
      </c>
      <c r="L129" t="n">
        <v>0</v>
      </c>
      <c r="M129" t="n">
        <v>0</v>
      </c>
      <c r="N129" t="n">
        <v>0</v>
      </c>
      <c r="O129" t="n">
        <v>0</v>
      </c>
      <c r="P129" t="n">
        <v>0</v>
      </c>
      <c r="Q129" t="n">
        <v>0</v>
      </c>
      <c r="R129" s="2" t="inlineStr"/>
    </row>
    <row r="130" ht="15" customHeight="1">
      <c r="A130" t="inlineStr">
        <is>
          <t>A 61000-2021</t>
        </is>
      </c>
      <c r="B130" s="1" t="n">
        <v>44497</v>
      </c>
      <c r="C130" s="1" t="n">
        <v>45937</v>
      </c>
      <c r="D130" t="inlineStr">
        <is>
          <t>DALARNAS LÄN</t>
        </is>
      </c>
      <c r="E130" t="inlineStr">
        <is>
          <t>ORSA</t>
        </is>
      </c>
      <c r="G130" t="n">
        <v>4.4</v>
      </c>
      <c r="H130" t="n">
        <v>0</v>
      </c>
      <c r="I130" t="n">
        <v>0</v>
      </c>
      <c r="J130" t="n">
        <v>0</v>
      </c>
      <c r="K130" t="n">
        <v>0</v>
      </c>
      <c r="L130" t="n">
        <v>0</v>
      </c>
      <c r="M130" t="n">
        <v>0</v>
      </c>
      <c r="N130" t="n">
        <v>0</v>
      </c>
      <c r="O130" t="n">
        <v>0</v>
      </c>
      <c r="P130" t="n">
        <v>0</v>
      </c>
      <c r="Q130" t="n">
        <v>0</v>
      </c>
      <c r="R130" s="2" t="inlineStr"/>
    </row>
    <row r="131" ht="15" customHeight="1">
      <c r="A131" t="inlineStr">
        <is>
          <t>A 61005-2021</t>
        </is>
      </c>
      <c r="B131" s="1" t="n">
        <v>44497</v>
      </c>
      <c r="C131" s="1" t="n">
        <v>45937</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41291-2021</t>
        </is>
      </c>
      <c r="B132" s="1" t="n">
        <v>44424</v>
      </c>
      <c r="C132" s="1" t="n">
        <v>45937</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50999-2021</t>
        </is>
      </c>
      <c r="B133" s="1" t="n">
        <v>44460.85565972222</v>
      </c>
      <c r="C133" s="1" t="n">
        <v>45937</v>
      </c>
      <c r="D133" t="inlineStr">
        <is>
          <t>DALARNAS LÄN</t>
        </is>
      </c>
      <c r="E133" t="inlineStr">
        <is>
          <t>ORSA</t>
        </is>
      </c>
      <c r="G133" t="n">
        <v>3</v>
      </c>
      <c r="H133" t="n">
        <v>0</v>
      </c>
      <c r="I133" t="n">
        <v>0</v>
      </c>
      <c r="J133" t="n">
        <v>0</v>
      </c>
      <c r="K133" t="n">
        <v>0</v>
      </c>
      <c r="L133" t="n">
        <v>0</v>
      </c>
      <c r="M133" t="n">
        <v>0</v>
      </c>
      <c r="N133" t="n">
        <v>0</v>
      </c>
      <c r="O133" t="n">
        <v>0</v>
      </c>
      <c r="P133" t="n">
        <v>0</v>
      </c>
      <c r="Q133" t="n">
        <v>0</v>
      </c>
      <c r="R133" s="2" t="inlineStr"/>
    </row>
    <row r="134" ht="15" customHeight="1">
      <c r="A134" t="inlineStr">
        <is>
          <t>A 48518-2024</t>
        </is>
      </c>
      <c r="B134" s="1" t="n">
        <v>45593.31915509259</v>
      </c>
      <c r="C134" s="1" t="n">
        <v>45937</v>
      </c>
      <c r="D134" t="inlineStr">
        <is>
          <t>DALARNAS LÄN</t>
        </is>
      </c>
      <c r="E134" t="inlineStr">
        <is>
          <t>ORSA</t>
        </is>
      </c>
      <c r="G134" t="n">
        <v>1.9</v>
      </c>
      <c r="H134" t="n">
        <v>0</v>
      </c>
      <c r="I134" t="n">
        <v>0</v>
      </c>
      <c r="J134" t="n">
        <v>0</v>
      </c>
      <c r="K134" t="n">
        <v>0</v>
      </c>
      <c r="L134" t="n">
        <v>0</v>
      </c>
      <c r="M134" t="n">
        <v>0</v>
      </c>
      <c r="N134" t="n">
        <v>0</v>
      </c>
      <c r="O134" t="n">
        <v>0</v>
      </c>
      <c r="P134" t="n">
        <v>0</v>
      </c>
      <c r="Q134" t="n">
        <v>0</v>
      </c>
      <c r="R134" s="2" t="inlineStr"/>
    </row>
    <row r="135" ht="15" customHeight="1">
      <c r="A135" t="inlineStr">
        <is>
          <t>A 56706-2021</t>
        </is>
      </c>
      <c r="B135" s="1" t="n">
        <v>44481.4037962963</v>
      </c>
      <c r="C135" s="1" t="n">
        <v>45937</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59411-2024</t>
        </is>
      </c>
      <c r="B136" s="1" t="n">
        <v>45638.39675925926</v>
      </c>
      <c r="C136" s="1" t="n">
        <v>45937</v>
      </c>
      <c r="D136" t="inlineStr">
        <is>
          <t>DALARNAS LÄN</t>
        </is>
      </c>
      <c r="E136" t="inlineStr">
        <is>
          <t>ORSA</t>
        </is>
      </c>
      <c r="G136" t="n">
        <v>1.4</v>
      </c>
      <c r="H136" t="n">
        <v>0</v>
      </c>
      <c r="I136" t="n">
        <v>0</v>
      </c>
      <c r="J136" t="n">
        <v>0</v>
      </c>
      <c r="K136" t="n">
        <v>0</v>
      </c>
      <c r="L136" t="n">
        <v>0</v>
      </c>
      <c r="M136" t="n">
        <v>0</v>
      </c>
      <c r="N136" t="n">
        <v>0</v>
      </c>
      <c r="O136" t="n">
        <v>0</v>
      </c>
      <c r="P136" t="n">
        <v>0</v>
      </c>
      <c r="Q136" t="n">
        <v>0</v>
      </c>
      <c r="R136" s="2" t="inlineStr"/>
    </row>
    <row r="137" ht="15" customHeight="1">
      <c r="A137" t="inlineStr">
        <is>
          <t>A 59414-2024</t>
        </is>
      </c>
      <c r="B137" s="1" t="n">
        <v>45638.39965277778</v>
      </c>
      <c r="C137" s="1" t="n">
        <v>45937</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21376-2025</t>
        </is>
      </c>
      <c r="B138" s="1" t="n">
        <v>45782.45069444444</v>
      </c>
      <c r="C138" s="1" t="n">
        <v>45937</v>
      </c>
      <c r="D138" t="inlineStr">
        <is>
          <t>DALARNAS LÄN</t>
        </is>
      </c>
      <c r="E138" t="inlineStr">
        <is>
          <t>ORSA</t>
        </is>
      </c>
      <c r="G138" t="n">
        <v>4.6</v>
      </c>
      <c r="H138" t="n">
        <v>0</v>
      </c>
      <c r="I138" t="n">
        <v>0</v>
      </c>
      <c r="J138" t="n">
        <v>0</v>
      </c>
      <c r="K138" t="n">
        <v>0</v>
      </c>
      <c r="L138" t="n">
        <v>0</v>
      </c>
      <c r="M138" t="n">
        <v>0</v>
      </c>
      <c r="N138" t="n">
        <v>0</v>
      </c>
      <c r="O138" t="n">
        <v>0</v>
      </c>
      <c r="P138" t="n">
        <v>0</v>
      </c>
      <c r="Q138" t="n">
        <v>0</v>
      </c>
      <c r="R138" s="2" t="inlineStr"/>
    </row>
    <row r="139" ht="15" customHeight="1">
      <c r="A139" t="inlineStr">
        <is>
          <t>A 21335-2025</t>
        </is>
      </c>
      <c r="B139" s="1" t="n">
        <v>45782.37519675926</v>
      </c>
      <c r="C139" s="1" t="n">
        <v>45937</v>
      </c>
      <c r="D139" t="inlineStr">
        <is>
          <t>DALARNAS LÄN</t>
        </is>
      </c>
      <c r="E139" t="inlineStr">
        <is>
          <t>ORSA</t>
        </is>
      </c>
      <c r="F139" t="inlineStr">
        <is>
          <t>Bergvik skog väst AB</t>
        </is>
      </c>
      <c r="G139" t="n">
        <v>14.3</v>
      </c>
      <c r="H139" t="n">
        <v>0</v>
      </c>
      <c r="I139" t="n">
        <v>0</v>
      </c>
      <c r="J139" t="n">
        <v>0</v>
      </c>
      <c r="K139" t="n">
        <v>0</v>
      </c>
      <c r="L139" t="n">
        <v>0</v>
      </c>
      <c r="M139" t="n">
        <v>0</v>
      </c>
      <c r="N139" t="n">
        <v>0</v>
      </c>
      <c r="O139" t="n">
        <v>0</v>
      </c>
      <c r="P139" t="n">
        <v>0</v>
      </c>
      <c r="Q139" t="n">
        <v>0</v>
      </c>
      <c r="R139" s="2" t="inlineStr"/>
    </row>
    <row r="140" ht="15" customHeight="1">
      <c r="A140" t="inlineStr">
        <is>
          <t>A 56807-2024</t>
        </is>
      </c>
      <c r="B140" s="1" t="n">
        <v>45628.47519675926</v>
      </c>
      <c r="C140" s="1" t="n">
        <v>45937</v>
      </c>
      <c r="D140" t="inlineStr">
        <is>
          <t>DALARNAS LÄN</t>
        </is>
      </c>
      <c r="E140" t="inlineStr">
        <is>
          <t>ORSA</t>
        </is>
      </c>
      <c r="G140" t="n">
        <v>1.9</v>
      </c>
      <c r="H140" t="n">
        <v>0</v>
      </c>
      <c r="I140" t="n">
        <v>0</v>
      </c>
      <c r="J140" t="n">
        <v>0</v>
      </c>
      <c r="K140" t="n">
        <v>0</v>
      </c>
      <c r="L140" t="n">
        <v>0</v>
      </c>
      <c r="M140" t="n">
        <v>0</v>
      </c>
      <c r="N140" t="n">
        <v>0</v>
      </c>
      <c r="O140" t="n">
        <v>0</v>
      </c>
      <c r="P140" t="n">
        <v>0</v>
      </c>
      <c r="Q140" t="n">
        <v>0</v>
      </c>
      <c r="R140" s="2" t="inlineStr"/>
    </row>
    <row r="141" ht="15" customHeight="1">
      <c r="A141" t="inlineStr">
        <is>
          <t>A 21747-2025</t>
        </is>
      </c>
      <c r="B141" s="1" t="n">
        <v>45783.60923611111</v>
      </c>
      <c r="C141" s="1" t="n">
        <v>45937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29984-2025</t>
        </is>
      </c>
      <c r="B142" s="1" t="n">
        <v>45826.49581018519</v>
      </c>
      <c r="C142" s="1" t="n">
        <v>45937</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879-2024</t>
        </is>
      </c>
      <c r="B143" s="1" t="n">
        <v>45301.36821759259</v>
      </c>
      <c r="C143" s="1" t="n">
        <v>45937</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38611-2022</t>
        </is>
      </c>
      <c r="B144" s="1" t="n">
        <v>44813.60177083333</v>
      </c>
      <c r="C144" s="1" t="n">
        <v>45937</v>
      </c>
      <c r="D144" t="inlineStr">
        <is>
          <t>DALARNAS LÄN</t>
        </is>
      </c>
      <c r="E144" t="inlineStr">
        <is>
          <t>ORSA</t>
        </is>
      </c>
      <c r="G144" t="n">
        <v>3.6</v>
      </c>
      <c r="H144" t="n">
        <v>0</v>
      </c>
      <c r="I144" t="n">
        <v>0</v>
      </c>
      <c r="J144" t="n">
        <v>0</v>
      </c>
      <c r="K144" t="n">
        <v>0</v>
      </c>
      <c r="L144" t="n">
        <v>0</v>
      </c>
      <c r="M144" t="n">
        <v>0</v>
      </c>
      <c r="N144" t="n">
        <v>0</v>
      </c>
      <c r="O144" t="n">
        <v>0</v>
      </c>
      <c r="P144" t="n">
        <v>0</v>
      </c>
      <c r="Q144" t="n">
        <v>0</v>
      </c>
      <c r="R144" s="2" t="inlineStr"/>
    </row>
    <row r="145" ht="15" customHeight="1">
      <c r="A145" t="inlineStr">
        <is>
          <t>A 21949-2025</t>
        </is>
      </c>
      <c r="B145" s="1" t="n">
        <v>45784.59369212963</v>
      </c>
      <c r="C145" s="1" t="n">
        <v>45937</v>
      </c>
      <c r="D145" t="inlineStr">
        <is>
          <t>DALARNAS LÄN</t>
        </is>
      </c>
      <c r="E145" t="inlineStr">
        <is>
          <t>ORSA</t>
        </is>
      </c>
      <c r="F145" t="inlineStr">
        <is>
          <t>Bergvik skog öst AB</t>
        </is>
      </c>
      <c r="G145" t="n">
        <v>11</v>
      </c>
      <c r="H145" t="n">
        <v>0</v>
      </c>
      <c r="I145" t="n">
        <v>0</v>
      </c>
      <c r="J145" t="n">
        <v>0</v>
      </c>
      <c r="K145" t="n">
        <v>0</v>
      </c>
      <c r="L145" t="n">
        <v>0</v>
      </c>
      <c r="M145" t="n">
        <v>0</v>
      </c>
      <c r="N145" t="n">
        <v>0</v>
      </c>
      <c r="O145" t="n">
        <v>0</v>
      </c>
      <c r="P145" t="n">
        <v>0</v>
      </c>
      <c r="Q145" t="n">
        <v>0</v>
      </c>
      <c r="R145" s="2" t="inlineStr"/>
    </row>
    <row r="146" ht="15" customHeight="1">
      <c r="A146" t="inlineStr">
        <is>
          <t>A 41295-2021</t>
        </is>
      </c>
      <c r="B146" s="1" t="n">
        <v>44424</v>
      </c>
      <c r="C146" s="1" t="n">
        <v>45937</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9836-2022</t>
        </is>
      </c>
      <c r="B147" s="1" t="n">
        <v>44620</v>
      </c>
      <c r="C147" s="1" t="n">
        <v>45937</v>
      </c>
      <c r="D147" t="inlineStr">
        <is>
          <t>DALARNAS LÄN</t>
        </is>
      </c>
      <c r="E147" t="inlineStr">
        <is>
          <t>ORSA</t>
        </is>
      </c>
      <c r="G147" t="n">
        <v>1</v>
      </c>
      <c r="H147" t="n">
        <v>0</v>
      </c>
      <c r="I147" t="n">
        <v>0</v>
      </c>
      <c r="J147" t="n">
        <v>0</v>
      </c>
      <c r="K147" t="n">
        <v>0</v>
      </c>
      <c r="L147" t="n">
        <v>0</v>
      </c>
      <c r="M147" t="n">
        <v>0</v>
      </c>
      <c r="N147" t="n">
        <v>0</v>
      </c>
      <c r="O147" t="n">
        <v>0</v>
      </c>
      <c r="P147" t="n">
        <v>0</v>
      </c>
      <c r="Q147" t="n">
        <v>0</v>
      </c>
      <c r="R147" s="2" t="inlineStr"/>
    </row>
    <row r="148" ht="15" customHeight="1">
      <c r="A148" t="inlineStr">
        <is>
          <t>A 21165-2024</t>
        </is>
      </c>
      <c r="B148" s="1" t="n">
        <v>45440.45225694445</v>
      </c>
      <c r="C148" s="1" t="n">
        <v>45937</v>
      </c>
      <c r="D148" t="inlineStr">
        <is>
          <t>DALARNAS LÄN</t>
        </is>
      </c>
      <c r="E148" t="inlineStr">
        <is>
          <t>ORSA</t>
        </is>
      </c>
      <c r="F148" t="inlineStr">
        <is>
          <t>Bergvik skog öst AB</t>
        </is>
      </c>
      <c r="G148" t="n">
        <v>1.3</v>
      </c>
      <c r="H148" t="n">
        <v>0</v>
      </c>
      <c r="I148" t="n">
        <v>0</v>
      </c>
      <c r="J148" t="n">
        <v>0</v>
      </c>
      <c r="K148" t="n">
        <v>0</v>
      </c>
      <c r="L148" t="n">
        <v>0</v>
      </c>
      <c r="M148" t="n">
        <v>0</v>
      </c>
      <c r="N148" t="n">
        <v>0</v>
      </c>
      <c r="O148" t="n">
        <v>0</v>
      </c>
      <c r="P148" t="n">
        <v>0</v>
      </c>
      <c r="Q148" t="n">
        <v>0</v>
      </c>
      <c r="R148" s="2" t="inlineStr"/>
    </row>
    <row r="149" ht="15" customHeight="1">
      <c r="A149" t="inlineStr">
        <is>
          <t>A 41835-2024</t>
        </is>
      </c>
      <c r="B149" s="1" t="n">
        <v>45561.40888888889</v>
      </c>
      <c r="C149" s="1" t="n">
        <v>45937</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2948-2025</t>
        </is>
      </c>
      <c r="B150" s="1" t="n">
        <v>45678.42868055555</v>
      </c>
      <c r="C150" s="1" t="n">
        <v>45937</v>
      </c>
      <c r="D150" t="inlineStr">
        <is>
          <t>DALARNAS LÄN</t>
        </is>
      </c>
      <c r="E150" t="inlineStr">
        <is>
          <t>ORSA</t>
        </is>
      </c>
      <c r="G150" t="n">
        <v>2</v>
      </c>
      <c r="H150" t="n">
        <v>0</v>
      </c>
      <c r="I150" t="n">
        <v>0</v>
      </c>
      <c r="J150" t="n">
        <v>0</v>
      </c>
      <c r="K150" t="n">
        <v>0</v>
      </c>
      <c r="L150" t="n">
        <v>0</v>
      </c>
      <c r="M150" t="n">
        <v>0</v>
      </c>
      <c r="N150" t="n">
        <v>0</v>
      </c>
      <c r="O150" t="n">
        <v>0</v>
      </c>
      <c r="P150" t="n">
        <v>0</v>
      </c>
      <c r="Q150" t="n">
        <v>0</v>
      </c>
      <c r="R150" s="2" t="inlineStr"/>
    </row>
    <row r="151" ht="15" customHeight="1">
      <c r="A151" t="inlineStr">
        <is>
          <t>A 10004-2023</t>
        </is>
      </c>
      <c r="B151" s="1" t="n">
        <v>44985.60604166667</v>
      </c>
      <c r="C151" s="1" t="n">
        <v>45937</v>
      </c>
      <c r="D151" t="inlineStr">
        <is>
          <t>DALARNAS LÄN</t>
        </is>
      </c>
      <c r="E151" t="inlineStr">
        <is>
          <t>ORSA</t>
        </is>
      </c>
      <c r="G151" t="n">
        <v>2.1</v>
      </c>
      <c r="H151" t="n">
        <v>0</v>
      </c>
      <c r="I151" t="n">
        <v>0</v>
      </c>
      <c r="J151" t="n">
        <v>0</v>
      </c>
      <c r="K151" t="n">
        <v>0</v>
      </c>
      <c r="L151" t="n">
        <v>0</v>
      </c>
      <c r="M151" t="n">
        <v>0</v>
      </c>
      <c r="N151" t="n">
        <v>0</v>
      </c>
      <c r="O151" t="n">
        <v>0</v>
      </c>
      <c r="P151" t="n">
        <v>0</v>
      </c>
      <c r="Q151" t="n">
        <v>0</v>
      </c>
      <c r="R151" s="2" t="inlineStr"/>
    </row>
    <row r="152" ht="15" customHeight="1">
      <c r="A152" t="inlineStr">
        <is>
          <t>A 4566-2025</t>
        </is>
      </c>
      <c r="B152" s="1" t="n">
        <v>45687.46100694445</v>
      </c>
      <c r="C152" s="1" t="n">
        <v>45937</v>
      </c>
      <c r="D152" t="inlineStr">
        <is>
          <t>DALARNAS LÄN</t>
        </is>
      </c>
      <c r="E152" t="inlineStr">
        <is>
          <t>ORSA</t>
        </is>
      </c>
      <c r="G152" t="n">
        <v>2.1</v>
      </c>
      <c r="H152" t="n">
        <v>0</v>
      </c>
      <c r="I152" t="n">
        <v>0</v>
      </c>
      <c r="J152" t="n">
        <v>0</v>
      </c>
      <c r="K152" t="n">
        <v>0</v>
      </c>
      <c r="L152" t="n">
        <v>0</v>
      </c>
      <c r="M152" t="n">
        <v>0</v>
      </c>
      <c r="N152" t="n">
        <v>0</v>
      </c>
      <c r="O152" t="n">
        <v>0</v>
      </c>
      <c r="P152" t="n">
        <v>0</v>
      </c>
      <c r="Q152" t="n">
        <v>0</v>
      </c>
      <c r="R152" s="2" t="inlineStr"/>
    </row>
    <row r="153" ht="15" customHeight="1">
      <c r="A153" t="inlineStr">
        <is>
          <t>A 44904-2024</t>
        </is>
      </c>
      <c r="B153" s="1" t="n">
        <v>45575.38193287037</v>
      </c>
      <c r="C153" s="1" t="n">
        <v>45937</v>
      </c>
      <c r="D153" t="inlineStr">
        <is>
          <t>DALARNAS LÄN</t>
        </is>
      </c>
      <c r="E153" t="inlineStr">
        <is>
          <t>ORSA</t>
        </is>
      </c>
      <c r="F153" t="inlineStr">
        <is>
          <t>Bergvik skog öst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34169-2023</t>
        </is>
      </c>
      <c r="B154" s="1" t="n">
        <v>45138.3071412037</v>
      </c>
      <c r="C154" s="1" t="n">
        <v>45937</v>
      </c>
      <c r="D154" t="inlineStr">
        <is>
          <t>DALARNAS LÄN</t>
        </is>
      </c>
      <c r="E154" t="inlineStr">
        <is>
          <t>ORSA</t>
        </is>
      </c>
      <c r="F154" t="inlineStr">
        <is>
          <t>Allmännings- och besparingsskogar</t>
        </is>
      </c>
      <c r="G154" t="n">
        <v>0.7</v>
      </c>
      <c r="H154" t="n">
        <v>0</v>
      </c>
      <c r="I154" t="n">
        <v>0</v>
      </c>
      <c r="J154" t="n">
        <v>0</v>
      </c>
      <c r="K154" t="n">
        <v>0</v>
      </c>
      <c r="L154" t="n">
        <v>0</v>
      </c>
      <c r="M154" t="n">
        <v>0</v>
      </c>
      <c r="N154" t="n">
        <v>0</v>
      </c>
      <c r="O154" t="n">
        <v>0</v>
      </c>
      <c r="P154" t="n">
        <v>0</v>
      </c>
      <c r="Q154" t="n">
        <v>0</v>
      </c>
      <c r="R154" s="2" t="inlineStr"/>
    </row>
    <row r="155" ht="15" customHeight="1">
      <c r="A155" t="inlineStr">
        <is>
          <t>A 28923-2024</t>
        </is>
      </c>
      <c r="B155" s="1" t="n">
        <v>45481</v>
      </c>
      <c r="C155" s="1" t="n">
        <v>45937</v>
      </c>
      <c r="D155" t="inlineStr">
        <is>
          <t>DALARNAS LÄN</t>
        </is>
      </c>
      <c r="E155" t="inlineStr">
        <is>
          <t>ORSA</t>
        </is>
      </c>
      <c r="F155" t="inlineStr">
        <is>
          <t>Allmännings- och besparingsskogar</t>
        </is>
      </c>
      <c r="G155" t="n">
        <v>13.9</v>
      </c>
      <c r="H155" t="n">
        <v>0</v>
      </c>
      <c r="I155" t="n">
        <v>0</v>
      </c>
      <c r="J155" t="n">
        <v>0</v>
      </c>
      <c r="K155" t="n">
        <v>0</v>
      </c>
      <c r="L155" t="n">
        <v>0</v>
      </c>
      <c r="M155" t="n">
        <v>0</v>
      </c>
      <c r="N155" t="n">
        <v>0</v>
      </c>
      <c r="O155" t="n">
        <v>0</v>
      </c>
      <c r="P155" t="n">
        <v>0</v>
      </c>
      <c r="Q155" t="n">
        <v>0</v>
      </c>
      <c r="R155" s="2" t="inlineStr"/>
    </row>
    <row r="156" ht="15" customHeight="1">
      <c r="A156" t="inlineStr">
        <is>
          <t>A 10644-2025</t>
        </is>
      </c>
      <c r="B156" s="1" t="n">
        <v>45721.66222222222</v>
      </c>
      <c r="C156" s="1" t="n">
        <v>45937</v>
      </c>
      <c r="D156" t="inlineStr">
        <is>
          <t>DALARNAS LÄN</t>
        </is>
      </c>
      <c r="E156" t="inlineStr">
        <is>
          <t>ORSA</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10645-2025</t>
        </is>
      </c>
      <c r="B157" s="1" t="n">
        <v>45721.66297453704</v>
      </c>
      <c r="C157" s="1" t="n">
        <v>45937</v>
      </c>
      <c r="D157" t="inlineStr">
        <is>
          <t>DALARNAS LÄN</t>
        </is>
      </c>
      <c r="E157" t="inlineStr">
        <is>
          <t>ORSA</t>
        </is>
      </c>
      <c r="F157" t="inlineStr">
        <is>
          <t>Bergvik skog öst AB</t>
        </is>
      </c>
      <c r="G157" t="n">
        <v>5.8</v>
      </c>
      <c r="H157" t="n">
        <v>0</v>
      </c>
      <c r="I157" t="n">
        <v>0</v>
      </c>
      <c r="J157" t="n">
        <v>0</v>
      </c>
      <c r="K157" t="n">
        <v>0</v>
      </c>
      <c r="L157" t="n">
        <v>0</v>
      </c>
      <c r="M157" t="n">
        <v>0</v>
      </c>
      <c r="N157" t="n">
        <v>0</v>
      </c>
      <c r="O157" t="n">
        <v>0</v>
      </c>
      <c r="P157" t="n">
        <v>0</v>
      </c>
      <c r="Q157" t="n">
        <v>0</v>
      </c>
      <c r="R157" s="2" t="inlineStr"/>
    </row>
    <row r="158" ht="15" customHeight="1">
      <c r="A158" t="inlineStr">
        <is>
          <t>A 61685-2024</t>
        </is>
      </c>
      <c r="B158" s="1" t="n">
        <v>45647.56972222222</v>
      </c>
      <c r="C158" s="1" t="n">
        <v>45937</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17850-2025</t>
        </is>
      </c>
      <c r="B159" s="1" t="n">
        <v>45758.60162037037</v>
      </c>
      <c r="C159" s="1" t="n">
        <v>45937</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37981-2024</t>
        </is>
      </c>
      <c r="B160" s="1" t="n">
        <v>45544</v>
      </c>
      <c r="C160" s="1" t="n">
        <v>45937</v>
      </c>
      <c r="D160" t="inlineStr">
        <is>
          <t>DALARNAS LÄN</t>
        </is>
      </c>
      <c r="E160" t="inlineStr">
        <is>
          <t>ORSA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6171-2025</t>
        </is>
      </c>
      <c r="B161" s="1" t="n">
        <v>45698.43287037037</v>
      </c>
      <c r="C161" s="1" t="n">
        <v>45937</v>
      </c>
      <c r="D161" t="inlineStr">
        <is>
          <t>DALARNAS LÄN</t>
        </is>
      </c>
      <c r="E161" t="inlineStr">
        <is>
          <t>ORSA</t>
        </is>
      </c>
      <c r="G161" t="n">
        <v>11.1</v>
      </c>
      <c r="H161" t="n">
        <v>0</v>
      </c>
      <c r="I161" t="n">
        <v>0</v>
      </c>
      <c r="J161" t="n">
        <v>0</v>
      </c>
      <c r="K161" t="n">
        <v>0</v>
      </c>
      <c r="L161" t="n">
        <v>0</v>
      </c>
      <c r="M161" t="n">
        <v>0</v>
      </c>
      <c r="N161" t="n">
        <v>0</v>
      </c>
      <c r="O161" t="n">
        <v>0</v>
      </c>
      <c r="P161" t="n">
        <v>0</v>
      </c>
      <c r="Q161" t="n">
        <v>0</v>
      </c>
      <c r="R161" s="2" t="inlineStr"/>
    </row>
    <row r="162" ht="15" customHeight="1">
      <c r="A162" t="inlineStr">
        <is>
          <t>A 55843-2023</t>
        </is>
      </c>
      <c r="B162" s="1" t="n">
        <v>45239</v>
      </c>
      <c r="C162" s="1" t="n">
        <v>45937</v>
      </c>
      <c r="D162" t="inlineStr">
        <is>
          <t>DALARNAS LÄN</t>
        </is>
      </c>
      <c r="E162" t="inlineStr">
        <is>
          <t>ORSA</t>
        </is>
      </c>
      <c r="G162" t="n">
        <v>2.4</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44313.60207175926</v>
      </c>
      <c r="C163" s="1" t="n">
        <v>45937</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51994-2023</t>
        </is>
      </c>
      <c r="B164" s="1" t="n">
        <v>45223.5884375</v>
      </c>
      <c r="C164" s="1" t="n">
        <v>45937</v>
      </c>
      <c r="D164" t="inlineStr">
        <is>
          <t>DALARNAS LÄN</t>
        </is>
      </c>
      <c r="E164" t="inlineStr">
        <is>
          <t>ORSA</t>
        </is>
      </c>
      <c r="G164" t="n">
        <v>10.7</v>
      </c>
      <c r="H164" t="n">
        <v>0</v>
      </c>
      <c r="I164" t="n">
        <v>0</v>
      </c>
      <c r="J164" t="n">
        <v>0</v>
      </c>
      <c r="K164" t="n">
        <v>0</v>
      </c>
      <c r="L164" t="n">
        <v>0</v>
      </c>
      <c r="M164" t="n">
        <v>0</v>
      </c>
      <c r="N164" t="n">
        <v>0</v>
      </c>
      <c r="O164" t="n">
        <v>0</v>
      </c>
      <c r="P164" t="n">
        <v>0</v>
      </c>
      <c r="Q164" t="n">
        <v>0</v>
      </c>
      <c r="R164" s="2" t="inlineStr"/>
    </row>
    <row r="165" ht="15" customHeight="1">
      <c r="A165" t="inlineStr">
        <is>
          <t>A 72284-2021</t>
        </is>
      </c>
      <c r="B165" s="1" t="n">
        <v>44545.36940972223</v>
      </c>
      <c r="C165" s="1" t="n">
        <v>45937</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22491-2025</t>
        </is>
      </c>
      <c r="B166" s="1" t="n">
        <v>45786.65040509259</v>
      </c>
      <c r="C166" s="1" t="n">
        <v>45937</v>
      </c>
      <c r="D166" t="inlineStr">
        <is>
          <t>DALARNAS LÄN</t>
        </is>
      </c>
      <c r="E166" t="inlineStr">
        <is>
          <t>ORSA</t>
        </is>
      </c>
      <c r="F166" t="inlineStr">
        <is>
          <t>Bergvik skog öst AB</t>
        </is>
      </c>
      <c r="G166" t="n">
        <v>5.7</v>
      </c>
      <c r="H166" t="n">
        <v>0</v>
      </c>
      <c r="I166" t="n">
        <v>0</v>
      </c>
      <c r="J166" t="n">
        <v>0</v>
      </c>
      <c r="K166" t="n">
        <v>0</v>
      </c>
      <c r="L166" t="n">
        <v>0</v>
      </c>
      <c r="M166" t="n">
        <v>0</v>
      </c>
      <c r="N166" t="n">
        <v>0</v>
      </c>
      <c r="O166" t="n">
        <v>0</v>
      </c>
      <c r="P166" t="n">
        <v>0</v>
      </c>
      <c r="Q166" t="n">
        <v>0</v>
      </c>
      <c r="R166" s="2" t="inlineStr"/>
    </row>
    <row r="167" ht="15" customHeight="1">
      <c r="A167" t="inlineStr">
        <is>
          <t>A 13185-2022</t>
        </is>
      </c>
      <c r="B167" s="1" t="n">
        <v>44644.48491898148</v>
      </c>
      <c r="C167" s="1" t="n">
        <v>45937</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33488-2024</t>
        </is>
      </c>
      <c r="B168" s="1" t="n">
        <v>45519.61466435185</v>
      </c>
      <c r="C168" s="1" t="n">
        <v>45937</v>
      </c>
      <c r="D168" t="inlineStr">
        <is>
          <t>DALARNAS LÄN</t>
        </is>
      </c>
      <c r="E168" t="inlineStr">
        <is>
          <t>ORSA</t>
        </is>
      </c>
      <c r="F168" t="inlineStr">
        <is>
          <t>Övriga statliga verk och myndigheter</t>
        </is>
      </c>
      <c r="G168" t="n">
        <v>0.5</v>
      </c>
      <c r="H168" t="n">
        <v>0</v>
      </c>
      <c r="I168" t="n">
        <v>0</v>
      </c>
      <c r="J168" t="n">
        <v>0</v>
      </c>
      <c r="K168" t="n">
        <v>0</v>
      </c>
      <c r="L168" t="n">
        <v>0</v>
      </c>
      <c r="M168" t="n">
        <v>0</v>
      </c>
      <c r="N168" t="n">
        <v>0</v>
      </c>
      <c r="O168" t="n">
        <v>0</v>
      </c>
      <c r="P168" t="n">
        <v>0</v>
      </c>
      <c r="Q168" t="n">
        <v>0</v>
      </c>
      <c r="R168" s="2" t="inlineStr"/>
    </row>
    <row r="169" ht="15" customHeight="1">
      <c r="A169" t="inlineStr">
        <is>
          <t>A 890-2024</t>
        </is>
      </c>
      <c r="B169" s="1" t="n">
        <v>45301.40552083333</v>
      </c>
      <c r="C169" s="1" t="n">
        <v>45937</v>
      </c>
      <c r="D169" t="inlineStr">
        <is>
          <t>DALARNAS LÄN</t>
        </is>
      </c>
      <c r="E169" t="inlineStr">
        <is>
          <t>ORSA</t>
        </is>
      </c>
      <c r="G169" t="n">
        <v>2.5</v>
      </c>
      <c r="H169" t="n">
        <v>0</v>
      </c>
      <c r="I169" t="n">
        <v>0</v>
      </c>
      <c r="J169" t="n">
        <v>0</v>
      </c>
      <c r="K169" t="n">
        <v>0</v>
      </c>
      <c r="L169" t="n">
        <v>0</v>
      </c>
      <c r="M169" t="n">
        <v>0</v>
      </c>
      <c r="N169" t="n">
        <v>0</v>
      </c>
      <c r="O169" t="n">
        <v>0</v>
      </c>
      <c r="P169" t="n">
        <v>0</v>
      </c>
      <c r="Q169" t="n">
        <v>0</v>
      </c>
      <c r="R169" s="2" t="inlineStr"/>
    </row>
    <row r="170" ht="15" customHeight="1">
      <c r="A170" t="inlineStr">
        <is>
          <t>A 46454-2024</t>
        </is>
      </c>
      <c r="B170" s="1" t="n">
        <v>45582</v>
      </c>
      <c r="C170" s="1" t="n">
        <v>45937</v>
      </c>
      <c r="D170" t="inlineStr">
        <is>
          <t>DALARNAS LÄN</t>
        </is>
      </c>
      <c r="E170" t="inlineStr">
        <is>
          <t>ORSA</t>
        </is>
      </c>
      <c r="F170" t="inlineStr">
        <is>
          <t>Övriga statliga verk och myndigheter</t>
        </is>
      </c>
      <c r="G170" t="n">
        <v>1</v>
      </c>
      <c r="H170" t="n">
        <v>0</v>
      </c>
      <c r="I170" t="n">
        <v>0</v>
      </c>
      <c r="J170" t="n">
        <v>0</v>
      </c>
      <c r="K170" t="n">
        <v>0</v>
      </c>
      <c r="L170" t="n">
        <v>0</v>
      </c>
      <c r="M170" t="n">
        <v>0</v>
      </c>
      <c r="N170" t="n">
        <v>0</v>
      </c>
      <c r="O170" t="n">
        <v>0</v>
      </c>
      <c r="P170" t="n">
        <v>0</v>
      </c>
      <c r="Q170" t="n">
        <v>0</v>
      </c>
      <c r="R170" s="2" t="inlineStr"/>
    </row>
    <row r="171" ht="15" customHeight="1">
      <c r="A171" t="inlineStr">
        <is>
          <t>A 23056-2025</t>
        </is>
      </c>
      <c r="B171" s="1" t="n">
        <v>45790.73627314815</v>
      </c>
      <c r="C171" s="1" t="n">
        <v>45937</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23055-2025</t>
        </is>
      </c>
      <c r="B172" s="1" t="n">
        <v>45790.73469907408</v>
      </c>
      <c r="C172" s="1" t="n">
        <v>45937</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23057-2025</t>
        </is>
      </c>
      <c r="B173" s="1" t="n">
        <v>45790.73820601852</v>
      </c>
      <c r="C173" s="1" t="n">
        <v>45937</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11784-2024</t>
        </is>
      </c>
      <c r="B174" s="1" t="n">
        <v>45374.67886574074</v>
      </c>
      <c r="C174" s="1" t="n">
        <v>45937</v>
      </c>
      <c r="D174" t="inlineStr">
        <is>
          <t>DALARNAS LÄN</t>
        </is>
      </c>
      <c r="E174" t="inlineStr">
        <is>
          <t>ORSA</t>
        </is>
      </c>
      <c r="G174" t="n">
        <v>1.7</v>
      </c>
      <c r="H174" t="n">
        <v>0</v>
      </c>
      <c r="I174" t="n">
        <v>0</v>
      </c>
      <c r="J174" t="n">
        <v>0</v>
      </c>
      <c r="K174" t="n">
        <v>0</v>
      </c>
      <c r="L174" t="n">
        <v>0</v>
      </c>
      <c r="M174" t="n">
        <v>0</v>
      </c>
      <c r="N174" t="n">
        <v>0</v>
      </c>
      <c r="O174" t="n">
        <v>0</v>
      </c>
      <c r="P174" t="n">
        <v>0</v>
      </c>
      <c r="Q174" t="n">
        <v>0</v>
      </c>
      <c r="R174" s="2" t="inlineStr"/>
    </row>
    <row r="175" ht="15" customHeight="1">
      <c r="A175" t="inlineStr">
        <is>
          <t>A 27542-2021</t>
        </is>
      </c>
      <c r="B175" s="1" t="n">
        <v>44351</v>
      </c>
      <c r="C175" s="1" t="n">
        <v>45937</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48985-2023</t>
        </is>
      </c>
      <c r="B176" s="1" t="n">
        <v>45209.64077546296</v>
      </c>
      <c r="C176" s="1" t="n">
        <v>45937</v>
      </c>
      <c r="D176" t="inlineStr">
        <is>
          <t>DALARNAS LÄN</t>
        </is>
      </c>
      <c r="E176" t="inlineStr">
        <is>
          <t>ORSA</t>
        </is>
      </c>
      <c r="F176" t="inlineStr">
        <is>
          <t>Allmännings- och besparingsskogar</t>
        </is>
      </c>
      <c r="G176" t="n">
        <v>2.1</v>
      </c>
      <c r="H176" t="n">
        <v>0</v>
      </c>
      <c r="I176" t="n">
        <v>0</v>
      </c>
      <c r="J176" t="n">
        <v>0</v>
      </c>
      <c r="K176" t="n">
        <v>0</v>
      </c>
      <c r="L176" t="n">
        <v>0</v>
      </c>
      <c r="M176" t="n">
        <v>0</v>
      </c>
      <c r="N176" t="n">
        <v>0</v>
      </c>
      <c r="O176" t="n">
        <v>0</v>
      </c>
      <c r="P176" t="n">
        <v>0</v>
      </c>
      <c r="Q176" t="n">
        <v>0</v>
      </c>
      <c r="R176" s="2" t="inlineStr"/>
    </row>
    <row r="177" ht="15" customHeight="1">
      <c r="A177" t="inlineStr">
        <is>
          <t>A 23015-2025</t>
        </is>
      </c>
      <c r="B177" s="1" t="n">
        <v>45790.6377662037</v>
      </c>
      <c r="C177" s="1" t="n">
        <v>45937</v>
      </c>
      <c r="D177" t="inlineStr">
        <is>
          <t>DALARNAS LÄN</t>
        </is>
      </c>
      <c r="E177" t="inlineStr">
        <is>
          <t>ORSA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23053-2025</t>
        </is>
      </c>
      <c r="B178" s="1" t="n">
        <v>45790.73072916667</v>
      </c>
      <c r="C178" s="1" t="n">
        <v>45937</v>
      </c>
      <c r="D178" t="inlineStr">
        <is>
          <t>DALARNAS LÄN</t>
        </is>
      </c>
      <c r="E178" t="inlineStr">
        <is>
          <t>ORSA</t>
        </is>
      </c>
      <c r="G178" t="n">
        <v>3.3</v>
      </c>
      <c r="H178" t="n">
        <v>0</v>
      </c>
      <c r="I178" t="n">
        <v>0</v>
      </c>
      <c r="J178" t="n">
        <v>0</v>
      </c>
      <c r="K178" t="n">
        <v>0</v>
      </c>
      <c r="L178" t="n">
        <v>0</v>
      </c>
      <c r="M178" t="n">
        <v>0</v>
      </c>
      <c r="N178" t="n">
        <v>0</v>
      </c>
      <c r="O178" t="n">
        <v>0</v>
      </c>
      <c r="P178" t="n">
        <v>0</v>
      </c>
      <c r="Q178" t="n">
        <v>0</v>
      </c>
      <c r="R178" s="2" t="inlineStr"/>
    </row>
    <row r="179" ht="15" customHeight="1">
      <c r="A179" t="inlineStr">
        <is>
          <t>A 62289-2023</t>
        </is>
      </c>
      <c r="B179" s="1" t="n">
        <v>45266</v>
      </c>
      <c r="C179" s="1" t="n">
        <v>45937</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52649-2024</t>
        </is>
      </c>
      <c r="B180" s="1" t="n">
        <v>45610.3468287037</v>
      </c>
      <c r="C180" s="1" t="n">
        <v>45937</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52776-2022</t>
        </is>
      </c>
      <c r="B181" s="1" t="n">
        <v>44875.36341435185</v>
      </c>
      <c r="C181" s="1" t="n">
        <v>45937</v>
      </c>
      <c r="D181" t="inlineStr">
        <is>
          <t>DALARNAS LÄN</t>
        </is>
      </c>
      <c r="E181" t="inlineStr">
        <is>
          <t>ORSA</t>
        </is>
      </c>
      <c r="F181" t="inlineStr">
        <is>
          <t>Allmännings- och besparingsskogar</t>
        </is>
      </c>
      <c r="G181" t="n">
        <v>4.4</v>
      </c>
      <c r="H181" t="n">
        <v>0</v>
      </c>
      <c r="I181" t="n">
        <v>0</v>
      </c>
      <c r="J181" t="n">
        <v>0</v>
      </c>
      <c r="K181" t="n">
        <v>0</v>
      </c>
      <c r="L181" t="n">
        <v>0</v>
      </c>
      <c r="M181" t="n">
        <v>0</v>
      </c>
      <c r="N181" t="n">
        <v>0</v>
      </c>
      <c r="O181" t="n">
        <v>0</v>
      </c>
      <c r="P181" t="n">
        <v>0</v>
      </c>
      <c r="Q181" t="n">
        <v>0</v>
      </c>
      <c r="R181" s="2" t="inlineStr"/>
    </row>
    <row r="182" ht="15" customHeight="1">
      <c r="A182" t="inlineStr">
        <is>
          <t>A 16392-2024</t>
        </is>
      </c>
      <c r="B182" s="1" t="n">
        <v>45407.62380787037</v>
      </c>
      <c r="C182" s="1" t="n">
        <v>45937</v>
      </c>
      <c r="D182" t="inlineStr">
        <is>
          <t>DALARNAS LÄN</t>
        </is>
      </c>
      <c r="E182" t="inlineStr">
        <is>
          <t>ORSA</t>
        </is>
      </c>
      <c r="G182" t="n">
        <v>3.4</v>
      </c>
      <c r="H182" t="n">
        <v>0</v>
      </c>
      <c r="I182" t="n">
        <v>0</v>
      </c>
      <c r="J182" t="n">
        <v>0</v>
      </c>
      <c r="K182" t="n">
        <v>0</v>
      </c>
      <c r="L182" t="n">
        <v>0</v>
      </c>
      <c r="M182" t="n">
        <v>0</v>
      </c>
      <c r="N182" t="n">
        <v>0</v>
      </c>
      <c r="O182" t="n">
        <v>0</v>
      </c>
      <c r="P182" t="n">
        <v>0</v>
      </c>
      <c r="Q182" t="n">
        <v>0</v>
      </c>
      <c r="R182" s="2" t="inlineStr"/>
    </row>
    <row r="183" ht="15" customHeight="1">
      <c r="A183" t="inlineStr">
        <is>
          <t>A 18312-2024</t>
        </is>
      </c>
      <c r="B183" s="1" t="n">
        <v>45422.48225694444</v>
      </c>
      <c r="C183" s="1" t="n">
        <v>45937</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58549-2023</t>
        </is>
      </c>
      <c r="B184" s="1" t="n">
        <v>45251.42627314815</v>
      </c>
      <c r="C184" s="1" t="n">
        <v>45937</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5435-2025</t>
        </is>
      </c>
      <c r="B185" s="1" t="n">
        <v>45692</v>
      </c>
      <c r="C185" s="1" t="n">
        <v>45937</v>
      </c>
      <c r="D185" t="inlineStr">
        <is>
          <t>DALARNAS LÄN</t>
        </is>
      </c>
      <c r="E185" t="inlineStr">
        <is>
          <t>ORSA</t>
        </is>
      </c>
      <c r="G185" t="n">
        <v>7.8</v>
      </c>
      <c r="H185" t="n">
        <v>0</v>
      </c>
      <c r="I185" t="n">
        <v>0</v>
      </c>
      <c r="J185" t="n">
        <v>0</v>
      </c>
      <c r="K185" t="n">
        <v>0</v>
      </c>
      <c r="L185" t="n">
        <v>0</v>
      </c>
      <c r="M185" t="n">
        <v>0</v>
      </c>
      <c r="N185" t="n">
        <v>0</v>
      </c>
      <c r="O185" t="n">
        <v>0</v>
      </c>
      <c r="P185" t="n">
        <v>0</v>
      </c>
      <c r="Q185" t="n">
        <v>0</v>
      </c>
      <c r="R185" s="2" t="inlineStr"/>
    </row>
    <row r="186" ht="15" customHeight="1">
      <c r="A186" t="inlineStr">
        <is>
          <t>A 4553-2025</t>
        </is>
      </c>
      <c r="B186" s="1" t="n">
        <v>45687.42143518518</v>
      </c>
      <c r="C186" s="1" t="n">
        <v>45937</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67755-2020</t>
        </is>
      </c>
      <c r="B187" s="1" t="n">
        <v>44182</v>
      </c>
      <c r="C187" s="1" t="n">
        <v>45937</v>
      </c>
      <c r="D187" t="inlineStr">
        <is>
          <t>DALARNAS LÄN</t>
        </is>
      </c>
      <c r="E187" t="inlineStr">
        <is>
          <t>ORSA</t>
        </is>
      </c>
      <c r="G187" t="n">
        <v>7.5</v>
      </c>
      <c r="H187" t="n">
        <v>0</v>
      </c>
      <c r="I187" t="n">
        <v>0</v>
      </c>
      <c r="J187" t="n">
        <v>0</v>
      </c>
      <c r="K187" t="n">
        <v>0</v>
      </c>
      <c r="L187" t="n">
        <v>0</v>
      </c>
      <c r="M187" t="n">
        <v>0</v>
      </c>
      <c r="N187" t="n">
        <v>0</v>
      </c>
      <c r="O187" t="n">
        <v>0</v>
      </c>
      <c r="P187" t="n">
        <v>0</v>
      </c>
      <c r="Q187" t="n">
        <v>0</v>
      </c>
      <c r="R187" s="2" t="inlineStr"/>
    </row>
    <row r="188" ht="15" customHeight="1">
      <c r="A188" t="inlineStr">
        <is>
          <t>A 67834-2020</t>
        </is>
      </c>
      <c r="B188" s="1" t="n">
        <v>44182</v>
      </c>
      <c r="C188" s="1" t="n">
        <v>45937</v>
      </c>
      <c r="D188" t="inlineStr">
        <is>
          <t>DALARNAS LÄN</t>
        </is>
      </c>
      <c r="E188" t="inlineStr">
        <is>
          <t>ORSA</t>
        </is>
      </c>
      <c r="G188" t="n">
        <v>4</v>
      </c>
      <c r="H188" t="n">
        <v>0</v>
      </c>
      <c r="I188" t="n">
        <v>0</v>
      </c>
      <c r="J188" t="n">
        <v>0</v>
      </c>
      <c r="K188" t="n">
        <v>0</v>
      </c>
      <c r="L188" t="n">
        <v>0</v>
      </c>
      <c r="M188" t="n">
        <v>0</v>
      </c>
      <c r="N188" t="n">
        <v>0</v>
      </c>
      <c r="O188" t="n">
        <v>0</v>
      </c>
      <c r="P188" t="n">
        <v>0</v>
      </c>
      <c r="Q188" t="n">
        <v>0</v>
      </c>
      <c r="R188" s="2" t="inlineStr"/>
    </row>
    <row r="189" ht="15" customHeight="1">
      <c r="A189" t="inlineStr">
        <is>
          <t>A 29025-2023</t>
        </is>
      </c>
      <c r="B189" s="1" t="n">
        <v>45104.70399305555</v>
      </c>
      <c r="C189" s="1" t="n">
        <v>45937</v>
      </c>
      <c r="D189" t="inlineStr">
        <is>
          <t>DALARNAS LÄN</t>
        </is>
      </c>
      <c r="E189" t="inlineStr">
        <is>
          <t>ORSA</t>
        </is>
      </c>
      <c r="G189" t="n">
        <v>6.6</v>
      </c>
      <c r="H189" t="n">
        <v>0</v>
      </c>
      <c r="I189" t="n">
        <v>0</v>
      </c>
      <c r="J189" t="n">
        <v>0</v>
      </c>
      <c r="K189" t="n">
        <v>0</v>
      </c>
      <c r="L189" t="n">
        <v>0</v>
      </c>
      <c r="M189" t="n">
        <v>0</v>
      </c>
      <c r="N189" t="n">
        <v>0</v>
      </c>
      <c r="O189" t="n">
        <v>0</v>
      </c>
      <c r="P189" t="n">
        <v>0</v>
      </c>
      <c r="Q189" t="n">
        <v>0</v>
      </c>
      <c r="R189" s="2" t="inlineStr"/>
    </row>
    <row r="190" ht="15" customHeight="1">
      <c r="A190" t="inlineStr">
        <is>
          <t>A 112-2021</t>
        </is>
      </c>
      <c r="B190" s="1" t="n">
        <v>44200</v>
      </c>
      <c r="C190" s="1" t="n">
        <v>45937</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5302-2024</t>
        </is>
      </c>
      <c r="B191" s="1" t="n">
        <v>45331.38175925926</v>
      </c>
      <c r="C191" s="1" t="n">
        <v>45937</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52033-2023</t>
        </is>
      </c>
      <c r="B192" s="1" t="n">
        <v>45223.62680555556</v>
      </c>
      <c r="C192" s="1" t="n">
        <v>45937</v>
      </c>
      <c r="D192" t="inlineStr">
        <is>
          <t>DALARNAS LÄN</t>
        </is>
      </c>
      <c r="E192" t="inlineStr">
        <is>
          <t>ORSA</t>
        </is>
      </c>
      <c r="G192" t="n">
        <v>11.5</v>
      </c>
      <c r="H192" t="n">
        <v>0</v>
      </c>
      <c r="I192" t="n">
        <v>0</v>
      </c>
      <c r="J192" t="n">
        <v>0</v>
      </c>
      <c r="K192" t="n">
        <v>0</v>
      </c>
      <c r="L192" t="n">
        <v>0</v>
      </c>
      <c r="M192" t="n">
        <v>0</v>
      </c>
      <c r="N192" t="n">
        <v>0</v>
      </c>
      <c r="O192" t="n">
        <v>0</v>
      </c>
      <c r="P192" t="n">
        <v>0</v>
      </c>
      <c r="Q192" t="n">
        <v>0</v>
      </c>
      <c r="R192" s="2" t="inlineStr"/>
    </row>
    <row r="193" ht="15" customHeight="1">
      <c r="A193" t="inlineStr">
        <is>
          <t>A 52044-2023</t>
        </is>
      </c>
      <c r="B193" s="1" t="n">
        <v>45223.6365625</v>
      </c>
      <c r="C193" s="1" t="n">
        <v>45937</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58842-2024</t>
        </is>
      </c>
      <c r="B194" s="1" t="n">
        <v>45636.3859837963</v>
      </c>
      <c r="C194" s="1" t="n">
        <v>45937</v>
      </c>
      <c r="D194" t="inlineStr">
        <is>
          <t>DALARNAS LÄN</t>
        </is>
      </c>
      <c r="E194" t="inlineStr">
        <is>
          <t>ORSA</t>
        </is>
      </c>
      <c r="G194" t="n">
        <v>2.8</v>
      </c>
      <c r="H194" t="n">
        <v>0</v>
      </c>
      <c r="I194" t="n">
        <v>0</v>
      </c>
      <c r="J194" t="n">
        <v>0</v>
      </c>
      <c r="K194" t="n">
        <v>0</v>
      </c>
      <c r="L194" t="n">
        <v>0</v>
      </c>
      <c r="M194" t="n">
        <v>0</v>
      </c>
      <c r="N194" t="n">
        <v>0</v>
      </c>
      <c r="O194" t="n">
        <v>0</v>
      </c>
      <c r="P194" t="n">
        <v>0</v>
      </c>
      <c r="Q194" t="n">
        <v>0</v>
      </c>
      <c r="R194" s="2" t="inlineStr"/>
    </row>
    <row r="195" ht="15" customHeight="1">
      <c r="A195" t="inlineStr">
        <is>
          <t>A 51001-2021</t>
        </is>
      </c>
      <c r="B195" s="1" t="n">
        <v>44460.86221064815</v>
      </c>
      <c r="C195" s="1" t="n">
        <v>45937</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23740-2025</t>
        </is>
      </c>
      <c r="B196" s="1" t="n">
        <v>45793.43210648148</v>
      </c>
      <c r="C196" s="1" t="n">
        <v>45937</v>
      </c>
      <c r="D196" t="inlineStr">
        <is>
          <t>DALARNAS LÄN</t>
        </is>
      </c>
      <c r="E196" t="inlineStr">
        <is>
          <t>ORSA</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67189-2020</t>
        </is>
      </c>
      <c r="B197" s="1" t="n">
        <v>44180</v>
      </c>
      <c r="C197" s="1" t="n">
        <v>45937</v>
      </c>
      <c r="D197" t="inlineStr">
        <is>
          <t>DALARNAS LÄN</t>
        </is>
      </c>
      <c r="E197" t="inlineStr">
        <is>
          <t>ORSA</t>
        </is>
      </c>
      <c r="F197" t="inlineStr">
        <is>
          <t>Allmännings- och besparingsskogar</t>
        </is>
      </c>
      <c r="G197" t="n">
        <v>5</v>
      </c>
      <c r="H197" t="n">
        <v>0</v>
      </c>
      <c r="I197" t="n">
        <v>0</v>
      </c>
      <c r="J197" t="n">
        <v>0</v>
      </c>
      <c r="K197" t="n">
        <v>0</v>
      </c>
      <c r="L197" t="n">
        <v>0</v>
      </c>
      <c r="M197" t="n">
        <v>0</v>
      </c>
      <c r="N197" t="n">
        <v>0</v>
      </c>
      <c r="O197" t="n">
        <v>0</v>
      </c>
      <c r="P197" t="n">
        <v>0</v>
      </c>
      <c r="Q197" t="n">
        <v>0</v>
      </c>
      <c r="R197" s="2" t="inlineStr"/>
    </row>
    <row r="198" ht="15" customHeight="1">
      <c r="A198" t="inlineStr">
        <is>
          <t>A 61698-2022</t>
        </is>
      </c>
      <c r="B198" s="1" t="n">
        <v>44917.40038194445</v>
      </c>
      <c r="C198" s="1" t="n">
        <v>45937</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70332-2021</t>
        </is>
      </c>
      <c r="B199" s="1" t="n">
        <v>44536</v>
      </c>
      <c r="C199" s="1" t="n">
        <v>45937</v>
      </c>
      <c r="D199" t="inlineStr">
        <is>
          <t>DALARNAS LÄN</t>
        </is>
      </c>
      <c r="E199" t="inlineStr">
        <is>
          <t>ORSA</t>
        </is>
      </c>
      <c r="G199" t="n">
        <v>7.2</v>
      </c>
      <c r="H199" t="n">
        <v>0</v>
      </c>
      <c r="I199" t="n">
        <v>0</v>
      </c>
      <c r="J199" t="n">
        <v>0</v>
      </c>
      <c r="K199" t="n">
        <v>0</v>
      </c>
      <c r="L199" t="n">
        <v>0</v>
      </c>
      <c r="M199" t="n">
        <v>0</v>
      </c>
      <c r="N199" t="n">
        <v>0</v>
      </c>
      <c r="O199" t="n">
        <v>0</v>
      </c>
      <c r="P199" t="n">
        <v>0</v>
      </c>
      <c r="Q199" t="n">
        <v>0</v>
      </c>
      <c r="R199" s="2" t="inlineStr"/>
    </row>
    <row r="200" ht="15" customHeight="1">
      <c r="A200" t="inlineStr">
        <is>
          <t>A 56975-2023</t>
        </is>
      </c>
      <c r="B200" s="1" t="n">
        <v>45244</v>
      </c>
      <c r="C200" s="1" t="n">
        <v>45937</v>
      </c>
      <c r="D200" t="inlineStr">
        <is>
          <t>DALARNAS LÄN</t>
        </is>
      </c>
      <c r="E200" t="inlineStr">
        <is>
          <t>ORSA</t>
        </is>
      </c>
      <c r="G200" t="n">
        <v>1.6</v>
      </c>
      <c r="H200" t="n">
        <v>0</v>
      </c>
      <c r="I200" t="n">
        <v>0</v>
      </c>
      <c r="J200" t="n">
        <v>0</v>
      </c>
      <c r="K200" t="n">
        <v>0</v>
      </c>
      <c r="L200" t="n">
        <v>0</v>
      </c>
      <c r="M200" t="n">
        <v>0</v>
      </c>
      <c r="N200" t="n">
        <v>0</v>
      </c>
      <c r="O200" t="n">
        <v>0</v>
      </c>
      <c r="P200" t="n">
        <v>0</v>
      </c>
      <c r="Q200" t="n">
        <v>0</v>
      </c>
      <c r="R200" s="2" t="inlineStr"/>
    </row>
    <row r="201" ht="15" customHeight="1">
      <c r="A201" t="inlineStr">
        <is>
          <t>A 1785-2024</t>
        </is>
      </c>
      <c r="B201" s="1" t="n">
        <v>45307</v>
      </c>
      <c r="C201" s="1" t="n">
        <v>45937</v>
      </c>
      <c r="D201" t="inlineStr">
        <is>
          <t>DALARNAS LÄN</t>
        </is>
      </c>
      <c r="E201" t="inlineStr">
        <is>
          <t>ORSA</t>
        </is>
      </c>
      <c r="G201" t="n">
        <v>42.8</v>
      </c>
      <c r="H201" t="n">
        <v>0</v>
      </c>
      <c r="I201" t="n">
        <v>0</v>
      </c>
      <c r="J201" t="n">
        <v>0</v>
      </c>
      <c r="K201" t="n">
        <v>0</v>
      </c>
      <c r="L201" t="n">
        <v>0</v>
      </c>
      <c r="M201" t="n">
        <v>0</v>
      </c>
      <c r="N201" t="n">
        <v>0</v>
      </c>
      <c r="O201" t="n">
        <v>0</v>
      </c>
      <c r="P201" t="n">
        <v>0</v>
      </c>
      <c r="Q201" t="n">
        <v>0</v>
      </c>
      <c r="R201" s="2" t="inlineStr"/>
    </row>
    <row r="202" ht="15" customHeight="1">
      <c r="A202" t="inlineStr">
        <is>
          <t>A 23875-2025</t>
        </is>
      </c>
      <c r="B202" s="1" t="n">
        <v>45793.68313657407</v>
      </c>
      <c r="C202" s="1" t="n">
        <v>45937</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53703-2024</t>
        </is>
      </c>
      <c r="B203" s="1" t="n">
        <v>45615.3990162037</v>
      </c>
      <c r="C203" s="1" t="n">
        <v>45937</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45937</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5434-2025</t>
        </is>
      </c>
      <c r="B205" s="1" t="n">
        <v>45692</v>
      </c>
      <c r="C205" s="1" t="n">
        <v>45937</v>
      </c>
      <c r="D205" t="inlineStr">
        <is>
          <t>DALARNAS LÄN</t>
        </is>
      </c>
      <c r="E205" t="inlineStr">
        <is>
          <t>ORSA</t>
        </is>
      </c>
      <c r="G205" t="n">
        <v>6.9</v>
      </c>
      <c r="H205" t="n">
        <v>0</v>
      </c>
      <c r="I205" t="n">
        <v>0</v>
      </c>
      <c r="J205" t="n">
        <v>0</v>
      </c>
      <c r="K205" t="n">
        <v>0</v>
      </c>
      <c r="L205" t="n">
        <v>0</v>
      </c>
      <c r="M205" t="n">
        <v>0</v>
      </c>
      <c r="N205" t="n">
        <v>0</v>
      </c>
      <c r="O205" t="n">
        <v>0</v>
      </c>
      <c r="P205" t="n">
        <v>0</v>
      </c>
      <c r="Q205" t="n">
        <v>0</v>
      </c>
      <c r="R205" s="2" t="inlineStr"/>
    </row>
    <row r="206" ht="15" customHeight="1">
      <c r="A206" t="inlineStr">
        <is>
          <t>A 61333-2024</t>
        </is>
      </c>
      <c r="B206" s="1" t="n">
        <v>45646.35832175926</v>
      </c>
      <c r="C206" s="1" t="n">
        <v>45937</v>
      </c>
      <c r="D206" t="inlineStr">
        <is>
          <t>DALARNAS LÄN</t>
        </is>
      </c>
      <c r="E206" t="inlineStr">
        <is>
          <t>ORSA</t>
        </is>
      </c>
      <c r="G206" t="n">
        <v>11.5</v>
      </c>
      <c r="H206" t="n">
        <v>0</v>
      </c>
      <c r="I206" t="n">
        <v>0</v>
      </c>
      <c r="J206" t="n">
        <v>0</v>
      </c>
      <c r="K206" t="n">
        <v>0</v>
      </c>
      <c r="L206" t="n">
        <v>0</v>
      </c>
      <c r="M206" t="n">
        <v>0</v>
      </c>
      <c r="N206" t="n">
        <v>0</v>
      </c>
      <c r="O206" t="n">
        <v>0</v>
      </c>
      <c r="P206" t="n">
        <v>0</v>
      </c>
      <c r="Q206" t="n">
        <v>0</v>
      </c>
      <c r="R206" s="2" t="inlineStr"/>
    </row>
    <row r="207" ht="15" customHeight="1">
      <c r="A207" t="inlineStr">
        <is>
          <t>A 24235-2025</t>
        </is>
      </c>
      <c r="B207" s="1" t="n">
        <v>45797.38252314815</v>
      </c>
      <c r="C207" s="1" t="n">
        <v>45937</v>
      </c>
      <c r="D207" t="inlineStr">
        <is>
          <t>DALARNAS LÄN</t>
        </is>
      </c>
      <c r="E207" t="inlineStr">
        <is>
          <t>ORSA</t>
        </is>
      </c>
      <c r="G207" t="n">
        <v>3.1</v>
      </c>
      <c r="H207" t="n">
        <v>0</v>
      </c>
      <c r="I207" t="n">
        <v>0</v>
      </c>
      <c r="J207" t="n">
        <v>0</v>
      </c>
      <c r="K207" t="n">
        <v>0</v>
      </c>
      <c r="L207" t="n">
        <v>0</v>
      </c>
      <c r="M207" t="n">
        <v>0</v>
      </c>
      <c r="N207" t="n">
        <v>0</v>
      </c>
      <c r="O207" t="n">
        <v>0</v>
      </c>
      <c r="P207" t="n">
        <v>0</v>
      </c>
      <c r="Q207" t="n">
        <v>0</v>
      </c>
      <c r="R207" s="2" t="inlineStr"/>
    </row>
    <row r="208" ht="15" customHeight="1">
      <c r="A208" t="inlineStr">
        <is>
          <t>A 12704-2022</t>
        </is>
      </c>
      <c r="B208" s="1" t="n">
        <v>44641</v>
      </c>
      <c r="C208" s="1" t="n">
        <v>45937</v>
      </c>
      <c r="D208" t="inlineStr">
        <is>
          <t>DALARNAS LÄN</t>
        </is>
      </c>
      <c r="E208" t="inlineStr">
        <is>
          <t>ORSA</t>
        </is>
      </c>
      <c r="G208" t="n">
        <v>2.4</v>
      </c>
      <c r="H208" t="n">
        <v>0</v>
      </c>
      <c r="I208" t="n">
        <v>0</v>
      </c>
      <c r="J208" t="n">
        <v>0</v>
      </c>
      <c r="K208" t="n">
        <v>0</v>
      </c>
      <c r="L208" t="n">
        <v>0</v>
      </c>
      <c r="M208" t="n">
        <v>0</v>
      </c>
      <c r="N208" t="n">
        <v>0</v>
      </c>
      <c r="O208" t="n">
        <v>0</v>
      </c>
      <c r="P208" t="n">
        <v>0</v>
      </c>
      <c r="Q208" t="n">
        <v>0</v>
      </c>
      <c r="R208" s="2" t="inlineStr"/>
    </row>
    <row r="209" ht="15" customHeight="1">
      <c r="A209" t="inlineStr">
        <is>
          <t>A 3720-2023</t>
        </is>
      </c>
      <c r="B209" s="1" t="n">
        <v>44951.36688657408</v>
      </c>
      <c r="C209" s="1" t="n">
        <v>45937</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37770-2023</t>
        </is>
      </c>
      <c r="B210" s="1" t="n">
        <v>45159</v>
      </c>
      <c r="C210" s="1" t="n">
        <v>45937</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24248-2025</t>
        </is>
      </c>
      <c r="B211" s="1" t="n">
        <v>45797.40101851852</v>
      </c>
      <c r="C211" s="1" t="n">
        <v>45937</v>
      </c>
      <c r="D211" t="inlineStr">
        <is>
          <t>DALARNAS LÄN</t>
        </is>
      </c>
      <c r="E211" t="inlineStr">
        <is>
          <t>ORSA</t>
        </is>
      </c>
      <c r="F211" t="inlineStr">
        <is>
          <t>Bergvik skog öst AB</t>
        </is>
      </c>
      <c r="G211" t="n">
        <v>4.3</v>
      </c>
      <c r="H211" t="n">
        <v>0</v>
      </c>
      <c r="I211" t="n">
        <v>0</v>
      </c>
      <c r="J211" t="n">
        <v>0</v>
      </c>
      <c r="K211" t="n">
        <v>0</v>
      </c>
      <c r="L211" t="n">
        <v>0</v>
      </c>
      <c r="M211" t="n">
        <v>0</v>
      </c>
      <c r="N211" t="n">
        <v>0</v>
      </c>
      <c r="O211" t="n">
        <v>0</v>
      </c>
      <c r="P211" t="n">
        <v>0</v>
      </c>
      <c r="Q211" t="n">
        <v>0</v>
      </c>
      <c r="R211" s="2" t="inlineStr"/>
    </row>
    <row r="212" ht="15" customHeight="1">
      <c r="A212" t="inlineStr">
        <is>
          <t>A 55701-2023</t>
        </is>
      </c>
      <c r="B212" s="1" t="n">
        <v>45239.37113425926</v>
      </c>
      <c r="C212" s="1" t="n">
        <v>45937</v>
      </c>
      <c r="D212" t="inlineStr">
        <is>
          <t>DALARNAS LÄN</t>
        </is>
      </c>
      <c r="E212" t="inlineStr">
        <is>
          <t>ORSA</t>
        </is>
      </c>
      <c r="G212" t="n">
        <v>1.7</v>
      </c>
      <c r="H212" t="n">
        <v>0</v>
      </c>
      <c r="I212" t="n">
        <v>0</v>
      </c>
      <c r="J212" t="n">
        <v>0</v>
      </c>
      <c r="K212" t="n">
        <v>0</v>
      </c>
      <c r="L212" t="n">
        <v>0</v>
      </c>
      <c r="M212" t="n">
        <v>0</v>
      </c>
      <c r="N212" t="n">
        <v>0</v>
      </c>
      <c r="O212" t="n">
        <v>0</v>
      </c>
      <c r="P212" t="n">
        <v>0</v>
      </c>
      <c r="Q212" t="n">
        <v>0</v>
      </c>
      <c r="R212" s="2" t="inlineStr"/>
    </row>
    <row r="213" ht="15" customHeight="1">
      <c r="A213" t="inlineStr">
        <is>
          <t>A 24969-2025</t>
        </is>
      </c>
      <c r="B213" s="1" t="n">
        <v>45799</v>
      </c>
      <c r="C213" s="1" t="n">
        <v>45937</v>
      </c>
      <c r="D213" t="inlineStr">
        <is>
          <t>DALARNAS LÄN</t>
        </is>
      </c>
      <c r="E213" t="inlineStr">
        <is>
          <t>ORSA</t>
        </is>
      </c>
      <c r="F213" t="inlineStr">
        <is>
          <t>Allmännings- och besparingsskogar</t>
        </is>
      </c>
      <c r="G213" t="n">
        <v>2.6</v>
      </c>
      <c r="H213" t="n">
        <v>0</v>
      </c>
      <c r="I213" t="n">
        <v>0</v>
      </c>
      <c r="J213" t="n">
        <v>0</v>
      </c>
      <c r="K213" t="n">
        <v>0</v>
      </c>
      <c r="L213" t="n">
        <v>0</v>
      </c>
      <c r="M213" t="n">
        <v>0</v>
      </c>
      <c r="N213" t="n">
        <v>0</v>
      </c>
      <c r="O213" t="n">
        <v>0</v>
      </c>
      <c r="P213" t="n">
        <v>0</v>
      </c>
      <c r="Q213" t="n">
        <v>0</v>
      </c>
      <c r="R213" s="2" t="inlineStr"/>
    </row>
    <row r="214" ht="15" customHeight="1">
      <c r="A214" t="inlineStr">
        <is>
          <t>A 25211-2025</t>
        </is>
      </c>
      <c r="B214" s="1" t="n">
        <v>45800.46965277778</v>
      </c>
      <c r="C214" s="1" t="n">
        <v>45937</v>
      </c>
      <c r="D214" t="inlineStr">
        <is>
          <t>DALARNAS LÄN</t>
        </is>
      </c>
      <c r="E214" t="inlineStr">
        <is>
          <t>ORSA</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37852-2024</t>
        </is>
      </c>
      <c r="B215" s="1" t="n">
        <v>45544.3786574074</v>
      </c>
      <c r="C215" s="1" t="n">
        <v>45937</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23350-2024</t>
        </is>
      </c>
      <c r="B216" s="1" t="n">
        <v>45453</v>
      </c>
      <c r="C216" s="1" t="n">
        <v>45937</v>
      </c>
      <c r="D216" t="inlineStr">
        <is>
          <t>DALARNAS LÄN</t>
        </is>
      </c>
      <c r="E216" t="inlineStr">
        <is>
          <t>ORSA</t>
        </is>
      </c>
      <c r="G216" t="n">
        <v>18.7</v>
      </c>
      <c r="H216" t="n">
        <v>0</v>
      </c>
      <c r="I216" t="n">
        <v>0</v>
      </c>
      <c r="J216" t="n">
        <v>0</v>
      </c>
      <c r="K216" t="n">
        <v>0</v>
      </c>
      <c r="L216" t="n">
        <v>0</v>
      </c>
      <c r="M216" t="n">
        <v>0</v>
      </c>
      <c r="N216" t="n">
        <v>0</v>
      </c>
      <c r="O216" t="n">
        <v>0</v>
      </c>
      <c r="P216" t="n">
        <v>0</v>
      </c>
      <c r="Q216" t="n">
        <v>0</v>
      </c>
      <c r="R216" s="2" t="inlineStr"/>
    </row>
    <row r="217" ht="15" customHeight="1">
      <c r="A217" t="inlineStr">
        <is>
          <t>A 23339-2024</t>
        </is>
      </c>
      <c r="B217" s="1" t="n">
        <v>45453.48988425926</v>
      </c>
      <c r="C217" s="1" t="n">
        <v>45937</v>
      </c>
      <c r="D217" t="inlineStr">
        <is>
          <t>DALARNAS LÄN</t>
        </is>
      </c>
      <c r="E217" t="inlineStr">
        <is>
          <t>ORSA</t>
        </is>
      </c>
      <c r="G217" t="n">
        <v>3.8</v>
      </c>
      <c r="H217" t="n">
        <v>0</v>
      </c>
      <c r="I217" t="n">
        <v>0</v>
      </c>
      <c r="J217" t="n">
        <v>0</v>
      </c>
      <c r="K217" t="n">
        <v>0</v>
      </c>
      <c r="L217" t="n">
        <v>0</v>
      </c>
      <c r="M217" t="n">
        <v>0</v>
      </c>
      <c r="N217" t="n">
        <v>0</v>
      </c>
      <c r="O217" t="n">
        <v>0</v>
      </c>
      <c r="P217" t="n">
        <v>0</v>
      </c>
      <c r="Q217" t="n">
        <v>0</v>
      </c>
      <c r="R217" s="2" t="inlineStr"/>
    </row>
    <row r="218" ht="15" customHeight="1">
      <c r="A218" t="inlineStr">
        <is>
          <t>A 54519-2023</t>
        </is>
      </c>
      <c r="B218" s="1" t="n">
        <v>45233.58359953704</v>
      </c>
      <c r="C218" s="1" t="n">
        <v>45937</v>
      </c>
      <c r="D218" t="inlineStr">
        <is>
          <t>DALARNAS LÄN</t>
        </is>
      </c>
      <c r="E218" t="inlineStr">
        <is>
          <t>ORSA</t>
        </is>
      </c>
      <c r="F218" t="inlineStr">
        <is>
          <t>Allmännings- och besparingsskogar</t>
        </is>
      </c>
      <c r="G218" t="n">
        <v>0.5</v>
      </c>
      <c r="H218" t="n">
        <v>0</v>
      </c>
      <c r="I218" t="n">
        <v>0</v>
      </c>
      <c r="J218" t="n">
        <v>0</v>
      </c>
      <c r="K218" t="n">
        <v>0</v>
      </c>
      <c r="L218" t="n">
        <v>0</v>
      </c>
      <c r="M218" t="n">
        <v>0</v>
      </c>
      <c r="N218" t="n">
        <v>0</v>
      </c>
      <c r="O218" t="n">
        <v>0</v>
      </c>
      <c r="P218" t="n">
        <v>0</v>
      </c>
      <c r="Q218" t="n">
        <v>0</v>
      </c>
      <c r="R218" s="2" t="inlineStr"/>
    </row>
    <row r="219" ht="15" customHeight="1">
      <c r="A219" t="inlineStr">
        <is>
          <t>A 8107-2024</t>
        </is>
      </c>
      <c r="B219" s="1" t="n">
        <v>45351</v>
      </c>
      <c r="C219" s="1" t="n">
        <v>45937</v>
      </c>
      <c r="D219" t="inlineStr">
        <is>
          <t>DALARNAS LÄN</t>
        </is>
      </c>
      <c r="E219" t="inlineStr">
        <is>
          <t>ORSA</t>
        </is>
      </c>
      <c r="G219" t="n">
        <v>13.6</v>
      </c>
      <c r="H219" t="n">
        <v>0</v>
      </c>
      <c r="I219" t="n">
        <v>0</v>
      </c>
      <c r="J219" t="n">
        <v>0</v>
      </c>
      <c r="K219" t="n">
        <v>0</v>
      </c>
      <c r="L219" t="n">
        <v>0</v>
      </c>
      <c r="M219" t="n">
        <v>0</v>
      </c>
      <c r="N219" t="n">
        <v>0</v>
      </c>
      <c r="O219" t="n">
        <v>0</v>
      </c>
      <c r="P219" t="n">
        <v>0</v>
      </c>
      <c r="Q219" t="n">
        <v>0</v>
      </c>
      <c r="R219" s="2" t="inlineStr"/>
    </row>
    <row r="220" ht="15" customHeight="1">
      <c r="A220" t="inlineStr">
        <is>
          <t>A 22911-2023</t>
        </is>
      </c>
      <c r="B220" s="1" t="n">
        <v>45072</v>
      </c>
      <c r="C220" s="1" t="n">
        <v>45937</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55280-2024</t>
        </is>
      </c>
      <c r="B221" s="1" t="n">
        <v>45621.62524305555</v>
      </c>
      <c r="C221" s="1" t="n">
        <v>45937</v>
      </c>
      <c r="D221" t="inlineStr">
        <is>
          <t>DALARNAS LÄN</t>
        </is>
      </c>
      <c r="E221" t="inlineStr">
        <is>
          <t>ORSA</t>
        </is>
      </c>
      <c r="G221" t="n">
        <v>2.3</v>
      </c>
      <c r="H221" t="n">
        <v>0</v>
      </c>
      <c r="I221" t="n">
        <v>0</v>
      </c>
      <c r="J221" t="n">
        <v>0</v>
      </c>
      <c r="K221" t="n">
        <v>0</v>
      </c>
      <c r="L221" t="n">
        <v>0</v>
      </c>
      <c r="M221" t="n">
        <v>0</v>
      </c>
      <c r="N221" t="n">
        <v>0</v>
      </c>
      <c r="O221" t="n">
        <v>0</v>
      </c>
      <c r="P221" t="n">
        <v>0</v>
      </c>
      <c r="Q221" t="n">
        <v>0</v>
      </c>
      <c r="R221" s="2" t="inlineStr"/>
    </row>
    <row r="222" ht="15" customHeight="1">
      <c r="A222" t="inlineStr">
        <is>
          <t>A 55580-2024</t>
        </is>
      </c>
      <c r="B222" s="1" t="n">
        <v>45622.56038194444</v>
      </c>
      <c r="C222" s="1" t="n">
        <v>45937</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10261-2022</t>
        </is>
      </c>
      <c r="B223" s="1" t="n">
        <v>44622.6445949074</v>
      </c>
      <c r="C223" s="1" t="n">
        <v>45937</v>
      </c>
      <c r="D223" t="inlineStr">
        <is>
          <t>DALARNAS LÄN</t>
        </is>
      </c>
      <c r="E223" t="inlineStr">
        <is>
          <t>ORSA</t>
        </is>
      </c>
      <c r="G223" t="n">
        <v>3.1</v>
      </c>
      <c r="H223" t="n">
        <v>0</v>
      </c>
      <c r="I223" t="n">
        <v>0</v>
      </c>
      <c r="J223" t="n">
        <v>0</v>
      </c>
      <c r="K223" t="n">
        <v>0</v>
      </c>
      <c r="L223" t="n">
        <v>0</v>
      </c>
      <c r="M223" t="n">
        <v>0</v>
      </c>
      <c r="N223" t="n">
        <v>0</v>
      </c>
      <c r="O223" t="n">
        <v>0</v>
      </c>
      <c r="P223" t="n">
        <v>0</v>
      </c>
      <c r="Q223" t="n">
        <v>0</v>
      </c>
      <c r="R223" s="2" t="inlineStr"/>
    </row>
    <row r="224" ht="15" customHeight="1">
      <c r="A224" t="inlineStr">
        <is>
          <t>A 18817-2023</t>
        </is>
      </c>
      <c r="B224" s="1" t="n">
        <v>45043</v>
      </c>
      <c r="C224" s="1" t="n">
        <v>45937</v>
      </c>
      <c r="D224" t="inlineStr">
        <is>
          <t>DALARNAS LÄN</t>
        </is>
      </c>
      <c r="E224" t="inlineStr">
        <is>
          <t>ORSA</t>
        </is>
      </c>
      <c r="G224" t="n">
        <v>4.4</v>
      </c>
      <c r="H224" t="n">
        <v>0</v>
      </c>
      <c r="I224" t="n">
        <v>0</v>
      </c>
      <c r="J224" t="n">
        <v>0</v>
      </c>
      <c r="K224" t="n">
        <v>0</v>
      </c>
      <c r="L224" t="n">
        <v>0</v>
      </c>
      <c r="M224" t="n">
        <v>0</v>
      </c>
      <c r="N224" t="n">
        <v>0</v>
      </c>
      <c r="O224" t="n">
        <v>0</v>
      </c>
      <c r="P224" t="n">
        <v>0</v>
      </c>
      <c r="Q224" t="n">
        <v>0</v>
      </c>
      <c r="R224" s="2" t="inlineStr"/>
    </row>
    <row r="225" ht="15" customHeight="1">
      <c r="A225" t="inlineStr">
        <is>
          <t>A 38672-2025</t>
        </is>
      </c>
      <c r="B225" s="1" t="n">
        <v>45884.63340277778</v>
      </c>
      <c r="C225" s="1" t="n">
        <v>45937</v>
      </c>
      <c r="D225" t="inlineStr">
        <is>
          <t>DALARNAS LÄN</t>
        </is>
      </c>
      <c r="E225" t="inlineStr">
        <is>
          <t>ORSA</t>
        </is>
      </c>
      <c r="G225" t="n">
        <v>4.6</v>
      </c>
      <c r="H225" t="n">
        <v>0</v>
      </c>
      <c r="I225" t="n">
        <v>0</v>
      </c>
      <c r="J225" t="n">
        <v>0</v>
      </c>
      <c r="K225" t="n">
        <v>0</v>
      </c>
      <c r="L225" t="n">
        <v>0</v>
      </c>
      <c r="M225" t="n">
        <v>0</v>
      </c>
      <c r="N225" t="n">
        <v>0</v>
      </c>
      <c r="O225" t="n">
        <v>0</v>
      </c>
      <c r="P225" t="n">
        <v>0</v>
      </c>
      <c r="Q225" t="n">
        <v>0</v>
      </c>
      <c r="R225" s="2" t="inlineStr"/>
    </row>
    <row r="226" ht="15" customHeight="1">
      <c r="A226" t="inlineStr">
        <is>
          <t>A 56803-2024</t>
        </is>
      </c>
      <c r="B226" s="1" t="n">
        <v>45628.47212962963</v>
      </c>
      <c r="C226" s="1" t="n">
        <v>45937</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21364-2025</t>
        </is>
      </c>
      <c r="B227" s="1" t="n">
        <v>45782</v>
      </c>
      <c r="C227" s="1" t="n">
        <v>45937</v>
      </c>
      <c r="D227" t="inlineStr">
        <is>
          <t>DALARNAS LÄN</t>
        </is>
      </c>
      <c r="E227" t="inlineStr">
        <is>
          <t>ORSA</t>
        </is>
      </c>
      <c r="F227" t="inlineStr">
        <is>
          <t>Allmännings- och besparingsskogar</t>
        </is>
      </c>
      <c r="G227" t="n">
        <v>52.6</v>
      </c>
      <c r="H227" t="n">
        <v>0</v>
      </c>
      <c r="I227" t="n">
        <v>0</v>
      </c>
      <c r="J227" t="n">
        <v>0</v>
      </c>
      <c r="K227" t="n">
        <v>0</v>
      </c>
      <c r="L227" t="n">
        <v>0</v>
      </c>
      <c r="M227" t="n">
        <v>0</v>
      </c>
      <c r="N227" t="n">
        <v>0</v>
      </c>
      <c r="O227" t="n">
        <v>0</v>
      </c>
      <c r="P227" t="n">
        <v>0</v>
      </c>
      <c r="Q227" t="n">
        <v>0</v>
      </c>
      <c r="R227" s="2" t="inlineStr"/>
    </row>
    <row r="228" ht="15" customHeight="1">
      <c r="A228" t="inlineStr">
        <is>
          <t>A 46421-2025</t>
        </is>
      </c>
      <c r="B228" s="1" t="n">
        <v>45925.59936342593</v>
      </c>
      <c r="C228" s="1" t="n">
        <v>45937</v>
      </c>
      <c r="D228" t="inlineStr">
        <is>
          <t>DALARNAS LÄN</t>
        </is>
      </c>
      <c r="E228" t="inlineStr">
        <is>
          <t>ORSA</t>
        </is>
      </c>
      <c r="F228" t="inlineStr">
        <is>
          <t>Allmännings- och besparingsskogar</t>
        </is>
      </c>
      <c r="G228" t="n">
        <v>6.2</v>
      </c>
      <c r="H228" t="n">
        <v>0</v>
      </c>
      <c r="I228" t="n">
        <v>0</v>
      </c>
      <c r="J228" t="n">
        <v>0</v>
      </c>
      <c r="K228" t="n">
        <v>0</v>
      </c>
      <c r="L228" t="n">
        <v>0</v>
      </c>
      <c r="M228" t="n">
        <v>0</v>
      </c>
      <c r="N228" t="n">
        <v>0</v>
      </c>
      <c r="O228" t="n">
        <v>0</v>
      </c>
      <c r="P228" t="n">
        <v>0</v>
      </c>
      <c r="Q228" t="n">
        <v>0</v>
      </c>
      <c r="R228" s="2" t="inlineStr"/>
    </row>
    <row r="229" ht="15" customHeight="1">
      <c r="A229" t="inlineStr">
        <is>
          <t>A 20302-2023</t>
        </is>
      </c>
      <c r="B229" s="1" t="n">
        <v>45056</v>
      </c>
      <c r="C229" s="1" t="n">
        <v>45937</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46402-2025</t>
        </is>
      </c>
      <c r="B230" s="1" t="n">
        <v>45925.56084490741</v>
      </c>
      <c r="C230" s="1" t="n">
        <v>45937</v>
      </c>
      <c r="D230" t="inlineStr">
        <is>
          <t>DALARNAS LÄN</t>
        </is>
      </c>
      <c r="E230" t="inlineStr">
        <is>
          <t>ORSA</t>
        </is>
      </c>
      <c r="F230" t="inlineStr">
        <is>
          <t>Allmännings- och besparingsskogar</t>
        </is>
      </c>
      <c r="G230" t="n">
        <v>0.7</v>
      </c>
      <c r="H230" t="n">
        <v>0</v>
      </c>
      <c r="I230" t="n">
        <v>0</v>
      </c>
      <c r="J230" t="n">
        <v>0</v>
      </c>
      <c r="K230" t="n">
        <v>0</v>
      </c>
      <c r="L230" t="n">
        <v>0</v>
      </c>
      <c r="M230" t="n">
        <v>0</v>
      </c>
      <c r="N230" t="n">
        <v>0</v>
      </c>
      <c r="O230" t="n">
        <v>0</v>
      </c>
      <c r="P230" t="n">
        <v>0</v>
      </c>
      <c r="Q230" t="n">
        <v>0</v>
      </c>
      <c r="R230" s="2" t="inlineStr"/>
    </row>
    <row r="231" ht="15" customHeight="1">
      <c r="A231" t="inlineStr">
        <is>
          <t>A 26741-2025</t>
        </is>
      </c>
      <c r="B231" s="1" t="n">
        <v>45810.52444444445</v>
      </c>
      <c r="C231" s="1" t="n">
        <v>45937</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46277-2025</t>
        </is>
      </c>
      <c r="B232" s="1" t="n">
        <v>45925.37229166667</v>
      </c>
      <c r="C232" s="1" t="n">
        <v>45937</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6490-2025</t>
        </is>
      </c>
      <c r="B233" s="1" t="n">
        <v>45699</v>
      </c>
      <c r="C233" s="1" t="n">
        <v>45937</v>
      </c>
      <c r="D233" t="inlineStr">
        <is>
          <t>DALARNAS LÄN</t>
        </is>
      </c>
      <c r="E233" t="inlineStr">
        <is>
          <t>ORSA</t>
        </is>
      </c>
      <c r="G233" t="n">
        <v>7.5</v>
      </c>
      <c r="H233" t="n">
        <v>0</v>
      </c>
      <c r="I233" t="n">
        <v>0</v>
      </c>
      <c r="J233" t="n">
        <v>0</v>
      </c>
      <c r="K233" t="n">
        <v>0</v>
      </c>
      <c r="L233" t="n">
        <v>0</v>
      </c>
      <c r="M233" t="n">
        <v>0</v>
      </c>
      <c r="N233" t="n">
        <v>0</v>
      </c>
      <c r="O233" t="n">
        <v>0</v>
      </c>
      <c r="P233" t="n">
        <v>0</v>
      </c>
      <c r="Q233" t="n">
        <v>0</v>
      </c>
      <c r="R233" s="2" t="inlineStr"/>
    </row>
    <row r="234" ht="15" customHeight="1">
      <c r="A234" t="inlineStr">
        <is>
          <t>A 53717-2024</t>
        </is>
      </c>
      <c r="B234" s="1" t="n">
        <v>45615.43141203704</v>
      </c>
      <c r="C234" s="1" t="n">
        <v>45937</v>
      </c>
      <c r="D234" t="inlineStr">
        <is>
          <t>DALARNAS LÄN</t>
        </is>
      </c>
      <c r="E234" t="inlineStr">
        <is>
          <t>ORSA</t>
        </is>
      </c>
      <c r="G234" t="n">
        <v>1.5</v>
      </c>
      <c r="H234" t="n">
        <v>0</v>
      </c>
      <c r="I234" t="n">
        <v>0</v>
      </c>
      <c r="J234" t="n">
        <v>0</v>
      </c>
      <c r="K234" t="n">
        <v>0</v>
      </c>
      <c r="L234" t="n">
        <v>0</v>
      </c>
      <c r="M234" t="n">
        <v>0</v>
      </c>
      <c r="N234" t="n">
        <v>0</v>
      </c>
      <c r="O234" t="n">
        <v>0</v>
      </c>
      <c r="P234" t="n">
        <v>0</v>
      </c>
      <c r="Q234" t="n">
        <v>0</v>
      </c>
      <c r="R234" s="2" t="inlineStr"/>
    </row>
    <row r="235" ht="15" customHeight="1">
      <c r="A235" t="inlineStr">
        <is>
          <t>A 27221-2025</t>
        </is>
      </c>
      <c r="B235" s="1" t="n">
        <v>45812.42304398148</v>
      </c>
      <c r="C235" s="1" t="n">
        <v>45937</v>
      </c>
      <c r="D235" t="inlineStr">
        <is>
          <t>DALARNAS LÄN</t>
        </is>
      </c>
      <c r="E235" t="inlineStr">
        <is>
          <t>ORSA</t>
        </is>
      </c>
      <c r="F235" t="inlineStr">
        <is>
          <t>Bergvik skog öst AB</t>
        </is>
      </c>
      <c r="G235" t="n">
        <v>3.7</v>
      </c>
      <c r="H235" t="n">
        <v>0</v>
      </c>
      <c r="I235" t="n">
        <v>0</v>
      </c>
      <c r="J235" t="n">
        <v>0</v>
      </c>
      <c r="K235" t="n">
        <v>0</v>
      </c>
      <c r="L235" t="n">
        <v>0</v>
      </c>
      <c r="M235" t="n">
        <v>0</v>
      </c>
      <c r="N235" t="n">
        <v>0</v>
      </c>
      <c r="O235" t="n">
        <v>0</v>
      </c>
      <c r="P235" t="n">
        <v>0</v>
      </c>
      <c r="Q235" t="n">
        <v>0</v>
      </c>
      <c r="R235" s="2" t="inlineStr"/>
    </row>
    <row r="236" ht="15" customHeight="1">
      <c r="A236" t="inlineStr">
        <is>
          <t>A 27240-2025</t>
        </is>
      </c>
      <c r="B236" s="1" t="n">
        <v>45812.45170138889</v>
      </c>
      <c r="C236" s="1" t="n">
        <v>45937</v>
      </c>
      <c r="D236" t="inlineStr">
        <is>
          <t>DALARNAS LÄN</t>
        </is>
      </c>
      <c r="E236" t="inlineStr">
        <is>
          <t>ORSA</t>
        </is>
      </c>
      <c r="F236" t="inlineStr">
        <is>
          <t>Bergvik skog öst AB</t>
        </is>
      </c>
      <c r="G236" t="n">
        <v>6.8</v>
      </c>
      <c r="H236" t="n">
        <v>0</v>
      </c>
      <c r="I236" t="n">
        <v>0</v>
      </c>
      <c r="J236" t="n">
        <v>0</v>
      </c>
      <c r="K236" t="n">
        <v>0</v>
      </c>
      <c r="L236" t="n">
        <v>0</v>
      </c>
      <c r="M236" t="n">
        <v>0</v>
      </c>
      <c r="N236" t="n">
        <v>0</v>
      </c>
      <c r="O236" t="n">
        <v>0</v>
      </c>
      <c r="P236" t="n">
        <v>0</v>
      </c>
      <c r="Q236" t="n">
        <v>0</v>
      </c>
      <c r="R236" s="2" t="inlineStr"/>
    </row>
    <row r="237" ht="15" customHeight="1">
      <c r="A237" t="inlineStr">
        <is>
          <t>A 612-2025</t>
        </is>
      </c>
      <c r="B237" s="1" t="n">
        <v>45660</v>
      </c>
      <c r="C237" s="1" t="n">
        <v>45937</v>
      </c>
      <c r="D237" t="inlineStr">
        <is>
          <t>DALARNAS LÄN</t>
        </is>
      </c>
      <c r="E237" t="inlineStr">
        <is>
          <t>ORSA</t>
        </is>
      </c>
      <c r="F237" t="inlineStr">
        <is>
          <t>Allmännings- och besparingsskogar</t>
        </is>
      </c>
      <c r="G237" t="n">
        <v>0.8</v>
      </c>
      <c r="H237" t="n">
        <v>0</v>
      </c>
      <c r="I237" t="n">
        <v>0</v>
      </c>
      <c r="J237" t="n">
        <v>0</v>
      </c>
      <c r="K237" t="n">
        <v>0</v>
      </c>
      <c r="L237" t="n">
        <v>0</v>
      </c>
      <c r="M237" t="n">
        <v>0</v>
      </c>
      <c r="N237" t="n">
        <v>0</v>
      </c>
      <c r="O237" t="n">
        <v>0</v>
      </c>
      <c r="P237" t="n">
        <v>0</v>
      </c>
      <c r="Q237" t="n">
        <v>0</v>
      </c>
      <c r="R237" s="2" t="inlineStr"/>
    </row>
    <row r="238" ht="15" customHeight="1">
      <c r="A238" t="inlineStr">
        <is>
          <t>A 27313-2025</t>
        </is>
      </c>
      <c r="B238" s="1" t="n">
        <v>45812.58365740741</v>
      </c>
      <c r="C238" s="1" t="n">
        <v>45937</v>
      </c>
      <c r="D238" t="inlineStr">
        <is>
          <t>DALARNAS LÄN</t>
        </is>
      </c>
      <c r="E238" t="inlineStr">
        <is>
          <t>ORSA</t>
        </is>
      </c>
      <c r="F238" t="inlineStr">
        <is>
          <t>Allmännings- och besparingsskogar</t>
        </is>
      </c>
      <c r="G238" t="n">
        <v>1.4</v>
      </c>
      <c r="H238" t="n">
        <v>0</v>
      </c>
      <c r="I238" t="n">
        <v>0</v>
      </c>
      <c r="J238" t="n">
        <v>0</v>
      </c>
      <c r="K238" t="n">
        <v>0</v>
      </c>
      <c r="L238" t="n">
        <v>0</v>
      </c>
      <c r="M238" t="n">
        <v>0</v>
      </c>
      <c r="N238" t="n">
        <v>0</v>
      </c>
      <c r="O238" t="n">
        <v>0</v>
      </c>
      <c r="P238" t="n">
        <v>0</v>
      </c>
      <c r="Q238" t="n">
        <v>0</v>
      </c>
      <c r="R238" s="2" t="inlineStr"/>
    </row>
    <row r="239" ht="15" customHeight="1">
      <c r="A239" t="inlineStr">
        <is>
          <t>A 25172-2022</t>
        </is>
      </c>
      <c r="B239" s="1" t="n">
        <v>44729.58356481481</v>
      </c>
      <c r="C239" s="1" t="n">
        <v>45937</v>
      </c>
      <c r="D239" t="inlineStr">
        <is>
          <t>DALARNAS LÄN</t>
        </is>
      </c>
      <c r="E239" t="inlineStr">
        <is>
          <t>ORSA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27190-2025</t>
        </is>
      </c>
      <c r="B240" s="1" t="n">
        <v>45812.37025462963</v>
      </c>
      <c r="C240" s="1" t="n">
        <v>45937</v>
      </c>
      <c r="D240" t="inlineStr">
        <is>
          <t>DALARNAS LÄN</t>
        </is>
      </c>
      <c r="E240" t="inlineStr">
        <is>
          <t>ORSA</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986-2025</t>
        </is>
      </c>
      <c r="B241" s="1" t="n">
        <v>45666.42952546296</v>
      </c>
      <c r="C241" s="1" t="n">
        <v>45937</v>
      </c>
      <c r="D241" t="inlineStr">
        <is>
          <t>DALARNAS LÄN</t>
        </is>
      </c>
      <c r="E241" t="inlineStr">
        <is>
          <t>ORSA</t>
        </is>
      </c>
      <c r="G241" t="n">
        <v>5.7</v>
      </c>
      <c r="H241" t="n">
        <v>0</v>
      </c>
      <c r="I241" t="n">
        <v>0</v>
      </c>
      <c r="J241" t="n">
        <v>0</v>
      </c>
      <c r="K241" t="n">
        <v>0</v>
      </c>
      <c r="L241" t="n">
        <v>0</v>
      </c>
      <c r="M241" t="n">
        <v>0</v>
      </c>
      <c r="N241" t="n">
        <v>0</v>
      </c>
      <c r="O241" t="n">
        <v>0</v>
      </c>
      <c r="P241" t="n">
        <v>0</v>
      </c>
      <c r="Q241" t="n">
        <v>0</v>
      </c>
      <c r="R241" s="2" t="inlineStr"/>
    </row>
    <row r="242" ht="15" customHeight="1">
      <c r="A242" t="inlineStr">
        <is>
          <t>A 38688-2025</t>
        </is>
      </c>
      <c r="B242" s="1" t="n">
        <v>45884.66097222222</v>
      </c>
      <c r="C242" s="1" t="n">
        <v>45937</v>
      </c>
      <c r="D242" t="inlineStr">
        <is>
          <t>DALARNAS LÄN</t>
        </is>
      </c>
      <c r="E242" t="inlineStr">
        <is>
          <t>ORSA</t>
        </is>
      </c>
      <c r="F242" t="inlineStr">
        <is>
          <t>Allmännings- och besparingsskogar</t>
        </is>
      </c>
      <c r="G242" t="n">
        <v>10.2</v>
      </c>
      <c r="H242" t="n">
        <v>0</v>
      </c>
      <c r="I242" t="n">
        <v>0</v>
      </c>
      <c r="J242" t="n">
        <v>0</v>
      </c>
      <c r="K242" t="n">
        <v>0</v>
      </c>
      <c r="L242" t="n">
        <v>0</v>
      </c>
      <c r="M242" t="n">
        <v>0</v>
      </c>
      <c r="N242" t="n">
        <v>0</v>
      </c>
      <c r="O242" t="n">
        <v>0</v>
      </c>
      <c r="P242" t="n">
        <v>0</v>
      </c>
      <c r="Q242" t="n">
        <v>0</v>
      </c>
      <c r="R242" s="2" t="inlineStr"/>
    </row>
    <row r="243" ht="15" customHeight="1">
      <c r="A243" t="inlineStr">
        <is>
          <t>A 52816-2024</t>
        </is>
      </c>
      <c r="B243" s="1" t="n">
        <v>45610.58322916667</v>
      </c>
      <c r="C243" s="1" t="n">
        <v>45937</v>
      </c>
      <c r="D243" t="inlineStr">
        <is>
          <t>DALARNAS LÄN</t>
        </is>
      </c>
      <c r="E243" t="inlineStr">
        <is>
          <t>ORSA</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42517-2024</t>
        </is>
      </c>
      <c r="B244" s="1" t="n">
        <v>45565.54078703704</v>
      </c>
      <c r="C244" s="1" t="n">
        <v>45937</v>
      </c>
      <c r="D244" t="inlineStr">
        <is>
          <t>DALARNAS LÄN</t>
        </is>
      </c>
      <c r="E244" t="inlineStr">
        <is>
          <t>ORSA</t>
        </is>
      </c>
      <c r="G244" t="n">
        <v>3</v>
      </c>
      <c r="H244" t="n">
        <v>0</v>
      </c>
      <c r="I244" t="n">
        <v>0</v>
      </c>
      <c r="J244" t="n">
        <v>0</v>
      </c>
      <c r="K244" t="n">
        <v>0</v>
      </c>
      <c r="L244" t="n">
        <v>0</v>
      </c>
      <c r="M244" t="n">
        <v>0</v>
      </c>
      <c r="N244" t="n">
        <v>0</v>
      </c>
      <c r="O244" t="n">
        <v>0</v>
      </c>
      <c r="P244" t="n">
        <v>0</v>
      </c>
      <c r="Q244" t="n">
        <v>0</v>
      </c>
      <c r="R244" s="2" t="inlineStr"/>
    </row>
    <row r="245" ht="15" customHeight="1">
      <c r="A245" t="inlineStr">
        <is>
          <t>A 30458-2023</t>
        </is>
      </c>
      <c r="B245" s="1" t="n">
        <v>45111</v>
      </c>
      <c r="C245" s="1" t="n">
        <v>45937</v>
      </c>
      <c r="D245" t="inlineStr">
        <is>
          <t>DALARNAS LÄN</t>
        </is>
      </c>
      <c r="E245" t="inlineStr">
        <is>
          <t>ORSA</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42238-2023</t>
        </is>
      </c>
      <c r="B246" s="1" t="n">
        <v>45180.34207175926</v>
      </c>
      <c r="C246" s="1" t="n">
        <v>45937</v>
      </c>
      <c r="D246" t="inlineStr">
        <is>
          <t>DALARNAS LÄN</t>
        </is>
      </c>
      <c r="E246" t="inlineStr">
        <is>
          <t>ORSA</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28082-2023</t>
        </is>
      </c>
      <c r="B247" s="1" t="n">
        <v>45099</v>
      </c>
      <c r="C247" s="1" t="n">
        <v>45937</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28207-2025</t>
        </is>
      </c>
      <c r="B248" s="1" t="n">
        <v>45818.44871527778</v>
      </c>
      <c r="C248" s="1" t="n">
        <v>45937</v>
      </c>
      <c r="D248" t="inlineStr">
        <is>
          <t>DALARNAS LÄN</t>
        </is>
      </c>
      <c r="E248" t="inlineStr">
        <is>
          <t>ORSA</t>
        </is>
      </c>
      <c r="F248" t="inlineStr">
        <is>
          <t>Bergvik skog öst AB</t>
        </is>
      </c>
      <c r="G248" t="n">
        <v>2.9</v>
      </c>
      <c r="H248" t="n">
        <v>0</v>
      </c>
      <c r="I248" t="n">
        <v>0</v>
      </c>
      <c r="J248" t="n">
        <v>0</v>
      </c>
      <c r="K248" t="n">
        <v>0</v>
      </c>
      <c r="L248" t="n">
        <v>0</v>
      </c>
      <c r="M248" t="n">
        <v>0</v>
      </c>
      <c r="N248" t="n">
        <v>0</v>
      </c>
      <c r="O248" t="n">
        <v>0</v>
      </c>
      <c r="P248" t="n">
        <v>0</v>
      </c>
      <c r="Q248" t="n">
        <v>0</v>
      </c>
      <c r="R248" s="2" t="inlineStr"/>
    </row>
    <row r="249" ht="15" customHeight="1">
      <c r="A249" t="inlineStr">
        <is>
          <t>A 27866-2025</t>
        </is>
      </c>
      <c r="B249" s="1" t="n">
        <v>45817.4262962963</v>
      </c>
      <c r="C249" s="1" t="n">
        <v>45937</v>
      </c>
      <c r="D249" t="inlineStr">
        <is>
          <t>DALARNAS LÄN</t>
        </is>
      </c>
      <c r="E249" t="inlineStr">
        <is>
          <t>ORSA</t>
        </is>
      </c>
      <c r="F249" t="inlineStr">
        <is>
          <t>Allmännings- och besparingsskogar</t>
        </is>
      </c>
      <c r="G249" t="n">
        <v>6</v>
      </c>
      <c r="H249" t="n">
        <v>0</v>
      </c>
      <c r="I249" t="n">
        <v>0</v>
      </c>
      <c r="J249" t="n">
        <v>0</v>
      </c>
      <c r="K249" t="n">
        <v>0</v>
      </c>
      <c r="L249" t="n">
        <v>0</v>
      </c>
      <c r="M249" t="n">
        <v>0</v>
      </c>
      <c r="N249" t="n">
        <v>0</v>
      </c>
      <c r="O249" t="n">
        <v>0</v>
      </c>
      <c r="P249" t="n">
        <v>0</v>
      </c>
      <c r="Q249" t="n">
        <v>0</v>
      </c>
      <c r="R249" s="2" t="inlineStr"/>
    </row>
    <row r="250" ht="15" customHeight="1">
      <c r="A250" t="inlineStr">
        <is>
          <t>A 4738-2025</t>
        </is>
      </c>
      <c r="B250" s="1" t="n">
        <v>45688</v>
      </c>
      <c r="C250" s="1" t="n">
        <v>45937</v>
      </c>
      <c r="D250" t="inlineStr">
        <is>
          <t>DALARNAS LÄN</t>
        </is>
      </c>
      <c r="E250" t="inlineStr">
        <is>
          <t>ORSA</t>
        </is>
      </c>
      <c r="G250" t="n">
        <v>3.7</v>
      </c>
      <c r="H250" t="n">
        <v>0</v>
      </c>
      <c r="I250" t="n">
        <v>0</v>
      </c>
      <c r="J250" t="n">
        <v>0</v>
      </c>
      <c r="K250" t="n">
        <v>0</v>
      </c>
      <c r="L250" t="n">
        <v>0</v>
      </c>
      <c r="M250" t="n">
        <v>0</v>
      </c>
      <c r="N250" t="n">
        <v>0</v>
      </c>
      <c r="O250" t="n">
        <v>0</v>
      </c>
      <c r="P250" t="n">
        <v>0</v>
      </c>
      <c r="Q250" t="n">
        <v>0</v>
      </c>
      <c r="R250" s="2" t="inlineStr"/>
    </row>
    <row r="251" ht="15" customHeight="1">
      <c r="A251" t="inlineStr">
        <is>
          <t>A 2717-2024</t>
        </is>
      </c>
      <c r="B251" s="1" t="n">
        <v>45314.49222222222</v>
      </c>
      <c r="C251" s="1" t="n">
        <v>45937</v>
      </c>
      <c r="D251" t="inlineStr">
        <is>
          <t>DALARNAS LÄN</t>
        </is>
      </c>
      <c r="E251" t="inlineStr">
        <is>
          <t>ORSA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27987-2025</t>
        </is>
      </c>
      <c r="B252" s="1" t="n">
        <v>45817.58361111111</v>
      </c>
      <c r="C252" s="1" t="n">
        <v>45937</v>
      </c>
      <c r="D252" t="inlineStr">
        <is>
          <t>DALARNAS LÄN</t>
        </is>
      </c>
      <c r="E252" t="inlineStr">
        <is>
          <t>ORSA</t>
        </is>
      </c>
      <c r="F252" t="inlineStr">
        <is>
          <t>Allmännings- och besparingsskogar</t>
        </is>
      </c>
      <c r="G252" t="n">
        <v>2.5</v>
      </c>
      <c r="H252" t="n">
        <v>0</v>
      </c>
      <c r="I252" t="n">
        <v>0</v>
      </c>
      <c r="J252" t="n">
        <v>0</v>
      </c>
      <c r="K252" t="n">
        <v>0</v>
      </c>
      <c r="L252" t="n">
        <v>0</v>
      </c>
      <c r="M252" t="n">
        <v>0</v>
      </c>
      <c r="N252" t="n">
        <v>0</v>
      </c>
      <c r="O252" t="n">
        <v>0</v>
      </c>
      <c r="P252" t="n">
        <v>0</v>
      </c>
      <c r="Q252" t="n">
        <v>0</v>
      </c>
      <c r="R252" s="2" t="inlineStr"/>
    </row>
    <row r="253" ht="15" customHeight="1">
      <c r="A253" t="inlineStr">
        <is>
          <t>A 27885-2025</t>
        </is>
      </c>
      <c r="B253" s="1" t="n">
        <v>45817.45034722222</v>
      </c>
      <c r="C253" s="1" t="n">
        <v>45937</v>
      </c>
      <c r="D253" t="inlineStr">
        <is>
          <t>DALARNAS LÄN</t>
        </is>
      </c>
      <c r="E253" t="inlineStr">
        <is>
          <t>ORSA</t>
        </is>
      </c>
      <c r="F253" t="inlineStr">
        <is>
          <t>Allmännings- och besparingsskogar</t>
        </is>
      </c>
      <c r="G253" t="n">
        <v>3.4</v>
      </c>
      <c r="H253" t="n">
        <v>0</v>
      </c>
      <c r="I253" t="n">
        <v>0</v>
      </c>
      <c r="J253" t="n">
        <v>0</v>
      </c>
      <c r="K253" t="n">
        <v>0</v>
      </c>
      <c r="L253" t="n">
        <v>0</v>
      </c>
      <c r="M253" t="n">
        <v>0</v>
      </c>
      <c r="N253" t="n">
        <v>0</v>
      </c>
      <c r="O253" t="n">
        <v>0</v>
      </c>
      <c r="P253" t="n">
        <v>0</v>
      </c>
      <c r="Q253" t="n">
        <v>0</v>
      </c>
      <c r="R253" s="2" t="inlineStr"/>
    </row>
    <row r="254" ht="15" customHeight="1">
      <c r="A254" t="inlineStr">
        <is>
          <t>A 56887-2024</t>
        </is>
      </c>
      <c r="B254" s="1" t="n">
        <v>45628.57388888889</v>
      </c>
      <c r="C254" s="1" t="n">
        <v>45937</v>
      </c>
      <c r="D254" t="inlineStr">
        <is>
          <t>DALARNAS LÄN</t>
        </is>
      </c>
      <c r="E254" t="inlineStr">
        <is>
          <t>ORSA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38588-2025</t>
        </is>
      </c>
      <c r="B255" s="1" t="n">
        <v>45884.47355324074</v>
      </c>
      <c r="C255" s="1" t="n">
        <v>45937</v>
      </c>
      <c r="D255" t="inlineStr">
        <is>
          <t>DALARNAS LÄN</t>
        </is>
      </c>
      <c r="E255" t="inlineStr">
        <is>
          <t>ORSA</t>
        </is>
      </c>
      <c r="F255" t="inlineStr">
        <is>
          <t>Bergvik skog öst AB</t>
        </is>
      </c>
      <c r="G255" t="n">
        <v>9.5</v>
      </c>
      <c r="H255" t="n">
        <v>0</v>
      </c>
      <c r="I255" t="n">
        <v>0</v>
      </c>
      <c r="J255" t="n">
        <v>0</v>
      </c>
      <c r="K255" t="n">
        <v>0</v>
      </c>
      <c r="L255" t="n">
        <v>0</v>
      </c>
      <c r="M255" t="n">
        <v>0</v>
      </c>
      <c r="N255" t="n">
        <v>0</v>
      </c>
      <c r="O255" t="n">
        <v>0</v>
      </c>
      <c r="P255" t="n">
        <v>0</v>
      </c>
      <c r="Q255" t="n">
        <v>0</v>
      </c>
      <c r="R255" s="2" t="inlineStr"/>
    </row>
    <row r="256" ht="15" customHeight="1">
      <c r="A256" t="inlineStr">
        <is>
          <t>A 7534-2025</t>
        </is>
      </c>
      <c r="B256" s="1" t="n">
        <v>45705.56287037037</v>
      </c>
      <c r="C256" s="1" t="n">
        <v>45937</v>
      </c>
      <c r="D256" t="inlineStr">
        <is>
          <t>DALARNAS LÄN</t>
        </is>
      </c>
      <c r="E256" t="inlineStr">
        <is>
          <t>ORSA</t>
        </is>
      </c>
      <c r="G256" t="n">
        <v>1.1</v>
      </c>
      <c r="H256" t="n">
        <v>0</v>
      </c>
      <c r="I256" t="n">
        <v>0</v>
      </c>
      <c r="J256" t="n">
        <v>0</v>
      </c>
      <c r="K256" t="n">
        <v>0</v>
      </c>
      <c r="L256" t="n">
        <v>0</v>
      </c>
      <c r="M256" t="n">
        <v>0</v>
      </c>
      <c r="N256" t="n">
        <v>0</v>
      </c>
      <c r="O256" t="n">
        <v>0</v>
      </c>
      <c r="P256" t="n">
        <v>0</v>
      </c>
      <c r="Q256" t="n">
        <v>0</v>
      </c>
      <c r="R256" s="2" t="inlineStr"/>
    </row>
    <row r="257" ht="15" customHeight="1">
      <c r="A257" t="inlineStr">
        <is>
          <t>A 28317-2025</t>
        </is>
      </c>
      <c r="B257" s="1" t="n">
        <v>45818.6300462963</v>
      </c>
      <c r="C257" s="1" t="n">
        <v>45937</v>
      </c>
      <c r="D257" t="inlineStr">
        <is>
          <t>DALARNAS LÄN</t>
        </is>
      </c>
      <c r="E257" t="inlineStr">
        <is>
          <t>ORSA</t>
        </is>
      </c>
      <c r="F257" t="inlineStr">
        <is>
          <t>Bergvik skog öst AB</t>
        </is>
      </c>
      <c r="G257" t="n">
        <v>1</v>
      </c>
      <c r="H257" t="n">
        <v>0</v>
      </c>
      <c r="I257" t="n">
        <v>0</v>
      </c>
      <c r="J257" t="n">
        <v>0</v>
      </c>
      <c r="K257" t="n">
        <v>0</v>
      </c>
      <c r="L257" t="n">
        <v>0</v>
      </c>
      <c r="M257" t="n">
        <v>0</v>
      </c>
      <c r="N257" t="n">
        <v>0</v>
      </c>
      <c r="O257" t="n">
        <v>0</v>
      </c>
      <c r="P257" t="n">
        <v>0</v>
      </c>
      <c r="Q257" t="n">
        <v>0</v>
      </c>
      <c r="R257" s="2" t="inlineStr"/>
    </row>
    <row r="258" ht="15" customHeight="1">
      <c r="A258" t="inlineStr">
        <is>
          <t>A 31026-2023</t>
        </is>
      </c>
      <c r="B258" s="1" t="n">
        <v>45113.5812962963</v>
      </c>
      <c r="C258" s="1" t="n">
        <v>45937</v>
      </c>
      <c r="D258" t="inlineStr">
        <is>
          <t>DALARNAS LÄN</t>
        </is>
      </c>
      <c r="E258" t="inlineStr">
        <is>
          <t>ORSA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28609-2025</t>
        </is>
      </c>
      <c r="B259" s="1" t="n">
        <v>45819.60303240741</v>
      </c>
      <c r="C259" s="1" t="n">
        <v>45937</v>
      </c>
      <c r="D259" t="inlineStr">
        <is>
          <t>DALARNAS LÄN</t>
        </is>
      </c>
      <c r="E259" t="inlineStr">
        <is>
          <t>ORSA</t>
        </is>
      </c>
      <c r="F259" t="inlineStr">
        <is>
          <t>Bergvik skog öst AB</t>
        </is>
      </c>
      <c r="G259" t="n">
        <v>9.1</v>
      </c>
      <c r="H259" t="n">
        <v>0</v>
      </c>
      <c r="I259" t="n">
        <v>0</v>
      </c>
      <c r="J259" t="n">
        <v>0</v>
      </c>
      <c r="K259" t="n">
        <v>0</v>
      </c>
      <c r="L259" t="n">
        <v>0</v>
      </c>
      <c r="M259" t="n">
        <v>0</v>
      </c>
      <c r="N259" t="n">
        <v>0</v>
      </c>
      <c r="O259" t="n">
        <v>0</v>
      </c>
      <c r="P259" t="n">
        <v>0</v>
      </c>
      <c r="Q259" t="n">
        <v>0</v>
      </c>
      <c r="R259" s="2" t="inlineStr"/>
    </row>
    <row r="260" ht="15" customHeight="1">
      <c r="A260" t="inlineStr">
        <is>
          <t>A 28635-2025</t>
        </is>
      </c>
      <c r="B260" s="1" t="n">
        <v>45819.63112268518</v>
      </c>
      <c r="C260" s="1" t="n">
        <v>45937</v>
      </c>
      <c r="D260" t="inlineStr">
        <is>
          <t>DALARNAS LÄN</t>
        </is>
      </c>
      <c r="E260" t="inlineStr">
        <is>
          <t>ORSA</t>
        </is>
      </c>
      <c r="F260" t="inlineStr">
        <is>
          <t>Bergvik skog öst AB</t>
        </is>
      </c>
      <c r="G260" t="n">
        <v>1.6</v>
      </c>
      <c r="H260" t="n">
        <v>0</v>
      </c>
      <c r="I260" t="n">
        <v>0</v>
      </c>
      <c r="J260" t="n">
        <v>0</v>
      </c>
      <c r="K260" t="n">
        <v>0</v>
      </c>
      <c r="L260" t="n">
        <v>0</v>
      </c>
      <c r="M260" t="n">
        <v>0</v>
      </c>
      <c r="N260" t="n">
        <v>0</v>
      </c>
      <c r="O260" t="n">
        <v>0</v>
      </c>
      <c r="P260" t="n">
        <v>0</v>
      </c>
      <c r="Q260" t="n">
        <v>0</v>
      </c>
      <c r="R260" s="2" t="inlineStr"/>
    </row>
    <row r="261" ht="15" customHeight="1">
      <c r="A261" t="inlineStr">
        <is>
          <t>A 42513-2024</t>
        </is>
      </c>
      <c r="B261" s="1" t="n">
        <v>45565.53810185185</v>
      </c>
      <c r="C261" s="1" t="n">
        <v>45937</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32125-2024</t>
        </is>
      </c>
      <c r="B262" s="1" t="n">
        <v>45511</v>
      </c>
      <c r="C262" s="1" t="n">
        <v>45937</v>
      </c>
      <c r="D262" t="inlineStr">
        <is>
          <t>DALARNAS LÄN</t>
        </is>
      </c>
      <c r="E262" t="inlineStr">
        <is>
          <t>ORSA</t>
        </is>
      </c>
      <c r="F262" t="inlineStr">
        <is>
          <t>Allmännings- och besparingsskogar</t>
        </is>
      </c>
      <c r="G262" t="n">
        <v>5.2</v>
      </c>
      <c r="H262" t="n">
        <v>0</v>
      </c>
      <c r="I262" t="n">
        <v>0</v>
      </c>
      <c r="J262" t="n">
        <v>0</v>
      </c>
      <c r="K262" t="n">
        <v>0</v>
      </c>
      <c r="L262" t="n">
        <v>0</v>
      </c>
      <c r="M262" t="n">
        <v>0</v>
      </c>
      <c r="N262" t="n">
        <v>0</v>
      </c>
      <c r="O262" t="n">
        <v>0</v>
      </c>
      <c r="P262" t="n">
        <v>0</v>
      </c>
      <c r="Q262" t="n">
        <v>0</v>
      </c>
      <c r="R262" s="2" t="inlineStr"/>
    </row>
    <row r="263" ht="15" customHeight="1">
      <c r="A263" t="inlineStr">
        <is>
          <t>A 46272-2025</t>
        </is>
      </c>
      <c r="B263" s="1" t="n">
        <v>45925.36988425926</v>
      </c>
      <c r="C263" s="1" t="n">
        <v>45937</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46279-2025</t>
        </is>
      </c>
      <c r="B264" s="1" t="n">
        <v>45925.37534722222</v>
      </c>
      <c r="C264" s="1" t="n">
        <v>45937</v>
      </c>
      <c r="D264" t="inlineStr">
        <is>
          <t>DALARNAS LÄN</t>
        </is>
      </c>
      <c r="E264" t="inlineStr">
        <is>
          <t>ORSA</t>
        </is>
      </c>
      <c r="G264" t="n">
        <v>2.2</v>
      </c>
      <c r="H264" t="n">
        <v>0</v>
      </c>
      <c r="I264" t="n">
        <v>0</v>
      </c>
      <c r="J264" t="n">
        <v>0</v>
      </c>
      <c r="K264" t="n">
        <v>0</v>
      </c>
      <c r="L264" t="n">
        <v>0</v>
      </c>
      <c r="M264" t="n">
        <v>0</v>
      </c>
      <c r="N264" t="n">
        <v>0</v>
      </c>
      <c r="O264" t="n">
        <v>0</v>
      </c>
      <c r="P264" t="n">
        <v>0</v>
      </c>
      <c r="Q264" t="n">
        <v>0</v>
      </c>
      <c r="R264" s="2" t="inlineStr"/>
    </row>
    <row r="265" ht="15" customHeight="1">
      <c r="A265" t="inlineStr">
        <is>
          <t>A 38844-2025</t>
        </is>
      </c>
      <c r="B265" s="1" t="n">
        <v>45887.54075231482</v>
      </c>
      <c r="C265" s="1" t="n">
        <v>45937</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38840-2025</t>
        </is>
      </c>
      <c r="B266" s="1" t="n">
        <v>45887.5375</v>
      </c>
      <c r="C266" s="1" t="n">
        <v>45937</v>
      </c>
      <c r="D266" t="inlineStr">
        <is>
          <t>DALARNAS LÄN</t>
        </is>
      </c>
      <c r="E266" t="inlineStr">
        <is>
          <t>ORSA</t>
        </is>
      </c>
      <c r="G266" t="n">
        <v>1.5</v>
      </c>
      <c r="H266" t="n">
        <v>0</v>
      </c>
      <c r="I266" t="n">
        <v>0</v>
      </c>
      <c r="J266" t="n">
        <v>0</v>
      </c>
      <c r="K266" t="n">
        <v>0</v>
      </c>
      <c r="L266" t="n">
        <v>0</v>
      </c>
      <c r="M266" t="n">
        <v>0</v>
      </c>
      <c r="N266" t="n">
        <v>0</v>
      </c>
      <c r="O266" t="n">
        <v>0</v>
      </c>
      <c r="P266" t="n">
        <v>0</v>
      </c>
      <c r="Q266" t="n">
        <v>0</v>
      </c>
      <c r="R266" s="2" t="inlineStr"/>
    </row>
    <row r="267" ht="15" customHeight="1">
      <c r="A267" t="inlineStr">
        <is>
          <t>A 51303-2023</t>
        </is>
      </c>
      <c r="B267" s="1" t="n">
        <v>45219.55793981482</v>
      </c>
      <c r="C267" s="1" t="n">
        <v>45937</v>
      </c>
      <c r="D267" t="inlineStr">
        <is>
          <t>DALARNAS LÄN</t>
        </is>
      </c>
      <c r="E267" t="inlineStr">
        <is>
          <t>ORSA</t>
        </is>
      </c>
      <c r="G267" t="n">
        <v>1.8</v>
      </c>
      <c r="H267" t="n">
        <v>0</v>
      </c>
      <c r="I267" t="n">
        <v>0</v>
      </c>
      <c r="J267" t="n">
        <v>0</v>
      </c>
      <c r="K267" t="n">
        <v>0</v>
      </c>
      <c r="L267" t="n">
        <v>0</v>
      </c>
      <c r="M267" t="n">
        <v>0</v>
      </c>
      <c r="N267" t="n">
        <v>0</v>
      </c>
      <c r="O267" t="n">
        <v>0</v>
      </c>
      <c r="P267" t="n">
        <v>0</v>
      </c>
      <c r="Q267" t="n">
        <v>0</v>
      </c>
      <c r="R267" s="2" t="inlineStr"/>
    </row>
    <row r="268" ht="15" customHeight="1">
      <c r="A268" t="inlineStr">
        <is>
          <t>A 63371-2023</t>
        </is>
      </c>
      <c r="B268" s="1" t="n">
        <v>45274.47642361111</v>
      </c>
      <c r="C268" s="1" t="n">
        <v>45937</v>
      </c>
      <c r="D268" t="inlineStr">
        <is>
          <t>DALARNAS LÄN</t>
        </is>
      </c>
      <c r="E268" t="inlineStr">
        <is>
          <t>ORSA</t>
        </is>
      </c>
      <c r="G268" t="n">
        <v>1.3</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44711.60145833333</v>
      </c>
      <c r="C269" s="1" t="n">
        <v>45937</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67842-2020</t>
        </is>
      </c>
      <c r="B270" s="1" t="n">
        <v>44182</v>
      </c>
      <c r="C270" s="1" t="n">
        <v>45937</v>
      </c>
      <c r="D270" t="inlineStr">
        <is>
          <t>DALARNAS LÄN</t>
        </is>
      </c>
      <c r="E270" t="inlineStr">
        <is>
          <t>ORSA</t>
        </is>
      </c>
      <c r="G270" t="n">
        <v>10.6</v>
      </c>
      <c r="H270" t="n">
        <v>0</v>
      </c>
      <c r="I270" t="n">
        <v>0</v>
      </c>
      <c r="J270" t="n">
        <v>0</v>
      </c>
      <c r="K270" t="n">
        <v>0</v>
      </c>
      <c r="L270" t="n">
        <v>0</v>
      </c>
      <c r="M270" t="n">
        <v>0</v>
      </c>
      <c r="N270" t="n">
        <v>0</v>
      </c>
      <c r="O270" t="n">
        <v>0</v>
      </c>
      <c r="P270" t="n">
        <v>0</v>
      </c>
      <c r="Q270" t="n">
        <v>0</v>
      </c>
      <c r="R270" s="2" t="inlineStr"/>
    </row>
    <row r="271" ht="15" customHeight="1">
      <c r="A271" t="inlineStr">
        <is>
          <t>A 51563-2023</t>
        </is>
      </c>
      <c r="B271" s="1" t="n">
        <v>45222</v>
      </c>
      <c r="C271" s="1" t="n">
        <v>45937</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29844-2025</t>
        </is>
      </c>
      <c r="B272" s="1" t="n">
        <v>45826</v>
      </c>
      <c r="C272" s="1" t="n">
        <v>45937</v>
      </c>
      <c r="D272" t="inlineStr">
        <is>
          <t>DALARNAS LÄN</t>
        </is>
      </c>
      <c r="E272" t="inlineStr">
        <is>
          <t>ORSA</t>
        </is>
      </c>
      <c r="F272" t="inlineStr">
        <is>
          <t>Allmännings- och besparingsskogar</t>
        </is>
      </c>
      <c r="G272" t="n">
        <v>53.9</v>
      </c>
      <c r="H272" t="n">
        <v>0</v>
      </c>
      <c r="I272" t="n">
        <v>0</v>
      </c>
      <c r="J272" t="n">
        <v>0</v>
      </c>
      <c r="K272" t="n">
        <v>0</v>
      </c>
      <c r="L272" t="n">
        <v>0</v>
      </c>
      <c r="M272" t="n">
        <v>0</v>
      </c>
      <c r="N272" t="n">
        <v>0</v>
      </c>
      <c r="O272" t="n">
        <v>0</v>
      </c>
      <c r="P272" t="n">
        <v>0</v>
      </c>
      <c r="Q272" t="n">
        <v>0</v>
      </c>
      <c r="R272" s="2" t="inlineStr"/>
    </row>
    <row r="273" ht="15" customHeight="1">
      <c r="A273" t="inlineStr">
        <is>
          <t>A 29933-2025</t>
        </is>
      </c>
      <c r="B273" s="1" t="n">
        <v>45826.44121527778</v>
      </c>
      <c r="C273" s="1" t="n">
        <v>45937</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47953-2025</t>
        </is>
      </c>
      <c r="B274" s="1" t="n">
        <v>45932.5853125</v>
      </c>
      <c r="C274" s="1" t="n">
        <v>45937</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58793-2023</t>
        </is>
      </c>
      <c r="B275" s="1" t="n">
        <v>45252.34607638889</v>
      </c>
      <c r="C275" s="1" t="n">
        <v>45937</v>
      </c>
      <c r="D275" t="inlineStr">
        <is>
          <t>DALARNAS LÄN</t>
        </is>
      </c>
      <c r="E275" t="inlineStr">
        <is>
          <t>ORSA</t>
        </is>
      </c>
      <c r="G275" t="n">
        <v>2.2</v>
      </c>
      <c r="H275" t="n">
        <v>0</v>
      </c>
      <c r="I275" t="n">
        <v>0</v>
      </c>
      <c r="J275" t="n">
        <v>0</v>
      </c>
      <c r="K275" t="n">
        <v>0</v>
      </c>
      <c r="L275" t="n">
        <v>0</v>
      </c>
      <c r="M275" t="n">
        <v>0</v>
      </c>
      <c r="N275" t="n">
        <v>0</v>
      </c>
      <c r="O275" t="n">
        <v>0</v>
      </c>
      <c r="P275" t="n">
        <v>0</v>
      </c>
      <c r="Q275" t="n">
        <v>0</v>
      </c>
      <c r="R275" s="2" t="inlineStr"/>
    </row>
    <row r="276" ht="15" customHeight="1">
      <c r="A276" t="inlineStr">
        <is>
          <t>A 61034-2024</t>
        </is>
      </c>
      <c r="B276" s="1" t="n">
        <v>45645.46608796297</v>
      </c>
      <c r="C276" s="1" t="n">
        <v>45937</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48546-2025</t>
        </is>
      </c>
      <c r="B277" s="1" t="n">
        <v>45936.42172453704</v>
      </c>
      <c r="C277" s="1" t="n">
        <v>45937</v>
      </c>
      <c r="D277" t="inlineStr">
        <is>
          <t>DALARNAS LÄN</t>
        </is>
      </c>
      <c r="E277" t="inlineStr">
        <is>
          <t>ORSA</t>
        </is>
      </c>
      <c r="F277" t="inlineStr">
        <is>
          <t>Allmännings- och besparingsskogar</t>
        </is>
      </c>
      <c r="G277" t="n">
        <v>6</v>
      </c>
      <c r="H277" t="n">
        <v>0</v>
      </c>
      <c r="I277" t="n">
        <v>0</v>
      </c>
      <c r="J277" t="n">
        <v>0</v>
      </c>
      <c r="K277" t="n">
        <v>0</v>
      </c>
      <c r="L277" t="n">
        <v>0</v>
      </c>
      <c r="M277" t="n">
        <v>0</v>
      </c>
      <c r="N277" t="n">
        <v>0</v>
      </c>
      <c r="O277" t="n">
        <v>0</v>
      </c>
      <c r="P277" t="n">
        <v>0</v>
      </c>
      <c r="Q277" t="n">
        <v>0</v>
      </c>
      <c r="R277" s="2" t="inlineStr"/>
    </row>
    <row r="278" ht="15" customHeight="1">
      <c r="A278" t="inlineStr">
        <is>
          <t>A 40111-2025</t>
        </is>
      </c>
      <c r="B278" s="1" t="n">
        <v>45894.49417824074</v>
      </c>
      <c r="C278" s="1" t="n">
        <v>45937</v>
      </c>
      <c r="D278" t="inlineStr">
        <is>
          <t>DALARNAS LÄN</t>
        </is>
      </c>
      <c r="E278" t="inlineStr">
        <is>
          <t>ORSA</t>
        </is>
      </c>
      <c r="F278" t="inlineStr">
        <is>
          <t>Allmännings- och besparingsskogar</t>
        </is>
      </c>
      <c r="G278" t="n">
        <v>18.6</v>
      </c>
      <c r="H278" t="n">
        <v>0</v>
      </c>
      <c r="I278" t="n">
        <v>0</v>
      </c>
      <c r="J278" t="n">
        <v>0</v>
      </c>
      <c r="K278" t="n">
        <v>0</v>
      </c>
      <c r="L278" t="n">
        <v>0</v>
      </c>
      <c r="M278" t="n">
        <v>0</v>
      </c>
      <c r="N278" t="n">
        <v>0</v>
      </c>
      <c r="O278" t="n">
        <v>0</v>
      </c>
      <c r="P278" t="n">
        <v>0</v>
      </c>
      <c r="Q278" t="n">
        <v>0</v>
      </c>
      <c r="R278" s="2" t="inlineStr"/>
    </row>
    <row r="279" ht="15" customHeight="1">
      <c r="A279" t="inlineStr">
        <is>
          <t>A 48584-2025</t>
        </is>
      </c>
      <c r="B279" s="1" t="n">
        <v>45936.45788194444</v>
      </c>
      <c r="C279" s="1" t="n">
        <v>45937</v>
      </c>
      <c r="D279" t="inlineStr">
        <is>
          <t>DALARNAS LÄN</t>
        </is>
      </c>
      <c r="E279" t="inlineStr">
        <is>
          <t>ORSA</t>
        </is>
      </c>
      <c r="F279" t="inlineStr">
        <is>
          <t>Allmännings- och besparingsskogar</t>
        </is>
      </c>
      <c r="G279" t="n">
        <v>10.3</v>
      </c>
      <c r="H279" t="n">
        <v>0</v>
      </c>
      <c r="I279" t="n">
        <v>0</v>
      </c>
      <c r="J279" t="n">
        <v>0</v>
      </c>
      <c r="K279" t="n">
        <v>0</v>
      </c>
      <c r="L279" t="n">
        <v>0</v>
      </c>
      <c r="M279" t="n">
        <v>0</v>
      </c>
      <c r="N279" t="n">
        <v>0</v>
      </c>
      <c r="O279" t="n">
        <v>0</v>
      </c>
      <c r="P279" t="n">
        <v>0</v>
      </c>
      <c r="Q279" t="n">
        <v>0</v>
      </c>
      <c r="R279" s="2" t="inlineStr"/>
    </row>
    <row r="280" ht="15" customHeight="1">
      <c r="A280" t="inlineStr">
        <is>
          <t>A 42346-2022</t>
        </is>
      </c>
      <c r="B280" s="1" t="n">
        <v>44831.35561342593</v>
      </c>
      <c r="C280" s="1" t="n">
        <v>45937</v>
      </c>
      <c r="D280" t="inlineStr">
        <is>
          <t>DALARNAS LÄN</t>
        </is>
      </c>
      <c r="E280" t="inlineStr">
        <is>
          <t>ORSA</t>
        </is>
      </c>
      <c r="G280" t="n">
        <v>2.4</v>
      </c>
      <c r="H280" t="n">
        <v>0</v>
      </c>
      <c r="I280" t="n">
        <v>0</v>
      </c>
      <c r="J280" t="n">
        <v>0</v>
      </c>
      <c r="K280" t="n">
        <v>0</v>
      </c>
      <c r="L280" t="n">
        <v>0</v>
      </c>
      <c r="M280" t="n">
        <v>0</v>
      </c>
      <c r="N280" t="n">
        <v>0</v>
      </c>
      <c r="O280" t="n">
        <v>0</v>
      </c>
      <c r="P280" t="n">
        <v>0</v>
      </c>
      <c r="Q280" t="n">
        <v>0</v>
      </c>
      <c r="R280" s="2" t="inlineStr"/>
    </row>
    <row r="281" ht="15" customHeight="1">
      <c r="A281" t="inlineStr">
        <is>
          <t>A 47778-2021</t>
        </is>
      </c>
      <c r="B281" s="1" t="n">
        <v>44448</v>
      </c>
      <c r="C281" s="1" t="n">
        <v>45937</v>
      </c>
      <c r="D281" t="inlineStr">
        <is>
          <t>DALARNAS LÄN</t>
        </is>
      </c>
      <c r="E281" t="inlineStr">
        <is>
          <t>ORSA</t>
        </is>
      </c>
      <c r="F281" t="inlineStr">
        <is>
          <t>Bergvik skog öst AB</t>
        </is>
      </c>
      <c r="G281" t="n">
        <v>0.8</v>
      </c>
      <c r="H281" t="n">
        <v>0</v>
      </c>
      <c r="I281" t="n">
        <v>0</v>
      </c>
      <c r="J281" t="n">
        <v>0</v>
      </c>
      <c r="K281" t="n">
        <v>0</v>
      </c>
      <c r="L281" t="n">
        <v>0</v>
      </c>
      <c r="M281" t="n">
        <v>0</v>
      </c>
      <c r="N281" t="n">
        <v>0</v>
      </c>
      <c r="O281" t="n">
        <v>0</v>
      </c>
      <c r="P281" t="n">
        <v>0</v>
      </c>
      <c r="Q281" t="n">
        <v>0</v>
      </c>
      <c r="R281" s="2" t="inlineStr"/>
    </row>
    <row r="282" ht="15" customHeight="1">
      <c r="A282" t="inlineStr">
        <is>
          <t>A 40070-2025</t>
        </is>
      </c>
      <c r="B282" s="1" t="n">
        <v>45894.44197916667</v>
      </c>
      <c r="C282" s="1" t="n">
        <v>45937</v>
      </c>
      <c r="D282" t="inlineStr">
        <is>
          <t>DALARNAS LÄN</t>
        </is>
      </c>
      <c r="E282" t="inlineStr">
        <is>
          <t>ORSA</t>
        </is>
      </c>
      <c r="F282" t="inlineStr">
        <is>
          <t>Allmännings- och besparingsskogar</t>
        </is>
      </c>
      <c r="G282" t="n">
        <v>22</v>
      </c>
      <c r="H282" t="n">
        <v>0</v>
      </c>
      <c r="I282" t="n">
        <v>0</v>
      </c>
      <c r="J282" t="n">
        <v>0</v>
      </c>
      <c r="K282" t="n">
        <v>0</v>
      </c>
      <c r="L282" t="n">
        <v>0</v>
      </c>
      <c r="M282" t="n">
        <v>0</v>
      </c>
      <c r="N282" t="n">
        <v>0</v>
      </c>
      <c r="O282" t="n">
        <v>0</v>
      </c>
      <c r="P282" t="n">
        <v>0</v>
      </c>
      <c r="Q282" t="n">
        <v>0</v>
      </c>
      <c r="R282" s="2" t="inlineStr"/>
    </row>
    <row r="283" ht="15" customHeight="1">
      <c r="A283" t="inlineStr">
        <is>
          <t>A 52925-2024</t>
        </is>
      </c>
      <c r="B283" s="1" t="n">
        <v>45610.73276620371</v>
      </c>
      <c r="C283" s="1" t="n">
        <v>45937</v>
      </c>
      <c r="D283" t="inlineStr">
        <is>
          <t>DALARNAS LÄN</t>
        </is>
      </c>
      <c r="E283" t="inlineStr">
        <is>
          <t>ORSA</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47564-2023</t>
        </is>
      </c>
      <c r="B284" s="1" t="n">
        <v>45203.40004629629</v>
      </c>
      <c r="C284" s="1" t="n">
        <v>45937</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48504-2025</t>
        </is>
      </c>
      <c r="B285" s="1" t="n">
        <v>45936.38270833333</v>
      </c>
      <c r="C285" s="1" t="n">
        <v>45937</v>
      </c>
      <c r="D285" t="inlineStr">
        <is>
          <t>DALARNAS LÄN</t>
        </is>
      </c>
      <c r="E285" t="inlineStr">
        <is>
          <t>ORSA</t>
        </is>
      </c>
      <c r="F285" t="inlineStr">
        <is>
          <t>Allmännings- och besparingsskogar</t>
        </is>
      </c>
      <c r="G285" t="n">
        <v>6.1</v>
      </c>
      <c r="H285" t="n">
        <v>0</v>
      </c>
      <c r="I285" t="n">
        <v>0</v>
      </c>
      <c r="J285" t="n">
        <v>0</v>
      </c>
      <c r="K285" t="n">
        <v>0</v>
      </c>
      <c r="L285" t="n">
        <v>0</v>
      </c>
      <c r="M285" t="n">
        <v>0</v>
      </c>
      <c r="N285" t="n">
        <v>0</v>
      </c>
      <c r="O285" t="n">
        <v>0</v>
      </c>
      <c r="P285" t="n">
        <v>0</v>
      </c>
      <c r="Q285" t="n">
        <v>0</v>
      </c>
      <c r="R285" s="2" t="inlineStr"/>
    </row>
    <row r="286" ht="15" customHeight="1">
      <c r="A286" t="inlineStr">
        <is>
          <t>A 6097-2025</t>
        </is>
      </c>
      <c r="B286" s="1" t="n">
        <v>45697</v>
      </c>
      <c r="C286" s="1" t="n">
        <v>45937</v>
      </c>
      <c r="D286" t="inlineStr">
        <is>
          <t>DALARNAS LÄN</t>
        </is>
      </c>
      <c r="E286" t="inlineStr">
        <is>
          <t>ORSA</t>
        </is>
      </c>
      <c r="G286" t="n">
        <v>11.1</v>
      </c>
      <c r="H286" t="n">
        <v>0</v>
      </c>
      <c r="I286" t="n">
        <v>0</v>
      </c>
      <c r="J286" t="n">
        <v>0</v>
      </c>
      <c r="K286" t="n">
        <v>0</v>
      </c>
      <c r="L286" t="n">
        <v>0</v>
      </c>
      <c r="M286" t="n">
        <v>0</v>
      </c>
      <c r="N286" t="n">
        <v>0</v>
      </c>
      <c r="O286" t="n">
        <v>0</v>
      </c>
      <c r="P286" t="n">
        <v>0</v>
      </c>
      <c r="Q286" t="n">
        <v>0</v>
      </c>
      <c r="R286" s="2" t="inlineStr"/>
    </row>
    <row r="287" ht="15" customHeight="1">
      <c r="A287" t="inlineStr">
        <is>
          <t>A 597-2024</t>
        </is>
      </c>
      <c r="B287" s="1" t="n">
        <v>45299.63410879629</v>
      </c>
      <c r="C287" s="1" t="n">
        <v>45937</v>
      </c>
      <c r="D287" t="inlineStr">
        <is>
          <t>DALARNAS LÄN</t>
        </is>
      </c>
      <c r="E287" t="inlineStr">
        <is>
          <t>ORSA</t>
        </is>
      </c>
      <c r="G287" t="n">
        <v>4.4</v>
      </c>
      <c r="H287" t="n">
        <v>0</v>
      </c>
      <c r="I287" t="n">
        <v>0</v>
      </c>
      <c r="J287" t="n">
        <v>0</v>
      </c>
      <c r="K287" t="n">
        <v>0</v>
      </c>
      <c r="L287" t="n">
        <v>0</v>
      </c>
      <c r="M287" t="n">
        <v>0</v>
      </c>
      <c r="N287" t="n">
        <v>0</v>
      </c>
      <c r="O287" t="n">
        <v>0</v>
      </c>
      <c r="P287" t="n">
        <v>0</v>
      </c>
      <c r="Q287" t="n">
        <v>0</v>
      </c>
      <c r="R287" s="2" t="inlineStr"/>
    </row>
    <row r="288" ht="15" customHeight="1">
      <c r="A288" t="inlineStr">
        <is>
          <t>A 40101-2024</t>
        </is>
      </c>
      <c r="B288" s="1" t="n">
        <v>45554.42622685185</v>
      </c>
      <c r="C288" s="1" t="n">
        <v>45937</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15772-2025</t>
        </is>
      </c>
      <c r="B289" s="1" t="n">
        <v>45748.59069444444</v>
      </c>
      <c r="C289" s="1" t="n">
        <v>45937</v>
      </c>
      <c r="D289" t="inlineStr">
        <is>
          <t>DALARNAS LÄN</t>
        </is>
      </c>
      <c r="E289" t="inlineStr">
        <is>
          <t>ORSA</t>
        </is>
      </c>
      <c r="F289" t="inlineStr">
        <is>
          <t>Bergvik skog öst AB</t>
        </is>
      </c>
      <c r="G289" t="n">
        <v>3.8</v>
      </c>
      <c r="H289" t="n">
        <v>0</v>
      </c>
      <c r="I289" t="n">
        <v>0</v>
      </c>
      <c r="J289" t="n">
        <v>0</v>
      </c>
      <c r="K289" t="n">
        <v>0</v>
      </c>
      <c r="L289" t="n">
        <v>0</v>
      </c>
      <c r="M289" t="n">
        <v>0</v>
      </c>
      <c r="N289" t="n">
        <v>0</v>
      </c>
      <c r="O289" t="n">
        <v>0</v>
      </c>
      <c r="P289" t="n">
        <v>0</v>
      </c>
      <c r="Q289" t="n">
        <v>0</v>
      </c>
      <c r="R289" s="2" t="inlineStr"/>
    </row>
    <row r="290" ht="15" customHeight="1">
      <c r="A290" t="inlineStr">
        <is>
          <t>A 53229-2023</t>
        </is>
      </c>
      <c r="B290" s="1" t="n">
        <v>45229.48306712963</v>
      </c>
      <c r="C290" s="1" t="n">
        <v>45937</v>
      </c>
      <c r="D290" t="inlineStr">
        <is>
          <t>DALARNAS LÄN</t>
        </is>
      </c>
      <c r="E290" t="inlineStr">
        <is>
          <t>ORSA</t>
        </is>
      </c>
      <c r="F290" t="inlineStr">
        <is>
          <t>Allmännings- och besparingsskogar</t>
        </is>
      </c>
      <c r="G290" t="n">
        <v>0.5</v>
      </c>
      <c r="H290" t="n">
        <v>0</v>
      </c>
      <c r="I290" t="n">
        <v>0</v>
      </c>
      <c r="J290" t="n">
        <v>0</v>
      </c>
      <c r="K290" t="n">
        <v>0</v>
      </c>
      <c r="L290" t="n">
        <v>0</v>
      </c>
      <c r="M290" t="n">
        <v>0</v>
      </c>
      <c r="N290" t="n">
        <v>0</v>
      </c>
      <c r="O290" t="n">
        <v>0</v>
      </c>
      <c r="P290" t="n">
        <v>0</v>
      </c>
      <c r="Q290" t="n">
        <v>0</v>
      </c>
      <c r="R290" s="2" t="inlineStr"/>
    </row>
    <row r="291" ht="15" customHeight="1">
      <c r="A291" t="inlineStr">
        <is>
          <t>A 55538-2023</t>
        </is>
      </c>
      <c r="B291" s="1" t="n">
        <v>45238.5996875</v>
      </c>
      <c r="C291" s="1" t="n">
        <v>45937</v>
      </c>
      <c r="D291" t="inlineStr">
        <is>
          <t>DALARNAS LÄN</t>
        </is>
      </c>
      <c r="E291" t="inlineStr">
        <is>
          <t>ORSA</t>
        </is>
      </c>
      <c r="G291" t="n">
        <v>0.5</v>
      </c>
      <c r="H291" t="n">
        <v>0</v>
      </c>
      <c r="I291" t="n">
        <v>0</v>
      </c>
      <c r="J291" t="n">
        <v>0</v>
      </c>
      <c r="K291" t="n">
        <v>0</v>
      </c>
      <c r="L291" t="n">
        <v>0</v>
      </c>
      <c r="M291" t="n">
        <v>0</v>
      </c>
      <c r="N291" t="n">
        <v>0</v>
      </c>
      <c r="O291" t="n">
        <v>0</v>
      </c>
      <c r="P291" t="n">
        <v>0</v>
      </c>
      <c r="Q291" t="n">
        <v>0</v>
      </c>
      <c r="R291" s="2" t="inlineStr"/>
    </row>
    <row r="292" ht="15" customHeight="1">
      <c r="A292" t="inlineStr">
        <is>
          <t>A 61053-2024</t>
        </is>
      </c>
      <c r="B292" s="1" t="n">
        <v>45645.48501157408</v>
      </c>
      <c r="C292" s="1" t="n">
        <v>45937</v>
      </c>
      <c r="D292" t="inlineStr">
        <is>
          <t>DALARNAS LÄN</t>
        </is>
      </c>
      <c r="E292" t="inlineStr">
        <is>
          <t>ORSA</t>
        </is>
      </c>
      <c r="G292" t="n">
        <v>2.6</v>
      </c>
      <c r="H292" t="n">
        <v>0</v>
      </c>
      <c r="I292" t="n">
        <v>0</v>
      </c>
      <c r="J292" t="n">
        <v>0</v>
      </c>
      <c r="K292" t="n">
        <v>0</v>
      </c>
      <c r="L292" t="n">
        <v>0</v>
      </c>
      <c r="M292" t="n">
        <v>0</v>
      </c>
      <c r="N292" t="n">
        <v>0</v>
      </c>
      <c r="O292" t="n">
        <v>0</v>
      </c>
      <c r="P292" t="n">
        <v>0</v>
      </c>
      <c r="Q292" t="n">
        <v>0</v>
      </c>
      <c r="R292" s="2" t="inlineStr"/>
    </row>
    <row r="293" ht="15" customHeight="1">
      <c r="A293" t="inlineStr">
        <is>
          <t>A 31365-2025</t>
        </is>
      </c>
      <c r="B293" s="1" t="n">
        <v>45833.43884259259</v>
      </c>
      <c r="C293" s="1" t="n">
        <v>45937</v>
      </c>
      <c r="D293" t="inlineStr">
        <is>
          <t>DALARNAS LÄN</t>
        </is>
      </c>
      <c r="E293" t="inlineStr">
        <is>
          <t>ORSA</t>
        </is>
      </c>
      <c r="G293" t="n">
        <v>1.6</v>
      </c>
      <c r="H293" t="n">
        <v>0</v>
      </c>
      <c r="I293" t="n">
        <v>0</v>
      </c>
      <c r="J293" t="n">
        <v>0</v>
      </c>
      <c r="K293" t="n">
        <v>0</v>
      </c>
      <c r="L293" t="n">
        <v>0</v>
      </c>
      <c r="M293" t="n">
        <v>0</v>
      </c>
      <c r="N293" t="n">
        <v>0</v>
      </c>
      <c r="O293" t="n">
        <v>0</v>
      </c>
      <c r="P293" t="n">
        <v>0</v>
      </c>
      <c r="Q293" t="n">
        <v>0</v>
      </c>
      <c r="R293" s="2" t="inlineStr"/>
    </row>
    <row r="294" ht="15" customHeight="1">
      <c r="A294" t="inlineStr">
        <is>
          <t>A 20349-2021</t>
        </is>
      </c>
      <c r="B294" s="1" t="n">
        <v>44315.41582175926</v>
      </c>
      <c r="C294" s="1" t="n">
        <v>45937</v>
      </c>
      <c r="D294" t="inlineStr">
        <is>
          <t>DALARNAS LÄN</t>
        </is>
      </c>
      <c r="E294" t="inlineStr">
        <is>
          <t>ORSA</t>
        </is>
      </c>
      <c r="G294" t="n">
        <v>2.3</v>
      </c>
      <c r="H294" t="n">
        <v>0</v>
      </c>
      <c r="I294" t="n">
        <v>0</v>
      </c>
      <c r="J294" t="n">
        <v>0</v>
      </c>
      <c r="K294" t="n">
        <v>0</v>
      </c>
      <c r="L294" t="n">
        <v>0</v>
      </c>
      <c r="M294" t="n">
        <v>0</v>
      </c>
      <c r="N294" t="n">
        <v>0</v>
      </c>
      <c r="O294" t="n">
        <v>0</v>
      </c>
      <c r="P294" t="n">
        <v>0</v>
      </c>
      <c r="Q294" t="n">
        <v>0</v>
      </c>
      <c r="R294" s="2" t="inlineStr"/>
    </row>
    <row r="295" ht="15" customHeight="1">
      <c r="A295" t="inlineStr">
        <is>
          <t>A 15113-2025</t>
        </is>
      </c>
      <c r="B295" s="1" t="n">
        <v>45744.36179398148</v>
      </c>
      <c r="C295" s="1" t="n">
        <v>45937</v>
      </c>
      <c r="D295" t="inlineStr">
        <is>
          <t>DALARNAS LÄN</t>
        </is>
      </c>
      <c r="E295" t="inlineStr">
        <is>
          <t>ORSA</t>
        </is>
      </c>
      <c r="F295" t="inlineStr">
        <is>
          <t>Allmännings- och besparingsskogar</t>
        </is>
      </c>
      <c r="G295" t="n">
        <v>3.3</v>
      </c>
      <c r="H295" t="n">
        <v>0</v>
      </c>
      <c r="I295" t="n">
        <v>0</v>
      </c>
      <c r="J295" t="n">
        <v>0</v>
      </c>
      <c r="K295" t="n">
        <v>0</v>
      </c>
      <c r="L295" t="n">
        <v>0</v>
      </c>
      <c r="M295" t="n">
        <v>0</v>
      </c>
      <c r="N295" t="n">
        <v>0</v>
      </c>
      <c r="O295" t="n">
        <v>0</v>
      </c>
      <c r="P295" t="n">
        <v>0</v>
      </c>
      <c r="Q295" t="n">
        <v>0</v>
      </c>
      <c r="R295" s="2" t="inlineStr"/>
    </row>
    <row r="296" ht="15" customHeight="1">
      <c r="A296" t="inlineStr">
        <is>
          <t>A 31634-2025</t>
        </is>
      </c>
      <c r="B296" s="1" t="n">
        <v>45834</v>
      </c>
      <c r="C296" s="1" t="n">
        <v>45937</v>
      </c>
      <c r="D296" t="inlineStr">
        <is>
          <t>DALARNAS LÄN</t>
        </is>
      </c>
      <c r="E296" t="inlineStr">
        <is>
          <t>ORSA</t>
        </is>
      </c>
      <c r="G296" t="n">
        <v>2</v>
      </c>
      <c r="H296" t="n">
        <v>0</v>
      </c>
      <c r="I296" t="n">
        <v>0</v>
      </c>
      <c r="J296" t="n">
        <v>0</v>
      </c>
      <c r="K296" t="n">
        <v>0</v>
      </c>
      <c r="L296" t="n">
        <v>0</v>
      </c>
      <c r="M296" t="n">
        <v>0</v>
      </c>
      <c r="N296" t="n">
        <v>0</v>
      </c>
      <c r="O296" t="n">
        <v>0</v>
      </c>
      <c r="P296" t="n">
        <v>0</v>
      </c>
      <c r="Q296" t="n">
        <v>0</v>
      </c>
      <c r="R296" s="2" t="inlineStr"/>
    </row>
    <row r="297" ht="15" customHeight="1">
      <c r="A297" t="inlineStr">
        <is>
          <t>A 51305-2023</t>
        </is>
      </c>
      <c r="B297" s="1" t="n">
        <v>45219</v>
      </c>
      <c r="C297" s="1" t="n">
        <v>45937</v>
      </c>
      <c r="D297" t="inlineStr">
        <is>
          <t>DALARNAS LÄN</t>
        </is>
      </c>
      <c r="E297" t="inlineStr">
        <is>
          <t>ORSA</t>
        </is>
      </c>
      <c r="G297" t="n">
        <v>1.3</v>
      </c>
      <c r="H297" t="n">
        <v>0</v>
      </c>
      <c r="I297" t="n">
        <v>0</v>
      </c>
      <c r="J297" t="n">
        <v>0</v>
      </c>
      <c r="K297" t="n">
        <v>0</v>
      </c>
      <c r="L297" t="n">
        <v>0</v>
      </c>
      <c r="M297" t="n">
        <v>0</v>
      </c>
      <c r="N297" t="n">
        <v>0</v>
      </c>
      <c r="O297" t="n">
        <v>0</v>
      </c>
      <c r="P297" t="n">
        <v>0</v>
      </c>
      <c r="Q297" t="n">
        <v>0</v>
      </c>
      <c r="R297" s="2" t="inlineStr"/>
    </row>
    <row r="298" ht="15" customHeight="1">
      <c r="A298" t="inlineStr">
        <is>
          <t>A 31659-2025</t>
        </is>
      </c>
      <c r="B298" s="1" t="n">
        <v>45834.35421296296</v>
      </c>
      <c r="C298" s="1" t="n">
        <v>45937</v>
      </c>
      <c r="D298" t="inlineStr">
        <is>
          <t>DALARNAS LÄN</t>
        </is>
      </c>
      <c r="E298" t="inlineStr">
        <is>
          <t>ORSA</t>
        </is>
      </c>
      <c r="G298" t="n">
        <v>1.4</v>
      </c>
      <c r="H298" t="n">
        <v>0</v>
      </c>
      <c r="I298" t="n">
        <v>0</v>
      </c>
      <c r="J298" t="n">
        <v>0</v>
      </c>
      <c r="K298" t="n">
        <v>0</v>
      </c>
      <c r="L298" t="n">
        <v>0</v>
      </c>
      <c r="M298" t="n">
        <v>0</v>
      </c>
      <c r="N298" t="n">
        <v>0</v>
      </c>
      <c r="O298" t="n">
        <v>0</v>
      </c>
      <c r="P298" t="n">
        <v>0</v>
      </c>
      <c r="Q298" t="n">
        <v>0</v>
      </c>
      <c r="R298" s="2" t="inlineStr"/>
    </row>
    <row r="299" ht="15" customHeight="1">
      <c r="A299" t="inlineStr">
        <is>
          <t>A 30751-2025</t>
        </is>
      </c>
      <c r="B299" s="1" t="n">
        <v>45831.58921296296</v>
      </c>
      <c r="C299" s="1" t="n">
        <v>45937</v>
      </c>
      <c r="D299" t="inlineStr">
        <is>
          <t>DALARNAS LÄN</t>
        </is>
      </c>
      <c r="E299" t="inlineStr">
        <is>
          <t>ORSA</t>
        </is>
      </c>
      <c r="G299" t="n">
        <v>5.2</v>
      </c>
      <c r="H299" t="n">
        <v>0</v>
      </c>
      <c r="I299" t="n">
        <v>0</v>
      </c>
      <c r="J299" t="n">
        <v>0</v>
      </c>
      <c r="K299" t="n">
        <v>0</v>
      </c>
      <c r="L299" t="n">
        <v>0</v>
      </c>
      <c r="M299" t="n">
        <v>0</v>
      </c>
      <c r="N299" t="n">
        <v>0</v>
      </c>
      <c r="O299" t="n">
        <v>0</v>
      </c>
      <c r="P299" t="n">
        <v>0</v>
      </c>
      <c r="Q299" t="n">
        <v>0</v>
      </c>
      <c r="R299" s="2" t="inlineStr"/>
    </row>
    <row r="300" ht="15" customHeight="1">
      <c r="A300" t="inlineStr">
        <is>
          <t>A 1624-2024</t>
        </is>
      </c>
      <c r="B300" s="1" t="n">
        <v>45306</v>
      </c>
      <c r="C300" s="1" t="n">
        <v>45937</v>
      </c>
      <c r="D300" t="inlineStr">
        <is>
          <t>DALARNAS LÄN</t>
        </is>
      </c>
      <c r="E300" t="inlineStr">
        <is>
          <t>ORSA</t>
        </is>
      </c>
      <c r="G300" t="n">
        <v>1.9</v>
      </c>
      <c r="H300" t="n">
        <v>0</v>
      </c>
      <c r="I300" t="n">
        <v>0</v>
      </c>
      <c r="J300" t="n">
        <v>0</v>
      </c>
      <c r="K300" t="n">
        <v>0</v>
      </c>
      <c r="L300" t="n">
        <v>0</v>
      </c>
      <c r="M300" t="n">
        <v>0</v>
      </c>
      <c r="N300" t="n">
        <v>0</v>
      </c>
      <c r="O300" t="n">
        <v>0</v>
      </c>
      <c r="P300" t="n">
        <v>0</v>
      </c>
      <c r="Q300" t="n">
        <v>0</v>
      </c>
      <c r="R300" s="2" t="inlineStr"/>
    </row>
    <row r="301" ht="15" customHeight="1">
      <c r="A301" t="inlineStr">
        <is>
          <t>A 19505-2022</t>
        </is>
      </c>
      <c r="B301" s="1" t="n">
        <v>44693</v>
      </c>
      <c r="C301" s="1" t="n">
        <v>45937</v>
      </c>
      <c r="D301" t="inlineStr">
        <is>
          <t>DALARNAS LÄN</t>
        </is>
      </c>
      <c r="E301" t="inlineStr">
        <is>
          <t>ORSA</t>
        </is>
      </c>
      <c r="G301" t="n">
        <v>2.7</v>
      </c>
      <c r="H301" t="n">
        <v>0</v>
      </c>
      <c r="I301" t="n">
        <v>0</v>
      </c>
      <c r="J301" t="n">
        <v>0</v>
      </c>
      <c r="K301" t="n">
        <v>0</v>
      </c>
      <c r="L301" t="n">
        <v>0</v>
      </c>
      <c r="M301" t="n">
        <v>0</v>
      </c>
      <c r="N301" t="n">
        <v>0</v>
      </c>
      <c r="O301" t="n">
        <v>0</v>
      </c>
      <c r="P301" t="n">
        <v>0</v>
      </c>
      <c r="Q301" t="n">
        <v>0</v>
      </c>
      <c r="R301" s="2" t="inlineStr"/>
    </row>
    <row r="302" ht="15" customHeight="1">
      <c r="A302" t="inlineStr">
        <is>
          <t>A 32325-2025</t>
        </is>
      </c>
      <c r="B302" s="1" t="n">
        <v>45836</v>
      </c>
      <c r="C302" s="1" t="n">
        <v>45937</v>
      </c>
      <c r="D302" t="inlineStr">
        <is>
          <t>DALARNAS LÄN</t>
        </is>
      </c>
      <c r="E302" t="inlineStr">
        <is>
          <t>ORSA</t>
        </is>
      </c>
      <c r="G302" t="n">
        <v>3.8</v>
      </c>
      <c r="H302" t="n">
        <v>0</v>
      </c>
      <c r="I302" t="n">
        <v>0</v>
      </c>
      <c r="J302" t="n">
        <v>0</v>
      </c>
      <c r="K302" t="n">
        <v>0</v>
      </c>
      <c r="L302" t="n">
        <v>0</v>
      </c>
      <c r="M302" t="n">
        <v>0</v>
      </c>
      <c r="N302" t="n">
        <v>0</v>
      </c>
      <c r="O302" t="n">
        <v>0</v>
      </c>
      <c r="P302" t="n">
        <v>0</v>
      </c>
      <c r="Q302" t="n">
        <v>0</v>
      </c>
      <c r="R302" s="2" t="inlineStr"/>
    </row>
    <row r="303" ht="15" customHeight="1">
      <c r="A303" t="inlineStr">
        <is>
          <t>A 40091-2025</t>
        </is>
      </c>
      <c r="B303" s="1" t="n">
        <v>45894.47822916666</v>
      </c>
      <c r="C303" s="1" t="n">
        <v>45937</v>
      </c>
      <c r="D303" t="inlineStr">
        <is>
          <t>DALARNAS LÄN</t>
        </is>
      </c>
      <c r="E303" t="inlineStr">
        <is>
          <t>ORSA</t>
        </is>
      </c>
      <c r="F303" t="inlineStr">
        <is>
          <t>Allmännings- och besparingsskogar</t>
        </is>
      </c>
      <c r="G303" t="n">
        <v>20.4</v>
      </c>
      <c r="H303" t="n">
        <v>0</v>
      </c>
      <c r="I303" t="n">
        <v>0</v>
      </c>
      <c r="J303" t="n">
        <v>0</v>
      </c>
      <c r="K303" t="n">
        <v>0</v>
      </c>
      <c r="L303" t="n">
        <v>0</v>
      </c>
      <c r="M303" t="n">
        <v>0</v>
      </c>
      <c r="N303" t="n">
        <v>0</v>
      </c>
      <c r="O303" t="n">
        <v>0</v>
      </c>
      <c r="P303" t="n">
        <v>0</v>
      </c>
      <c r="Q303" t="n">
        <v>0</v>
      </c>
      <c r="R303" s="2" t="inlineStr"/>
    </row>
    <row r="304" ht="15" customHeight="1">
      <c r="A304" t="inlineStr">
        <is>
          <t>A 33214-2025</t>
        </is>
      </c>
      <c r="B304" s="1" t="n">
        <v>45840.6295949074</v>
      </c>
      <c r="C304" s="1" t="n">
        <v>45937</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19108-2025</t>
        </is>
      </c>
      <c r="B305" s="1" t="n">
        <v>45768</v>
      </c>
      <c r="C305" s="1" t="n">
        <v>45937</v>
      </c>
      <c r="D305" t="inlineStr">
        <is>
          <t>DALARNAS LÄN</t>
        </is>
      </c>
      <c r="E305" t="inlineStr">
        <is>
          <t>ORSA</t>
        </is>
      </c>
      <c r="F305" t="inlineStr">
        <is>
          <t>Bergvik skog väst AB</t>
        </is>
      </c>
      <c r="G305" t="n">
        <v>14.3</v>
      </c>
      <c r="H305" t="n">
        <v>0</v>
      </c>
      <c r="I305" t="n">
        <v>0</v>
      </c>
      <c r="J305" t="n">
        <v>0</v>
      </c>
      <c r="K305" t="n">
        <v>0</v>
      </c>
      <c r="L305" t="n">
        <v>0</v>
      </c>
      <c r="M305" t="n">
        <v>0</v>
      </c>
      <c r="N305" t="n">
        <v>0</v>
      </c>
      <c r="O305" t="n">
        <v>0</v>
      </c>
      <c r="P305" t="n">
        <v>0</v>
      </c>
      <c r="Q305" t="n">
        <v>0</v>
      </c>
      <c r="R305" s="2" t="inlineStr"/>
    </row>
    <row r="306" ht="15" customHeight="1">
      <c r="A306" t="inlineStr">
        <is>
          <t>A 32985-2025</t>
        </is>
      </c>
      <c r="B306" s="1" t="n">
        <v>45839.93033564815</v>
      </c>
      <c r="C306" s="1" t="n">
        <v>45937</v>
      </c>
      <c r="D306" t="inlineStr">
        <is>
          <t>DALARNAS LÄN</t>
        </is>
      </c>
      <c r="E306" t="inlineStr">
        <is>
          <t>ORSA</t>
        </is>
      </c>
      <c r="G306" t="n">
        <v>1.6</v>
      </c>
      <c r="H306" t="n">
        <v>0</v>
      </c>
      <c r="I306" t="n">
        <v>0</v>
      </c>
      <c r="J306" t="n">
        <v>0</v>
      </c>
      <c r="K306" t="n">
        <v>0</v>
      </c>
      <c r="L306" t="n">
        <v>0</v>
      </c>
      <c r="M306" t="n">
        <v>0</v>
      </c>
      <c r="N306" t="n">
        <v>0</v>
      </c>
      <c r="O306" t="n">
        <v>0</v>
      </c>
      <c r="P306" t="n">
        <v>0</v>
      </c>
      <c r="Q306" t="n">
        <v>0</v>
      </c>
      <c r="R306" s="2" t="inlineStr"/>
    </row>
    <row r="307" ht="15" customHeight="1">
      <c r="A307" t="inlineStr">
        <is>
          <t>A 33059-2025</t>
        </is>
      </c>
      <c r="B307" s="1" t="n">
        <v>45840.43072916667</v>
      </c>
      <c r="C307" s="1" t="n">
        <v>45937</v>
      </c>
      <c r="D307" t="inlineStr">
        <is>
          <t>DALARNAS LÄN</t>
        </is>
      </c>
      <c r="E307" t="inlineStr">
        <is>
          <t>ORSA</t>
        </is>
      </c>
      <c r="F307" t="inlineStr">
        <is>
          <t>Bergvik skog öst AB</t>
        </is>
      </c>
      <c r="G307" t="n">
        <v>0.8</v>
      </c>
      <c r="H307" t="n">
        <v>0</v>
      </c>
      <c r="I307" t="n">
        <v>0</v>
      </c>
      <c r="J307" t="n">
        <v>0</v>
      </c>
      <c r="K307" t="n">
        <v>0</v>
      </c>
      <c r="L307" t="n">
        <v>0</v>
      </c>
      <c r="M307" t="n">
        <v>0</v>
      </c>
      <c r="N307" t="n">
        <v>0</v>
      </c>
      <c r="O307" t="n">
        <v>0</v>
      </c>
      <c r="P307" t="n">
        <v>0</v>
      </c>
      <c r="Q307" t="n">
        <v>0</v>
      </c>
      <c r="R307" s="2" t="inlineStr"/>
    </row>
    <row r="308" ht="15" customHeight="1">
      <c r="A308" t="inlineStr">
        <is>
          <t>A 33209-2025</t>
        </is>
      </c>
      <c r="B308" s="1" t="n">
        <v>45840.62648148148</v>
      </c>
      <c r="C308" s="1" t="n">
        <v>45937</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40127-2025</t>
        </is>
      </c>
      <c r="B309" s="1" t="n">
        <v>45894.53300925926</v>
      </c>
      <c r="C309" s="1" t="n">
        <v>45937</v>
      </c>
      <c r="D309" t="inlineStr">
        <is>
          <t>DALARNAS LÄN</t>
        </is>
      </c>
      <c r="E309" t="inlineStr">
        <is>
          <t>ORSA</t>
        </is>
      </c>
      <c r="F309" t="inlineStr">
        <is>
          <t>Allmännings- och besparingsskogar</t>
        </is>
      </c>
      <c r="G309" t="n">
        <v>17.4</v>
      </c>
      <c r="H309" t="n">
        <v>0</v>
      </c>
      <c r="I309" t="n">
        <v>0</v>
      </c>
      <c r="J309" t="n">
        <v>0</v>
      </c>
      <c r="K309" t="n">
        <v>0</v>
      </c>
      <c r="L309" t="n">
        <v>0</v>
      </c>
      <c r="M309" t="n">
        <v>0</v>
      </c>
      <c r="N309" t="n">
        <v>0</v>
      </c>
      <c r="O309" t="n">
        <v>0</v>
      </c>
      <c r="P309" t="n">
        <v>0</v>
      </c>
      <c r="Q309" t="n">
        <v>0</v>
      </c>
      <c r="R309" s="2" t="inlineStr"/>
    </row>
    <row r="310" ht="15" customHeight="1">
      <c r="A310" t="inlineStr">
        <is>
          <t>A 33057-2025</t>
        </is>
      </c>
      <c r="B310" s="1" t="n">
        <v>45840</v>
      </c>
      <c r="C310" s="1" t="n">
        <v>45937</v>
      </c>
      <c r="D310" t="inlineStr">
        <is>
          <t>DALARNAS LÄN</t>
        </is>
      </c>
      <c r="E310" t="inlineStr">
        <is>
          <t>ORSA</t>
        </is>
      </c>
      <c r="F310" t="inlineStr">
        <is>
          <t>Bergvik skog öst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33158-2025</t>
        </is>
      </c>
      <c r="B311" s="1" t="n">
        <v>45840</v>
      </c>
      <c r="C311" s="1" t="n">
        <v>45937</v>
      </c>
      <c r="D311" t="inlineStr">
        <is>
          <t>DALARNAS LÄN</t>
        </is>
      </c>
      <c r="E311" t="inlineStr">
        <is>
          <t>ORSA</t>
        </is>
      </c>
      <c r="F311" t="inlineStr">
        <is>
          <t>Bergvik skog öst AB</t>
        </is>
      </c>
      <c r="G311" t="n">
        <v>2.7</v>
      </c>
      <c r="H311" t="n">
        <v>0</v>
      </c>
      <c r="I311" t="n">
        <v>0</v>
      </c>
      <c r="J311" t="n">
        <v>0</v>
      </c>
      <c r="K311" t="n">
        <v>0</v>
      </c>
      <c r="L311" t="n">
        <v>0</v>
      </c>
      <c r="M311" t="n">
        <v>0</v>
      </c>
      <c r="N311" t="n">
        <v>0</v>
      </c>
      <c r="O311" t="n">
        <v>0</v>
      </c>
      <c r="P311" t="n">
        <v>0</v>
      </c>
      <c r="Q311" t="n">
        <v>0</v>
      </c>
      <c r="R311" s="2" t="inlineStr"/>
    </row>
    <row r="312" ht="15" customHeight="1">
      <c r="A312" t="inlineStr">
        <is>
          <t>A 32984-2025</t>
        </is>
      </c>
      <c r="B312" s="1" t="n">
        <v>45839.93006944445</v>
      </c>
      <c r="C312" s="1" t="n">
        <v>45937</v>
      </c>
      <c r="D312" t="inlineStr">
        <is>
          <t>DALARNAS LÄN</t>
        </is>
      </c>
      <c r="E312" t="inlineStr">
        <is>
          <t>ORSA</t>
        </is>
      </c>
      <c r="G312" t="n">
        <v>0.5</v>
      </c>
      <c r="H312" t="n">
        <v>0</v>
      </c>
      <c r="I312" t="n">
        <v>0</v>
      </c>
      <c r="J312" t="n">
        <v>0</v>
      </c>
      <c r="K312" t="n">
        <v>0</v>
      </c>
      <c r="L312" t="n">
        <v>0</v>
      </c>
      <c r="M312" t="n">
        <v>0</v>
      </c>
      <c r="N312" t="n">
        <v>0</v>
      </c>
      <c r="O312" t="n">
        <v>0</v>
      </c>
      <c r="P312" t="n">
        <v>0</v>
      </c>
      <c r="Q312" t="n">
        <v>0</v>
      </c>
      <c r="R312" s="2" t="inlineStr"/>
    </row>
    <row r="313" ht="15" customHeight="1">
      <c r="A313" t="inlineStr">
        <is>
          <t>A 19024-2021</t>
        </is>
      </c>
      <c r="B313" s="1" t="n">
        <v>44308.5053587963</v>
      </c>
      <c r="C313" s="1" t="n">
        <v>45937</v>
      </c>
      <c r="D313" t="inlineStr">
        <is>
          <t>DALARNAS LÄN</t>
        </is>
      </c>
      <c r="E313" t="inlineStr">
        <is>
          <t>ORSA</t>
        </is>
      </c>
      <c r="G313" t="n">
        <v>1.7</v>
      </c>
      <c r="H313" t="n">
        <v>0</v>
      </c>
      <c r="I313" t="n">
        <v>0</v>
      </c>
      <c r="J313" t="n">
        <v>0</v>
      </c>
      <c r="K313" t="n">
        <v>0</v>
      </c>
      <c r="L313" t="n">
        <v>0</v>
      </c>
      <c r="M313" t="n">
        <v>0</v>
      </c>
      <c r="N313" t="n">
        <v>0</v>
      </c>
      <c r="O313" t="n">
        <v>0</v>
      </c>
      <c r="P313" t="n">
        <v>0</v>
      </c>
      <c r="Q313" t="n">
        <v>0</v>
      </c>
      <c r="R313" s="2" t="inlineStr"/>
    </row>
    <row r="314" ht="15" customHeight="1">
      <c r="A314" t="inlineStr">
        <is>
          <t>A 10048-2023</t>
        </is>
      </c>
      <c r="B314" s="1" t="n">
        <v>44985.67237268519</v>
      </c>
      <c r="C314" s="1" t="n">
        <v>45937</v>
      </c>
      <c r="D314" t="inlineStr">
        <is>
          <t>DALARNAS LÄN</t>
        </is>
      </c>
      <c r="E314" t="inlineStr">
        <is>
          <t>ORSA</t>
        </is>
      </c>
      <c r="G314" t="n">
        <v>4.8</v>
      </c>
      <c r="H314" t="n">
        <v>0</v>
      </c>
      <c r="I314" t="n">
        <v>0</v>
      </c>
      <c r="J314" t="n">
        <v>0</v>
      </c>
      <c r="K314" t="n">
        <v>0</v>
      </c>
      <c r="L314" t="n">
        <v>0</v>
      </c>
      <c r="M314" t="n">
        <v>0</v>
      </c>
      <c r="N314" t="n">
        <v>0</v>
      </c>
      <c r="O314" t="n">
        <v>0</v>
      </c>
      <c r="P314" t="n">
        <v>0</v>
      </c>
      <c r="Q314" t="n">
        <v>0</v>
      </c>
      <c r="R314" s="2" t="inlineStr"/>
    </row>
    <row r="315" ht="15" customHeight="1">
      <c r="A315" t="inlineStr">
        <is>
          <t>A 593-2024</t>
        </is>
      </c>
      <c r="B315" s="1" t="n">
        <v>45299.63049768518</v>
      </c>
      <c r="C315" s="1" t="n">
        <v>45937</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33374-2025</t>
        </is>
      </c>
      <c r="B316" s="1" t="n">
        <v>45841.39582175926</v>
      </c>
      <c r="C316" s="1" t="n">
        <v>45937</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31031-2023</t>
        </is>
      </c>
      <c r="B317" s="1" t="n">
        <v>45113</v>
      </c>
      <c r="C317" s="1" t="n">
        <v>45937</v>
      </c>
      <c r="D317" t="inlineStr">
        <is>
          <t>DALARNAS LÄN</t>
        </is>
      </c>
      <c r="E317" t="inlineStr">
        <is>
          <t>ORSA</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28388-2024</t>
        </is>
      </c>
      <c r="B318" s="1" t="n">
        <v>45477.59960648148</v>
      </c>
      <c r="C318" s="1" t="n">
        <v>45937</v>
      </c>
      <c r="D318" t="inlineStr">
        <is>
          <t>DALARNAS LÄN</t>
        </is>
      </c>
      <c r="E318" t="inlineStr">
        <is>
          <t>ORSA</t>
        </is>
      </c>
      <c r="F318" t="inlineStr">
        <is>
          <t>Bergvik skog öst AB</t>
        </is>
      </c>
      <c r="G318" t="n">
        <v>3.8</v>
      </c>
      <c r="H318" t="n">
        <v>0</v>
      </c>
      <c r="I318" t="n">
        <v>0</v>
      </c>
      <c r="J318" t="n">
        <v>0</v>
      </c>
      <c r="K318" t="n">
        <v>0</v>
      </c>
      <c r="L318" t="n">
        <v>0</v>
      </c>
      <c r="M318" t="n">
        <v>0</v>
      </c>
      <c r="N318" t="n">
        <v>0</v>
      </c>
      <c r="O318" t="n">
        <v>0</v>
      </c>
      <c r="P318" t="n">
        <v>0</v>
      </c>
      <c r="Q318" t="n">
        <v>0</v>
      </c>
      <c r="R318" s="2" t="inlineStr"/>
    </row>
    <row r="319" ht="15" customHeight="1">
      <c r="A319" t="inlineStr">
        <is>
          <t>A 33884-2025</t>
        </is>
      </c>
      <c r="B319" s="1" t="n">
        <v>45842.57081018519</v>
      </c>
      <c r="C319" s="1" t="n">
        <v>45937</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33394-2025</t>
        </is>
      </c>
      <c r="B320" s="1" t="n">
        <v>45841.41704861111</v>
      </c>
      <c r="C320" s="1" t="n">
        <v>45937</v>
      </c>
      <c r="D320" t="inlineStr">
        <is>
          <t>DALARNAS LÄN</t>
        </is>
      </c>
      <c r="E320" t="inlineStr">
        <is>
          <t>ORSA</t>
        </is>
      </c>
      <c r="G320" t="n">
        <v>0.8</v>
      </c>
      <c r="H320" t="n">
        <v>0</v>
      </c>
      <c r="I320" t="n">
        <v>0</v>
      </c>
      <c r="J320" t="n">
        <v>0</v>
      </c>
      <c r="K320" t="n">
        <v>0</v>
      </c>
      <c r="L320" t="n">
        <v>0</v>
      </c>
      <c r="M320" t="n">
        <v>0</v>
      </c>
      <c r="N320" t="n">
        <v>0</v>
      </c>
      <c r="O320" t="n">
        <v>0</v>
      </c>
      <c r="P320" t="n">
        <v>0</v>
      </c>
      <c r="Q320" t="n">
        <v>0</v>
      </c>
      <c r="R320" s="2" t="inlineStr"/>
    </row>
    <row r="321" ht="15" customHeight="1">
      <c r="A321" t="inlineStr">
        <is>
          <t>A 33835-2025</t>
        </is>
      </c>
      <c r="B321" s="1" t="n">
        <v>45842.47619212963</v>
      </c>
      <c r="C321" s="1" t="n">
        <v>45937</v>
      </c>
      <c r="D321" t="inlineStr">
        <is>
          <t>DALARNAS LÄN</t>
        </is>
      </c>
      <c r="E321" t="inlineStr">
        <is>
          <t>ORSA</t>
        </is>
      </c>
      <c r="G321" t="n">
        <v>15.2</v>
      </c>
      <c r="H321" t="n">
        <v>0</v>
      </c>
      <c r="I321" t="n">
        <v>0</v>
      </c>
      <c r="J321" t="n">
        <v>0</v>
      </c>
      <c r="K321" t="n">
        <v>0</v>
      </c>
      <c r="L321" t="n">
        <v>0</v>
      </c>
      <c r="M321" t="n">
        <v>0</v>
      </c>
      <c r="N321" t="n">
        <v>0</v>
      </c>
      <c r="O321" t="n">
        <v>0</v>
      </c>
      <c r="P321" t="n">
        <v>0</v>
      </c>
      <c r="Q321" t="n">
        <v>0</v>
      </c>
      <c r="R321" s="2" t="inlineStr"/>
    </row>
    <row r="322" ht="15" customHeight="1">
      <c r="A322" t="inlineStr">
        <is>
          <t>A 33951-2025</t>
        </is>
      </c>
      <c r="B322" s="1" t="n">
        <v>45842.66791666667</v>
      </c>
      <c r="C322" s="1" t="n">
        <v>45937</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33857-2025</t>
        </is>
      </c>
      <c r="B323" s="1" t="n">
        <v>45842.51953703703</v>
      </c>
      <c r="C323" s="1" t="n">
        <v>45937</v>
      </c>
      <c r="D323" t="inlineStr">
        <is>
          <t>DALARNAS LÄN</t>
        </is>
      </c>
      <c r="E323" t="inlineStr">
        <is>
          <t>ORSA</t>
        </is>
      </c>
      <c r="G323" t="n">
        <v>1.3</v>
      </c>
      <c r="H323" t="n">
        <v>0</v>
      </c>
      <c r="I323" t="n">
        <v>0</v>
      </c>
      <c r="J323" t="n">
        <v>0</v>
      </c>
      <c r="K323" t="n">
        <v>0</v>
      </c>
      <c r="L323" t="n">
        <v>0</v>
      </c>
      <c r="M323" t="n">
        <v>0</v>
      </c>
      <c r="N323" t="n">
        <v>0</v>
      </c>
      <c r="O323" t="n">
        <v>0</v>
      </c>
      <c r="P323" t="n">
        <v>0</v>
      </c>
      <c r="Q323" t="n">
        <v>0</v>
      </c>
      <c r="R323" s="2" t="inlineStr"/>
    </row>
    <row r="324" ht="15" customHeight="1">
      <c r="A324" t="inlineStr">
        <is>
          <t>A 6939-2021</t>
        </is>
      </c>
      <c r="B324" s="1" t="n">
        <v>44237</v>
      </c>
      <c r="C324" s="1" t="n">
        <v>45937</v>
      </c>
      <c r="D324" t="inlineStr">
        <is>
          <t>DALARNAS LÄN</t>
        </is>
      </c>
      <c r="E324" t="inlineStr">
        <is>
          <t>ORSA</t>
        </is>
      </c>
      <c r="F324" t="inlineStr">
        <is>
          <t>Övriga statliga verk och myndigheter</t>
        </is>
      </c>
      <c r="G324" t="n">
        <v>1.5</v>
      </c>
      <c r="H324" t="n">
        <v>0</v>
      </c>
      <c r="I324" t="n">
        <v>0</v>
      </c>
      <c r="J324" t="n">
        <v>0</v>
      </c>
      <c r="K324" t="n">
        <v>0</v>
      </c>
      <c r="L324" t="n">
        <v>0</v>
      </c>
      <c r="M324" t="n">
        <v>0</v>
      </c>
      <c r="N324" t="n">
        <v>0</v>
      </c>
      <c r="O324" t="n">
        <v>0</v>
      </c>
      <c r="P324" t="n">
        <v>0</v>
      </c>
      <c r="Q324" t="n">
        <v>0</v>
      </c>
      <c r="R324" s="2" t="inlineStr"/>
    </row>
    <row r="325" ht="15" customHeight="1">
      <c r="A325" t="inlineStr">
        <is>
          <t>A 34001-2025</t>
        </is>
      </c>
      <c r="B325" s="1" t="n">
        <v>45844</v>
      </c>
      <c r="C325" s="1" t="n">
        <v>45937</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47732-2022</t>
        </is>
      </c>
      <c r="B326" s="1" t="n">
        <v>44854.63668981481</v>
      </c>
      <c r="C326" s="1" t="n">
        <v>45937</v>
      </c>
      <c r="D326" t="inlineStr">
        <is>
          <t>DALARNAS LÄN</t>
        </is>
      </c>
      <c r="E326" t="inlineStr">
        <is>
          <t>ORSA</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61279-2023</t>
        </is>
      </c>
      <c r="B327" s="1" t="n">
        <v>45264.5270949074</v>
      </c>
      <c r="C327" s="1" t="n">
        <v>45937</v>
      </c>
      <c r="D327" t="inlineStr">
        <is>
          <t>DALARNAS LÄN</t>
        </is>
      </c>
      <c r="E327" t="inlineStr">
        <is>
          <t>ORSA</t>
        </is>
      </c>
      <c r="G327" t="n">
        <v>0.2</v>
      </c>
      <c r="H327" t="n">
        <v>0</v>
      </c>
      <c r="I327" t="n">
        <v>0</v>
      </c>
      <c r="J327" t="n">
        <v>0</v>
      </c>
      <c r="K327" t="n">
        <v>0</v>
      </c>
      <c r="L327" t="n">
        <v>0</v>
      </c>
      <c r="M327" t="n">
        <v>0</v>
      </c>
      <c r="N327" t="n">
        <v>0</v>
      </c>
      <c r="O327" t="n">
        <v>0</v>
      </c>
      <c r="P327" t="n">
        <v>0</v>
      </c>
      <c r="Q327" t="n">
        <v>0</v>
      </c>
      <c r="R327" s="2" t="inlineStr"/>
    </row>
    <row r="328" ht="15" customHeight="1">
      <c r="A328" t="inlineStr">
        <is>
          <t>A 23461-2023</t>
        </is>
      </c>
      <c r="B328" s="1" t="n">
        <v>45076</v>
      </c>
      <c r="C328" s="1" t="n">
        <v>45937</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18037-2023</t>
        </is>
      </c>
      <c r="B329" s="1" t="n">
        <v>45040</v>
      </c>
      <c r="C329" s="1" t="n">
        <v>45937</v>
      </c>
      <c r="D329" t="inlineStr">
        <is>
          <t>DALARNAS LÄN</t>
        </is>
      </c>
      <c r="E329" t="inlineStr">
        <is>
          <t>ORSA</t>
        </is>
      </c>
      <c r="G329" t="n">
        <v>6.6</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45937</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34779-2025</t>
        </is>
      </c>
      <c r="B331" s="1" t="n">
        <v>45848.66987268518</v>
      </c>
      <c r="C331" s="1" t="n">
        <v>45937</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34753-2025</t>
        </is>
      </c>
      <c r="B332" s="1" t="n">
        <v>45848.62001157407</v>
      </c>
      <c r="C332" s="1" t="n">
        <v>45937</v>
      </c>
      <c r="D332" t="inlineStr">
        <is>
          <t>DALARNAS LÄN</t>
        </is>
      </c>
      <c r="E332" t="inlineStr">
        <is>
          <t>ORSA</t>
        </is>
      </c>
      <c r="G332" t="n">
        <v>1.4</v>
      </c>
      <c r="H332" t="n">
        <v>0</v>
      </c>
      <c r="I332" t="n">
        <v>0</v>
      </c>
      <c r="J332" t="n">
        <v>0</v>
      </c>
      <c r="K332" t="n">
        <v>0</v>
      </c>
      <c r="L332" t="n">
        <v>0</v>
      </c>
      <c r="M332" t="n">
        <v>0</v>
      </c>
      <c r="N332" t="n">
        <v>0</v>
      </c>
      <c r="O332" t="n">
        <v>0</v>
      </c>
      <c r="P332" t="n">
        <v>0</v>
      </c>
      <c r="Q332" t="n">
        <v>0</v>
      </c>
      <c r="R332" s="2" t="inlineStr"/>
    </row>
    <row r="333" ht="15" customHeight="1">
      <c r="A333" t="inlineStr">
        <is>
          <t>A 34781-2025</t>
        </is>
      </c>
      <c r="B333" s="1" t="n">
        <v>45848.67424768519</v>
      </c>
      <c r="C333" s="1" t="n">
        <v>45937</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34744-2025</t>
        </is>
      </c>
      <c r="B334" s="1" t="n">
        <v>45848.6125</v>
      </c>
      <c r="C334" s="1" t="n">
        <v>45937</v>
      </c>
      <c r="D334" t="inlineStr">
        <is>
          <t>DALARNAS LÄN</t>
        </is>
      </c>
      <c r="E334" t="inlineStr">
        <is>
          <t>ORSA</t>
        </is>
      </c>
      <c r="G334" t="n">
        <v>1.7</v>
      </c>
      <c r="H334" t="n">
        <v>0</v>
      </c>
      <c r="I334" t="n">
        <v>0</v>
      </c>
      <c r="J334" t="n">
        <v>0</v>
      </c>
      <c r="K334" t="n">
        <v>0</v>
      </c>
      <c r="L334" t="n">
        <v>0</v>
      </c>
      <c r="M334" t="n">
        <v>0</v>
      </c>
      <c r="N334" t="n">
        <v>0</v>
      </c>
      <c r="O334" t="n">
        <v>0</v>
      </c>
      <c r="P334" t="n">
        <v>0</v>
      </c>
      <c r="Q334" t="n">
        <v>0</v>
      </c>
      <c r="R334" s="2" t="inlineStr"/>
    </row>
    <row r="335" ht="15" customHeight="1">
      <c r="A335" t="inlineStr">
        <is>
          <t>A 25761-2021</t>
        </is>
      </c>
      <c r="B335" s="1" t="n">
        <v>44343</v>
      </c>
      <c r="C335" s="1" t="n">
        <v>45937</v>
      </c>
      <c r="D335" t="inlineStr">
        <is>
          <t>DALARNAS LÄN</t>
        </is>
      </c>
      <c r="E335" t="inlineStr">
        <is>
          <t>ORSA</t>
        </is>
      </c>
      <c r="G335" t="n">
        <v>3.4</v>
      </c>
      <c r="H335" t="n">
        <v>0</v>
      </c>
      <c r="I335" t="n">
        <v>0</v>
      </c>
      <c r="J335" t="n">
        <v>0</v>
      </c>
      <c r="K335" t="n">
        <v>0</v>
      </c>
      <c r="L335" t="n">
        <v>0</v>
      </c>
      <c r="M335" t="n">
        <v>0</v>
      </c>
      <c r="N335" t="n">
        <v>0</v>
      </c>
      <c r="O335" t="n">
        <v>0</v>
      </c>
      <c r="P335" t="n">
        <v>0</v>
      </c>
      <c r="Q335" t="n">
        <v>0</v>
      </c>
      <c r="R335" s="2" t="inlineStr"/>
    </row>
    <row r="336" ht="15" customHeight="1">
      <c r="A336" t="inlineStr">
        <is>
          <t>A 15114-2025</t>
        </is>
      </c>
      <c r="B336" s="1" t="n">
        <v>45744.36232638889</v>
      </c>
      <c r="C336" s="1" t="n">
        <v>45937</v>
      </c>
      <c r="D336" t="inlineStr">
        <is>
          <t>DALARNAS LÄN</t>
        </is>
      </c>
      <c r="E336" t="inlineStr">
        <is>
          <t>ORSA</t>
        </is>
      </c>
      <c r="F336" t="inlineStr">
        <is>
          <t>Allmännings- och besparingsskogar</t>
        </is>
      </c>
      <c r="G336" t="n">
        <v>1.9</v>
      </c>
      <c r="H336" t="n">
        <v>0</v>
      </c>
      <c r="I336" t="n">
        <v>0</v>
      </c>
      <c r="J336" t="n">
        <v>0</v>
      </c>
      <c r="K336" t="n">
        <v>0</v>
      </c>
      <c r="L336" t="n">
        <v>0</v>
      </c>
      <c r="M336" t="n">
        <v>0</v>
      </c>
      <c r="N336" t="n">
        <v>0</v>
      </c>
      <c r="O336" t="n">
        <v>0</v>
      </c>
      <c r="P336" t="n">
        <v>0</v>
      </c>
      <c r="Q336" t="n">
        <v>0</v>
      </c>
      <c r="R336" s="2" t="inlineStr"/>
    </row>
    <row r="337" ht="15" customHeight="1">
      <c r="A337" t="inlineStr">
        <is>
          <t>A 34769-2025</t>
        </is>
      </c>
      <c r="B337" s="1" t="n">
        <v>45848.6534837963</v>
      </c>
      <c r="C337" s="1" t="n">
        <v>45937</v>
      </c>
      <c r="D337" t="inlineStr">
        <is>
          <t>DALARNAS LÄN</t>
        </is>
      </c>
      <c r="E337" t="inlineStr">
        <is>
          <t>ORSA</t>
        </is>
      </c>
      <c r="G337" t="n">
        <v>0.4</v>
      </c>
      <c r="H337" t="n">
        <v>0</v>
      </c>
      <c r="I337" t="n">
        <v>0</v>
      </c>
      <c r="J337" t="n">
        <v>0</v>
      </c>
      <c r="K337" t="n">
        <v>0</v>
      </c>
      <c r="L337" t="n">
        <v>0</v>
      </c>
      <c r="M337" t="n">
        <v>0</v>
      </c>
      <c r="N337" t="n">
        <v>0</v>
      </c>
      <c r="O337" t="n">
        <v>0</v>
      </c>
      <c r="P337" t="n">
        <v>0</v>
      </c>
      <c r="Q337" t="n">
        <v>0</v>
      </c>
      <c r="R337" s="2" t="inlineStr"/>
    </row>
    <row r="338" ht="15" customHeight="1">
      <c r="A338" t="inlineStr">
        <is>
          <t>A 34777-2025</t>
        </is>
      </c>
      <c r="B338" s="1" t="n">
        <v>45848.66167824074</v>
      </c>
      <c r="C338" s="1" t="n">
        <v>45937</v>
      </c>
      <c r="D338" t="inlineStr">
        <is>
          <t>DALARNAS LÄN</t>
        </is>
      </c>
      <c r="E338" t="inlineStr">
        <is>
          <t>ORSA</t>
        </is>
      </c>
      <c r="G338" t="n">
        <v>0.4</v>
      </c>
      <c r="H338" t="n">
        <v>0</v>
      </c>
      <c r="I338" t="n">
        <v>0</v>
      </c>
      <c r="J338" t="n">
        <v>0</v>
      </c>
      <c r="K338" t="n">
        <v>0</v>
      </c>
      <c r="L338" t="n">
        <v>0</v>
      </c>
      <c r="M338" t="n">
        <v>0</v>
      </c>
      <c r="N338" t="n">
        <v>0</v>
      </c>
      <c r="O338" t="n">
        <v>0</v>
      </c>
      <c r="P338" t="n">
        <v>0</v>
      </c>
      <c r="Q338" t="n">
        <v>0</v>
      </c>
      <c r="R338" s="2" t="inlineStr"/>
    </row>
    <row r="339" ht="15" customHeight="1">
      <c r="A339" t="inlineStr">
        <is>
          <t>A 34794-2025</t>
        </is>
      </c>
      <c r="B339" s="1" t="n">
        <v>45848.73256944444</v>
      </c>
      <c r="C339" s="1" t="n">
        <v>45937</v>
      </c>
      <c r="D339" t="inlineStr">
        <is>
          <t>DALARNAS LÄN</t>
        </is>
      </c>
      <c r="E339" t="inlineStr">
        <is>
          <t>ORSA</t>
        </is>
      </c>
      <c r="G339" t="n">
        <v>2.3</v>
      </c>
      <c r="H339" t="n">
        <v>0</v>
      </c>
      <c r="I339" t="n">
        <v>0</v>
      </c>
      <c r="J339" t="n">
        <v>0</v>
      </c>
      <c r="K339" t="n">
        <v>0</v>
      </c>
      <c r="L339" t="n">
        <v>0</v>
      </c>
      <c r="M339" t="n">
        <v>0</v>
      </c>
      <c r="N339" t="n">
        <v>0</v>
      </c>
      <c r="O339" t="n">
        <v>0</v>
      </c>
      <c r="P339" t="n">
        <v>0</v>
      </c>
      <c r="Q339" t="n">
        <v>0</v>
      </c>
      <c r="R339" s="2" t="inlineStr"/>
    </row>
    <row r="340" ht="15" customHeight="1">
      <c r="A340" t="inlineStr">
        <is>
          <t>A 34764-2025</t>
        </is>
      </c>
      <c r="B340" s="1" t="n">
        <v>45848.64788194445</v>
      </c>
      <c r="C340" s="1" t="n">
        <v>45937</v>
      </c>
      <c r="D340" t="inlineStr">
        <is>
          <t>DALARNAS LÄN</t>
        </is>
      </c>
      <c r="E340" t="inlineStr">
        <is>
          <t>ORSA</t>
        </is>
      </c>
      <c r="G340" t="n">
        <v>1.3</v>
      </c>
      <c r="H340" t="n">
        <v>0</v>
      </c>
      <c r="I340" t="n">
        <v>0</v>
      </c>
      <c r="J340" t="n">
        <v>0</v>
      </c>
      <c r="K340" t="n">
        <v>0</v>
      </c>
      <c r="L340" t="n">
        <v>0</v>
      </c>
      <c r="M340" t="n">
        <v>0</v>
      </c>
      <c r="N340" t="n">
        <v>0</v>
      </c>
      <c r="O340" t="n">
        <v>0</v>
      </c>
      <c r="P340" t="n">
        <v>0</v>
      </c>
      <c r="Q340" t="n">
        <v>0</v>
      </c>
      <c r="R340" s="2" t="inlineStr"/>
    </row>
    <row r="341" ht="15" customHeight="1">
      <c r="A341" t="inlineStr">
        <is>
          <t>A 37830-2024</t>
        </is>
      </c>
      <c r="B341" s="1" t="n">
        <v>45544.34504629629</v>
      </c>
      <c r="C341" s="1" t="n">
        <v>45937</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34964-2025</t>
        </is>
      </c>
      <c r="B342" s="1" t="n">
        <v>45849.6330787037</v>
      </c>
      <c r="C342" s="1" t="n">
        <v>45937</v>
      </c>
      <c r="D342" t="inlineStr">
        <is>
          <t>DALARNAS LÄN</t>
        </is>
      </c>
      <c r="E342" t="inlineStr">
        <is>
          <t>ORSA</t>
        </is>
      </c>
      <c r="G342" t="n">
        <v>2.1</v>
      </c>
      <c r="H342" t="n">
        <v>0</v>
      </c>
      <c r="I342" t="n">
        <v>0</v>
      </c>
      <c r="J342" t="n">
        <v>0</v>
      </c>
      <c r="K342" t="n">
        <v>0</v>
      </c>
      <c r="L342" t="n">
        <v>0</v>
      </c>
      <c r="M342" t="n">
        <v>0</v>
      </c>
      <c r="N342" t="n">
        <v>0</v>
      </c>
      <c r="O342" t="n">
        <v>0</v>
      </c>
      <c r="P342" t="n">
        <v>0</v>
      </c>
      <c r="Q342" t="n">
        <v>0</v>
      </c>
      <c r="R342" s="2" t="inlineStr"/>
    </row>
    <row r="343" ht="15" customHeight="1">
      <c r="A343" t="inlineStr">
        <is>
          <t>A 17508-2025</t>
        </is>
      </c>
      <c r="B343" s="1" t="n">
        <v>45757.55929398148</v>
      </c>
      <c r="C343" s="1" t="n">
        <v>45937</v>
      </c>
      <c r="D343" t="inlineStr">
        <is>
          <t>DALARNAS LÄN</t>
        </is>
      </c>
      <c r="E343" t="inlineStr">
        <is>
          <t>ORSA</t>
        </is>
      </c>
      <c r="F343" t="inlineStr">
        <is>
          <t>Bergvik skog öst AB</t>
        </is>
      </c>
      <c r="G343" t="n">
        <v>9.4</v>
      </c>
      <c r="H343" t="n">
        <v>0</v>
      </c>
      <c r="I343" t="n">
        <v>0</v>
      </c>
      <c r="J343" t="n">
        <v>0</v>
      </c>
      <c r="K343" t="n">
        <v>0</v>
      </c>
      <c r="L343" t="n">
        <v>0</v>
      </c>
      <c r="M343" t="n">
        <v>0</v>
      </c>
      <c r="N343" t="n">
        <v>0</v>
      </c>
      <c r="O343" t="n">
        <v>0</v>
      </c>
      <c r="P343" t="n">
        <v>0</v>
      </c>
      <c r="Q343" t="n">
        <v>0</v>
      </c>
      <c r="R343" s="2" t="inlineStr"/>
    </row>
    <row r="344" ht="15" customHeight="1">
      <c r="A344" t="inlineStr">
        <is>
          <t>A 63917-2023</t>
        </is>
      </c>
      <c r="B344" s="1" t="n">
        <v>45278</v>
      </c>
      <c r="C344" s="1" t="n">
        <v>45937</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52912-2023</t>
        </is>
      </c>
      <c r="B345" s="1" t="n">
        <v>45226.51766203704</v>
      </c>
      <c r="C345" s="1" t="n">
        <v>45937</v>
      </c>
      <c r="D345" t="inlineStr">
        <is>
          <t>DALARNAS LÄN</t>
        </is>
      </c>
      <c r="E345" t="inlineStr">
        <is>
          <t>ORSA</t>
        </is>
      </c>
      <c r="G345" t="n">
        <v>10.9</v>
      </c>
      <c r="H345" t="n">
        <v>0</v>
      </c>
      <c r="I345" t="n">
        <v>0</v>
      </c>
      <c r="J345" t="n">
        <v>0</v>
      </c>
      <c r="K345" t="n">
        <v>0</v>
      </c>
      <c r="L345" t="n">
        <v>0</v>
      </c>
      <c r="M345" t="n">
        <v>0</v>
      </c>
      <c r="N345" t="n">
        <v>0</v>
      </c>
      <c r="O345" t="n">
        <v>0</v>
      </c>
      <c r="P345" t="n">
        <v>0</v>
      </c>
      <c r="Q345" t="n">
        <v>0</v>
      </c>
      <c r="R345" s="2" t="inlineStr"/>
    </row>
    <row r="346" ht="15" customHeight="1">
      <c r="A346" t="inlineStr">
        <is>
          <t>A 45272-2022</t>
        </is>
      </c>
      <c r="B346" s="1" t="n">
        <v>44844</v>
      </c>
      <c r="C346" s="1" t="n">
        <v>45937</v>
      </c>
      <c r="D346" t="inlineStr">
        <is>
          <t>DALARNAS LÄN</t>
        </is>
      </c>
      <c r="E346" t="inlineStr">
        <is>
          <t>ORSA</t>
        </is>
      </c>
      <c r="G346" t="n">
        <v>0.3</v>
      </c>
      <c r="H346" t="n">
        <v>0</v>
      </c>
      <c r="I346" t="n">
        <v>0</v>
      </c>
      <c r="J346" t="n">
        <v>0</v>
      </c>
      <c r="K346" t="n">
        <v>0</v>
      </c>
      <c r="L346" t="n">
        <v>0</v>
      </c>
      <c r="M346" t="n">
        <v>0</v>
      </c>
      <c r="N346" t="n">
        <v>0</v>
      </c>
      <c r="O346" t="n">
        <v>0</v>
      </c>
      <c r="P346" t="n">
        <v>0</v>
      </c>
      <c r="Q346" t="n">
        <v>0</v>
      </c>
      <c r="R346" s="2" t="inlineStr"/>
    </row>
    <row r="347" ht="15" customHeight="1">
      <c r="A347" t="inlineStr">
        <is>
          <t>A 4202-2025</t>
        </is>
      </c>
      <c r="B347" s="1" t="n">
        <v>45685.46236111111</v>
      </c>
      <c r="C347" s="1" t="n">
        <v>45937</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4204-2025</t>
        </is>
      </c>
      <c r="B348" s="1" t="n">
        <v>45685.46390046296</v>
      </c>
      <c r="C348" s="1" t="n">
        <v>45937</v>
      </c>
      <c r="D348" t="inlineStr">
        <is>
          <t>DALARNAS LÄN</t>
        </is>
      </c>
      <c r="E348" t="inlineStr">
        <is>
          <t>ORSA</t>
        </is>
      </c>
      <c r="G348" t="n">
        <v>1.8</v>
      </c>
      <c r="H348" t="n">
        <v>0</v>
      </c>
      <c r="I348" t="n">
        <v>0</v>
      </c>
      <c r="J348" t="n">
        <v>0</v>
      </c>
      <c r="K348" t="n">
        <v>0</v>
      </c>
      <c r="L348" t="n">
        <v>0</v>
      </c>
      <c r="M348" t="n">
        <v>0</v>
      </c>
      <c r="N348" t="n">
        <v>0</v>
      </c>
      <c r="O348" t="n">
        <v>0</v>
      </c>
      <c r="P348" t="n">
        <v>0</v>
      </c>
      <c r="Q348" t="n">
        <v>0</v>
      </c>
      <c r="R348" s="2" t="inlineStr"/>
    </row>
    <row r="349" ht="15" customHeight="1">
      <c r="A349" t="inlineStr">
        <is>
          <t>A 10832-2022</t>
        </is>
      </c>
      <c r="B349" s="1" t="n">
        <v>44627</v>
      </c>
      <c r="C349" s="1" t="n">
        <v>45937</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15769-2025</t>
        </is>
      </c>
      <c r="B350" s="1" t="n">
        <v>45748.58792824074</v>
      </c>
      <c r="C350" s="1" t="n">
        <v>45937</v>
      </c>
      <c r="D350" t="inlineStr">
        <is>
          <t>DALARNAS LÄN</t>
        </is>
      </c>
      <c r="E350" t="inlineStr">
        <is>
          <t>ORSA</t>
        </is>
      </c>
      <c r="F350" t="inlineStr">
        <is>
          <t>Bergvik skog öst AB</t>
        </is>
      </c>
      <c r="G350" t="n">
        <v>4.7</v>
      </c>
      <c r="H350" t="n">
        <v>0</v>
      </c>
      <c r="I350" t="n">
        <v>0</v>
      </c>
      <c r="J350" t="n">
        <v>0</v>
      </c>
      <c r="K350" t="n">
        <v>0</v>
      </c>
      <c r="L350" t="n">
        <v>0</v>
      </c>
      <c r="M350" t="n">
        <v>0</v>
      </c>
      <c r="N350" t="n">
        <v>0</v>
      </c>
      <c r="O350" t="n">
        <v>0</v>
      </c>
      <c r="P350" t="n">
        <v>0</v>
      </c>
      <c r="Q350" t="n">
        <v>0</v>
      </c>
      <c r="R350" s="2" t="inlineStr"/>
    </row>
    <row r="351" ht="15" customHeight="1">
      <c r="A351" t="inlineStr">
        <is>
          <t>A 40577-2025</t>
        </is>
      </c>
      <c r="B351" s="1" t="n">
        <v>45896.51028935185</v>
      </c>
      <c r="C351" s="1" t="n">
        <v>45937</v>
      </c>
      <c r="D351" t="inlineStr">
        <is>
          <t>DALARNAS LÄN</t>
        </is>
      </c>
      <c r="E351" t="inlineStr">
        <is>
          <t>ORSA</t>
        </is>
      </c>
      <c r="F351" t="inlineStr">
        <is>
          <t>Allmännings- och besparingsskogar</t>
        </is>
      </c>
      <c r="G351" t="n">
        <v>13.8</v>
      </c>
      <c r="H351" t="n">
        <v>0</v>
      </c>
      <c r="I351" t="n">
        <v>0</v>
      </c>
      <c r="J351" t="n">
        <v>0</v>
      </c>
      <c r="K351" t="n">
        <v>0</v>
      </c>
      <c r="L351" t="n">
        <v>0</v>
      </c>
      <c r="M351" t="n">
        <v>0</v>
      </c>
      <c r="N351" t="n">
        <v>0</v>
      </c>
      <c r="O351" t="n">
        <v>0</v>
      </c>
      <c r="P351" t="n">
        <v>0</v>
      </c>
      <c r="Q351" t="n">
        <v>0</v>
      </c>
      <c r="R351" s="2" t="inlineStr"/>
    </row>
    <row r="352" ht="15" customHeight="1">
      <c r="A352" t="inlineStr">
        <is>
          <t>A 37931-2023</t>
        </is>
      </c>
      <c r="B352" s="1" t="n">
        <v>45160.51721064815</v>
      </c>
      <c r="C352" s="1" t="n">
        <v>45937</v>
      </c>
      <c r="D352" t="inlineStr">
        <is>
          <t>DALARNAS LÄN</t>
        </is>
      </c>
      <c r="E352" t="inlineStr">
        <is>
          <t>ORSA</t>
        </is>
      </c>
      <c r="G352" t="n">
        <v>2.6</v>
      </c>
      <c r="H352" t="n">
        <v>0</v>
      </c>
      <c r="I352" t="n">
        <v>0</v>
      </c>
      <c r="J352" t="n">
        <v>0</v>
      </c>
      <c r="K352" t="n">
        <v>0</v>
      </c>
      <c r="L352" t="n">
        <v>0</v>
      </c>
      <c r="M352" t="n">
        <v>0</v>
      </c>
      <c r="N352" t="n">
        <v>0</v>
      </c>
      <c r="O352" t="n">
        <v>0</v>
      </c>
      <c r="P352" t="n">
        <v>0</v>
      </c>
      <c r="Q352" t="n">
        <v>0</v>
      </c>
      <c r="R352" s="2" t="inlineStr"/>
    </row>
    <row r="353" ht="15" customHeight="1">
      <c r="A353" t="inlineStr">
        <is>
          <t>A 7628-2025</t>
        </is>
      </c>
      <c r="B353" s="1" t="n">
        <v>45705.73394675926</v>
      </c>
      <c r="C353" s="1" t="n">
        <v>45937</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15766-2025</t>
        </is>
      </c>
      <c r="B354" s="1" t="n">
        <v>45748.58409722222</v>
      </c>
      <c r="C354" s="1" t="n">
        <v>45937</v>
      </c>
      <c r="D354" t="inlineStr">
        <is>
          <t>DALARNAS LÄN</t>
        </is>
      </c>
      <c r="E354" t="inlineStr">
        <is>
          <t>ORSA</t>
        </is>
      </c>
      <c r="F354" t="inlineStr">
        <is>
          <t>Bergvik skog öst AB</t>
        </is>
      </c>
      <c r="G354" t="n">
        <v>9</v>
      </c>
      <c r="H354" t="n">
        <v>0</v>
      </c>
      <c r="I354" t="n">
        <v>0</v>
      </c>
      <c r="J354" t="n">
        <v>0</v>
      </c>
      <c r="K354" t="n">
        <v>0</v>
      </c>
      <c r="L354" t="n">
        <v>0</v>
      </c>
      <c r="M354" t="n">
        <v>0</v>
      </c>
      <c r="N354" t="n">
        <v>0</v>
      </c>
      <c r="O354" t="n">
        <v>0</v>
      </c>
      <c r="P354" t="n">
        <v>0</v>
      </c>
      <c r="Q354" t="n">
        <v>0</v>
      </c>
      <c r="R354" s="2" t="inlineStr"/>
    </row>
    <row r="355" ht="15" customHeight="1">
      <c r="A355" t="inlineStr">
        <is>
          <t>A 8579-2025</t>
        </is>
      </c>
      <c r="B355" s="1" t="n">
        <v>45709</v>
      </c>
      <c r="C355" s="1" t="n">
        <v>45937</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10359-2023</t>
        </is>
      </c>
      <c r="B356" s="1" t="n">
        <v>44987.37292824074</v>
      </c>
      <c r="C356" s="1" t="n">
        <v>45937</v>
      </c>
      <c r="D356" t="inlineStr">
        <is>
          <t>DALARNAS LÄN</t>
        </is>
      </c>
      <c r="E356" t="inlineStr">
        <is>
          <t>ORSA</t>
        </is>
      </c>
      <c r="G356" t="n">
        <v>2.5</v>
      </c>
      <c r="H356" t="n">
        <v>0</v>
      </c>
      <c r="I356" t="n">
        <v>0</v>
      </c>
      <c r="J356" t="n">
        <v>0</v>
      </c>
      <c r="K356" t="n">
        <v>0</v>
      </c>
      <c r="L356" t="n">
        <v>0</v>
      </c>
      <c r="M356" t="n">
        <v>0</v>
      </c>
      <c r="N356" t="n">
        <v>0</v>
      </c>
      <c r="O356" t="n">
        <v>0</v>
      </c>
      <c r="P356" t="n">
        <v>0</v>
      </c>
      <c r="Q356" t="n">
        <v>0</v>
      </c>
      <c r="R356" s="2" t="inlineStr"/>
    </row>
    <row r="357" ht="15" customHeight="1">
      <c r="A357" t="inlineStr">
        <is>
          <t>A 26301-2023</t>
        </is>
      </c>
      <c r="B357" s="1" t="n">
        <v>45091</v>
      </c>
      <c r="C357" s="1" t="n">
        <v>45937</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33265-2021</t>
        </is>
      </c>
      <c r="B358" s="1" t="n">
        <v>44377</v>
      </c>
      <c r="C358" s="1" t="n">
        <v>45937</v>
      </c>
      <c r="D358" t="inlineStr">
        <is>
          <t>DALARNAS LÄN</t>
        </is>
      </c>
      <c r="E358" t="inlineStr">
        <is>
          <t>ORSA</t>
        </is>
      </c>
      <c r="G358" t="n">
        <v>1.9</v>
      </c>
      <c r="H358" t="n">
        <v>0</v>
      </c>
      <c r="I358" t="n">
        <v>0</v>
      </c>
      <c r="J358" t="n">
        <v>0</v>
      </c>
      <c r="K358" t="n">
        <v>0</v>
      </c>
      <c r="L358" t="n">
        <v>0</v>
      </c>
      <c r="M358" t="n">
        <v>0</v>
      </c>
      <c r="N358" t="n">
        <v>0</v>
      </c>
      <c r="O358" t="n">
        <v>0</v>
      </c>
      <c r="P358" t="n">
        <v>0</v>
      </c>
      <c r="Q358" t="n">
        <v>0</v>
      </c>
      <c r="R358" s="2" t="inlineStr"/>
    </row>
    <row r="359" ht="15" customHeight="1">
      <c r="A359" t="inlineStr">
        <is>
          <t>A 17518-2025</t>
        </is>
      </c>
      <c r="B359" s="1" t="n">
        <v>45757.57597222222</v>
      </c>
      <c r="C359" s="1" t="n">
        <v>45937</v>
      </c>
      <c r="D359" t="inlineStr">
        <is>
          <t>DALARNAS LÄN</t>
        </is>
      </c>
      <c r="E359" t="inlineStr">
        <is>
          <t>ORSA</t>
        </is>
      </c>
      <c r="F359" t="inlineStr">
        <is>
          <t>Bergvik skog öst AB</t>
        </is>
      </c>
      <c r="G359" t="n">
        <v>7.3</v>
      </c>
      <c r="H359" t="n">
        <v>0</v>
      </c>
      <c r="I359" t="n">
        <v>0</v>
      </c>
      <c r="J359" t="n">
        <v>0</v>
      </c>
      <c r="K359" t="n">
        <v>0</v>
      </c>
      <c r="L359" t="n">
        <v>0</v>
      </c>
      <c r="M359" t="n">
        <v>0</v>
      </c>
      <c r="N359" t="n">
        <v>0</v>
      </c>
      <c r="O359" t="n">
        <v>0</v>
      </c>
      <c r="P359" t="n">
        <v>0</v>
      </c>
      <c r="Q359" t="n">
        <v>0</v>
      </c>
      <c r="R359" s="2" t="inlineStr"/>
    </row>
    <row r="360" ht="15" customHeight="1">
      <c r="A360" t="inlineStr">
        <is>
          <t>A 49781-2023</t>
        </is>
      </c>
      <c r="B360" s="1" t="n">
        <v>45212.60275462963</v>
      </c>
      <c r="C360" s="1" t="n">
        <v>45937</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49814-2023</t>
        </is>
      </c>
      <c r="B361" s="1" t="n">
        <v>45212.67149305555</v>
      </c>
      <c r="C361" s="1" t="n">
        <v>45937</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49270-2024</t>
        </is>
      </c>
      <c r="B362" s="1" t="n">
        <v>45595.49896990741</v>
      </c>
      <c r="C362" s="1" t="n">
        <v>45937</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50061-2024</t>
        </is>
      </c>
      <c r="B363" s="1" t="n">
        <v>45600.34721064815</v>
      </c>
      <c r="C363" s="1" t="n">
        <v>45937</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47579-2023</t>
        </is>
      </c>
      <c r="B364" s="1" t="n">
        <v>45203.42181712963</v>
      </c>
      <c r="C364" s="1" t="n">
        <v>45937</v>
      </c>
      <c r="D364" t="inlineStr">
        <is>
          <t>DALARNAS LÄN</t>
        </is>
      </c>
      <c r="E364" t="inlineStr">
        <is>
          <t>ORSA</t>
        </is>
      </c>
      <c r="G364" t="n">
        <v>2.9</v>
      </c>
      <c r="H364" t="n">
        <v>0</v>
      </c>
      <c r="I364" t="n">
        <v>0</v>
      </c>
      <c r="J364" t="n">
        <v>0</v>
      </c>
      <c r="K364" t="n">
        <v>0</v>
      </c>
      <c r="L364" t="n">
        <v>0</v>
      </c>
      <c r="M364" t="n">
        <v>0</v>
      </c>
      <c r="N364" t="n">
        <v>0</v>
      </c>
      <c r="O364" t="n">
        <v>0</v>
      </c>
      <c r="P364" t="n">
        <v>0</v>
      </c>
      <c r="Q364" t="n">
        <v>0</v>
      </c>
      <c r="R364" s="2" t="inlineStr"/>
    </row>
    <row r="365" ht="15" customHeight="1">
      <c r="A365" t="inlineStr">
        <is>
          <t>A 56810-2024</t>
        </is>
      </c>
      <c r="B365" s="1" t="n">
        <v>45628</v>
      </c>
      <c r="C365" s="1" t="n">
        <v>45937</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56811-2024</t>
        </is>
      </c>
      <c r="B366" s="1" t="n">
        <v>45628</v>
      </c>
      <c r="C366" s="1" t="n">
        <v>45937</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3168-2024</t>
        </is>
      </c>
      <c r="B367" s="1" t="n">
        <v>45316.62863425926</v>
      </c>
      <c r="C367" s="1" t="n">
        <v>45937</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17421-2025</t>
        </is>
      </c>
      <c r="B368" s="1" t="n">
        <v>45757.38532407407</v>
      </c>
      <c r="C368" s="1" t="n">
        <v>45937</v>
      </c>
      <c r="D368" t="inlineStr">
        <is>
          <t>DALARNAS LÄN</t>
        </is>
      </c>
      <c r="E368" t="inlineStr">
        <is>
          <t>ORSA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63543-2020</t>
        </is>
      </c>
      <c r="B369" s="1" t="n">
        <v>44165</v>
      </c>
      <c r="C369" s="1" t="n">
        <v>45937</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35619-2025</t>
        </is>
      </c>
      <c r="B370" s="1" t="n">
        <v>45859</v>
      </c>
      <c r="C370" s="1" t="n">
        <v>45937</v>
      </c>
      <c r="D370" t="inlineStr">
        <is>
          <t>DALARNAS LÄN</t>
        </is>
      </c>
      <c r="E370" t="inlineStr">
        <is>
          <t>ORSA</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41666-2025</t>
        </is>
      </c>
      <c r="B371" s="1" t="n">
        <v>45902.35822916667</v>
      </c>
      <c r="C371" s="1" t="n">
        <v>45937</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42226-2025</t>
        </is>
      </c>
      <c r="B372" s="1" t="n">
        <v>45904.53831018518</v>
      </c>
      <c r="C372" s="1" t="n">
        <v>45937</v>
      </c>
      <c r="D372" t="inlineStr">
        <is>
          <t>DALARNAS LÄN</t>
        </is>
      </c>
      <c r="E372" t="inlineStr">
        <is>
          <t>ORSA</t>
        </is>
      </c>
      <c r="F372" t="inlineStr">
        <is>
          <t>Allmännings- och besparingsskogar</t>
        </is>
      </c>
      <c r="G372" t="n">
        <v>18</v>
      </c>
      <c r="H372" t="n">
        <v>0</v>
      </c>
      <c r="I372" t="n">
        <v>0</v>
      </c>
      <c r="J372" t="n">
        <v>0</v>
      </c>
      <c r="K372" t="n">
        <v>0</v>
      </c>
      <c r="L372" t="n">
        <v>0</v>
      </c>
      <c r="M372" t="n">
        <v>0</v>
      </c>
      <c r="N372" t="n">
        <v>0</v>
      </c>
      <c r="O372" t="n">
        <v>0</v>
      </c>
      <c r="P372" t="n">
        <v>0</v>
      </c>
      <c r="Q372" t="n">
        <v>0</v>
      </c>
      <c r="R372" s="2" t="inlineStr"/>
    </row>
    <row r="373" ht="15" customHeight="1">
      <c r="A373" t="inlineStr">
        <is>
          <t>A 35939-2025</t>
        </is>
      </c>
      <c r="B373" s="1" t="n">
        <v>45862.64581018518</v>
      </c>
      <c r="C373" s="1" t="n">
        <v>45937</v>
      </c>
      <c r="D373" t="inlineStr">
        <is>
          <t>DALARNAS LÄN</t>
        </is>
      </c>
      <c r="E373" t="inlineStr">
        <is>
          <t>ORSA</t>
        </is>
      </c>
      <c r="G373" t="n">
        <v>5.6</v>
      </c>
      <c r="H373" t="n">
        <v>0</v>
      </c>
      <c r="I373" t="n">
        <v>0</v>
      </c>
      <c r="J373" t="n">
        <v>0</v>
      </c>
      <c r="K373" t="n">
        <v>0</v>
      </c>
      <c r="L373" t="n">
        <v>0</v>
      </c>
      <c r="M373" t="n">
        <v>0</v>
      </c>
      <c r="N373" t="n">
        <v>0</v>
      </c>
      <c r="O373" t="n">
        <v>0</v>
      </c>
      <c r="P373" t="n">
        <v>0</v>
      </c>
      <c r="Q373" t="n">
        <v>0</v>
      </c>
      <c r="R373" s="2" t="inlineStr"/>
    </row>
    <row r="374" ht="15" customHeight="1">
      <c r="A374" t="inlineStr">
        <is>
          <t>A 47732-2021</t>
        </is>
      </c>
      <c r="B374" s="1" t="n">
        <v>44448.52815972222</v>
      </c>
      <c r="C374" s="1" t="n">
        <v>45937</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41971-2025</t>
        </is>
      </c>
      <c r="B375" s="1" t="n">
        <v>45903.48930555556</v>
      </c>
      <c r="C375" s="1" t="n">
        <v>45937</v>
      </c>
      <c r="D375" t="inlineStr">
        <is>
          <t>DALARNAS LÄN</t>
        </is>
      </c>
      <c r="E375" t="inlineStr">
        <is>
          <t>ORSA</t>
        </is>
      </c>
      <c r="G375" t="n">
        <v>15.8</v>
      </c>
      <c r="H375" t="n">
        <v>0</v>
      </c>
      <c r="I375" t="n">
        <v>0</v>
      </c>
      <c r="J375" t="n">
        <v>0</v>
      </c>
      <c r="K375" t="n">
        <v>0</v>
      </c>
      <c r="L375" t="n">
        <v>0</v>
      </c>
      <c r="M375" t="n">
        <v>0</v>
      </c>
      <c r="N375" t="n">
        <v>0</v>
      </c>
      <c r="O375" t="n">
        <v>0</v>
      </c>
      <c r="P375" t="n">
        <v>0</v>
      </c>
      <c r="Q375" t="n">
        <v>0</v>
      </c>
      <c r="R375" s="2" t="inlineStr"/>
    </row>
    <row r="376" ht="15" customHeight="1">
      <c r="A376" t="inlineStr">
        <is>
          <t>A 41991-2025</t>
        </is>
      </c>
      <c r="B376" s="1" t="n">
        <v>45903.54532407408</v>
      </c>
      <c r="C376" s="1" t="n">
        <v>45937</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35940-2025</t>
        </is>
      </c>
      <c r="B377" s="1" t="n">
        <v>45862.65081018519</v>
      </c>
      <c r="C377" s="1" t="n">
        <v>45937</v>
      </c>
      <c r="D377" t="inlineStr">
        <is>
          <t>DALARNAS LÄN</t>
        </is>
      </c>
      <c r="E377" t="inlineStr">
        <is>
          <t>ORSA</t>
        </is>
      </c>
      <c r="G377" t="n">
        <v>5.1</v>
      </c>
      <c r="H377" t="n">
        <v>0</v>
      </c>
      <c r="I377" t="n">
        <v>0</v>
      </c>
      <c r="J377" t="n">
        <v>0</v>
      </c>
      <c r="K377" t="n">
        <v>0</v>
      </c>
      <c r="L377" t="n">
        <v>0</v>
      </c>
      <c r="M377" t="n">
        <v>0</v>
      </c>
      <c r="N377" t="n">
        <v>0</v>
      </c>
      <c r="O377" t="n">
        <v>0</v>
      </c>
      <c r="P377" t="n">
        <v>0</v>
      </c>
      <c r="Q377" t="n">
        <v>0</v>
      </c>
      <c r="R377" s="2" t="inlineStr"/>
    </row>
    <row r="378" ht="15" customHeight="1">
      <c r="A378" t="inlineStr">
        <is>
          <t>A 35933-2025</t>
        </is>
      </c>
      <c r="B378" s="1" t="n">
        <v>45862.62653935186</v>
      </c>
      <c r="C378" s="1" t="n">
        <v>45937</v>
      </c>
      <c r="D378" t="inlineStr">
        <is>
          <t>DALARNAS LÄN</t>
        </is>
      </c>
      <c r="E378" t="inlineStr">
        <is>
          <t>ORSA</t>
        </is>
      </c>
      <c r="G378" t="n">
        <v>1.6</v>
      </c>
      <c r="H378" t="n">
        <v>0</v>
      </c>
      <c r="I378" t="n">
        <v>0</v>
      </c>
      <c r="J378" t="n">
        <v>0</v>
      </c>
      <c r="K378" t="n">
        <v>0</v>
      </c>
      <c r="L378" t="n">
        <v>0</v>
      </c>
      <c r="M378" t="n">
        <v>0</v>
      </c>
      <c r="N378" t="n">
        <v>0</v>
      </c>
      <c r="O378" t="n">
        <v>0</v>
      </c>
      <c r="P378" t="n">
        <v>0</v>
      </c>
      <c r="Q378" t="n">
        <v>0</v>
      </c>
      <c r="R378" s="2" t="inlineStr"/>
    </row>
    <row r="379" ht="15" customHeight="1">
      <c r="A379" t="inlineStr">
        <is>
          <t>A 35935-2025</t>
        </is>
      </c>
      <c r="B379" s="1" t="n">
        <v>45862.6353125</v>
      </c>
      <c r="C379" s="1" t="n">
        <v>45937</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41919-2025</t>
        </is>
      </c>
      <c r="B380" s="1" t="n">
        <v>45903.42372685186</v>
      </c>
      <c r="C380" s="1" t="n">
        <v>45937</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41927-2025</t>
        </is>
      </c>
      <c r="B381" s="1" t="n">
        <v>45903.4290625</v>
      </c>
      <c r="C381" s="1" t="n">
        <v>45937</v>
      </c>
      <c r="D381" t="inlineStr">
        <is>
          <t>DALARNAS LÄN</t>
        </is>
      </c>
      <c r="E381" t="inlineStr">
        <is>
          <t>ORSA</t>
        </is>
      </c>
      <c r="G381" t="n">
        <v>2.4</v>
      </c>
      <c r="H381" t="n">
        <v>0</v>
      </c>
      <c r="I381" t="n">
        <v>0</v>
      </c>
      <c r="J381" t="n">
        <v>0</v>
      </c>
      <c r="K381" t="n">
        <v>0</v>
      </c>
      <c r="L381" t="n">
        <v>0</v>
      </c>
      <c r="M381" t="n">
        <v>0</v>
      </c>
      <c r="N381" t="n">
        <v>0</v>
      </c>
      <c r="O381" t="n">
        <v>0</v>
      </c>
      <c r="P381" t="n">
        <v>0</v>
      </c>
      <c r="Q381" t="n">
        <v>0</v>
      </c>
      <c r="R381" s="2" t="inlineStr"/>
    </row>
    <row r="382" ht="15" customHeight="1">
      <c r="A382" t="inlineStr">
        <is>
          <t>A 60189-2022</t>
        </is>
      </c>
      <c r="B382" s="1" t="n">
        <v>44910.36798611111</v>
      </c>
      <c r="C382" s="1" t="n">
        <v>45937</v>
      </c>
      <c r="D382" t="inlineStr">
        <is>
          <t>DALARNAS LÄN</t>
        </is>
      </c>
      <c r="E382" t="inlineStr">
        <is>
          <t>ORSA</t>
        </is>
      </c>
      <c r="F382" t="inlineStr">
        <is>
          <t>Bergvik skog öst AB</t>
        </is>
      </c>
      <c r="G382" t="n">
        <v>1.5</v>
      </c>
      <c r="H382" t="n">
        <v>0</v>
      </c>
      <c r="I382" t="n">
        <v>0</v>
      </c>
      <c r="J382" t="n">
        <v>0</v>
      </c>
      <c r="K382" t="n">
        <v>0</v>
      </c>
      <c r="L382" t="n">
        <v>0</v>
      </c>
      <c r="M382" t="n">
        <v>0</v>
      </c>
      <c r="N382" t="n">
        <v>0</v>
      </c>
      <c r="O382" t="n">
        <v>0</v>
      </c>
      <c r="P382" t="n">
        <v>0</v>
      </c>
      <c r="Q382" t="n">
        <v>0</v>
      </c>
      <c r="R382" s="2" t="inlineStr"/>
    </row>
    <row r="383" ht="15" customHeight="1">
      <c r="A383" t="inlineStr">
        <is>
          <t>A 50714-2023</t>
        </is>
      </c>
      <c r="B383" s="1" t="n">
        <v>45217.56513888889</v>
      </c>
      <c r="C383" s="1" t="n">
        <v>45937</v>
      </c>
      <c r="D383" t="inlineStr">
        <is>
          <t>DALARNAS LÄN</t>
        </is>
      </c>
      <c r="E383" t="inlineStr">
        <is>
          <t>ORSA</t>
        </is>
      </c>
      <c r="G383" t="n">
        <v>1.1</v>
      </c>
      <c r="H383" t="n">
        <v>0</v>
      </c>
      <c r="I383" t="n">
        <v>0</v>
      </c>
      <c r="J383" t="n">
        <v>0</v>
      </c>
      <c r="K383" t="n">
        <v>0</v>
      </c>
      <c r="L383" t="n">
        <v>0</v>
      </c>
      <c r="M383" t="n">
        <v>0</v>
      </c>
      <c r="N383" t="n">
        <v>0</v>
      </c>
      <c r="O383" t="n">
        <v>0</v>
      </c>
      <c r="P383" t="n">
        <v>0</v>
      </c>
      <c r="Q383" t="n">
        <v>0</v>
      </c>
      <c r="R383" s="2" t="inlineStr"/>
    </row>
    <row r="384" ht="15" customHeight="1">
      <c r="A384" t="inlineStr">
        <is>
          <t>A 55534-2023</t>
        </is>
      </c>
      <c r="B384" s="1" t="n">
        <v>45238</v>
      </c>
      <c r="C384" s="1" t="n">
        <v>45937</v>
      </c>
      <c r="D384" t="inlineStr">
        <is>
          <t>DALARNAS LÄN</t>
        </is>
      </c>
      <c r="E384" t="inlineStr">
        <is>
          <t>ORSA</t>
        </is>
      </c>
      <c r="G384" t="n">
        <v>0.8</v>
      </c>
      <c r="H384" t="n">
        <v>0</v>
      </c>
      <c r="I384" t="n">
        <v>0</v>
      </c>
      <c r="J384" t="n">
        <v>0</v>
      </c>
      <c r="K384" t="n">
        <v>0</v>
      </c>
      <c r="L384" t="n">
        <v>0</v>
      </c>
      <c r="M384" t="n">
        <v>0</v>
      </c>
      <c r="N384" t="n">
        <v>0</v>
      </c>
      <c r="O384" t="n">
        <v>0</v>
      </c>
      <c r="P384" t="n">
        <v>0</v>
      </c>
      <c r="Q384" t="n">
        <v>0</v>
      </c>
      <c r="R384" s="2" t="inlineStr"/>
    </row>
    <row r="385" ht="15" customHeight="1">
      <c r="A385" t="inlineStr">
        <is>
          <t>A 13575-2025</t>
        </is>
      </c>
      <c r="B385" s="1" t="n">
        <v>45736.57871527778</v>
      </c>
      <c r="C385" s="1" t="n">
        <v>45937</v>
      </c>
      <c r="D385" t="inlineStr">
        <is>
          <t>DALARNAS LÄN</t>
        </is>
      </c>
      <c r="E385" t="inlineStr">
        <is>
          <t>ORSA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16992-2025</t>
        </is>
      </c>
      <c r="B386" s="1" t="n">
        <v>45755.50215277778</v>
      </c>
      <c r="C386" s="1" t="n">
        <v>45937</v>
      </c>
      <c r="D386" t="inlineStr">
        <is>
          <t>DALARNAS LÄN</t>
        </is>
      </c>
      <c r="E386" t="inlineStr">
        <is>
          <t>ORSA</t>
        </is>
      </c>
      <c r="G386" t="n">
        <v>1.5</v>
      </c>
      <c r="H386" t="n">
        <v>0</v>
      </c>
      <c r="I386" t="n">
        <v>0</v>
      </c>
      <c r="J386" t="n">
        <v>0</v>
      </c>
      <c r="K386" t="n">
        <v>0</v>
      </c>
      <c r="L386" t="n">
        <v>0</v>
      </c>
      <c r="M386" t="n">
        <v>0</v>
      </c>
      <c r="N386" t="n">
        <v>0</v>
      </c>
      <c r="O386" t="n">
        <v>0</v>
      </c>
      <c r="P386" t="n">
        <v>0</v>
      </c>
      <c r="Q386" t="n">
        <v>0</v>
      </c>
      <c r="R386" s="2" t="inlineStr"/>
    </row>
    <row r="387" ht="15" customHeight="1">
      <c r="A387" t="inlineStr">
        <is>
          <t>A 30382-2023</t>
        </is>
      </c>
      <c r="B387" s="1" t="n">
        <v>45111</v>
      </c>
      <c r="C387" s="1" t="n">
        <v>45937</v>
      </c>
      <c r="D387" t="inlineStr">
        <is>
          <t>DALARNAS LÄN</t>
        </is>
      </c>
      <c r="E387" t="inlineStr">
        <is>
          <t>ORSA</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50905-2021</t>
        </is>
      </c>
      <c r="B388" s="1" t="n">
        <v>44460</v>
      </c>
      <c r="C388" s="1" t="n">
        <v>45937</v>
      </c>
      <c r="D388" t="inlineStr">
        <is>
          <t>DALARNAS LÄN</t>
        </is>
      </c>
      <c r="E388" t="inlineStr">
        <is>
          <t>ORSA</t>
        </is>
      </c>
      <c r="G388" t="n">
        <v>2.1</v>
      </c>
      <c r="H388" t="n">
        <v>0</v>
      </c>
      <c r="I388" t="n">
        <v>0</v>
      </c>
      <c r="J388" t="n">
        <v>0</v>
      </c>
      <c r="K388" t="n">
        <v>0</v>
      </c>
      <c r="L388" t="n">
        <v>0</v>
      </c>
      <c r="M388" t="n">
        <v>0</v>
      </c>
      <c r="N388" t="n">
        <v>0</v>
      </c>
      <c r="O388" t="n">
        <v>0</v>
      </c>
      <c r="P388" t="n">
        <v>0</v>
      </c>
      <c r="Q388" t="n">
        <v>0</v>
      </c>
      <c r="R388" s="2" t="inlineStr"/>
    </row>
    <row r="389" ht="15" customHeight="1">
      <c r="A389" t="inlineStr">
        <is>
          <t>A 20589-2025</t>
        </is>
      </c>
      <c r="B389" s="1" t="n">
        <v>45775</v>
      </c>
      <c r="C389" s="1" t="n">
        <v>45937</v>
      </c>
      <c r="D389" t="inlineStr">
        <is>
          <t>DALARNAS LÄN</t>
        </is>
      </c>
      <c r="E389" t="inlineStr">
        <is>
          <t>ORSA</t>
        </is>
      </c>
      <c r="G389" t="n">
        <v>2</v>
      </c>
      <c r="H389" t="n">
        <v>0</v>
      </c>
      <c r="I389" t="n">
        <v>0</v>
      </c>
      <c r="J389" t="n">
        <v>0</v>
      </c>
      <c r="K389" t="n">
        <v>0</v>
      </c>
      <c r="L389" t="n">
        <v>0</v>
      </c>
      <c r="M389" t="n">
        <v>0</v>
      </c>
      <c r="N389" t="n">
        <v>0</v>
      </c>
      <c r="O389" t="n">
        <v>0</v>
      </c>
      <c r="P389" t="n">
        <v>0</v>
      </c>
      <c r="Q389" t="n">
        <v>0</v>
      </c>
      <c r="R389" s="2" t="inlineStr"/>
    </row>
    <row r="390" ht="15" customHeight="1">
      <c r="A390" t="inlineStr">
        <is>
          <t>A 72310-2021</t>
        </is>
      </c>
      <c r="B390" s="1" t="n">
        <v>44545</v>
      </c>
      <c r="C390" s="1" t="n">
        <v>45937</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17503-2025</t>
        </is>
      </c>
      <c r="B391" s="1" t="n">
        <v>45757.55321759259</v>
      </c>
      <c r="C391" s="1" t="n">
        <v>45937</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60803-2022</t>
        </is>
      </c>
      <c r="B392" s="1" t="n">
        <v>44914</v>
      </c>
      <c r="C392" s="1" t="n">
        <v>45937</v>
      </c>
      <c r="D392" t="inlineStr">
        <is>
          <t>DALARNAS LÄN</t>
        </is>
      </c>
      <c r="E392" t="inlineStr">
        <is>
          <t>ORSA</t>
        </is>
      </c>
      <c r="G392" t="n">
        <v>1.2</v>
      </c>
      <c r="H392" t="n">
        <v>0</v>
      </c>
      <c r="I392" t="n">
        <v>0</v>
      </c>
      <c r="J392" t="n">
        <v>0</v>
      </c>
      <c r="K392" t="n">
        <v>0</v>
      </c>
      <c r="L392" t="n">
        <v>0</v>
      </c>
      <c r="M392" t="n">
        <v>0</v>
      </c>
      <c r="N392" t="n">
        <v>0</v>
      </c>
      <c r="O392" t="n">
        <v>0</v>
      </c>
      <c r="P392" t="n">
        <v>0</v>
      </c>
      <c r="Q392" t="n">
        <v>0</v>
      </c>
      <c r="R392" s="2" t="inlineStr"/>
    </row>
    <row r="393" ht="15" customHeight="1">
      <c r="A393" t="inlineStr">
        <is>
          <t>A 51915-2022</t>
        </is>
      </c>
      <c r="B393" s="1" t="n">
        <v>44872.62795138889</v>
      </c>
      <c r="C393" s="1" t="n">
        <v>45937</v>
      </c>
      <c r="D393" t="inlineStr">
        <is>
          <t>DALARNAS LÄN</t>
        </is>
      </c>
      <c r="E393" t="inlineStr">
        <is>
          <t>ORSA</t>
        </is>
      </c>
      <c r="G393" t="n">
        <v>0.7</v>
      </c>
      <c r="H393" t="n">
        <v>0</v>
      </c>
      <c r="I393" t="n">
        <v>0</v>
      </c>
      <c r="J393" t="n">
        <v>0</v>
      </c>
      <c r="K393" t="n">
        <v>0</v>
      </c>
      <c r="L393" t="n">
        <v>0</v>
      </c>
      <c r="M393" t="n">
        <v>0</v>
      </c>
      <c r="N393" t="n">
        <v>0</v>
      </c>
      <c r="O393" t="n">
        <v>0</v>
      </c>
      <c r="P393" t="n">
        <v>0</v>
      </c>
      <c r="Q393" t="n">
        <v>0</v>
      </c>
      <c r="R393" s="2" t="inlineStr"/>
    </row>
    <row r="394" ht="15" customHeight="1">
      <c r="A394" t="inlineStr">
        <is>
          <t>A 34374-2024</t>
        </is>
      </c>
      <c r="B394" s="1" t="n">
        <v>45525.40091435185</v>
      </c>
      <c r="C394" s="1" t="n">
        <v>45937</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61699-2020</t>
        </is>
      </c>
      <c r="B395" s="1" t="n">
        <v>44158</v>
      </c>
      <c r="C395" s="1" t="n">
        <v>45937</v>
      </c>
      <c r="D395" t="inlineStr">
        <is>
          <t>DALARNAS LÄN</t>
        </is>
      </c>
      <c r="E395" t="inlineStr">
        <is>
          <t>ORSA</t>
        </is>
      </c>
      <c r="G395" t="n">
        <v>1.5</v>
      </c>
      <c r="H395" t="n">
        <v>0</v>
      </c>
      <c r="I395" t="n">
        <v>0</v>
      </c>
      <c r="J395" t="n">
        <v>0</v>
      </c>
      <c r="K395" t="n">
        <v>0</v>
      </c>
      <c r="L395" t="n">
        <v>0</v>
      </c>
      <c r="M395" t="n">
        <v>0</v>
      </c>
      <c r="N395" t="n">
        <v>0</v>
      </c>
      <c r="O395" t="n">
        <v>0</v>
      </c>
      <c r="P395" t="n">
        <v>0</v>
      </c>
      <c r="Q395" t="n">
        <v>0</v>
      </c>
      <c r="R395" s="2" t="inlineStr"/>
    </row>
    <row r="396" ht="15" customHeight="1">
      <c r="A396" t="inlineStr">
        <is>
          <t>A 43778-2025</t>
        </is>
      </c>
      <c r="B396" s="1" t="n">
        <v>45912.5147337963</v>
      </c>
      <c r="C396" s="1" t="n">
        <v>45937</v>
      </c>
      <c r="D396" t="inlineStr">
        <is>
          <t>DALARNAS LÄN</t>
        </is>
      </c>
      <c r="E396" t="inlineStr">
        <is>
          <t>ORSA</t>
        </is>
      </c>
      <c r="G396" t="n">
        <v>1.1</v>
      </c>
      <c r="H396" t="n">
        <v>0</v>
      </c>
      <c r="I396" t="n">
        <v>0</v>
      </c>
      <c r="J396" t="n">
        <v>0</v>
      </c>
      <c r="K396" t="n">
        <v>0</v>
      </c>
      <c r="L396" t="n">
        <v>0</v>
      </c>
      <c r="M396" t="n">
        <v>0</v>
      </c>
      <c r="N396" t="n">
        <v>0</v>
      </c>
      <c r="O396" t="n">
        <v>0</v>
      </c>
      <c r="P396" t="n">
        <v>0</v>
      </c>
      <c r="Q396" t="n">
        <v>0</v>
      </c>
      <c r="R396" s="2" t="inlineStr"/>
    </row>
    <row r="397" ht="15" customHeight="1">
      <c r="A397" t="inlineStr">
        <is>
          <t>A 36570-2025</t>
        </is>
      </c>
      <c r="B397" s="1" t="n">
        <v>45870.38728009259</v>
      </c>
      <c r="C397" s="1" t="n">
        <v>45937</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34125-2023</t>
        </is>
      </c>
      <c r="B398" s="1" t="n">
        <v>45135</v>
      </c>
      <c r="C398" s="1" t="n">
        <v>45937</v>
      </c>
      <c r="D398" t="inlineStr">
        <is>
          <t>DALARNAS LÄN</t>
        </is>
      </c>
      <c r="E398" t="inlineStr">
        <is>
          <t>ORSA</t>
        </is>
      </c>
      <c r="G398" t="n">
        <v>2.7</v>
      </c>
      <c r="H398" t="n">
        <v>0</v>
      </c>
      <c r="I398" t="n">
        <v>0</v>
      </c>
      <c r="J398" t="n">
        <v>0</v>
      </c>
      <c r="K398" t="n">
        <v>0</v>
      </c>
      <c r="L398" t="n">
        <v>0</v>
      </c>
      <c r="M398" t="n">
        <v>0</v>
      </c>
      <c r="N398" t="n">
        <v>0</v>
      </c>
      <c r="O398" t="n">
        <v>0</v>
      </c>
      <c r="P398" t="n">
        <v>0</v>
      </c>
      <c r="Q398" t="n">
        <v>0</v>
      </c>
      <c r="R398" s="2" t="inlineStr"/>
    </row>
    <row r="399" ht="15" customHeight="1">
      <c r="A399" t="inlineStr">
        <is>
          <t>A 36633-2025</t>
        </is>
      </c>
      <c r="B399" s="1" t="n">
        <v>45870</v>
      </c>
      <c r="C399" s="1" t="n">
        <v>45937</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29485-2022</t>
        </is>
      </c>
      <c r="B400" s="1" t="n">
        <v>44753</v>
      </c>
      <c r="C400" s="1" t="n">
        <v>45937</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13236-2022</t>
        </is>
      </c>
      <c r="B401" s="1" t="n">
        <v>44644.61106481482</v>
      </c>
      <c r="C401" s="1" t="n">
        <v>45937</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44531-2025</t>
        </is>
      </c>
      <c r="B402" s="1" t="n">
        <v>45916.77120370371</v>
      </c>
      <c r="C402" s="1" t="n">
        <v>45937</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17500-2025</t>
        </is>
      </c>
      <c r="B403" s="1" t="n">
        <v>45757.54954861111</v>
      </c>
      <c r="C403" s="1" t="n">
        <v>45937</v>
      </c>
      <c r="D403" t="inlineStr">
        <is>
          <t>DALARNAS LÄN</t>
        </is>
      </c>
      <c r="E403" t="inlineStr">
        <is>
          <t>ORSA</t>
        </is>
      </c>
      <c r="G403" t="n">
        <v>1.9</v>
      </c>
      <c r="H403" t="n">
        <v>0</v>
      </c>
      <c r="I403" t="n">
        <v>0</v>
      </c>
      <c r="J403" t="n">
        <v>0</v>
      </c>
      <c r="K403" t="n">
        <v>0</v>
      </c>
      <c r="L403" t="n">
        <v>0</v>
      </c>
      <c r="M403" t="n">
        <v>0</v>
      </c>
      <c r="N403" t="n">
        <v>0</v>
      </c>
      <c r="O403" t="n">
        <v>0</v>
      </c>
      <c r="P403" t="n">
        <v>0</v>
      </c>
      <c r="Q403" t="n">
        <v>0</v>
      </c>
      <c r="R403" s="2" t="inlineStr"/>
    </row>
    <row r="404" ht="15" customHeight="1">
      <c r="A404" t="inlineStr">
        <is>
          <t>A 17521-2025</t>
        </is>
      </c>
      <c r="B404" s="1" t="n">
        <v>45757.57952546296</v>
      </c>
      <c r="C404" s="1" t="n">
        <v>45937</v>
      </c>
      <c r="D404" t="inlineStr">
        <is>
          <t>DALARNAS LÄN</t>
        </is>
      </c>
      <c r="E404" t="inlineStr">
        <is>
          <t>ORSA</t>
        </is>
      </c>
      <c r="F404" t="inlineStr">
        <is>
          <t>Bergvik skog öst AB</t>
        </is>
      </c>
      <c r="G404" t="n">
        <v>3.6</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45103.33896990741</v>
      </c>
      <c r="C405" s="1" t="n">
        <v>45937</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27146-2021</t>
        </is>
      </c>
      <c r="B406" s="1" t="n">
        <v>44350</v>
      </c>
      <c r="C406" s="1" t="n">
        <v>45937</v>
      </c>
      <c r="D406" t="inlineStr">
        <is>
          <t>DALARNAS LÄN</t>
        </is>
      </c>
      <c r="E406" t="inlineStr">
        <is>
          <t>ORSA</t>
        </is>
      </c>
      <c r="G406" t="n">
        <v>1</v>
      </c>
      <c r="H406" t="n">
        <v>0</v>
      </c>
      <c r="I406" t="n">
        <v>0</v>
      </c>
      <c r="J406" t="n">
        <v>0</v>
      </c>
      <c r="K406" t="n">
        <v>0</v>
      </c>
      <c r="L406" t="n">
        <v>0</v>
      </c>
      <c r="M406" t="n">
        <v>0</v>
      </c>
      <c r="N406" t="n">
        <v>0</v>
      </c>
      <c r="O406" t="n">
        <v>0</v>
      </c>
      <c r="P406" t="n">
        <v>0</v>
      </c>
      <c r="Q406" t="n">
        <v>0</v>
      </c>
      <c r="R406" s="2" t="inlineStr"/>
    </row>
    <row r="407" ht="15" customHeight="1">
      <c r="A407" t="inlineStr">
        <is>
          <t>A 8429-2024</t>
        </is>
      </c>
      <c r="B407" s="1" t="n">
        <v>45353.38880787037</v>
      </c>
      <c r="C407" s="1" t="n">
        <v>45937</v>
      </c>
      <c r="D407" t="inlineStr">
        <is>
          <t>DALARNAS LÄN</t>
        </is>
      </c>
      <c r="E407" t="inlineStr">
        <is>
          <t>ORSA</t>
        </is>
      </c>
      <c r="G407" t="n">
        <v>0.3</v>
      </c>
      <c r="H407" t="n">
        <v>0</v>
      </c>
      <c r="I407" t="n">
        <v>0</v>
      </c>
      <c r="J407" t="n">
        <v>0</v>
      </c>
      <c r="K407" t="n">
        <v>0</v>
      </c>
      <c r="L407" t="n">
        <v>0</v>
      </c>
      <c r="M407" t="n">
        <v>0</v>
      </c>
      <c r="N407" t="n">
        <v>0</v>
      </c>
      <c r="O407" t="n">
        <v>0</v>
      </c>
      <c r="P407" t="n">
        <v>0</v>
      </c>
      <c r="Q407" t="n">
        <v>0</v>
      </c>
      <c r="R407" s="2" t="inlineStr"/>
    </row>
    <row r="408" ht="15" customHeight="1">
      <c r="A408" t="inlineStr">
        <is>
          <t>A 43967-2025</t>
        </is>
      </c>
      <c r="B408" s="1" t="n">
        <v>45915.40188657407</v>
      </c>
      <c r="C408" s="1" t="n">
        <v>45937</v>
      </c>
      <c r="D408" t="inlineStr">
        <is>
          <t>DALARNAS LÄN</t>
        </is>
      </c>
      <c r="E408" t="inlineStr">
        <is>
          <t>ORSA</t>
        </is>
      </c>
      <c r="F408" t="inlineStr">
        <is>
          <t>Allmännings- och besparingsskogar</t>
        </is>
      </c>
      <c r="G408" t="n">
        <v>8.4</v>
      </c>
      <c r="H408" t="n">
        <v>0</v>
      </c>
      <c r="I408" t="n">
        <v>0</v>
      </c>
      <c r="J408" t="n">
        <v>0</v>
      </c>
      <c r="K408" t="n">
        <v>0</v>
      </c>
      <c r="L408" t="n">
        <v>0</v>
      </c>
      <c r="M408" t="n">
        <v>0</v>
      </c>
      <c r="N408" t="n">
        <v>0</v>
      </c>
      <c r="O408" t="n">
        <v>0</v>
      </c>
      <c r="P408" t="n">
        <v>0</v>
      </c>
      <c r="Q408" t="n">
        <v>0</v>
      </c>
      <c r="R408" s="2" t="inlineStr"/>
    </row>
    <row r="409" ht="15" customHeight="1">
      <c r="A409" t="inlineStr">
        <is>
          <t>A 21216-2023</t>
        </is>
      </c>
      <c r="B409" s="1" t="n">
        <v>45062</v>
      </c>
      <c r="C409" s="1" t="n">
        <v>45937</v>
      </c>
      <c r="D409" t="inlineStr">
        <is>
          <t>DALARNAS LÄN</t>
        </is>
      </c>
      <c r="E409" t="inlineStr">
        <is>
          <t>ORSA</t>
        </is>
      </c>
      <c r="F409" t="inlineStr">
        <is>
          <t>Bergvik skog öst AB</t>
        </is>
      </c>
      <c r="G409" t="n">
        <v>3.8</v>
      </c>
      <c r="H409" t="n">
        <v>0</v>
      </c>
      <c r="I409" t="n">
        <v>0</v>
      </c>
      <c r="J409" t="n">
        <v>0</v>
      </c>
      <c r="K409" t="n">
        <v>0</v>
      </c>
      <c r="L409" t="n">
        <v>0</v>
      </c>
      <c r="M409" t="n">
        <v>0</v>
      </c>
      <c r="N409" t="n">
        <v>0</v>
      </c>
      <c r="O409" t="n">
        <v>0</v>
      </c>
      <c r="P409" t="n">
        <v>0</v>
      </c>
      <c r="Q409" t="n">
        <v>0</v>
      </c>
      <c r="R409" s="2" t="inlineStr"/>
    </row>
    <row r="410" ht="15" customHeight="1">
      <c r="A410" t="inlineStr">
        <is>
          <t>A 44121-2025</t>
        </is>
      </c>
      <c r="B410" s="1" t="n">
        <v>45915.57792824074</v>
      </c>
      <c r="C410" s="1" t="n">
        <v>45937</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44129-2025</t>
        </is>
      </c>
      <c r="B411" s="1" t="n">
        <v>45915.58392361111</v>
      </c>
      <c r="C411" s="1" t="n">
        <v>45937</v>
      </c>
      <c r="D411" t="inlineStr">
        <is>
          <t>DALARNAS LÄN</t>
        </is>
      </c>
      <c r="E411" t="inlineStr">
        <is>
          <t>ORSA</t>
        </is>
      </c>
      <c r="G411" t="n">
        <v>0.9</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45937</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51567-2023</t>
        </is>
      </c>
      <c r="B413" s="1" t="n">
        <v>45222.44800925926</v>
      </c>
      <c r="C413" s="1" t="n">
        <v>45937</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10374-2023</t>
        </is>
      </c>
      <c r="B414" s="1" t="n">
        <v>44987.41359953704</v>
      </c>
      <c r="C414" s="1" t="n">
        <v>45937</v>
      </c>
      <c r="D414" t="inlineStr">
        <is>
          <t>DALARNAS LÄN</t>
        </is>
      </c>
      <c r="E414" t="inlineStr">
        <is>
          <t>ORSA</t>
        </is>
      </c>
      <c r="G414" t="n">
        <v>1.8</v>
      </c>
      <c r="H414" t="n">
        <v>0</v>
      </c>
      <c r="I414" t="n">
        <v>0</v>
      </c>
      <c r="J414" t="n">
        <v>0</v>
      </c>
      <c r="K414" t="n">
        <v>0</v>
      </c>
      <c r="L414" t="n">
        <v>0</v>
      </c>
      <c r="M414" t="n">
        <v>0</v>
      </c>
      <c r="N414" t="n">
        <v>0</v>
      </c>
      <c r="O414" t="n">
        <v>0</v>
      </c>
      <c r="P414" t="n">
        <v>0</v>
      </c>
      <c r="Q414" t="n">
        <v>0</v>
      </c>
      <c r="R414" s="2" t="inlineStr"/>
    </row>
    <row r="415" ht="15" customHeight="1">
      <c r="A415" t="inlineStr">
        <is>
          <t>A 55691-2022</t>
        </is>
      </c>
      <c r="B415" s="1" t="n">
        <v>44888</v>
      </c>
      <c r="C415" s="1" t="n">
        <v>45937</v>
      </c>
      <c r="D415" t="inlineStr">
        <is>
          <t>DALARNAS LÄN</t>
        </is>
      </c>
      <c r="E415" t="inlineStr">
        <is>
          <t>ORSA</t>
        </is>
      </c>
      <c r="G415" t="n">
        <v>0.4</v>
      </c>
      <c r="H415" t="n">
        <v>0</v>
      </c>
      <c r="I415" t="n">
        <v>0</v>
      </c>
      <c r="J415" t="n">
        <v>0</v>
      </c>
      <c r="K415" t="n">
        <v>0</v>
      </c>
      <c r="L415" t="n">
        <v>0</v>
      </c>
      <c r="M415" t="n">
        <v>0</v>
      </c>
      <c r="N415" t="n">
        <v>0</v>
      </c>
      <c r="O415" t="n">
        <v>0</v>
      </c>
      <c r="P415" t="n">
        <v>0</v>
      </c>
      <c r="Q415" t="n">
        <v>0</v>
      </c>
      <c r="R415" s="2" t="inlineStr"/>
    </row>
    <row r="416" ht="15" customHeight="1">
      <c r="A416" t="inlineStr">
        <is>
          <t>A 15870-2025</t>
        </is>
      </c>
      <c r="B416" s="1" t="n">
        <v>45749.37135416667</v>
      </c>
      <c r="C416" s="1" t="n">
        <v>45937</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44053-2025</t>
        </is>
      </c>
      <c r="B417" s="1" t="n">
        <v>45915.51239583334</v>
      </c>
      <c r="C417" s="1" t="n">
        <v>45937</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44117-2025</t>
        </is>
      </c>
      <c r="B418" s="1" t="n">
        <v>45915.57677083334</v>
      </c>
      <c r="C418" s="1" t="n">
        <v>45937</v>
      </c>
      <c r="D418" t="inlineStr">
        <is>
          <t>DALARNAS LÄN</t>
        </is>
      </c>
      <c r="E418" t="inlineStr">
        <is>
          <t>ORSA</t>
        </is>
      </c>
      <c r="F418" t="inlineStr">
        <is>
          <t>Allmännings- och besparingsskogar</t>
        </is>
      </c>
      <c r="G418" t="n">
        <v>2.7</v>
      </c>
      <c r="H418" t="n">
        <v>0</v>
      </c>
      <c r="I418" t="n">
        <v>0</v>
      </c>
      <c r="J418" t="n">
        <v>0</v>
      </c>
      <c r="K418" t="n">
        <v>0</v>
      </c>
      <c r="L418" t="n">
        <v>0</v>
      </c>
      <c r="M418" t="n">
        <v>0</v>
      </c>
      <c r="N418" t="n">
        <v>0</v>
      </c>
      <c r="O418" t="n">
        <v>0</v>
      </c>
      <c r="P418" t="n">
        <v>0</v>
      </c>
      <c r="Q418" t="n">
        <v>0</v>
      </c>
      <c r="R418" s="2" t="inlineStr"/>
    </row>
    <row r="419" ht="15" customHeight="1">
      <c r="A419" t="inlineStr">
        <is>
          <t>A 44119-2025</t>
        </is>
      </c>
      <c r="B419" s="1" t="n">
        <v>45915.57738425926</v>
      </c>
      <c r="C419" s="1" t="n">
        <v>45937</v>
      </c>
      <c r="D419" t="inlineStr">
        <is>
          <t>DALARNAS LÄN</t>
        </is>
      </c>
      <c r="E419" t="inlineStr">
        <is>
          <t>ORSA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43965-2025</t>
        </is>
      </c>
      <c r="B420" s="1" t="n">
        <v>45915.40027777778</v>
      </c>
      <c r="C420" s="1" t="n">
        <v>45937</v>
      </c>
      <c r="D420" t="inlineStr">
        <is>
          <t>DALARNAS LÄN</t>
        </is>
      </c>
      <c r="E420" t="inlineStr">
        <is>
          <t>ORSA</t>
        </is>
      </c>
      <c r="F420" t="inlineStr">
        <is>
          <t>Allmännings- och besparingsskogar</t>
        </is>
      </c>
      <c r="G420" t="n">
        <v>11.5</v>
      </c>
      <c r="H420" t="n">
        <v>0</v>
      </c>
      <c r="I420" t="n">
        <v>0</v>
      </c>
      <c r="J420" t="n">
        <v>0</v>
      </c>
      <c r="K420" t="n">
        <v>0</v>
      </c>
      <c r="L420" t="n">
        <v>0</v>
      </c>
      <c r="M420" t="n">
        <v>0</v>
      </c>
      <c r="N420" t="n">
        <v>0</v>
      </c>
      <c r="O420" t="n">
        <v>0</v>
      </c>
      <c r="P420" t="n">
        <v>0</v>
      </c>
      <c r="Q420" t="n">
        <v>0</v>
      </c>
      <c r="R420" s="2" t="inlineStr"/>
    </row>
    <row r="421" ht="15" customHeight="1">
      <c r="A421" t="inlineStr">
        <is>
          <t>A 3166-2024</t>
        </is>
      </c>
      <c r="B421" s="1" t="n">
        <v>45316.62592592592</v>
      </c>
      <c r="C421" s="1" t="n">
        <v>45937</v>
      </c>
      <c r="D421" t="inlineStr">
        <is>
          <t>DALARNAS LÄN</t>
        </is>
      </c>
      <c r="E421" t="inlineStr">
        <is>
          <t>ORSA</t>
        </is>
      </c>
      <c r="G421" t="n">
        <v>0.7</v>
      </c>
      <c r="H421" t="n">
        <v>0</v>
      </c>
      <c r="I421" t="n">
        <v>0</v>
      </c>
      <c r="J421" t="n">
        <v>0</v>
      </c>
      <c r="K421" t="n">
        <v>0</v>
      </c>
      <c r="L421" t="n">
        <v>0</v>
      </c>
      <c r="M421" t="n">
        <v>0</v>
      </c>
      <c r="N421" t="n">
        <v>0</v>
      </c>
      <c r="O421" t="n">
        <v>0</v>
      </c>
      <c r="P421" t="n">
        <v>0</v>
      </c>
      <c r="Q421" t="n">
        <v>0</v>
      </c>
      <c r="R421" s="2" t="inlineStr"/>
    </row>
    <row r="422" ht="15" customHeight="1">
      <c r="A422" t="inlineStr">
        <is>
          <t>A 24083-2021</t>
        </is>
      </c>
      <c r="B422" s="1" t="n">
        <v>44336</v>
      </c>
      <c r="C422" s="1" t="n">
        <v>45937</v>
      </c>
      <c r="D422" t="inlineStr">
        <is>
          <t>DALARNAS LÄN</t>
        </is>
      </c>
      <c r="E422" t="inlineStr">
        <is>
          <t>ORSA</t>
        </is>
      </c>
      <c r="G422" t="n">
        <v>2.3</v>
      </c>
      <c r="H422" t="n">
        <v>0</v>
      </c>
      <c r="I422" t="n">
        <v>0</v>
      </c>
      <c r="J422" t="n">
        <v>0</v>
      </c>
      <c r="K422" t="n">
        <v>0</v>
      </c>
      <c r="L422" t="n">
        <v>0</v>
      </c>
      <c r="M422" t="n">
        <v>0</v>
      </c>
      <c r="N422" t="n">
        <v>0</v>
      </c>
      <c r="O422" t="n">
        <v>0</v>
      </c>
      <c r="P422" t="n">
        <v>0</v>
      </c>
      <c r="Q422" t="n">
        <v>0</v>
      </c>
      <c r="R422" s="2" t="inlineStr"/>
    </row>
    <row r="423" ht="15" customHeight="1">
      <c r="A423" t="inlineStr">
        <is>
          <t>A 6047-2023</t>
        </is>
      </c>
      <c r="B423" s="1" t="n">
        <v>44964</v>
      </c>
      <c r="C423" s="1" t="n">
        <v>45937</v>
      </c>
      <c r="D423" t="inlineStr">
        <is>
          <t>DALARNAS LÄN</t>
        </is>
      </c>
      <c r="E423" t="inlineStr">
        <is>
          <t>ORSA</t>
        </is>
      </c>
      <c r="F423" t="inlineStr">
        <is>
          <t>Bergvik skog öst AB</t>
        </is>
      </c>
      <c r="G423" t="n">
        <v>0.2</v>
      </c>
      <c r="H423" t="n">
        <v>0</v>
      </c>
      <c r="I423" t="n">
        <v>0</v>
      </c>
      <c r="J423" t="n">
        <v>0</v>
      </c>
      <c r="K423" t="n">
        <v>0</v>
      </c>
      <c r="L423" t="n">
        <v>0</v>
      </c>
      <c r="M423" t="n">
        <v>0</v>
      </c>
      <c r="N423" t="n">
        <v>0</v>
      </c>
      <c r="O423" t="n">
        <v>0</v>
      </c>
      <c r="P423" t="n">
        <v>0</v>
      </c>
      <c r="Q423" t="n">
        <v>0</v>
      </c>
      <c r="R423" s="2" t="inlineStr"/>
    </row>
    <row r="424" ht="15" customHeight="1">
      <c r="A424" t="inlineStr">
        <is>
          <t>A 33384-2022</t>
        </is>
      </c>
      <c r="B424" s="1" t="n">
        <v>44788</v>
      </c>
      <c r="C424" s="1" t="n">
        <v>45937</v>
      </c>
      <c r="D424" t="inlineStr">
        <is>
          <t>DALARNAS LÄN</t>
        </is>
      </c>
      <c r="E424" t="inlineStr">
        <is>
          <t>ORSA</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45031-2025</t>
        </is>
      </c>
      <c r="B425" s="1" t="n">
        <v>45918.70020833334</v>
      </c>
      <c r="C425" s="1" t="n">
        <v>45937</v>
      </c>
      <c r="D425" t="inlineStr">
        <is>
          <t>DALARNAS LÄN</t>
        </is>
      </c>
      <c r="E425" t="inlineStr">
        <is>
          <t>ORSA</t>
        </is>
      </c>
      <c r="G425" t="n">
        <v>5</v>
      </c>
      <c r="H425" t="n">
        <v>0</v>
      </c>
      <c r="I425" t="n">
        <v>0</v>
      </c>
      <c r="J425" t="n">
        <v>0</v>
      </c>
      <c r="K425" t="n">
        <v>0</v>
      </c>
      <c r="L425" t="n">
        <v>0</v>
      </c>
      <c r="M425" t="n">
        <v>0</v>
      </c>
      <c r="N425" t="n">
        <v>0</v>
      </c>
      <c r="O425" t="n">
        <v>0</v>
      </c>
      <c r="P425" t="n">
        <v>0</v>
      </c>
      <c r="Q425" t="n">
        <v>0</v>
      </c>
      <c r="R425" s="2" t="inlineStr"/>
    </row>
    <row r="426" ht="15" customHeight="1">
      <c r="A426" t="inlineStr">
        <is>
          <t>A 37181-2025</t>
        </is>
      </c>
      <c r="B426" s="1" t="n">
        <v>45875.62668981482</v>
      </c>
      <c r="C426" s="1" t="n">
        <v>45937</v>
      </c>
      <c r="D426" t="inlineStr">
        <is>
          <t>DALARNAS LÄN</t>
        </is>
      </c>
      <c r="E426" t="inlineStr">
        <is>
          <t>ORSA</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14680-2023</t>
        </is>
      </c>
      <c r="B427" s="1" t="n">
        <v>45014.30054398148</v>
      </c>
      <c r="C427" s="1" t="n">
        <v>45937</v>
      </c>
      <c r="D427" t="inlineStr">
        <is>
          <t>DALARNAS LÄN</t>
        </is>
      </c>
      <c r="E427" t="inlineStr">
        <is>
          <t>ORSA</t>
        </is>
      </c>
      <c r="G427" t="n">
        <v>4.2</v>
      </c>
      <c r="H427" t="n">
        <v>0</v>
      </c>
      <c r="I427" t="n">
        <v>0</v>
      </c>
      <c r="J427" t="n">
        <v>0</v>
      </c>
      <c r="K427" t="n">
        <v>0</v>
      </c>
      <c r="L427" t="n">
        <v>0</v>
      </c>
      <c r="M427" t="n">
        <v>0</v>
      </c>
      <c r="N427" t="n">
        <v>0</v>
      </c>
      <c r="O427" t="n">
        <v>0</v>
      </c>
      <c r="P427" t="n">
        <v>0</v>
      </c>
      <c r="Q427" t="n">
        <v>0</v>
      </c>
      <c r="R427" s="2" t="inlineStr"/>
    </row>
    <row r="428" ht="15" customHeight="1">
      <c r="A428" t="inlineStr">
        <is>
          <t>A 25591-2022</t>
        </is>
      </c>
      <c r="B428" s="1" t="n">
        <v>44732.67958333333</v>
      </c>
      <c r="C428" s="1" t="n">
        <v>45937</v>
      </c>
      <c r="D428" t="inlineStr">
        <is>
          <t>DALARNAS LÄN</t>
        </is>
      </c>
      <c r="E428" t="inlineStr">
        <is>
          <t>ORSA</t>
        </is>
      </c>
      <c r="G428" t="n">
        <v>6</v>
      </c>
      <c r="H428" t="n">
        <v>0</v>
      </c>
      <c r="I428" t="n">
        <v>0</v>
      </c>
      <c r="J428" t="n">
        <v>0</v>
      </c>
      <c r="K428" t="n">
        <v>0</v>
      </c>
      <c r="L428" t="n">
        <v>0</v>
      </c>
      <c r="M428" t="n">
        <v>0</v>
      </c>
      <c r="N428" t="n">
        <v>0</v>
      </c>
      <c r="O428" t="n">
        <v>0</v>
      </c>
      <c r="P428" t="n">
        <v>0</v>
      </c>
      <c r="Q428" t="n">
        <v>0</v>
      </c>
      <c r="R428" s="2" t="inlineStr"/>
    </row>
    <row r="429" ht="15" customHeight="1">
      <c r="A429" t="inlineStr">
        <is>
          <t>A 31172-2023</t>
        </is>
      </c>
      <c r="B429" s="1" t="n">
        <v>45113.8637037037</v>
      </c>
      <c r="C429" s="1" t="n">
        <v>45937</v>
      </c>
      <c r="D429" t="inlineStr">
        <is>
          <t>DALARNAS LÄN</t>
        </is>
      </c>
      <c r="E429" t="inlineStr">
        <is>
          <t>ORSA</t>
        </is>
      </c>
      <c r="G429" t="n">
        <v>2.9</v>
      </c>
      <c r="H429" t="n">
        <v>0</v>
      </c>
      <c r="I429" t="n">
        <v>0</v>
      </c>
      <c r="J429" t="n">
        <v>0</v>
      </c>
      <c r="K429" t="n">
        <v>0</v>
      </c>
      <c r="L429" t="n">
        <v>0</v>
      </c>
      <c r="M429" t="n">
        <v>0</v>
      </c>
      <c r="N429" t="n">
        <v>0</v>
      </c>
      <c r="O429" t="n">
        <v>0</v>
      </c>
      <c r="P429" t="n">
        <v>0</v>
      </c>
      <c r="Q429" t="n">
        <v>0</v>
      </c>
      <c r="R429" s="2" t="inlineStr"/>
    </row>
    <row r="430" ht="15" customHeight="1">
      <c r="A430" t="inlineStr">
        <is>
          <t>A 45155-2025</t>
        </is>
      </c>
      <c r="B430" s="1" t="n">
        <v>45919.47872685185</v>
      </c>
      <c r="C430" s="1" t="n">
        <v>45937</v>
      </c>
      <c r="D430" t="inlineStr">
        <is>
          <t>DALARNAS LÄN</t>
        </is>
      </c>
      <c r="E430" t="inlineStr">
        <is>
          <t>ORSA</t>
        </is>
      </c>
      <c r="G430" t="n">
        <v>1.5</v>
      </c>
      <c r="H430" t="n">
        <v>0</v>
      </c>
      <c r="I430" t="n">
        <v>0</v>
      </c>
      <c r="J430" t="n">
        <v>0</v>
      </c>
      <c r="K430" t="n">
        <v>0</v>
      </c>
      <c r="L430" t="n">
        <v>0</v>
      </c>
      <c r="M430" t="n">
        <v>0</v>
      </c>
      <c r="N430" t="n">
        <v>0</v>
      </c>
      <c r="O430" t="n">
        <v>0</v>
      </c>
      <c r="P430" t="n">
        <v>0</v>
      </c>
      <c r="Q430" t="n">
        <v>0</v>
      </c>
      <c r="R430" s="2" t="inlineStr"/>
    </row>
    <row r="431" ht="15" customHeight="1">
      <c r="A431" t="inlineStr">
        <is>
          <t>A 37445-2025</t>
        </is>
      </c>
      <c r="B431" s="1" t="n">
        <v>45877.54615740741</v>
      </c>
      <c r="C431" s="1" t="n">
        <v>45937</v>
      </c>
      <c r="D431" t="inlineStr">
        <is>
          <t>DALARNAS LÄN</t>
        </is>
      </c>
      <c r="E431" t="inlineStr">
        <is>
          <t>ORSA</t>
        </is>
      </c>
      <c r="F431" t="inlineStr">
        <is>
          <t>Bergvik skog öst AB</t>
        </is>
      </c>
      <c r="G431" t="n">
        <v>13.4</v>
      </c>
      <c r="H431" t="n">
        <v>0</v>
      </c>
      <c r="I431" t="n">
        <v>0</v>
      </c>
      <c r="J431" t="n">
        <v>0</v>
      </c>
      <c r="K431" t="n">
        <v>0</v>
      </c>
      <c r="L431" t="n">
        <v>0</v>
      </c>
      <c r="M431" t="n">
        <v>0</v>
      </c>
      <c r="N431" t="n">
        <v>0</v>
      </c>
      <c r="O431" t="n">
        <v>0</v>
      </c>
      <c r="P431" t="n">
        <v>0</v>
      </c>
      <c r="Q431" t="n">
        <v>0</v>
      </c>
      <c r="R431" s="2" t="inlineStr"/>
    </row>
    <row r="432" ht="15" customHeight="1">
      <c r="A432" t="inlineStr">
        <is>
          <t>A 37439-2025</t>
        </is>
      </c>
      <c r="B432" s="1" t="n">
        <v>45877.53644675926</v>
      </c>
      <c r="C432" s="1" t="n">
        <v>45937</v>
      </c>
      <c r="D432" t="inlineStr">
        <is>
          <t>DALARNAS LÄN</t>
        </is>
      </c>
      <c r="E432" t="inlineStr">
        <is>
          <t>ORSA</t>
        </is>
      </c>
      <c r="F432" t="inlineStr">
        <is>
          <t>Allmännings- och besparingsskogar</t>
        </is>
      </c>
      <c r="G432" t="n">
        <v>7.9</v>
      </c>
      <c r="H432" t="n">
        <v>0</v>
      </c>
      <c r="I432" t="n">
        <v>0</v>
      </c>
      <c r="J432" t="n">
        <v>0</v>
      </c>
      <c r="K432" t="n">
        <v>0</v>
      </c>
      <c r="L432" t="n">
        <v>0</v>
      </c>
      <c r="M432" t="n">
        <v>0</v>
      </c>
      <c r="N432" t="n">
        <v>0</v>
      </c>
      <c r="O432" t="n">
        <v>0</v>
      </c>
      <c r="P432" t="n">
        <v>0</v>
      </c>
      <c r="Q432" t="n">
        <v>0</v>
      </c>
      <c r="R432" s="2" t="inlineStr"/>
    </row>
    <row r="433" ht="15" customHeight="1">
      <c r="A433" t="inlineStr">
        <is>
          <t>A 3951-2023</t>
        </is>
      </c>
      <c r="B433" s="1" t="n">
        <v>44952.38577546296</v>
      </c>
      <c r="C433" s="1" t="n">
        <v>45937</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57533-2022</t>
        </is>
      </c>
      <c r="B434" s="1" t="n">
        <v>44896.68393518519</v>
      </c>
      <c r="C434" s="1" t="n">
        <v>45937</v>
      </c>
      <c r="D434" t="inlineStr">
        <is>
          <t>DALARNAS LÄN</t>
        </is>
      </c>
      <c r="E434" t="inlineStr">
        <is>
          <t>ORSA</t>
        </is>
      </c>
      <c r="F434" t="inlineStr">
        <is>
          <t>Bergvik skog öst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37496-2025</t>
        </is>
      </c>
      <c r="B435" s="1" t="n">
        <v>45877.64424768519</v>
      </c>
      <c r="C435" s="1" t="n">
        <v>45937</v>
      </c>
      <c r="D435" t="inlineStr">
        <is>
          <t>DALARNAS LÄN</t>
        </is>
      </c>
      <c r="E435" t="inlineStr">
        <is>
          <t>ORSA</t>
        </is>
      </c>
      <c r="F435" t="inlineStr">
        <is>
          <t>Bergvik skog öst AB</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37457-2025</t>
        </is>
      </c>
      <c r="B436" s="1" t="n">
        <v>45877.56829861111</v>
      </c>
      <c r="C436" s="1" t="n">
        <v>45937</v>
      </c>
      <c r="D436" t="inlineStr">
        <is>
          <t>DALARNAS LÄN</t>
        </is>
      </c>
      <c r="E436" t="inlineStr">
        <is>
          <t>ORSA</t>
        </is>
      </c>
      <c r="F436" t="inlineStr">
        <is>
          <t>Allmännings- och besparingsskogar</t>
        </is>
      </c>
      <c r="G436" t="n">
        <v>6.5</v>
      </c>
      <c r="H436" t="n">
        <v>0</v>
      </c>
      <c r="I436" t="n">
        <v>0</v>
      </c>
      <c r="J436" t="n">
        <v>0</v>
      </c>
      <c r="K436" t="n">
        <v>0</v>
      </c>
      <c r="L436" t="n">
        <v>0</v>
      </c>
      <c r="M436" t="n">
        <v>0</v>
      </c>
      <c r="N436" t="n">
        <v>0</v>
      </c>
      <c r="O436" t="n">
        <v>0</v>
      </c>
      <c r="P436" t="n">
        <v>0</v>
      </c>
      <c r="Q436" t="n">
        <v>0</v>
      </c>
      <c r="R436" s="2" t="inlineStr"/>
    </row>
    <row r="437" ht="15" customHeight="1">
      <c r="A437" t="inlineStr">
        <is>
          <t>A 37897-2025</t>
        </is>
      </c>
      <c r="B437" s="1" t="n">
        <v>45881.55274305555</v>
      </c>
      <c r="C437" s="1" t="n">
        <v>45937</v>
      </c>
      <c r="D437" t="inlineStr">
        <is>
          <t>DALARNAS LÄN</t>
        </is>
      </c>
      <c r="E437" t="inlineStr">
        <is>
          <t>ORSA</t>
        </is>
      </c>
      <c r="G437" t="n">
        <v>1.9</v>
      </c>
      <c r="H437" t="n">
        <v>0</v>
      </c>
      <c r="I437" t="n">
        <v>0</v>
      </c>
      <c r="J437" t="n">
        <v>0</v>
      </c>
      <c r="K437" t="n">
        <v>0</v>
      </c>
      <c r="L437" t="n">
        <v>0</v>
      </c>
      <c r="M437" t="n">
        <v>0</v>
      </c>
      <c r="N437" t="n">
        <v>0</v>
      </c>
      <c r="O437" t="n">
        <v>0</v>
      </c>
      <c r="P437" t="n">
        <v>0</v>
      </c>
      <c r="Q437" t="n">
        <v>0</v>
      </c>
      <c r="R437" s="2" t="inlineStr"/>
    </row>
    <row r="438" ht="15" customHeight="1">
      <c r="A438" t="inlineStr">
        <is>
          <t>A 8430-2024</t>
        </is>
      </c>
      <c r="B438" s="1" t="n">
        <v>45353.41157407407</v>
      </c>
      <c r="C438" s="1" t="n">
        <v>45937</v>
      </c>
      <c r="D438" t="inlineStr">
        <is>
          <t>DALARNAS LÄN</t>
        </is>
      </c>
      <c r="E438" t="inlineStr">
        <is>
          <t>ORSA</t>
        </is>
      </c>
      <c r="G438" t="n">
        <v>14.4</v>
      </c>
      <c r="H438" t="n">
        <v>0</v>
      </c>
      <c r="I438" t="n">
        <v>0</v>
      </c>
      <c r="J438" t="n">
        <v>0</v>
      </c>
      <c r="K438" t="n">
        <v>0</v>
      </c>
      <c r="L438" t="n">
        <v>0</v>
      </c>
      <c r="M438" t="n">
        <v>0</v>
      </c>
      <c r="N438" t="n">
        <v>0</v>
      </c>
      <c r="O438" t="n">
        <v>0</v>
      </c>
      <c r="P438" t="n">
        <v>0</v>
      </c>
      <c r="Q438" t="n">
        <v>0</v>
      </c>
      <c r="R438" s="2" t="inlineStr"/>
    </row>
    <row r="439" ht="15" customHeight="1">
      <c r="A439" t="inlineStr">
        <is>
          <t>A 56942-2024</t>
        </is>
      </c>
      <c r="B439" s="1" t="n">
        <v>45628.62292824074</v>
      </c>
      <c r="C439" s="1" t="n">
        <v>45937</v>
      </c>
      <c r="D439" t="inlineStr">
        <is>
          <t>DALARNAS LÄN</t>
        </is>
      </c>
      <c r="E439" t="inlineStr">
        <is>
          <t>ORSA</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41832-2024</t>
        </is>
      </c>
      <c r="B440" s="1" t="n">
        <v>45561.40730324074</v>
      </c>
      <c r="C440" s="1" t="n">
        <v>45937</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36427-2023</t>
        </is>
      </c>
      <c r="B441" s="1" t="n">
        <v>45152.60333333333</v>
      </c>
      <c r="C441" s="1" t="n">
        <v>45937</v>
      </c>
      <c r="D441" t="inlineStr">
        <is>
          <t>DALARNAS LÄN</t>
        </is>
      </c>
      <c r="E441" t="inlineStr">
        <is>
          <t>ORSA</t>
        </is>
      </c>
      <c r="F441" t="inlineStr">
        <is>
          <t>Bergvik skog öst AB</t>
        </is>
      </c>
      <c r="G441" t="n">
        <v>1.2</v>
      </c>
      <c r="H441" t="n">
        <v>0</v>
      </c>
      <c r="I441" t="n">
        <v>0</v>
      </c>
      <c r="J441" t="n">
        <v>0</v>
      </c>
      <c r="K441" t="n">
        <v>0</v>
      </c>
      <c r="L441" t="n">
        <v>0</v>
      </c>
      <c r="M441" t="n">
        <v>0</v>
      </c>
      <c r="N441" t="n">
        <v>0</v>
      </c>
      <c r="O441" t="n">
        <v>0</v>
      </c>
      <c r="P441" t="n">
        <v>0</v>
      </c>
      <c r="Q441" t="n">
        <v>0</v>
      </c>
      <c r="R441" s="2" t="inlineStr"/>
    </row>
    <row r="442" ht="15" customHeight="1">
      <c r="A442" t="inlineStr">
        <is>
          <t>A 37899-2025</t>
        </is>
      </c>
      <c r="B442" s="1" t="n">
        <v>45881.56083333334</v>
      </c>
      <c r="C442" s="1" t="n">
        <v>45937</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3107-2025</t>
        </is>
      </c>
      <c r="B443" s="1" t="n">
        <v>45678.68400462963</v>
      </c>
      <c r="C443" s="1" t="n">
        <v>45937</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33945-2022</t>
        </is>
      </c>
      <c r="B444" s="1" t="n">
        <v>44790.66212962963</v>
      </c>
      <c r="C444" s="1" t="n">
        <v>45937</v>
      </c>
      <c r="D444" t="inlineStr">
        <is>
          <t>DALARNAS LÄN</t>
        </is>
      </c>
      <c r="E444" t="inlineStr">
        <is>
          <t>ORSA</t>
        </is>
      </c>
      <c r="F444" t="inlineStr">
        <is>
          <t>Bergvik skog öst AB</t>
        </is>
      </c>
      <c r="G444" t="n">
        <v>1.9</v>
      </c>
      <c r="H444" t="n">
        <v>0</v>
      </c>
      <c r="I444" t="n">
        <v>0</v>
      </c>
      <c r="J444" t="n">
        <v>0</v>
      </c>
      <c r="K444" t="n">
        <v>0</v>
      </c>
      <c r="L444" t="n">
        <v>0</v>
      </c>
      <c r="M444" t="n">
        <v>0</v>
      </c>
      <c r="N444" t="n">
        <v>0</v>
      </c>
      <c r="O444" t="n">
        <v>0</v>
      </c>
      <c r="P444" t="n">
        <v>0</v>
      </c>
      <c r="Q444" t="n">
        <v>0</v>
      </c>
      <c r="R444" s="2" t="inlineStr"/>
    </row>
    <row r="445" ht="15" customHeight="1">
      <c r="A445" t="inlineStr">
        <is>
          <t>A 21905-2022</t>
        </is>
      </c>
      <c r="B445" s="1" t="n">
        <v>44711</v>
      </c>
      <c r="C445" s="1" t="n">
        <v>45937</v>
      </c>
      <c r="D445" t="inlineStr">
        <is>
          <t>DALARNAS LÄN</t>
        </is>
      </c>
      <c r="E445" t="inlineStr">
        <is>
          <t>ORSA</t>
        </is>
      </c>
      <c r="F445" t="inlineStr">
        <is>
          <t>Allmännings- och besparingsskogar</t>
        </is>
      </c>
      <c r="G445" t="n">
        <v>3.1</v>
      </c>
      <c r="H445" t="n">
        <v>0</v>
      </c>
      <c r="I445" t="n">
        <v>0</v>
      </c>
      <c r="J445" t="n">
        <v>0</v>
      </c>
      <c r="K445" t="n">
        <v>0</v>
      </c>
      <c r="L445" t="n">
        <v>0</v>
      </c>
      <c r="M445" t="n">
        <v>0</v>
      </c>
      <c r="N445" t="n">
        <v>0</v>
      </c>
      <c r="O445" t="n">
        <v>0</v>
      </c>
      <c r="P445" t="n">
        <v>0</v>
      </c>
      <c r="Q445" t="n">
        <v>0</v>
      </c>
      <c r="R445" s="2" t="inlineStr"/>
    </row>
    <row r="446" ht="15" customHeight="1">
      <c r="A446" t="inlineStr">
        <is>
          <t>A 16585-2023</t>
        </is>
      </c>
      <c r="B446" s="1" t="n">
        <v>45030</v>
      </c>
      <c r="C446" s="1" t="n">
        <v>45937</v>
      </c>
      <c r="D446" t="inlineStr">
        <is>
          <t>DALARNAS LÄN</t>
        </is>
      </c>
      <c r="E446" t="inlineStr">
        <is>
          <t>ORSA</t>
        </is>
      </c>
      <c r="G446" t="n">
        <v>1</v>
      </c>
      <c r="H446" t="n">
        <v>0</v>
      </c>
      <c r="I446" t="n">
        <v>0</v>
      </c>
      <c r="J446" t="n">
        <v>0</v>
      </c>
      <c r="K446" t="n">
        <v>0</v>
      </c>
      <c r="L446" t="n">
        <v>0</v>
      </c>
      <c r="M446" t="n">
        <v>0</v>
      </c>
      <c r="N446" t="n">
        <v>0</v>
      </c>
      <c r="O446" t="n">
        <v>0</v>
      </c>
      <c r="P446" t="n">
        <v>0</v>
      </c>
      <c r="Q446" t="n">
        <v>0</v>
      </c>
      <c r="R446" s="2" t="inlineStr"/>
    </row>
    <row r="447" ht="15" customHeight="1">
      <c r="A447" t="inlineStr">
        <is>
          <t>A 50742-2023</t>
        </is>
      </c>
      <c r="B447" s="1" t="n">
        <v>45217.58891203703</v>
      </c>
      <c r="C447" s="1" t="n">
        <v>45937</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27163-2023</t>
        </is>
      </c>
      <c r="B448" s="1" t="n">
        <v>45096.4878125</v>
      </c>
      <c r="C448" s="1" t="n">
        <v>45937</v>
      </c>
      <c r="D448" t="inlineStr">
        <is>
          <t>DALARNAS LÄN</t>
        </is>
      </c>
      <c r="E448" t="inlineStr">
        <is>
          <t>ORSA</t>
        </is>
      </c>
      <c r="F448" t="inlineStr">
        <is>
          <t>Bergvik skog öst AB</t>
        </is>
      </c>
      <c r="G448" t="n">
        <v>0.5</v>
      </c>
      <c r="H448" t="n">
        <v>0</v>
      </c>
      <c r="I448" t="n">
        <v>0</v>
      </c>
      <c r="J448" t="n">
        <v>0</v>
      </c>
      <c r="K448" t="n">
        <v>0</v>
      </c>
      <c r="L448" t="n">
        <v>0</v>
      </c>
      <c r="M448" t="n">
        <v>0</v>
      </c>
      <c r="N448" t="n">
        <v>0</v>
      </c>
      <c r="O448" t="n">
        <v>0</v>
      </c>
      <c r="P448" t="n">
        <v>0</v>
      </c>
      <c r="Q448" t="n">
        <v>0</v>
      </c>
      <c r="R448" s="2" t="inlineStr"/>
    </row>
    <row r="449" ht="15" customHeight="1">
      <c r="A449" t="inlineStr">
        <is>
          <t>A 45803-2025</t>
        </is>
      </c>
      <c r="B449" s="1" t="n">
        <v>45923.58125</v>
      </c>
      <c r="C449" s="1" t="n">
        <v>45937</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37893-2025</t>
        </is>
      </c>
      <c r="B450" s="1" t="n">
        <v>45881.54469907407</v>
      </c>
      <c r="C450" s="1" t="n">
        <v>45937</v>
      </c>
      <c r="D450" t="inlineStr">
        <is>
          <t>DALARNAS LÄN</t>
        </is>
      </c>
      <c r="E450" t="inlineStr">
        <is>
          <t>ORSA</t>
        </is>
      </c>
      <c r="G450" t="n">
        <v>4.4</v>
      </c>
      <c r="H450" t="n">
        <v>0</v>
      </c>
      <c r="I450" t="n">
        <v>0</v>
      </c>
      <c r="J450" t="n">
        <v>0</v>
      </c>
      <c r="K450" t="n">
        <v>0</v>
      </c>
      <c r="L450" t="n">
        <v>0</v>
      </c>
      <c r="M450" t="n">
        <v>0</v>
      </c>
      <c r="N450" t="n">
        <v>0</v>
      </c>
      <c r="O450" t="n">
        <v>0</v>
      </c>
      <c r="P450" t="n">
        <v>0</v>
      </c>
      <c r="Q450" t="n">
        <v>0</v>
      </c>
      <c r="R450" s="2" t="inlineStr"/>
    </row>
    <row r="451" ht="15" customHeight="1">
      <c r="A451" t="inlineStr">
        <is>
          <t>A 37906-2025</t>
        </is>
      </c>
      <c r="B451" s="1" t="n">
        <v>45881.56803240741</v>
      </c>
      <c r="C451" s="1" t="n">
        <v>45937</v>
      </c>
      <c r="D451" t="inlineStr">
        <is>
          <t>DALARNAS LÄN</t>
        </is>
      </c>
      <c r="E451" t="inlineStr">
        <is>
          <t>ORSA</t>
        </is>
      </c>
      <c r="G451" t="n">
        <v>1</v>
      </c>
      <c r="H451" t="n">
        <v>0</v>
      </c>
      <c r="I451" t="n">
        <v>0</v>
      </c>
      <c r="J451" t="n">
        <v>0</v>
      </c>
      <c r="K451" t="n">
        <v>0</v>
      </c>
      <c r="L451" t="n">
        <v>0</v>
      </c>
      <c r="M451" t="n">
        <v>0</v>
      </c>
      <c r="N451" t="n">
        <v>0</v>
      </c>
      <c r="O451" t="n">
        <v>0</v>
      </c>
      <c r="P451" t="n">
        <v>0</v>
      </c>
      <c r="Q451" t="n">
        <v>0</v>
      </c>
      <c r="R451" s="2" t="inlineStr"/>
    </row>
    <row r="452" ht="15" customHeight="1">
      <c r="A452" t="inlineStr">
        <is>
          <t>A 37838-2024</t>
        </is>
      </c>
      <c r="B452" s="1" t="n">
        <v>45544.36310185185</v>
      </c>
      <c r="C452" s="1" t="n">
        <v>45937</v>
      </c>
      <c r="D452" t="inlineStr">
        <is>
          <t>DALARNAS LÄN</t>
        </is>
      </c>
      <c r="E452" t="inlineStr">
        <is>
          <t>ORSA</t>
        </is>
      </c>
      <c r="G452" t="n">
        <v>2.9</v>
      </c>
      <c r="H452" t="n">
        <v>0</v>
      </c>
      <c r="I452" t="n">
        <v>0</v>
      </c>
      <c r="J452" t="n">
        <v>0</v>
      </c>
      <c r="K452" t="n">
        <v>0</v>
      </c>
      <c r="L452" t="n">
        <v>0</v>
      </c>
      <c r="M452" t="n">
        <v>0</v>
      </c>
      <c r="N452" t="n">
        <v>0</v>
      </c>
      <c r="O452" t="n">
        <v>0</v>
      </c>
      <c r="P452" t="n">
        <v>0</v>
      </c>
      <c r="Q452" t="n">
        <v>0</v>
      </c>
      <c r="R452" s="2" t="inlineStr"/>
    </row>
    <row r="453" ht="15" customHeight="1">
      <c r="A453" t="inlineStr">
        <is>
          <t>A 31688-2024</t>
        </is>
      </c>
      <c r="B453" s="1" t="n">
        <v>45507.46103009259</v>
      </c>
      <c r="C453" s="1" t="n">
        <v>45937</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46242-2025</t>
        </is>
      </c>
      <c r="B454" s="1" t="n">
        <v>45925.31876157408</v>
      </c>
      <c r="C454" s="1" t="n">
        <v>45937</v>
      </c>
      <c r="D454" t="inlineStr">
        <is>
          <t>DALARNAS LÄN</t>
        </is>
      </c>
      <c r="E454" t="inlineStr">
        <is>
          <t>ORSA</t>
        </is>
      </c>
      <c r="G454" t="n">
        <v>5.6</v>
      </c>
      <c r="H454" t="n">
        <v>0</v>
      </c>
      <c r="I454" t="n">
        <v>0</v>
      </c>
      <c r="J454" t="n">
        <v>0</v>
      </c>
      <c r="K454" t="n">
        <v>0</v>
      </c>
      <c r="L454" t="n">
        <v>0</v>
      </c>
      <c r="M454" t="n">
        <v>0</v>
      </c>
      <c r="N454" t="n">
        <v>0</v>
      </c>
      <c r="O454" t="n">
        <v>0</v>
      </c>
      <c r="P454" t="n">
        <v>0</v>
      </c>
      <c r="Q454" t="n">
        <v>0</v>
      </c>
      <c r="R454" s="2" t="inlineStr"/>
    </row>
    <row r="455" ht="15" customHeight="1">
      <c r="A455" t="inlineStr">
        <is>
          <t>A 48447-2023</t>
        </is>
      </c>
      <c r="B455" s="1" t="n">
        <v>45206.39274305556</v>
      </c>
      <c r="C455" s="1" t="n">
        <v>45937</v>
      </c>
      <c r="D455" t="inlineStr">
        <is>
          <t>DALARNAS LÄN</t>
        </is>
      </c>
      <c r="E455" t="inlineStr">
        <is>
          <t>ORSA</t>
        </is>
      </c>
      <c r="G455" t="n">
        <v>0.6</v>
      </c>
      <c r="H455" t="n">
        <v>0</v>
      </c>
      <c r="I455" t="n">
        <v>0</v>
      </c>
      <c r="J455" t="n">
        <v>0</v>
      </c>
      <c r="K455" t="n">
        <v>0</v>
      </c>
      <c r="L455" t="n">
        <v>0</v>
      </c>
      <c r="M455" t="n">
        <v>0</v>
      </c>
      <c r="N455" t="n">
        <v>0</v>
      </c>
      <c r="O455" t="n">
        <v>0</v>
      </c>
      <c r="P455" t="n">
        <v>0</v>
      </c>
      <c r="Q455" t="n">
        <v>0</v>
      </c>
      <c r="R455" s="2" t="inlineStr"/>
    </row>
    <row r="456" ht="15" customHeight="1">
      <c r="A456" t="inlineStr">
        <is>
          <t>A 35477-2023</t>
        </is>
      </c>
      <c r="B456" s="1" t="n">
        <v>45146</v>
      </c>
      <c r="C456" s="1" t="n">
        <v>45937</v>
      </c>
      <c r="D456" t="inlineStr">
        <is>
          <t>DALARNAS LÄN</t>
        </is>
      </c>
      <c r="E456" t="inlineStr">
        <is>
          <t>ORSA</t>
        </is>
      </c>
      <c r="G456" t="n">
        <v>7.7</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45937</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33673-2023</t>
        </is>
      </c>
      <c r="B458" s="1" t="n">
        <v>45132</v>
      </c>
      <c r="C458" s="1" t="n">
        <v>45937</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47134-2024</t>
        </is>
      </c>
      <c r="B459" s="1" t="n">
        <v>45586.58081018519</v>
      </c>
      <c r="C459" s="1" t="n">
        <v>45937</v>
      </c>
      <c r="D459" t="inlineStr">
        <is>
          <t>DALARNAS LÄN</t>
        </is>
      </c>
      <c r="E459" t="inlineStr">
        <is>
          <t>ORSA</t>
        </is>
      </c>
      <c r="G459" t="n">
        <v>0.3</v>
      </c>
      <c r="H459" t="n">
        <v>0</v>
      </c>
      <c r="I459" t="n">
        <v>0</v>
      </c>
      <c r="J459" t="n">
        <v>0</v>
      </c>
      <c r="K459" t="n">
        <v>0</v>
      </c>
      <c r="L459" t="n">
        <v>0</v>
      </c>
      <c r="M459" t="n">
        <v>0</v>
      </c>
      <c r="N459" t="n">
        <v>0</v>
      </c>
      <c r="O459" t="n">
        <v>0</v>
      </c>
      <c r="P459" t="n">
        <v>0</v>
      </c>
      <c r="Q459" t="n">
        <v>0</v>
      </c>
      <c r="R459" s="2" t="inlineStr"/>
    </row>
    <row r="460" ht="15" customHeight="1">
      <c r="A460" t="inlineStr">
        <is>
          <t>A 58853-2022</t>
        </is>
      </c>
      <c r="B460" s="1" t="n">
        <v>44903</v>
      </c>
      <c r="C460" s="1" t="n">
        <v>45937</v>
      </c>
      <c r="D460" t="inlineStr">
        <is>
          <t>DALARNAS LÄN</t>
        </is>
      </c>
      <c r="E460" t="inlineStr">
        <is>
          <t>ORSA</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53758-2024</t>
        </is>
      </c>
      <c r="B461" s="1" t="n">
        <v>45615.50483796297</v>
      </c>
      <c r="C461" s="1" t="n">
        <v>45937</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53102-2021</t>
        </is>
      </c>
      <c r="B462" s="1" t="n">
        <v>44467</v>
      </c>
      <c r="C462" s="1" t="n">
        <v>45937</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1304-2024</t>
        </is>
      </c>
      <c r="B463" s="1" t="n">
        <v>45303</v>
      </c>
      <c r="C463" s="1" t="n">
        <v>45937</v>
      </c>
      <c r="D463" t="inlineStr">
        <is>
          <t>DALARNAS LÄN</t>
        </is>
      </c>
      <c r="E463" t="inlineStr">
        <is>
          <t>ORSA</t>
        </is>
      </c>
      <c r="G463" t="n">
        <v>3.8</v>
      </c>
      <c r="H463" t="n">
        <v>0</v>
      </c>
      <c r="I463" t="n">
        <v>0</v>
      </c>
      <c r="J463" t="n">
        <v>0</v>
      </c>
      <c r="K463" t="n">
        <v>0</v>
      </c>
      <c r="L463" t="n">
        <v>0</v>
      </c>
      <c r="M463" t="n">
        <v>0</v>
      </c>
      <c r="N463" t="n">
        <v>0</v>
      </c>
      <c r="O463" t="n">
        <v>0</v>
      </c>
      <c r="P463" t="n">
        <v>0</v>
      </c>
      <c r="Q463" t="n">
        <v>0</v>
      </c>
      <c r="R463" s="2" t="inlineStr"/>
    </row>
    <row r="464" ht="15" customHeight="1">
      <c r="A464" t="inlineStr">
        <is>
          <t>A 27877-2021</t>
        </is>
      </c>
      <c r="B464" s="1" t="n">
        <v>44354.6446875</v>
      </c>
      <c r="C464" s="1" t="n">
        <v>45937</v>
      </c>
      <c r="D464" t="inlineStr">
        <is>
          <t>DALARNAS LÄN</t>
        </is>
      </c>
      <c r="E464" t="inlineStr">
        <is>
          <t>ORSA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17848-2025</t>
        </is>
      </c>
      <c r="B465" s="1" t="n">
        <v>45758.59981481481</v>
      </c>
      <c r="C465" s="1" t="n">
        <v>45937</v>
      </c>
      <c r="D465" t="inlineStr">
        <is>
          <t>DALARNAS LÄN</t>
        </is>
      </c>
      <c r="E465" t="inlineStr">
        <is>
          <t>ORSA</t>
        </is>
      </c>
      <c r="G465" t="n">
        <v>1.6</v>
      </c>
      <c r="H465" t="n">
        <v>0</v>
      </c>
      <c r="I465" t="n">
        <v>0</v>
      </c>
      <c r="J465" t="n">
        <v>0</v>
      </c>
      <c r="K465" t="n">
        <v>0</v>
      </c>
      <c r="L465" t="n">
        <v>0</v>
      </c>
      <c r="M465" t="n">
        <v>0</v>
      </c>
      <c r="N465" t="n">
        <v>0</v>
      </c>
      <c r="O465" t="n">
        <v>0</v>
      </c>
      <c r="P465" t="n">
        <v>0</v>
      </c>
      <c r="Q465" t="n">
        <v>0</v>
      </c>
      <c r="R465" s="2" t="inlineStr"/>
    </row>
    <row r="466" ht="15" customHeight="1">
      <c r="A466" t="inlineStr">
        <is>
          <t>A 892-2024</t>
        </is>
      </c>
      <c r="B466" s="1" t="n">
        <v>45301</v>
      </c>
      <c r="C466" s="1" t="n">
        <v>45937</v>
      </c>
      <c r="D466" t="inlineStr">
        <is>
          <t>DALARNAS LÄN</t>
        </is>
      </c>
      <c r="E466" t="inlineStr">
        <is>
          <t>ORSA</t>
        </is>
      </c>
      <c r="G466" t="n">
        <v>1.2</v>
      </c>
      <c r="H466" t="n">
        <v>0</v>
      </c>
      <c r="I466" t="n">
        <v>0</v>
      </c>
      <c r="J466" t="n">
        <v>0</v>
      </c>
      <c r="K466" t="n">
        <v>0</v>
      </c>
      <c r="L466" t="n">
        <v>0</v>
      </c>
      <c r="M466" t="n">
        <v>0</v>
      </c>
      <c r="N466" t="n">
        <v>0</v>
      </c>
      <c r="O466" t="n">
        <v>0</v>
      </c>
      <c r="P466" t="n">
        <v>0</v>
      </c>
      <c r="Q466" t="n">
        <v>0</v>
      </c>
      <c r="R466" s="2" t="inlineStr"/>
    </row>
    <row r="467" ht="15" customHeight="1">
      <c r="A467" t="inlineStr">
        <is>
          <t>A 16777-2024</t>
        </is>
      </c>
      <c r="B467" s="1" t="n">
        <v>45411</v>
      </c>
      <c r="C467" s="1" t="n">
        <v>45937</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48516-2024</t>
        </is>
      </c>
      <c r="B468" s="1" t="n">
        <v>45593.31292824074</v>
      </c>
      <c r="C468" s="1" t="n">
        <v>45937</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48521-2024</t>
        </is>
      </c>
      <c r="B469" s="1" t="n">
        <v>45593.32871527778</v>
      </c>
      <c r="C469" s="1" t="n">
        <v>45937</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48525-2024</t>
        </is>
      </c>
      <c r="B470" s="1" t="n">
        <v>45593.33947916667</v>
      </c>
      <c r="C470" s="1" t="n">
        <v>45937</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52643-2024</t>
        </is>
      </c>
      <c r="B471" s="1" t="n">
        <v>45610.34175925926</v>
      </c>
      <c r="C471" s="1" t="n">
        <v>45937</v>
      </c>
      <c r="D471" t="inlineStr">
        <is>
          <t>DALARNAS LÄN</t>
        </is>
      </c>
      <c r="E471" t="inlineStr">
        <is>
          <t>ORSA</t>
        </is>
      </c>
      <c r="G471" t="n">
        <v>1.5</v>
      </c>
      <c r="H471" t="n">
        <v>0</v>
      </c>
      <c r="I471" t="n">
        <v>0</v>
      </c>
      <c r="J471" t="n">
        <v>0</v>
      </c>
      <c r="K471" t="n">
        <v>0</v>
      </c>
      <c r="L471" t="n">
        <v>0</v>
      </c>
      <c r="M471" t="n">
        <v>0</v>
      </c>
      <c r="N471" t="n">
        <v>0</v>
      </c>
      <c r="O471" t="n">
        <v>0</v>
      </c>
      <c r="P471" t="n">
        <v>0</v>
      </c>
      <c r="Q471" t="n">
        <v>0</v>
      </c>
      <c r="R471" s="2" t="inlineStr"/>
    </row>
    <row r="472" ht="15" customHeight="1">
      <c r="A472" t="inlineStr">
        <is>
          <t>A 9466-2023</t>
        </is>
      </c>
      <c r="B472" s="1" t="n">
        <v>44981</v>
      </c>
      <c r="C472" s="1" t="n">
        <v>45937</v>
      </c>
      <c r="D472" t="inlineStr">
        <is>
          <t>DALARNAS LÄN</t>
        </is>
      </c>
      <c r="E472" t="inlineStr">
        <is>
          <t>ORSA</t>
        </is>
      </c>
      <c r="F472" t="inlineStr">
        <is>
          <t>Bergvik skog väst AB</t>
        </is>
      </c>
      <c r="G472" t="n">
        <v>3.8</v>
      </c>
      <c r="H472" t="n">
        <v>0</v>
      </c>
      <c r="I472" t="n">
        <v>0</v>
      </c>
      <c r="J472" t="n">
        <v>0</v>
      </c>
      <c r="K472" t="n">
        <v>0</v>
      </c>
      <c r="L472" t="n">
        <v>0</v>
      </c>
      <c r="M472" t="n">
        <v>0</v>
      </c>
      <c r="N472" t="n">
        <v>0</v>
      </c>
      <c r="O472" t="n">
        <v>0</v>
      </c>
      <c r="P472" t="n">
        <v>0</v>
      </c>
      <c r="Q472" t="n">
        <v>0</v>
      </c>
      <c r="R472" s="2" t="inlineStr"/>
    </row>
    <row r="473" ht="15" customHeight="1">
      <c r="A473" t="inlineStr">
        <is>
          <t>A 21301-2023</t>
        </is>
      </c>
      <c r="B473" s="1" t="n">
        <v>45062.66613425926</v>
      </c>
      <c r="C473" s="1" t="n">
        <v>45937</v>
      </c>
      <c r="D473" t="inlineStr">
        <is>
          <t>DALARNAS LÄN</t>
        </is>
      </c>
      <c r="E473" t="inlineStr">
        <is>
          <t>ORSA</t>
        </is>
      </c>
      <c r="G473" t="n">
        <v>2.2</v>
      </c>
      <c r="H473" t="n">
        <v>0</v>
      </c>
      <c r="I473" t="n">
        <v>0</v>
      </c>
      <c r="J473" t="n">
        <v>0</v>
      </c>
      <c r="K473" t="n">
        <v>0</v>
      </c>
      <c r="L473" t="n">
        <v>0</v>
      </c>
      <c r="M473" t="n">
        <v>0</v>
      </c>
      <c r="N473" t="n">
        <v>0</v>
      </c>
      <c r="O473" t="n">
        <v>0</v>
      </c>
      <c r="P473" t="n">
        <v>0</v>
      </c>
      <c r="Q473" t="n">
        <v>0</v>
      </c>
      <c r="R473" s="2" t="inlineStr"/>
    </row>
    <row r="474" ht="15" customHeight="1">
      <c r="A474" t="inlineStr">
        <is>
          <t>A 36569-2021</t>
        </is>
      </c>
      <c r="B474" s="1" t="n">
        <v>44391</v>
      </c>
      <c r="C474" s="1" t="n">
        <v>45937</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56711-2021</t>
        </is>
      </c>
      <c r="B475" s="1" t="n">
        <v>44481.41222222222</v>
      </c>
      <c r="C475" s="1" t="n">
        <v>45937</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15914-2021</t>
        </is>
      </c>
      <c r="B476" s="1" t="n">
        <v>44287</v>
      </c>
      <c r="C476" s="1" t="n">
        <v>45937</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51289-2023</t>
        </is>
      </c>
      <c r="B477" s="1" t="n">
        <v>45219.54077546296</v>
      </c>
      <c r="C477" s="1" t="n">
        <v>45937</v>
      </c>
      <c r="D477" t="inlineStr">
        <is>
          <t>DALARNAS LÄN</t>
        </is>
      </c>
      <c r="E477" t="inlineStr">
        <is>
          <t>ORSA</t>
        </is>
      </c>
      <c r="G477" t="n">
        <v>1.5</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45209.64740740741</v>
      </c>
      <c r="C478" s="1" t="n">
        <v>45937</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61684-2024</t>
        </is>
      </c>
      <c r="B479" s="1" t="n">
        <v>45647.56491898148</v>
      </c>
      <c r="C479" s="1" t="n">
        <v>45937</v>
      </c>
      <c r="D479" t="inlineStr">
        <is>
          <t>DALARNAS LÄN</t>
        </is>
      </c>
      <c r="E479" t="inlineStr">
        <is>
          <t>ORSA</t>
        </is>
      </c>
      <c r="G479" t="n">
        <v>5.8</v>
      </c>
      <c r="H479" t="n">
        <v>0</v>
      </c>
      <c r="I479" t="n">
        <v>0</v>
      </c>
      <c r="J479" t="n">
        <v>0</v>
      </c>
      <c r="K479" t="n">
        <v>0</v>
      </c>
      <c r="L479" t="n">
        <v>0</v>
      </c>
      <c r="M479" t="n">
        <v>0</v>
      </c>
      <c r="N479" t="n">
        <v>0</v>
      </c>
      <c r="O479" t="n">
        <v>0</v>
      </c>
      <c r="P479" t="n">
        <v>0</v>
      </c>
      <c r="Q479" t="n">
        <v>0</v>
      </c>
      <c r="R479" s="2" t="inlineStr"/>
    </row>
    <row r="480" ht="15" customHeight="1">
      <c r="A480" t="inlineStr">
        <is>
          <t>A 31170-2023</t>
        </is>
      </c>
      <c r="B480" s="1" t="n">
        <v>45113.84923611111</v>
      </c>
      <c r="C480" s="1" t="n">
        <v>45937</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31171-2023</t>
        </is>
      </c>
      <c r="B481" s="1" t="n">
        <v>45113.85704861111</v>
      </c>
      <c r="C481" s="1" t="n">
        <v>45937</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ht="15" customHeight="1">
      <c r="A482" t="inlineStr">
        <is>
          <t>A 6492-2025</t>
        </is>
      </c>
      <c r="B482" s="1" t="n">
        <v>45699</v>
      </c>
      <c r="C482" s="1" t="n">
        <v>45937</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13580-2025</t>
        </is>
      </c>
      <c r="B483" s="1" t="n">
        <v>45736.58362268518</v>
      </c>
      <c r="C483" s="1" t="n">
        <v>45937</v>
      </c>
      <c r="D483" t="inlineStr">
        <is>
          <t>DALARNAS LÄN</t>
        </is>
      </c>
      <c r="E483" t="inlineStr">
        <is>
          <t>ORSA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51574-2023</t>
        </is>
      </c>
      <c r="B484" s="1" t="n">
        <v>45222.45090277777</v>
      </c>
      <c r="C484" s="1" t="n">
        <v>45937</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2563-2025</t>
        </is>
      </c>
      <c r="B485" s="1" t="n">
        <v>45674.65692129629</v>
      </c>
      <c r="C485" s="1" t="n">
        <v>45937</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c r="A486" t="inlineStr">
        <is>
          <t>A 54546-2024</t>
        </is>
      </c>
      <c r="B486" s="1" t="n">
        <v>45617.61476851852</v>
      </c>
      <c r="C486" s="1" t="n">
        <v>45937</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2025-10-07T12:30:27Z</dcterms:created>
  <dcterms:modified xmlns:dcterms="http://purl.org/dc/terms/" xmlns:xsi="http://www.w3.org/2001/XMLSchema-instance" xsi:type="dcterms:W3CDTF">2025-10-07T12:30:27Z</dcterms:modified>
</cp:coreProperties>
</file>