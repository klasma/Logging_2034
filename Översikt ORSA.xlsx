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46191</v>
      </c>
      <c r="D2" t="inlineStr">
        <is>
          <t>DALARNAS LÄN</t>
        </is>
      </c>
      <c r="E2" t="inlineStr">
        <is>
          <t>ORSA</t>
        </is>
      </c>
      <c r="F2" t="inlineStr">
        <is>
          <t>Kommuner</t>
        </is>
      </c>
      <c r="G2" t="n">
        <v>20.7</v>
      </c>
      <c r="H2" t="n">
        <v>24</v>
      </c>
      <c r="I2" t="n">
        <v>6</v>
      </c>
      <c r="J2" t="n">
        <v>16</v>
      </c>
      <c r="K2" t="n">
        <v>6</v>
      </c>
      <c r="L2" t="n">
        <v>1</v>
      </c>
      <c r="M2" t="n">
        <v>0</v>
      </c>
      <c r="N2" t="n">
        <v>0</v>
      </c>
      <c r="O2" t="n">
        <v>23</v>
      </c>
      <c r="P2" t="n">
        <v>7</v>
      </c>
      <c r="Q2" t="n">
        <v>38</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46191</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46191</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46191</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46191</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54617-2025</t>
        </is>
      </c>
      <c r="B7" s="1" t="n">
        <v>45966</v>
      </c>
      <c r="C7" s="1" t="n">
        <v>46191</v>
      </c>
      <c r="D7" t="inlineStr">
        <is>
          <t>DALARNAS LÄN</t>
        </is>
      </c>
      <c r="E7" t="inlineStr">
        <is>
          <t>ORSA</t>
        </is>
      </c>
      <c r="G7" t="n">
        <v>16</v>
      </c>
      <c r="H7" t="n">
        <v>2</v>
      </c>
      <c r="I7" t="n">
        <v>5</v>
      </c>
      <c r="J7" t="n">
        <v>18</v>
      </c>
      <c r="K7" t="n">
        <v>1</v>
      </c>
      <c r="L7" t="n">
        <v>1</v>
      </c>
      <c r="M7" t="n">
        <v>0</v>
      </c>
      <c r="N7" t="n">
        <v>0</v>
      </c>
      <c r="O7" t="n">
        <v>20</v>
      </c>
      <c r="P7" t="n">
        <v>2</v>
      </c>
      <c r="Q7" t="n">
        <v>25</v>
      </c>
      <c r="R7"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7">
        <f>HYPERLINK("https://klasma.github.io/Logging_2034/artfynd/A 54617-2025 artfynd.xlsx", "A 54617-2025")</f>
        <v/>
      </c>
      <c r="T7">
        <f>HYPERLINK("https://klasma.github.io/Logging_2034/kartor/A 54617-2025 karta.png", "A 54617-2025")</f>
        <v/>
      </c>
      <c r="V7">
        <f>HYPERLINK("https://klasma.github.io/Logging_2034/klagomål/A 54617-2025 FSC-klagomål.docx", "A 54617-2025")</f>
        <v/>
      </c>
      <c r="W7">
        <f>HYPERLINK("https://klasma.github.io/Logging_2034/klagomålsmail/A 54617-2025 FSC-klagomål mail.docx", "A 54617-2025")</f>
        <v/>
      </c>
      <c r="X7">
        <f>HYPERLINK("https://klasma.github.io/Logging_2034/tillsyn/A 54617-2025 tillsynsbegäran.docx", "A 54617-2025")</f>
        <v/>
      </c>
      <c r="Y7">
        <f>HYPERLINK("https://klasma.github.io/Logging_2034/tillsynsmail/A 54617-2025 tillsynsbegäran mail.docx", "A 54617-2025")</f>
        <v/>
      </c>
      <c r="Z7">
        <f>HYPERLINK("https://klasma.github.io/Logging_2034/fåglar/A 54617-2025 prioriterade fågelarter.docx", "A 54617-2025")</f>
        <v/>
      </c>
    </row>
    <row r="8" ht="15" customHeight="1">
      <c r="A8" t="inlineStr">
        <is>
          <t>A 51902-2023</t>
        </is>
      </c>
      <c r="B8" s="1" t="n">
        <v>45223</v>
      </c>
      <c r="C8" s="1" t="n">
        <v>46191</v>
      </c>
      <c r="D8" t="inlineStr">
        <is>
          <t>DALARNAS LÄN</t>
        </is>
      </c>
      <c r="E8" t="inlineStr">
        <is>
          <t>ORSA</t>
        </is>
      </c>
      <c r="F8" t="inlineStr">
        <is>
          <t>Allmännings- och besparingsskogar</t>
        </is>
      </c>
      <c r="G8" t="n">
        <v>10.2</v>
      </c>
      <c r="H8" t="n">
        <v>7</v>
      </c>
      <c r="I8" t="n">
        <v>6</v>
      </c>
      <c r="J8" t="n">
        <v>13</v>
      </c>
      <c r="K8" t="n">
        <v>4</v>
      </c>
      <c r="L8" t="n">
        <v>0</v>
      </c>
      <c r="M8" t="n">
        <v>0</v>
      </c>
      <c r="N8" t="n">
        <v>0</v>
      </c>
      <c r="O8" t="n">
        <v>17</v>
      </c>
      <c r="P8" t="n">
        <v>4</v>
      </c>
      <c r="Q8" t="n">
        <v>25</v>
      </c>
      <c r="R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47952-2023</t>
        </is>
      </c>
      <c r="B9" s="1" t="n">
        <v>45204</v>
      </c>
      <c r="C9" s="1" t="n">
        <v>46191</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47905-2023</t>
        </is>
      </c>
      <c r="B10" s="1" t="n">
        <v>45204</v>
      </c>
      <c r="C10" s="1" t="n">
        <v>46191</v>
      </c>
      <c r="D10" t="inlineStr">
        <is>
          <t>DALARNAS LÄN</t>
        </is>
      </c>
      <c r="E10" t="inlineStr">
        <is>
          <t>ORSA</t>
        </is>
      </c>
      <c r="F10" t="inlineStr">
        <is>
          <t>Allmännings- och besparingsskogar</t>
        </is>
      </c>
      <c r="G10" t="n">
        <v>9.300000000000001</v>
      </c>
      <c r="H10" t="n">
        <v>2</v>
      </c>
      <c r="I10" t="n">
        <v>6</v>
      </c>
      <c r="J10" t="n">
        <v>11</v>
      </c>
      <c r="K10" t="n">
        <v>1</v>
      </c>
      <c r="L10" t="n">
        <v>1</v>
      </c>
      <c r="M10" t="n">
        <v>0</v>
      </c>
      <c r="N10" t="n">
        <v>0</v>
      </c>
      <c r="O10" t="n">
        <v>13</v>
      </c>
      <c r="P10" t="n">
        <v>2</v>
      </c>
      <c r="Q10" t="n">
        <v>20</v>
      </c>
      <c r="R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0">
        <f>HYPERLINK("https://klasma.github.io/Logging_2034/artfynd/A 47905-2023 artfynd.xlsx", "A 47905-2023")</f>
        <v/>
      </c>
      <c r="T10">
        <f>HYPERLINK("https://klasma.github.io/Logging_2034/kartor/A 47905-2023 karta.png", "A 47905-2023")</f>
        <v/>
      </c>
      <c r="V10">
        <f>HYPERLINK("https://klasma.github.io/Logging_2034/klagomål/A 47905-2023 FSC-klagomål.docx", "A 47905-2023")</f>
        <v/>
      </c>
      <c r="W10">
        <f>HYPERLINK("https://klasma.github.io/Logging_2034/klagomålsmail/A 47905-2023 FSC-klagomål mail.docx", "A 47905-2023")</f>
        <v/>
      </c>
      <c r="X10">
        <f>HYPERLINK("https://klasma.github.io/Logging_2034/tillsyn/A 47905-2023 tillsynsbegäran.docx", "A 47905-2023")</f>
        <v/>
      </c>
      <c r="Y10">
        <f>HYPERLINK("https://klasma.github.io/Logging_2034/tillsynsmail/A 47905-2023 tillsynsbegäran mail.docx", "A 47905-2023")</f>
        <v/>
      </c>
      <c r="Z10">
        <f>HYPERLINK("https://klasma.github.io/Logging_2034/fåglar/A 47905-2023 prioriterade fågelarter.docx", "A 47905-2023")</f>
        <v/>
      </c>
    </row>
    <row r="11" ht="15" customHeight="1">
      <c r="A11" t="inlineStr">
        <is>
          <t>A 30505-2024</t>
        </is>
      </c>
      <c r="B11" s="1" t="n">
        <v>45492</v>
      </c>
      <c r="C11" s="1" t="n">
        <v>46191</v>
      </c>
      <c r="D11" t="inlineStr">
        <is>
          <t>DALARNAS LÄN</t>
        </is>
      </c>
      <c r="E11" t="inlineStr">
        <is>
          <t>ORSA</t>
        </is>
      </c>
      <c r="F11" t="inlineStr">
        <is>
          <t>Allmännings- och besparingsskogar</t>
        </is>
      </c>
      <c r="G11" t="n">
        <v>5.1</v>
      </c>
      <c r="H11" t="n">
        <v>3</v>
      </c>
      <c r="I11" t="n">
        <v>2</v>
      </c>
      <c r="J11" t="n">
        <v>15</v>
      </c>
      <c r="K11" t="n">
        <v>2</v>
      </c>
      <c r="L11" t="n">
        <v>0</v>
      </c>
      <c r="M11" t="n">
        <v>0</v>
      </c>
      <c r="N11" t="n">
        <v>0</v>
      </c>
      <c r="O11" t="n">
        <v>17</v>
      </c>
      <c r="P11" t="n">
        <v>2</v>
      </c>
      <c r="Q11" t="n">
        <v>20</v>
      </c>
      <c r="R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1">
        <f>HYPERLINK("https://klasma.github.io/Logging_2034/artfynd/A 30505-2024 artfynd.xlsx", "A 30505-2024")</f>
        <v/>
      </c>
      <c r="T11">
        <f>HYPERLINK("https://klasma.github.io/Logging_2034/kartor/A 30505-2024 karta.png", "A 30505-2024")</f>
        <v/>
      </c>
      <c r="V11">
        <f>HYPERLINK("https://klasma.github.io/Logging_2034/klagomål/A 30505-2024 FSC-klagomål.docx", "A 30505-2024")</f>
        <v/>
      </c>
      <c r="W11">
        <f>HYPERLINK("https://klasma.github.io/Logging_2034/klagomålsmail/A 30505-2024 FSC-klagomål mail.docx", "A 30505-2024")</f>
        <v/>
      </c>
      <c r="X11">
        <f>HYPERLINK("https://klasma.github.io/Logging_2034/tillsyn/A 30505-2024 tillsynsbegäran.docx", "A 30505-2024")</f>
        <v/>
      </c>
      <c r="Y11">
        <f>HYPERLINK("https://klasma.github.io/Logging_2034/tillsynsmail/A 30505-2024 tillsynsbegäran mail.docx", "A 30505-2024")</f>
        <v/>
      </c>
      <c r="Z11">
        <f>HYPERLINK("https://klasma.github.io/Logging_2034/fåglar/A 30505-2024 prioriterade fågelarter.docx", "A 30505-2024")</f>
        <v/>
      </c>
    </row>
    <row r="12" ht="15" customHeight="1">
      <c r="A12" t="inlineStr">
        <is>
          <t>A 7507-2025</t>
        </is>
      </c>
      <c r="B12" s="1" t="n">
        <v>45705</v>
      </c>
      <c r="C12" s="1" t="n">
        <v>46191</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46191</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46191</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50728-2022</t>
        </is>
      </c>
      <c r="B15" s="1" t="n">
        <v>44867</v>
      </c>
      <c r="C15" s="1" t="n">
        <v>46191</v>
      </c>
      <c r="D15" t="inlineStr">
        <is>
          <t>DALARNAS LÄN</t>
        </is>
      </c>
      <c r="E15" t="inlineStr">
        <is>
          <t>ORSA</t>
        </is>
      </c>
      <c r="F15" t="inlineStr">
        <is>
          <t>Allmännings- och besparingsskogar</t>
        </is>
      </c>
      <c r="G15" t="n">
        <v>1.8</v>
      </c>
      <c r="H15" t="n">
        <v>2</v>
      </c>
      <c r="I15" t="n">
        <v>3</v>
      </c>
      <c r="J15" t="n">
        <v>7</v>
      </c>
      <c r="K15" t="n">
        <v>3</v>
      </c>
      <c r="L15" t="n">
        <v>0</v>
      </c>
      <c r="M15" t="n">
        <v>0</v>
      </c>
      <c r="N15" t="n">
        <v>0</v>
      </c>
      <c r="O15" t="n">
        <v>10</v>
      </c>
      <c r="P15" t="n">
        <v>3</v>
      </c>
      <c r="Q15" t="n">
        <v>14</v>
      </c>
      <c r="R15" s="2" t="inlineStr">
        <is>
          <t>Garnlav
Gräddporing
Skuggnål
Dropptaggsvamp
Kolflarnlav
Lunglav
Skrovellav
Tretåig hackspett
Vedskivlav
Violettgrå tagellav
Bårdlav
Stuplav
Vågbandad barkbock
Tjäder</t>
        </is>
      </c>
      <c r="S15">
        <f>HYPERLINK("https://klasma.github.io/Logging_2034/artfynd/A 50728-2022 artfynd.xlsx", "A 50728-2022")</f>
        <v/>
      </c>
      <c r="T15">
        <f>HYPERLINK("https://klasma.github.io/Logging_2034/kartor/A 50728-2022 karta.png", "A 50728-2022")</f>
        <v/>
      </c>
      <c r="V15">
        <f>HYPERLINK("https://klasma.github.io/Logging_2034/klagomål/A 50728-2022 FSC-klagomål.docx", "A 50728-2022")</f>
        <v/>
      </c>
      <c r="W15">
        <f>HYPERLINK("https://klasma.github.io/Logging_2034/klagomålsmail/A 50728-2022 FSC-klagomål mail.docx", "A 50728-2022")</f>
        <v/>
      </c>
      <c r="X15">
        <f>HYPERLINK("https://klasma.github.io/Logging_2034/tillsyn/A 50728-2022 tillsynsbegäran.docx", "A 50728-2022")</f>
        <v/>
      </c>
      <c r="Y15">
        <f>HYPERLINK("https://klasma.github.io/Logging_2034/tillsynsmail/A 50728-2022 tillsynsbegäran mail.docx", "A 50728-2022")</f>
        <v/>
      </c>
      <c r="Z15">
        <f>HYPERLINK("https://klasma.github.io/Logging_2034/fåglar/A 50728-2022 prioriterade fågelarter.docx", "A 50728-2022")</f>
        <v/>
      </c>
    </row>
    <row r="16" ht="15" customHeight="1">
      <c r="A16" t="inlineStr">
        <is>
          <t>A 30284-2024</t>
        </is>
      </c>
      <c r="B16" s="1" t="n">
        <v>45490</v>
      </c>
      <c r="C16" s="1" t="n">
        <v>46191</v>
      </c>
      <c r="D16" t="inlineStr">
        <is>
          <t>DALARNAS LÄN</t>
        </is>
      </c>
      <c r="E16" t="inlineStr">
        <is>
          <t>ORSA</t>
        </is>
      </c>
      <c r="G16" t="n">
        <v>2.5</v>
      </c>
      <c r="H16" t="n">
        <v>1</v>
      </c>
      <c r="I16" t="n">
        <v>1</v>
      </c>
      <c r="J16" t="n">
        <v>8</v>
      </c>
      <c r="K16" t="n">
        <v>4</v>
      </c>
      <c r="L16" t="n">
        <v>0</v>
      </c>
      <c r="M16" t="n">
        <v>0</v>
      </c>
      <c r="N16" t="n">
        <v>0</v>
      </c>
      <c r="O16" t="n">
        <v>12</v>
      </c>
      <c r="P16" t="n">
        <v>4</v>
      </c>
      <c r="Q16" t="n">
        <v>14</v>
      </c>
      <c r="R16" s="2" t="inlineStr">
        <is>
          <t>Garnlav
Rotfingersvamp
Skrovlig taggsvamp
Tallgråticka
Backstarr
Dropptaggsvamp
Mjölsvärting
Motaggsvamp
Orange taggsvamp
Tallfingersvamp
Talltaggsvamp
Vedskivlav
Mindre märgborre
Spillkråka</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v>
      </c>
      <c r="C17" s="1" t="n">
        <v>46191</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46191</v>
      </c>
      <c r="D18" t="inlineStr">
        <is>
          <t>DALARNAS LÄN</t>
        </is>
      </c>
      <c r="E18" t="inlineStr">
        <is>
          <t>ORSA</t>
        </is>
      </c>
      <c r="G18" t="n">
        <v>16</v>
      </c>
      <c r="H18" t="n">
        <v>5</v>
      </c>
      <c r="I18" t="n">
        <v>2</v>
      </c>
      <c r="J18" t="n">
        <v>9</v>
      </c>
      <c r="K18" t="n">
        <v>1</v>
      </c>
      <c r="L18" t="n">
        <v>0</v>
      </c>
      <c r="M18" t="n">
        <v>0</v>
      </c>
      <c r="N18" t="n">
        <v>0</v>
      </c>
      <c r="O18" t="n">
        <v>10</v>
      </c>
      <c r="P18" t="n">
        <v>1</v>
      </c>
      <c r="Q18" t="n">
        <v>14</v>
      </c>
      <c r="R18" s="2" t="inlineStr">
        <is>
          <t>Garnlav
Järnsparv
Kolflarnlav
Lunglav
Mörk kolflarnlav
Tallticka
Talltita
Tretåig hackspett
Vedskivlav
Violettgrå tagellav
Mindre märgborre
Nästlav
Spillkråka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38047-2025</t>
        </is>
      </c>
      <c r="B19" s="1" t="n">
        <v>45882</v>
      </c>
      <c r="C19" s="1" t="n">
        <v>46191</v>
      </c>
      <c r="D19" t="inlineStr">
        <is>
          <t>DALARNAS LÄN</t>
        </is>
      </c>
      <c r="E19" t="inlineStr">
        <is>
          <t>ORSA</t>
        </is>
      </c>
      <c r="G19" t="n">
        <v>6.9</v>
      </c>
      <c r="H19" t="n">
        <v>6</v>
      </c>
      <c r="I19" t="n">
        <v>3</v>
      </c>
      <c r="J19" t="n">
        <v>8</v>
      </c>
      <c r="K19" t="n">
        <v>1</v>
      </c>
      <c r="L19" t="n">
        <v>0</v>
      </c>
      <c r="M19" t="n">
        <v>0</v>
      </c>
      <c r="N19" t="n">
        <v>0</v>
      </c>
      <c r="O19" t="n">
        <v>9</v>
      </c>
      <c r="P19" t="n">
        <v>1</v>
      </c>
      <c r="Q19" t="n">
        <v>14</v>
      </c>
      <c r="R19" s="2" t="inlineStr">
        <is>
          <t>Garnlav
Bivråk
Björktrast
Dropptaggsvamp
Mörk kolflarnlav
Talltita
Tretåig hackspett
Vedflamlav
Violettgrå tagellav
Bronshjon
Mindre märgborre
Vedticka
Spillkråka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62816-2025</t>
        </is>
      </c>
      <c r="B20" s="1" t="n">
        <v>46008</v>
      </c>
      <c r="C20" s="1" t="n">
        <v>46191</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46191</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46191</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46191</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53634-2021</t>
        </is>
      </c>
      <c r="B24" s="1" t="n">
        <v>44469</v>
      </c>
      <c r="C24" s="1" t="n">
        <v>46191</v>
      </c>
      <c r="D24" t="inlineStr">
        <is>
          <t>DALARNAS LÄN</t>
        </is>
      </c>
      <c r="E24" t="inlineStr">
        <is>
          <t>ORSA</t>
        </is>
      </c>
      <c r="G24" t="n">
        <v>1.9</v>
      </c>
      <c r="H24" t="n">
        <v>1</v>
      </c>
      <c r="I24" t="n">
        <v>1</v>
      </c>
      <c r="J24" t="n">
        <v>6</v>
      </c>
      <c r="K24" t="n">
        <v>2</v>
      </c>
      <c r="L24" t="n">
        <v>0</v>
      </c>
      <c r="M24" t="n">
        <v>0</v>
      </c>
      <c r="N24" t="n">
        <v>0</v>
      </c>
      <c r="O24" t="n">
        <v>8</v>
      </c>
      <c r="P24" t="n">
        <v>2</v>
      </c>
      <c r="Q24" t="n">
        <v>9</v>
      </c>
      <c r="R24" s="2" t="inlineStr">
        <is>
          <t>Garnlav
Knärot
Dropptaggsvamp
Dvärgbägarlav
Lunglav
Tallticka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21476-2026</t>
        </is>
      </c>
      <c r="B25" s="1" t="n">
        <v>46148</v>
      </c>
      <c r="C25" s="1" t="n">
        <v>46191</v>
      </c>
      <c r="D25" t="inlineStr">
        <is>
          <t>DALARNAS LÄN</t>
        </is>
      </c>
      <c r="E25" t="inlineStr">
        <is>
          <t>ORSA</t>
        </is>
      </c>
      <c r="G25" t="n">
        <v>12.4</v>
      </c>
      <c r="H25" t="n">
        <v>6</v>
      </c>
      <c r="I25" t="n">
        <v>3</v>
      </c>
      <c r="J25" t="n">
        <v>1</v>
      </c>
      <c r="K25" t="n">
        <v>0</v>
      </c>
      <c r="L25" t="n">
        <v>0</v>
      </c>
      <c r="M25" t="n">
        <v>0</v>
      </c>
      <c r="N25" t="n">
        <v>0</v>
      </c>
      <c r="O25" t="n">
        <v>1</v>
      </c>
      <c r="P25" t="n">
        <v>0</v>
      </c>
      <c r="Q25" t="n">
        <v>9</v>
      </c>
      <c r="R25" s="2" t="inlineStr">
        <is>
          <t>Talltita
Källmossa
Mörk husmossa
Ögonpyrola
Mattlummer
Spillkråka
Kungsfågel
Fläcknycklar
Revlummer</t>
        </is>
      </c>
      <c r="S25">
        <f>HYPERLINK("https://klasma.github.io/Logging_2034/artfynd/A 21476-2026 artfynd.xlsx", "A 21476-2026")</f>
        <v/>
      </c>
      <c r="T25">
        <f>HYPERLINK("https://klasma.github.io/Logging_2034/kartor/A 21476-2026 karta.png", "A 21476-2026")</f>
        <v/>
      </c>
      <c r="V25">
        <f>HYPERLINK("https://klasma.github.io/Logging_2034/klagomål/A 21476-2026 FSC-klagomål.docx", "A 21476-2026")</f>
        <v/>
      </c>
      <c r="W25">
        <f>HYPERLINK("https://klasma.github.io/Logging_2034/klagomålsmail/A 21476-2026 FSC-klagomål mail.docx", "A 21476-2026")</f>
        <v/>
      </c>
      <c r="X25">
        <f>HYPERLINK("https://klasma.github.io/Logging_2034/tillsyn/A 21476-2026 tillsynsbegäran.docx", "A 21476-2026")</f>
        <v/>
      </c>
      <c r="Y25">
        <f>HYPERLINK("https://klasma.github.io/Logging_2034/tillsynsmail/A 21476-2026 tillsynsbegäran mail.docx", "A 21476-2026")</f>
        <v/>
      </c>
      <c r="Z25">
        <f>HYPERLINK("https://klasma.github.io/Logging_2034/fåglar/A 21476-2026 prioriterade fågelarter.docx", "A 21476-2026")</f>
        <v/>
      </c>
    </row>
    <row r="26" ht="15" customHeight="1">
      <c r="A26" t="inlineStr">
        <is>
          <t>A 39682-2025</t>
        </is>
      </c>
      <c r="B26" s="1" t="n">
        <v>45890</v>
      </c>
      <c r="C26" s="1" t="n">
        <v>46191</v>
      </c>
      <c r="D26" t="inlineStr">
        <is>
          <t>DALARNAS LÄN</t>
        </is>
      </c>
      <c r="E26" t="inlineStr">
        <is>
          <t>ORSA</t>
        </is>
      </c>
      <c r="G26" t="n">
        <v>6.6</v>
      </c>
      <c r="H26" t="n">
        <v>2</v>
      </c>
      <c r="I26" t="n">
        <v>2</v>
      </c>
      <c r="J26" t="n">
        <v>4</v>
      </c>
      <c r="K26" t="n">
        <v>1</v>
      </c>
      <c r="L26" t="n">
        <v>0</v>
      </c>
      <c r="M26" t="n">
        <v>0</v>
      </c>
      <c r="N26" t="n">
        <v>0</v>
      </c>
      <c r="O26" t="n">
        <v>5</v>
      </c>
      <c r="P26" t="n">
        <v>1</v>
      </c>
      <c r="Q26" t="n">
        <v>8</v>
      </c>
      <c r="R26" s="2" t="inlineStr">
        <is>
          <t>Garnlav
Dropptaggsvamp
Tretåig hackspett
Vaddporing
Vedskivlav
Jättesvampmal
Mindre märgborre
Spillkråka</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46191</v>
      </c>
      <c r="D27" t="inlineStr">
        <is>
          <t>DALARNAS LÄN</t>
        </is>
      </c>
      <c r="E27" t="inlineStr">
        <is>
          <t>ORSA</t>
        </is>
      </c>
      <c r="G27" t="n">
        <v>10.4</v>
      </c>
      <c r="H27" t="n">
        <v>3</v>
      </c>
      <c r="I27" t="n">
        <v>1</v>
      </c>
      <c r="J27" t="n">
        <v>4</v>
      </c>
      <c r="K27" t="n">
        <v>1</v>
      </c>
      <c r="L27" t="n">
        <v>0</v>
      </c>
      <c r="M27" t="n">
        <v>0</v>
      </c>
      <c r="N27" t="n">
        <v>0</v>
      </c>
      <c r="O27" t="n">
        <v>5</v>
      </c>
      <c r="P27" t="n">
        <v>1</v>
      </c>
      <c r="Q27" t="n">
        <v>8</v>
      </c>
      <c r="R27" s="2" t="inlineStr">
        <is>
          <t>Garnlav
Blanksvart spiklav
Mörk kolflarnlav
Tallticka
Tretåig hackspett
Mindre märgborre
Spillkråka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22647-2022</t>
        </is>
      </c>
      <c r="B28" s="1" t="n">
        <v>44714</v>
      </c>
      <c r="C28" s="1" t="n">
        <v>46191</v>
      </c>
      <c r="D28" t="inlineStr">
        <is>
          <t>DALARNAS LÄN</t>
        </is>
      </c>
      <c r="E28" t="inlineStr">
        <is>
          <t>ORSA</t>
        </is>
      </c>
      <c r="F28" t="inlineStr">
        <is>
          <t>Allmännings- och besparingsskogar</t>
        </is>
      </c>
      <c r="G28" t="n">
        <v>2.7</v>
      </c>
      <c r="H28" t="n">
        <v>2</v>
      </c>
      <c r="I28" t="n">
        <v>1</v>
      </c>
      <c r="J28" t="n">
        <v>4</v>
      </c>
      <c r="K28" t="n">
        <v>1</v>
      </c>
      <c r="L28" t="n">
        <v>0</v>
      </c>
      <c r="M28" t="n">
        <v>0</v>
      </c>
      <c r="N28" t="n">
        <v>0</v>
      </c>
      <c r="O28" t="n">
        <v>5</v>
      </c>
      <c r="P28" t="n">
        <v>1</v>
      </c>
      <c r="Q28" t="n">
        <v>7</v>
      </c>
      <c r="R28" s="2" t="inlineStr">
        <is>
          <t>Knärot
Dropptaggsvamp
Dvärgbägarlav
Kolflarnlav
Vedskivlav
Vedticka
Svartvit flugsnappare</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c r="Z28">
        <f>HYPERLINK("https://klasma.github.io/Logging_2034/fåglar/A 22647-2022 prioriterade fågelarter.docx", "A 22647-2022")</f>
        <v/>
      </c>
    </row>
    <row r="29" ht="15" customHeight="1">
      <c r="A29" t="inlineStr">
        <is>
          <t>A 8107-2024</t>
        </is>
      </c>
      <c r="B29" s="1" t="n">
        <v>45351</v>
      </c>
      <c r="C29" s="1" t="n">
        <v>46191</v>
      </c>
      <c r="D29" t="inlineStr">
        <is>
          <t>DALARNAS LÄN</t>
        </is>
      </c>
      <c r="E29" t="inlineStr">
        <is>
          <t>ORSA</t>
        </is>
      </c>
      <c r="G29" t="n">
        <v>13.6</v>
      </c>
      <c r="H29" t="n">
        <v>2</v>
      </c>
      <c r="I29" t="n">
        <v>1</v>
      </c>
      <c r="J29" t="n">
        <v>4</v>
      </c>
      <c r="K29" t="n">
        <v>1</v>
      </c>
      <c r="L29" t="n">
        <v>0</v>
      </c>
      <c r="M29" t="n">
        <v>0</v>
      </c>
      <c r="N29" t="n">
        <v>0</v>
      </c>
      <c r="O29" t="n">
        <v>5</v>
      </c>
      <c r="P29" t="n">
        <v>1</v>
      </c>
      <c r="Q29" t="n">
        <v>7</v>
      </c>
      <c r="R29" s="2" t="inlineStr">
        <is>
          <t>Garnlav
Grönhjon
Lunglav
Mörk kolflarnlav
Tretåig hackspett
Björksplintborre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21919-2026</t>
        </is>
      </c>
      <c r="B30" s="1" t="n">
        <v>46150</v>
      </c>
      <c r="C30" s="1" t="n">
        <v>46191</v>
      </c>
      <c r="D30" t="inlineStr">
        <is>
          <t>DALARNAS LÄN</t>
        </is>
      </c>
      <c r="E30" t="inlineStr">
        <is>
          <t>ORSA</t>
        </is>
      </c>
      <c r="F30" t="inlineStr">
        <is>
          <t>Bergvik skog öst AB</t>
        </is>
      </c>
      <c r="G30" t="n">
        <v>12.4</v>
      </c>
      <c r="H30" t="n">
        <v>1</v>
      </c>
      <c r="I30" t="n">
        <v>1</v>
      </c>
      <c r="J30" t="n">
        <v>5</v>
      </c>
      <c r="K30" t="n">
        <v>1</v>
      </c>
      <c r="L30" t="n">
        <v>0</v>
      </c>
      <c r="M30" t="n">
        <v>0</v>
      </c>
      <c r="N30" t="n">
        <v>0</v>
      </c>
      <c r="O30" t="n">
        <v>6</v>
      </c>
      <c r="P30" t="n">
        <v>1</v>
      </c>
      <c r="Q30" t="n">
        <v>7</v>
      </c>
      <c r="R30" s="2" t="inlineStr">
        <is>
          <t>Garnlav
Blågrå svartspik
Kolflarnlav
Mörk kolflarnlav
Tretåig hackspett
Vedskivlav
Bronshjon</t>
        </is>
      </c>
      <c r="S30">
        <f>HYPERLINK("https://klasma.github.io/Logging_2034/artfynd/A 21919-2026 artfynd.xlsx", "A 21919-2026")</f>
        <v/>
      </c>
      <c r="T30">
        <f>HYPERLINK("https://klasma.github.io/Logging_2034/kartor/A 21919-2026 karta.png", "A 21919-2026")</f>
        <v/>
      </c>
      <c r="V30">
        <f>HYPERLINK("https://klasma.github.io/Logging_2034/klagomål/A 21919-2026 FSC-klagomål.docx", "A 21919-2026")</f>
        <v/>
      </c>
      <c r="W30">
        <f>HYPERLINK("https://klasma.github.io/Logging_2034/klagomålsmail/A 21919-2026 FSC-klagomål mail.docx", "A 21919-2026")</f>
        <v/>
      </c>
      <c r="X30">
        <f>HYPERLINK("https://klasma.github.io/Logging_2034/tillsyn/A 21919-2026 tillsynsbegäran.docx", "A 21919-2026")</f>
        <v/>
      </c>
      <c r="Y30">
        <f>HYPERLINK("https://klasma.github.io/Logging_2034/tillsynsmail/A 21919-2026 tillsynsbegäran mail.docx", "A 21919-2026")</f>
        <v/>
      </c>
      <c r="Z30">
        <f>HYPERLINK("https://klasma.github.io/Logging_2034/fåglar/A 21919-2026 prioriterade fågelarter.docx", "A 21919-2026")</f>
        <v/>
      </c>
    </row>
    <row r="31" ht="15" customHeight="1">
      <c r="A31" t="inlineStr">
        <is>
          <t>A 62761-2025</t>
        </is>
      </c>
      <c r="B31" s="1" t="n">
        <v>46008</v>
      </c>
      <c r="C31" s="1" t="n">
        <v>46191</v>
      </c>
      <c r="D31" t="inlineStr">
        <is>
          <t>DALARNAS LÄN</t>
        </is>
      </c>
      <c r="E31" t="inlineStr">
        <is>
          <t>ORSA</t>
        </is>
      </c>
      <c r="G31" t="n">
        <v>1.1</v>
      </c>
      <c r="H31" t="n">
        <v>1</v>
      </c>
      <c r="I31" t="n">
        <v>4</v>
      </c>
      <c r="J31" t="n">
        <v>1</v>
      </c>
      <c r="K31" t="n">
        <v>2</v>
      </c>
      <c r="L31" t="n">
        <v>0</v>
      </c>
      <c r="M31" t="n">
        <v>0</v>
      </c>
      <c r="N31" t="n">
        <v>0</v>
      </c>
      <c r="O31" t="n">
        <v>3</v>
      </c>
      <c r="P31" t="n">
        <v>2</v>
      </c>
      <c r="Q31" t="n">
        <v>7</v>
      </c>
      <c r="R31" s="2" t="inlineStr">
        <is>
          <t>Garnlav
Ringlav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707-2024</t>
        </is>
      </c>
      <c r="B32" s="1" t="n">
        <v>45300</v>
      </c>
      <c r="C32" s="1" t="n">
        <v>46191</v>
      </c>
      <c r="D32" t="inlineStr">
        <is>
          <t>DALARNAS LÄN</t>
        </is>
      </c>
      <c r="E32" t="inlineStr">
        <is>
          <t>ORSA</t>
        </is>
      </c>
      <c r="G32" t="n">
        <v>9.4</v>
      </c>
      <c r="H32" t="n">
        <v>2</v>
      </c>
      <c r="I32" t="n">
        <v>0</v>
      </c>
      <c r="J32" t="n">
        <v>5</v>
      </c>
      <c r="K32" t="n">
        <v>1</v>
      </c>
      <c r="L32" t="n">
        <v>0</v>
      </c>
      <c r="M32" t="n">
        <v>0</v>
      </c>
      <c r="N32" t="n">
        <v>0</v>
      </c>
      <c r="O32" t="n">
        <v>6</v>
      </c>
      <c r="P32" t="n">
        <v>1</v>
      </c>
      <c r="Q32" t="n">
        <v>7</v>
      </c>
      <c r="R32" s="2" t="inlineStr">
        <is>
          <t>Garnlav
Doftskinn
Knottrig blåslav
Talltagel
Tretåig hackspett
Violettgrå tagellav
Svartvit flugsnappare</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21799-2026</t>
        </is>
      </c>
      <c r="B33" s="1" t="n">
        <v>46150</v>
      </c>
      <c r="C33" s="1" t="n">
        <v>46191</v>
      </c>
      <c r="D33" t="inlineStr">
        <is>
          <t>DALARNAS LÄN</t>
        </is>
      </c>
      <c r="E33" t="inlineStr">
        <is>
          <t>ORSA</t>
        </is>
      </c>
      <c r="G33" t="n">
        <v>3.3</v>
      </c>
      <c r="H33" t="n">
        <v>2</v>
      </c>
      <c r="I33" t="n">
        <v>3</v>
      </c>
      <c r="J33" t="n">
        <v>1</v>
      </c>
      <c r="K33" t="n">
        <v>1</v>
      </c>
      <c r="L33" t="n">
        <v>0</v>
      </c>
      <c r="M33" t="n">
        <v>0</v>
      </c>
      <c r="N33" t="n">
        <v>0</v>
      </c>
      <c r="O33" t="n">
        <v>2</v>
      </c>
      <c r="P33" t="n">
        <v>1</v>
      </c>
      <c r="Q33" t="n">
        <v>6</v>
      </c>
      <c r="R33" s="2" t="inlineStr">
        <is>
          <t>Garnlav
Tretåig hackspett
Bronshjon
Vanlig flatbagge
Vedticka
Tjäder</t>
        </is>
      </c>
      <c r="S33">
        <f>HYPERLINK("https://klasma.github.io/Logging_2034/artfynd/A 21799-2026 artfynd.xlsx", "A 21799-2026")</f>
        <v/>
      </c>
      <c r="T33">
        <f>HYPERLINK("https://klasma.github.io/Logging_2034/kartor/A 21799-2026 karta.png", "A 21799-2026")</f>
        <v/>
      </c>
      <c r="V33">
        <f>HYPERLINK("https://klasma.github.io/Logging_2034/klagomål/A 21799-2026 FSC-klagomål.docx", "A 21799-2026")</f>
        <v/>
      </c>
      <c r="W33">
        <f>HYPERLINK("https://klasma.github.io/Logging_2034/klagomålsmail/A 21799-2026 FSC-klagomål mail.docx", "A 21799-2026")</f>
        <v/>
      </c>
      <c r="X33">
        <f>HYPERLINK("https://klasma.github.io/Logging_2034/tillsyn/A 21799-2026 tillsynsbegäran.docx", "A 21799-2026")</f>
        <v/>
      </c>
      <c r="Y33">
        <f>HYPERLINK("https://klasma.github.io/Logging_2034/tillsynsmail/A 21799-2026 tillsynsbegäran mail.docx", "A 21799-2026")</f>
        <v/>
      </c>
      <c r="Z33">
        <f>HYPERLINK("https://klasma.github.io/Logging_2034/fåglar/A 21799-2026 prioriterade fågelarter.docx", "A 21799-2026")</f>
        <v/>
      </c>
    </row>
    <row r="34" ht="15" customHeight="1">
      <c r="A34" t="inlineStr">
        <is>
          <t>A 62748-2025</t>
        </is>
      </c>
      <c r="B34" s="1" t="n">
        <v>46008</v>
      </c>
      <c r="C34" s="1" t="n">
        <v>46191</v>
      </c>
      <c r="D34" t="inlineStr">
        <is>
          <t>DALARNAS LÄN</t>
        </is>
      </c>
      <c r="E34" t="inlineStr">
        <is>
          <t>ORSA</t>
        </is>
      </c>
      <c r="G34" t="n">
        <v>10.8</v>
      </c>
      <c r="H34" t="n">
        <v>1</v>
      </c>
      <c r="I34" t="n">
        <v>2</v>
      </c>
      <c r="J34" t="n">
        <v>3</v>
      </c>
      <c r="K34" t="n">
        <v>1</v>
      </c>
      <c r="L34" t="n">
        <v>0</v>
      </c>
      <c r="M34" t="n">
        <v>0</v>
      </c>
      <c r="N34" t="n">
        <v>0</v>
      </c>
      <c r="O34" t="n">
        <v>4</v>
      </c>
      <c r="P34" t="n">
        <v>1</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v>
      </c>
      <c r="C35" s="1" t="n">
        <v>46191</v>
      </c>
      <c r="D35" t="inlineStr">
        <is>
          <t>DALARNAS LÄN</t>
        </is>
      </c>
      <c r="E35" t="inlineStr">
        <is>
          <t>ORSA</t>
        </is>
      </c>
      <c r="G35" t="n">
        <v>2.3</v>
      </c>
      <c r="H35" t="n">
        <v>4</v>
      </c>
      <c r="I35" t="n">
        <v>1</v>
      </c>
      <c r="J35" t="n">
        <v>1</v>
      </c>
      <c r="K35" t="n">
        <v>0</v>
      </c>
      <c r="L35" t="n">
        <v>0</v>
      </c>
      <c r="M35" t="n">
        <v>0</v>
      </c>
      <c r="N35" t="n">
        <v>0</v>
      </c>
      <c r="O35" t="n">
        <v>1</v>
      </c>
      <c r="P35" t="n">
        <v>0</v>
      </c>
      <c r="Q35" t="n">
        <v>6</v>
      </c>
      <c r="R35" s="2" t="inlineStr">
        <is>
          <t>Blå taggsvamp
Mindre märgborre
Spillkråka
Grönsiska
Svartvit flugsnappare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22172-2025</t>
        </is>
      </c>
      <c r="B36" s="1" t="n">
        <v>45785</v>
      </c>
      <c r="C36" s="1" t="n">
        <v>46191</v>
      </c>
      <c r="D36" t="inlineStr">
        <is>
          <t>DALARNAS LÄN</t>
        </is>
      </c>
      <c r="E36" t="inlineStr">
        <is>
          <t>ORSA</t>
        </is>
      </c>
      <c r="F36" t="inlineStr">
        <is>
          <t>Bergvik skog öst AB</t>
        </is>
      </c>
      <c r="G36" t="n">
        <v>3.8</v>
      </c>
      <c r="H36" t="n">
        <v>4</v>
      </c>
      <c r="I36" t="n">
        <v>0</v>
      </c>
      <c r="J36" t="n">
        <v>3</v>
      </c>
      <c r="K36" t="n">
        <v>1</v>
      </c>
      <c r="L36" t="n">
        <v>0</v>
      </c>
      <c r="M36" t="n">
        <v>0</v>
      </c>
      <c r="N36" t="n">
        <v>0</v>
      </c>
      <c r="O36" t="n">
        <v>4</v>
      </c>
      <c r="P36" t="n">
        <v>1</v>
      </c>
      <c r="Q36" t="n">
        <v>6</v>
      </c>
      <c r="R36" s="2" t="inlineStr">
        <is>
          <t>Garnlav
Lavskrika
Tallfingersvamp
Tretåig hackspett
Spillkråka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33841-2023</t>
        </is>
      </c>
      <c r="B37" s="1" t="n">
        <v>45133</v>
      </c>
      <c r="C37" s="1" t="n">
        <v>46191</v>
      </c>
      <c r="D37" t="inlineStr">
        <is>
          <t>DALARNAS LÄN</t>
        </is>
      </c>
      <c r="E37" t="inlineStr">
        <is>
          <t>ORSA</t>
        </is>
      </c>
      <c r="G37" t="n">
        <v>3.8</v>
      </c>
      <c r="H37" t="n">
        <v>1</v>
      </c>
      <c r="I37" t="n">
        <v>2</v>
      </c>
      <c r="J37" t="n">
        <v>1</v>
      </c>
      <c r="K37" t="n">
        <v>1</v>
      </c>
      <c r="L37" t="n">
        <v>0</v>
      </c>
      <c r="M37" t="n">
        <v>0</v>
      </c>
      <c r="N37" t="n">
        <v>0</v>
      </c>
      <c r="O37" t="n">
        <v>2</v>
      </c>
      <c r="P37" t="n">
        <v>1</v>
      </c>
      <c r="Q37" t="n">
        <v>5</v>
      </c>
      <c r="R37" s="2" t="inlineStr">
        <is>
          <t>Garnlav
Kolflarnlav
Mindre märgborre
Nästlav
Spillkråka</t>
        </is>
      </c>
      <c r="S37">
        <f>HYPERLINK("https://klasma.github.io/Logging_2034/artfynd/A 33841-2023 artfynd.xlsx", "A 33841-2023")</f>
        <v/>
      </c>
      <c r="T37">
        <f>HYPERLINK("https://klasma.github.io/Logging_2034/kartor/A 33841-2023 karta.png", "A 33841-2023")</f>
        <v/>
      </c>
      <c r="V37">
        <f>HYPERLINK("https://klasma.github.io/Logging_2034/klagomål/A 33841-2023 FSC-klagomål.docx", "A 33841-2023")</f>
        <v/>
      </c>
      <c r="W37">
        <f>HYPERLINK("https://klasma.github.io/Logging_2034/klagomålsmail/A 33841-2023 FSC-klagomål mail.docx", "A 33841-2023")</f>
        <v/>
      </c>
      <c r="X37">
        <f>HYPERLINK("https://klasma.github.io/Logging_2034/tillsyn/A 33841-2023 tillsynsbegäran.docx", "A 33841-2023")</f>
        <v/>
      </c>
      <c r="Y37">
        <f>HYPERLINK("https://klasma.github.io/Logging_2034/tillsynsmail/A 33841-2023 tillsynsbegäran mail.docx", "A 33841-2023")</f>
        <v/>
      </c>
      <c r="Z37">
        <f>HYPERLINK("https://klasma.github.io/Logging_2034/fåglar/A 33841-2023 prioriterade fågelarter.docx", "A 33841-2023")</f>
        <v/>
      </c>
    </row>
    <row r="38" ht="15" customHeight="1">
      <c r="A38" t="inlineStr">
        <is>
          <t>A 7619-2025</t>
        </is>
      </c>
      <c r="B38" s="1" t="n">
        <v>45705</v>
      </c>
      <c r="C38" s="1" t="n">
        <v>46191</v>
      </c>
      <c r="D38" t="inlineStr">
        <is>
          <t>DALARNAS LÄN</t>
        </is>
      </c>
      <c r="E38" t="inlineStr">
        <is>
          <t>ORSA</t>
        </is>
      </c>
      <c r="G38" t="n">
        <v>5.4</v>
      </c>
      <c r="H38" t="n">
        <v>3</v>
      </c>
      <c r="I38" t="n">
        <v>0</v>
      </c>
      <c r="J38" t="n">
        <v>2</v>
      </c>
      <c r="K38" t="n">
        <v>2</v>
      </c>
      <c r="L38" t="n">
        <v>0</v>
      </c>
      <c r="M38" t="n">
        <v>0</v>
      </c>
      <c r="N38" t="n">
        <v>0</v>
      </c>
      <c r="O38" t="n">
        <v>4</v>
      </c>
      <c r="P38" t="n">
        <v>2</v>
      </c>
      <c r="Q38" t="n">
        <v>5</v>
      </c>
      <c r="R38" s="2" t="inlineStr">
        <is>
          <t>Garnlav
Knärot
Skogshare
Tretåig hackspett
Spillkråka</t>
        </is>
      </c>
      <c r="S38">
        <f>HYPERLINK("https://klasma.github.io/Logging_2034/artfynd/A 7619-2025 artfynd.xlsx", "A 7619-2025")</f>
        <v/>
      </c>
      <c r="T38">
        <f>HYPERLINK("https://klasma.github.io/Logging_2034/kartor/A 7619-2025 karta.png", "A 7619-2025")</f>
        <v/>
      </c>
      <c r="U38">
        <f>HYPERLINK("https://klasma.github.io/Logging_2034/knärot/A 7619-2025 karta knärot.png", "A 7619-2025")</f>
        <v/>
      </c>
      <c r="V38">
        <f>HYPERLINK("https://klasma.github.io/Logging_2034/klagomål/A 7619-2025 FSC-klagomål.docx", "A 7619-2025")</f>
        <v/>
      </c>
      <c r="W38">
        <f>HYPERLINK("https://klasma.github.io/Logging_2034/klagomålsmail/A 7619-2025 FSC-klagomål mail.docx", "A 7619-2025")</f>
        <v/>
      </c>
      <c r="X38">
        <f>HYPERLINK("https://klasma.github.io/Logging_2034/tillsyn/A 7619-2025 tillsynsbegäran.docx", "A 7619-2025")</f>
        <v/>
      </c>
      <c r="Y38">
        <f>HYPERLINK("https://klasma.github.io/Logging_2034/tillsynsmail/A 7619-2025 tillsynsbegäran mail.docx", "A 7619-2025")</f>
        <v/>
      </c>
      <c r="Z38">
        <f>HYPERLINK("https://klasma.github.io/Logging_2034/fåglar/A 7619-2025 prioriterade fågelarter.docx", "A 7619-2025")</f>
        <v/>
      </c>
    </row>
    <row r="39" ht="15" customHeight="1">
      <c r="A39" t="inlineStr">
        <is>
          <t>A 883-2026</t>
        </is>
      </c>
      <c r="B39" s="1" t="n">
        <v>46030</v>
      </c>
      <c r="C39" s="1" t="n">
        <v>46191</v>
      </c>
      <c r="D39" t="inlineStr">
        <is>
          <t>DALARNAS LÄN</t>
        </is>
      </c>
      <c r="E39" t="inlineStr">
        <is>
          <t>ORSA</t>
        </is>
      </c>
      <c r="G39" t="n">
        <v>2.8</v>
      </c>
      <c r="H39" t="n">
        <v>0</v>
      </c>
      <c r="I39" t="n">
        <v>0</v>
      </c>
      <c r="J39" t="n">
        <v>4</v>
      </c>
      <c r="K39" t="n">
        <v>1</v>
      </c>
      <c r="L39" t="n">
        <v>0</v>
      </c>
      <c r="M39" t="n">
        <v>0</v>
      </c>
      <c r="N39" t="n">
        <v>0</v>
      </c>
      <c r="O39" t="n">
        <v>5</v>
      </c>
      <c r="P39" t="n">
        <v>1</v>
      </c>
      <c r="Q39" t="n">
        <v>5</v>
      </c>
      <c r="R39" s="2" t="inlineStr">
        <is>
          <t>Garnlav
Rosenticka
Rynkskinn
Ullticka
Vedtrappmossa</t>
        </is>
      </c>
      <c r="S39">
        <f>HYPERLINK("https://klasma.github.io/Logging_2034/artfynd/A 883-2026 artfynd.xlsx", "A 883-2026")</f>
        <v/>
      </c>
      <c r="T39">
        <f>HYPERLINK("https://klasma.github.io/Logging_2034/kartor/A 883-2026 karta.png", "A 883-2026")</f>
        <v/>
      </c>
      <c r="V39">
        <f>HYPERLINK("https://klasma.github.io/Logging_2034/klagomål/A 883-2026 FSC-klagomål.docx", "A 883-2026")</f>
        <v/>
      </c>
      <c r="W39">
        <f>HYPERLINK("https://klasma.github.io/Logging_2034/klagomålsmail/A 883-2026 FSC-klagomål mail.docx", "A 883-2026")</f>
        <v/>
      </c>
      <c r="X39">
        <f>HYPERLINK("https://klasma.github.io/Logging_2034/tillsyn/A 883-2026 tillsynsbegäran.docx", "A 883-2026")</f>
        <v/>
      </c>
      <c r="Y39">
        <f>HYPERLINK("https://klasma.github.io/Logging_2034/tillsynsmail/A 883-2026 tillsynsbegäran mail.docx", "A 883-2026")</f>
        <v/>
      </c>
    </row>
    <row r="40" ht="15" customHeight="1">
      <c r="A40" t="inlineStr">
        <is>
          <t>A 33366-2023</t>
        </is>
      </c>
      <c r="B40" s="1" t="n">
        <v>45128</v>
      </c>
      <c r="C40" s="1" t="n">
        <v>46191</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51289-2023</t>
        </is>
      </c>
      <c r="B41" s="1" t="n">
        <v>45219</v>
      </c>
      <c r="C41" s="1" t="n">
        <v>46191</v>
      </c>
      <c r="D41" t="inlineStr">
        <is>
          <t>DALARNAS LÄN</t>
        </is>
      </c>
      <c r="E41" t="inlineStr">
        <is>
          <t>ORSA</t>
        </is>
      </c>
      <c r="G41" t="n">
        <v>1.5</v>
      </c>
      <c r="H41" t="n">
        <v>1</v>
      </c>
      <c r="I41" t="n">
        <v>1</v>
      </c>
      <c r="J41" t="n">
        <v>2</v>
      </c>
      <c r="K41" t="n">
        <v>1</v>
      </c>
      <c r="L41" t="n">
        <v>0</v>
      </c>
      <c r="M41" t="n">
        <v>0</v>
      </c>
      <c r="N41" t="n">
        <v>0</v>
      </c>
      <c r="O41" t="n">
        <v>3</v>
      </c>
      <c r="P41" t="n">
        <v>1</v>
      </c>
      <c r="Q41" t="n">
        <v>5</v>
      </c>
      <c r="R41" s="2" t="inlineStr">
        <is>
          <t>Garnlav
Talltagel
Tallticka
Mindre märgborre
Spillkråka</t>
        </is>
      </c>
      <c r="S41">
        <f>HYPERLINK("https://klasma.github.io/Logging_2034/artfynd/A 51289-2023 artfynd.xlsx", "A 51289-2023")</f>
        <v/>
      </c>
      <c r="T41">
        <f>HYPERLINK("https://klasma.github.io/Logging_2034/kartor/A 51289-2023 karta.png", "A 51289-2023")</f>
        <v/>
      </c>
      <c r="V41">
        <f>HYPERLINK("https://klasma.github.io/Logging_2034/klagomål/A 51289-2023 FSC-klagomål.docx", "A 51289-2023")</f>
        <v/>
      </c>
      <c r="W41">
        <f>HYPERLINK("https://klasma.github.io/Logging_2034/klagomålsmail/A 51289-2023 FSC-klagomål mail.docx", "A 51289-2023")</f>
        <v/>
      </c>
      <c r="X41">
        <f>HYPERLINK("https://klasma.github.io/Logging_2034/tillsyn/A 51289-2023 tillsynsbegäran.docx", "A 51289-2023")</f>
        <v/>
      </c>
      <c r="Y41">
        <f>HYPERLINK("https://klasma.github.io/Logging_2034/tillsynsmail/A 51289-2023 tillsynsbegäran mail.docx", "A 51289-2023")</f>
        <v/>
      </c>
      <c r="Z41">
        <f>HYPERLINK("https://klasma.github.io/Logging_2034/fåglar/A 51289-2023 prioriterade fågelarter.docx", "A 51289-2023")</f>
        <v/>
      </c>
    </row>
    <row r="42" ht="15" customHeight="1">
      <c r="A42" t="inlineStr">
        <is>
          <t>A 18009-2023</t>
        </is>
      </c>
      <c r="B42" s="1" t="n">
        <v>45040</v>
      </c>
      <c r="C42" s="1" t="n">
        <v>46191</v>
      </c>
      <c r="D42" t="inlineStr">
        <is>
          <t>DALARNAS LÄN</t>
        </is>
      </c>
      <c r="E42" t="inlineStr">
        <is>
          <t>ORSA</t>
        </is>
      </c>
      <c r="G42" t="n">
        <v>5.8</v>
      </c>
      <c r="H42" t="n">
        <v>3</v>
      </c>
      <c r="I42" t="n">
        <v>2</v>
      </c>
      <c r="J42" t="n">
        <v>0</v>
      </c>
      <c r="K42" t="n">
        <v>0</v>
      </c>
      <c r="L42" t="n">
        <v>0</v>
      </c>
      <c r="M42" t="n">
        <v>0</v>
      </c>
      <c r="N42" t="n">
        <v>0</v>
      </c>
      <c r="O42" t="n">
        <v>0</v>
      </c>
      <c r="P42" t="n">
        <v>0</v>
      </c>
      <c r="Q42" t="n">
        <v>4</v>
      </c>
      <c r="R42" s="2" t="inlineStr">
        <is>
          <t>Guckusko
Tibast
Blåsippa
Fläcknycklar</t>
        </is>
      </c>
      <c r="S42">
        <f>HYPERLINK("https://klasma.github.io/Logging_2034/artfynd/A 18009-2023 artfynd.xlsx", "A 18009-2023")</f>
        <v/>
      </c>
      <c r="T42">
        <f>HYPERLINK("https://klasma.github.io/Logging_2034/kartor/A 18009-2023 karta.png", "A 18009-2023")</f>
        <v/>
      </c>
      <c r="V42">
        <f>HYPERLINK("https://klasma.github.io/Logging_2034/klagomål/A 18009-2023 FSC-klagomål.docx", "A 18009-2023")</f>
        <v/>
      </c>
      <c r="W42">
        <f>HYPERLINK("https://klasma.github.io/Logging_2034/klagomålsmail/A 18009-2023 FSC-klagomål mail.docx", "A 18009-2023")</f>
        <v/>
      </c>
      <c r="X42">
        <f>HYPERLINK("https://klasma.github.io/Logging_2034/tillsyn/A 18009-2023 tillsynsbegäran.docx", "A 18009-2023")</f>
        <v/>
      </c>
      <c r="Y42">
        <f>HYPERLINK("https://klasma.github.io/Logging_2034/tillsynsmail/A 18009-2023 tillsynsbegäran mail.docx", "A 18009-2023")</f>
        <v/>
      </c>
    </row>
    <row r="43" ht="15" customHeight="1">
      <c r="A43" t="inlineStr">
        <is>
          <t>A 49516-2025</t>
        </is>
      </c>
      <c r="B43" s="1" t="n">
        <v>45939</v>
      </c>
      <c r="C43" s="1" t="n">
        <v>46191</v>
      </c>
      <c r="D43" t="inlineStr">
        <is>
          <t>DALARNAS LÄN</t>
        </is>
      </c>
      <c r="E43" t="inlineStr">
        <is>
          <t>ORSA</t>
        </is>
      </c>
      <c r="F43" t="inlineStr">
        <is>
          <t>Bergvik skog öst AB</t>
        </is>
      </c>
      <c r="G43" t="n">
        <v>3.9</v>
      </c>
      <c r="H43" t="n">
        <v>2</v>
      </c>
      <c r="I43" t="n">
        <v>1</v>
      </c>
      <c r="J43" t="n">
        <v>1</v>
      </c>
      <c r="K43" t="n">
        <v>1</v>
      </c>
      <c r="L43" t="n">
        <v>0</v>
      </c>
      <c r="M43" t="n">
        <v>0</v>
      </c>
      <c r="N43" t="n">
        <v>0</v>
      </c>
      <c r="O43" t="n">
        <v>2</v>
      </c>
      <c r="P43" t="n">
        <v>1</v>
      </c>
      <c r="Q43" t="n">
        <v>4</v>
      </c>
      <c r="R43" s="2" t="inlineStr">
        <is>
          <t>Garnlav
Tretåig hackspett
Stuplav
Tallbit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35570-2024</t>
        </is>
      </c>
      <c r="B44" s="1" t="n">
        <v>45531</v>
      </c>
      <c r="C44" s="1" t="n">
        <v>46191</v>
      </c>
      <c r="D44" t="inlineStr">
        <is>
          <t>DALARNAS LÄN</t>
        </is>
      </c>
      <c r="E44" t="inlineStr">
        <is>
          <t>ORSA</t>
        </is>
      </c>
      <c r="G44" t="n">
        <v>3.3</v>
      </c>
      <c r="H44" t="n">
        <v>1</v>
      </c>
      <c r="I44" t="n">
        <v>0</v>
      </c>
      <c r="J44" t="n">
        <v>3</v>
      </c>
      <c r="K44" t="n">
        <v>1</v>
      </c>
      <c r="L44" t="n">
        <v>0</v>
      </c>
      <c r="M44" t="n">
        <v>0</v>
      </c>
      <c r="N44" t="n">
        <v>0</v>
      </c>
      <c r="O44" t="n">
        <v>4</v>
      </c>
      <c r="P44" t="n">
        <v>1</v>
      </c>
      <c r="Q44" t="n">
        <v>4</v>
      </c>
      <c r="R44" s="2" t="inlineStr">
        <is>
          <t>Garnlav
Dropptaggsvamp
Tretåig hackspett
Violettgrå tagellav</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62837-2025</t>
        </is>
      </c>
      <c r="B45" s="1" t="n">
        <v>46008</v>
      </c>
      <c r="C45" s="1" t="n">
        <v>46191</v>
      </c>
      <c r="D45" t="inlineStr">
        <is>
          <t>DALARNAS LÄN</t>
        </is>
      </c>
      <c r="E45" t="inlineStr">
        <is>
          <t>ORSA</t>
        </is>
      </c>
      <c r="G45" t="n">
        <v>6.8</v>
      </c>
      <c r="H45" t="n">
        <v>3</v>
      </c>
      <c r="I45" t="n">
        <v>0</v>
      </c>
      <c r="J45" t="n">
        <v>1</v>
      </c>
      <c r="K45" t="n">
        <v>1</v>
      </c>
      <c r="L45" t="n">
        <v>0</v>
      </c>
      <c r="M45" t="n">
        <v>0</v>
      </c>
      <c r="N45" t="n">
        <v>0</v>
      </c>
      <c r="O45" t="n">
        <v>2</v>
      </c>
      <c r="P45" t="n">
        <v>1</v>
      </c>
      <c r="Q45" t="n">
        <v>4</v>
      </c>
      <c r="R45" s="2" t="inlineStr">
        <is>
          <t>Garnlav
Tretåig hackspett
Järpe
Spillkråka</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51070-2025</t>
        </is>
      </c>
      <c r="B46" s="1" t="n">
        <v>45947</v>
      </c>
      <c r="C46" s="1" t="n">
        <v>46191</v>
      </c>
      <c r="D46" t="inlineStr">
        <is>
          <t>DALARNAS LÄN</t>
        </is>
      </c>
      <c r="E46" t="inlineStr">
        <is>
          <t>ORSA</t>
        </is>
      </c>
      <c r="G46" t="n">
        <v>2.8</v>
      </c>
      <c r="H46" t="n">
        <v>2</v>
      </c>
      <c r="I46" t="n">
        <v>0</v>
      </c>
      <c r="J46" t="n">
        <v>2</v>
      </c>
      <c r="K46" t="n">
        <v>1</v>
      </c>
      <c r="L46" t="n">
        <v>0</v>
      </c>
      <c r="M46" t="n">
        <v>0</v>
      </c>
      <c r="N46" t="n">
        <v>0</v>
      </c>
      <c r="O46" t="n">
        <v>3</v>
      </c>
      <c r="P46" t="n">
        <v>1</v>
      </c>
      <c r="Q46" t="n">
        <v>4</v>
      </c>
      <c r="R46" s="2" t="inlineStr">
        <is>
          <t>Garnlav
Lunglav
Tretåig hackspett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48499-2024</t>
        </is>
      </c>
      <c r="B47" s="1" t="n">
        <v>45592</v>
      </c>
      <c r="C47" s="1" t="n">
        <v>46191</v>
      </c>
      <c r="D47" t="inlineStr">
        <is>
          <t>DALARNAS LÄN</t>
        </is>
      </c>
      <c r="E47" t="inlineStr">
        <is>
          <t>ORSA</t>
        </is>
      </c>
      <c r="G47" t="n">
        <v>11.1</v>
      </c>
      <c r="H47" t="n">
        <v>2</v>
      </c>
      <c r="I47" t="n">
        <v>0</v>
      </c>
      <c r="J47" t="n">
        <v>2</v>
      </c>
      <c r="K47" t="n">
        <v>1</v>
      </c>
      <c r="L47" t="n">
        <v>0</v>
      </c>
      <c r="M47" t="n">
        <v>0</v>
      </c>
      <c r="N47" t="n">
        <v>0</v>
      </c>
      <c r="O47" t="n">
        <v>3</v>
      </c>
      <c r="P47" t="n">
        <v>1</v>
      </c>
      <c r="Q47" t="n">
        <v>4</v>
      </c>
      <c r="R47" s="2" t="inlineStr">
        <is>
          <t>Garnlav
Skogshare
Tretåig hackspett
Spillkråka</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21747-2025</t>
        </is>
      </c>
      <c r="B48" s="1" t="n">
        <v>45783</v>
      </c>
      <c r="C48" s="1" t="n">
        <v>46191</v>
      </c>
      <c r="D48" t="inlineStr">
        <is>
          <t>DALARNAS LÄN</t>
        </is>
      </c>
      <c r="E48" t="inlineStr">
        <is>
          <t>ORSA</t>
        </is>
      </c>
      <c r="G48" t="n">
        <v>1.2</v>
      </c>
      <c r="H48" t="n">
        <v>1</v>
      </c>
      <c r="I48" t="n">
        <v>1</v>
      </c>
      <c r="J48" t="n">
        <v>2</v>
      </c>
      <c r="K48" t="n">
        <v>1</v>
      </c>
      <c r="L48" t="n">
        <v>0</v>
      </c>
      <c r="M48" t="n">
        <v>0</v>
      </c>
      <c r="N48" t="n">
        <v>0</v>
      </c>
      <c r="O48" t="n">
        <v>3</v>
      </c>
      <c r="P48" t="n">
        <v>1</v>
      </c>
      <c r="Q48" t="n">
        <v>4</v>
      </c>
      <c r="R48" s="2" t="inlineStr">
        <is>
          <t>Garnlav
Tretåig hackspett
Violettgrå tagellav
Mindre märgborre</t>
        </is>
      </c>
      <c r="S48">
        <f>HYPERLINK("https://klasma.github.io/Logging_2034/artfynd/A 21747-2025 artfynd.xlsx", "A 21747-2025")</f>
        <v/>
      </c>
      <c r="T48">
        <f>HYPERLINK("https://klasma.github.io/Logging_2034/kartor/A 21747-2025 karta.png", "A 21747-2025")</f>
        <v/>
      </c>
      <c r="V48">
        <f>HYPERLINK("https://klasma.github.io/Logging_2034/klagomål/A 21747-2025 FSC-klagomål.docx", "A 21747-2025")</f>
        <v/>
      </c>
      <c r="W48">
        <f>HYPERLINK("https://klasma.github.io/Logging_2034/klagomålsmail/A 21747-2025 FSC-klagomål mail.docx", "A 21747-2025")</f>
        <v/>
      </c>
      <c r="X48">
        <f>HYPERLINK("https://klasma.github.io/Logging_2034/tillsyn/A 21747-2025 tillsynsbegäran.docx", "A 21747-2025")</f>
        <v/>
      </c>
      <c r="Y48">
        <f>HYPERLINK("https://klasma.github.io/Logging_2034/tillsynsmail/A 21747-2025 tillsynsbegäran mail.docx", "A 21747-2025")</f>
        <v/>
      </c>
      <c r="Z48">
        <f>HYPERLINK("https://klasma.github.io/Logging_2034/fåglar/A 21747-2025 prioriterade fågelarter.docx", "A 21747-2025")</f>
        <v/>
      </c>
    </row>
    <row r="49" ht="15" customHeight="1">
      <c r="A49" t="inlineStr">
        <is>
          <t>A 8579-2025</t>
        </is>
      </c>
      <c r="B49" s="1" t="n">
        <v>45709</v>
      </c>
      <c r="C49" s="1" t="n">
        <v>46191</v>
      </c>
      <c r="D49" t="inlineStr">
        <is>
          <t>DALARNAS LÄN</t>
        </is>
      </c>
      <c r="E49" t="inlineStr">
        <is>
          <t>ORSA</t>
        </is>
      </c>
      <c r="G49" t="n">
        <v>1.2</v>
      </c>
      <c r="H49" t="n">
        <v>1</v>
      </c>
      <c r="I49" t="n">
        <v>0</v>
      </c>
      <c r="J49" t="n">
        <v>3</v>
      </c>
      <c r="K49" t="n">
        <v>1</v>
      </c>
      <c r="L49" t="n">
        <v>0</v>
      </c>
      <c r="M49" t="n">
        <v>0</v>
      </c>
      <c r="N49" t="n">
        <v>0</v>
      </c>
      <c r="O49" t="n">
        <v>4</v>
      </c>
      <c r="P49" t="n">
        <v>1</v>
      </c>
      <c r="Q49" t="n">
        <v>4</v>
      </c>
      <c r="R49" s="2" t="inlineStr">
        <is>
          <t>Garnlav
Tretåig hackspett
Ullticka
Violettgrå tagellav</t>
        </is>
      </c>
      <c r="S49">
        <f>HYPERLINK("https://klasma.github.io/Logging_2034/artfynd/A 8579-2025 artfynd.xlsx", "A 8579-2025")</f>
        <v/>
      </c>
      <c r="T49">
        <f>HYPERLINK("https://klasma.github.io/Logging_2034/kartor/A 8579-2025 karta.png", "A 8579-2025")</f>
        <v/>
      </c>
      <c r="V49">
        <f>HYPERLINK("https://klasma.github.io/Logging_2034/klagomål/A 8579-2025 FSC-klagomål.docx", "A 8579-2025")</f>
        <v/>
      </c>
      <c r="W49">
        <f>HYPERLINK("https://klasma.github.io/Logging_2034/klagomålsmail/A 8579-2025 FSC-klagomål mail.docx", "A 8579-2025")</f>
        <v/>
      </c>
      <c r="X49">
        <f>HYPERLINK("https://klasma.github.io/Logging_2034/tillsyn/A 8579-2025 tillsynsbegäran.docx", "A 8579-2025")</f>
        <v/>
      </c>
      <c r="Y49">
        <f>HYPERLINK("https://klasma.github.io/Logging_2034/tillsynsmail/A 8579-2025 tillsynsbegäran mail.docx", "A 8579-2025")</f>
        <v/>
      </c>
      <c r="Z49">
        <f>HYPERLINK("https://klasma.github.io/Logging_2034/fåglar/A 8579-2025 prioriterade fågelarter.docx", "A 8579-2025")</f>
        <v/>
      </c>
    </row>
    <row r="50" ht="15" customHeight="1">
      <c r="A50" t="inlineStr">
        <is>
          <t>A 41553-2025</t>
        </is>
      </c>
      <c r="B50" s="1" t="n">
        <v>45901</v>
      </c>
      <c r="C50" s="1" t="n">
        <v>46191</v>
      </c>
      <c r="D50" t="inlineStr">
        <is>
          <t>DALARNAS LÄN</t>
        </is>
      </c>
      <c r="E50" t="inlineStr">
        <is>
          <t>ORSA</t>
        </is>
      </c>
      <c r="F50" t="inlineStr">
        <is>
          <t>Bergvik skog väst AB</t>
        </is>
      </c>
      <c r="G50" t="n">
        <v>2.2</v>
      </c>
      <c r="H50" t="n">
        <v>0</v>
      </c>
      <c r="I50" t="n">
        <v>1</v>
      </c>
      <c r="J50" t="n">
        <v>1</v>
      </c>
      <c r="K50" t="n">
        <v>1</v>
      </c>
      <c r="L50" t="n">
        <v>0</v>
      </c>
      <c r="M50" t="n">
        <v>0</v>
      </c>
      <c r="N50" t="n">
        <v>0</v>
      </c>
      <c r="O50" t="n">
        <v>2</v>
      </c>
      <c r="P50" t="n">
        <v>1</v>
      </c>
      <c r="Q50" t="n">
        <v>3</v>
      </c>
      <c r="R50" s="2" t="inlineStr">
        <is>
          <t>Honungsticka
Rosenticka
Rävticka</t>
        </is>
      </c>
      <c r="S50">
        <f>HYPERLINK("https://klasma.github.io/Logging_2034/artfynd/A 41553-2025 artfynd.xlsx", "A 41553-2025")</f>
        <v/>
      </c>
      <c r="T50">
        <f>HYPERLINK("https://klasma.github.io/Logging_2034/kartor/A 41553-2025 karta.png", "A 41553-2025")</f>
        <v/>
      </c>
      <c r="V50">
        <f>HYPERLINK("https://klasma.github.io/Logging_2034/klagomål/A 41553-2025 FSC-klagomål.docx", "A 41553-2025")</f>
        <v/>
      </c>
      <c r="W50">
        <f>HYPERLINK("https://klasma.github.io/Logging_2034/klagomålsmail/A 41553-2025 FSC-klagomål mail.docx", "A 41553-2025")</f>
        <v/>
      </c>
      <c r="X50">
        <f>HYPERLINK("https://klasma.github.io/Logging_2034/tillsyn/A 41553-2025 tillsynsbegäran.docx", "A 41553-2025")</f>
        <v/>
      </c>
      <c r="Y50">
        <f>HYPERLINK("https://klasma.github.io/Logging_2034/tillsynsmail/A 41553-2025 tillsynsbegäran mail.docx", "A 41553-2025")</f>
        <v/>
      </c>
    </row>
    <row r="51" ht="15" customHeight="1">
      <c r="A51" t="inlineStr">
        <is>
          <t>A 48985-2025</t>
        </is>
      </c>
      <c r="B51" s="1" t="n">
        <v>45937</v>
      </c>
      <c r="C51" s="1" t="n">
        <v>46191</v>
      </c>
      <c r="D51" t="inlineStr">
        <is>
          <t>DALARNAS LÄN</t>
        </is>
      </c>
      <c r="E51" t="inlineStr">
        <is>
          <t>ORSA</t>
        </is>
      </c>
      <c r="F51" t="inlineStr">
        <is>
          <t>Bergvik skog öst AB</t>
        </is>
      </c>
      <c r="G51" t="n">
        <v>7.1</v>
      </c>
      <c r="H51" t="n">
        <v>1</v>
      </c>
      <c r="I51" t="n">
        <v>1</v>
      </c>
      <c r="J51" t="n">
        <v>2</v>
      </c>
      <c r="K51" t="n">
        <v>0</v>
      </c>
      <c r="L51" t="n">
        <v>0</v>
      </c>
      <c r="M51" t="n">
        <v>0</v>
      </c>
      <c r="N51" t="n">
        <v>0</v>
      </c>
      <c r="O51" t="n">
        <v>2</v>
      </c>
      <c r="P51" t="n">
        <v>0</v>
      </c>
      <c r="Q51" t="n">
        <v>3</v>
      </c>
      <c r="R51" s="2" t="inlineStr">
        <is>
          <t>Skrovellav
Talltita
Norrlandslav</t>
        </is>
      </c>
      <c r="S51">
        <f>HYPERLINK("https://klasma.github.io/Logging_2034/artfynd/A 48985-2025 artfynd.xlsx", "A 48985-2025")</f>
        <v/>
      </c>
      <c r="T51">
        <f>HYPERLINK("https://klasma.github.io/Logging_2034/kartor/A 48985-2025 karta.png", "A 48985-2025")</f>
        <v/>
      </c>
      <c r="V51">
        <f>HYPERLINK("https://klasma.github.io/Logging_2034/klagomål/A 48985-2025 FSC-klagomål.docx", "A 48985-2025")</f>
        <v/>
      </c>
      <c r="W51">
        <f>HYPERLINK("https://klasma.github.io/Logging_2034/klagomålsmail/A 48985-2025 FSC-klagomål mail.docx", "A 48985-2025")</f>
        <v/>
      </c>
      <c r="X51">
        <f>HYPERLINK("https://klasma.github.io/Logging_2034/tillsyn/A 48985-2025 tillsynsbegäran.docx", "A 48985-2025")</f>
        <v/>
      </c>
      <c r="Y51">
        <f>HYPERLINK("https://klasma.github.io/Logging_2034/tillsynsmail/A 48985-2025 tillsynsbegäran mail.docx", "A 48985-2025")</f>
        <v/>
      </c>
      <c r="Z51">
        <f>HYPERLINK("https://klasma.github.io/Logging_2034/fåglar/A 48985-2025 prioriterade fågelarter.docx", "A 48985-2025")</f>
        <v/>
      </c>
    </row>
    <row r="52" ht="15" customHeight="1">
      <c r="A52" t="inlineStr">
        <is>
          <t>A 51303-2023</t>
        </is>
      </c>
      <c r="B52" s="1" t="n">
        <v>45219</v>
      </c>
      <c r="C52" s="1" t="n">
        <v>46191</v>
      </c>
      <c r="D52" t="inlineStr">
        <is>
          <t>DALARNAS LÄN</t>
        </is>
      </c>
      <c r="E52" t="inlineStr">
        <is>
          <t>ORSA</t>
        </is>
      </c>
      <c r="G52" t="n">
        <v>1.8</v>
      </c>
      <c r="H52" t="n">
        <v>1</v>
      </c>
      <c r="I52" t="n">
        <v>1</v>
      </c>
      <c r="J52" t="n">
        <v>1</v>
      </c>
      <c r="K52" t="n">
        <v>0</v>
      </c>
      <c r="L52" t="n">
        <v>0</v>
      </c>
      <c r="M52" t="n">
        <v>0</v>
      </c>
      <c r="N52" t="n">
        <v>0</v>
      </c>
      <c r="O52" t="n">
        <v>1</v>
      </c>
      <c r="P52" t="n">
        <v>0</v>
      </c>
      <c r="Q52" t="n">
        <v>3</v>
      </c>
      <c r="R52" s="2" t="inlineStr">
        <is>
          <t>Tallticka
Mindre märgborre
Spillkråka</t>
        </is>
      </c>
      <c r="S52">
        <f>HYPERLINK("https://klasma.github.io/Logging_2034/artfynd/A 51303-2023 artfynd.xlsx", "A 51303-2023")</f>
        <v/>
      </c>
      <c r="T52">
        <f>HYPERLINK("https://klasma.github.io/Logging_2034/kartor/A 51303-2023 karta.png", "A 51303-2023")</f>
        <v/>
      </c>
      <c r="V52">
        <f>HYPERLINK("https://klasma.github.io/Logging_2034/klagomål/A 51303-2023 FSC-klagomål.docx", "A 51303-2023")</f>
        <v/>
      </c>
      <c r="W52">
        <f>HYPERLINK("https://klasma.github.io/Logging_2034/klagomålsmail/A 51303-2023 FSC-klagomål mail.docx", "A 51303-2023")</f>
        <v/>
      </c>
      <c r="X52">
        <f>HYPERLINK("https://klasma.github.io/Logging_2034/tillsyn/A 51303-2023 tillsynsbegäran.docx", "A 51303-2023")</f>
        <v/>
      </c>
      <c r="Y52">
        <f>HYPERLINK("https://klasma.github.io/Logging_2034/tillsynsmail/A 51303-2023 tillsynsbegäran mail.docx", "A 51303-2023")</f>
        <v/>
      </c>
      <c r="Z52">
        <f>HYPERLINK("https://klasma.github.io/Logging_2034/fåglar/A 51303-2023 prioriterade fågelarter.docx", "A 51303-2023")</f>
        <v/>
      </c>
    </row>
    <row r="53" ht="15" customHeight="1">
      <c r="A53" t="inlineStr">
        <is>
          <t>A 56344-2025</t>
        </is>
      </c>
      <c r="B53" s="1" t="n">
        <v>45974</v>
      </c>
      <c r="C53" s="1" t="n">
        <v>46191</v>
      </c>
      <c r="D53" t="inlineStr">
        <is>
          <t>DALARNAS LÄN</t>
        </is>
      </c>
      <c r="E53" t="inlineStr">
        <is>
          <t>ORSA</t>
        </is>
      </c>
      <c r="G53" t="n">
        <v>5.5</v>
      </c>
      <c r="H53" t="n">
        <v>2</v>
      </c>
      <c r="I53" t="n">
        <v>2</v>
      </c>
      <c r="J53" t="n">
        <v>1</v>
      </c>
      <c r="K53" t="n">
        <v>0</v>
      </c>
      <c r="L53" t="n">
        <v>0</v>
      </c>
      <c r="M53" t="n">
        <v>0</v>
      </c>
      <c r="N53" t="n">
        <v>0</v>
      </c>
      <c r="O53" t="n">
        <v>1</v>
      </c>
      <c r="P53" t="n">
        <v>0</v>
      </c>
      <c r="Q53" t="n">
        <v>3</v>
      </c>
      <c r="R53" s="2" t="inlineStr">
        <is>
          <t>Backruta
Guckusko
Tvåblad</t>
        </is>
      </c>
      <c r="S53">
        <f>HYPERLINK("https://klasma.github.io/Logging_2034/artfynd/A 56344-2025 artfynd.xlsx", "A 56344-2025")</f>
        <v/>
      </c>
      <c r="T53">
        <f>HYPERLINK("https://klasma.github.io/Logging_2034/kartor/A 56344-2025 karta.png", "A 56344-2025")</f>
        <v/>
      </c>
      <c r="V53">
        <f>HYPERLINK("https://klasma.github.io/Logging_2034/klagomål/A 56344-2025 FSC-klagomål.docx", "A 56344-2025")</f>
        <v/>
      </c>
      <c r="W53">
        <f>HYPERLINK("https://klasma.github.io/Logging_2034/klagomålsmail/A 56344-2025 FSC-klagomål mail.docx", "A 56344-2025")</f>
        <v/>
      </c>
      <c r="X53">
        <f>HYPERLINK("https://klasma.github.io/Logging_2034/tillsyn/A 56344-2025 tillsynsbegäran.docx", "A 56344-2025")</f>
        <v/>
      </c>
      <c r="Y53">
        <f>HYPERLINK("https://klasma.github.io/Logging_2034/tillsynsmail/A 56344-2025 tillsynsbegäran mail.docx", "A 56344-2025")</f>
        <v/>
      </c>
    </row>
    <row r="54" ht="15" customHeight="1">
      <c r="A54" t="inlineStr">
        <is>
          <t>A 31164-2025</t>
        </is>
      </c>
      <c r="B54" s="1" t="n">
        <v>45832</v>
      </c>
      <c r="C54" s="1" t="n">
        <v>46191</v>
      </c>
      <c r="D54" t="inlineStr">
        <is>
          <t>DALARNAS LÄN</t>
        </is>
      </c>
      <c r="E54" t="inlineStr">
        <is>
          <t>ORSA</t>
        </is>
      </c>
      <c r="G54" t="n">
        <v>0.9</v>
      </c>
      <c r="H54" t="n">
        <v>1</v>
      </c>
      <c r="I54" t="n">
        <v>1</v>
      </c>
      <c r="J54" t="n">
        <v>1</v>
      </c>
      <c r="K54" t="n">
        <v>1</v>
      </c>
      <c r="L54" t="n">
        <v>0</v>
      </c>
      <c r="M54" t="n">
        <v>0</v>
      </c>
      <c r="N54" t="n">
        <v>0</v>
      </c>
      <c r="O54" t="n">
        <v>2</v>
      </c>
      <c r="P54" t="n">
        <v>1</v>
      </c>
      <c r="Q54" t="n">
        <v>3</v>
      </c>
      <c r="R54" s="2" t="inlineStr">
        <is>
          <t>Garnlav
Tretåig hackspett
Bronshjon</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61163-2025</t>
        </is>
      </c>
      <c r="B55" s="1" t="n">
        <v>46000</v>
      </c>
      <c r="C55" s="1" t="n">
        <v>46191</v>
      </c>
      <c r="D55" t="inlineStr">
        <is>
          <t>DALARNAS LÄN</t>
        </is>
      </c>
      <c r="E55" t="inlineStr">
        <is>
          <t>ORSA</t>
        </is>
      </c>
      <c r="G55" t="n">
        <v>6.4</v>
      </c>
      <c r="H55" t="n">
        <v>1</v>
      </c>
      <c r="I55" t="n">
        <v>1</v>
      </c>
      <c r="J55" t="n">
        <v>0</v>
      </c>
      <c r="K55" t="n">
        <v>1</v>
      </c>
      <c r="L55" t="n">
        <v>0</v>
      </c>
      <c r="M55" t="n">
        <v>0</v>
      </c>
      <c r="N55" t="n">
        <v>0</v>
      </c>
      <c r="O55" t="n">
        <v>1</v>
      </c>
      <c r="P55" t="n">
        <v>1</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48343-2022</t>
        </is>
      </c>
      <c r="B56" s="1" t="n">
        <v>44858</v>
      </c>
      <c r="C56" s="1" t="n">
        <v>46191</v>
      </c>
      <c r="D56" t="inlineStr">
        <is>
          <t>DALARNAS LÄN</t>
        </is>
      </c>
      <c r="E56" t="inlineStr">
        <is>
          <t>ORSA</t>
        </is>
      </c>
      <c r="G56" t="n">
        <v>1.6</v>
      </c>
      <c r="H56" t="n">
        <v>2</v>
      </c>
      <c r="I56" t="n">
        <v>0</v>
      </c>
      <c r="J56" t="n">
        <v>1</v>
      </c>
      <c r="K56" t="n">
        <v>1</v>
      </c>
      <c r="L56" t="n">
        <v>0</v>
      </c>
      <c r="M56" t="n">
        <v>0</v>
      </c>
      <c r="N56" t="n">
        <v>0</v>
      </c>
      <c r="O56" t="n">
        <v>2</v>
      </c>
      <c r="P56" t="n">
        <v>1</v>
      </c>
      <c r="Q56" t="n">
        <v>3</v>
      </c>
      <c r="R56" s="2" t="inlineStr">
        <is>
          <t>Igelkott
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64154-2025</t>
        </is>
      </c>
      <c r="B57" s="1" t="n">
        <v>46022</v>
      </c>
      <c r="C57" s="1" t="n">
        <v>46191</v>
      </c>
      <c r="D57" t="inlineStr">
        <is>
          <t>DALARNAS LÄN</t>
        </is>
      </c>
      <c r="E57" t="inlineStr">
        <is>
          <t>ORSA</t>
        </is>
      </c>
      <c r="G57" t="n">
        <v>29.9</v>
      </c>
      <c r="H57" t="n">
        <v>1</v>
      </c>
      <c r="I57" t="n">
        <v>1</v>
      </c>
      <c r="J57" t="n">
        <v>1</v>
      </c>
      <c r="K57" t="n">
        <v>1</v>
      </c>
      <c r="L57" t="n">
        <v>0</v>
      </c>
      <c r="M57" t="n">
        <v>0</v>
      </c>
      <c r="N57" t="n">
        <v>0</v>
      </c>
      <c r="O57" t="n">
        <v>2</v>
      </c>
      <c r="P57" t="n">
        <v>1</v>
      </c>
      <c r="Q57" t="n">
        <v>3</v>
      </c>
      <c r="R57" s="2" t="inlineStr">
        <is>
          <t>Garnlav
Tretåig hackspett
Mindre märgborre</t>
        </is>
      </c>
      <c r="S57">
        <f>HYPERLINK("https://klasma.github.io/Logging_2034/artfynd/A 64154-2025 artfynd.xlsx", "A 64154-2025")</f>
        <v/>
      </c>
      <c r="T57">
        <f>HYPERLINK("https://klasma.github.io/Logging_2034/kartor/A 64154-2025 karta.png", "A 64154-2025")</f>
        <v/>
      </c>
      <c r="V57">
        <f>HYPERLINK("https://klasma.github.io/Logging_2034/klagomål/A 64154-2025 FSC-klagomål.docx", "A 64154-2025")</f>
        <v/>
      </c>
      <c r="W57">
        <f>HYPERLINK("https://klasma.github.io/Logging_2034/klagomålsmail/A 64154-2025 FSC-klagomål mail.docx", "A 64154-2025")</f>
        <v/>
      </c>
      <c r="X57">
        <f>HYPERLINK("https://klasma.github.io/Logging_2034/tillsyn/A 64154-2025 tillsynsbegäran.docx", "A 64154-2025")</f>
        <v/>
      </c>
      <c r="Y57">
        <f>HYPERLINK("https://klasma.github.io/Logging_2034/tillsynsmail/A 64154-2025 tillsynsbegäran mail.docx", "A 64154-2025")</f>
        <v/>
      </c>
      <c r="Z57">
        <f>HYPERLINK("https://klasma.github.io/Logging_2034/fåglar/A 64154-2025 prioriterade fågelarter.docx", "A 64154-2025")</f>
        <v/>
      </c>
    </row>
    <row r="58" ht="15" customHeight="1">
      <c r="A58" t="inlineStr">
        <is>
          <t>A 37457-2025</t>
        </is>
      </c>
      <c r="B58" s="1" t="n">
        <v>45877</v>
      </c>
      <c r="C58" s="1" t="n">
        <v>46191</v>
      </c>
      <c r="D58" t="inlineStr">
        <is>
          <t>DALARNAS LÄN</t>
        </is>
      </c>
      <c r="E58" t="inlineStr">
        <is>
          <t>ORSA</t>
        </is>
      </c>
      <c r="F58" t="inlineStr">
        <is>
          <t>Allmännings- och besparingsskogar</t>
        </is>
      </c>
      <c r="G58" t="n">
        <v>6.5</v>
      </c>
      <c r="H58" t="n">
        <v>0</v>
      </c>
      <c r="I58" t="n">
        <v>0</v>
      </c>
      <c r="J58" t="n">
        <v>2</v>
      </c>
      <c r="K58" t="n">
        <v>0</v>
      </c>
      <c r="L58" t="n">
        <v>1</v>
      </c>
      <c r="M58" t="n">
        <v>0</v>
      </c>
      <c r="N58" t="n">
        <v>0</v>
      </c>
      <c r="O58" t="n">
        <v>3</v>
      </c>
      <c r="P58" t="n">
        <v>1</v>
      </c>
      <c r="Q58" t="n">
        <v>3</v>
      </c>
      <c r="R58" s="2" t="inlineStr">
        <is>
          <t>Urskogsporing
Blanksvart spiklav
Dvärgbägarlav</t>
        </is>
      </c>
      <c r="S58">
        <f>HYPERLINK("https://klasma.github.io/Logging_2034/artfynd/A 37457-2025 artfynd.xlsx", "A 37457-2025")</f>
        <v/>
      </c>
      <c r="T58">
        <f>HYPERLINK("https://klasma.github.io/Logging_2034/kartor/A 37457-2025 karta.png", "A 37457-2025")</f>
        <v/>
      </c>
      <c r="V58">
        <f>HYPERLINK("https://klasma.github.io/Logging_2034/klagomål/A 37457-2025 FSC-klagomål.docx", "A 37457-2025")</f>
        <v/>
      </c>
      <c r="W58">
        <f>HYPERLINK("https://klasma.github.io/Logging_2034/klagomålsmail/A 37457-2025 FSC-klagomål mail.docx", "A 37457-2025")</f>
        <v/>
      </c>
      <c r="X58">
        <f>HYPERLINK("https://klasma.github.io/Logging_2034/tillsyn/A 37457-2025 tillsynsbegäran.docx", "A 37457-2025")</f>
        <v/>
      </c>
      <c r="Y58">
        <f>HYPERLINK("https://klasma.github.io/Logging_2034/tillsynsmail/A 37457-2025 tillsynsbegäran mail.docx", "A 37457-2025")</f>
        <v/>
      </c>
    </row>
    <row r="59" ht="15" customHeight="1">
      <c r="A59" t="inlineStr">
        <is>
          <t>A 42327-2025</t>
        </is>
      </c>
      <c r="B59" s="1" t="n">
        <v>45904</v>
      </c>
      <c r="C59" s="1" t="n">
        <v>46191</v>
      </c>
      <c r="D59" t="inlineStr">
        <is>
          <t>DALARNAS LÄN</t>
        </is>
      </c>
      <c r="E59" t="inlineStr">
        <is>
          <t>ORSA</t>
        </is>
      </c>
      <c r="G59" t="n">
        <v>1.6</v>
      </c>
      <c r="H59" t="n">
        <v>2</v>
      </c>
      <c r="I59" t="n">
        <v>0</v>
      </c>
      <c r="J59" t="n">
        <v>2</v>
      </c>
      <c r="K59" t="n">
        <v>0</v>
      </c>
      <c r="L59" t="n">
        <v>0</v>
      </c>
      <c r="M59" t="n">
        <v>0</v>
      </c>
      <c r="N59" t="n">
        <v>0</v>
      </c>
      <c r="O59" t="n">
        <v>2</v>
      </c>
      <c r="P59" t="n">
        <v>0</v>
      </c>
      <c r="Q59" t="n">
        <v>2</v>
      </c>
      <c r="R59" s="2" t="inlineStr">
        <is>
          <t>Grönsångare
Lavskrika</t>
        </is>
      </c>
      <c r="S59">
        <f>HYPERLINK("https://klasma.github.io/Logging_2034/artfynd/A 42327-2025 artfynd.xlsx", "A 42327-2025")</f>
        <v/>
      </c>
      <c r="T59">
        <f>HYPERLINK("https://klasma.github.io/Logging_2034/kartor/A 42327-2025 karta.png", "A 42327-2025")</f>
        <v/>
      </c>
      <c r="V59">
        <f>HYPERLINK("https://klasma.github.io/Logging_2034/klagomål/A 42327-2025 FSC-klagomål.docx", "A 42327-2025")</f>
        <v/>
      </c>
      <c r="W59">
        <f>HYPERLINK("https://klasma.github.io/Logging_2034/klagomålsmail/A 42327-2025 FSC-klagomål mail.docx", "A 42327-2025")</f>
        <v/>
      </c>
      <c r="X59">
        <f>HYPERLINK("https://klasma.github.io/Logging_2034/tillsyn/A 42327-2025 tillsynsbegäran.docx", "A 42327-2025")</f>
        <v/>
      </c>
      <c r="Y59">
        <f>HYPERLINK("https://klasma.github.io/Logging_2034/tillsynsmail/A 42327-2025 tillsynsbegäran mail.docx", "A 42327-2025")</f>
        <v/>
      </c>
      <c r="Z59">
        <f>HYPERLINK("https://klasma.github.io/Logging_2034/fåglar/A 42327-2025 prioriterade fågelarter.docx", "A 42327-2025")</f>
        <v/>
      </c>
    </row>
    <row r="60" ht="15" customHeight="1">
      <c r="A60" t="inlineStr">
        <is>
          <t>A 48973-2025</t>
        </is>
      </c>
      <c r="B60" s="1" t="n">
        <v>45937</v>
      </c>
      <c r="C60" s="1" t="n">
        <v>46191</v>
      </c>
      <c r="D60" t="inlineStr">
        <is>
          <t>DALARNAS LÄN</t>
        </is>
      </c>
      <c r="E60" t="inlineStr">
        <is>
          <t>ORSA</t>
        </is>
      </c>
      <c r="F60" t="inlineStr">
        <is>
          <t>Bergvik skog öst AB</t>
        </is>
      </c>
      <c r="G60" t="n">
        <v>5</v>
      </c>
      <c r="H60" t="n">
        <v>1</v>
      </c>
      <c r="I60" t="n">
        <v>0</v>
      </c>
      <c r="J60" t="n">
        <v>1</v>
      </c>
      <c r="K60" t="n">
        <v>1</v>
      </c>
      <c r="L60" t="n">
        <v>0</v>
      </c>
      <c r="M60" t="n">
        <v>0</v>
      </c>
      <c r="N60" t="n">
        <v>0</v>
      </c>
      <c r="O60" t="n">
        <v>2</v>
      </c>
      <c r="P60" t="n">
        <v>1</v>
      </c>
      <c r="Q60" t="n">
        <v>2</v>
      </c>
      <c r="R60" s="2" t="inlineStr">
        <is>
          <t>Garnlav
Tretåig hackspett</t>
        </is>
      </c>
      <c r="S60">
        <f>HYPERLINK("https://klasma.github.io/Logging_2034/artfynd/A 48973-2025 artfynd.xlsx", "A 48973-2025")</f>
        <v/>
      </c>
      <c r="T60">
        <f>HYPERLINK("https://klasma.github.io/Logging_2034/kartor/A 48973-2025 karta.png", "A 48973-2025")</f>
        <v/>
      </c>
      <c r="V60">
        <f>HYPERLINK("https://klasma.github.io/Logging_2034/klagomål/A 48973-2025 FSC-klagomål.docx", "A 48973-2025")</f>
        <v/>
      </c>
      <c r="W60">
        <f>HYPERLINK("https://klasma.github.io/Logging_2034/klagomålsmail/A 48973-2025 FSC-klagomål mail.docx", "A 48973-2025")</f>
        <v/>
      </c>
      <c r="X60">
        <f>HYPERLINK("https://klasma.github.io/Logging_2034/tillsyn/A 48973-2025 tillsynsbegäran.docx", "A 48973-2025")</f>
        <v/>
      </c>
      <c r="Y60">
        <f>HYPERLINK("https://klasma.github.io/Logging_2034/tillsynsmail/A 48973-2025 tillsynsbegäran mail.docx", "A 48973-2025")</f>
        <v/>
      </c>
      <c r="Z60">
        <f>HYPERLINK("https://klasma.github.io/Logging_2034/fåglar/A 48973-2025 prioriterade fågelarter.docx", "A 48973-2025")</f>
        <v/>
      </c>
    </row>
    <row r="61" ht="15" customHeight="1">
      <c r="A61" t="inlineStr">
        <is>
          <t>A 54687-2025</t>
        </is>
      </c>
      <c r="B61" s="1" t="n">
        <v>45966</v>
      </c>
      <c r="C61" s="1" t="n">
        <v>46191</v>
      </c>
      <c r="D61" t="inlineStr">
        <is>
          <t>DALARNAS LÄN</t>
        </is>
      </c>
      <c r="E61" t="inlineStr">
        <is>
          <t>ORSA</t>
        </is>
      </c>
      <c r="F61" t="inlineStr">
        <is>
          <t>Allmännings- och besparingsskogar</t>
        </is>
      </c>
      <c r="G61" t="n">
        <v>2</v>
      </c>
      <c r="H61" t="n">
        <v>1</v>
      </c>
      <c r="I61" t="n">
        <v>0</v>
      </c>
      <c r="J61" t="n">
        <v>1</v>
      </c>
      <c r="K61" t="n">
        <v>1</v>
      </c>
      <c r="L61" t="n">
        <v>0</v>
      </c>
      <c r="M61" t="n">
        <v>0</v>
      </c>
      <c r="N61" t="n">
        <v>0</v>
      </c>
      <c r="O61" t="n">
        <v>2</v>
      </c>
      <c r="P61" t="n">
        <v>1</v>
      </c>
      <c r="Q61" t="n">
        <v>2</v>
      </c>
      <c r="R61" s="2" t="inlineStr">
        <is>
          <t>Garnlav
Tretåig hackspett</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c r="Z61">
        <f>HYPERLINK("https://klasma.github.io/Logging_2034/fåglar/A 54687-2025 prioriterade fågelarter.docx", "A 54687-2025")</f>
        <v/>
      </c>
    </row>
    <row r="62" ht="15" customHeight="1">
      <c r="A62" t="inlineStr">
        <is>
          <t>A 18692-2026</t>
        </is>
      </c>
      <c r="B62" s="1" t="n">
        <v>46128</v>
      </c>
      <c r="C62" s="1" t="n">
        <v>46191</v>
      </c>
      <c r="D62" t="inlineStr">
        <is>
          <t>DALARNAS LÄN</t>
        </is>
      </c>
      <c r="E62" t="inlineStr">
        <is>
          <t>ORSA</t>
        </is>
      </c>
      <c r="G62" t="n">
        <v>3.3</v>
      </c>
      <c r="H62" t="n">
        <v>1</v>
      </c>
      <c r="I62" t="n">
        <v>1</v>
      </c>
      <c r="J62" t="n">
        <v>0</v>
      </c>
      <c r="K62" t="n">
        <v>0</v>
      </c>
      <c r="L62" t="n">
        <v>0</v>
      </c>
      <c r="M62" t="n">
        <v>0</v>
      </c>
      <c r="N62" t="n">
        <v>0</v>
      </c>
      <c r="O62" t="n">
        <v>0</v>
      </c>
      <c r="P62" t="n">
        <v>0</v>
      </c>
      <c r="Q62" t="n">
        <v>2</v>
      </c>
      <c r="R62" s="2" t="inlineStr">
        <is>
          <t>Mindre märgborre
Tjäder</t>
        </is>
      </c>
      <c r="S62">
        <f>HYPERLINK("https://klasma.github.io/Logging_2034/artfynd/A 18692-2026 artfynd.xlsx", "A 18692-2026")</f>
        <v/>
      </c>
      <c r="T62">
        <f>HYPERLINK("https://klasma.github.io/Logging_2034/kartor/A 18692-2026 karta.png", "A 18692-2026")</f>
        <v/>
      </c>
      <c r="V62">
        <f>HYPERLINK("https://klasma.github.io/Logging_2034/klagomål/A 18692-2026 FSC-klagomål.docx", "A 18692-2026")</f>
        <v/>
      </c>
      <c r="W62">
        <f>HYPERLINK("https://klasma.github.io/Logging_2034/klagomålsmail/A 18692-2026 FSC-klagomål mail.docx", "A 18692-2026")</f>
        <v/>
      </c>
      <c r="X62">
        <f>HYPERLINK("https://klasma.github.io/Logging_2034/tillsyn/A 18692-2026 tillsynsbegäran.docx", "A 18692-2026")</f>
        <v/>
      </c>
      <c r="Y62">
        <f>HYPERLINK("https://klasma.github.io/Logging_2034/tillsynsmail/A 18692-2026 tillsynsbegäran mail.docx", "A 18692-2026")</f>
        <v/>
      </c>
      <c r="Z62">
        <f>HYPERLINK("https://klasma.github.io/Logging_2034/fåglar/A 18692-2026 prioriterade fågelarter.docx", "A 18692-2026")</f>
        <v/>
      </c>
    </row>
    <row r="63" ht="15" customHeight="1">
      <c r="A63" t="inlineStr">
        <is>
          <t>A 63810-2021</t>
        </is>
      </c>
      <c r="B63" s="1" t="n">
        <v>44509</v>
      </c>
      <c r="C63" s="1" t="n">
        <v>46191</v>
      </c>
      <c r="D63" t="inlineStr">
        <is>
          <t>DALARNAS LÄN</t>
        </is>
      </c>
      <c r="E63" t="inlineStr">
        <is>
          <t>ORSA</t>
        </is>
      </c>
      <c r="G63" t="n">
        <v>18.4</v>
      </c>
      <c r="H63" t="n">
        <v>0</v>
      </c>
      <c r="I63" t="n">
        <v>0</v>
      </c>
      <c r="J63" t="n">
        <v>1</v>
      </c>
      <c r="K63" t="n">
        <v>1</v>
      </c>
      <c r="L63" t="n">
        <v>0</v>
      </c>
      <c r="M63" t="n">
        <v>0</v>
      </c>
      <c r="N63" t="n">
        <v>0</v>
      </c>
      <c r="O63" t="n">
        <v>2</v>
      </c>
      <c r="P63" t="n">
        <v>1</v>
      </c>
      <c r="Q63" t="n">
        <v>2</v>
      </c>
      <c r="R63" s="2" t="inlineStr">
        <is>
          <t>Garnlav
Violettgrå tagellav</t>
        </is>
      </c>
      <c r="S63">
        <f>HYPERLINK("https://klasma.github.io/Logging_2034/artfynd/A 63810-2021 artfynd.xlsx", "A 63810-2021")</f>
        <v/>
      </c>
      <c r="T63">
        <f>HYPERLINK("https://klasma.github.io/Logging_2034/kartor/A 63810-2021 karta.png", "A 63810-2021")</f>
        <v/>
      </c>
      <c r="V63">
        <f>HYPERLINK("https://klasma.github.io/Logging_2034/klagomål/A 63810-2021 FSC-klagomål.docx", "A 63810-2021")</f>
        <v/>
      </c>
      <c r="W63">
        <f>HYPERLINK("https://klasma.github.io/Logging_2034/klagomålsmail/A 63810-2021 FSC-klagomål mail.docx", "A 63810-2021")</f>
        <v/>
      </c>
      <c r="X63">
        <f>HYPERLINK("https://klasma.github.io/Logging_2034/tillsyn/A 63810-2021 tillsynsbegäran.docx", "A 63810-2021")</f>
        <v/>
      </c>
      <c r="Y63">
        <f>HYPERLINK("https://klasma.github.io/Logging_2034/tillsynsmail/A 63810-2021 tillsynsbegäran mail.docx", "A 63810-2021")</f>
        <v/>
      </c>
    </row>
    <row r="64" ht="15" customHeight="1">
      <c r="A64" t="inlineStr">
        <is>
          <t>A 31336-2025</t>
        </is>
      </c>
      <c r="B64" s="1" t="n">
        <v>45833</v>
      </c>
      <c r="C64" s="1" t="n">
        <v>46191</v>
      </c>
      <c r="D64" t="inlineStr">
        <is>
          <t>DALARNAS LÄN</t>
        </is>
      </c>
      <c r="E64" t="inlineStr">
        <is>
          <t>ORSA</t>
        </is>
      </c>
      <c r="G64" t="n">
        <v>12.8</v>
      </c>
      <c r="H64" t="n">
        <v>1</v>
      </c>
      <c r="I64" t="n">
        <v>0</v>
      </c>
      <c r="J64" t="n">
        <v>0</v>
      </c>
      <c r="K64" t="n">
        <v>1</v>
      </c>
      <c r="L64" t="n">
        <v>0</v>
      </c>
      <c r="M64" t="n">
        <v>0</v>
      </c>
      <c r="N64" t="n">
        <v>0</v>
      </c>
      <c r="O64" t="n">
        <v>1</v>
      </c>
      <c r="P64" t="n">
        <v>1</v>
      </c>
      <c r="Q64" t="n">
        <v>2</v>
      </c>
      <c r="R64" s="2" t="inlineStr">
        <is>
          <t>Garnlav
Spillkråka</t>
        </is>
      </c>
      <c r="S64">
        <f>HYPERLINK("https://klasma.github.io/Logging_2034/artfynd/A 31336-2025 artfynd.xlsx", "A 31336-2025")</f>
        <v/>
      </c>
      <c r="T64">
        <f>HYPERLINK("https://klasma.github.io/Logging_2034/kartor/A 31336-2025 karta.png", "A 31336-2025")</f>
        <v/>
      </c>
      <c r="V64">
        <f>HYPERLINK("https://klasma.github.io/Logging_2034/klagomål/A 31336-2025 FSC-klagomål.docx", "A 31336-2025")</f>
        <v/>
      </c>
      <c r="W64">
        <f>HYPERLINK("https://klasma.github.io/Logging_2034/klagomålsmail/A 31336-2025 FSC-klagomål mail.docx", "A 31336-2025")</f>
        <v/>
      </c>
      <c r="X64">
        <f>HYPERLINK("https://klasma.github.io/Logging_2034/tillsyn/A 31336-2025 tillsynsbegäran.docx", "A 31336-2025")</f>
        <v/>
      </c>
      <c r="Y64">
        <f>HYPERLINK("https://klasma.github.io/Logging_2034/tillsynsmail/A 31336-2025 tillsynsbegäran mail.docx", "A 31336-2025")</f>
        <v/>
      </c>
      <c r="Z64">
        <f>HYPERLINK("https://klasma.github.io/Logging_2034/fåglar/A 31336-2025 prioriterade fågelarter.docx", "A 31336-2025")</f>
        <v/>
      </c>
    </row>
    <row r="65" ht="15" customHeight="1">
      <c r="A65" t="inlineStr">
        <is>
          <t>A 36569-2021</t>
        </is>
      </c>
      <c r="B65" s="1" t="n">
        <v>44391</v>
      </c>
      <c r="C65" s="1" t="n">
        <v>46191</v>
      </c>
      <c r="D65" t="inlineStr">
        <is>
          <t>DALARNAS LÄN</t>
        </is>
      </c>
      <c r="E65" t="inlineStr">
        <is>
          <t>ORSA</t>
        </is>
      </c>
      <c r="G65" t="n">
        <v>8.800000000000001</v>
      </c>
      <c r="H65" t="n">
        <v>2</v>
      </c>
      <c r="I65" t="n">
        <v>0</v>
      </c>
      <c r="J65" t="n">
        <v>0</v>
      </c>
      <c r="K65" t="n">
        <v>0</v>
      </c>
      <c r="L65" t="n">
        <v>0</v>
      </c>
      <c r="M65" t="n">
        <v>0</v>
      </c>
      <c r="N65" t="n">
        <v>0</v>
      </c>
      <c r="O65" t="n">
        <v>0</v>
      </c>
      <c r="P65" t="n">
        <v>0</v>
      </c>
      <c r="Q65" t="n">
        <v>2</v>
      </c>
      <c r="R65" s="2" t="inlineStr">
        <is>
          <t>Fläcknycklar
Myggblomster</t>
        </is>
      </c>
      <c r="S65">
        <f>HYPERLINK("https://klasma.github.io/Logging_2034/artfynd/A 36569-2021 artfynd.xlsx", "A 36569-2021")</f>
        <v/>
      </c>
      <c r="T65">
        <f>HYPERLINK("https://klasma.github.io/Logging_2034/kartor/A 36569-2021 karta.png", "A 36569-2021")</f>
        <v/>
      </c>
      <c r="V65">
        <f>HYPERLINK("https://klasma.github.io/Logging_2034/klagomål/A 36569-2021 FSC-klagomål.docx", "A 36569-2021")</f>
        <v/>
      </c>
      <c r="W65">
        <f>HYPERLINK("https://klasma.github.io/Logging_2034/klagomålsmail/A 36569-2021 FSC-klagomål mail.docx", "A 36569-2021")</f>
        <v/>
      </c>
      <c r="X65">
        <f>HYPERLINK("https://klasma.github.io/Logging_2034/tillsyn/A 36569-2021 tillsynsbegäran.docx", "A 36569-2021")</f>
        <v/>
      </c>
      <c r="Y65">
        <f>HYPERLINK("https://klasma.github.io/Logging_2034/tillsynsmail/A 36569-2021 tillsynsbegäran mail.docx", "A 36569-2021")</f>
        <v/>
      </c>
    </row>
    <row r="66" ht="15" customHeight="1">
      <c r="A66" t="inlineStr">
        <is>
          <t>A 21364-2025</t>
        </is>
      </c>
      <c r="B66" s="1" t="n">
        <v>45782</v>
      </c>
      <c r="C66" s="1" t="n">
        <v>46191</v>
      </c>
      <c r="D66" t="inlineStr">
        <is>
          <t>DALARNAS LÄN</t>
        </is>
      </c>
      <c r="E66" t="inlineStr">
        <is>
          <t>ORSA</t>
        </is>
      </c>
      <c r="F66" t="inlineStr">
        <is>
          <t>Allmännings- och besparingsskogar</t>
        </is>
      </c>
      <c r="G66" t="n">
        <v>52.6</v>
      </c>
      <c r="H66" t="n">
        <v>2</v>
      </c>
      <c r="I66" t="n">
        <v>0</v>
      </c>
      <c r="J66" t="n">
        <v>0</v>
      </c>
      <c r="K66" t="n">
        <v>1</v>
      </c>
      <c r="L66" t="n">
        <v>0</v>
      </c>
      <c r="M66" t="n">
        <v>0</v>
      </c>
      <c r="N66" t="n">
        <v>0</v>
      </c>
      <c r="O66" t="n">
        <v>1</v>
      </c>
      <c r="P66" t="n">
        <v>1</v>
      </c>
      <c r="Q66" t="n">
        <v>2</v>
      </c>
      <c r="R66" s="2" t="inlineStr">
        <is>
          <t>Lappuggla
Orre</t>
        </is>
      </c>
      <c r="S66">
        <f>HYPERLINK("https://klasma.github.io/Logging_2034/artfynd/A 21364-2025 artfynd.xlsx", "A 21364-2025")</f>
        <v/>
      </c>
      <c r="T66">
        <f>HYPERLINK("https://klasma.github.io/Logging_2034/kartor/A 21364-2025 karta.png", "A 21364-2025")</f>
        <v/>
      </c>
      <c r="V66">
        <f>HYPERLINK("https://klasma.github.io/Logging_2034/klagomål/A 21364-2025 FSC-klagomål.docx", "A 21364-2025")</f>
        <v/>
      </c>
      <c r="W66">
        <f>HYPERLINK("https://klasma.github.io/Logging_2034/klagomålsmail/A 21364-2025 FSC-klagomål mail.docx", "A 21364-2025")</f>
        <v/>
      </c>
      <c r="X66">
        <f>HYPERLINK("https://klasma.github.io/Logging_2034/tillsyn/A 21364-2025 tillsynsbegäran.docx", "A 21364-2025")</f>
        <v/>
      </c>
      <c r="Y66">
        <f>HYPERLINK("https://klasma.github.io/Logging_2034/tillsynsmail/A 21364-2025 tillsynsbegäran mail.docx", "A 21364-2025")</f>
        <v/>
      </c>
      <c r="Z66">
        <f>HYPERLINK("https://klasma.github.io/Logging_2034/fåglar/A 21364-2025 prioriterade fågelarter.docx", "A 21364-2025")</f>
        <v/>
      </c>
    </row>
    <row r="67" ht="15" customHeight="1">
      <c r="A67" t="inlineStr">
        <is>
          <t>A 9807-2022</t>
        </is>
      </c>
      <c r="B67" s="1" t="n">
        <v>44620</v>
      </c>
      <c r="C67" s="1" t="n">
        <v>46191</v>
      </c>
      <c r="D67" t="inlineStr">
        <is>
          <t>DALARNAS LÄN</t>
        </is>
      </c>
      <c r="E67" t="inlineStr">
        <is>
          <t>ORSA</t>
        </is>
      </c>
      <c r="G67" t="n">
        <v>0.5</v>
      </c>
      <c r="H67" t="n">
        <v>1</v>
      </c>
      <c r="I67" t="n">
        <v>0</v>
      </c>
      <c r="J67" t="n">
        <v>0</v>
      </c>
      <c r="K67" t="n">
        <v>0</v>
      </c>
      <c r="L67" t="n">
        <v>0</v>
      </c>
      <c r="M67" t="n">
        <v>0</v>
      </c>
      <c r="N67" t="n">
        <v>0</v>
      </c>
      <c r="O67" t="n">
        <v>0</v>
      </c>
      <c r="P67" t="n">
        <v>0</v>
      </c>
      <c r="Q67" t="n">
        <v>1</v>
      </c>
      <c r="R67" s="2" t="inlineStr">
        <is>
          <t>Ärtsångare</t>
        </is>
      </c>
      <c r="S67">
        <f>HYPERLINK("https://klasma.github.io/Logging_2034/artfynd/A 9807-2022 artfynd.xlsx", "A 9807-2022")</f>
        <v/>
      </c>
      <c r="T67">
        <f>HYPERLINK("https://klasma.github.io/Logging_2034/kartor/A 9807-2022 karta.png", "A 9807-2022")</f>
        <v/>
      </c>
      <c r="V67">
        <f>HYPERLINK("https://klasma.github.io/Logging_2034/klagomål/A 9807-2022 FSC-klagomål.docx", "A 9807-2022")</f>
        <v/>
      </c>
      <c r="W67">
        <f>HYPERLINK("https://klasma.github.io/Logging_2034/klagomålsmail/A 9807-2022 FSC-klagomål mail.docx", "A 9807-2022")</f>
        <v/>
      </c>
      <c r="X67">
        <f>HYPERLINK("https://klasma.github.io/Logging_2034/tillsyn/A 9807-2022 tillsynsbegäran.docx", "A 9807-2022")</f>
        <v/>
      </c>
      <c r="Y67">
        <f>HYPERLINK("https://klasma.github.io/Logging_2034/tillsynsmail/A 9807-2022 tillsynsbegäran mail.docx", "A 9807-2022")</f>
        <v/>
      </c>
      <c r="Z67">
        <f>HYPERLINK("https://klasma.github.io/Logging_2034/fåglar/A 9807-2022 prioriterade fågelarter.docx", "A 9807-2022")</f>
        <v/>
      </c>
    </row>
    <row r="68" ht="15" customHeight="1">
      <c r="A68" t="inlineStr">
        <is>
          <t>A 56807-2024</t>
        </is>
      </c>
      <c r="B68" s="1" t="n">
        <v>45628</v>
      </c>
      <c r="C68" s="1" t="n">
        <v>46191</v>
      </c>
      <c r="D68" t="inlineStr">
        <is>
          <t>DALARNAS LÄN</t>
        </is>
      </c>
      <c r="E68" t="inlineStr">
        <is>
          <t>ORSA</t>
        </is>
      </c>
      <c r="G68" t="n">
        <v>1.9</v>
      </c>
      <c r="H68" t="n">
        <v>1</v>
      </c>
      <c r="I68" t="n">
        <v>0</v>
      </c>
      <c r="J68" t="n">
        <v>1</v>
      </c>
      <c r="K68" t="n">
        <v>0</v>
      </c>
      <c r="L68" t="n">
        <v>0</v>
      </c>
      <c r="M68" t="n">
        <v>0</v>
      </c>
      <c r="N68" t="n">
        <v>0</v>
      </c>
      <c r="O68" t="n">
        <v>1</v>
      </c>
      <c r="P68" t="n">
        <v>0</v>
      </c>
      <c r="Q68" t="n">
        <v>1</v>
      </c>
      <c r="R68" s="2" t="inlineStr">
        <is>
          <t>Lavskrika</t>
        </is>
      </c>
      <c r="S68">
        <f>HYPERLINK("https://klasma.github.io/Logging_2034/artfynd/A 56807-2024 artfynd.xlsx", "A 56807-2024")</f>
        <v/>
      </c>
      <c r="T68">
        <f>HYPERLINK("https://klasma.github.io/Logging_2034/kartor/A 56807-2024 karta.png", "A 56807-2024")</f>
        <v/>
      </c>
      <c r="V68">
        <f>HYPERLINK("https://klasma.github.io/Logging_2034/klagomål/A 56807-2024 FSC-klagomål.docx", "A 56807-2024")</f>
        <v/>
      </c>
      <c r="W68">
        <f>HYPERLINK("https://klasma.github.io/Logging_2034/klagomålsmail/A 56807-2024 FSC-klagomål mail.docx", "A 56807-2024")</f>
        <v/>
      </c>
      <c r="X68">
        <f>HYPERLINK("https://klasma.github.io/Logging_2034/tillsyn/A 56807-2024 tillsynsbegäran.docx", "A 56807-2024")</f>
        <v/>
      </c>
      <c r="Y68">
        <f>HYPERLINK("https://klasma.github.io/Logging_2034/tillsynsmail/A 56807-2024 tillsynsbegäran mail.docx", "A 56807-2024")</f>
        <v/>
      </c>
      <c r="Z68">
        <f>HYPERLINK("https://klasma.github.io/Logging_2034/fåglar/A 56807-2024 prioriterade fågelarter.docx", "A 56807-2024")</f>
        <v/>
      </c>
    </row>
    <row r="69" ht="15" customHeight="1">
      <c r="A69" t="inlineStr">
        <is>
          <t>A 41927-2025</t>
        </is>
      </c>
      <c r="B69" s="1" t="n">
        <v>45903</v>
      </c>
      <c r="C69" s="1" t="n">
        <v>46191</v>
      </c>
      <c r="D69" t="inlineStr">
        <is>
          <t>DALARNAS LÄN</t>
        </is>
      </c>
      <c r="E69" t="inlineStr">
        <is>
          <t>ORSA</t>
        </is>
      </c>
      <c r="G69" t="n">
        <v>2.4</v>
      </c>
      <c r="H69" t="n">
        <v>0</v>
      </c>
      <c r="I69" t="n">
        <v>0</v>
      </c>
      <c r="J69" t="n">
        <v>1</v>
      </c>
      <c r="K69" t="n">
        <v>0</v>
      </c>
      <c r="L69" t="n">
        <v>0</v>
      </c>
      <c r="M69" t="n">
        <v>0</v>
      </c>
      <c r="N69" t="n">
        <v>0</v>
      </c>
      <c r="O69" t="n">
        <v>1</v>
      </c>
      <c r="P69" t="n">
        <v>0</v>
      </c>
      <c r="Q69" t="n">
        <v>1</v>
      </c>
      <c r="R69" s="2" t="inlineStr">
        <is>
          <t>Dofttaggsvamp</t>
        </is>
      </c>
      <c r="S69">
        <f>HYPERLINK("https://klasma.github.io/Logging_2034/artfynd/A 41927-2025 artfynd.xlsx", "A 41927-2025")</f>
        <v/>
      </c>
      <c r="T69">
        <f>HYPERLINK("https://klasma.github.io/Logging_2034/kartor/A 41927-2025 karta.png", "A 41927-2025")</f>
        <v/>
      </c>
      <c r="V69">
        <f>HYPERLINK("https://klasma.github.io/Logging_2034/klagomål/A 41927-2025 FSC-klagomål.docx", "A 41927-2025")</f>
        <v/>
      </c>
      <c r="W69">
        <f>HYPERLINK("https://klasma.github.io/Logging_2034/klagomålsmail/A 41927-2025 FSC-klagomål mail.docx", "A 41927-2025")</f>
        <v/>
      </c>
      <c r="X69">
        <f>HYPERLINK("https://klasma.github.io/Logging_2034/tillsyn/A 41927-2025 tillsynsbegäran.docx", "A 41927-2025")</f>
        <v/>
      </c>
      <c r="Y69">
        <f>HYPERLINK("https://klasma.github.io/Logging_2034/tillsynsmail/A 41927-2025 tillsynsbegäran mail.docx", "A 41927-2025")</f>
        <v/>
      </c>
    </row>
    <row r="70" ht="15" customHeight="1">
      <c r="A70" t="inlineStr">
        <is>
          <t>A 37887-2023</t>
        </is>
      </c>
      <c r="B70" s="1" t="n">
        <v>45160</v>
      </c>
      <c r="C70" s="1" t="n">
        <v>46191</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30290-2024</t>
        </is>
      </c>
      <c r="B71" s="1" t="n">
        <v>45490</v>
      </c>
      <c r="C71" s="1" t="n">
        <v>46191</v>
      </c>
      <c r="D71" t="inlineStr">
        <is>
          <t>DALARNAS LÄN</t>
        </is>
      </c>
      <c r="E71" t="inlineStr">
        <is>
          <t>ORSA</t>
        </is>
      </c>
      <c r="F71" t="inlineStr">
        <is>
          <t>Bergvik skog öst AB</t>
        </is>
      </c>
      <c r="G71" t="n">
        <v>9.199999999999999</v>
      </c>
      <c r="H71" t="n">
        <v>0</v>
      </c>
      <c r="I71" t="n">
        <v>0</v>
      </c>
      <c r="J71" t="n">
        <v>1</v>
      </c>
      <c r="K71" t="n">
        <v>0</v>
      </c>
      <c r="L71" t="n">
        <v>0</v>
      </c>
      <c r="M71" t="n">
        <v>0</v>
      </c>
      <c r="N71" t="n">
        <v>0</v>
      </c>
      <c r="O71" t="n">
        <v>1</v>
      </c>
      <c r="P71" t="n">
        <v>0</v>
      </c>
      <c r="Q71" t="n">
        <v>1</v>
      </c>
      <c r="R71" s="2" t="inlineStr">
        <is>
          <t>Vedskivlav</t>
        </is>
      </c>
      <c r="S71">
        <f>HYPERLINK("https://klasma.github.io/Logging_2034/artfynd/A 30290-2024 artfynd.xlsx", "A 30290-2024")</f>
        <v/>
      </c>
      <c r="T71">
        <f>HYPERLINK("https://klasma.github.io/Logging_2034/kartor/A 30290-2024 karta.png", "A 30290-2024")</f>
        <v/>
      </c>
      <c r="V71">
        <f>HYPERLINK("https://klasma.github.io/Logging_2034/klagomål/A 30290-2024 FSC-klagomål.docx", "A 30290-2024")</f>
        <v/>
      </c>
      <c r="W71">
        <f>HYPERLINK("https://klasma.github.io/Logging_2034/klagomålsmail/A 30290-2024 FSC-klagomål mail.docx", "A 30290-2024")</f>
        <v/>
      </c>
      <c r="X71">
        <f>HYPERLINK("https://klasma.github.io/Logging_2034/tillsyn/A 30290-2024 tillsynsbegäran.docx", "A 30290-2024")</f>
        <v/>
      </c>
      <c r="Y71">
        <f>HYPERLINK("https://klasma.github.io/Logging_2034/tillsynsmail/A 30290-2024 tillsynsbegäran mail.docx", "A 30290-2024")</f>
        <v/>
      </c>
    </row>
    <row r="72" ht="15" customHeight="1">
      <c r="A72" t="inlineStr">
        <is>
          <t>A 54773-2025</t>
        </is>
      </c>
      <c r="B72" s="1" t="n">
        <v>45966</v>
      </c>
      <c r="C72" s="1" t="n">
        <v>46191</v>
      </c>
      <c r="D72" t="inlineStr">
        <is>
          <t>DALARNAS LÄN</t>
        </is>
      </c>
      <c r="E72" t="inlineStr">
        <is>
          <t>ORSA</t>
        </is>
      </c>
      <c r="G72" t="n">
        <v>3.6</v>
      </c>
      <c r="H72" t="n">
        <v>1</v>
      </c>
      <c r="I72" t="n">
        <v>0</v>
      </c>
      <c r="J72" t="n">
        <v>0</v>
      </c>
      <c r="K72" t="n">
        <v>0</v>
      </c>
      <c r="L72" t="n">
        <v>0</v>
      </c>
      <c r="M72" t="n">
        <v>0</v>
      </c>
      <c r="N72" t="n">
        <v>0</v>
      </c>
      <c r="O72" t="n">
        <v>0</v>
      </c>
      <c r="P72" t="n">
        <v>0</v>
      </c>
      <c r="Q72" t="n">
        <v>1</v>
      </c>
      <c r="R72" s="2" t="inlineStr">
        <is>
          <t>Tjäder</t>
        </is>
      </c>
      <c r="S72">
        <f>HYPERLINK("https://klasma.github.io/Logging_2034/artfynd/A 54773-2025 artfynd.xlsx", "A 54773-2025")</f>
        <v/>
      </c>
      <c r="T72">
        <f>HYPERLINK("https://klasma.github.io/Logging_2034/kartor/A 54773-2025 karta.png", "A 54773-2025")</f>
        <v/>
      </c>
      <c r="V72">
        <f>HYPERLINK("https://klasma.github.io/Logging_2034/klagomål/A 54773-2025 FSC-klagomål.docx", "A 54773-2025")</f>
        <v/>
      </c>
      <c r="W72">
        <f>HYPERLINK("https://klasma.github.io/Logging_2034/klagomålsmail/A 54773-2025 FSC-klagomål mail.docx", "A 54773-2025")</f>
        <v/>
      </c>
      <c r="X72">
        <f>HYPERLINK("https://klasma.github.io/Logging_2034/tillsyn/A 54773-2025 tillsynsbegäran.docx", "A 54773-2025")</f>
        <v/>
      </c>
      <c r="Y72">
        <f>HYPERLINK("https://klasma.github.io/Logging_2034/tillsynsmail/A 54773-2025 tillsynsbegäran mail.docx", "A 54773-2025")</f>
        <v/>
      </c>
      <c r="Z72">
        <f>HYPERLINK("https://klasma.github.io/Logging_2034/fåglar/A 54773-2025 prioriterade fågelarter.docx", "A 54773-2025")</f>
        <v/>
      </c>
    </row>
    <row r="73" ht="15" customHeight="1">
      <c r="A73" t="inlineStr">
        <is>
          <t>A 593-2024</t>
        </is>
      </c>
      <c r="B73" s="1" t="n">
        <v>45299</v>
      </c>
      <c r="C73" s="1" t="n">
        <v>46191</v>
      </c>
      <c r="D73" t="inlineStr">
        <is>
          <t>DALARNAS LÄN</t>
        </is>
      </c>
      <c r="E73" t="inlineStr">
        <is>
          <t>ORSA</t>
        </is>
      </c>
      <c r="G73" t="n">
        <v>1.5</v>
      </c>
      <c r="H73" t="n">
        <v>1</v>
      </c>
      <c r="I73" t="n">
        <v>0</v>
      </c>
      <c r="J73" t="n">
        <v>0</v>
      </c>
      <c r="K73" t="n">
        <v>0</v>
      </c>
      <c r="L73" t="n">
        <v>0</v>
      </c>
      <c r="M73" t="n">
        <v>0</v>
      </c>
      <c r="N73" t="n">
        <v>0</v>
      </c>
      <c r="O73" t="n">
        <v>0</v>
      </c>
      <c r="P73" t="n">
        <v>0</v>
      </c>
      <c r="Q73" t="n">
        <v>1</v>
      </c>
      <c r="R73" s="2" t="inlineStr">
        <is>
          <t>Järpe</t>
        </is>
      </c>
      <c r="S73">
        <f>HYPERLINK("https://klasma.github.io/Logging_2034/artfynd/A 593-2024 artfynd.xlsx", "A 593-2024")</f>
        <v/>
      </c>
      <c r="T73">
        <f>HYPERLINK("https://klasma.github.io/Logging_2034/kartor/A 593-2024 karta.png", "A 593-2024")</f>
        <v/>
      </c>
      <c r="V73">
        <f>HYPERLINK("https://klasma.github.io/Logging_2034/klagomål/A 593-2024 FSC-klagomål.docx", "A 593-2024")</f>
        <v/>
      </c>
      <c r="W73">
        <f>HYPERLINK("https://klasma.github.io/Logging_2034/klagomålsmail/A 593-2024 FSC-klagomål mail.docx", "A 593-2024")</f>
        <v/>
      </c>
      <c r="X73">
        <f>HYPERLINK("https://klasma.github.io/Logging_2034/tillsyn/A 593-2024 tillsynsbegäran.docx", "A 593-2024")</f>
        <v/>
      </c>
      <c r="Y73">
        <f>HYPERLINK("https://klasma.github.io/Logging_2034/tillsynsmail/A 593-2024 tillsynsbegäran mail.docx", "A 593-2024")</f>
        <v/>
      </c>
      <c r="Z73">
        <f>HYPERLINK("https://klasma.github.io/Logging_2034/fåglar/A 593-2024 prioriterade fågelarter.docx", "A 593-2024")</f>
        <v/>
      </c>
    </row>
    <row r="74" ht="15" customHeight="1">
      <c r="A74" t="inlineStr">
        <is>
          <t>A 21630-2026</t>
        </is>
      </c>
      <c r="B74" s="1" t="n">
        <v>46149</v>
      </c>
      <c r="C74" s="1" t="n">
        <v>46191</v>
      </c>
      <c r="D74" t="inlineStr">
        <is>
          <t>DALARNAS LÄN</t>
        </is>
      </c>
      <c r="E74" t="inlineStr">
        <is>
          <t>ORSA</t>
        </is>
      </c>
      <c r="F74" t="inlineStr">
        <is>
          <t>Allmännings- och besparingsskogar</t>
        </is>
      </c>
      <c r="G74" t="n">
        <v>9.800000000000001</v>
      </c>
      <c r="H74" t="n">
        <v>0</v>
      </c>
      <c r="I74" t="n">
        <v>0</v>
      </c>
      <c r="J74" t="n">
        <v>1</v>
      </c>
      <c r="K74" t="n">
        <v>0</v>
      </c>
      <c r="L74" t="n">
        <v>0</v>
      </c>
      <c r="M74" t="n">
        <v>0</v>
      </c>
      <c r="N74" t="n">
        <v>0</v>
      </c>
      <c r="O74" t="n">
        <v>1</v>
      </c>
      <c r="P74" t="n">
        <v>0</v>
      </c>
      <c r="Q74" t="n">
        <v>1</v>
      </c>
      <c r="R74" s="2" t="inlineStr">
        <is>
          <t>Mörk kolflarnlav</t>
        </is>
      </c>
      <c r="S74">
        <f>HYPERLINK("https://klasma.github.io/Logging_2034/artfynd/A 21630-2026 artfynd.xlsx", "A 21630-2026")</f>
        <v/>
      </c>
      <c r="T74">
        <f>HYPERLINK("https://klasma.github.io/Logging_2034/kartor/A 21630-2026 karta.png", "A 21630-2026")</f>
        <v/>
      </c>
      <c r="V74">
        <f>HYPERLINK("https://klasma.github.io/Logging_2034/klagomål/A 21630-2026 FSC-klagomål.docx", "A 21630-2026")</f>
        <v/>
      </c>
      <c r="W74">
        <f>HYPERLINK("https://klasma.github.io/Logging_2034/klagomålsmail/A 21630-2026 FSC-klagomål mail.docx", "A 21630-2026")</f>
        <v/>
      </c>
      <c r="X74">
        <f>HYPERLINK("https://klasma.github.io/Logging_2034/tillsyn/A 21630-2026 tillsynsbegäran.docx", "A 21630-2026")</f>
        <v/>
      </c>
      <c r="Y74">
        <f>HYPERLINK("https://klasma.github.io/Logging_2034/tillsynsmail/A 21630-2026 tillsynsbegäran mail.docx", "A 21630-2026")</f>
        <v/>
      </c>
    </row>
    <row r="75" ht="15" customHeight="1">
      <c r="A75" t="inlineStr">
        <is>
          <t>A 30493-2024</t>
        </is>
      </c>
      <c r="B75" s="1" t="n">
        <v>45492</v>
      </c>
      <c r="C75" s="1" t="n">
        <v>46191</v>
      </c>
      <c r="D75" t="inlineStr">
        <is>
          <t>DALARNAS LÄN</t>
        </is>
      </c>
      <c r="E75" t="inlineStr">
        <is>
          <t>ORSA</t>
        </is>
      </c>
      <c r="F75" t="inlineStr">
        <is>
          <t>Övriga statliga verk och myndigheter</t>
        </is>
      </c>
      <c r="G75" t="n">
        <v>2.2</v>
      </c>
      <c r="H75" t="n">
        <v>0</v>
      </c>
      <c r="I75" t="n">
        <v>0</v>
      </c>
      <c r="J75" t="n">
        <v>0</v>
      </c>
      <c r="K75" t="n">
        <v>1</v>
      </c>
      <c r="L75" t="n">
        <v>0</v>
      </c>
      <c r="M75" t="n">
        <v>0</v>
      </c>
      <c r="N75" t="n">
        <v>0</v>
      </c>
      <c r="O75" t="n">
        <v>1</v>
      </c>
      <c r="P75" t="n">
        <v>1</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384-2026</t>
        </is>
      </c>
      <c r="B76" s="1" t="n">
        <v>46027</v>
      </c>
      <c r="C76" s="1" t="n">
        <v>46191</v>
      </c>
      <c r="D76" t="inlineStr">
        <is>
          <t>DALARNAS LÄN</t>
        </is>
      </c>
      <c r="E76" t="inlineStr">
        <is>
          <t>ORSA</t>
        </is>
      </c>
      <c r="G76" t="n">
        <v>1</v>
      </c>
      <c r="H76" t="n">
        <v>1</v>
      </c>
      <c r="I76" t="n">
        <v>0</v>
      </c>
      <c r="J76" t="n">
        <v>1</v>
      </c>
      <c r="K76" t="n">
        <v>0</v>
      </c>
      <c r="L76" t="n">
        <v>0</v>
      </c>
      <c r="M76" t="n">
        <v>0</v>
      </c>
      <c r="N76" t="n">
        <v>0</v>
      </c>
      <c r="O76" t="n">
        <v>1</v>
      </c>
      <c r="P76" t="n">
        <v>0</v>
      </c>
      <c r="Q76" t="n">
        <v>1</v>
      </c>
      <c r="R76" s="2" t="inlineStr">
        <is>
          <t>Rosenfink</t>
        </is>
      </c>
      <c r="S76">
        <f>HYPERLINK("https://klasma.github.io/Logging_2034/artfynd/A 384-2026 artfynd.xlsx", "A 384-2026")</f>
        <v/>
      </c>
      <c r="T76">
        <f>HYPERLINK("https://klasma.github.io/Logging_2034/kartor/A 384-2026 karta.png", "A 384-2026")</f>
        <v/>
      </c>
      <c r="V76">
        <f>HYPERLINK("https://klasma.github.io/Logging_2034/klagomål/A 384-2026 FSC-klagomål.docx", "A 384-2026")</f>
        <v/>
      </c>
      <c r="W76">
        <f>HYPERLINK("https://klasma.github.io/Logging_2034/klagomålsmail/A 384-2026 FSC-klagomål mail.docx", "A 384-2026")</f>
        <v/>
      </c>
      <c r="X76">
        <f>HYPERLINK("https://klasma.github.io/Logging_2034/tillsyn/A 384-2026 tillsynsbegäran.docx", "A 384-2026")</f>
        <v/>
      </c>
      <c r="Y76">
        <f>HYPERLINK("https://klasma.github.io/Logging_2034/tillsynsmail/A 384-2026 tillsynsbegäran mail.docx", "A 384-2026")</f>
        <v/>
      </c>
      <c r="Z76">
        <f>HYPERLINK("https://klasma.github.io/Logging_2034/fåglar/A 384-2026 prioriterade fågelarter.docx", "A 384-2026")</f>
        <v/>
      </c>
    </row>
    <row r="77" ht="15" customHeight="1">
      <c r="A77" t="inlineStr">
        <is>
          <t>A 9466-2023</t>
        </is>
      </c>
      <c r="B77" s="1" t="n">
        <v>44981</v>
      </c>
      <c r="C77" s="1" t="n">
        <v>46191</v>
      </c>
      <c r="D77" t="inlineStr">
        <is>
          <t>DALARNAS LÄN</t>
        </is>
      </c>
      <c r="E77" t="inlineStr">
        <is>
          <t>ORSA</t>
        </is>
      </c>
      <c r="F77" t="inlineStr">
        <is>
          <t>Bergvik skog väst AB</t>
        </is>
      </c>
      <c r="G77" t="n">
        <v>3.8</v>
      </c>
      <c r="H77" t="n">
        <v>1</v>
      </c>
      <c r="I77" t="n">
        <v>0</v>
      </c>
      <c r="J77" t="n">
        <v>0</v>
      </c>
      <c r="K77" t="n">
        <v>0</v>
      </c>
      <c r="L77" t="n">
        <v>0</v>
      </c>
      <c r="M77" t="n">
        <v>0</v>
      </c>
      <c r="N77" t="n">
        <v>0</v>
      </c>
      <c r="O77" t="n">
        <v>0</v>
      </c>
      <c r="P77" t="n">
        <v>0</v>
      </c>
      <c r="Q77" t="n">
        <v>1</v>
      </c>
      <c r="R77" s="2" t="inlineStr">
        <is>
          <t>Tjäder</t>
        </is>
      </c>
      <c r="S77">
        <f>HYPERLINK("https://klasma.github.io/Logging_2034/artfynd/A 9466-2023 artfynd.xlsx", "A 9466-2023")</f>
        <v/>
      </c>
      <c r="T77">
        <f>HYPERLINK("https://klasma.github.io/Logging_2034/kartor/A 9466-2023 karta.png", "A 9466-2023")</f>
        <v/>
      </c>
      <c r="V77">
        <f>HYPERLINK("https://klasma.github.io/Logging_2034/klagomål/A 9466-2023 FSC-klagomål.docx", "A 9466-2023")</f>
        <v/>
      </c>
      <c r="W77">
        <f>HYPERLINK("https://klasma.github.io/Logging_2034/klagomålsmail/A 9466-2023 FSC-klagomål mail.docx", "A 9466-2023")</f>
        <v/>
      </c>
      <c r="X77">
        <f>HYPERLINK("https://klasma.github.io/Logging_2034/tillsyn/A 9466-2023 tillsynsbegäran.docx", "A 9466-2023")</f>
        <v/>
      </c>
      <c r="Y77">
        <f>HYPERLINK("https://klasma.github.io/Logging_2034/tillsynsmail/A 9466-2023 tillsynsbegäran mail.docx", "A 9466-2023")</f>
        <v/>
      </c>
      <c r="Z77">
        <f>HYPERLINK("https://klasma.github.io/Logging_2034/fåglar/A 9466-2023 prioriterade fågelarter.docx", "A 9466-2023")</f>
        <v/>
      </c>
    </row>
    <row r="78" ht="15" customHeight="1">
      <c r="A78" t="inlineStr">
        <is>
          <t>A 11812-2026</t>
        </is>
      </c>
      <c r="B78" s="1" t="n">
        <v>46085</v>
      </c>
      <c r="C78" s="1" t="n">
        <v>46191</v>
      </c>
      <c r="D78" t="inlineStr">
        <is>
          <t>DALARNAS LÄN</t>
        </is>
      </c>
      <c r="E78" t="inlineStr">
        <is>
          <t>ORSA</t>
        </is>
      </c>
      <c r="F78" t="inlineStr">
        <is>
          <t>Kyrkan</t>
        </is>
      </c>
      <c r="G78" t="n">
        <v>2</v>
      </c>
      <c r="H78" t="n">
        <v>1</v>
      </c>
      <c r="I78" t="n">
        <v>0</v>
      </c>
      <c r="J78" t="n">
        <v>0</v>
      </c>
      <c r="K78" t="n">
        <v>0</v>
      </c>
      <c r="L78" t="n">
        <v>0</v>
      </c>
      <c r="M78" t="n">
        <v>0</v>
      </c>
      <c r="N78" t="n">
        <v>0</v>
      </c>
      <c r="O78" t="n">
        <v>0</v>
      </c>
      <c r="P78" t="n">
        <v>0</v>
      </c>
      <c r="Q78" t="n">
        <v>1</v>
      </c>
      <c r="R78" s="2" t="inlineStr">
        <is>
          <t>Tjäder</t>
        </is>
      </c>
      <c r="S78">
        <f>HYPERLINK("https://klasma.github.io/Logging_2034/artfynd/A 11812-2026 artfynd.xlsx", "A 11812-2026")</f>
        <v/>
      </c>
      <c r="T78">
        <f>HYPERLINK("https://klasma.github.io/Logging_2034/kartor/A 11812-2026 karta.png", "A 11812-2026")</f>
        <v/>
      </c>
      <c r="V78">
        <f>HYPERLINK("https://klasma.github.io/Logging_2034/klagomål/A 11812-2026 FSC-klagomål.docx", "A 11812-2026")</f>
        <v/>
      </c>
      <c r="W78">
        <f>HYPERLINK("https://klasma.github.io/Logging_2034/klagomålsmail/A 11812-2026 FSC-klagomål mail.docx", "A 11812-2026")</f>
        <v/>
      </c>
      <c r="X78">
        <f>HYPERLINK("https://klasma.github.io/Logging_2034/tillsyn/A 11812-2026 tillsynsbegäran.docx", "A 11812-2026")</f>
        <v/>
      </c>
      <c r="Y78">
        <f>HYPERLINK("https://klasma.github.io/Logging_2034/tillsynsmail/A 11812-2026 tillsynsbegäran mail.docx", "A 11812-2026")</f>
        <v/>
      </c>
      <c r="Z78">
        <f>HYPERLINK("https://klasma.github.io/Logging_2034/fåglar/A 11812-2026 prioriterade fågelarter.docx", "A 11812-2026")</f>
        <v/>
      </c>
    </row>
    <row r="79" ht="15" customHeight="1">
      <c r="A79" t="inlineStr">
        <is>
          <t>A 21477-2026</t>
        </is>
      </c>
      <c r="B79" s="1" t="n">
        <v>46148</v>
      </c>
      <c r="C79" s="1" t="n">
        <v>46191</v>
      </c>
      <c r="D79" t="inlineStr">
        <is>
          <t>DALARNAS LÄN</t>
        </is>
      </c>
      <c r="E79" t="inlineStr">
        <is>
          <t>ORSA</t>
        </is>
      </c>
      <c r="G79" t="n">
        <v>17.1</v>
      </c>
      <c r="H79" t="n">
        <v>0</v>
      </c>
      <c r="I79" t="n">
        <v>0</v>
      </c>
      <c r="J79" t="n">
        <v>0</v>
      </c>
      <c r="K79" t="n">
        <v>1</v>
      </c>
      <c r="L79" t="n">
        <v>0</v>
      </c>
      <c r="M79" t="n">
        <v>0</v>
      </c>
      <c r="N79" t="n">
        <v>0</v>
      </c>
      <c r="O79" t="n">
        <v>1</v>
      </c>
      <c r="P79" t="n">
        <v>1</v>
      </c>
      <c r="Q79" t="n">
        <v>1</v>
      </c>
      <c r="R79" s="2" t="inlineStr">
        <is>
          <t>Garnlav</t>
        </is>
      </c>
      <c r="S79">
        <f>HYPERLINK("https://klasma.github.io/Logging_2034/artfynd/A 21477-2026 artfynd.xlsx", "A 21477-2026")</f>
        <v/>
      </c>
      <c r="T79">
        <f>HYPERLINK("https://klasma.github.io/Logging_2034/kartor/A 21477-2026 karta.png", "A 21477-2026")</f>
        <v/>
      </c>
      <c r="V79">
        <f>HYPERLINK("https://klasma.github.io/Logging_2034/klagomål/A 21477-2026 FSC-klagomål.docx", "A 21477-2026")</f>
        <v/>
      </c>
      <c r="W79">
        <f>HYPERLINK("https://klasma.github.io/Logging_2034/klagomålsmail/A 21477-2026 FSC-klagomål mail.docx", "A 21477-2026")</f>
        <v/>
      </c>
      <c r="X79">
        <f>HYPERLINK("https://klasma.github.io/Logging_2034/tillsyn/A 21477-2026 tillsynsbegäran.docx", "A 21477-2026")</f>
        <v/>
      </c>
      <c r="Y79">
        <f>HYPERLINK("https://klasma.github.io/Logging_2034/tillsynsmail/A 21477-2026 tillsynsbegäran mail.docx", "A 21477-2026")</f>
        <v/>
      </c>
    </row>
    <row r="80" ht="15" customHeight="1">
      <c r="A80" t="inlineStr">
        <is>
          <t>A 34713-2021</t>
        </is>
      </c>
      <c r="B80" s="1" t="n">
        <v>44382</v>
      </c>
      <c r="C80" s="1" t="n">
        <v>46191</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46191</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46191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46191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46191</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46191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46191</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46191</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46191</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46191</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46191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46191</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46191</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46191</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71744-2021</t>
        </is>
      </c>
      <c r="B94" s="1" t="n">
        <v>44543</v>
      </c>
      <c r="C94" s="1" t="n">
        <v>46191</v>
      </c>
      <c r="D94" t="inlineStr">
        <is>
          <t>DALARNAS LÄN</t>
        </is>
      </c>
      <c r="E94" t="inlineStr">
        <is>
          <t>ORSA</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46191</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46191</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46191</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46191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46191</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46191</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46191</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46191</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46191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v>
      </c>
      <c r="C104" s="1" t="n">
        <v>46191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46191</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46191</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46191</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46191</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v>
      </c>
      <c r="C109" s="1" t="n">
        <v>46191</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46191</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v>
      </c>
      <c r="C111" s="1" t="n">
        <v>46191</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v>
      </c>
      <c r="C112" s="1" t="n">
        <v>46191</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36089-2023</t>
        </is>
      </c>
      <c r="B113" s="1" t="n">
        <v>45149</v>
      </c>
      <c r="C113" s="1" t="n">
        <v>46191</v>
      </c>
      <c r="D113" t="inlineStr">
        <is>
          <t>DALARNAS LÄN</t>
        </is>
      </c>
      <c r="E113" t="inlineStr">
        <is>
          <t>ORSA</t>
        </is>
      </c>
      <c r="F113" t="inlineStr">
        <is>
          <t>Allmännings- och besparingsskogar</t>
        </is>
      </c>
      <c r="G113" t="n">
        <v>1.2</v>
      </c>
      <c r="H113" t="n">
        <v>0</v>
      </c>
      <c r="I113" t="n">
        <v>0</v>
      </c>
      <c r="J113" t="n">
        <v>0</v>
      </c>
      <c r="K113" t="n">
        <v>0</v>
      </c>
      <c r="L113" t="n">
        <v>0</v>
      </c>
      <c r="M113" t="n">
        <v>0</v>
      </c>
      <c r="N113" t="n">
        <v>0</v>
      </c>
      <c r="O113" t="n">
        <v>0</v>
      </c>
      <c r="P113" t="n">
        <v>0</v>
      </c>
      <c r="Q113" t="n">
        <v>0</v>
      </c>
      <c r="R113" s="2" t="inlineStr"/>
    </row>
    <row r="114" ht="15" customHeight="1">
      <c r="A114" t="inlineStr">
        <is>
          <t>A 62342-2023</t>
        </is>
      </c>
      <c r="B114" s="1" t="n">
        <v>45267</v>
      </c>
      <c r="C114" s="1" t="n">
        <v>46191</v>
      </c>
      <c r="D114" t="inlineStr">
        <is>
          <t>DALARNAS LÄN</t>
        </is>
      </c>
      <c r="E114" t="inlineStr">
        <is>
          <t>ORSA</t>
        </is>
      </c>
      <c r="G114" t="n">
        <v>2.5</v>
      </c>
      <c r="H114" t="n">
        <v>0</v>
      </c>
      <c r="I114" t="n">
        <v>0</v>
      </c>
      <c r="J114" t="n">
        <v>0</v>
      </c>
      <c r="K114" t="n">
        <v>0</v>
      </c>
      <c r="L114" t="n">
        <v>0</v>
      </c>
      <c r="M114" t="n">
        <v>0</v>
      </c>
      <c r="N114" t="n">
        <v>0</v>
      </c>
      <c r="O114" t="n">
        <v>0</v>
      </c>
      <c r="P114" t="n">
        <v>0</v>
      </c>
      <c r="Q114" t="n">
        <v>0</v>
      </c>
      <c r="R114" s="2" t="inlineStr"/>
    </row>
    <row r="115" ht="15" customHeight="1">
      <c r="A115" t="inlineStr">
        <is>
          <t>A 61000-2021</t>
        </is>
      </c>
      <c r="B115" s="1" t="n">
        <v>44497</v>
      </c>
      <c r="C115" s="1" t="n">
        <v>46191</v>
      </c>
      <c r="D115" t="inlineStr">
        <is>
          <t>DALARNAS LÄN</t>
        </is>
      </c>
      <c r="E115" t="inlineStr">
        <is>
          <t>ORSA</t>
        </is>
      </c>
      <c r="G115" t="n">
        <v>4.4</v>
      </c>
      <c r="H115" t="n">
        <v>0</v>
      </c>
      <c r="I115" t="n">
        <v>0</v>
      </c>
      <c r="J115" t="n">
        <v>0</v>
      </c>
      <c r="K115" t="n">
        <v>0</v>
      </c>
      <c r="L115" t="n">
        <v>0</v>
      </c>
      <c r="M115" t="n">
        <v>0</v>
      </c>
      <c r="N115" t="n">
        <v>0</v>
      </c>
      <c r="O115" t="n">
        <v>0</v>
      </c>
      <c r="P115" t="n">
        <v>0</v>
      </c>
      <c r="Q115" t="n">
        <v>0</v>
      </c>
      <c r="R115" s="2" t="inlineStr"/>
    </row>
    <row r="116" ht="15" customHeight="1">
      <c r="A116" t="inlineStr">
        <is>
          <t>A 61005-2021</t>
        </is>
      </c>
      <c r="B116" s="1" t="n">
        <v>44497</v>
      </c>
      <c r="C116" s="1" t="n">
        <v>46191</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38611-2022</t>
        </is>
      </c>
      <c r="B117" s="1" t="n">
        <v>44813</v>
      </c>
      <c r="C117" s="1" t="n">
        <v>46191</v>
      </c>
      <c r="D117" t="inlineStr">
        <is>
          <t>DALARNAS LÄN</t>
        </is>
      </c>
      <c r="E117" t="inlineStr">
        <is>
          <t>ORSA</t>
        </is>
      </c>
      <c r="G117" t="n">
        <v>3.6</v>
      </c>
      <c r="H117" t="n">
        <v>0</v>
      </c>
      <c r="I117" t="n">
        <v>0</v>
      </c>
      <c r="J117" t="n">
        <v>0</v>
      </c>
      <c r="K117" t="n">
        <v>0</v>
      </c>
      <c r="L117" t="n">
        <v>0</v>
      </c>
      <c r="M117" t="n">
        <v>0</v>
      </c>
      <c r="N117" t="n">
        <v>0</v>
      </c>
      <c r="O117" t="n">
        <v>0</v>
      </c>
      <c r="P117" t="n">
        <v>0</v>
      </c>
      <c r="Q117" t="n">
        <v>0</v>
      </c>
      <c r="R117" s="2" t="inlineStr"/>
    </row>
    <row r="118" ht="15" customHeight="1">
      <c r="A118" t="inlineStr">
        <is>
          <t>A 2948-2025</t>
        </is>
      </c>
      <c r="B118" s="1" t="n">
        <v>45678</v>
      </c>
      <c r="C118" s="1" t="n">
        <v>46191</v>
      </c>
      <c r="D118" t="inlineStr">
        <is>
          <t>DALARNAS LÄN</t>
        </is>
      </c>
      <c r="E118" t="inlineStr">
        <is>
          <t>ORSA</t>
        </is>
      </c>
      <c r="G118" t="n">
        <v>2</v>
      </c>
      <c r="H118" t="n">
        <v>0</v>
      </c>
      <c r="I118" t="n">
        <v>0</v>
      </c>
      <c r="J118" t="n">
        <v>0</v>
      </c>
      <c r="K118" t="n">
        <v>0</v>
      </c>
      <c r="L118" t="n">
        <v>0</v>
      </c>
      <c r="M118" t="n">
        <v>0</v>
      </c>
      <c r="N118" t="n">
        <v>0</v>
      </c>
      <c r="O118" t="n">
        <v>0</v>
      </c>
      <c r="P118" t="n">
        <v>0</v>
      </c>
      <c r="Q118" t="n">
        <v>0</v>
      </c>
      <c r="R118" s="2" t="inlineStr"/>
    </row>
    <row r="119" ht="15" customHeight="1">
      <c r="A119" t="inlineStr">
        <is>
          <t>A 6171-2025</t>
        </is>
      </c>
      <c r="B119" s="1" t="n">
        <v>45698</v>
      </c>
      <c r="C119" s="1" t="n">
        <v>46191</v>
      </c>
      <c r="D119" t="inlineStr">
        <is>
          <t>DALARNAS LÄN</t>
        </is>
      </c>
      <c r="E119" t="inlineStr">
        <is>
          <t>ORSA</t>
        </is>
      </c>
      <c r="G119" t="n">
        <v>11.1</v>
      </c>
      <c r="H119" t="n">
        <v>0</v>
      </c>
      <c r="I119" t="n">
        <v>0</v>
      </c>
      <c r="J119" t="n">
        <v>0</v>
      </c>
      <c r="K119" t="n">
        <v>0</v>
      </c>
      <c r="L119" t="n">
        <v>0</v>
      </c>
      <c r="M119" t="n">
        <v>0</v>
      </c>
      <c r="N119" t="n">
        <v>0</v>
      </c>
      <c r="O119" t="n">
        <v>0</v>
      </c>
      <c r="P119" t="n">
        <v>0</v>
      </c>
      <c r="Q119" t="n">
        <v>0</v>
      </c>
      <c r="R119" s="2" t="inlineStr"/>
    </row>
    <row r="120" ht="15" customHeight="1">
      <c r="A120" t="inlineStr">
        <is>
          <t>A 52903-2024</t>
        </is>
      </c>
      <c r="B120" s="1" t="n">
        <v>45610</v>
      </c>
      <c r="C120" s="1" t="n">
        <v>46191</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56706-2021</t>
        </is>
      </c>
      <c r="B121" s="1" t="n">
        <v>44481</v>
      </c>
      <c r="C121" s="1" t="n">
        <v>46191</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38844-2025</t>
        </is>
      </c>
      <c r="B122" s="1" t="n">
        <v>45887</v>
      </c>
      <c r="C122" s="1" t="n">
        <v>46191</v>
      </c>
      <c r="D122" t="inlineStr">
        <is>
          <t>DALARNAS LÄN</t>
        </is>
      </c>
      <c r="E122" t="inlineStr">
        <is>
          <t>ORSA</t>
        </is>
      </c>
      <c r="G122" t="n">
        <v>1.6</v>
      </c>
      <c r="H122" t="n">
        <v>0</v>
      </c>
      <c r="I122" t="n">
        <v>0</v>
      </c>
      <c r="J122" t="n">
        <v>0</v>
      </c>
      <c r="K122" t="n">
        <v>0</v>
      </c>
      <c r="L122" t="n">
        <v>0</v>
      </c>
      <c r="M122" t="n">
        <v>0</v>
      </c>
      <c r="N122" t="n">
        <v>0</v>
      </c>
      <c r="O122" t="n">
        <v>0</v>
      </c>
      <c r="P122" t="n">
        <v>0</v>
      </c>
      <c r="Q122" t="n">
        <v>0</v>
      </c>
      <c r="R122" s="2" t="inlineStr"/>
    </row>
    <row r="123" ht="15" customHeight="1">
      <c r="A123" t="inlineStr">
        <is>
          <t>A 38840-2025</t>
        </is>
      </c>
      <c r="B123" s="1" t="n">
        <v>45887</v>
      </c>
      <c r="C123" s="1" t="n">
        <v>46191</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59411-2024</t>
        </is>
      </c>
      <c r="B124" s="1" t="n">
        <v>45638</v>
      </c>
      <c r="C124" s="1" t="n">
        <v>46191</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59414-2024</t>
        </is>
      </c>
      <c r="B125" s="1" t="n">
        <v>45638</v>
      </c>
      <c r="C125" s="1" t="n">
        <v>46191</v>
      </c>
      <c r="D125" t="inlineStr">
        <is>
          <t>DALARNAS LÄN</t>
        </is>
      </c>
      <c r="E125" t="inlineStr">
        <is>
          <t>ORSA</t>
        </is>
      </c>
      <c r="G125" t="n">
        <v>0.8</v>
      </c>
      <c r="H125" t="n">
        <v>0</v>
      </c>
      <c r="I125" t="n">
        <v>0</v>
      </c>
      <c r="J125" t="n">
        <v>0</v>
      </c>
      <c r="K125" t="n">
        <v>0</v>
      </c>
      <c r="L125" t="n">
        <v>0</v>
      </c>
      <c r="M125" t="n">
        <v>0</v>
      </c>
      <c r="N125" t="n">
        <v>0</v>
      </c>
      <c r="O125" t="n">
        <v>0</v>
      </c>
      <c r="P125" t="n">
        <v>0</v>
      </c>
      <c r="Q125" t="n">
        <v>0</v>
      </c>
      <c r="R125" s="2" t="inlineStr"/>
    </row>
    <row r="126" ht="15" customHeight="1">
      <c r="A126" t="inlineStr">
        <is>
          <t>A 40111-2025</t>
        </is>
      </c>
      <c r="B126" s="1" t="n">
        <v>45894</v>
      </c>
      <c r="C126" s="1" t="n">
        <v>46191</v>
      </c>
      <c r="D126" t="inlineStr">
        <is>
          <t>DALARNAS LÄN</t>
        </is>
      </c>
      <c r="E126" t="inlineStr">
        <is>
          <t>ORSA</t>
        </is>
      </c>
      <c r="F126" t="inlineStr">
        <is>
          <t>Allmännings- och besparingsskogar</t>
        </is>
      </c>
      <c r="G126" t="n">
        <v>18.6</v>
      </c>
      <c r="H126" t="n">
        <v>0</v>
      </c>
      <c r="I126" t="n">
        <v>0</v>
      </c>
      <c r="J126" t="n">
        <v>0</v>
      </c>
      <c r="K126" t="n">
        <v>0</v>
      </c>
      <c r="L126" t="n">
        <v>0</v>
      </c>
      <c r="M126" t="n">
        <v>0</v>
      </c>
      <c r="N126" t="n">
        <v>0</v>
      </c>
      <c r="O126" t="n">
        <v>0</v>
      </c>
      <c r="P126" t="n">
        <v>0</v>
      </c>
      <c r="Q126" t="n">
        <v>0</v>
      </c>
      <c r="R126" s="2" t="inlineStr"/>
    </row>
    <row r="127" ht="15" customHeight="1">
      <c r="A127" t="inlineStr">
        <is>
          <t>A 9836-2022</t>
        </is>
      </c>
      <c r="B127" s="1" t="n">
        <v>44620</v>
      </c>
      <c r="C127" s="1" t="n">
        <v>46191</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40070-2025</t>
        </is>
      </c>
      <c r="B128" s="1" t="n">
        <v>45894</v>
      </c>
      <c r="C128" s="1" t="n">
        <v>46191</v>
      </c>
      <c r="D128" t="inlineStr">
        <is>
          <t>DALARNAS LÄN</t>
        </is>
      </c>
      <c r="E128" t="inlineStr">
        <is>
          <t>ORSA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40091-2025</t>
        </is>
      </c>
      <c r="B129" s="1" t="n">
        <v>45894</v>
      </c>
      <c r="C129" s="1" t="n">
        <v>46191</v>
      </c>
      <c r="D129" t="inlineStr">
        <is>
          <t>DALARNAS LÄN</t>
        </is>
      </c>
      <c r="E129" t="inlineStr">
        <is>
          <t>ORSA</t>
        </is>
      </c>
      <c r="F129" t="inlineStr">
        <is>
          <t>Allmännings- och besparingsskogar</t>
        </is>
      </c>
      <c r="G129" t="n">
        <v>20.4</v>
      </c>
      <c r="H129" t="n">
        <v>0</v>
      </c>
      <c r="I129" t="n">
        <v>0</v>
      </c>
      <c r="J129" t="n">
        <v>0</v>
      </c>
      <c r="K129" t="n">
        <v>0</v>
      </c>
      <c r="L129" t="n">
        <v>0</v>
      </c>
      <c r="M129" t="n">
        <v>0</v>
      </c>
      <c r="N129" t="n">
        <v>0</v>
      </c>
      <c r="O129" t="n">
        <v>0</v>
      </c>
      <c r="P129" t="n">
        <v>0</v>
      </c>
      <c r="Q129" t="n">
        <v>0</v>
      </c>
      <c r="R129" s="2" t="inlineStr"/>
    </row>
    <row r="130" ht="15" customHeight="1">
      <c r="A130" t="inlineStr">
        <is>
          <t>A 2551-2026</t>
        </is>
      </c>
      <c r="B130" s="1" t="n">
        <v>46037</v>
      </c>
      <c r="C130" s="1" t="n">
        <v>46191</v>
      </c>
      <c r="D130" t="inlineStr">
        <is>
          <t>DALARNAS LÄN</t>
        </is>
      </c>
      <c r="E130" t="inlineStr">
        <is>
          <t>ORSA</t>
        </is>
      </c>
      <c r="G130" t="n">
        <v>2.6</v>
      </c>
      <c r="H130" t="n">
        <v>0</v>
      </c>
      <c r="I130" t="n">
        <v>0</v>
      </c>
      <c r="J130" t="n">
        <v>0</v>
      </c>
      <c r="K130" t="n">
        <v>0</v>
      </c>
      <c r="L130" t="n">
        <v>0</v>
      </c>
      <c r="M130" t="n">
        <v>0</v>
      </c>
      <c r="N130" t="n">
        <v>0</v>
      </c>
      <c r="O130" t="n">
        <v>0</v>
      </c>
      <c r="P130" t="n">
        <v>0</v>
      </c>
      <c r="Q130" t="n">
        <v>0</v>
      </c>
      <c r="R130" s="2" t="inlineStr"/>
    </row>
    <row r="131" ht="15" customHeight="1">
      <c r="A131" t="inlineStr">
        <is>
          <t>A 3000-2026</t>
        </is>
      </c>
      <c r="B131" s="1" t="n">
        <v>46038</v>
      </c>
      <c r="C131" s="1" t="n">
        <v>46191</v>
      </c>
      <c r="D131" t="inlineStr">
        <is>
          <t>DALARNAS LÄN</t>
        </is>
      </c>
      <c r="E131" t="inlineStr">
        <is>
          <t>ORSA</t>
        </is>
      </c>
      <c r="G131" t="n">
        <v>1.9</v>
      </c>
      <c r="H131" t="n">
        <v>0</v>
      </c>
      <c r="I131" t="n">
        <v>0</v>
      </c>
      <c r="J131" t="n">
        <v>0</v>
      </c>
      <c r="K131" t="n">
        <v>0</v>
      </c>
      <c r="L131" t="n">
        <v>0</v>
      </c>
      <c r="M131" t="n">
        <v>0</v>
      </c>
      <c r="N131" t="n">
        <v>0</v>
      </c>
      <c r="O131" t="n">
        <v>0</v>
      </c>
      <c r="P131" t="n">
        <v>0</v>
      </c>
      <c r="Q131" t="n">
        <v>0</v>
      </c>
      <c r="R131" s="2" t="inlineStr"/>
    </row>
    <row r="132" ht="15" customHeight="1">
      <c r="A132" t="inlineStr">
        <is>
          <t>A 40577-2025</t>
        </is>
      </c>
      <c r="B132" s="1" t="n">
        <v>45896</v>
      </c>
      <c r="C132" s="1" t="n">
        <v>46191</v>
      </c>
      <c r="D132" t="inlineStr">
        <is>
          <t>DALARNAS LÄN</t>
        </is>
      </c>
      <c r="E132" t="inlineStr">
        <is>
          <t>ORSA</t>
        </is>
      </c>
      <c r="F132" t="inlineStr">
        <is>
          <t>Allmännings- och besparingsskogar</t>
        </is>
      </c>
      <c r="G132" t="n">
        <v>13.8</v>
      </c>
      <c r="H132" t="n">
        <v>0</v>
      </c>
      <c r="I132" t="n">
        <v>0</v>
      </c>
      <c r="J132" t="n">
        <v>0</v>
      </c>
      <c r="K132" t="n">
        <v>0</v>
      </c>
      <c r="L132" t="n">
        <v>0</v>
      </c>
      <c r="M132" t="n">
        <v>0</v>
      </c>
      <c r="N132" t="n">
        <v>0</v>
      </c>
      <c r="O132" t="n">
        <v>0</v>
      </c>
      <c r="P132" t="n">
        <v>0</v>
      </c>
      <c r="Q132" t="n">
        <v>0</v>
      </c>
      <c r="R132" s="2" t="inlineStr"/>
    </row>
    <row r="133" ht="15" customHeight="1">
      <c r="A133" t="inlineStr">
        <is>
          <t>A 89-2026</t>
        </is>
      </c>
      <c r="B133" s="1" t="n">
        <v>46016</v>
      </c>
      <c r="C133" s="1" t="n">
        <v>46191</v>
      </c>
      <c r="D133" t="inlineStr">
        <is>
          <t>DALARNAS LÄN</t>
        </is>
      </c>
      <c r="E133" t="inlineStr">
        <is>
          <t>ORSA</t>
        </is>
      </c>
      <c r="G133" t="n">
        <v>1.3</v>
      </c>
      <c r="H133" t="n">
        <v>0</v>
      </c>
      <c r="I133" t="n">
        <v>0</v>
      </c>
      <c r="J133" t="n">
        <v>0</v>
      </c>
      <c r="K133" t="n">
        <v>0</v>
      </c>
      <c r="L133" t="n">
        <v>0</v>
      </c>
      <c r="M133" t="n">
        <v>0</v>
      </c>
      <c r="N133" t="n">
        <v>0</v>
      </c>
      <c r="O133" t="n">
        <v>0</v>
      </c>
      <c r="P133" t="n">
        <v>0</v>
      </c>
      <c r="Q133" t="n">
        <v>0</v>
      </c>
      <c r="R133" s="2" t="inlineStr"/>
    </row>
    <row r="134" ht="15" customHeight="1">
      <c r="A134" t="inlineStr">
        <is>
          <t>A 17850-2025</t>
        </is>
      </c>
      <c r="B134" s="1" t="n">
        <v>45758</v>
      </c>
      <c r="C134" s="1" t="n">
        <v>46191</v>
      </c>
      <c r="D134" t="inlineStr">
        <is>
          <t>DALARNAS LÄN</t>
        </is>
      </c>
      <c r="E134" t="inlineStr">
        <is>
          <t>ORSA</t>
        </is>
      </c>
      <c r="G134" t="n">
        <v>2</v>
      </c>
      <c r="H134" t="n">
        <v>0</v>
      </c>
      <c r="I134" t="n">
        <v>0</v>
      </c>
      <c r="J134" t="n">
        <v>0</v>
      </c>
      <c r="K134" t="n">
        <v>0</v>
      </c>
      <c r="L134" t="n">
        <v>0</v>
      </c>
      <c r="M134" t="n">
        <v>0</v>
      </c>
      <c r="N134" t="n">
        <v>0</v>
      </c>
      <c r="O134" t="n">
        <v>0</v>
      </c>
      <c r="P134" t="n">
        <v>0</v>
      </c>
      <c r="Q134" t="n">
        <v>0</v>
      </c>
      <c r="R134" s="2" t="inlineStr"/>
    </row>
    <row r="135" ht="15" customHeight="1">
      <c r="A135" t="inlineStr">
        <is>
          <t>A 3364-2026</t>
        </is>
      </c>
      <c r="B135" s="1" t="n">
        <v>46042</v>
      </c>
      <c r="C135" s="1" t="n">
        <v>46191</v>
      </c>
      <c r="D135" t="inlineStr">
        <is>
          <t>DALARNAS LÄN</t>
        </is>
      </c>
      <c r="E135" t="inlineStr">
        <is>
          <t>ORSA</t>
        </is>
      </c>
      <c r="G135" t="n">
        <v>1.1</v>
      </c>
      <c r="H135" t="n">
        <v>0</v>
      </c>
      <c r="I135" t="n">
        <v>0</v>
      </c>
      <c r="J135" t="n">
        <v>0</v>
      </c>
      <c r="K135" t="n">
        <v>0</v>
      </c>
      <c r="L135" t="n">
        <v>0</v>
      </c>
      <c r="M135" t="n">
        <v>0</v>
      </c>
      <c r="N135" t="n">
        <v>0</v>
      </c>
      <c r="O135" t="n">
        <v>0</v>
      </c>
      <c r="P135" t="n">
        <v>0</v>
      </c>
      <c r="Q135" t="n">
        <v>0</v>
      </c>
      <c r="R135" s="2" t="inlineStr"/>
    </row>
    <row r="136" ht="15" customHeight="1">
      <c r="A136" t="inlineStr">
        <is>
          <t>A 3988-2026</t>
        </is>
      </c>
      <c r="B136" s="1" t="n">
        <v>46044</v>
      </c>
      <c r="C136" s="1" t="n">
        <v>46191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22491-2025</t>
        </is>
      </c>
      <c r="B137" s="1" t="n">
        <v>45786</v>
      </c>
      <c r="C137" s="1" t="n">
        <v>46191</v>
      </c>
      <c r="D137" t="inlineStr">
        <is>
          <t>DALARNAS LÄN</t>
        </is>
      </c>
      <c r="E137" t="inlineStr">
        <is>
          <t>ORSA</t>
        </is>
      </c>
      <c r="F137" t="inlineStr">
        <is>
          <t>Bergvik skog öst AB</t>
        </is>
      </c>
      <c r="G137" t="n">
        <v>5.7</v>
      </c>
      <c r="H137" t="n">
        <v>0</v>
      </c>
      <c r="I137" t="n">
        <v>0</v>
      </c>
      <c r="J137" t="n">
        <v>0</v>
      </c>
      <c r="K137" t="n">
        <v>0</v>
      </c>
      <c r="L137" t="n">
        <v>0</v>
      </c>
      <c r="M137" t="n">
        <v>0</v>
      </c>
      <c r="N137" t="n">
        <v>0</v>
      </c>
      <c r="O137" t="n">
        <v>0</v>
      </c>
      <c r="P137" t="n">
        <v>0</v>
      </c>
      <c r="Q137" t="n">
        <v>0</v>
      </c>
      <c r="R137" s="2" t="inlineStr"/>
    </row>
    <row r="138" ht="15" customHeight="1">
      <c r="A138" t="inlineStr">
        <is>
          <t>A 51994-2023</t>
        </is>
      </c>
      <c r="B138" s="1" t="n">
        <v>45223</v>
      </c>
      <c r="C138" s="1" t="n">
        <v>46191</v>
      </c>
      <c r="D138" t="inlineStr">
        <is>
          <t>DALARNAS LÄN</t>
        </is>
      </c>
      <c r="E138" t="inlineStr">
        <is>
          <t>ORSA</t>
        </is>
      </c>
      <c r="G138" t="n">
        <v>10.7</v>
      </c>
      <c r="H138" t="n">
        <v>0</v>
      </c>
      <c r="I138" t="n">
        <v>0</v>
      </c>
      <c r="J138" t="n">
        <v>0</v>
      </c>
      <c r="K138" t="n">
        <v>0</v>
      </c>
      <c r="L138" t="n">
        <v>0</v>
      </c>
      <c r="M138" t="n">
        <v>0</v>
      </c>
      <c r="N138" t="n">
        <v>0</v>
      </c>
      <c r="O138" t="n">
        <v>0</v>
      </c>
      <c r="P138" t="n">
        <v>0</v>
      </c>
      <c r="Q138" t="n">
        <v>0</v>
      </c>
      <c r="R138" s="2" t="inlineStr"/>
    </row>
    <row r="139" ht="15" customHeight="1">
      <c r="A139" t="inlineStr">
        <is>
          <t>A 72284-2021</t>
        </is>
      </c>
      <c r="B139" s="1" t="n">
        <v>44545</v>
      </c>
      <c r="C139" s="1" t="n">
        <v>46191</v>
      </c>
      <c r="D139" t="inlineStr">
        <is>
          <t>DALARNAS LÄN</t>
        </is>
      </c>
      <c r="E139" t="inlineStr">
        <is>
          <t>ORSA</t>
        </is>
      </c>
      <c r="G139" t="n">
        <v>0.5</v>
      </c>
      <c r="H139" t="n">
        <v>0</v>
      </c>
      <c r="I139" t="n">
        <v>0</v>
      </c>
      <c r="J139" t="n">
        <v>0</v>
      </c>
      <c r="K139" t="n">
        <v>0</v>
      </c>
      <c r="L139" t="n">
        <v>0</v>
      </c>
      <c r="M139" t="n">
        <v>0</v>
      </c>
      <c r="N139" t="n">
        <v>0</v>
      </c>
      <c r="O139" t="n">
        <v>0</v>
      </c>
      <c r="P139" t="n">
        <v>0</v>
      </c>
      <c r="Q139" t="n">
        <v>0</v>
      </c>
      <c r="R139" s="2" t="inlineStr"/>
    </row>
    <row r="140" ht="15" customHeight="1">
      <c r="A140" t="inlineStr">
        <is>
          <t>A 48985-2023</t>
        </is>
      </c>
      <c r="B140" s="1" t="n">
        <v>45209</v>
      </c>
      <c r="C140" s="1" t="n">
        <v>46191</v>
      </c>
      <c r="D140" t="inlineStr">
        <is>
          <t>DALARNAS LÄN</t>
        </is>
      </c>
      <c r="E140" t="inlineStr">
        <is>
          <t>ORSA</t>
        </is>
      </c>
      <c r="F140" t="inlineStr">
        <is>
          <t>Allmännings- och besparingsskogar</t>
        </is>
      </c>
      <c r="G140" t="n">
        <v>2.1</v>
      </c>
      <c r="H140" t="n">
        <v>0</v>
      </c>
      <c r="I140" t="n">
        <v>0</v>
      </c>
      <c r="J140" t="n">
        <v>0</v>
      </c>
      <c r="K140" t="n">
        <v>0</v>
      </c>
      <c r="L140" t="n">
        <v>0</v>
      </c>
      <c r="M140" t="n">
        <v>0</v>
      </c>
      <c r="N140" t="n">
        <v>0</v>
      </c>
      <c r="O140" t="n">
        <v>0</v>
      </c>
      <c r="P140" t="n">
        <v>0</v>
      </c>
      <c r="Q140" t="n">
        <v>0</v>
      </c>
      <c r="R140" s="2" t="inlineStr"/>
    </row>
    <row r="141" ht="15" customHeight="1">
      <c r="A141" t="inlineStr">
        <is>
          <t>A 4011-2026</t>
        </is>
      </c>
      <c r="B141" s="1" t="n">
        <v>46044</v>
      </c>
      <c r="C141" s="1" t="n">
        <v>46191</v>
      </c>
      <c r="D141" t="inlineStr">
        <is>
          <t>DALARNAS LÄN</t>
        </is>
      </c>
      <c r="E141" t="inlineStr">
        <is>
          <t>ORSA</t>
        </is>
      </c>
      <c r="G141" t="n">
        <v>3.6</v>
      </c>
      <c r="H141" t="n">
        <v>0</v>
      </c>
      <c r="I141" t="n">
        <v>0</v>
      </c>
      <c r="J141" t="n">
        <v>0</v>
      </c>
      <c r="K141" t="n">
        <v>0</v>
      </c>
      <c r="L141" t="n">
        <v>0</v>
      </c>
      <c r="M141" t="n">
        <v>0</v>
      </c>
      <c r="N141" t="n">
        <v>0</v>
      </c>
      <c r="O141" t="n">
        <v>0</v>
      </c>
      <c r="P141" t="n">
        <v>0</v>
      </c>
      <c r="Q141" t="n">
        <v>0</v>
      </c>
      <c r="R141" s="2" t="inlineStr"/>
    </row>
    <row r="142" ht="15" customHeight="1">
      <c r="A142" t="inlineStr">
        <is>
          <t>A 41666-2025</t>
        </is>
      </c>
      <c r="B142" s="1" t="n">
        <v>45902</v>
      </c>
      <c r="C142" s="1" t="n">
        <v>46191</v>
      </c>
      <c r="D142" t="inlineStr">
        <is>
          <t>DALARNAS LÄN</t>
        </is>
      </c>
      <c r="E142" t="inlineStr">
        <is>
          <t>ORSA</t>
        </is>
      </c>
      <c r="G142" t="n">
        <v>1.4</v>
      </c>
      <c r="H142" t="n">
        <v>0</v>
      </c>
      <c r="I142" t="n">
        <v>0</v>
      </c>
      <c r="J142" t="n">
        <v>0</v>
      </c>
      <c r="K142" t="n">
        <v>0</v>
      </c>
      <c r="L142" t="n">
        <v>0</v>
      </c>
      <c r="M142" t="n">
        <v>0</v>
      </c>
      <c r="N142" t="n">
        <v>0</v>
      </c>
      <c r="O142" t="n">
        <v>0</v>
      </c>
      <c r="P142" t="n">
        <v>0</v>
      </c>
      <c r="Q142" t="n">
        <v>0</v>
      </c>
      <c r="R142" s="2" t="inlineStr"/>
    </row>
    <row r="143" ht="15" customHeight="1">
      <c r="A143" t="inlineStr">
        <is>
          <t>A 13185-2022</t>
        </is>
      </c>
      <c r="B143" s="1" t="n">
        <v>44644</v>
      </c>
      <c r="C143" s="1" t="n">
        <v>46191</v>
      </c>
      <c r="D143" t="inlineStr">
        <is>
          <t>DALARNAS LÄN</t>
        </is>
      </c>
      <c r="E143" t="inlineStr">
        <is>
          <t>ORSA</t>
        </is>
      </c>
      <c r="G143" t="n">
        <v>0.6</v>
      </c>
      <c r="H143" t="n">
        <v>0</v>
      </c>
      <c r="I143" t="n">
        <v>0</v>
      </c>
      <c r="J143" t="n">
        <v>0</v>
      </c>
      <c r="K143" t="n">
        <v>0</v>
      </c>
      <c r="L143" t="n">
        <v>0</v>
      </c>
      <c r="M143" t="n">
        <v>0</v>
      </c>
      <c r="N143" t="n">
        <v>0</v>
      </c>
      <c r="O143" t="n">
        <v>0</v>
      </c>
      <c r="P143" t="n">
        <v>0</v>
      </c>
      <c r="Q143" t="n">
        <v>0</v>
      </c>
      <c r="R143" s="2" t="inlineStr"/>
    </row>
    <row r="144" ht="15" customHeight="1">
      <c r="A144" t="inlineStr">
        <is>
          <t>A 46454-2024</t>
        </is>
      </c>
      <c r="B144" s="1" t="n">
        <v>45582</v>
      </c>
      <c r="C144" s="1" t="n">
        <v>46191</v>
      </c>
      <c r="D144" t="inlineStr">
        <is>
          <t>DALARNAS LÄN</t>
        </is>
      </c>
      <c r="E144" t="inlineStr">
        <is>
          <t>ORSA</t>
        </is>
      </c>
      <c r="F144" t="inlineStr">
        <is>
          <t>Övriga statliga verk och myndigheter</t>
        </is>
      </c>
      <c r="G144" t="n">
        <v>1</v>
      </c>
      <c r="H144" t="n">
        <v>0</v>
      </c>
      <c r="I144" t="n">
        <v>0</v>
      </c>
      <c r="J144" t="n">
        <v>0</v>
      </c>
      <c r="K144" t="n">
        <v>0</v>
      </c>
      <c r="L144" t="n">
        <v>0</v>
      </c>
      <c r="M144" t="n">
        <v>0</v>
      </c>
      <c r="N144" t="n">
        <v>0</v>
      </c>
      <c r="O144" t="n">
        <v>0</v>
      </c>
      <c r="P144" t="n">
        <v>0</v>
      </c>
      <c r="Q144" t="n">
        <v>0</v>
      </c>
      <c r="R144" s="2" t="inlineStr"/>
    </row>
    <row r="145" ht="15" customHeight="1">
      <c r="A145" t="inlineStr">
        <is>
          <t>A 41919-2025</t>
        </is>
      </c>
      <c r="B145" s="1" t="n">
        <v>45903</v>
      </c>
      <c r="C145" s="1" t="n">
        <v>46191</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52649-2024</t>
        </is>
      </c>
      <c r="B146" s="1" t="n">
        <v>45610</v>
      </c>
      <c r="C146" s="1" t="n">
        <v>46191</v>
      </c>
      <c r="D146" t="inlineStr">
        <is>
          <t>DALARNAS LÄN</t>
        </is>
      </c>
      <c r="E146" t="inlineStr">
        <is>
          <t>ORSA</t>
        </is>
      </c>
      <c r="G146" t="n">
        <v>1.3</v>
      </c>
      <c r="H146" t="n">
        <v>0</v>
      </c>
      <c r="I146" t="n">
        <v>0</v>
      </c>
      <c r="J146" t="n">
        <v>0</v>
      </c>
      <c r="K146" t="n">
        <v>0</v>
      </c>
      <c r="L146" t="n">
        <v>0</v>
      </c>
      <c r="M146" t="n">
        <v>0</v>
      </c>
      <c r="N146" t="n">
        <v>0</v>
      </c>
      <c r="O146" t="n">
        <v>0</v>
      </c>
      <c r="P146" t="n">
        <v>0</v>
      </c>
      <c r="Q146" t="n">
        <v>0</v>
      </c>
      <c r="R146" s="2" t="inlineStr"/>
    </row>
    <row r="147" ht="15" customHeight="1">
      <c r="A147" t="inlineStr">
        <is>
          <t>A 42226-2025</t>
        </is>
      </c>
      <c r="B147" s="1" t="n">
        <v>45904</v>
      </c>
      <c r="C147" s="1" t="n">
        <v>46191</v>
      </c>
      <c r="D147" t="inlineStr">
        <is>
          <t>DALARNAS LÄN</t>
        </is>
      </c>
      <c r="E147" t="inlineStr">
        <is>
          <t>ORSA</t>
        </is>
      </c>
      <c r="F147" t="inlineStr">
        <is>
          <t>Allmännings- och besparingsskogar</t>
        </is>
      </c>
      <c r="G147" t="n">
        <v>18</v>
      </c>
      <c r="H147" t="n">
        <v>0</v>
      </c>
      <c r="I147" t="n">
        <v>0</v>
      </c>
      <c r="J147" t="n">
        <v>0</v>
      </c>
      <c r="K147" t="n">
        <v>0</v>
      </c>
      <c r="L147" t="n">
        <v>0</v>
      </c>
      <c r="M147" t="n">
        <v>0</v>
      </c>
      <c r="N147" t="n">
        <v>0</v>
      </c>
      <c r="O147" t="n">
        <v>0</v>
      </c>
      <c r="P147" t="n">
        <v>0</v>
      </c>
      <c r="Q147" t="n">
        <v>0</v>
      </c>
      <c r="R147" s="2" t="inlineStr"/>
    </row>
    <row r="148" ht="15" customHeight="1">
      <c r="A148" t="inlineStr">
        <is>
          <t>A 29984-2025</t>
        </is>
      </c>
      <c r="B148" s="1" t="n">
        <v>45826</v>
      </c>
      <c r="C148" s="1" t="n">
        <v>46191</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4690-2026</t>
        </is>
      </c>
      <c r="B149" s="1" t="n">
        <v>46048</v>
      </c>
      <c r="C149" s="1" t="n">
        <v>46191</v>
      </c>
      <c r="D149" t="inlineStr">
        <is>
          <t>DALARNAS LÄN</t>
        </is>
      </c>
      <c r="E149" t="inlineStr">
        <is>
          <t>ORSA</t>
        </is>
      </c>
      <c r="G149" t="n">
        <v>14.2</v>
      </c>
      <c r="H149" t="n">
        <v>0</v>
      </c>
      <c r="I149" t="n">
        <v>0</v>
      </c>
      <c r="J149" t="n">
        <v>0</v>
      </c>
      <c r="K149" t="n">
        <v>0</v>
      </c>
      <c r="L149" t="n">
        <v>0</v>
      </c>
      <c r="M149" t="n">
        <v>0</v>
      </c>
      <c r="N149" t="n">
        <v>0</v>
      </c>
      <c r="O149" t="n">
        <v>0</v>
      </c>
      <c r="P149" t="n">
        <v>0</v>
      </c>
      <c r="Q149" t="n">
        <v>0</v>
      </c>
      <c r="R149" s="2" t="inlineStr"/>
    </row>
    <row r="150" ht="15" customHeight="1">
      <c r="A150" t="inlineStr">
        <is>
          <t>A 23875-2025</t>
        </is>
      </c>
      <c r="B150" s="1" t="n">
        <v>45793</v>
      </c>
      <c r="C150" s="1" t="n">
        <v>46191</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5395-2026</t>
        </is>
      </c>
      <c r="B151" s="1" t="n">
        <v>46050</v>
      </c>
      <c r="C151" s="1" t="n">
        <v>46191</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13209-2022</t>
        </is>
      </c>
      <c r="B152" s="1" t="n">
        <v>44644</v>
      </c>
      <c r="C152" s="1" t="n">
        <v>46191</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5377-2026</t>
        </is>
      </c>
      <c r="B153" s="1" t="n">
        <v>46050</v>
      </c>
      <c r="C153" s="1" t="n">
        <v>46191</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5460-2026</t>
        </is>
      </c>
      <c r="B154" s="1" t="n">
        <v>46050</v>
      </c>
      <c r="C154" s="1" t="n">
        <v>46191</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5393-2026</t>
        </is>
      </c>
      <c r="B155" s="1" t="n">
        <v>46050</v>
      </c>
      <c r="C155" s="1" t="n">
        <v>46191</v>
      </c>
      <c r="D155" t="inlineStr">
        <is>
          <t>DALARNAS LÄN</t>
        </is>
      </c>
      <c r="E155" t="inlineStr">
        <is>
          <t>ORSA</t>
        </is>
      </c>
      <c r="G155" t="n">
        <v>4.2</v>
      </c>
      <c r="H155" t="n">
        <v>0</v>
      </c>
      <c r="I155" t="n">
        <v>0</v>
      </c>
      <c r="J155" t="n">
        <v>0</v>
      </c>
      <c r="K155" t="n">
        <v>0</v>
      </c>
      <c r="L155" t="n">
        <v>0</v>
      </c>
      <c r="M155" t="n">
        <v>0</v>
      </c>
      <c r="N155" t="n">
        <v>0</v>
      </c>
      <c r="O155" t="n">
        <v>0</v>
      </c>
      <c r="P155" t="n">
        <v>0</v>
      </c>
      <c r="Q155" t="n">
        <v>0</v>
      </c>
      <c r="R155" s="2" t="inlineStr"/>
    </row>
    <row r="156" ht="15" customHeight="1">
      <c r="A156" t="inlineStr">
        <is>
          <t>A 12704-2022</t>
        </is>
      </c>
      <c r="B156" s="1" t="n">
        <v>44641</v>
      </c>
      <c r="C156" s="1" t="n">
        <v>46191</v>
      </c>
      <c r="D156" t="inlineStr">
        <is>
          <t>DALARNAS LÄN</t>
        </is>
      </c>
      <c r="E156" t="inlineStr">
        <is>
          <t>ORSA</t>
        </is>
      </c>
      <c r="G156" t="n">
        <v>2.4</v>
      </c>
      <c r="H156" t="n">
        <v>0</v>
      </c>
      <c r="I156" t="n">
        <v>0</v>
      </c>
      <c r="J156" t="n">
        <v>0</v>
      </c>
      <c r="K156" t="n">
        <v>0</v>
      </c>
      <c r="L156" t="n">
        <v>0</v>
      </c>
      <c r="M156" t="n">
        <v>0</v>
      </c>
      <c r="N156" t="n">
        <v>0</v>
      </c>
      <c r="O156" t="n">
        <v>0</v>
      </c>
      <c r="P156" t="n">
        <v>0</v>
      </c>
      <c r="Q156" t="n">
        <v>0</v>
      </c>
      <c r="R156" s="2" t="inlineStr"/>
    </row>
    <row r="157" ht="15" customHeight="1">
      <c r="A157" t="inlineStr">
        <is>
          <t>A 5896-2026</t>
        </is>
      </c>
      <c r="B157" s="1" t="n">
        <v>46052</v>
      </c>
      <c r="C157" s="1" t="n">
        <v>46191</v>
      </c>
      <c r="D157" t="inlineStr">
        <is>
          <t>DALARNAS LÄN</t>
        </is>
      </c>
      <c r="E157" t="inlineStr">
        <is>
          <t>ORSA</t>
        </is>
      </c>
      <c r="G157" t="n">
        <v>1.7</v>
      </c>
      <c r="H157" t="n">
        <v>0</v>
      </c>
      <c r="I157" t="n">
        <v>0</v>
      </c>
      <c r="J157" t="n">
        <v>0</v>
      </c>
      <c r="K157" t="n">
        <v>0</v>
      </c>
      <c r="L157" t="n">
        <v>0</v>
      </c>
      <c r="M157" t="n">
        <v>0</v>
      </c>
      <c r="N157" t="n">
        <v>0</v>
      </c>
      <c r="O157" t="n">
        <v>0</v>
      </c>
      <c r="P157" t="n">
        <v>0</v>
      </c>
      <c r="Q157" t="n">
        <v>0</v>
      </c>
      <c r="R157" s="2" t="inlineStr"/>
    </row>
    <row r="158" ht="15" customHeight="1">
      <c r="A158" t="inlineStr">
        <is>
          <t>A 52776-2022</t>
        </is>
      </c>
      <c r="B158" s="1" t="n">
        <v>44875</v>
      </c>
      <c r="C158" s="1" t="n">
        <v>46191</v>
      </c>
      <c r="D158" t="inlineStr">
        <is>
          <t>DALARNAS LÄN</t>
        </is>
      </c>
      <c r="E158" t="inlineStr">
        <is>
          <t>ORSA</t>
        </is>
      </c>
      <c r="F158" t="inlineStr">
        <is>
          <t>Allmännings- och besparingsskogar</t>
        </is>
      </c>
      <c r="G158" t="n">
        <v>4.4</v>
      </c>
      <c r="H158" t="n">
        <v>0</v>
      </c>
      <c r="I158" t="n">
        <v>0</v>
      </c>
      <c r="J158" t="n">
        <v>0</v>
      </c>
      <c r="K158" t="n">
        <v>0</v>
      </c>
      <c r="L158" t="n">
        <v>0</v>
      </c>
      <c r="M158" t="n">
        <v>0</v>
      </c>
      <c r="N158" t="n">
        <v>0</v>
      </c>
      <c r="O158" t="n">
        <v>0</v>
      </c>
      <c r="P158" t="n">
        <v>0</v>
      </c>
      <c r="Q158" t="n">
        <v>0</v>
      </c>
      <c r="R158" s="2" t="inlineStr"/>
    </row>
    <row r="159" ht="15" customHeight="1">
      <c r="A159" t="inlineStr">
        <is>
          <t>A 44119-2025</t>
        </is>
      </c>
      <c r="B159" s="1" t="n">
        <v>45915</v>
      </c>
      <c r="C159" s="1" t="n">
        <v>46191</v>
      </c>
      <c r="D159" t="inlineStr">
        <is>
          <t>DALARNAS LÄN</t>
        </is>
      </c>
      <c r="E159" t="inlineStr">
        <is>
          <t>ORSA</t>
        </is>
      </c>
      <c r="F159" t="inlineStr">
        <is>
          <t>Allmännings- och besparingsskogar</t>
        </is>
      </c>
      <c r="G159" t="n">
        <v>1.5</v>
      </c>
      <c r="H159" t="n">
        <v>0</v>
      </c>
      <c r="I159" t="n">
        <v>0</v>
      </c>
      <c r="J159" t="n">
        <v>0</v>
      </c>
      <c r="K159" t="n">
        <v>0</v>
      </c>
      <c r="L159" t="n">
        <v>0</v>
      </c>
      <c r="M159" t="n">
        <v>0</v>
      </c>
      <c r="N159" t="n">
        <v>0</v>
      </c>
      <c r="O159" t="n">
        <v>0</v>
      </c>
      <c r="P159" t="n">
        <v>0</v>
      </c>
      <c r="Q159" t="n">
        <v>0</v>
      </c>
      <c r="R159" s="2" t="inlineStr"/>
    </row>
    <row r="160" ht="15" customHeight="1">
      <c r="A160" t="inlineStr">
        <is>
          <t>A 44121-2025</t>
        </is>
      </c>
      <c r="B160" s="1" t="n">
        <v>45915</v>
      </c>
      <c r="C160" s="1" t="n">
        <v>46191</v>
      </c>
      <c r="D160" t="inlineStr">
        <is>
          <t>DALARNAS LÄN</t>
        </is>
      </c>
      <c r="E160" t="inlineStr">
        <is>
          <t>ORSA</t>
        </is>
      </c>
      <c r="F160" t="inlineStr">
        <is>
          <t>Allmännings- och besparingsskogar</t>
        </is>
      </c>
      <c r="G160" t="n">
        <v>2.5</v>
      </c>
      <c r="H160" t="n">
        <v>0</v>
      </c>
      <c r="I160" t="n">
        <v>0</v>
      </c>
      <c r="J160" t="n">
        <v>0</v>
      </c>
      <c r="K160" t="n">
        <v>0</v>
      </c>
      <c r="L160" t="n">
        <v>0</v>
      </c>
      <c r="M160" t="n">
        <v>0</v>
      </c>
      <c r="N160" t="n">
        <v>0</v>
      </c>
      <c r="O160" t="n">
        <v>0</v>
      </c>
      <c r="P160" t="n">
        <v>0</v>
      </c>
      <c r="Q160" t="n">
        <v>0</v>
      </c>
      <c r="R160" s="2" t="inlineStr"/>
    </row>
    <row r="161" ht="15" customHeight="1">
      <c r="A161" t="inlineStr">
        <is>
          <t>A 37770-2023</t>
        </is>
      </c>
      <c r="B161" s="1" t="n">
        <v>45159</v>
      </c>
      <c r="C161" s="1" t="n">
        <v>46191</v>
      </c>
      <c r="D161" t="inlineStr">
        <is>
          <t>DALARNAS LÄN</t>
        </is>
      </c>
      <c r="E161" t="inlineStr">
        <is>
          <t>ORSA</t>
        </is>
      </c>
      <c r="G161" t="n">
        <v>2.6</v>
      </c>
      <c r="H161" t="n">
        <v>0</v>
      </c>
      <c r="I161" t="n">
        <v>0</v>
      </c>
      <c r="J161" t="n">
        <v>0</v>
      </c>
      <c r="K161" t="n">
        <v>0</v>
      </c>
      <c r="L161" t="n">
        <v>0</v>
      </c>
      <c r="M161" t="n">
        <v>0</v>
      </c>
      <c r="N161" t="n">
        <v>0</v>
      </c>
      <c r="O161" t="n">
        <v>0</v>
      </c>
      <c r="P161" t="n">
        <v>0</v>
      </c>
      <c r="Q161" t="n">
        <v>0</v>
      </c>
      <c r="R161" s="2" t="inlineStr"/>
    </row>
    <row r="162" ht="15" customHeight="1">
      <c r="A162" t="inlineStr">
        <is>
          <t>A 43967-2025</t>
        </is>
      </c>
      <c r="B162" s="1" t="n">
        <v>45915</v>
      </c>
      <c r="C162" s="1" t="n">
        <v>46191</v>
      </c>
      <c r="D162" t="inlineStr">
        <is>
          <t>DALARNAS LÄN</t>
        </is>
      </c>
      <c r="E162" t="inlineStr">
        <is>
          <t>ORSA</t>
        </is>
      </c>
      <c r="F162" t="inlineStr">
        <is>
          <t>Allmännings- och besparingsskogar</t>
        </is>
      </c>
      <c r="G162" t="n">
        <v>8.4</v>
      </c>
      <c r="H162" t="n">
        <v>0</v>
      </c>
      <c r="I162" t="n">
        <v>0</v>
      </c>
      <c r="J162" t="n">
        <v>0</v>
      </c>
      <c r="K162" t="n">
        <v>0</v>
      </c>
      <c r="L162" t="n">
        <v>0</v>
      </c>
      <c r="M162" t="n">
        <v>0</v>
      </c>
      <c r="N162" t="n">
        <v>0</v>
      </c>
      <c r="O162" t="n">
        <v>0</v>
      </c>
      <c r="P162" t="n">
        <v>0</v>
      </c>
      <c r="Q162" t="n">
        <v>0</v>
      </c>
      <c r="R162" s="2" t="inlineStr"/>
    </row>
    <row r="163" ht="15" customHeight="1">
      <c r="A163" t="inlineStr">
        <is>
          <t>A 44117-2025</t>
        </is>
      </c>
      <c r="B163" s="1" t="n">
        <v>45915</v>
      </c>
      <c r="C163" s="1" t="n">
        <v>46191</v>
      </c>
      <c r="D163" t="inlineStr">
        <is>
          <t>DALARNAS LÄN</t>
        </is>
      </c>
      <c r="E163" t="inlineStr">
        <is>
          <t>ORSA</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43965-2025</t>
        </is>
      </c>
      <c r="B164" s="1" t="n">
        <v>45915</v>
      </c>
      <c r="C164" s="1" t="n">
        <v>46191</v>
      </c>
      <c r="D164" t="inlineStr">
        <is>
          <t>DALARNAS LÄN</t>
        </is>
      </c>
      <c r="E164" t="inlineStr">
        <is>
          <t>ORSA</t>
        </is>
      </c>
      <c r="F164" t="inlineStr">
        <is>
          <t>Allmännings- och besparingsskogar</t>
        </is>
      </c>
      <c r="G164" t="n">
        <v>11.5</v>
      </c>
      <c r="H164" t="n">
        <v>0</v>
      </c>
      <c r="I164" t="n">
        <v>0</v>
      </c>
      <c r="J164" t="n">
        <v>0</v>
      </c>
      <c r="K164" t="n">
        <v>0</v>
      </c>
      <c r="L164" t="n">
        <v>0</v>
      </c>
      <c r="M164" t="n">
        <v>0</v>
      </c>
      <c r="N164" t="n">
        <v>0</v>
      </c>
      <c r="O164" t="n">
        <v>0</v>
      </c>
      <c r="P164" t="n">
        <v>0</v>
      </c>
      <c r="Q164" t="n">
        <v>0</v>
      </c>
      <c r="R164" s="2" t="inlineStr"/>
    </row>
    <row r="165" ht="15" customHeight="1">
      <c r="A165" t="inlineStr">
        <is>
          <t>A 23339-2024</t>
        </is>
      </c>
      <c r="B165" s="1" t="n">
        <v>45453</v>
      </c>
      <c r="C165" s="1" t="n">
        <v>46191</v>
      </c>
      <c r="D165" t="inlineStr">
        <is>
          <t>DALARNAS LÄN</t>
        </is>
      </c>
      <c r="E165" t="inlineStr">
        <is>
          <t>ORSA</t>
        </is>
      </c>
      <c r="G165" t="n">
        <v>3.8</v>
      </c>
      <c r="H165" t="n">
        <v>0</v>
      </c>
      <c r="I165" t="n">
        <v>0</v>
      </c>
      <c r="J165" t="n">
        <v>0</v>
      </c>
      <c r="K165" t="n">
        <v>0</v>
      </c>
      <c r="L165" t="n">
        <v>0</v>
      </c>
      <c r="M165" t="n">
        <v>0</v>
      </c>
      <c r="N165" t="n">
        <v>0</v>
      </c>
      <c r="O165" t="n">
        <v>0</v>
      </c>
      <c r="P165" t="n">
        <v>0</v>
      </c>
      <c r="Q165" t="n">
        <v>0</v>
      </c>
      <c r="R165" s="2" t="inlineStr"/>
    </row>
    <row r="166" ht="15" customHeight="1">
      <c r="A166" t="inlineStr">
        <is>
          <t>A 44129-2025</t>
        </is>
      </c>
      <c r="B166" s="1" t="n">
        <v>45915</v>
      </c>
      <c r="C166" s="1" t="n">
        <v>46191</v>
      </c>
      <c r="D166" t="inlineStr">
        <is>
          <t>DALARNAS LÄN</t>
        </is>
      </c>
      <c r="E166" t="inlineStr">
        <is>
          <t>ORSA</t>
        </is>
      </c>
      <c r="G166" t="n">
        <v>0.9</v>
      </c>
      <c r="H166" t="n">
        <v>0</v>
      </c>
      <c r="I166" t="n">
        <v>0</v>
      </c>
      <c r="J166" t="n">
        <v>0</v>
      </c>
      <c r="K166" t="n">
        <v>0</v>
      </c>
      <c r="L166" t="n">
        <v>0</v>
      </c>
      <c r="M166" t="n">
        <v>0</v>
      </c>
      <c r="N166" t="n">
        <v>0</v>
      </c>
      <c r="O166" t="n">
        <v>0</v>
      </c>
      <c r="P166" t="n">
        <v>0</v>
      </c>
      <c r="Q166" t="n">
        <v>0</v>
      </c>
      <c r="R166" s="2" t="inlineStr"/>
    </row>
    <row r="167" ht="15" customHeight="1">
      <c r="A167" t="inlineStr">
        <is>
          <t>A 6757-2026</t>
        </is>
      </c>
      <c r="B167" s="1" t="n">
        <v>46056</v>
      </c>
      <c r="C167" s="1" t="n">
        <v>46191</v>
      </c>
      <c r="D167" t="inlineStr">
        <is>
          <t>DALARNAS LÄN</t>
        </is>
      </c>
      <c r="E167" t="inlineStr">
        <is>
          <t>ORSA</t>
        </is>
      </c>
      <c r="G167" t="n">
        <v>5.5</v>
      </c>
      <c r="H167" t="n">
        <v>0</v>
      </c>
      <c r="I167" t="n">
        <v>0</v>
      </c>
      <c r="J167" t="n">
        <v>0</v>
      </c>
      <c r="K167" t="n">
        <v>0</v>
      </c>
      <c r="L167" t="n">
        <v>0</v>
      </c>
      <c r="M167" t="n">
        <v>0</v>
      </c>
      <c r="N167" t="n">
        <v>0</v>
      </c>
      <c r="O167" t="n">
        <v>0</v>
      </c>
      <c r="P167" t="n">
        <v>0</v>
      </c>
      <c r="Q167" t="n">
        <v>0</v>
      </c>
      <c r="R167" s="2" t="inlineStr"/>
    </row>
    <row r="168" ht="15" customHeight="1">
      <c r="A168" t="inlineStr">
        <is>
          <t>A 16392-2024</t>
        </is>
      </c>
      <c r="B168" s="1" t="n">
        <v>45407</v>
      </c>
      <c r="C168" s="1" t="n">
        <v>46191</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18312-2024</t>
        </is>
      </c>
      <c r="B169" s="1" t="n">
        <v>45422</v>
      </c>
      <c r="C169" s="1" t="n">
        <v>46191</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7027-2026</t>
        </is>
      </c>
      <c r="B170" s="1" t="n">
        <v>46057</v>
      </c>
      <c r="C170" s="1" t="n">
        <v>46191</v>
      </c>
      <c r="D170" t="inlineStr">
        <is>
          <t>DALARNAS LÄN</t>
        </is>
      </c>
      <c r="E170" t="inlineStr">
        <is>
          <t>ORSA</t>
        </is>
      </c>
      <c r="G170" t="n">
        <v>12.1</v>
      </c>
      <c r="H170" t="n">
        <v>0</v>
      </c>
      <c r="I170" t="n">
        <v>0</v>
      </c>
      <c r="J170" t="n">
        <v>0</v>
      </c>
      <c r="K170" t="n">
        <v>0</v>
      </c>
      <c r="L170" t="n">
        <v>0</v>
      </c>
      <c r="M170" t="n">
        <v>0</v>
      </c>
      <c r="N170" t="n">
        <v>0</v>
      </c>
      <c r="O170" t="n">
        <v>0</v>
      </c>
      <c r="P170" t="n">
        <v>0</v>
      </c>
      <c r="Q170" t="n">
        <v>0</v>
      </c>
      <c r="R170" s="2" t="inlineStr"/>
    </row>
    <row r="171" ht="15" customHeight="1">
      <c r="A171" t="inlineStr">
        <is>
          <t>A 6945-2026</t>
        </is>
      </c>
      <c r="B171" s="1" t="n">
        <v>46057</v>
      </c>
      <c r="C171" s="1" t="n">
        <v>46191</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7178-2026</t>
        </is>
      </c>
      <c r="B172" s="1" t="n">
        <v>46058</v>
      </c>
      <c r="C172" s="1" t="n">
        <v>46191</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45803-2025</t>
        </is>
      </c>
      <c r="B173" s="1" t="n">
        <v>45923</v>
      </c>
      <c r="C173" s="1" t="n">
        <v>46191</v>
      </c>
      <c r="D173" t="inlineStr">
        <is>
          <t>DALARNAS LÄN</t>
        </is>
      </c>
      <c r="E173" t="inlineStr">
        <is>
          <t>ORSA</t>
        </is>
      </c>
      <c r="F173" t="inlineStr">
        <is>
          <t>Allmännings- och besparingsskogar</t>
        </is>
      </c>
      <c r="G173" t="n">
        <v>3.4</v>
      </c>
      <c r="H173" t="n">
        <v>0</v>
      </c>
      <c r="I173" t="n">
        <v>0</v>
      </c>
      <c r="J173" t="n">
        <v>0</v>
      </c>
      <c r="K173" t="n">
        <v>0</v>
      </c>
      <c r="L173" t="n">
        <v>0</v>
      </c>
      <c r="M173" t="n">
        <v>0</v>
      </c>
      <c r="N173" t="n">
        <v>0</v>
      </c>
      <c r="O173" t="n">
        <v>0</v>
      </c>
      <c r="P173" t="n">
        <v>0</v>
      </c>
      <c r="Q173" t="n">
        <v>0</v>
      </c>
      <c r="R173" s="2" t="inlineStr"/>
    </row>
    <row r="174" ht="15" customHeight="1">
      <c r="A174" t="inlineStr">
        <is>
          <t>A 56803-2024</t>
        </is>
      </c>
      <c r="B174" s="1" t="n">
        <v>45628</v>
      </c>
      <c r="C174" s="1" t="n">
        <v>46191</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46279-2025</t>
        </is>
      </c>
      <c r="B175" s="1" t="n">
        <v>45925</v>
      </c>
      <c r="C175" s="1" t="n">
        <v>46191</v>
      </c>
      <c r="D175" t="inlineStr">
        <is>
          <t>DALARNAS LÄN</t>
        </is>
      </c>
      <c r="E175" t="inlineStr">
        <is>
          <t>ORSA</t>
        </is>
      </c>
      <c r="G175" t="n">
        <v>2.2</v>
      </c>
      <c r="H175" t="n">
        <v>0</v>
      </c>
      <c r="I175" t="n">
        <v>0</v>
      </c>
      <c r="J175" t="n">
        <v>0</v>
      </c>
      <c r="K175" t="n">
        <v>0</v>
      </c>
      <c r="L175" t="n">
        <v>0</v>
      </c>
      <c r="M175" t="n">
        <v>0</v>
      </c>
      <c r="N175" t="n">
        <v>0</v>
      </c>
      <c r="O175" t="n">
        <v>0</v>
      </c>
      <c r="P175" t="n">
        <v>0</v>
      </c>
      <c r="Q175" t="n">
        <v>0</v>
      </c>
      <c r="R175" s="2" t="inlineStr"/>
    </row>
    <row r="176" ht="15" customHeight="1">
      <c r="A176" t="inlineStr">
        <is>
          <t>A 7970-2026</t>
        </is>
      </c>
      <c r="B176" s="1" t="n">
        <v>46063</v>
      </c>
      <c r="C176" s="1" t="n">
        <v>46191</v>
      </c>
      <c r="D176" t="inlineStr">
        <is>
          <t>DALARNAS LÄN</t>
        </is>
      </c>
      <c r="E176" t="inlineStr">
        <is>
          <t>ORSA</t>
        </is>
      </c>
      <c r="G176" t="n">
        <v>0.7</v>
      </c>
      <c r="H176" t="n">
        <v>0</v>
      </c>
      <c r="I176" t="n">
        <v>0</v>
      </c>
      <c r="J176" t="n">
        <v>0</v>
      </c>
      <c r="K176" t="n">
        <v>0</v>
      </c>
      <c r="L176" t="n">
        <v>0</v>
      </c>
      <c r="M176" t="n">
        <v>0</v>
      </c>
      <c r="N176" t="n">
        <v>0</v>
      </c>
      <c r="O176" t="n">
        <v>0</v>
      </c>
      <c r="P176" t="n">
        <v>0</v>
      </c>
      <c r="Q176" t="n">
        <v>0</v>
      </c>
      <c r="R176" s="2" t="inlineStr"/>
    </row>
    <row r="177" ht="15" customHeight="1">
      <c r="A177" t="inlineStr">
        <is>
          <t>A 46272-2025</t>
        </is>
      </c>
      <c r="B177" s="1" t="n">
        <v>45925</v>
      </c>
      <c r="C177" s="1" t="n">
        <v>46191</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53717-2024</t>
        </is>
      </c>
      <c r="B178" s="1" t="n">
        <v>45615</v>
      </c>
      <c r="C178" s="1" t="n">
        <v>46191</v>
      </c>
      <c r="D178" t="inlineStr">
        <is>
          <t>DALARNAS LÄN</t>
        </is>
      </c>
      <c r="E178" t="inlineStr">
        <is>
          <t>ORSA</t>
        </is>
      </c>
      <c r="G178" t="n">
        <v>1.5</v>
      </c>
      <c r="H178" t="n">
        <v>0</v>
      </c>
      <c r="I178" t="n">
        <v>0</v>
      </c>
      <c r="J178" t="n">
        <v>0</v>
      </c>
      <c r="K178" t="n">
        <v>0</v>
      </c>
      <c r="L178" t="n">
        <v>0</v>
      </c>
      <c r="M178" t="n">
        <v>0</v>
      </c>
      <c r="N178" t="n">
        <v>0</v>
      </c>
      <c r="O178" t="n">
        <v>0</v>
      </c>
      <c r="P178" t="n">
        <v>0</v>
      </c>
      <c r="Q178" t="n">
        <v>0</v>
      </c>
      <c r="R178" s="2" t="inlineStr"/>
    </row>
    <row r="179" ht="15" customHeight="1">
      <c r="A179" t="inlineStr">
        <is>
          <t>A 52044-2023</t>
        </is>
      </c>
      <c r="B179" s="1" t="n">
        <v>45223</v>
      </c>
      <c r="C179" s="1" t="n">
        <v>46191</v>
      </c>
      <c r="D179" t="inlineStr">
        <is>
          <t>DALARNAS LÄN</t>
        </is>
      </c>
      <c r="E179" t="inlineStr">
        <is>
          <t>ORSA</t>
        </is>
      </c>
      <c r="G179" t="n">
        <v>2.6</v>
      </c>
      <c r="H179" t="n">
        <v>0</v>
      </c>
      <c r="I179" t="n">
        <v>0</v>
      </c>
      <c r="J179" t="n">
        <v>0</v>
      </c>
      <c r="K179" t="n">
        <v>0</v>
      </c>
      <c r="L179" t="n">
        <v>0</v>
      </c>
      <c r="M179" t="n">
        <v>0</v>
      </c>
      <c r="N179" t="n">
        <v>0</v>
      </c>
      <c r="O179" t="n">
        <v>0</v>
      </c>
      <c r="P179" t="n">
        <v>0</v>
      </c>
      <c r="Q179" t="n">
        <v>0</v>
      </c>
      <c r="R179" s="2" t="inlineStr"/>
    </row>
    <row r="180" ht="15" customHeight="1">
      <c r="A180" t="inlineStr">
        <is>
          <t>A 25172-2022</t>
        </is>
      </c>
      <c r="B180" s="1" t="n">
        <v>44729</v>
      </c>
      <c r="C180" s="1" t="n">
        <v>46191</v>
      </c>
      <c r="D180" t="inlineStr">
        <is>
          <t>DALARNAS LÄN</t>
        </is>
      </c>
      <c r="E180" t="inlineStr">
        <is>
          <t>ORSA</t>
        </is>
      </c>
      <c r="F180" t="inlineStr">
        <is>
          <t>Bergvik skog öst AB</t>
        </is>
      </c>
      <c r="G180" t="n">
        <v>3.6</v>
      </c>
      <c r="H180" t="n">
        <v>0</v>
      </c>
      <c r="I180" t="n">
        <v>0</v>
      </c>
      <c r="J180" t="n">
        <v>0</v>
      </c>
      <c r="K180" t="n">
        <v>0</v>
      </c>
      <c r="L180" t="n">
        <v>0</v>
      </c>
      <c r="M180" t="n">
        <v>0</v>
      </c>
      <c r="N180" t="n">
        <v>0</v>
      </c>
      <c r="O180" t="n">
        <v>0</v>
      </c>
      <c r="P180" t="n">
        <v>0</v>
      </c>
      <c r="Q180" t="n">
        <v>0</v>
      </c>
      <c r="R180" s="2" t="inlineStr"/>
    </row>
    <row r="181" ht="15" customHeight="1">
      <c r="A181" t="inlineStr">
        <is>
          <t>A 9269-2026</t>
        </is>
      </c>
      <c r="B181" s="1" t="n">
        <v>46070</v>
      </c>
      <c r="C181" s="1" t="n">
        <v>46191</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986-2025</t>
        </is>
      </c>
      <c r="B182" s="1" t="n">
        <v>45666</v>
      </c>
      <c r="C182" s="1" t="n">
        <v>46191</v>
      </c>
      <c r="D182" t="inlineStr">
        <is>
          <t>DALARNAS LÄN</t>
        </is>
      </c>
      <c r="E182" t="inlineStr">
        <is>
          <t>ORSA</t>
        </is>
      </c>
      <c r="G182" t="n">
        <v>5.7</v>
      </c>
      <c r="H182" t="n">
        <v>0</v>
      </c>
      <c r="I182" t="n">
        <v>0</v>
      </c>
      <c r="J182" t="n">
        <v>0</v>
      </c>
      <c r="K182" t="n">
        <v>0</v>
      </c>
      <c r="L182" t="n">
        <v>0</v>
      </c>
      <c r="M182" t="n">
        <v>0</v>
      </c>
      <c r="N182" t="n">
        <v>0</v>
      </c>
      <c r="O182" t="n">
        <v>0</v>
      </c>
      <c r="P182" t="n">
        <v>0</v>
      </c>
      <c r="Q182" t="n">
        <v>0</v>
      </c>
      <c r="R182" s="2" t="inlineStr"/>
    </row>
    <row r="183" ht="15" customHeight="1">
      <c r="A183" t="inlineStr">
        <is>
          <t>A 47953-2025</t>
        </is>
      </c>
      <c r="B183" s="1" t="n">
        <v>45932</v>
      </c>
      <c r="C183" s="1" t="n">
        <v>46191</v>
      </c>
      <c r="D183" t="inlineStr">
        <is>
          <t>DALARNAS LÄN</t>
        </is>
      </c>
      <c r="E183" t="inlineStr">
        <is>
          <t>ORSA</t>
        </is>
      </c>
      <c r="G183" t="n">
        <v>1.3</v>
      </c>
      <c r="H183" t="n">
        <v>0</v>
      </c>
      <c r="I183" t="n">
        <v>0</v>
      </c>
      <c r="J183" t="n">
        <v>0</v>
      </c>
      <c r="K183" t="n">
        <v>0</v>
      </c>
      <c r="L183" t="n">
        <v>0</v>
      </c>
      <c r="M183" t="n">
        <v>0</v>
      </c>
      <c r="N183" t="n">
        <v>0</v>
      </c>
      <c r="O183" t="n">
        <v>0</v>
      </c>
      <c r="P183" t="n">
        <v>0</v>
      </c>
      <c r="Q183" t="n">
        <v>0</v>
      </c>
      <c r="R183" s="2" t="inlineStr"/>
    </row>
    <row r="184" ht="15" customHeight="1">
      <c r="A184" t="inlineStr">
        <is>
          <t>A 30458-2023</t>
        </is>
      </c>
      <c r="B184" s="1" t="n">
        <v>45111</v>
      </c>
      <c r="C184" s="1" t="n">
        <v>46191</v>
      </c>
      <c r="D184" t="inlineStr">
        <is>
          <t>DALARNAS LÄN</t>
        </is>
      </c>
      <c r="E184" t="inlineStr">
        <is>
          <t>ORSA</t>
        </is>
      </c>
      <c r="F184" t="inlineStr">
        <is>
          <t>Bergvik skog öst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42238-2023</t>
        </is>
      </c>
      <c r="B185" s="1" t="n">
        <v>45180</v>
      </c>
      <c r="C185" s="1" t="n">
        <v>46191</v>
      </c>
      <c r="D185" t="inlineStr">
        <is>
          <t>DALARNAS LÄN</t>
        </is>
      </c>
      <c r="E185" t="inlineStr">
        <is>
          <t>ORSA</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10195-2026</t>
        </is>
      </c>
      <c r="B186" s="1" t="n">
        <v>46076</v>
      </c>
      <c r="C186" s="1" t="n">
        <v>46191</v>
      </c>
      <c r="D186" t="inlineStr">
        <is>
          <t>DALARNAS LÄN</t>
        </is>
      </c>
      <c r="E186" t="inlineStr">
        <is>
          <t>ORSA</t>
        </is>
      </c>
      <c r="G186" t="n">
        <v>2.1</v>
      </c>
      <c r="H186" t="n">
        <v>0</v>
      </c>
      <c r="I186" t="n">
        <v>0</v>
      </c>
      <c r="J186" t="n">
        <v>0</v>
      </c>
      <c r="K186" t="n">
        <v>0</v>
      </c>
      <c r="L186" t="n">
        <v>0</v>
      </c>
      <c r="M186" t="n">
        <v>0</v>
      </c>
      <c r="N186" t="n">
        <v>0</v>
      </c>
      <c r="O186" t="n">
        <v>0</v>
      </c>
      <c r="P186" t="n">
        <v>0</v>
      </c>
      <c r="Q186" t="n">
        <v>0</v>
      </c>
      <c r="R186" s="2" t="inlineStr"/>
    </row>
    <row r="187" ht="15" customHeight="1">
      <c r="A187" t="inlineStr">
        <is>
          <t>A 10205-2026</t>
        </is>
      </c>
      <c r="B187" s="1" t="n">
        <v>46076</v>
      </c>
      <c r="C187" s="1" t="n">
        <v>46191</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10210-2026</t>
        </is>
      </c>
      <c r="B188" s="1" t="n">
        <v>46076</v>
      </c>
      <c r="C188" s="1" t="n">
        <v>46191</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4738-2025</t>
        </is>
      </c>
      <c r="B189" s="1" t="n">
        <v>45688</v>
      </c>
      <c r="C189" s="1" t="n">
        <v>46191</v>
      </c>
      <c r="D189" t="inlineStr">
        <is>
          <t>DALARNAS LÄN</t>
        </is>
      </c>
      <c r="E189" t="inlineStr">
        <is>
          <t>ORSA</t>
        </is>
      </c>
      <c r="G189" t="n">
        <v>3.7</v>
      </c>
      <c r="H189" t="n">
        <v>0</v>
      </c>
      <c r="I189" t="n">
        <v>0</v>
      </c>
      <c r="J189" t="n">
        <v>0</v>
      </c>
      <c r="K189" t="n">
        <v>0</v>
      </c>
      <c r="L189" t="n">
        <v>0</v>
      </c>
      <c r="M189" t="n">
        <v>0</v>
      </c>
      <c r="N189" t="n">
        <v>0</v>
      </c>
      <c r="O189" t="n">
        <v>0</v>
      </c>
      <c r="P189" t="n">
        <v>0</v>
      </c>
      <c r="Q189" t="n">
        <v>0</v>
      </c>
      <c r="R189" s="2" t="inlineStr"/>
    </row>
    <row r="190" ht="15" customHeight="1">
      <c r="A190" t="inlineStr">
        <is>
          <t>A 10442-2026</t>
        </is>
      </c>
      <c r="B190" s="1" t="n">
        <v>46077</v>
      </c>
      <c r="C190" s="1" t="n">
        <v>46191</v>
      </c>
      <c r="D190" t="inlineStr">
        <is>
          <t>DALARNAS LÄN</t>
        </is>
      </c>
      <c r="E190" t="inlineStr">
        <is>
          <t>ORSA</t>
        </is>
      </c>
      <c r="G190" t="n">
        <v>3</v>
      </c>
      <c r="H190" t="n">
        <v>0</v>
      </c>
      <c r="I190" t="n">
        <v>0</v>
      </c>
      <c r="J190" t="n">
        <v>0</v>
      </c>
      <c r="K190" t="n">
        <v>0</v>
      </c>
      <c r="L190" t="n">
        <v>0</v>
      </c>
      <c r="M190" t="n">
        <v>0</v>
      </c>
      <c r="N190" t="n">
        <v>0</v>
      </c>
      <c r="O190" t="n">
        <v>0</v>
      </c>
      <c r="P190" t="n">
        <v>0</v>
      </c>
      <c r="Q190" t="n">
        <v>0</v>
      </c>
      <c r="R190" s="2" t="inlineStr"/>
    </row>
    <row r="191" ht="15" customHeight="1">
      <c r="A191" t="inlineStr">
        <is>
          <t>A 10506-2026</t>
        </is>
      </c>
      <c r="B191" s="1" t="n">
        <v>46077</v>
      </c>
      <c r="C191" s="1" t="n">
        <v>46191</v>
      </c>
      <c r="D191" t="inlineStr">
        <is>
          <t>DALARNAS LÄN</t>
        </is>
      </c>
      <c r="E191" t="inlineStr">
        <is>
          <t>ORSA</t>
        </is>
      </c>
      <c r="G191" t="n">
        <v>1.7</v>
      </c>
      <c r="H191" t="n">
        <v>0</v>
      </c>
      <c r="I191" t="n">
        <v>0</v>
      </c>
      <c r="J191" t="n">
        <v>0</v>
      </c>
      <c r="K191" t="n">
        <v>0</v>
      </c>
      <c r="L191" t="n">
        <v>0</v>
      </c>
      <c r="M191" t="n">
        <v>0</v>
      </c>
      <c r="N191" t="n">
        <v>0</v>
      </c>
      <c r="O191" t="n">
        <v>0</v>
      </c>
      <c r="P191" t="n">
        <v>0</v>
      </c>
      <c r="Q191" t="n">
        <v>0</v>
      </c>
      <c r="R191" s="2" t="inlineStr"/>
    </row>
    <row r="192" ht="15" customHeight="1">
      <c r="A192" t="inlineStr">
        <is>
          <t>A 10513-2026</t>
        </is>
      </c>
      <c r="B192" s="1" t="n">
        <v>46077</v>
      </c>
      <c r="C192" s="1" t="n">
        <v>46191</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10202-2026</t>
        </is>
      </c>
      <c r="B193" s="1" t="n">
        <v>46076</v>
      </c>
      <c r="C193" s="1" t="n">
        <v>46191</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10561-2026</t>
        </is>
      </c>
      <c r="B194" s="1" t="n">
        <v>46077</v>
      </c>
      <c r="C194" s="1" t="n">
        <v>46191</v>
      </c>
      <c r="D194" t="inlineStr">
        <is>
          <t>DALARNAS LÄN</t>
        </is>
      </c>
      <c r="E194" t="inlineStr">
        <is>
          <t>ORSA</t>
        </is>
      </c>
      <c r="F194" t="inlineStr">
        <is>
          <t>Övriga Aktiebolag</t>
        </is>
      </c>
      <c r="G194" t="n">
        <v>1.9</v>
      </c>
      <c r="H194" t="n">
        <v>0</v>
      </c>
      <c r="I194" t="n">
        <v>0</v>
      </c>
      <c r="J194" t="n">
        <v>0</v>
      </c>
      <c r="K194" t="n">
        <v>0</v>
      </c>
      <c r="L194" t="n">
        <v>0</v>
      </c>
      <c r="M194" t="n">
        <v>0</v>
      </c>
      <c r="N194" t="n">
        <v>0</v>
      </c>
      <c r="O194" t="n">
        <v>0</v>
      </c>
      <c r="P194" t="n">
        <v>0</v>
      </c>
      <c r="Q194" t="n">
        <v>0</v>
      </c>
      <c r="R194" s="2" t="inlineStr"/>
    </row>
    <row r="195" ht="15" customHeight="1">
      <c r="A195" t="inlineStr">
        <is>
          <t>A 10564-2026</t>
        </is>
      </c>
      <c r="B195" s="1" t="n">
        <v>46077</v>
      </c>
      <c r="C195" s="1" t="n">
        <v>46191</v>
      </c>
      <c r="D195" t="inlineStr">
        <is>
          <t>DALARNAS LÄN</t>
        </is>
      </c>
      <c r="E195" t="inlineStr">
        <is>
          <t>ORSA</t>
        </is>
      </c>
      <c r="F195" t="inlineStr">
        <is>
          <t>Övriga Aktiebolag</t>
        </is>
      </c>
      <c r="G195" t="n">
        <v>0.5</v>
      </c>
      <c r="H195" t="n">
        <v>0</v>
      </c>
      <c r="I195" t="n">
        <v>0</v>
      </c>
      <c r="J195" t="n">
        <v>0</v>
      </c>
      <c r="K195" t="n">
        <v>0</v>
      </c>
      <c r="L195" t="n">
        <v>0</v>
      </c>
      <c r="M195" t="n">
        <v>0</v>
      </c>
      <c r="N195" t="n">
        <v>0</v>
      </c>
      <c r="O195" t="n">
        <v>0</v>
      </c>
      <c r="P195" t="n">
        <v>0</v>
      </c>
      <c r="Q195" t="n">
        <v>0</v>
      </c>
      <c r="R195" s="2" t="inlineStr"/>
    </row>
    <row r="196" ht="15" customHeight="1">
      <c r="A196" t="inlineStr">
        <is>
          <t>A 10065-2026</t>
        </is>
      </c>
      <c r="B196" s="1" t="n">
        <v>46073</v>
      </c>
      <c r="C196" s="1" t="n">
        <v>46191</v>
      </c>
      <c r="D196" t="inlineStr">
        <is>
          <t>DALARNAS LÄN</t>
        </is>
      </c>
      <c r="E196" t="inlineStr">
        <is>
          <t>ORSA</t>
        </is>
      </c>
      <c r="G196" t="n">
        <v>1.1</v>
      </c>
      <c r="H196" t="n">
        <v>0</v>
      </c>
      <c r="I196" t="n">
        <v>0</v>
      </c>
      <c r="J196" t="n">
        <v>0</v>
      </c>
      <c r="K196" t="n">
        <v>0</v>
      </c>
      <c r="L196" t="n">
        <v>0</v>
      </c>
      <c r="M196" t="n">
        <v>0</v>
      </c>
      <c r="N196" t="n">
        <v>0</v>
      </c>
      <c r="O196" t="n">
        <v>0</v>
      </c>
      <c r="P196" t="n">
        <v>0</v>
      </c>
      <c r="Q196" t="n">
        <v>0</v>
      </c>
      <c r="R196" s="2" t="inlineStr"/>
    </row>
    <row r="197" ht="15" customHeight="1">
      <c r="A197" t="inlineStr">
        <is>
          <t>A 7534-2025</t>
        </is>
      </c>
      <c r="B197" s="1" t="n">
        <v>45705</v>
      </c>
      <c r="C197" s="1" t="n">
        <v>46191</v>
      </c>
      <c r="D197" t="inlineStr">
        <is>
          <t>DALARNAS LÄN</t>
        </is>
      </c>
      <c r="E197" t="inlineStr">
        <is>
          <t>ORSA</t>
        </is>
      </c>
      <c r="G197" t="n">
        <v>1.1</v>
      </c>
      <c r="H197" t="n">
        <v>0</v>
      </c>
      <c r="I197" t="n">
        <v>0</v>
      </c>
      <c r="J197" t="n">
        <v>0</v>
      </c>
      <c r="K197" t="n">
        <v>0</v>
      </c>
      <c r="L197" t="n">
        <v>0</v>
      </c>
      <c r="M197" t="n">
        <v>0</v>
      </c>
      <c r="N197" t="n">
        <v>0</v>
      </c>
      <c r="O197" t="n">
        <v>0</v>
      </c>
      <c r="P197" t="n">
        <v>0</v>
      </c>
      <c r="Q197" t="n">
        <v>0</v>
      </c>
      <c r="R197" s="2" t="inlineStr"/>
    </row>
    <row r="198" ht="15" customHeight="1">
      <c r="A198" t="inlineStr">
        <is>
          <t>A 10206-2026</t>
        </is>
      </c>
      <c r="B198" s="1" t="n">
        <v>46076</v>
      </c>
      <c r="C198" s="1" t="n">
        <v>46191</v>
      </c>
      <c r="D198" t="inlineStr">
        <is>
          <t>DALARNAS LÄN</t>
        </is>
      </c>
      <c r="E198" t="inlineStr">
        <is>
          <t>ORSA</t>
        </is>
      </c>
      <c r="G198" t="n">
        <v>1.1</v>
      </c>
      <c r="H198" t="n">
        <v>0</v>
      </c>
      <c r="I198" t="n">
        <v>0</v>
      </c>
      <c r="J198" t="n">
        <v>0</v>
      </c>
      <c r="K198" t="n">
        <v>0</v>
      </c>
      <c r="L198" t="n">
        <v>0</v>
      </c>
      <c r="M198" t="n">
        <v>0</v>
      </c>
      <c r="N198" t="n">
        <v>0</v>
      </c>
      <c r="O198" t="n">
        <v>0</v>
      </c>
      <c r="P198" t="n">
        <v>0</v>
      </c>
      <c r="Q198" t="n">
        <v>0</v>
      </c>
      <c r="R198" s="2" t="inlineStr"/>
    </row>
    <row r="199" ht="15" customHeight="1">
      <c r="A199" t="inlineStr">
        <is>
          <t>A 10209-2026</t>
        </is>
      </c>
      <c r="B199" s="1" t="n">
        <v>46076</v>
      </c>
      <c r="C199" s="1" t="n">
        <v>46191</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10525-2026</t>
        </is>
      </c>
      <c r="B200" s="1" t="n">
        <v>46077</v>
      </c>
      <c r="C200" s="1" t="n">
        <v>46191</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10579-2026</t>
        </is>
      </c>
      <c r="B201" s="1" t="n">
        <v>46077</v>
      </c>
      <c r="C201" s="1" t="n">
        <v>46191</v>
      </c>
      <c r="D201" t="inlineStr">
        <is>
          <t>DALARNAS LÄN</t>
        </is>
      </c>
      <c r="E201" t="inlineStr">
        <is>
          <t>ORSA</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31026-2023</t>
        </is>
      </c>
      <c r="B202" s="1" t="n">
        <v>45113</v>
      </c>
      <c r="C202" s="1" t="n">
        <v>46191</v>
      </c>
      <c r="D202" t="inlineStr">
        <is>
          <t>DALARNAS LÄN</t>
        </is>
      </c>
      <c r="E202" t="inlineStr">
        <is>
          <t>ORSA</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10035-2026</t>
        </is>
      </c>
      <c r="B203" s="1" t="n">
        <v>46073</v>
      </c>
      <c r="C203" s="1" t="n">
        <v>46191</v>
      </c>
      <c r="D203" t="inlineStr">
        <is>
          <t>DALARNAS LÄN</t>
        </is>
      </c>
      <c r="E203" t="inlineStr">
        <is>
          <t>ORSA</t>
        </is>
      </c>
      <c r="F203" t="inlineStr">
        <is>
          <t>Bergvik skog öst AB</t>
        </is>
      </c>
      <c r="G203" t="n">
        <v>19.6</v>
      </c>
      <c r="H203" t="n">
        <v>0</v>
      </c>
      <c r="I203" t="n">
        <v>0</v>
      </c>
      <c r="J203" t="n">
        <v>0</v>
      </c>
      <c r="K203" t="n">
        <v>0</v>
      </c>
      <c r="L203" t="n">
        <v>0</v>
      </c>
      <c r="M203" t="n">
        <v>0</v>
      </c>
      <c r="N203" t="n">
        <v>0</v>
      </c>
      <c r="O203" t="n">
        <v>0</v>
      </c>
      <c r="P203" t="n">
        <v>0</v>
      </c>
      <c r="Q203" t="n">
        <v>0</v>
      </c>
      <c r="R203" s="2" t="inlineStr"/>
    </row>
    <row r="204" ht="15" customHeight="1">
      <c r="A204" t="inlineStr">
        <is>
          <t>A 10784-2026</t>
        </is>
      </c>
      <c r="B204" s="1" t="n">
        <v>46078</v>
      </c>
      <c r="C204" s="1" t="n">
        <v>46191</v>
      </c>
      <c r="D204" t="inlineStr">
        <is>
          <t>DALARNAS LÄN</t>
        </is>
      </c>
      <c r="E204" t="inlineStr">
        <is>
          <t>ORSA</t>
        </is>
      </c>
      <c r="F204" t="inlineStr">
        <is>
          <t>Bergvik skog öst AB</t>
        </is>
      </c>
      <c r="G204" t="n">
        <v>0.5</v>
      </c>
      <c r="H204" t="n">
        <v>0</v>
      </c>
      <c r="I204" t="n">
        <v>0</v>
      </c>
      <c r="J204" t="n">
        <v>0</v>
      </c>
      <c r="K204" t="n">
        <v>0</v>
      </c>
      <c r="L204" t="n">
        <v>0</v>
      </c>
      <c r="M204" t="n">
        <v>0</v>
      </c>
      <c r="N204" t="n">
        <v>0</v>
      </c>
      <c r="O204" t="n">
        <v>0</v>
      </c>
      <c r="P204" t="n">
        <v>0</v>
      </c>
      <c r="Q204" t="n">
        <v>0</v>
      </c>
      <c r="R204" s="2" t="inlineStr"/>
    </row>
    <row r="205" ht="15" customHeight="1">
      <c r="A205" t="inlineStr">
        <is>
          <t>A 63371-2023</t>
        </is>
      </c>
      <c r="B205" s="1" t="n">
        <v>45274</v>
      </c>
      <c r="C205" s="1" t="n">
        <v>46191</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22022-2022</t>
        </is>
      </c>
      <c r="B206" s="1" t="n">
        <v>44711</v>
      </c>
      <c r="C206" s="1" t="n">
        <v>46191</v>
      </c>
      <c r="D206" t="inlineStr">
        <is>
          <t>DALARNAS LÄN</t>
        </is>
      </c>
      <c r="E206" t="inlineStr">
        <is>
          <t>ORSA</t>
        </is>
      </c>
      <c r="F206" t="inlineStr">
        <is>
          <t>Bergvik skog öst AB</t>
        </is>
      </c>
      <c r="G206" t="n">
        <v>1.9</v>
      </c>
      <c r="H206" t="n">
        <v>0</v>
      </c>
      <c r="I206" t="n">
        <v>0</v>
      </c>
      <c r="J206" t="n">
        <v>0</v>
      </c>
      <c r="K206" t="n">
        <v>0</v>
      </c>
      <c r="L206" t="n">
        <v>0</v>
      </c>
      <c r="M206" t="n">
        <v>0</v>
      </c>
      <c r="N206" t="n">
        <v>0</v>
      </c>
      <c r="O206" t="n">
        <v>0</v>
      </c>
      <c r="P206" t="n">
        <v>0</v>
      </c>
      <c r="Q206" t="n">
        <v>0</v>
      </c>
      <c r="R206" s="2" t="inlineStr"/>
    </row>
    <row r="207" ht="15" customHeight="1">
      <c r="A207" t="inlineStr">
        <is>
          <t>A 51563-2023</t>
        </is>
      </c>
      <c r="B207" s="1" t="n">
        <v>45222</v>
      </c>
      <c r="C207" s="1" t="n">
        <v>46191</v>
      </c>
      <c r="D207" t="inlineStr">
        <is>
          <t>DALARNAS LÄN</t>
        </is>
      </c>
      <c r="E207" t="inlineStr">
        <is>
          <t>ORSA</t>
        </is>
      </c>
      <c r="G207" t="n">
        <v>0.5</v>
      </c>
      <c r="H207" t="n">
        <v>0</v>
      </c>
      <c r="I207" t="n">
        <v>0</v>
      </c>
      <c r="J207" t="n">
        <v>0</v>
      </c>
      <c r="K207" t="n">
        <v>0</v>
      </c>
      <c r="L207" t="n">
        <v>0</v>
      </c>
      <c r="M207" t="n">
        <v>0</v>
      </c>
      <c r="N207" t="n">
        <v>0</v>
      </c>
      <c r="O207" t="n">
        <v>0</v>
      </c>
      <c r="P207" t="n">
        <v>0</v>
      </c>
      <c r="Q207" t="n">
        <v>0</v>
      </c>
      <c r="R207" s="2" t="inlineStr"/>
    </row>
    <row r="208" ht="15" customHeight="1">
      <c r="A208" t="inlineStr">
        <is>
          <t>A 51049-2025</t>
        </is>
      </c>
      <c r="B208" s="1" t="n">
        <v>45947</v>
      </c>
      <c r="C208" s="1" t="n">
        <v>46191</v>
      </c>
      <c r="D208" t="inlineStr">
        <is>
          <t>DALARNAS LÄN</t>
        </is>
      </c>
      <c r="E208" t="inlineStr">
        <is>
          <t>ORSA</t>
        </is>
      </c>
      <c r="G208" t="n">
        <v>2.3</v>
      </c>
      <c r="H208" t="n">
        <v>0</v>
      </c>
      <c r="I208" t="n">
        <v>0</v>
      </c>
      <c r="J208" t="n">
        <v>0</v>
      </c>
      <c r="K208" t="n">
        <v>0</v>
      </c>
      <c r="L208" t="n">
        <v>0</v>
      </c>
      <c r="M208" t="n">
        <v>0</v>
      </c>
      <c r="N208" t="n">
        <v>0</v>
      </c>
      <c r="O208" t="n">
        <v>0</v>
      </c>
      <c r="P208" t="n">
        <v>0</v>
      </c>
      <c r="Q208" t="n">
        <v>0</v>
      </c>
      <c r="R208" s="2" t="inlineStr"/>
    </row>
    <row r="209" ht="15" customHeight="1">
      <c r="A209" t="inlineStr">
        <is>
          <t>A 10481-2026</t>
        </is>
      </c>
      <c r="B209" s="1" t="n">
        <v>46077</v>
      </c>
      <c r="C209" s="1" t="n">
        <v>46191</v>
      </c>
      <c r="D209" t="inlineStr">
        <is>
          <t>DALARNAS LÄN</t>
        </is>
      </c>
      <c r="E209" t="inlineStr">
        <is>
          <t>ORSA</t>
        </is>
      </c>
      <c r="F209" t="inlineStr">
        <is>
          <t>Bergvik skog öst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51334-2025</t>
        </is>
      </c>
      <c r="B210" s="1" t="n">
        <v>45950</v>
      </c>
      <c r="C210" s="1" t="n">
        <v>46191</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51064-2025</t>
        </is>
      </c>
      <c r="B211" s="1" t="n">
        <v>45947</v>
      </c>
      <c r="C211" s="1" t="n">
        <v>46191</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12678-2026</t>
        </is>
      </c>
      <c r="B212" s="1" t="n">
        <v>46091</v>
      </c>
      <c r="C212" s="1" t="n">
        <v>46191</v>
      </c>
      <c r="D212" t="inlineStr">
        <is>
          <t>DALARNAS LÄN</t>
        </is>
      </c>
      <c r="E212" t="inlineStr">
        <is>
          <t>ORSA</t>
        </is>
      </c>
      <c r="F212" t="inlineStr">
        <is>
          <t>Allmännings- och besparingsskogar</t>
        </is>
      </c>
      <c r="G212" t="n">
        <v>0.6</v>
      </c>
      <c r="H212" t="n">
        <v>0</v>
      </c>
      <c r="I212" t="n">
        <v>0</v>
      </c>
      <c r="J212" t="n">
        <v>0</v>
      </c>
      <c r="K212" t="n">
        <v>0</v>
      </c>
      <c r="L212" t="n">
        <v>0</v>
      </c>
      <c r="M212" t="n">
        <v>0</v>
      </c>
      <c r="N212" t="n">
        <v>0</v>
      </c>
      <c r="O212" t="n">
        <v>0</v>
      </c>
      <c r="P212" t="n">
        <v>0</v>
      </c>
      <c r="Q212" t="n">
        <v>0</v>
      </c>
      <c r="R212" s="2" t="inlineStr"/>
    </row>
    <row r="213" ht="15" customHeight="1">
      <c r="A213" t="inlineStr">
        <is>
          <t>A 12404-2026</t>
        </is>
      </c>
      <c r="B213" s="1" t="n">
        <v>46090</v>
      </c>
      <c r="C213" s="1" t="n">
        <v>46191</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12677-2026</t>
        </is>
      </c>
      <c r="B214" s="1" t="n">
        <v>46091</v>
      </c>
      <c r="C214" s="1" t="n">
        <v>46191</v>
      </c>
      <c r="D214" t="inlineStr">
        <is>
          <t>DALARNAS LÄN</t>
        </is>
      </c>
      <c r="E214" t="inlineStr">
        <is>
          <t>ORSA</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12805-2026</t>
        </is>
      </c>
      <c r="B215" s="1" t="n">
        <v>46092</v>
      </c>
      <c r="C215" s="1" t="n">
        <v>46191</v>
      </c>
      <c r="D215" t="inlineStr">
        <is>
          <t>DALARNAS LÄN</t>
        </is>
      </c>
      <c r="E215" t="inlineStr">
        <is>
          <t>ORSA</t>
        </is>
      </c>
      <c r="G215" t="n">
        <v>0.6</v>
      </c>
      <c r="H215" t="n">
        <v>0</v>
      </c>
      <c r="I215" t="n">
        <v>0</v>
      </c>
      <c r="J215" t="n">
        <v>0</v>
      </c>
      <c r="K215" t="n">
        <v>0</v>
      </c>
      <c r="L215" t="n">
        <v>0</v>
      </c>
      <c r="M215" t="n">
        <v>0</v>
      </c>
      <c r="N215" t="n">
        <v>0</v>
      </c>
      <c r="O215" t="n">
        <v>0</v>
      </c>
      <c r="P215" t="n">
        <v>0</v>
      </c>
      <c r="Q215" t="n">
        <v>0</v>
      </c>
      <c r="R215" s="2" t="inlineStr"/>
    </row>
    <row r="216" ht="15" customHeight="1">
      <c r="A216" t="inlineStr">
        <is>
          <t>A 10045-2026</t>
        </is>
      </c>
      <c r="B216" s="1" t="n">
        <v>46073</v>
      </c>
      <c r="C216" s="1" t="n">
        <v>46191</v>
      </c>
      <c r="D216" t="inlineStr">
        <is>
          <t>DALARNAS LÄN</t>
        </is>
      </c>
      <c r="E216" t="inlineStr">
        <is>
          <t>ORSA</t>
        </is>
      </c>
      <c r="F216" t="inlineStr">
        <is>
          <t>Bergvik skog öst AB</t>
        </is>
      </c>
      <c r="G216" t="n">
        <v>3.1</v>
      </c>
      <c r="H216" t="n">
        <v>0</v>
      </c>
      <c r="I216" t="n">
        <v>0</v>
      </c>
      <c r="J216" t="n">
        <v>0</v>
      </c>
      <c r="K216" t="n">
        <v>0</v>
      </c>
      <c r="L216" t="n">
        <v>0</v>
      </c>
      <c r="M216" t="n">
        <v>0</v>
      </c>
      <c r="N216" t="n">
        <v>0</v>
      </c>
      <c r="O216" t="n">
        <v>0</v>
      </c>
      <c r="P216" t="n">
        <v>0</v>
      </c>
      <c r="Q216" t="n">
        <v>0</v>
      </c>
      <c r="R216" s="2" t="inlineStr"/>
    </row>
    <row r="217" ht="15" customHeight="1">
      <c r="A217" t="inlineStr">
        <is>
          <t>A 47778-2021</t>
        </is>
      </c>
      <c r="B217" s="1" t="n">
        <v>44448</v>
      </c>
      <c r="C217" s="1" t="n">
        <v>46191</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47564-2023</t>
        </is>
      </c>
      <c r="B218" s="1" t="n">
        <v>45203</v>
      </c>
      <c r="C218" s="1" t="n">
        <v>46191</v>
      </c>
      <c r="D218" t="inlineStr">
        <is>
          <t>DALARNAS LÄN</t>
        </is>
      </c>
      <c r="E218" t="inlineStr">
        <is>
          <t>ORSA</t>
        </is>
      </c>
      <c r="F218" t="inlineStr">
        <is>
          <t>Allmännings- och besparingsskogar</t>
        </is>
      </c>
      <c r="G218" t="n">
        <v>0.8</v>
      </c>
      <c r="H218" t="n">
        <v>0</v>
      </c>
      <c r="I218" t="n">
        <v>0</v>
      </c>
      <c r="J218" t="n">
        <v>0</v>
      </c>
      <c r="K218" t="n">
        <v>0</v>
      </c>
      <c r="L218" t="n">
        <v>0</v>
      </c>
      <c r="M218" t="n">
        <v>0</v>
      </c>
      <c r="N218" t="n">
        <v>0</v>
      </c>
      <c r="O218" t="n">
        <v>0</v>
      </c>
      <c r="P218" t="n">
        <v>0</v>
      </c>
      <c r="Q218" t="n">
        <v>0</v>
      </c>
      <c r="R218" s="2" t="inlineStr"/>
    </row>
    <row r="219" ht="15" customHeight="1">
      <c r="A219" t="inlineStr">
        <is>
          <t>A 9963-2026</t>
        </is>
      </c>
      <c r="B219" s="1" t="n">
        <v>46073</v>
      </c>
      <c r="C219" s="1" t="n">
        <v>46191</v>
      </c>
      <c r="D219" t="inlineStr">
        <is>
          <t>DALARNAS LÄN</t>
        </is>
      </c>
      <c r="E219" t="inlineStr">
        <is>
          <t>ORSA</t>
        </is>
      </c>
      <c r="F219" t="inlineStr">
        <is>
          <t>Bergvik skog öst AB</t>
        </is>
      </c>
      <c r="G219" t="n">
        <v>17</v>
      </c>
      <c r="H219" t="n">
        <v>0</v>
      </c>
      <c r="I219" t="n">
        <v>0</v>
      </c>
      <c r="J219" t="n">
        <v>0</v>
      </c>
      <c r="K219" t="n">
        <v>0</v>
      </c>
      <c r="L219" t="n">
        <v>0</v>
      </c>
      <c r="M219" t="n">
        <v>0</v>
      </c>
      <c r="N219" t="n">
        <v>0</v>
      </c>
      <c r="O219" t="n">
        <v>0</v>
      </c>
      <c r="P219" t="n">
        <v>0</v>
      </c>
      <c r="Q219" t="n">
        <v>0</v>
      </c>
      <c r="R219" s="2" t="inlineStr"/>
    </row>
    <row r="220" ht="15" customHeight="1">
      <c r="A220" t="inlineStr">
        <is>
          <t>A 13242-2026</t>
        </is>
      </c>
      <c r="B220" s="1" t="n">
        <v>46093</v>
      </c>
      <c r="C220" s="1" t="n">
        <v>46191</v>
      </c>
      <c r="D220" t="inlineStr">
        <is>
          <t>DALARNAS LÄN</t>
        </is>
      </c>
      <c r="E220" t="inlineStr">
        <is>
          <t>ORSA</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47126-2021</t>
        </is>
      </c>
      <c r="B221" s="1" t="n">
        <v>44446</v>
      </c>
      <c r="C221" s="1" t="n">
        <v>46191</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597-2024</t>
        </is>
      </c>
      <c r="B222" s="1" t="n">
        <v>45299</v>
      </c>
      <c r="C222" s="1" t="n">
        <v>46191</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53229-2023</t>
        </is>
      </c>
      <c r="B223" s="1" t="n">
        <v>45229</v>
      </c>
      <c r="C223" s="1" t="n">
        <v>46191</v>
      </c>
      <c r="D223" t="inlineStr">
        <is>
          <t>DALARNAS LÄN</t>
        </is>
      </c>
      <c r="E223" t="inlineStr">
        <is>
          <t>ORSA</t>
        </is>
      </c>
      <c r="F223" t="inlineStr">
        <is>
          <t>Allmännings- och besparingsskogar</t>
        </is>
      </c>
      <c r="G223" t="n">
        <v>0.5</v>
      </c>
      <c r="H223" t="n">
        <v>0</v>
      </c>
      <c r="I223" t="n">
        <v>0</v>
      </c>
      <c r="J223" t="n">
        <v>0</v>
      </c>
      <c r="K223" t="n">
        <v>0</v>
      </c>
      <c r="L223" t="n">
        <v>0</v>
      </c>
      <c r="M223" t="n">
        <v>0</v>
      </c>
      <c r="N223" t="n">
        <v>0</v>
      </c>
      <c r="O223" t="n">
        <v>0</v>
      </c>
      <c r="P223" t="n">
        <v>0</v>
      </c>
      <c r="Q223" t="n">
        <v>0</v>
      </c>
      <c r="R223" s="2" t="inlineStr"/>
    </row>
    <row r="224" ht="15" customHeight="1">
      <c r="A224" t="inlineStr">
        <is>
          <t>A 52486-2025</t>
        </is>
      </c>
      <c r="B224" s="1" t="n">
        <v>45954</v>
      </c>
      <c r="C224" s="1" t="n">
        <v>46191</v>
      </c>
      <c r="D224" t="inlineStr">
        <is>
          <t>DALARNAS LÄN</t>
        </is>
      </c>
      <c r="E224" t="inlineStr">
        <is>
          <t>ORSA</t>
        </is>
      </c>
      <c r="G224" t="n">
        <v>2.3</v>
      </c>
      <c r="H224" t="n">
        <v>0</v>
      </c>
      <c r="I224" t="n">
        <v>0</v>
      </c>
      <c r="J224" t="n">
        <v>0</v>
      </c>
      <c r="K224" t="n">
        <v>0</v>
      </c>
      <c r="L224" t="n">
        <v>0</v>
      </c>
      <c r="M224" t="n">
        <v>0</v>
      </c>
      <c r="N224" t="n">
        <v>0</v>
      </c>
      <c r="O224" t="n">
        <v>0</v>
      </c>
      <c r="P224" t="n">
        <v>0</v>
      </c>
      <c r="Q224" t="n">
        <v>0</v>
      </c>
      <c r="R224" s="2" t="inlineStr"/>
    </row>
    <row r="225" ht="15" customHeight="1">
      <c r="A225" t="inlineStr">
        <is>
          <t>A 55538-2023</t>
        </is>
      </c>
      <c r="B225" s="1" t="n">
        <v>45238</v>
      </c>
      <c r="C225" s="1" t="n">
        <v>46191</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15113-2025</t>
        </is>
      </c>
      <c r="B226" s="1" t="n">
        <v>45744</v>
      </c>
      <c r="C226" s="1" t="n">
        <v>46191</v>
      </c>
      <c r="D226" t="inlineStr">
        <is>
          <t>DALARNAS LÄN</t>
        </is>
      </c>
      <c r="E226" t="inlineStr">
        <is>
          <t>ORSA</t>
        </is>
      </c>
      <c r="F226" t="inlineStr">
        <is>
          <t>Allmännings- och besparingsskogar</t>
        </is>
      </c>
      <c r="G226" t="n">
        <v>3.3</v>
      </c>
      <c r="H226" t="n">
        <v>0</v>
      </c>
      <c r="I226" t="n">
        <v>0</v>
      </c>
      <c r="J226" t="n">
        <v>0</v>
      </c>
      <c r="K226" t="n">
        <v>0</v>
      </c>
      <c r="L226" t="n">
        <v>0</v>
      </c>
      <c r="M226" t="n">
        <v>0</v>
      </c>
      <c r="N226" t="n">
        <v>0</v>
      </c>
      <c r="O226" t="n">
        <v>0</v>
      </c>
      <c r="P226" t="n">
        <v>0</v>
      </c>
      <c r="Q226" t="n">
        <v>0</v>
      </c>
      <c r="R226" s="2" t="inlineStr"/>
    </row>
    <row r="227" ht="15" customHeight="1">
      <c r="A227" t="inlineStr">
        <is>
          <t>A 52702-2025</t>
        </is>
      </c>
      <c r="B227" s="1" t="n">
        <v>45956</v>
      </c>
      <c r="C227" s="1" t="n">
        <v>46191</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52686-2025</t>
        </is>
      </c>
      <c r="B228" s="1" t="n">
        <v>45956</v>
      </c>
      <c r="C228" s="1" t="n">
        <v>46191</v>
      </c>
      <c r="D228" t="inlineStr">
        <is>
          <t>DALARNAS LÄN</t>
        </is>
      </c>
      <c r="E228" t="inlineStr">
        <is>
          <t>ORSA</t>
        </is>
      </c>
      <c r="G228" t="n">
        <v>0.5</v>
      </c>
      <c r="H228" t="n">
        <v>0</v>
      </c>
      <c r="I228" t="n">
        <v>0</v>
      </c>
      <c r="J228" t="n">
        <v>0</v>
      </c>
      <c r="K228" t="n">
        <v>0</v>
      </c>
      <c r="L228" t="n">
        <v>0</v>
      </c>
      <c r="M228" t="n">
        <v>0</v>
      </c>
      <c r="N228" t="n">
        <v>0</v>
      </c>
      <c r="O228" t="n">
        <v>0</v>
      </c>
      <c r="P228" t="n">
        <v>0</v>
      </c>
      <c r="Q228" t="n">
        <v>0</v>
      </c>
      <c r="R228" s="2" t="inlineStr"/>
    </row>
    <row r="229" ht="15" customHeight="1">
      <c r="A229" t="inlineStr">
        <is>
          <t>A 52485-2025</t>
        </is>
      </c>
      <c r="B229" s="1" t="n">
        <v>45954</v>
      </c>
      <c r="C229" s="1" t="n">
        <v>46191</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13995-2026</t>
        </is>
      </c>
      <c r="B230" s="1" t="n">
        <v>46098</v>
      </c>
      <c r="C230" s="1" t="n">
        <v>46191</v>
      </c>
      <c r="D230" t="inlineStr">
        <is>
          <t>DALARNAS LÄN</t>
        </is>
      </c>
      <c r="E230" t="inlineStr">
        <is>
          <t>ORSA</t>
        </is>
      </c>
      <c r="G230" t="n">
        <v>1.2</v>
      </c>
      <c r="H230" t="n">
        <v>0</v>
      </c>
      <c r="I230" t="n">
        <v>0</v>
      </c>
      <c r="J230" t="n">
        <v>0</v>
      </c>
      <c r="K230" t="n">
        <v>0</v>
      </c>
      <c r="L230" t="n">
        <v>0</v>
      </c>
      <c r="M230" t="n">
        <v>0</v>
      </c>
      <c r="N230" t="n">
        <v>0</v>
      </c>
      <c r="O230" t="n">
        <v>0</v>
      </c>
      <c r="P230" t="n">
        <v>0</v>
      </c>
      <c r="Q230" t="n">
        <v>0</v>
      </c>
      <c r="R230" s="2" t="inlineStr"/>
    </row>
    <row r="231" ht="15" customHeight="1">
      <c r="A231" t="inlineStr">
        <is>
          <t>A 14509-2026</t>
        </is>
      </c>
      <c r="B231" s="1" t="n">
        <v>46100</v>
      </c>
      <c r="C231" s="1" t="n">
        <v>46191</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53572-2025</t>
        </is>
      </c>
      <c r="B232" s="1" t="n">
        <v>45960</v>
      </c>
      <c r="C232" s="1" t="n">
        <v>46191</v>
      </c>
      <c r="D232" t="inlineStr">
        <is>
          <t>DALARNAS LÄN</t>
        </is>
      </c>
      <c r="E232" t="inlineStr">
        <is>
          <t>ORSA</t>
        </is>
      </c>
      <c r="F232" t="inlineStr">
        <is>
          <t>Bergvik skog öst AB</t>
        </is>
      </c>
      <c r="G232" t="n">
        <v>4.1</v>
      </c>
      <c r="H232" t="n">
        <v>0</v>
      </c>
      <c r="I232" t="n">
        <v>0</v>
      </c>
      <c r="J232" t="n">
        <v>0</v>
      </c>
      <c r="K232" t="n">
        <v>0</v>
      </c>
      <c r="L232" t="n">
        <v>0</v>
      </c>
      <c r="M232" t="n">
        <v>0</v>
      </c>
      <c r="N232" t="n">
        <v>0</v>
      </c>
      <c r="O232" t="n">
        <v>0</v>
      </c>
      <c r="P232" t="n">
        <v>0</v>
      </c>
      <c r="Q232" t="n">
        <v>0</v>
      </c>
      <c r="R232" s="2" t="inlineStr"/>
    </row>
    <row r="233" ht="15" customHeight="1">
      <c r="A233" t="inlineStr">
        <is>
          <t>A 1624-2024</t>
        </is>
      </c>
      <c r="B233" s="1" t="n">
        <v>45306</v>
      </c>
      <c r="C233" s="1" t="n">
        <v>46191</v>
      </c>
      <c r="D233" t="inlineStr">
        <is>
          <t>DALARNAS LÄN</t>
        </is>
      </c>
      <c r="E233" t="inlineStr">
        <is>
          <t>ORSA</t>
        </is>
      </c>
      <c r="G233" t="n">
        <v>1.9</v>
      </c>
      <c r="H233" t="n">
        <v>0</v>
      </c>
      <c r="I233" t="n">
        <v>0</v>
      </c>
      <c r="J233" t="n">
        <v>0</v>
      </c>
      <c r="K233" t="n">
        <v>0</v>
      </c>
      <c r="L233" t="n">
        <v>0</v>
      </c>
      <c r="M233" t="n">
        <v>0</v>
      </c>
      <c r="N233" t="n">
        <v>0</v>
      </c>
      <c r="O233" t="n">
        <v>0</v>
      </c>
      <c r="P233" t="n">
        <v>0</v>
      </c>
      <c r="Q233" t="n">
        <v>0</v>
      </c>
      <c r="R233" s="2" t="inlineStr"/>
    </row>
    <row r="234" ht="15" customHeight="1">
      <c r="A234" t="inlineStr">
        <is>
          <t>A 53501-2025</t>
        </is>
      </c>
      <c r="B234" s="1" t="n">
        <v>45960</v>
      </c>
      <c r="C234" s="1" t="n">
        <v>46191</v>
      </c>
      <c r="D234" t="inlineStr">
        <is>
          <t>DALARNAS LÄN</t>
        </is>
      </c>
      <c r="E234" t="inlineStr">
        <is>
          <t>ORSA</t>
        </is>
      </c>
      <c r="G234" t="n">
        <v>0.6</v>
      </c>
      <c r="H234" t="n">
        <v>0</v>
      </c>
      <c r="I234" t="n">
        <v>0</v>
      </c>
      <c r="J234" t="n">
        <v>0</v>
      </c>
      <c r="K234" t="n">
        <v>0</v>
      </c>
      <c r="L234" t="n">
        <v>0</v>
      </c>
      <c r="M234" t="n">
        <v>0</v>
      </c>
      <c r="N234" t="n">
        <v>0</v>
      </c>
      <c r="O234" t="n">
        <v>0</v>
      </c>
      <c r="P234" t="n">
        <v>0</v>
      </c>
      <c r="Q234" t="n">
        <v>0</v>
      </c>
      <c r="R234" s="2" t="inlineStr"/>
    </row>
    <row r="235" ht="15" customHeight="1">
      <c r="A235" t="inlineStr">
        <is>
          <t>A 53495-2025</t>
        </is>
      </c>
      <c r="B235" s="1" t="n">
        <v>45960</v>
      </c>
      <c r="C235" s="1" t="n">
        <v>46191</v>
      </c>
      <c r="D235" t="inlineStr">
        <is>
          <t>DALARNAS LÄN</t>
        </is>
      </c>
      <c r="E235" t="inlineStr">
        <is>
          <t>ORSA</t>
        </is>
      </c>
      <c r="G235" t="n">
        <v>3.6</v>
      </c>
      <c r="H235" t="n">
        <v>0</v>
      </c>
      <c r="I235" t="n">
        <v>0</v>
      </c>
      <c r="J235" t="n">
        <v>0</v>
      </c>
      <c r="K235" t="n">
        <v>0</v>
      </c>
      <c r="L235" t="n">
        <v>0</v>
      </c>
      <c r="M235" t="n">
        <v>0</v>
      </c>
      <c r="N235" t="n">
        <v>0</v>
      </c>
      <c r="O235" t="n">
        <v>0</v>
      </c>
      <c r="P235" t="n">
        <v>0</v>
      </c>
      <c r="Q235" t="n">
        <v>0</v>
      </c>
      <c r="R235" s="2" t="inlineStr"/>
    </row>
    <row r="236" ht="15" customHeight="1">
      <c r="A236" t="inlineStr">
        <is>
          <t>A 19505-2022</t>
        </is>
      </c>
      <c r="B236" s="1" t="n">
        <v>44693</v>
      </c>
      <c r="C236" s="1" t="n">
        <v>46191</v>
      </c>
      <c r="D236" t="inlineStr">
        <is>
          <t>DALARNAS LÄN</t>
        </is>
      </c>
      <c r="E236" t="inlineStr">
        <is>
          <t>ORSA</t>
        </is>
      </c>
      <c r="G236" t="n">
        <v>2.7</v>
      </c>
      <c r="H236" t="n">
        <v>0</v>
      </c>
      <c r="I236" t="n">
        <v>0</v>
      </c>
      <c r="J236" t="n">
        <v>0</v>
      </c>
      <c r="K236" t="n">
        <v>0</v>
      </c>
      <c r="L236" t="n">
        <v>0</v>
      </c>
      <c r="M236" t="n">
        <v>0</v>
      </c>
      <c r="N236" t="n">
        <v>0</v>
      </c>
      <c r="O236" t="n">
        <v>0</v>
      </c>
      <c r="P236" t="n">
        <v>0</v>
      </c>
      <c r="Q236" t="n">
        <v>0</v>
      </c>
      <c r="R236" s="2" t="inlineStr"/>
    </row>
    <row r="237" ht="15" customHeight="1">
      <c r="A237" t="inlineStr">
        <is>
          <t>A 53573-2025</t>
        </is>
      </c>
      <c r="B237" s="1" t="n">
        <v>45960</v>
      </c>
      <c r="C237" s="1" t="n">
        <v>46191</v>
      </c>
      <c r="D237" t="inlineStr">
        <is>
          <t>DALARNAS LÄN</t>
        </is>
      </c>
      <c r="E237" t="inlineStr">
        <is>
          <t>ORSA</t>
        </is>
      </c>
      <c r="F237" t="inlineStr">
        <is>
          <t>Bergvik skog öst AB</t>
        </is>
      </c>
      <c r="G237" t="n">
        <v>2.3</v>
      </c>
      <c r="H237" t="n">
        <v>0</v>
      </c>
      <c r="I237" t="n">
        <v>0</v>
      </c>
      <c r="J237" t="n">
        <v>0</v>
      </c>
      <c r="K237" t="n">
        <v>0</v>
      </c>
      <c r="L237" t="n">
        <v>0</v>
      </c>
      <c r="M237" t="n">
        <v>0</v>
      </c>
      <c r="N237" t="n">
        <v>0</v>
      </c>
      <c r="O237" t="n">
        <v>0</v>
      </c>
      <c r="P237" t="n">
        <v>0</v>
      </c>
      <c r="Q237" t="n">
        <v>0</v>
      </c>
      <c r="R237" s="2" t="inlineStr"/>
    </row>
    <row r="238" ht="15" customHeight="1">
      <c r="A238" t="inlineStr">
        <is>
          <t>A 55338-2022</t>
        </is>
      </c>
      <c r="B238" s="1" t="n">
        <v>44887</v>
      </c>
      <c r="C238" s="1" t="n">
        <v>46191</v>
      </c>
      <c r="D238" t="inlineStr">
        <is>
          <t>DALARNAS LÄN</t>
        </is>
      </c>
      <c r="E238" t="inlineStr">
        <is>
          <t>ORSA</t>
        </is>
      </c>
      <c r="G238" t="n">
        <v>2</v>
      </c>
      <c r="H238" t="n">
        <v>0</v>
      </c>
      <c r="I238" t="n">
        <v>0</v>
      </c>
      <c r="J238" t="n">
        <v>0</v>
      </c>
      <c r="K238" t="n">
        <v>0</v>
      </c>
      <c r="L238" t="n">
        <v>0</v>
      </c>
      <c r="M238" t="n">
        <v>0</v>
      </c>
      <c r="N238" t="n">
        <v>0</v>
      </c>
      <c r="O238" t="n">
        <v>0</v>
      </c>
      <c r="P238" t="n">
        <v>0</v>
      </c>
      <c r="Q238" t="n">
        <v>0</v>
      </c>
      <c r="R238" s="2" t="inlineStr"/>
    </row>
    <row r="239" ht="15" customHeight="1">
      <c r="A239" t="inlineStr">
        <is>
          <t>A 10522-2026</t>
        </is>
      </c>
      <c r="B239" s="1" t="n">
        <v>46077</v>
      </c>
      <c r="C239" s="1" t="n">
        <v>46191</v>
      </c>
      <c r="D239" t="inlineStr">
        <is>
          <t>DALARNAS LÄN</t>
        </is>
      </c>
      <c r="E239" t="inlineStr">
        <is>
          <t>ORSA</t>
        </is>
      </c>
      <c r="F239" t="inlineStr">
        <is>
          <t>Bergvik skog öst AB</t>
        </is>
      </c>
      <c r="G239" t="n">
        <v>13.7</v>
      </c>
      <c r="H239" t="n">
        <v>0</v>
      </c>
      <c r="I239" t="n">
        <v>0</v>
      </c>
      <c r="J239" t="n">
        <v>0</v>
      </c>
      <c r="K239" t="n">
        <v>0</v>
      </c>
      <c r="L239" t="n">
        <v>0</v>
      </c>
      <c r="M239" t="n">
        <v>0</v>
      </c>
      <c r="N239" t="n">
        <v>0</v>
      </c>
      <c r="O239" t="n">
        <v>0</v>
      </c>
      <c r="P239" t="n">
        <v>0</v>
      </c>
      <c r="Q239" t="n">
        <v>0</v>
      </c>
      <c r="R239" s="2" t="inlineStr"/>
    </row>
    <row r="240" ht="15" customHeight="1">
      <c r="A240" t="inlineStr">
        <is>
          <t>A 54176-2025</t>
        </is>
      </c>
      <c r="B240" s="1" t="n">
        <v>45964</v>
      </c>
      <c r="C240" s="1" t="n">
        <v>46191</v>
      </c>
      <c r="D240" t="inlineStr">
        <is>
          <t>DALARNAS LÄN</t>
        </is>
      </c>
      <c r="E240" t="inlineStr">
        <is>
          <t>ORSA</t>
        </is>
      </c>
      <c r="G240" t="n">
        <v>0.9</v>
      </c>
      <c r="H240" t="n">
        <v>0</v>
      </c>
      <c r="I240" t="n">
        <v>0</v>
      </c>
      <c r="J240" t="n">
        <v>0</v>
      </c>
      <c r="K240" t="n">
        <v>0</v>
      </c>
      <c r="L240" t="n">
        <v>0</v>
      </c>
      <c r="M240" t="n">
        <v>0</v>
      </c>
      <c r="N240" t="n">
        <v>0</v>
      </c>
      <c r="O240" t="n">
        <v>0</v>
      </c>
      <c r="P240" t="n">
        <v>0</v>
      </c>
      <c r="Q240" t="n">
        <v>0</v>
      </c>
      <c r="R240" s="2" t="inlineStr"/>
    </row>
    <row r="241" ht="15" customHeight="1">
      <c r="A241" t="inlineStr">
        <is>
          <t>A 54676-2025</t>
        </is>
      </c>
      <c r="B241" s="1" t="n">
        <v>45966</v>
      </c>
      <c r="C241" s="1" t="n">
        <v>46191</v>
      </c>
      <c r="D241" t="inlineStr">
        <is>
          <t>DALARNAS LÄN</t>
        </is>
      </c>
      <c r="E241" t="inlineStr">
        <is>
          <t>ORSA</t>
        </is>
      </c>
      <c r="F241" t="inlineStr">
        <is>
          <t>Allmännings- och besparingsskogar</t>
        </is>
      </c>
      <c r="G241" t="n">
        <v>4.6</v>
      </c>
      <c r="H241" t="n">
        <v>0</v>
      </c>
      <c r="I241" t="n">
        <v>0</v>
      </c>
      <c r="J241" t="n">
        <v>0</v>
      </c>
      <c r="K241" t="n">
        <v>0</v>
      </c>
      <c r="L241" t="n">
        <v>0</v>
      </c>
      <c r="M241" t="n">
        <v>0</v>
      </c>
      <c r="N241" t="n">
        <v>0</v>
      </c>
      <c r="O241" t="n">
        <v>0</v>
      </c>
      <c r="P241" t="n">
        <v>0</v>
      </c>
      <c r="Q241" t="n">
        <v>0</v>
      </c>
      <c r="R241" s="2" t="inlineStr"/>
    </row>
    <row r="242" ht="15" customHeight="1">
      <c r="A242" t="inlineStr">
        <is>
          <t>A 36682-2024</t>
        </is>
      </c>
      <c r="B242" s="1" t="n">
        <v>45537</v>
      </c>
      <c r="C242" s="1" t="n">
        <v>46191</v>
      </c>
      <c r="D242" t="inlineStr">
        <is>
          <t>DALARNAS LÄN</t>
        </is>
      </c>
      <c r="E242" t="inlineStr">
        <is>
          <t>ORSA</t>
        </is>
      </c>
      <c r="G242" t="n">
        <v>1.2</v>
      </c>
      <c r="H242" t="n">
        <v>0</v>
      </c>
      <c r="I242" t="n">
        <v>0</v>
      </c>
      <c r="J242" t="n">
        <v>0</v>
      </c>
      <c r="K242" t="n">
        <v>0</v>
      </c>
      <c r="L242" t="n">
        <v>0</v>
      </c>
      <c r="M242" t="n">
        <v>0</v>
      </c>
      <c r="N242" t="n">
        <v>0</v>
      </c>
      <c r="O242" t="n">
        <v>0</v>
      </c>
      <c r="P242" t="n">
        <v>0</v>
      </c>
      <c r="Q242" t="n">
        <v>0</v>
      </c>
      <c r="R242" s="2" t="inlineStr"/>
    </row>
    <row r="243" ht="15" customHeight="1">
      <c r="A243" t="inlineStr">
        <is>
          <t>A 15657-2026</t>
        </is>
      </c>
      <c r="B243" s="1" t="n">
        <v>46106</v>
      </c>
      <c r="C243" s="1" t="n">
        <v>46191</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54782-2025</t>
        </is>
      </c>
      <c r="B244" s="1" t="n">
        <v>45966</v>
      </c>
      <c r="C244" s="1" t="n">
        <v>46191</v>
      </c>
      <c r="D244" t="inlineStr">
        <is>
          <t>DALARNAS LÄN</t>
        </is>
      </c>
      <c r="E244" t="inlineStr">
        <is>
          <t>ORSA</t>
        </is>
      </c>
      <c r="G244" t="n">
        <v>3.8</v>
      </c>
      <c r="H244" t="n">
        <v>0</v>
      </c>
      <c r="I244" t="n">
        <v>0</v>
      </c>
      <c r="J244" t="n">
        <v>0</v>
      </c>
      <c r="K244" t="n">
        <v>0</v>
      </c>
      <c r="L244" t="n">
        <v>0</v>
      </c>
      <c r="M244" t="n">
        <v>0</v>
      </c>
      <c r="N244" t="n">
        <v>0</v>
      </c>
      <c r="O244" t="n">
        <v>0</v>
      </c>
      <c r="P244" t="n">
        <v>0</v>
      </c>
      <c r="Q244" t="n">
        <v>0</v>
      </c>
      <c r="R244" s="2" t="inlineStr"/>
    </row>
    <row r="245" ht="15" customHeight="1">
      <c r="A245" t="inlineStr">
        <is>
          <t>A 54776-2025</t>
        </is>
      </c>
      <c r="B245" s="1" t="n">
        <v>45966</v>
      </c>
      <c r="C245" s="1" t="n">
        <v>46191</v>
      </c>
      <c r="D245" t="inlineStr">
        <is>
          <t>DALARNAS LÄN</t>
        </is>
      </c>
      <c r="E245" t="inlineStr">
        <is>
          <t>ORSA</t>
        </is>
      </c>
      <c r="G245" t="n">
        <v>4.8</v>
      </c>
      <c r="H245" t="n">
        <v>0</v>
      </c>
      <c r="I245" t="n">
        <v>0</v>
      </c>
      <c r="J245" t="n">
        <v>0</v>
      </c>
      <c r="K245" t="n">
        <v>0</v>
      </c>
      <c r="L245" t="n">
        <v>0</v>
      </c>
      <c r="M245" t="n">
        <v>0</v>
      </c>
      <c r="N245" t="n">
        <v>0</v>
      </c>
      <c r="O245" t="n">
        <v>0</v>
      </c>
      <c r="P245" t="n">
        <v>0</v>
      </c>
      <c r="Q245" t="n">
        <v>0</v>
      </c>
      <c r="R245" s="2" t="inlineStr"/>
    </row>
    <row r="246" ht="15" customHeight="1">
      <c r="A246" t="inlineStr">
        <is>
          <t>A 11510-2026</t>
        </is>
      </c>
      <c r="B246" s="1" t="n">
        <v>46083</v>
      </c>
      <c r="C246" s="1" t="n">
        <v>46191</v>
      </c>
      <c r="D246" t="inlineStr">
        <is>
          <t>DALARNAS LÄN</t>
        </is>
      </c>
      <c r="E246" t="inlineStr">
        <is>
          <t>ORSA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5100-2026</t>
        </is>
      </c>
      <c r="B247" s="1" t="n">
        <v>46049</v>
      </c>
      <c r="C247" s="1" t="n">
        <v>46191</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52033-2023</t>
        </is>
      </c>
      <c r="B248" s="1" t="n">
        <v>45223</v>
      </c>
      <c r="C248" s="1" t="n">
        <v>46191</v>
      </c>
      <c r="D248" t="inlineStr">
        <is>
          <t>DALARNAS LÄN</t>
        </is>
      </c>
      <c r="E248" t="inlineStr">
        <is>
          <t>ORSA</t>
        </is>
      </c>
      <c r="G248" t="n">
        <v>11.5</v>
      </c>
      <c r="H248" t="n">
        <v>0</v>
      </c>
      <c r="I248" t="n">
        <v>0</v>
      </c>
      <c r="J248" t="n">
        <v>0</v>
      </c>
      <c r="K248" t="n">
        <v>0</v>
      </c>
      <c r="L248" t="n">
        <v>0</v>
      </c>
      <c r="M248" t="n">
        <v>0</v>
      </c>
      <c r="N248" t="n">
        <v>0</v>
      </c>
      <c r="O248" t="n">
        <v>0</v>
      </c>
      <c r="P248" t="n">
        <v>0</v>
      </c>
      <c r="Q248" t="n">
        <v>0</v>
      </c>
      <c r="R248" s="2" t="inlineStr"/>
    </row>
    <row r="249" ht="15" customHeight="1">
      <c r="A249" t="inlineStr">
        <is>
          <t>A 55105-2025</t>
        </is>
      </c>
      <c r="B249" s="1" t="n">
        <v>45968</v>
      </c>
      <c r="C249" s="1" t="n">
        <v>46191</v>
      </c>
      <c r="D249" t="inlineStr">
        <is>
          <t>DALARNAS LÄN</t>
        </is>
      </c>
      <c r="E249" t="inlineStr">
        <is>
          <t>ORSA</t>
        </is>
      </c>
      <c r="F249" t="inlineStr">
        <is>
          <t>Allmännings- och besparingsskogar</t>
        </is>
      </c>
      <c r="G249" t="n">
        <v>31.5</v>
      </c>
      <c r="H249" t="n">
        <v>0</v>
      </c>
      <c r="I249" t="n">
        <v>0</v>
      </c>
      <c r="J249" t="n">
        <v>0</v>
      </c>
      <c r="K249" t="n">
        <v>0</v>
      </c>
      <c r="L249" t="n">
        <v>0</v>
      </c>
      <c r="M249" t="n">
        <v>0</v>
      </c>
      <c r="N249" t="n">
        <v>0</v>
      </c>
      <c r="O249" t="n">
        <v>0</v>
      </c>
      <c r="P249" t="n">
        <v>0</v>
      </c>
      <c r="Q249" t="n">
        <v>0</v>
      </c>
      <c r="R249" s="2" t="inlineStr"/>
    </row>
    <row r="250" ht="15" customHeight="1">
      <c r="A250" t="inlineStr">
        <is>
          <t>A 15414-2026</t>
        </is>
      </c>
      <c r="B250" s="1" t="n">
        <v>46106</v>
      </c>
      <c r="C250" s="1" t="n">
        <v>46191</v>
      </c>
      <c r="D250" t="inlineStr">
        <is>
          <t>DALARNAS LÄN</t>
        </is>
      </c>
      <c r="E250" t="inlineStr">
        <is>
          <t>ORSA</t>
        </is>
      </c>
      <c r="G250" t="n">
        <v>2.3</v>
      </c>
      <c r="H250" t="n">
        <v>0</v>
      </c>
      <c r="I250" t="n">
        <v>0</v>
      </c>
      <c r="J250" t="n">
        <v>0</v>
      </c>
      <c r="K250" t="n">
        <v>0</v>
      </c>
      <c r="L250" t="n">
        <v>0</v>
      </c>
      <c r="M250" t="n">
        <v>0</v>
      </c>
      <c r="N250" t="n">
        <v>0</v>
      </c>
      <c r="O250" t="n">
        <v>0</v>
      </c>
      <c r="P250" t="n">
        <v>0</v>
      </c>
      <c r="Q250" t="n">
        <v>0</v>
      </c>
      <c r="R250" s="2" t="inlineStr"/>
    </row>
    <row r="251" ht="15" customHeight="1">
      <c r="A251" t="inlineStr">
        <is>
          <t>A 21900-2026</t>
        </is>
      </c>
      <c r="B251" s="1" t="n">
        <v>46150</v>
      </c>
      <c r="C251" s="1" t="n">
        <v>46191</v>
      </c>
      <c r="D251" t="inlineStr">
        <is>
          <t>DALARNAS LÄN</t>
        </is>
      </c>
      <c r="E251" t="inlineStr">
        <is>
          <t>ORSA</t>
        </is>
      </c>
      <c r="F251" t="inlineStr">
        <is>
          <t>Allmännings- och besparingsskogar</t>
        </is>
      </c>
      <c r="G251" t="n">
        <v>11.8</v>
      </c>
      <c r="H251" t="n">
        <v>0</v>
      </c>
      <c r="I251" t="n">
        <v>0</v>
      </c>
      <c r="J251" t="n">
        <v>0</v>
      </c>
      <c r="K251" t="n">
        <v>0</v>
      </c>
      <c r="L251" t="n">
        <v>0</v>
      </c>
      <c r="M251" t="n">
        <v>0</v>
      </c>
      <c r="N251" t="n">
        <v>0</v>
      </c>
      <c r="O251" t="n">
        <v>0</v>
      </c>
      <c r="P251" t="n">
        <v>0</v>
      </c>
      <c r="Q251" t="n">
        <v>0</v>
      </c>
      <c r="R251" s="2" t="inlineStr"/>
    </row>
    <row r="252" ht="15" customHeight="1">
      <c r="A252" t="inlineStr">
        <is>
          <t>A 55405-2025</t>
        </is>
      </c>
      <c r="B252" s="1" t="n">
        <v>45971</v>
      </c>
      <c r="C252" s="1" t="n">
        <v>46191</v>
      </c>
      <c r="D252" t="inlineStr">
        <is>
          <t>DALARNAS LÄN</t>
        </is>
      </c>
      <c r="E252" t="inlineStr">
        <is>
          <t>ORSA</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10049-2026</t>
        </is>
      </c>
      <c r="B253" s="1" t="n">
        <v>46073</v>
      </c>
      <c r="C253" s="1" t="n">
        <v>46191</v>
      </c>
      <c r="D253" t="inlineStr">
        <is>
          <t>DALARNAS LÄN</t>
        </is>
      </c>
      <c r="E253" t="inlineStr">
        <is>
          <t>ORSA</t>
        </is>
      </c>
      <c r="F253" t="inlineStr">
        <is>
          <t>Bergvik skog öst AB</t>
        </is>
      </c>
      <c r="G253" t="n">
        <v>4.4</v>
      </c>
      <c r="H253" t="n">
        <v>0</v>
      </c>
      <c r="I253" t="n">
        <v>0</v>
      </c>
      <c r="J253" t="n">
        <v>0</v>
      </c>
      <c r="K253" t="n">
        <v>0</v>
      </c>
      <c r="L253" t="n">
        <v>0</v>
      </c>
      <c r="M253" t="n">
        <v>0</v>
      </c>
      <c r="N253" t="n">
        <v>0</v>
      </c>
      <c r="O253" t="n">
        <v>0</v>
      </c>
      <c r="P253" t="n">
        <v>0</v>
      </c>
      <c r="Q253" t="n">
        <v>0</v>
      </c>
      <c r="R253" s="2" t="inlineStr"/>
    </row>
    <row r="254" ht="15" customHeight="1">
      <c r="A254" t="inlineStr">
        <is>
          <t>A 47732-2022</t>
        </is>
      </c>
      <c r="B254" s="1" t="n">
        <v>44854</v>
      </c>
      <c r="C254" s="1" t="n">
        <v>46191</v>
      </c>
      <c r="D254" t="inlineStr">
        <is>
          <t>DALARNAS LÄN</t>
        </is>
      </c>
      <c r="E254" t="inlineStr">
        <is>
          <t>ORSA</t>
        </is>
      </c>
      <c r="F254" t="inlineStr">
        <is>
          <t>Bergvik skog öst AB</t>
        </is>
      </c>
      <c r="G254" t="n">
        <v>1.7</v>
      </c>
      <c r="H254" t="n">
        <v>0</v>
      </c>
      <c r="I254" t="n">
        <v>0</v>
      </c>
      <c r="J254" t="n">
        <v>0</v>
      </c>
      <c r="K254" t="n">
        <v>0</v>
      </c>
      <c r="L254" t="n">
        <v>0</v>
      </c>
      <c r="M254" t="n">
        <v>0</v>
      </c>
      <c r="N254" t="n">
        <v>0</v>
      </c>
      <c r="O254" t="n">
        <v>0</v>
      </c>
      <c r="P254" t="n">
        <v>0</v>
      </c>
      <c r="Q254" t="n">
        <v>0</v>
      </c>
      <c r="R254" s="2" t="inlineStr"/>
    </row>
    <row r="255" ht="15" customHeight="1">
      <c r="A255" t="inlineStr">
        <is>
          <t>A 10151-2026</t>
        </is>
      </c>
      <c r="B255" s="1" t="n">
        <v>46076</v>
      </c>
      <c r="C255" s="1" t="n">
        <v>46191</v>
      </c>
      <c r="D255" t="inlineStr">
        <is>
          <t>DALARNAS LÄN</t>
        </is>
      </c>
      <c r="E255" t="inlineStr">
        <is>
          <t>ORSA</t>
        </is>
      </c>
      <c r="F255" t="inlineStr">
        <is>
          <t>Bergvik skog öst AB</t>
        </is>
      </c>
      <c r="G255" t="n">
        <v>1.8</v>
      </c>
      <c r="H255" t="n">
        <v>0</v>
      </c>
      <c r="I255" t="n">
        <v>0</v>
      </c>
      <c r="J255" t="n">
        <v>0</v>
      </c>
      <c r="K255" t="n">
        <v>0</v>
      </c>
      <c r="L255" t="n">
        <v>0</v>
      </c>
      <c r="M255" t="n">
        <v>0</v>
      </c>
      <c r="N255" t="n">
        <v>0</v>
      </c>
      <c r="O255" t="n">
        <v>0</v>
      </c>
      <c r="P255" t="n">
        <v>0</v>
      </c>
      <c r="Q255" t="n">
        <v>0</v>
      </c>
      <c r="R255" s="2" t="inlineStr"/>
    </row>
    <row r="256" ht="15" customHeight="1">
      <c r="A256" t="inlineStr">
        <is>
          <t>A 9962-2026</t>
        </is>
      </c>
      <c r="B256" s="1" t="n">
        <v>46073</v>
      </c>
      <c r="C256" s="1" t="n">
        <v>46191</v>
      </c>
      <c r="D256" t="inlineStr">
        <is>
          <t>DALARNAS LÄN</t>
        </is>
      </c>
      <c r="E256" t="inlineStr">
        <is>
          <t>ORSA</t>
        </is>
      </c>
      <c r="F256" t="inlineStr">
        <is>
          <t>Bergvik skog öst AB</t>
        </is>
      </c>
      <c r="G256" t="n">
        <v>2.5</v>
      </c>
      <c r="H256" t="n">
        <v>0</v>
      </c>
      <c r="I256" t="n">
        <v>0</v>
      </c>
      <c r="J256" t="n">
        <v>0</v>
      </c>
      <c r="K256" t="n">
        <v>0</v>
      </c>
      <c r="L256" t="n">
        <v>0</v>
      </c>
      <c r="M256" t="n">
        <v>0</v>
      </c>
      <c r="N256" t="n">
        <v>0</v>
      </c>
      <c r="O256" t="n">
        <v>0</v>
      </c>
      <c r="P256" t="n">
        <v>0</v>
      </c>
      <c r="Q256" t="n">
        <v>0</v>
      </c>
      <c r="R256" s="2" t="inlineStr"/>
    </row>
    <row r="257" ht="15" customHeight="1">
      <c r="A257" t="inlineStr">
        <is>
          <t>A 55369-2025</t>
        </is>
      </c>
      <c r="B257" s="1" t="n">
        <v>45971</v>
      </c>
      <c r="C257" s="1" t="n">
        <v>46191</v>
      </c>
      <c r="D257" t="inlineStr">
        <is>
          <t>DALARNAS LÄN</t>
        </is>
      </c>
      <c r="E257" t="inlineStr">
        <is>
          <t>ORSA</t>
        </is>
      </c>
      <c r="F257" t="inlineStr">
        <is>
          <t>Bergvik skog öst AB</t>
        </is>
      </c>
      <c r="G257" t="n">
        <v>1.7</v>
      </c>
      <c r="H257" t="n">
        <v>0</v>
      </c>
      <c r="I257" t="n">
        <v>0</v>
      </c>
      <c r="J257" t="n">
        <v>0</v>
      </c>
      <c r="K257" t="n">
        <v>0</v>
      </c>
      <c r="L257" t="n">
        <v>0</v>
      </c>
      <c r="M257" t="n">
        <v>0</v>
      </c>
      <c r="N257" t="n">
        <v>0</v>
      </c>
      <c r="O257" t="n">
        <v>0</v>
      </c>
      <c r="P257" t="n">
        <v>0</v>
      </c>
      <c r="Q257" t="n">
        <v>0</v>
      </c>
      <c r="R257" s="2" t="inlineStr"/>
    </row>
    <row r="258" ht="15" customHeight="1">
      <c r="A258" t="inlineStr">
        <is>
          <t>A 61279-2023</t>
        </is>
      </c>
      <c r="B258" s="1" t="n">
        <v>45264</v>
      </c>
      <c r="C258" s="1" t="n">
        <v>46191</v>
      </c>
      <c r="D258" t="inlineStr">
        <is>
          <t>DALARNAS LÄN</t>
        </is>
      </c>
      <c r="E258" t="inlineStr">
        <is>
          <t>ORSA</t>
        </is>
      </c>
      <c r="G258" t="n">
        <v>0.2</v>
      </c>
      <c r="H258" t="n">
        <v>0</v>
      </c>
      <c r="I258" t="n">
        <v>0</v>
      </c>
      <c r="J258" t="n">
        <v>0</v>
      </c>
      <c r="K258" t="n">
        <v>0</v>
      </c>
      <c r="L258" t="n">
        <v>0</v>
      </c>
      <c r="M258" t="n">
        <v>0</v>
      </c>
      <c r="N258" t="n">
        <v>0</v>
      </c>
      <c r="O258" t="n">
        <v>0</v>
      </c>
      <c r="P258" t="n">
        <v>0</v>
      </c>
      <c r="Q258" t="n">
        <v>0</v>
      </c>
      <c r="R258" s="2" t="inlineStr"/>
    </row>
    <row r="259" ht="15" customHeight="1">
      <c r="A259" t="inlineStr">
        <is>
          <t>A 23461-2023</t>
        </is>
      </c>
      <c r="B259" s="1" t="n">
        <v>45076</v>
      </c>
      <c r="C259" s="1" t="n">
        <v>46191</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16285-2026</t>
        </is>
      </c>
      <c r="B260" s="1" t="n">
        <v>46111</v>
      </c>
      <c r="C260" s="1" t="n">
        <v>46191</v>
      </c>
      <c r="D260" t="inlineStr">
        <is>
          <t>DALARNAS LÄN</t>
        </is>
      </c>
      <c r="E260" t="inlineStr">
        <is>
          <t>ORSA</t>
        </is>
      </c>
      <c r="F260" t="inlineStr">
        <is>
          <t>Bergvik skog öst AB</t>
        </is>
      </c>
      <c r="G260" t="n">
        <v>6.2</v>
      </c>
      <c r="H260" t="n">
        <v>0</v>
      </c>
      <c r="I260" t="n">
        <v>0</v>
      </c>
      <c r="J260" t="n">
        <v>0</v>
      </c>
      <c r="K260" t="n">
        <v>0</v>
      </c>
      <c r="L260" t="n">
        <v>0</v>
      </c>
      <c r="M260" t="n">
        <v>0</v>
      </c>
      <c r="N260" t="n">
        <v>0</v>
      </c>
      <c r="O260" t="n">
        <v>0</v>
      </c>
      <c r="P260" t="n">
        <v>0</v>
      </c>
      <c r="Q260" t="n">
        <v>0</v>
      </c>
      <c r="R260" s="2" t="inlineStr"/>
    </row>
    <row r="261" ht="15" customHeight="1">
      <c r="A261" t="inlineStr">
        <is>
          <t>A 16302-2026</t>
        </is>
      </c>
      <c r="B261" s="1" t="n">
        <v>46111</v>
      </c>
      <c r="C261" s="1" t="n">
        <v>46191</v>
      </c>
      <c r="D261" t="inlineStr">
        <is>
          <t>DALARNAS LÄN</t>
        </is>
      </c>
      <c r="E261" t="inlineStr">
        <is>
          <t>ORSA</t>
        </is>
      </c>
      <c r="F261" t="inlineStr">
        <is>
          <t>Bergvik skog öst AB</t>
        </is>
      </c>
      <c r="G261" t="n">
        <v>21</v>
      </c>
      <c r="H261" t="n">
        <v>0</v>
      </c>
      <c r="I261" t="n">
        <v>0</v>
      </c>
      <c r="J261" t="n">
        <v>0</v>
      </c>
      <c r="K261" t="n">
        <v>0</v>
      </c>
      <c r="L261" t="n">
        <v>0</v>
      </c>
      <c r="M261" t="n">
        <v>0</v>
      </c>
      <c r="N261" t="n">
        <v>0</v>
      </c>
      <c r="O261" t="n">
        <v>0</v>
      </c>
      <c r="P261" t="n">
        <v>0</v>
      </c>
      <c r="Q261" t="n">
        <v>0</v>
      </c>
      <c r="R261" s="2" t="inlineStr"/>
    </row>
    <row r="262" ht="15" customHeight="1">
      <c r="A262" t="inlineStr">
        <is>
          <t>A 16034-2026</t>
        </is>
      </c>
      <c r="B262" s="1" t="n">
        <v>46108</v>
      </c>
      <c r="C262" s="1" t="n">
        <v>46191</v>
      </c>
      <c r="D262" t="inlineStr">
        <is>
          <t>DALARNAS LÄN</t>
        </is>
      </c>
      <c r="E262" t="inlineStr">
        <is>
          <t>ORSA</t>
        </is>
      </c>
      <c r="G262" t="n">
        <v>5.1</v>
      </c>
      <c r="H262" t="n">
        <v>0</v>
      </c>
      <c r="I262" t="n">
        <v>0</v>
      </c>
      <c r="J262" t="n">
        <v>0</v>
      </c>
      <c r="K262" t="n">
        <v>0</v>
      </c>
      <c r="L262" t="n">
        <v>0</v>
      </c>
      <c r="M262" t="n">
        <v>0</v>
      </c>
      <c r="N262" t="n">
        <v>0</v>
      </c>
      <c r="O262" t="n">
        <v>0</v>
      </c>
      <c r="P262" t="n">
        <v>0</v>
      </c>
      <c r="Q262" t="n">
        <v>0</v>
      </c>
      <c r="R262" s="2" t="inlineStr"/>
    </row>
    <row r="263" ht="15" customHeight="1">
      <c r="A263" t="inlineStr">
        <is>
          <t>A 56295-2025</t>
        </is>
      </c>
      <c r="B263" s="1" t="n">
        <v>45974</v>
      </c>
      <c r="C263" s="1" t="n">
        <v>46191</v>
      </c>
      <c r="D263" t="inlineStr">
        <is>
          <t>DALARNAS LÄN</t>
        </is>
      </c>
      <c r="E263" t="inlineStr">
        <is>
          <t>ORSA</t>
        </is>
      </c>
      <c r="G263" t="n">
        <v>2.1</v>
      </c>
      <c r="H263" t="n">
        <v>0</v>
      </c>
      <c r="I263" t="n">
        <v>0</v>
      </c>
      <c r="J263" t="n">
        <v>0</v>
      </c>
      <c r="K263" t="n">
        <v>0</v>
      </c>
      <c r="L263" t="n">
        <v>0</v>
      </c>
      <c r="M263" t="n">
        <v>0</v>
      </c>
      <c r="N263" t="n">
        <v>0</v>
      </c>
      <c r="O263" t="n">
        <v>0</v>
      </c>
      <c r="P263" t="n">
        <v>0</v>
      </c>
      <c r="Q263" t="n">
        <v>0</v>
      </c>
      <c r="R263" s="2" t="inlineStr"/>
    </row>
    <row r="264" ht="15" customHeight="1">
      <c r="A264" t="inlineStr">
        <is>
          <t>A 18037-2023</t>
        </is>
      </c>
      <c r="B264" s="1" t="n">
        <v>45040</v>
      </c>
      <c r="C264" s="1" t="n">
        <v>46191</v>
      </c>
      <c r="D264" t="inlineStr">
        <is>
          <t>DALARNAS LÄN</t>
        </is>
      </c>
      <c r="E264" t="inlineStr">
        <is>
          <t>ORSA</t>
        </is>
      </c>
      <c r="G264" t="n">
        <v>6.6</v>
      </c>
      <c r="H264" t="n">
        <v>0</v>
      </c>
      <c r="I264" t="n">
        <v>0</v>
      </c>
      <c r="J264" t="n">
        <v>0</v>
      </c>
      <c r="K264" t="n">
        <v>0</v>
      </c>
      <c r="L264" t="n">
        <v>0</v>
      </c>
      <c r="M264" t="n">
        <v>0</v>
      </c>
      <c r="N264" t="n">
        <v>0</v>
      </c>
      <c r="O264" t="n">
        <v>0</v>
      </c>
      <c r="P264" t="n">
        <v>0</v>
      </c>
      <c r="Q264" t="n">
        <v>0</v>
      </c>
      <c r="R264" s="2" t="inlineStr"/>
    </row>
    <row r="265" ht="15" customHeight="1">
      <c r="A265" t="inlineStr">
        <is>
          <t>A 22228-2026</t>
        </is>
      </c>
      <c r="B265" s="1" t="n">
        <v>46153</v>
      </c>
      <c r="C265" s="1" t="n">
        <v>46191</v>
      </c>
      <c r="D265" t="inlineStr">
        <is>
          <t>DALARNAS LÄN</t>
        </is>
      </c>
      <c r="E265" t="inlineStr">
        <is>
          <t>ORSA</t>
        </is>
      </c>
      <c r="G265" t="n">
        <v>3.5</v>
      </c>
      <c r="H265" t="n">
        <v>0</v>
      </c>
      <c r="I265" t="n">
        <v>0</v>
      </c>
      <c r="J265" t="n">
        <v>0</v>
      </c>
      <c r="K265" t="n">
        <v>0</v>
      </c>
      <c r="L265" t="n">
        <v>0</v>
      </c>
      <c r="M265" t="n">
        <v>0</v>
      </c>
      <c r="N265" t="n">
        <v>0</v>
      </c>
      <c r="O265" t="n">
        <v>0</v>
      </c>
      <c r="P265" t="n">
        <v>0</v>
      </c>
      <c r="Q265" t="n">
        <v>0</v>
      </c>
      <c r="R265" s="2" t="inlineStr"/>
    </row>
    <row r="266" ht="15" customHeight="1">
      <c r="A266" t="inlineStr">
        <is>
          <t>A 12440-2026</t>
        </is>
      </c>
      <c r="B266" s="1" t="n">
        <v>46090</v>
      </c>
      <c r="C266" s="1" t="n">
        <v>46191</v>
      </c>
      <c r="D266" t="inlineStr">
        <is>
          <t>DALARNAS LÄN</t>
        </is>
      </c>
      <c r="E266" t="inlineStr">
        <is>
          <t>ORSA</t>
        </is>
      </c>
      <c r="F266" t="inlineStr">
        <is>
          <t>Bergvik skog öst AB</t>
        </is>
      </c>
      <c r="G266" t="n">
        <v>2.8</v>
      </c>
      <c r="H266" t="n">
        <v>0</v>
      </c>
      <c r="I266" t="n">
        <v>0</v>
      </c>
      <c r="J266" t="n">
        <v>0</v>
      </c>
      <c r="K266" t="n">
        <v>0</v>
      </c>
      <c r="L266" t="n">
        <v>0</v>
      </c>
      <c r="M266" t="n">
        <v>0</v>
      </c>
      <c r="N266" t="n">
        <v>0</v>
      </c>
      <c r="O266" t="n">
        <v>0</v>
      </c>
      <c r="P266" t="n">
        <v>0</v>
      </c>
      <c r="Q266" t="n">
        <v>0</v>
      </c>
      <c r="R266" s="2" t="inlineStr"/>
    </row>
    <row r="267" ht="15" customHeight="1">
      <c r="A267" t="inlineStr">
        <is>
          <t>A 13316-2026</t>
        </is>
      </c>
      <c r="B267" s="1" t="n">
        <v>46094</v>
      </c>
      <c r="C267" s="1" t="n">
        <v>46191</v>
      </c>
      <c r="D267" t="inlineStr">
        <is>
          <t>DALARNAS LÄN</t>
        </is>
      </c>
      <c r="E267" t="inlineStr">
        <is>
          <t>ORSA</t>
        </is>
      </c>
      <c r="F267" t="inlineStr">
        <is>
          <t>Bergvik skog öst AB</t>
        </is>
      </c>
      <c r="G267" t="n">
        <v>1.2</v>
      </c>
      <c r="H267" t="n">
        <v>0</v>
      </c>
      <c r="I267" t="n">
        <v>0</v>
      </c>
      <c r="J267" t="n">
        <v>0</v>
      </c>
      <c r="K267" t="n">
        <v>0</v>
      </c>
      <c r="L267" t="n">
        <v>0</v>
      </c>
      <c r="M267" t="n">
        <v>0</v>
      </c>
      <c r="N267" t="n">
        <v>0</v>
      </c>
      <c r="O267" t="n">
        <v>0</v>
      </c>
      <c r="P267" t="n">
        <v>0</v>
      </c>
      <c r="Q267" t="n">
        <v>0</v>
      </c>
      <c r="R267" s="2" t="inlineStr"/>
    </row>
    <row r="268" ht="15" customHeight="1">
      <c r="A268" t="inlineStr">
        <is>
          <t>A 30291-2024</t>
        </is>
      </c>
      <c r="B268" s="1" t="n">
        <v>45490</v>
      </c>
      <c r="C268" s="1" t="n">
        <v>46191</v>
      </c>
      <c r="D268" t="inlineStr">
        <is>
          <t>DALARNAS LÄN</t>
        </is>
      </c>
      <c r="E268" t="inlineStr">
        <is>
          <t>ORSA</t>
        </is>
      </c>
      <c r="F268" t="inlineStr">
        <is>
          <t>Bergvik skog öst AB</t>
        </is>
      </c>
      <c r="G268" t="n">
        <v>7.5</v>
      </c>
      <c r="H268" t="n">
        <v>0</v>
      </c>
      <c r="I268" t="n">
        <v>0</v>
      </c>
      <c r="J268" t="n">
        <v>0</v>
      </c>
      <c r="K268" t="n">
        <v>0</v>
      </c>
      <c r="L268" t="n">
        <v>0</v>
      </c>
      <c r="M268" t="n">
        <v>0</v>
      </c>
      <c r="N268" t="n">
        <v>0</v>
      </c>
      <c r="O268" t="n">
        <v>0</v>
      </c>
      <c r="P268" t="n">
        <v>0</v>
      </c>
      <c r="Q268" t="n">
        <v>0</v>
      </c>
      <c r="R268" s="2" t="inlineStr"/>
    </row>
    <row r="269" ht="15" customHeight="1">
      <c r="A269" t="inlineStr">
        <is>
          <t>A 56288-2025</t>
        </is>
      </c>
      <c r="B269" s="1" t="n">
        <v>45974</v>
      </c>
      <c r="C269" s="1" t="n">
        <v>46191</v>
      </c>
      <c r="D269" t="inlineStr">
        <is>
          <t>DALARNAS LÄN</t>
        </is>
      </c>
      <c r="E269" t="inlineStr">
        <is>
          <t>ORSA</t>
        </is>
      </c>
      <c r="G269" t="n">
        <v>7.2</v>
      </c>
      <c r="H269" t="n">
        <v>0</v>
      </c>
      <c r="I269" t="n">
        <v>0</v>
      </c>
      <c r="J269" t="n">
        <v>0</v>
      </c>
      <c r="K269" t="n">
        <v>0</v>
      </c>
      <c r="L269" t="n">
        <v>0</v>
      </c>
      <c r="M269" t="n">
        <v>0</v>
      </c>
      <c r="N269" t="n">
        <v>0</v>
      </c>
      <c r="O269" t="n">
        <v>0</v>
      </c>
      <c r="P269" t="n">
        <v>0</v>
      </c>
      <c r="Q269" t="n">
        <v>0</v>
      </c>
      <c r="R269" s="2" t="inlineStr"/>
    </row>
    <row r="270" ht="15" customHeight="1">
      <c r="A270" t="inlineStr">
        <is>
          <t>A 15114-2025</t>
        </is>
      </c>
      <c r="B270" s="1" t="n">
        <v>45744</v>
      </c>
      <c r="C270" s="1" t="n">
        <v>46191</v>
      </c>
      <c r="D270" t="inlineStr">
        <is>
          <t>DALARNAS LÄN</t>
        </is>
      </c>
      <c r="E270" t="inlineStr">
        <is>
          <t>ORSA</t>
        </is>
      </c>
      <c r="F270" t="inlineStr">
        <is>
          <t>Allmännings- och besparingsskogar</t>
        </is>
      </c>
      <c r="G270" t="n">
        <v>1.9</v>
      </c>
      <c r="H270" t="n">
        <v>0</v>
      </c>
      <c r="I270" t="n">
        <v>0</v>
      </c>
      <c r="J270" t="n">
        <v>0</v>
      </c>
      <c r="K270" t="n">
        <v>0</v>
      </c>
      <c r="L270" t="n">
        <v>0</v>
      </c>
      <c r="M270" t="n">
        <v>0</v>
      </c>
      <c r="N270" t="n">
        <v>0</v>
      </c>
      <c r="O270" t="n">
        <v>0</v>
      </c>
      <c r="P270" t="n">
        <v>0</v>
      </c>
      <c r="Q270" t="n">
        <v>0</v>
      </c>
      <c r="R270" s="2" t="inlineStr"/>
    </row>
    <row r="271" ht="15" customHeight="1">
      <c r="A271" t="inlineStr">
        <is>
          <t>A 22590-2026</t>
        </is>
      </c>
      <c r="B271" s="1" t="n">
        <v>46155</v>
      </c>
      <c r="C271" s="1" t="n">
        <v>46191</v>
      </c>
      <c r="D271" t="inlineStr">
        <is>
          <t>DALARNAS LÄN</t>
        </is>
      </c>
      <c r="E271" t="inlineStr">
        <is>
          <t>ORSA</t>
        </is>
      </c>
      <c r="F271" t="inlineStr">
        <is>
          <t>Bergvik skog öst AB</t>
        </is>
      </c>
      <c r="G271" t="n">
        <v>0.7</v>
      </c>
      <c r="H271" t="n">
        <v>0</v>
      </c>
      <c r="I271" t="n">
        <v>0</v>
      </c>
      <c r="J271" t="n">
        <v>0</v>
      </c>
      <c r="K271" t="n">
        <v>0</v>
      </c>
      <c r="L271" t="n">
        <v>0</v>
      </c>
      <c r="M271" t="n">
        <v>0</v>
      </c>
      <c r="N271" t="n">
        <v>0</v>
      </c>
      <c r="O271" t="n">
        <v>0</v>
      </c>
      <c r="P271" t="n">
        <v>0</v>
      </c>
      <c r="Q271" t="n">
        <v>0</v>
      </c>
      <c r="R271" s="2" t="inlineStr"/>
    </row>
    <row r="272" ht="15" customHeight="1">
      <c r="A272" t="inlineStr">
        <is>
          <t>A 56297-2025</t>
        </is>
      </c>
      <c r="B272" s="1" t="n">
        <v>45974</v>
      </c>
      <c r="C272" s="1" t="n">
        <v>46191</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37836-2024</t>
        </is>
      </c>
      <c r="B273" s="1" t="n">
        <v>45544</v>
      </c>
      <c r="C273" s="1" t="n">
        <v>46191</v>
      </c>
      <c r="D273" t="inlineStr">
        <is>
          <t>DALARNAS LÄN</t>
        </is>
      </c>
      <c r="E273" t="inlineStr">
        <is>
          <t>ORSA</t>
        </is>
      </c>
      <c r="G273" t="n">
        <v>2.3</v>
      </c>
      <c r="H273" t="n">
        <v>0</v>
      </c>
      <c r="I273" t="n">
        <v>0</v>
      </c>
      <c r="J273" t="n">
        <v>0</v>
      </c>
      <c r="K273" t="n">
        <v>0</v>
      </c>
      <c r="L273" t="n">
        <v>0</v>
      </c>
      <c r="M273" t="n">
        <v>0</v>
      </c>
      <c r="N273" t="n">
        <v>0</v>
      </c>
      <c r="O273" t="n">
        <v>0</v>
      </c>
      <c r="P273" t="n">
        <v>0</v>
      </c>
      <c r="Q273" t="n">
        <v>0</v>
      </c>
      <c r="R273" s="2" t="inlineStr"/>
    </row>
    <row r="274" ht="15" customHeight="1">
      <c r="A274" t="inlineStr">
        <is>
          <t>A 16900-2026</t>
        </is>
      </c>
      <c r="B274" s="1" t="n">
        <v>46113</v>
      </c>
      <c r="C274" s="1" t="n">
        <v>46191</v>
      </c>
      <c r="D274" t="inlineStr">
        <is>
          <t>DALARNAS LÄN</t>
        </is>
      </c>
      <c r="E274" t="inlineStr">
        <is>
          <t>ORSA</t>
        </is>
      </c>
      <c r="G274" t="n">
        <v>0.6</v>
      </c>
      <c r="H274" t="n">
        <v>0</v>
      </c>
      <c r="I274" t="n">
        <v>0</v>
      </c>
      <c r="J274" t="n">
        <v>0</v>
      </c>
      <c r="K274" t="n">
        <v>0</v>
      </c>
      <c r="L274" t="n">
        <v>0</v>
      </c>
      <c r="M274" t="n">
        <v>0</v>
      </c>
      <c r="N274" t="n">
        <v>0</v>
      </c>
      <c r="O274" t="n">
        <v>0</v>
      </c>
      <c r="P274" t="n">
        <v>0</v>
      </c>
      <c r="Q274" t="n">
        <v>0</v>
      </c>
      <c r="R274" s="2" t="inlineStr"/>
    </row>
    <row r="275" ht="15" customHeight="1">
      <c r="A275" t="inlineStr">
        <is>
          <t>A 63917-2023</t>
        </is>
      </c>
      <c r="B275" s="1" t="n">
        <v>45278</v>
      </c>
      <c r="C275" s="1" t="n">
        <v>46191</v>
      </c>
      <c r="D275" t="inlineStr">
        <is>
          <t>DALARNAS LÄN</t>
        </is>
      </c>
      <c r="E275" t="inlineStr">
        <is>
          <t>ORSA</t>
        </is>
      </c>
      <c r="G275" t="n">
        <v>0.8</v>
      </c>
      <c r="H275" t="n">
        <v>0</v>
      </c>
      <c r="I275" t="n">
        <v>0</v>
      </c>
      <c r="J275" t="n">
        <v>0</v>
      </c>
      <c r="K275" t="n">
        <v>0</v>
      </c>
      <c r="L275" t="n">
        <v>0</v>
      </c>
      <c r="M275" t="n">
        <v>0</v>
      </c>
      <c r="N275" t="n">
        <v>0</v>
      </c>
      <c r="O275" t="n">
        <v>0</v>
      </c>
      <c r="P275" t="n">
        <v>0</v>
      </c>
      <c r="Q275" t="n">
        <v>0</v>
      </c>
      <c r="R275" s="2" t="inlineStr"/>
    </row>
    <row r="276" ht="15" customHeight="1">
      <c r="A276" t="inlineStr">
        <is>
          <t>A 56471-2025</t>
        </is>
      </c>
      <c r="B276" s="1" t="n">
        <v>45975</v>
      </c>
      <c r="C276" s="1" t="n">
        <v>46191</v>
      </c>
      <c r="D276" t="inlineStr">
        <is>
          <t>DALARNAS LÄN</t>
        </is>
      </c>
      <c r="E276" t="inlineStr">
        <is>
          <t>ORSA</t>
        </is>
      </c>
      <c r="G276" t="n">
        <v>5.2</v>
      </c>
      <c r="H276" t="n">
        <v>0</v>
      </c>
      <c r="I276" t="n">
        <v>0</v>
      </c>
      <c r="J276" t="n">
        <v>0</v>
      </c>
      <c r="K276" t="n">
        <v>0</v>
      </c>
      <c r="L276" t="n">
        <v>0</v>
      </c>
      <c r="M276" t="n">
        <v>0</v>
      </c>
      <c r="N276" t="n">
        <v>0</v>
      </c>
      <c r="O276" t="n">
        <v>0</v>
      </c>
      <c r="P276" t="n">
        <v>0</v>
      </c>
      <c r="Q276" t="n">
        <v>0</v>
      </c>
      <c r="R276" s="2" t="inlineStr"/>
    </row>
    <row r="277" ht="15" customHeight="1">
      <c r="A277" t="inlineStr">
        <is>
          <t>A 52912-2023</t>
        </is>
      </c>
      <c r="B277" s="1" t="n">
        <v>45226</v>
      </c>
      <c r="C277" s="1" t="n">
        <v>46191</v>
      </c>
      <c r="D277" t="inlineStr">
        <is>
          <t>DALARNAS LÄN</t>
        </is>
      </c>
      <c r="E277" t="inlineStr">
        <is>
          <t>ORSA</t>
        </is>
      </c>
      <c r="G277" t="n">
        <v>10.9</v>
      </c>
      <c r="H277" t="n">
        <v>0</v>
      </c>
      <c r="I277" t="n">
        <v>0</v>
      </c>
      <c r="J277" t="n">
        <v>0</v>
      </c>
      <c r="K277" t="n">
        <v>0</v>
      </c>
      <c r="L277" t="n">
        <v>0</v>
      </c>
      <c r="M277" t="n">
        <v>0</v>
      </c>
      <c r="N277" t="n">
        <v>0</v>
      </c>
      <c r="O277" t="n">
        <v>0</v>
      </c>
      <c r="P277" t="n">
        <v>0</v>
      </c>
      <c r="Q277" t="n">
        <v>0</v>
      </c>
      <c r="R277" s="2" t="inlineStr"/>
    </row>
    <row r="278" ht="15" customHeight="1">
      <c r="A278" t="inlineStr">
        <is>
          <t>A 22267-2026</t>
        </is>
      </c>
      <c r="B278" s="1" t="n">
        <v>46154</v>
      </c>
      <c r="C278" s="1" t="n">
        <v>46191</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56459-2025</t>
        </is>
      </c>
      <c r="B279" s="1" t="n">
        <v>45975</v>
      </c>
      <c r="C279" s="1" t="n">
        <v>46191</v>
      </c>
      <c r="D279" t="inlineStr">
        <is>
          <t>DALARNAS LÄN</t>
        </is>
      </c>
      <c r="E279" t="inlineStr">
        <is>
          <t>ORSA</t>
        </is>
      </c>
      <c r="G279" t="n">
        <v>3.8</v>
      </c>
      <c r="H279" t="n">
        <v>0</v>
      </c>
      <c r="I279" t="n">
        <v>0</v>
      </c>
      <c r="J279" t="n">
        <v>0</v>
      </c>
      <c r="K279" t="n">
        <v>0</v>
      </c>
      <c r="L279" t="n">
        <v>0</v>
      </c>
      <c r="M279" t="n">
        <v>0</v>
      </c>
      <c r="N279" t="n">
        <v>0</v>
      </c>
      <c r="O279" t="n">
        <v>0</v>
      </c>
      <c r="P279" t="n">
        <v>0</v>
      </c>
      <c r="Q279" t="n">
        <v>0</v>
      </c>
      <c r="R279" s="2" t="inlineStr"/>
    </row>
    <row r="280" ht="15" customHeight="1">
      <c r="A280" t="inlineStr">
        <is>
          <t>A 28974-2024</t>
        </is>
      </c>
      <c r="B280" s="1" t="n">
        <v>45481</v>
      </c>
      <c r="C280" s="1" t="n">
        <v>46191</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10832-2022</t>
        </is>
      </c>
      <c r="B281" s="1" t="n">
        <v>44627</v>
      </c>
      <c r="C281" s="1" t="n">
        <v>46191</v>
      </c>
      <c r="D281" t="inlineStr">
        <is>
          <t>DALARNAS LÄN</t>
        </is>
      </c>
      <c r="E281" t="inlineStr">
        <is>
          <t>ORSA</t>
        </is>
      </c>
      <c r="G281" t="n">
        <v>1.4</v>
      </c>
      <c r="H281" t="n">
        <v>0</v>
      </c>
      <c r="I281" t="n">
        <v>0</v>
      </c>
      <c r="J281" t="n">
        <v>0</v>
      </c>
      <c r="K281" t="n">
        <v>0</v>
      </c>
      <c r="L281" t="n">
        <v>0</v>
      </c>
      <c r="M281" t="n">
        <v>0</v>
      </c>
      <c r="N281" t="n">
        <v>0</v>
      </c>
      <c r="O281" t="n">
        <v>0</v>
      </c>
      <c r="P281" t="n">
        <v>0</v>
      </c>
      <c r="Q281" t="n">
        <v>0</v>
      </c>
      <c r="R281" s="2" t="inlineStr"/>
    </row>
    <row r="282" ht="15" customHeight="1">
      <c r="A282" t="inlineStr">
        <is>
          <t>A 56473-2025</t>
        </is>
      </c>
      <c r="B282" s="1" t="n">
        <v>45975</v>
      </c>
      <c r="C282" s="1" t="n">
        <v>46191</v>
      </c>
      <c r="D282" t="inlineStr">
        <is>
          <t>DALARNAS LÄN</t>
        </is>
      </c>
      <c r="E282" t="inlineStr">
        <is>
          <t>ORSA</t>
        </is>
      </c>
      <c r="G282" t="n">
        <v>1.1</v>
      </c>
      <c r="H282" t="n">
        <v>0</v>
      </c>
      <c r="I282" t="n">
        <v>0</v>
      </c>
      <c r="J282" t="n">
        <v>0</v>
      </c>
      <c r="K282" t="n">
        <v>0</v>
      </c>
      <c r="L282" t="n">
        <v>0</v>
      </c>
      <c r="M282" t="n">
        <v>0</v>
      </c>
      <c r="N282" t="n">
        <v>0</v>
      </c>
      <c r="O282" t="n">
        <v>0</v>
      </c>
      <c r="P282" t="n">
        <v>0</v>
      </c>
      <c r="Q282" t="n">
        <v>0</v>
      </c>
      <c r="R282" s="2" t="inlineStr"/>
    </row>
    <row r="283" ht="15" customHeight="1">
      <c r="A283" t="inlineStr">
        <is>
          <t>A 57681-2025</t>
        </is>
      </c>
      <c r="B283" s="1" t="n">
        <v>45980</v>
      </c>
      <c r="C283" s="1" t="n">
        <v>46191</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22615-2026</t>
        </is>
      </c>
      <c r="B284" s="1" t="n">
        <v>46155</v>
      </c>
      <c r="C284" s="1" t="n">
        <v>46191</v>
      </c>
      <c r="D284" t="inlineStr">
        <is>
          <t>DALARNAS LÄN</t>
        </is>
      </c>
      <c r="E284" t="inlineStr">
        <is>
          <t>ORSA</t>
        </is>
      </c>
      <c r="F284" t="inlineStr">
        <is>
          <t>Bergvik skog öst AB</t>
        </is>
      </c>
      <c r="G284" t="n">
        <v>5.5</v>
      </c>
      <c r="H284" t="n">
        <v>0</v>
      </c>
      <c r="I284" t="n">
        <v>0</v>
      </c>
      <c r="J284" t="n">
        <v>0</v>
      </c>
      <c r="K284" t="n">
        <v>0</v>
      </c>
      <c r="L284" t="n">
        <v>0</v>
      </c>
      <c r="M284" t="n">
        <v>0</v>
      </c>
      <c r="N284" t="n">
        <v>0</v>
      </c>
      <c r="O284" t="n">
        <v>0</v>
      </c>
      <c r="P284" t="n">
        <v>0</v>
      </c>
      <c r="Q284" t="n">
        <v>0</v>
      </c>
      <c r="R284" s="2" t="inlineStr"/>
    </row>
    <row r="285" ht="15" customHeight="1">
      <c r="A285" t="inlineStr">
        <is>
          <t>A 22515-2026</t>
        </is>
      </c>
      <c r="B285" s="1" t="n">
        <v>46155</v>
      </c>
      <c r="C285" s="1" t="n">
        <v>46191</v>
      </c>
      <c r="D285" t="inlineStr">
        <is>
          <t>DALARNAS LÄN</t>
        </is>
      </c>
      <c r="E285" t="inlineStr">
        <is>
          <t>ORSA</t>
        </is>
      </c>
      <c r="F285" t="inlineStr">
        <is>
          <t>Bergvik skog öst AB</t>
        </is>
      </c>
      <c r="G285" t="n">
        <v>1.7</v>
      </c>
      <c r="H285" t="n">
        <v>0</v>
      </c>
      <c r="I285" t="n">
        <v>0</v>
      </c>
      <c r="J285" t="n">
        <v>0</v>
      </c>
      <c r="K285" t="n">
        <v>0</v>
      </c>
      <c r="L285" t="n">
        <v>0</v>
      </c>
      <c r="M285" t="n">
        <v>0</v>
      </c>
      <c r="N285" t="n">
        <v>0</v>
      </c>
      <c r="O285" t="n">
        <v>0</v>
      </c>
      <c r="P285" t="n">
        <v>0</v>
      </c>
      <c r="Q285" t="n">
        <v>0</v>
      </c>
      <c r="R285" s="2" t="inlineStr"/>
    </row>
    <row r="286" ht="15" customHeight="1">
      <c r="A286" t="inlineStr">
        <is>
          <t>A 10359-2023</t>
        </is>
      </c>
      <c r="B286" s="1" t="n">
        <v>44987</v>
      </c>
      <c r="C286" s="1" t="n">
        <v>46191</v>
      </c>
      <c r="D286" t="inlineStr">
        <is>
          <t>DALARNAS LÄN</t>
        </is>
      </c>
      <c r="E286" t="inlineStr">
        <is>
          <t>ORSA</t>
        </is>
      </c>
      <c r="G286" t="n">
        <v>2.5</v>
      </c>
      <c r="H286" t="n">
        <v>0</v>
      </c>
      <c r="I286" t="n">
        <v>0</v>
      </c>
      <c r="J286" t="n">
        <v>0</v>
      </c>
      <c r="K286" t="n">
        <v>0</v>
      </c>
      <c r="L286" t="n">
        <v>0</v>
      </c>
      <c r="M286" t="n">
        <v>0</v>
      </c>
      <c r="N286" t="n">
        <v>0</v>
      </c>
      <c r="O286" t="n">
        <v>0</v>
      </c>
      <c r="P286" t="n">
        <v>0</v>
      </c>
      <c r="Q286" t="n">
        <v>0</v>
      </c>
      <c r="R286" s="2" t="inlineStr"/>
    </row>
    <row r="287" ht="15" customHeight="1">
      <c r="A287" t="inlineStr">
        <is>
          <t>A 22728-2026</t>
        </is>
      </c>
      <c r="B287" s="1" t="n">
        <v>46157</v>
      </c>
      <c r="C287" s="1" t="n">
        <v>46191</v>
      </c>
      <c r="D287" t="inlineStr">
        <is>
          <t>DALARNAS LÄN</t>
        </is>
      </c>
      <c r="E287" t="inlineStr">
        <is>
          <t>ORSA</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17094-2026</t>
        </is>
      </c>
      <c r="B288" s="1" t="n">
        <v>46114</v>
      </c>
      <c r="C288" s="1" t="n">
        <v>46191</v>
      </c>
      <c r="D288" t="inlineStr">
        <is>
          <t>DALARNAS LÄN</t>
        </is>
      </c>
      <c r="E288" t="inlineStr">
        <is>
          <t>ORSA</t>
        </is>
      </c>
      <c r="G288" t="n">
        <v>1.4</v>
      </c>
      <c r="H288" t="n">
        <v>0</v>
      </c>
      <c r="I288" t="n">
        <v>0</v>
      </c>
      <c r="J288" t="n">
        <v>0</v>
      </c>
      <c r="K288" t="n">
        <v>0</v>
      </c>
      <c r="L288" t="n">
        <v>0</v>
      </c>
      <c r="M288" t="n">
        <v>0</v>
      </c>
      <c r="N288" t="n">
        <v>0</v>
      </c>
      <c r="O288" t="n">
        <v>0</v>
      </c>
      <c r="P288" t="n">
        <v>0</v>
      </c>
      <c r="Q288" t="n">
        <v>0</v>
      </c>
      <c r="R288" s="2" t="inlineStr"/>
    </row>
    <row r="289" ht="15" customHeight="1">
      <c r="A289" t="inlineStr">
        <is>
          <t>A 57383-2025</t>
        </is>
      </c>
      <c r="B289" s="1" t="n">
        <v>45980</v>
      </c>
      <c r="C289" s="1" t="n">
        <v>46191</v>
      </c>
      <c r="D289" t="inlineStr">
        <is>
          <t>DALARNAS LÄN</t>
        </is>
      </c>
      <c r="E289" t="inlineStr">
        <is>
          <t>ORSA</t>
        </is>
      </c>
      <c r="F289" t="inlineStr">
        <is>
          <t>Kyrkan</t>
        </is>
      </c>
      <c r="G289" t="n">
        <v>3.5</v>
      </c>
      <c r="H289" t="n">
        <v>0</v>
      </c>
      <c r="I289" t="n">
        <v>0</v>
      </c>
      <c r="J289" t="n">
        <v>0</v>
      </c>
      <c r="K289" t="n">
        <v>0</v>
      </c>
      <c r="L289" t="n">
        <v>0</v>
      </c>
      <c r="M289" t="n">
        <v>0</v>
      </c>
      <c r="N289" t="n">
        <v>0</v>
      </c>
      <c r="O289" t="n">
        <v>0</v>
      </c>
      <c r="P289" t="n">
        <v>0</v>
      </c>
      <c r="Q289" t="n">
        <v>0</v>
      </c>
      <c r="R289" s="2" t="inlineStr"/>
    </row>
    <row r="290" ht="15" customHeight="1">
      <c r="A290" t="inlineStr">
        <is>
          <t>A 21446-2024</t>
        </is>
      </c>
      <c r="B290" s="1" t="n">
        <v>45441</v>
      </c>
      <c r="C290" s="1" t="n">
        <v>46191</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22829-2026</t>
        </is>
      </c>
      <c r="B291" s="1" t="n">
        <v>46160</v>
      </c>
      <c r="C291" s="1" t="n">
        <v>46191</v>
      </c>
      <c r="D291" t="inlineStr">
        <is>
          <t>DALARNAS LÄN</t>
        </is>
      </c>
      <c r="E291" t="inlineStr">
        <is>
          <t>ORSA</t>
        </is>
      </c>
      <c r="G291" t="n">
        <v>2.1</v>
      </c>
      <c r="H291" t="n">
        <v>0</v>
      </c>
      <c r="I291" t="n">
        <v>0</v>
      </c>
      <c r="J291" t="n">
        <v>0</v>
      </c>
      <c r="K291" t="n">
        <v>0</v>
      </c>
      <c r="L291" t="n">
        <v>0</v>
      </c>
      <c r="M291" t="n">
        <v>0</v>
      </c>
      <c r="N291" t="n">
        <v>0</v>
      </c>
      <c r="O291" t="n">
        <v>0</v>
      </c>
      <c r="P291" t="n">
        <v>0</v>
      </c>
      <c r="Q291" t="n">
        <v>0</v>
      </c>
      <c r="R291" s="2" t="inlineStr"/>
    </row>
    <row r="292" ht="15" customHeight="1">
      <c r="A292" t="inlineStr">
        <is>
          <t>A 23058-2026</t>
        </is>
      </c>
      <c r="B292" s="1" t="n">
        <v>46161</v>
      </c>
      <c r="C292" s="1" t="n">
        <v>46191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49270-2024</t>
        </is>
      </c>
      <c r="B293" s="1" t="n">
        <v>45595</v>
      </c>
      <c r="C293" s="1" t="n">
        <v>46191</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56810-2024</t>
        </is>
      </c>
      <c r="B294" s="1" t="n">
        <v>45628</v>
      </c>
      <c r="C294" s="1" t="n">
        <v>46191</v>
      </c>
      <c r="D294" t="inlineStr">
        <is>
          <t>DALARNAS LÄN</t>
        </is>
      </c>
      <c r="E294" t="inlineStr">
        <is>
          <t>ORSA</t>
        </is>
      </c>
      <c r="G294" t="n">
        <v>0.9</v>
      </c>
      <c r="H294" t="n">
        <v>0</v>
      </c>
      <c r="I294" t="n">
        <v>0</v>
      </c>
      <c r="J294" t="n">
        <v>0</v>
      </c>
      <c r="K294" t="n">
        <v>0</v>
      </c>
      <c r="L294" t="n">
        <v>0</v>
      </c>
      <c r="M294" t="n">
        <v>0</v>
      </c>
      <c r="N294" t="n">
        <v>0</v>
      </c>
      <c r="O294" t="n">
        <v>0</v>
      </c>
      <c r="P294" t="n">
        <v>0</v>
      </c>
      <c r="Q294" t="n">
        <v>0</v>
      </c>
      <c r="R294" s="2" t="inlineStr"/>
    </row>
    <row r="295" ht="15" customHeight="1">
      <c r="A295" t="inlineStr">
        <is>
          <t>A 56811-2024</t>
        </is>
      </c>
      <c r="B295" s="1" t="n">
        <v>45628</v>
      </c>
      <c r="C295" s="1" t="n">
        <v>46191</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58647-2025</t>
        </is>
      </c>
      <c r="B296" s="1" t="n">
        <v>45986</v>
      </c>
      <c r="C296" s="1" t="n">
        <v>46191</v>
      </c>
      <c r="D296" t="inlineStr">
        <is>
          <t>DALARNAS LÄN</t>
        </is>
      </c>
      <c r="E296" t="inlineStr">
        <is>
          <t>ORSA</t>
        </is>
      </c>
      <c r="G296" t="n">
        <v>2.8</v>
      </c>
      <c r="H296" t="n">
        <v>0</v>
      </c>
      <c r="I296" t="n">
        <v>0</v>
      </c>
      <c r="J296" t="n">
        <v>0</v>
      </c>
      <c r="K296" t="n">
        <v>0</v>
      </c>
      <c r="L296" t="n">
        <v>0</v>
      </c>
      <c r="M296" t="n">
        <v>0</v>
      </c>
      <c r="N296" t="n">
        <v>0</v>
      </c>
      <c r="O296" t="n">
        <v>0</v>
      </c>
      <c r="P296" t="n">
        <v>0</v>
      </c>
      <c r="Q296" t="n">
        <v>0</v>
      </c>
      <c r="R296" s="2" t="inlineStr"/>
    </row>
    <row r="297" ht="15" customHeight="1">
      <c r="A297" t="inlineStr">
        <is>
          <t>A 58657-2025</t>
        </is>
      </c>
      <c r="B297" s="1" t="n">
        <v>45986</v>
      </c>
      <c r="C297" s="1" t="n">
        <v>46191</v>
      </c>
      <c r="D297" t="inlineStr">
        <is>
          <t>DALARNAS LÄN</t>
        </is>
      </c>
      <c r="E297" t="inlineStr">
        <is>
          <t>ORSA</t>
        </is>
      </c>
      <c r="G297" t="n">
        <v>1.6</v>
      </c>
      <c r="H297" t="n">
        <v>0</v>
      </c>
      <c r="I297" t="n">
        <v>0</v>
      </c>
      <c r="J297" t="n">
        <v>0</v>
      </c>
      <c r="K297" t="n">
        <v>0</v>
      </c>
      <c r="L297" t="n">
        <v>0</v>
      </c>
      <c r="M297" t="n">
        <v>0</v>
      </c>
      <c r="N297" t="n">
        <v>0</v>
      </c>
      <c r="O297" t="n">
        <v>0</v>
      </c>
      <c r="P297" t="n">
        <v>0</v>
      </c>
      <c r="Q297" t="n">
        <v>0</v>
      </c>
      <c r="R297" s="2" t="inlineStr"/>
    </row>
    <row r="298" ht="15" customHeight="1">
      <c r="A298" t="inlineStr">
        <is>
          <t>A 3168-2024</t>
        </is>
      </c>
      <c r="B298" s="1" t="n">
        <v>45316</v>
      </c>
      <c r="C298" s="1" t="n">
        <v>46191</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58683-2025</t>
        </is>
      </c>
      <c r="B299" s="1" t="n">
        <v>45986</v>
      </c>
      <c r="C299" s="1" t="n">
        <v>46191</v>
      </c>
      <c r="D299" t="inlineStr">
        <is>
          <t>DALARNAS LÄN</t>
        </is>
      </c>
      <c r="E299" t="inlineStr">
        <is>
          <t>ORSA</t>
        </is>
      </c>
      <c r="G299" t="n">
        <v>0.6</v>
      </c>
      <c r="H299" t="n">
        <v>0</v>
      </c>
      <c r="I299" t="n">
        <v>0</v>
      </c>
      <c r="J299" t="n">
        <v>0</v>
      </c>
      <c r="K299" t="n">
        <v>0</v>
      </c>
      <c r="L299" t="n">
        <v>0</v>
      </c>
      <c r="M299" t="n">
        <v>0</v>
      </c>
      <c r="N299" t="n">
        <v>0</v>
      </c>
      <c r="O299" t="n">
        <v>0</v>
      </c>
      <c r="P299" t="n">
        <v>0</v>
      </c>
      <c r="Q299" t="n">
        <v>0</v>
      </c>
      <c r="R299" s="2" t="inlineStr"/>
    </row>
    <row r="300" ht="15" customHeight="1">
      <c r="A300" t="inlineStr">
        <is>
          <t>A 58691-2025</t>
        </is>
      </c>
      <c r="B300" s="1" t="n">
        <v>45986</v>
      </c>
      <c r="C300" s="1" t="n">
        <v>46191</v>
      </c>
      <c r="D300" t="inlineStr">
        <is>
          <t>DALARNAS LÄN</t>
        </is>
      </c>
      <c r="E300" t="inlineStr">
        <is>
          <t>ORSA</t>
        </is>
      </c>
      <c r="G300" t="n">
        <v>1.4</v>
      </c>
      <c r="H300" t="n">
        <v>0</v>
      </c>
      <c r="I300" t="n">
        <v>0</v>
      </c>
      <c r="J300" t="n">
        <v>0</v>
      </c>
      <c r="K300" t="n">
        <v>0</v>
      </c>
      <c r="L300" t="n">
        <v>0</v>
      </c>
      <c r="M300" t="n">
        <v>0</v>
      </c>
      <c r="N300" t="n">
        <v>0</v>
      </c>
      <c r="O300" t="n">
        <v>0</v>
      </c>
      <c r="P300" t="n">
        <v>0</v>
      </c>
      <c r="Q300" t="n">
        <v>0</v>
      </c>
      <c r="R300" s="2" t="inlineStr"/>
    </row>
    <row r="301" ht="15" customHeight="1">
      <c r="A301" t="inlineStr">
        <is>
          <t>A 58681-2025</t>
        </is>
      </c>
      <c r="B301" s="1" t="n">
        <v>45986</v>
      </c>
      <c r="C301" s="1" t="n">
        <v>46191</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58686-2025</t>
        </is>
      </c>
      <c r="B302" s="1" t="n">
        <v>45986</v>
      </c>
      <c r="C302" s="1" t="n">
        <v>46191</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23583-2026</t>
        </is>
      </c>
      <c r="B303" s="1" t="n">
        <v>46163</v>
      </c>
      <c r="C303" s="1" t="n">
        <v>46191</v>
      </c>
      <c r="D303" t="inlineStr">
        <is>
          <t>DALARNAS LÄN</t>
        </is>
      </c>
      <c r="E303" t="inlineStr">
        <is>
          <t>ORSA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58910-2025</t>
        </is>
      </c>
      <c r="B304" s="1" t="n">
        <v>45987</v>
      </c>
      <c r="C304" s="1" t="n">
        <v>46191</v>
      </c>
      <c r="D304" t="inlineStr">
        <is>
          <t>DALARNAS LÄN</t>
        </is>
      </c>
      <c r="E304" t="inlineStr">
        <is>
          <t>ORSA</t>
        </is>
      </c>
      <c r="G304" t="n">
        <v>2.1</v>
      </c>
      <c r="H304" t="n">
        <v>0</v>
      </c>
      <c r="I304" t="n">
        <v>0</v>
      </c>
      <c r="J304" t="n">
        <v>0</v>
      </c>
      <c r="K304" t="n">
        <v>0</v>
      </c>
      <c r="L304" t="n">
        <v>0</v>
      </c>
      <c r="M304" t="n">
        <v>0</v>
      </c>
      <c r="N304" t="n">
        <v>0</v>
      </c>
      <c r="O304" t="n">
        <v>0</v>
      </c>
      <c r="P304" t="n">
        <v>0</v>
      </c>
      <c r="Q304" t="n">
        <v>0</v>
      </c>
      <c r="R304" s="2" t="inlineStr"/>
    </row>
    <row r="305" ht="15" customHeight="1">
      <c r="A305" t="inlineStr">
        <is>
          <t>A 58886-2025</t>
        </is>
      </c>
      <c r="B305" s="1" t="n">
        <v>45987</v>
      </c>
      <c r="C305" s="1" t="n">
        <v>46191</v>
      </c>
      <c r="D305" t="inlineStr">
        <is>
          <t>DALARNAS LÄN</t>
        </is>
      </c>
      <c r="E305" t="inlineStr">
        <is>
          <t>ORSA</t>
        </is>
      </c>
      <c r="G305" t="n">
        <v>2.7</v>
      </c>
      <c r="H305" t="n">
        <v>0</v>
      </c>
      <c r="I305" t="n">
        <v>0</v>
      </c>
      <c r="J305" t="n">
        <v>0</v>
      </c>
      <c r="K305" t="n">
        <v>0</v>
      </c>
      <c r="L305" t="n">
        <v>0</v>
      </c>
      <c r="M305" t="n">
        <v>0</v>
      </c>
      <c r="N305" t="n">
        <v>0</v>
      </c>
      <c r="O305" t="n">
        <v>0</v>
      </c>
      <c r="P305" t="n">
        <v>0</v>
      </c>
      <c r="Q305" t="n">
        <v>0</v>
      </c>
      <c r="R305" s="2" t="inlineStr"/>
    </row>
    <row r="306" ht="15" customHeight="1">
      <c r="A306" t="inlineStr">
        <is>
          <t>A 50905-2021</t>
        </is>
      </c>
      <c r="B306" s="1" t="n">
        <v>44460</v>
      </c>
      <c r="C306" s="1" t="n">
        <v>46191</v>
      </c>
      <c r="D306" t="inlineStr">
        <is>
          <t>DALARNAS LÄN</t>
        </is>
      </c>
      <c r="E306" t="inlineStr">
        <is>
          <t>ORSA</t>
        </is>
      </c>
      <c r="G306" t="n">
        <v>2.1</v>
      </c>
      <c r="H306" t="n">
        <v>0</v>
      </c>
      <c r="I306" t="n">
        <v>0</v>
      </c>
      <c r="J306" t="n">
        <v>0</v>
      </c>
      <c r="K306" t="n">
        <v>0</v>
      </c>
      <c r="L306" t="n">
        <v>0</v>
      </c>
      <c r="M306" t="n">
        <v>0</v>
      </c>
      <c r="N306" t="n">
        <v>0</v>
      </c>
      <c r="O306" t="n">
        <v>0</v>
      </c>
      <c r="P306" t="n">
        <v>0</v>
      </c>
      <c r="Q306" t="n">
        <v>0</v>
      </c>
      <c r="R306" s="2" t="inlineStr"/>
    </row>
    <row r="307" ht="15" customHeight="1">
      <c r="A307" t="inlineStr">
        <is>
          <t>A 59124-2025</t>
        </is>
      </c>
      <c r="B307" s="1" t="n">
        <v>45988</v>
      </c>
      <c r="C307" s="1" t="n">
        <v>46191</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72310-2021</t>
        </is>
      </c>
      <c r="B308" s="1" t="n">
        <v>44545</v>
      </c>
      <c r="C308" s="1" t="n">
        <v>46191</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59114-2025</t>
        </is>
      </c>
      <c r="B309" s="1" t="n">
        <v>45988</v>
      </c>
      <c r="C309" s="1" t="n">
        <v>46191</v>
      </c>
      <c r="D309" t="inlineStr">
        <is>
          <t>DALARNAS LÄN</t>
        </is>
      </c>
      <c r="E309" t="inlineStr">
        <is>
          <t>ORSA</t>
        </is>
      </c>
      <c r="G309" t="n">
        <v>1.3</v>
      </c>
      <c r="H309" t="n">
        <v>0</v>
      </c>
      <c r="I309" t="n">
        <v>0</v>
      </c>
      <c r="J309" t="n">
        <v>0</v>
      </c>
      <c r="K309" t="n">
        <v>0</v>
      </c>
      <c r="L309" t="n">
        <v>0</v>
      </c>
      <c r="M309" t="n">
        <v>0</v>
      </c>
      <c r="N309" t="n">
        <v>0</v>
      </c>
      <c r="O309" t="n">
        <v>0</v>
      </c>
      <c r="P309" t="n">
        <v>0</v>
      </c>
      <c r="Q309" t="n">
        <v>0</v>
      </c>
      <c r="R309" s="2" t="inlineStr"/>
    </row>
    <row r="310" ht="15" customHeight="1">
      <c r="A310" t="inlineStr">
        <is>
          <t>A 58834-2025</t>
        </is>
      </c>
      <c r="B310" s="1" t="n">
        <v>45987</v>
      </c>
      <c r="C310" s="1" t="n">
        <v>46191</v>
      </c>
      <c r="D310" t="inlineStr">
        <is>
          <t>DALARNAS LÄN</t>
        </is>
      </c>
      <c r="E310" t="inlineStr">
        <is>
          <t>ORSA</t>
        </is>
      </c>
      <c r="G310" t="n">
        <v>3.6</v>
      </c>
      <c r="H310" t="n">
        <v>0</v>
      </c>
      <c r="I310" t="n">
        <v>0</v>
      </c>
      <c r="J310" t="n">
        <v>0</v>
      </c>
      <c r="K310" t="n">
        <v>0</v>
      </c>
      <c r="L310" t="n">
        <v>0</v>
      </c>
      <c r="M310" t="n">
        <v>0</v>
      </c>
      <c r="N310" t="n">
        <v>0</v>
      </c>
      <c r="O310" t="n">
        <v>0</v>
      </c>
      <c r="P310" t="n">
        <v>0</v>
      </c>
      <c r="Q310" t="n">
        <v>0</v>
      </c>
      <c r="R310" s="2" t="inlineStr"/>
    </row>
    <row r="311" ht="15" customHeight="1">
      <c r="A311" t="inlineStr">
        <is>
          <t>A 58904-2025</t>
        </is>
      </c>
      <c r="B311" s="1" t="n">
        <v>45987</v>
      </c>
      <c r="C311" s="1" t="n">
        <v>46191</v>
      </c>
      <c r="D311" t="inlineStr">
        <is>
          <t>DALARNAS LÄN</t>
        </is>
      </c>
      <c r="E311" t="inlineStr">
        <is>
          <t>ORSA</t>
        </is>
      </c>
      <c r="G311" t="n">
        <v>5.5</v>
      </c>
      <c r="H311" t="n">
        <v>0</v>
      </c>
      <c r="I311" t="n">
        <v>0</v>
      </c>
      <c r="J311" t="n">
        <v>0</v>
      </c>
      <c r="K311" t="n">
        <v>0</v>
      </c>
      <c r="L311" t="n">
        <v>0</v>
      </c>
      <c r="M311" t="n">
        <v>0</v>
      </c>
      <c r="N311" t="n">
        <v>0</v>
      </c>
      <c r="O311" t="n">
        <v>0</v>
      </c>
      <c r="P311" t="n">
        <v>0</v>
      </c>
      <c r="Q311" t="n">
        <v>0</v>
      </c>
      <c r="R311" s="2" t="inlineStr"/>
    </row>
    <row r="312" ht="15" customHeight="1">
      <c r="A312" t="inlineStr">
        <is>
          <t>A 59149-2025</t>
        </is>
      </c>
      <c r="B312" s="1" t="n">
        <v>45988</v>
      </c>
      <c r="C312" s="1" t="n">
        <v>46191</v>
      </c>
      <c r="D312" t="inlineStr">
        <is>
          <t>DALARNAS LÄN</t>
        </is>
      </c>
      <c r="E312" t="inlineStr">
        <is>
          <t>ORSA</t>
        </is>
      </c>
      <c r="G312" t="n">
        <v>0.8</v>
      </c>
      <c r="H312" t="n">
        <v>0</v>
      </c>
      <c r="I312" t="n">
        <v>0</v>
      </c>
      <c r="J312" t="n">
        <v>0</v>
      </c>
      <c r="K312" t="n">
        <v>0</v>
      </c>
      <c r="L312" t="n">
        <v>0</v>
      </c>
      <c r="M312" t="n">
        <v>0</v>
      </c>
      <c r="N312" t="n">
        <v>0</v>
      </c>
      <c r="O312" t="n">
        <v>0</v>
      </c>
      <c r="P312" t="n">
        <v>0</v>
      </c>
      <c r="Q312" t="n">
        <v>0</v>
      </c>
      <c r="R312" s="2" t="inlineStr"/>
    </row>
    <row r="313" ht="15" customHeight="1">
      <c r="A313" t="inlineStr">
        <is>
          <t>A 23582-2026</t>
        </is>
      </c>
      <c r="B313" s="1" t="n">
        <v>46163</v>
      </c>
      <c r="C313" s="1" t="n">
        <v>46191</v>
      </c>
      <c r="D313" t="inlineStr">
        <is>
          <t>DALARNAS LÄN</t>
        </is>
      </c>
      <c r="E313" t="inlineStr">
        <is>
          <t>ORSA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23746-2026</t>
        </is>
      </c>
      <c r="B314" s="1" t="n">
        <v>46164</v>
      </c>
      <c r="C314" s="1" t="n">
        <v>46191</v>
      </c>
      <c r="D314" t="inlineStr">
        <is>
          <t>DALARNAS LÄN</t>
        </is>
      </c>
      <c r="E314" t="inlineStr">
        <is>
          <t>ORSA</t>
        </is>
      </c>
      <c r="F314" t="inlineStr">
        <is>
          <t>Bergvik skog öst AB</t>
        </is>
      </c>
      <c r="G314" t="n">
        <v>4.3</v>
      </c>
      <c r="H314" t="n">
        <v>0</v>
      </c>
      <c r="I314" t="n">
        <v>0</v>
      </c>
      <c r="J314" t="n">
        <v>0</v>
      </c>
      <c r="K314" t="n">
        <v>0</v>
      </c>
      <c r="L314" t="n">
        <v>0</v>
      </c>
      <c r="M314" t="n">
        <v>0</v>
      </c>
      <c r="N314" t="n">
        <v>0</v>
      </c>
      <c r="O314" t="n">
        <v>0</v>
      </c>
      <c r="P314" t="n">
        <v>0</v>
      </c>
      <c r="Q314" t="n">
        <v>0</v>
      </c>
      <c r="R314" s="2" t="inlineStr"/>
    </row>
    <row r="315" ht="15" customHeight="1">
      <c r="A315" t="inlineStr">
        <is>
          <t>A 23981-2026</t>
        </is>
      </c>
      <c r="B315" s="1" t="n">
        <v>46167</v>
      </c>
      <c r="C315" s="1" t="n">
        <v>46191</v>
      </c>
      <c r="D315" t="inlineStr">
        <is>
          <t>DALARNAS LÄN</t>
        </is>
      </c>
      <c r="E315" t="inlineStr">
        <is>
          <t>ORSA</t>
        </is>
      </c>
      <c r="F315" t="inlineStr">
        <is>
          <t>Bergvik skog öst AB</t>
        </is>
      </c>
      <c r="G315" t="n">
        <v>4.6</v>
      </c>
      <c r="H315" t="n">
        <v>0</v>
      </c>
      <c r="I315" t="n">
        <v>0</v>
      </c>
      <c r="J315" t="n">
        <v>0</v>
      </c>
      <c r="K315" t="n">
        <v>0</v>
      </c>
      <c r="L315" t="n">
        <v>0</v>
      </c>
      <c r="M315" t="n">
        <v>0</v>
      </c>
      <c r="N315" t="n">
        <v>0</v>
      </c>
      <c r="O315" t="n">
        <v>0</v>
      </c>
      <c r="P315" t="n">
        <v>0</v>
      </c>
      <c r="Q315" t="n">
        <v>0</v>
      </c>
      <c r="R315" s="2" t="inlineStr"/>
    </row>
    <row r="316" ht="15" customHeight="1">
      <c r="A316" t="inlineStr">
        <is>
          <t>A 23985-2026</t>
        </is>
      </c>
      <c r="B316" s="1" t="n">
        <v>46167</v>
      </c>
      <c r="C316" s="1" t="n">
        <v>46191</v>
      </c>
      <c r="D316" t="inlineStr">
        <is>
          <t>DALARNAS LÄN</t>
        </is>
      </c>
      <c r="E316" t="inlineStr">
        <is>
          <t>ORSA</t>
        </is>
      </c>
      <c r="F316" t="inlineStr">
        <is>
          <t>Bergvik skog öst AB</t>
        </is>
      </c>
      <c r="G316" t="n">
        <v>1.8</v>
      </c>
      <c r="H316" t="n">
        <v>0</v>
      </c>
      <c r="I316" t="n">
        <v>0</v>
      </c>
      <c r="J316" t="n">
        <v>0</v>
      </c>
      <c r="K316" t="n">
        <v>0</v>
      </c>
      <c r="L316" t="n">
        <v>0</v>
      </c>
      <c r="M316" t="n">
        <v>0</v>
      </c>
      <c r="N316" t="n">
        <v>0</v>
      </c>
      <c r="O316" t="n">
        <v>0</v>
      </c>
      <c r="P316" t="n">
        <v>0</v>
      </c>
      <c r="Q316" t="n">
        <v>0</v>
      </c>
      <c r="R316" s="2" t="inlineStr"/>
    </row>
    <row r="317" ht="15" customHeight="1">
      <c r="A317" t="inlineStr">
        <is>
          <t>A 18013-2026</t>
        </is>
      </c>
      <c r="B317" s="1" t="n">
        <v>46125</v>
      </c>
      <c r="C317" s="1" t="n">
        <v>46191</v>
      </c>
      <c r="D317" t="inlineStr">
        <is>
          <t>DALARNAS LÄN</t>
        </is>
      </c>
      <c r="E317" t="inlineStr">
        <is>
          <t>ORSA</t>
        </is>
      </c>
      <c r="F317" t="inlineStr">
        <is>
          <t>Allmännings- och besparingsskogar</t>
        </is>
      </c>
      <c r="G317" t="n">
        <v>2.7</v>
      </c>
      <c r="H317" t="n">
        <v>0</v>
      </c>
      <c r="I317" t="n">
        <v>0</v>
      </c>
      <c r="J317" t="n">
        <v>0</v>
      </c>
      <c r="K317" t="n">
        <v>0</v>
      </c>
      <c r="L317" t="n">
        <v>0</v>
      </c>
      <c r="M317" t="n">
        <v>0</v>
      </c>
      <c r="N317" t="n">
        <v>0</v>
      </c>
      <c r="O317" t="n">
        <v>0</v>
      </c>
      <c r="P317" t="n">
        <v>0</v>
      </c>
      <c r="Q317" t="n">
        <v>0</v>
      </c>
      <c r="R317" s="2" t="inlineStr"/>
    </row>
    <row r="318" ht="15" customHeight="1">
      <c r="A318" t="inlineStr">
        <is>
          <t>A 23712-2026</t>
        </is>
      </c>
      <c r="B318" s="1" t="n">
        <v>46164</v>
      </c>
      <c r="C318" s="1" t="n">
        <v>46191</v>
      </c>
      <c r="D318" t="inlineStr">
        <is>
          <t>DALARNAS LÄN</t>
        </is>
      </c>
      <c r="E318" t="inlineStr">
        <is>
          <t>ORSA</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23924-2026</t>
        </is>
      </c>
      <c r="B319" s="1" t="n">
        <v>46167</v>
      </c>
      <c r="C319" s="1" t="n">
        <v>46191</v>
      </c>
      <c r="D319" t="inlineStr">
        <is>
          <t>DALARNAS LÄN</t>
        </is>
      </c>
      <c r="E319" t="inlineStr">
        <is>
          <t>ORSA</t>
        </is>
      </c>
      <c r="F319" t="inlineStr">
        <is>
          <t>Allmännings- och besparingsskogar</t>
        </is>
      </c>
      <c r="G319" t="n">
        <v>26.5</v>
      </c>
      <c r="H319" t="n">
        <v>0</v>
      </c>
      <c r="I319" t="n">
        <v>0</v>
      </c>
      <c r="J319" t="n">
        <v>0</v>
      </c>
      <c r="K319" t="n">
        <v>0</v>
      </c>
      <c r="L319" t="n">
        <v>0</v>
      </c>
      <c r="M319" t="n">
        <v>0</v>
      </c>
      <c r="N319" t="n">
        <v>0</v>
      </c>
      <c r="O319" t="n">
        <v>0</v>
      </c>
      <c r="P319" t="n">
        <v>0</v>
      </c>
      <c r="Q319" t="n">
        <v>0</v>
      </c>
      <c r="R319" s="2" t="inlineStr"/>
    </row>
    <row r="320" ht="15" customHeight="1">
      <c r="A320" t="inlineStr">
        <is>
          <t>A 34374-2024</t>
        </is>
      </c>
      <c r="B320" s="1" t="n">
        <v>45525</v>
      </c>
      <c r="C320" s="1" t="n">
        <v>46191</v>
      </c>
      <c r="D320" t="inlineStr">
        <is>
          <t>DALARNAS LÄN</t>
        </is>
      </c>
      <c r="E320" t="inlineStr">
        <is>
          <t>ORSA</t>
        </is>
      </c>
      <c r="G320" t="n">
        <v>0.5</v>
      </c>
      <c r="H320" t="n">
        <v>0</v>
      </c>
      <c r="I320" t="n">
        <v>0</v>
      </c>
      <c r="J320" t="n">
        <v>0</v>
      </c>
      <c r="K320" t="n">
        <v>0</v>
      </c>
      <c r="L320" t="n">
        <v>0</v>
      </c>
      <c r="M320" t="n">
        <v>0</v>
      </c>
      <c r="N320" t="n">
        <v>0</v>
      </c>
      <c r="O320" t="n">
        <v>0</v>
      </c>
      <c r="P320" t="n">
        <v>0</v>
      </c>
      <c r="Q320" t="n">
        <v>0</v>
      </c>
      <c r="R320" s="2" t="inlineStr"/>
    </row>
    <row r="321" ht="15" customHeight="1">
      <c r="A321" t="inlineStr">
        <is>
          <t>A 22039-2026</t>
        </is>
      </c>
      <c r="B321" s="1" t="n">
        <v>46153</v>
      </c>
      <c r="C321" s="1" t="n">
        <v>46191</v>
      </c>
      <c r="D321" t="inlineStr">
        <is>
          <t>DALARNAS LÄN</t>
        </is>
      </c>
      <c r="E321" t="inlineStr">
        <is>
          <t>ORSA</t>
        </is>
      </c>
      <c r="F321" t="inlineStr">
        <is>
          <t>Bergvik skog öst AB</t>
        </is>
      </c>
      <c r="G321" t="n">
        <v>13.1</v>
      </c>
      <c r="H321" t="n">
        <v>0</v>
      </c>
      <c r="I321" t="n">
        <v>0</v>
      </c>
      <c r="J321" t="n">
        <v>0</v>
      </c>
      <c r="K321" t="n">
        <v>0</v>
      </c>
      <c r="L321" t="n">
        <v>0</v>
      </c>
      <c r="M321" t="n">
        <v>0</v>
      </c>
      <c r="N321" t="n">
        <v>0</v>
      </c>
      <c r="O321" t="n">
        <v>0</v>
      </c>
      <c r="P321" t="n">
        <v>0</v>
      </c>
      <c r="Q321" t="n">
        <v>0</v>
      </c>
      <c r="R321" s="2" t="inlineStr"/>
    </row>
    <row r="322" ht="15" customHeight="1">
      <c r="A322" t="inlineStr">
        <is>
          <t>A 23709-2026</t>
        </is>
      </c>
      <c r="B322" s="1" t="n">
        <v>46164</v>
      </c>
      <c r="C322" s="1" t="n">
        <v>46191</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60162-2025</t>
        </is>
      </c>
      <c r="B323" s="1" t="n">
        <v>45994</v>
      </c>
      <c r="C323" s="1" t="n">
        <v>46191</v>
      </c>
      <c r="D323" t="inlineStr">
        <is>
          <t>DALARNAS LÄN</t>
        </is>
      </c>
      <c r="E323" t="inlineStr">
        <is>
          <t>ORSA</t>
        </is>
      </c>
      <c r="G323" t="n">
        <v>1</v>
      </c>
      <c r="H323" t="n">
        <v>0</v>
      </c>
      <c r="I323" t="n">
        <v>0</v>
      </c>
      <c r="J323" t="n">
        <v>0</v>
      </c>
      <c r="K323" t="n">
        <v>0</v>
      </c>
      <c r="L323" t="n">
        <v>0</v>
      </c>
      <c r="M323" t="n">
        <v>0</v>
      </c>
      <c r="N323" t="n">
        <v>0</v>
      </c>
      <c r="O323" t="n">
        <v>0</v>
      </c>
      <c r="P323" t="n">
        <v>0</v>
      </c>
      <c r="Q323" t="n">
        <v>0</v>
      </c>
      <c r="R323" s="2" t="inlineStr"/>
    </row>
    <row r="324" ht="15" customHeight="1">
      <c r="A324" t="inlineStr">
        <is>
          <t>A 23940-2026</t>
        </is>
      </c>
      <c r="B324" s="1" t="n">
        <v>46167</v>
      </c>
      <c r="C324" s="1" t="n">
        <v>46191</v>
      </c>
      <c r="D324" t="inlineStr">
        <is>
          <t>DALARNAS LÄN</t>
        </is>
      </c>
      <c r="E324" t="inlineStr">
        <is>
          <t>ORSA</t>
        </is>
      </c>
      <c r="F324" t="inlineStr">
        <is>
          <t>Bergvik skog öst AB</t>
        </is>
      </c>
      <c r="G324" t="n">
        <v>12.8</v>
      </c>
      <c r="H324" t="n">
        <v>0</v>
      </c>
      <c r="I324" t="n">
        <v>0</v>
      </c>
      <c r="J324" t="n">
        <v>0</v>
      </c>
      <c r="K324" t="n">
        <v>0</v>
      </c>
      <c r="L324" t="n">
        <v>0</v>
      </c>
      <c r="M324" t="n">
        <v>0</v>
      </c>
      <c r="N324" t="n">
        <v>0</v>
      </c>
      <c r="O324" t="n">
        <v>0</v>
      </c>
      <c r="P324" t="n">
        <v>0</v>
      </c>
      <c r="Q324" t="n">
        <v>0</v>
      </c>
      <c r="R324" s="2" t="inlineStr"/>
    </row>
    <row r="325" ht="15" customHeight="1">
      <c r="A325" t="inlineStr">
        <is>
          <t>A 18348-2026</t>
        </is>
      </c>
      <c r="B325" s="1" t="n">
        <v>46126</v>
      </c>
      <c r="C325" s="1" t="n">
        <v>46191</v>
      </c>
      <c r="D325" t="inlineStr">
        <is>
          <t>DALARNAS LÄN</t>
        </is>
      </c>
      <c r="E325" t="inlineStr">
        <is>
          <t>ORSA</t>
        </is>
      </c>
      <c r="G325" t="n">
        <v>1.3</v>
      </c>
      <c r="H325" t="n">
        <v>0</v>
      </c>
      <c r="I325" t="n">
        <v>0</v>
      </c>
      <c r="J325" t="n">
        <v>0</v>
      </c>
      <c r="K325" t="n">
        <v>0</v>
      </c>
      <c r="L325" t="n">
        <v>0</v>
      </c>
      <c r="M325" t="n">
        <v>0</v>
      </c>
      <c r="N325" t="n">
        <v>0</v>
      </c>
      <c r="O325" t="n">
        <v>0</v>
      </c>
      <c r="P325" t="n">
        <v>0</v>
      </c>
      <c r="Q325" t="n">
        <v>0</v>
      </c>
      <c r="R325" s="2" t="inlineStr"/>
    </row>
    <row r="326" ht="15" customHeight="1">
      <c r="A326" t="inlineStr">
        <is>
          <t>A 41291-2021</t>
        </is>
      </c>
      <c r="B326" s="1" t="n">
        <v>44424</v>
      </c>
      <c r="C326" s="1" t="n">
        <v>46191</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21216-2023</t>
        </is>
      </c>
      <c r="B327" s="1" t="n">
        <v>45062</v>
      </c>
      <c r="C327" s="1" t="n">
        <v>46191</v>
      </c>
      <c r="D327" t="inlineStr">
        <is>
          <t>DALARNAS LÄN</t>
        </is>
      </c>
      <c r="E327" t="inlineStr">
        <is>
          <t>ORSA</t>
        </is>
      </c>
      <c r="F327" t="inlineStr">
        <is>
          <t>Bergvik skog öst AB</t>
        </is>
      </c>
      <c r="G327" t="n">
        <v>3.8</v>
      </c>
      <c r="H327" t="n">
        <v>0</v>
      </c>
      <c r="I327" t="n">
        <v>0</v>
      </c>
      <c r="J327" t="n">
        <v>0</v>
      </c>
      <c r="K327" t="n">
        <v>0</v>
      </c>
      <c r="L327" t="n">
        <v>0</v>
      </c>
      <c r="M327" t="n">
        <v>0</v>
      </c>
      <c r="N327" t="n">
        <v>0</v>
      </c>
      <c r="O327" t="n">
        <v>0</v>
      </c>
      <c r="P327" t="n">
        <v>0</v>
      </c>
      <c r="Q327" t="n">
        <v>0</v>
      </c>
      <c r="R327" s="2" t="inlineStr"/>
    </row>
    <row r="328" ht="15" customHeight="1">
      <c r="A328" t="inlineStr">
        <is>
          <t>A 31170-2023</t>
        </is>
      </c>
      <c r="B328" s="1" t="n">
        <v>45113</v>
      </c>
      <c r="C328" s="1" t="n">
        <v>46191</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31172-2023</t>
        </is>
      </c>
      <c r="B329" s="1" t="n">
        <v>45113</v>
      </c>
      <c r="C329" s="1" t="n">
        <v>46191</v>
      </c>
      <c r="D329" t="inlineStr">
        <is>
          <t>DALARNAS LÄN</t>
        </is>
      </c>
      <c r="E329" t="inlineStr">
        <is>
          <t>ORSA</t>
        </is>
      </c>
      <c r="G329" t="n">
        <v>2.9</v>
      </c>
      <c r="H329" t="n">
        <v>0</v>
      </c>
      <c r="I329" t="n">
        <v>0</v>
      </c>
      <c r="J329" t="n">
        <v>0</v>
      </c>
      <c r="K329" t="n">
        <v>0</v>
      </c>
      <c r="L329" t="n">
        <v>0</v>
      </c>
      <c r="M329" t="n">
        <v>0</v>
      </c>
      <c r="N329" t="n">
        <v>0</v>
      </c>
      <c r="O329" t="n">
        <v>0</v>
      </c>
      <c r="P329" t="n">
        <v>0</v>
      </c>
      <c r="Q329" t="n">
        <v>0</v>
      </c>
      <c r="R329" s="2" t="inlineStr"/>
    </row>
    <row r="330" ht="15" customHeight="1">
      <c r="A330" t="inlineStr">
        <is>
          <t>A 47134-2024</t>
        </is>
      </c>
      <c r="B330" s="1" t="n">
        <v>45586</v>
      </c>
      <c r="C330" s="1" t="n">
        <v>46191</v>
      </c>
      <c r="D330" t="inlineStr">
        <is>
          <t>DALARNAS LÄN</t>
        </is>
      </c>
      <c r="E330" t="inlineStr">
        <is>
          <t>ORSA</t>
        </is>
      </c>
      <c r="G330" t="n">
        <v>0.3</v>
      </c>
      <c r="H330" t="n">
        <v>0</v>
      </c>
      <c r="I330" t="n">
        <v>0</v>
      </c>
      <c r="J330" t="n">
        <v>0</v>
      </c>
      <c r="K330" t="n">
        <v>0</v>
      </c>
      <c r="L330" t="n">
        <v>0</v>
      </c>
      <c r="M330" t="n">
        <v>0</v>
      </c>
      <c r="N330" t="n">
        <v>0</v>
      </c>
      <c r="O330" t="n">
        <v>0</v>
      </c>
      <c r="P330" t="n">
        <v>0</v>
      </c>
      <c r="Q330" t="n">
        <v>0</v>
      </c>
      <c r="R330" s="2" t="inlineStr"/>
    </row>
    <row r="331" ht="15" customHeight="1">
      <c r="A331" t="inlineStr">
        <is>
          <t>A 51551-2025</t>
        </is>
      </c>
      <c r="B331" s="1" t="n">
        <v>45950</v>
      </c>
      <c r="C331" s="1" t="n">
        <v>46191</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58793-2023</t>
        </is>
      </c>
      <c r="B332" s="1" t="n">
        <v>45252</v>
      </c>
      <c r="C332" s="1" t="n">
        <v>46191</v>
      </c>
      <c r="D332" t="inlineStr">
        <is>
          <t>DALARNAS LÄN</t>
        </is>
      </c>
      <c r="E332" t="inlineStr">
        <is>
          <t>ORSA</t>
        </is>
      </c>
      <c r="G332" t="n">
        <v>2.2</v>
      </c>
      <c r="H332" t="n">
        <v>0</v>
      </c>
      <c r="I332" t="n">
        <v>0</v>
      </c>
      <c r="J332" t="n">
        <v>0</v>
      </c>
      <c r="K332" t="n">
        <v>0</v>
      </c>
      <c r="L332" t="n">
        <v>0</v>
      </c>
      <c r="M332" t="n">
        <v>0</v>
      </c>
      <c r="N332" t="n">
        <v>0</v>
      </c>
      <c r="O332" t="n">
        <v>0</v>
      </c>
      <c r="P332" t="n">
        <v>0</v>
      </c>
      <c r="Q332" t="n">
        <v>0</v>
      </c>
      <c r="R332" s="2" t="inlineStr"/>
    </row>
    <row r="333" ht="15" customHeight="1">
      <c r="A333" t="inlineStr">
        <is>
          <t>A 10374-2023</t>
        </is>
      </c>
      <c r="B333" s="1" t="n">
        <v>44987</v>
      </c>
      <c r="C333" s="1" t="n">
        <v>46191</v>
      </c>
      <c r="D333" t="inlineStr">
        <is>
          <t>DALARNAS LÄN</t>
        </is>
      </c>
      <c r="E333" t="inlineStr">
        <is>
          <t>ORSA</t>
        </is>
      </c>
      <c r="G333" t="n">
        <v>1.8</v>
      </c>
      <c r="H333" t="n">
        <v>0</v>
      </c>
      <c r="I333" t="n">
        <v>0</v>
      </c>
      <c r="J333" t="n">
        <v>0</v>
      </c>
      <c r="K333" t="n">
        <v>0</v>
      </c>
      <c r="L333" t="n">
        <v>0</v>
      </c>
      <c r="M333" t="n">
        <v>0</v>
      </c>
      <c r="N333" t="n">
        <v>0</v>
      </c>
      <c r="O333" t="n">
        <v>0</v>
      </c>
      <c r="P333" t="n">
        <v>0</v>
      </c>
      <c r="Q333" t="n">
        <v>0</v>
      </c>
      <c r="R333" s="2" t="inlineStr"/>
    </row>
    <row r="334" ht="15" customHeight="1">
      <c r="A334" t="inlineStr">
        <is>
          <t>A 60837-2025</t>
        </is>
      </c>
      <c r="B334" s="1" t="n">
        <v>45999</v>
      </c>
      <c r="C334" s="1" t="n">
        <v>46191</v>
      </c>
      <c r="D334" t="inlineStr">
        <is>
          <t>DALARNAS LÄN</t>
        </is>
      </c>
      <c r="E334" t="inlineStr">
        <is>
          <t>ORSA</t>
        </is>
      </c>
      <c r="G334" t="n">
        <v>0.8</v>
      </c>
      <c r="H334" t="n">
        <v>0</v>
      </c>
      <c r="I334" t="n">
        <v>0</v>
      </c>
      <c r="J334" t="n">
        <v>0</v>
      </c>
      <c r="K334" t="n">
        <v>0</v>
      </c>
      <c r="L334" t="n">
        <v>0</v>
      </c>
      <c r="M334" t="n">
        <v>0</v>
      </c>
      <c r="N334" t="n">
        <v>0</v>
      </c>
      <c r="O334" t="n">
        <v>0</v>
      </c>
      <c r="P334" t="n">
        <v>0</v>
      </c>
      <c r="Q334" t="n">
        <v>0</v>
      </c>
      <c r="R334" s="2" t="inlineStr"/>
    </row>
    <row r="335" ht="15" customHeight="1">
      <c r="A335" t="inlineStr">
        <is>
          <t>A 55701-2023</t>
        </is>
      </c>
      <c r="B335" s="1" t="n">
        <v>45239</v>
      </c>
      <c r="C335" s="1" t="n">
        <v>46191</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55691-2022</t>
        </is>
      </c>
      <c r="B336" s="1" t="n">
        <v>44888</v>
      </c>
      <c r="C336" s="1" t="n">
        <v>46191</v>
      </c>
      <c r="D336" t="inlineStr">
        <is>
          <t>DALARNAS LÄN</t>
        </is>
      </c>
      <c r="E336" t="inlineStr">
        <is>
          <t>ORSA</t>
        </is>
      </c>
      <c r="G336" t="n">
        <v>0.4</v>
      </c>
      <c r="H336" t="n">
        <v>0</v>
      </c>
      <c r="I336" t="n">
        <v>0</v>
      </c>
      <c r="J336" t="n">
        <v>0</v>
      </c>
      <c r="K336" t="n">
        <v>0</v>
      </c>
      <c r="L336" t="n">
        <v>0</v>
      </c>
      <c r="M336" t="n">
        <v>0</v>
      </c>
      <c r="N336" t="n">
        <v>0</v>
      </c>
      <c r="O336" t="n">
        <v>0</v>
      </c>
      <c r="P336" t="n">
        <v>0</v>
      </c>
      <c r="Q336" t="n">
        <v>0</v>
      </c>
      <c r="R336" s="2" t="inlineStr"/>
    </row>
    <row r="337" ht="15" customHeight="1">
      <c r="A337" t="inlineStr">
        <is>
          <t>A 31171-2023</t>
        </is>
      </c>
      <c r="B337" s="1" t="n">
        <v>45113</v>
      </c>
      <c r="C337" s="1" t="n">
        <v>46191</v>
      </c>
      <c r="D337" t="inlineStr">
        <is>
          <t>DALARNAS LÄN</t>
        </is>
      </c>
      <c r="E337" t="inlineStr">
        <is>
          <t>ORSA</t>
        </is>
      </c>
      <c r="G337" t="n">
        <v>1.4</v>
      </c>
      <c r="H337" t="n">
        <v>0</v>
      </c>
      <c r="I337" t="n">
        <v>0</v>
      </c>
      <c r="J337" t="n">
        <v>0</v>
      </c>
      <c r="K337" t="n">
        <v>0</v>
      </c>
      <c r="L337" t="n">
        <v>0</v>
      </c>
      <c r="M337" t="n">
        <v>0</v>
      </c>
      <c r="N337" t="n">
        <v>0</v>
      </c>
      <c r="O337" t="n">
        <v>0</v>
      </c>
      <c r="P337" t="n">
        <v>0</v>
      </c>
      <c r="Q337" t="n">
        <v>0</v>
      </c>
      <c r="R337" s="2" t="inlineStr"/>
    </row>
    <row r="338" ht="15" customHeight="1">
      <c r="A338" t="inlineStr">
        <is>
          <t>A 2563-2025</t>
        </is>
      </c>
      <c r="B338" s="1" t="n">
        <v>45674</v>
      </c>
      <c r="C338" s="1" t="n">
        <v>46191</v>
      </c>
      <c r="D338" t="inlineStr">
        <is>
          <t>DALARNAS LÄN</t>
        </is>
      </c>
      <c r="E338" t="inlineStr">
        <is>
          <t>ORSA</t>
        </is>
      </c>
      <c r="G338" t="n">
        <v>0.7</v>
      </c>
      <c r="H338" t="n">
        <v>0</v>
      </c>
      <c r="I338" t="n">
        <v>0</v>
      </c>
      <c r="J338" t="n">
        <v>0</v>
      </c>
      <c r="K338" t="n">
        <v>0</v>
      </c>
      <c r="L338" t="n">
        <v>0</v>
      </c>
      <c r="M338" t="n">
        <v>0</v>
      </c>
      <c r="N338" t="n">
        <v>0</v>
      </c>
      <c r="O338" t="n">
        <v>0</v>
      </c>
      <c r="P338" t="n">
        <v>0</v>
      </c>
      <c r="Q338" t="n">
        <v>0</v>
      </c>
      <c r="R338" s="2" t="inlineStr"/>
    </row>
    <row r="339" ht="15" customHeight="1">
      <c r="A339" t="inlineStr">
        <is>
          <t>A 11784-2024</t>
        </is>
      </c>
      <c r="B339" s="1" t="n">
        <v>45374</v>
      </c>
      <c r="C339" s="1" t="n">
        <v>46191</v>
      </c>
      <c r="D339" t="inlineStr">
        <is>
          <t>DALARNAS LÄN</t>
        </is>
      </c>
      <c r="E339" t="inlineStr">
        <is>
          <t>ORSA</t>
        </is>
      </c>
      <c r="G339" t="n">
        <v>1.7</v>
      </c>
      <c r="H339" t="n">
        <v>0</v>
      </c>
      <c r="I339" t="n">
        <v>0</v>
      </c>
      <c r="J339" t="n">
        <v>0</v>
      </c>
      <c r="K339" t="n">
        <v>0</v>
      </c>
      <c r="L339" t="n">
        <v>0</v>
      </c>
      <c r="M339" t="n">
        <v>0</v>
      </c>
      <c r="N339" t="n">
        <v>0</v>
      </c>
      <c r="O339" t="n">
        <v>0</v>
      </c>
      <c r="P339" t="n">
        <v>0</v>
      </c>
      <c r="Q339" t="n">
        <v>0</v>
      </c>
      <c r="R339" s="2" t="inlineStr"/>
    </row>
    <row r="340" ht="15" customHeight="1">
      <c r="A340" t="inlineStr">
        <is>
          <t>A 48819-2024</t>
        </is>
      </c>
      <c r="B340" s="1" t="n">
        <v>45593</v>
      </c>
      <c r="C340" s="1" t="n">
        <v>46191</v>
      </c>
      <c r="D340" t="inlineStr">
        <is>
          <t>DALARNAS LÄN</t>
        </is>
      </c>
      <c r="E340" t="inlineStr">
        <is>
          <t>ORSA</t>
        </is>
      </c>
      <c r="G340" t="n">
        <v>5</v>
      </c>
      <c r="H340" t="n">
        <v>0</v>
      </c>
      <c r="I340" t="n">
        <v>0</v>
      </c>
      <c r="J340" t="n">
        <v>0</v>
      </c>
      <c r="K340" t="n">
        <v>0</v>
      </c>
      <c r="L340" t="n">
        <v>0</v>
      </c>
      <c r="M340" t="n">
        <v>0</v>
      </c>
      <c r="N340" t="n">
        <v>0</v>
      </c>
      <c r="O340" t="n">
        <v>0</v>
      </c>
      <c r="P340" t="n">
        <v>0</v>
      </c>
      <c r="Q340" t="n">
        <v>0</v>
      </c>
      <c r="R340" s="2" t="inlineStr"/>
    </row>
    <row r="341" ht="15" customHeight="1">
      <c r="A341" t="inlineStr">
        <is>
          <t>A 48525-2024</t>
        </is>
      </c>
      <c r="B341" s="1" t="n">
        <v>45593</v>
      </c>
      <c r="C341" s="1" t="n">
        <v>46191</v>
      </c>
      <c r="D341" t="inlineStr">
        <is>
          <t>DALARNAS LÄN</t>
        </is>
      </c>
      <c r="E341" t="inlineStr">
        <is>
          <t>ORSA</t>
        </is>
      </c>
      <c r="G341" t="n">
        <v>1.3</v>
      </c>
      <c r="H341" t="n">
        <v>0</v>
      </c>
      <c r="I341" t="n">
        <v>0</v>
      </c>
      <c r="J341" t="n">
        <v>0</v>
      </c>
      <c r="K341" t="n">
        <v>0</v>
      </c>
      <c r="L341" t="n">
        <v>0</v>
      </c>
      <c r="M341" t="n">
        <v>0</v>
      </c>
      <c r="N341" t="n">
        <v>0</v>
      </c>
      <c r="O341" t="n">
        <v>0</v>
      </c>
      <c r="P341" t="n">
        <v>0</v>
      </c>
      <c r="Q341" t="n">
        <v>0</v>
      </c>
      <c r="R341" s="2" t="inlineStr"/>
    </row>
    <row r="342" ht="15" customHeight="1">
      <c r="A342" t="inlineStr">
        <is>
          <t>A 22911-2023</t>
        </is>
      </c>
      <c r="B342" s="1" t="n">
        <v>45072</v>
      </c>
      <c r="C342" s="1" t="n">
        <v>46191</v>
      </c>
      <c r="D342" t="inlineStr">
        <is>
          <t>DALARNAS LÄN</t>
        </is>
      </c>
      <c r="E342" t="inlineStr">
        <is>
          <t>ORSA</t>
        </is>
      </c>
      <c r="G342" t="n">
        <v>1.3</v>
      </c>
      <c r="H342" t="n">
        <v>0</v>
      </c>
      <c r="I342" t="n">
        <v>0</v>
      </c>
      <c r="J342" t="n">
        <v>0</v>
      </c>
      <c r="K342" t="n">
        <v>0</v>
      </c>
      <c r="L342" t="n">
        <v>0</v>
      </c>
      <c r="M342" t="n">
        <v>0</v>
      </c>
      <c r="N342" t="n">
        <v>0</v>
      </c>
      <c r="O342" t="n">
        <v>0</v>
      </c>
      <c r="P342" t="n">
        <v>0</v>
      </c>
      <c r="Q342" t="n">
        <v>0</v>
      </c>
      <c r="R342" s="2" t="inlineStr"/>
    </row>
    <row r="343" ht="15" customHeight="1">
      <c r="A343" t="inlineStr">
        <is>
          <t>A 47579-2023</t>
        </is>
      </c>
      <c r="B343" s="1" t="n">
        <v>45203</v>
      </c>
      <c r="C343" s="1" t="n">
        <v>46191</v>
      </c>
      <c r="D343" t="inlineStr">
        <is>
          <t>DALARNAS LÄN</t>
        </is>
      </c>
      <c r="E343" t="inlineStr">
        <is>
          <t>ORSA</t>
        </is>
      </c>
      <c r="G343" t="n">
        <v>2.9</v>
      </c>
      <c r="H343" t="n">
        <v>0</v>
      </c>
      <c r="I343" t="n">
        <v>0</v>
      </c>
      <c r="J343" t="n">
        <v>0</v>
      </c>
      <c r="K343" t="n">
        <v>0</v>
      </c>
      <c r="L343" t="n">
        <v>0</v>
      </c>
      <c r="M343" t="n">
        <v>0</v>
      </c>
      <c r="N343" t="n">
        <v>0</v>
      </c>
      <c r="O343" t="n">
        <v>0</v>
      </c>
      <c r="P343" t="n">
        <v>0</v>
      </c>
      <c r="Q343" t="n">
        <v>0</v>
      </c>
      <c r="R343" s="2" t="inlineStr"/>
    </row>
    <row r="344" ht="15" customHeight="1">
      <c r="A344" t="inlineStr">
        <is>
          <t>A 48447-2023</t>
        </is>
      </c>
      <c r="B344" s="1" t="n">
        <v>45206</v>
      </c>
      <c r="C344" s="1" t="n">
        <v>46191</v>
      </c>
      <c r="D344" t="inlineStr">
        <is>
          <t>DALARNAS LÄN</t>
        </is>
      </c>
      <c r="E344" t="inlineStr">
        <is>
          <t>ORSA</t>
        </is>
      </c>
      <c r="G344" t="n">
        <v>0.6</v>
      </c>
      <c r="H344" t="n">
        <v>0</v>
      </c>
      <c r="I344" t="n">
        <v>0</v>
      </c>
      <c r="J344" t="n">
        <v>0</v>
      </c>
      <c r="K344" t="n">
        <v>0</v>
      </c>
      <c r="L344" t="n">
        <v>0</v>
      </c>
      <c r="M344" t="n">
        <v>0</v>
      </c>
      <c r="N344" t="n">
        <v>0</v>
      </c>
      <c r="O344" t="n">
        <v>0</v>
      </c>
      <c r="P344" t="n">
        <v>0</v>
      </c>
      <c r="Q344" t="n">
        <v>0</v>
      </c>
      <c r="R344" s="2" t="inlineStr"/>
    </row>
    <row r="345" ht="15" customHeight="1">
      <c r="A345" t="inlineStr">
        <is>
          <t>A 35477-2023</t>
        </is>
      </c>
      <c r="B345" s="1" t="n">
        <v>45146</v>
      </c>
      <c r="C345" s="1" t="n">
        <v>46191</v>
      </c>
      <c r="D345" t="inlineStr">
        <is>
          <t>DALARNAS LÄN</t>
        </is>
      </c>
      <c r="E345" t="inlineStr">
        <is>
          <t>ORSA</t>
        </is>
      </c>
      <c r="G345" t="n">
        <v>7.7</v>
      </c>
      <c r="H345" t="n">
        <v>0</v>
      </c>
      <c r="I345" t="n">
        <v>0</v>
      </c>
      <c r="J345" t="n">
        <v>0</v>
      </c>
      <c r="K345" t="n">
        <v>0</v>
      </c>
      <c r="L345" t="n">
        <v>0</v>
      </c>
      <c r="M345" t="n">
        <v>0</v>
      </c>
      <c r="N345" t="n">
        <v>0</v>
      </c>
      <c r="O345" t="n">
        <v>0</v>
      </c>
      <c r="P345" t="n">
        <v>0</v>
      </c>
      <c r="Q345" t="n">
        <v>0</v>
      </c>
      <c r="R345" s="2" t="inlineStr"/>
    </row>
    <row r="346" ht="15" customHeight="1">
      <c r="A346" t="inlineStr">
        <is>
          <t>A 19024-2026</t>
        </is>
      </c>
      <c r="B346" s="1" t="n">
        <v>46131</v>
      </c>
      <c r="C346" s="1" t="n">
        <v>46191</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60844-2025</t>
        </is>
      </c>
      <c r="B347" s="1" t="n">
        <v>45999</v>
      </c>
      <c r="C347" s="1" t="n">
        <v>46191</v>
      </c>
      <c r="D347" t="inlineStr">
        <is>
          <t>DALARNAS LÄN</t>
        </is>
      </c>
      <c r="E347" t="inlineStr">
        <is>
          <t>ORSA</t>
        </is>
      </c>
      <c r="G347" t="n">
        <v>1</v>
      </c>
      <c r="H347" t="n">
        <v>0</v>
      </c>
      <c r="I347" t="n">
        <v>0</v>
      </c>
      <c r="J347" t="n">
        <v>0</v>
      </c>
      <c r="K347" t="n">
        <v>0</v>
      </c>
      <c r="L347" t="n">
        <v>0</v>
      </c>
      <c r="M347" t="n">
        <v>0</v>
      </c>
      <c r="N347" t="n">
        <v>0</v>
      </c>
      <c r="O347" t="n">
        <v>0</v>
      </c>
      <c r="P347" t="n">
        <v>0</v>
      </c>
      <c r="Q347" t="n">
        <v>0</v>
      </c>
      <c r="R347" s="2" t="inlineStr"/>
    </row>
    <row r="348" ht="15" customHeight="1">
      <c r="A348" t="inlineStr">
        <is>
          <t>A 60945-2025</t>
        </is>
      </c>
      <c r="B348" s="1" t="n">
        <v>45999</v>
      </c>
      <c r="C348" s="1" t="n">
        <v>46191</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24858-2026</t>
        </is>
      </c>
      <c r="B349" s="1" t="n">
        <v>46174</v>
      </c>
      <c r="C349" s="1" t="n">
        <v>46191</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31634-2025</t>
        </is>
      </c>
      <c r="B350" s="1" t="n">
        <v>45834</v>
      </c>
      <c r="C350" s="1" t="n">
        <v>46191</v>
      </c>
      <c r="D350" t="inlineStr">
        <is>
          <t>DALARNAS LÄN</t>
        </is>
      </c>
      <c r="E350" t="inlineStr">
        <is>
          <t>ORSA</t>
        </is>
      </c>
      <c r="G350" t="n">
        <v>2</v>
      </c>
      <c r="H350" t="n">
        <v>0</v>
      </c>
      <c r="I350" t="n">
        <v>0</v>
      </c>
      <c r="J350" t="n">
        <v>0</v>
      </c>
      <c r="K350" t="n">
        <v>0</v>
      </c>
      <c r="L350" t="n">
        <v>0</v>
      </c>
      <c r="M350" t="n">
        <v>0</v>
      </c>
      <c r="N350" t="n">
        <v>0</v>
      </c>
      <c r="O350" t="n">
        <v>0</v>
      </c>
      <c r="P350" t="n">
        <v>0</v>
      </c>
      <c r="Q350" t="n">
        <v>0</v>
      </c>
      <c r="R350" s="2" t="inlineStr"/>
    </row>
    <row r="351" ht="15" customHeight="1">
      <c r="A351" t="inlineStr">
        <is>
          <t>A 23350-2024</t>
        </is>
      </c>
      <c r="B351" s="1" t="n">
        <v>45453</v>
      </c>
      <c r="C351" s="1" t="n">
        <v>46191</v>
      </c>
      <c r="D351" t="inlineStr">
        <is>
          <t>DALARNAS LÄN</t>
        </is>
      </c>
      <c r="E351" t="inlineStr">
        <is>
          <t>ORSA</t>
        </is>
      </c>
      <c r="G351" t="n">
        <v>18.7</v>
      </c>
      <c r="H351" t="n">
        <v>0</v>
      </c>
      <c r="I351" t="n">
        <v>0</v>
      </c>
      <c r="J351" t="n">
        <v>0</v>
      </c>
      <c r="K351" t="n">
        <v>0</v>
      </c>
      <c r="L351" t="n">
        <v>0</v>
      </c>
      <c r="M351" t="n">
        <v>0</v>
      </c>
      <c r="N351" t="n">
        <v>0</v>
      </c>
      <c r="O351" t="n">
        <v>0</v>
      </c>
      <c r="P351" t="n">
        <v>0</v>
      </c>
      <c r="Q351" t="n">
        <v>0</v>
      </c>
      <c r="R351" s="2" t="inlineStr"/>
    </row>
    <row r="352" ht="15" customHeight="1">
      <c r="A352" t="inlineStr">
        <is>
          <t>A 55843-2023</t>
        </is>
      </c>
      <c r="B352" s="1" t="n">
        <v>45239</v>
      </c>
      <c r="C352" s="1" t="n">
        <v>46191</v>
      </c>
      <c r="D352" t="inlineStr">
        <is>
          <t>DALARNAS LÄN</t>
        </is>
      </c>
      <c r="E352" t="inlineStr">
        <is>
          <t>ORSA</t>
        </is>
      </c>
      <c r="G352" t="n">
        <v>2.4</v>
      </c>
      <c r="H352" t="n">
        <v>0</v>
      </c>
      <c r="I352" t="n">
        <v>0</v>
      </c>
      <c r="J352" t="n">
        <v>0</v>
      </c>
      <c r="K352" t="n">
        <v>0</v>
      </c>
      <c r="L352" t="n">
        <v>0</v>
      </c>
      <c r="M352" t="n">
        <v>0</v>
      </c>
      <c r="N352" t="n">
        <v>0</v>
      </c>
      <c r="O352" t="n">
        <v>0</v>
      </c>
      <c r="P352" t="n">
        <v>0</v>
      </c>
      <c r="Q352" t="n">
        <v>0</v>
      </c>
      <c r="R352" s="2" t="inlineStr"/>
    </row>
    <row r="353" ht="15" customHeight="1">
      <c r="A353" t="inlineStr">
        <is>
          <t>A 48518-2024</t>
        </is>
      </c>
      <c r="B353" s="1" t="n">
        <v>45593</v>
      </c>
      <c r="C353" s="1" t="n">
        <v>46191</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29025-2023</t>
        </is>
      </c>
      <c r="B354" s="1" t="n">
        <v>45104</v>
      </c>
      <c r="C354" s="1" t="n">
        <v>46191</v>
      </c>
      <c r="D354" t="inlineStr">
        <is>
          <t>DALARNAS LÄN</t>
        </is>
      </c>
      <c r="E354" t="inlineStr">
        <is>
          <t>ORSA</t>
        </is>
      </c>
      <c r="G354" t="n">
        <v>6.6</v>
      </c>
      <c r="H354" t="n">
        <v>0</v>
      </c>
      <c r="I354" t="n">
        <v>0</v>
      </c>
      <c r="J354" t="n">
        <v>0</v>
      </c>
      <c r="K354" t="n">
        <v>0</v>
      </c>
      <c r="L354" t="n">
        <v>0</v>
      </c>
      <c r="M354" t="n">
        <v>0</v>
      </c>
      <c r="N354" t="n">
        <v>0</v>
      </c>
      <c r="O354" t="n">
        <v>0</v>
      </c>
      <c r="P354" t="n">
        <v>0</v>
      </c>
      <c r="Q354" t="n">
        <v>0</v>
      </c>
      <c r="R354" s="2" t="inlineStr"/>
    </row>
    <row r="355" ht="15" customHeight="1">
      <c r="A355" t="inlineStr">
        <is>
          <t>A 24895-2026</t>
        </is>
      </c>
      <c r="B355" s="1" t="n">
        <v>46174</v>
      </c>
      <c r="C355" s="1" t="n">
        <v>46191</v>
      </c>
      <c r="D355" t="inlineStr">
        <is>
          <t>DALARNAS LÄN</t>
        </is>
      </c>
      <c r="E355" t="inlineStr">
        <is>
          <t>ORSA</t>
        </is>
      </c>
      <c r="F355" t="inlineStr">
        <is>
          <t>Allmännings- och besparingsskogar</t>
        </is>
      </c>
      <c r="G355" t="n">
        <v>14.7</v>
      </c>
      <c r="H355" t="n">
        <v>0</v>
      </c>
      <c r="I355" t="n">
        <v>0</v>
      </c>
      <c r="J355" t="n">
        <v>0</v>
      </c>
      <c r="K355" t="n">
        <v>0</v>
      </c>
      <c r="L355" t="n">
        <v>0</v>
      </c>
      <c r="M355" t="n">
        <v>0</v>
      </c>
      <c r="N355" t="n">
        <v>0</v>
      </c>
      <c r="O355" t="n">
        <v>0</v>
      </c>
      <c r="P355" t="n">
        <v>0</v>
      </c>
      <c r="Q355" t="n">
        <v>0</v>
      </c>
      <c r="R355" s="2" t="inlineStr"/>
    </row>
    <row r="356" ht="15" customHeight="1">
      <c r="A356" t="inlineStr">
        <is>
          <t>A 3166-2024</t>
        </is>
      </c>
      <c r="B356" s="1" t="n">
        <v>45316</v>
      </c>
      <c r="C356" s="1" t="n">
        <v>46191</v>
      </c>
      <c r="D356" t="inlineStr">
        <is>
          <t>DALARNAS LÄN</t>
        </is>
      </c>
      <c r="E356" t="inlineStr">
        <is>
          <t>ORSA</t>
        </is>
      </c>
      <c r="G356" t="n">
        <v>0.7</v>
      </c>
      <c r="H356" t="n">
        <v>0</v>
      </c>
      <c r="I356" t="n">
        <v>0</v>
      </c>
      <c r="J356" t="n">
        <v>0</v>
      </c>
      <c r="K356" t="n">
        <v>0</v>
      </c>
      <c r="L356" t="n">
        <v>0</v>
      </c>
      <c r="M356" t="n">
        <v>0</v>
      </c>
      <c r="N356" t="n">
        <v>0</v>
      </c>
      <c r="O356" t="n">
        <v>0</v>
      </c>
      <c r="P356" t="n">
        <v>0</v>
      </c>
      <c r="Q356" t="n">
        <v>0</v>
      </c>
      <c r="R356" s="2" t="inlineStr"/>
    </row>
    <row r="357" ht="15" customHeight="1">
      <c r="A357" t="inlineStr">
        <is>
          <t>A 18694-2026</t>
        </is>
      </c>
      <c r="B357" s="1" t="n">
        <v>46128</v>
      </c>
      <c r="C357" s="1" t="n">
        <v>46191</v>
      </c>
      <c r="D357" t="inlineStr">
        <is>
          <t>DALARNAS LÄN</t>
        </is>
      </c>
      <c r="E357" t="inlineStr">
        <is>
          <t>ORSA</t>
        </is>
      </c>
      <c r="G357" t="n">
        <v>1.4</v>
      </c>
      <c r="H357" t="n">
        <v>0</v>
      </c>
      <c r="I357" t="n">
        <v>0</v>
      </c>
      <c r="J357" t="n">
        <v>0</v>
      </c>
      <c r="K357" t="n">
        <v>0</v>
      </c>
      <c r="L357" t="n">
        <v>0</v>
      </c>
      <c r="M357" t="n">
        <v>0</v>
      </c>
      <c r="N357" t="n">
        <v>0</v>
      </c>
      <c r="O357" t="n">
        <v>0</v>
      </c>
      <c r="P357" t="n">
        <v>0</v>
      </c>
      <c r="Q357" t="n">
        <v>0</v>
      </c>
      <c r="R357" s="2" t="inlineStr"/>
    </row>
    <row r="358" ht="15" customHeight="1">
      <c r="A358" t="inlineStr">
        <is>
          <t>A 19089-2026</t>
        </is>
      </c>
      <c r="B358" s="1" t="n">
        <v>46132</v>
      </c>
      <c r="C358" s="1" t="n">
        <v>46191</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24994-2026</t>
        </is>
      </c>
      <c r="B359" s="1" t="n">
        <v>46174</v>
      </c>
      <c r="C359" s="1" t="n">
        <v>46191</v>
      </c>
      <c r="D359" t="inlineStr">
        <is>
          <t>DALARNAS LÄN</t>
        </is>
      </c>
      <c r="E359" t="inlineStr">
        <is>
          <t>ORSA</t>
        </is>
      </c>
      <c r="G359" t="n">
        <v>2.8</v>
      </c>
      <c r="H359" t="n">
        <v>0</v>
      </c>
      <c r="I359" t="n">
        <v>0</v>
      </c>
      <c r="J359" t="n">
        <v>0</v>
      </c>
      <c r="K359" t="n">
        <v>0</v>
      </c>
      <c r="L359" t="n">
        <v>0</v>
      </c>
      <c r="M359" t="n">
        <v>0</v>
      </c>
      <c r="N359" t="n">
        <v>0</v>
      </c>
      <c r="O359" t="n">
        <v>0</v>
      </c>
      <c r="P359" t="n">
        <v>0</v>
      </c>
      <c r="Q359" t="n">
        <v>0</v>
      </c>
      <c r="R359" s="2" t="inlineStr"/>
    </row>
    <row r="360" ht="15" customHeight="1">
      <c r="A360" t="inlineStr">
        <is>
          <t>A 16220-2026</t>
        </is>
      </c>
      <c r="B360" s="1" t="n">
        <v>46111</v>
      </c>
      <c r="C360" s="1" t="n">
        <v>46191</v>
      </c>
      <c r="D360" t="inlineStr">
        <is>
          <t>DALARNAS LÄN</t>
        </is>
      </c>
      <c r="E360" t="inlineStr">
        <is>
          <t>ORSA</t>
        </is>
      </c>
      <c r="F360" t="inlineStr">
        <is>
          <t>Bergvik skog öst AB</t>
        </is>
      </c>
      <c r="G360" t="n">
        <v>7.7</v>
      </c>
      <c r="H360" t="n">
        <v>0</v>
      </c>
      <c r="I360" t="n">
        <v>0</v>
      </c>
      <c r="J360" t="n">
        <v>0</v>
      </c>
      <c r="K360" t="n">
        <v>0</v>
      </c>
      <c r="L360" t="n">
        <v>0</v>
      </c>
      <c r="M360" t="n">
        <v>0</v>
      </c>
      <c r="N360" t="n">
        <v>0</v>
      </c>
      <c r="O360" t="n">
        <v>0</v>
      </c>
      <c r="P360" t="n">
        <v>0</v>
      </c>
      <c r="Q360" t="n">
        <v>0</v>
      </c>
      <c r="R360" s="2" t="inlineStr"/>
    </row>
    <row r="361" ht="15" customHeight="1">
      <c r="A361" t="inlineStr">
        <is>
          <t>A 25591-2022</t>
        </is>
      </c>
      <c r="B361" s="1" t="n">
        <v>44732</v>
      </c>
      <c r="C361" s="1" t="n">
        <v>46191</v>
      </c>
      <c r="D361" t="inlineStr">
        <is>
          <t>DALARNAS LÄN</t>
        </is>
      </c>
      <c r="E361" t="inlineStr">
        <is>
          <t>ORSA</t>
        </is>
      </c>
      <c r="G361" t="n">
        <v>6</v>
      </c>
      <c r="H361" t="n">
        <v>0</v>
      </c>
      <c r="I361" t="n">
        <v>0</v>
      </c>
      <c r="J361" t="n">
        <v>0</v>
      </c>
      <c r="K361" t="n">
        <v>0</v>
      </c>
      <c r="L361" t="n">
        <v>0</v>
      </c>
      <c r="M361" t="n">
        <v>0</v>
      </c>
      <c r="N361" t="n">
        <v>0</v>
      </c>
      <c r="O361" t="n">
        <v>0</v>
      </c>
      <c r="P361" t="n">
        <v>0</v>
      </c>
      <c r="Q361" t="n">
        <v>0</v>
      </c>
      <c r="R361" s="2" t="inlineStr"/>
    </row>
    <row r="362" ht="15" customHeight="1">
      <c r="A362" t="inlineStr">
        <is>
          <t>A 19026-2026</t>
        </is>
      </c>
      <c r="B362" s="1" t="n">
        <v>46131</v>
      </c>
      <c r="C362" s="1" t="n">
        <v>46191</v>
      </c>
      <c r="D362" t="inlineStr">
        <is>
          <t>DALARNAS LÄN</t>
        </is>
      </c>
      <c r="E362" t="inlineStr">
        <is>
          <t>ORSA</t>
        </is>
      </c>
      <c r="G362" t="n">
        <v>3.9</v>
      </c>
      <c r="H362" t="n">
        <v>0</v>
      </c>
      <c r="I362" t="n">
        <v>0</v>
      </c>
      <c r="J362" t="n">
        <v>0</v>
      </c>
      <c r="K362" t="n">
        <v>0</v>
      </c>
      <c r="L362" t="n">
        <v>0</v>
      </c>
      <c r="M362" t="n">
        <v>0</v>
      </c>
      <c r="N362" t="n">
        <v>0</v>
      </c>
      <c r="O362" t="n">
        <v>0</v>
      </c>
      <c r="P362" t="n">
        <v>0</v>
      </c>
      <c r="Q362" t="n">
        <v>0</v>
      </c>
      <c r="R362" s="2" t="inlineStr"/>
    </row>
    <row r="363" ht="15" customHeight="1">
      <c r="A363" t="inlineStr">
        <is>
          <t>A 24722-2026</t>
        </is>
      </c>
      <c r="B363" s="1" t="n">
        <v>46171</v>
      </c>
      <c r="C363" s="1" t="n">
        <v>46191</v>
      </c>
      <c r="D363" t="inlineStr">
        <is>
          <t>DALARNAS LÄN</t>
        </is>
      </c>
      <c r="E363" t="inlineStr">
        <is>
          <t>ORSA</t>
        </is>
      </c>
      <c r="F363" t="inlineStr">
        <is>
          <t>Allmännings- och besparingsskogar</t>
        </is>
      </c>
      <c r="G363" t="n">
        <v>3.6</v>
      </c>
      <c r="H363" t="n">
        <v>0</v>
      </c>
      <c r="I363" t="n">
        <v>0</v>
      </c>
      <c r="J363" t="n">
        <v>0</v>
      </c>
      <c r="K363" t="n">
        <v>0</v>
      </c>
      <c r="L363" t="n">
        <v>0</v>
      </c>
      <c r="M363" t="n">
        <v>0</v>
      </c>
      <c r="N363" t="n">
        <v>0</v>
      </c>
      <c r="O363" t="n">
        <v>0</v>
      </c>
      <c r="P363" t="n">
        <v>0</v>
      </c>
      <c r="Q363" t="n">
        <v>0</v>
      </c>
      <c r="R363" s="2" t="inlineStr"/>
    </row>
    <row r="364" ht="15" customHeight="1">
      <c r="A364" t="inlineStr">
        <is>
          <t>A 8526-2026</t>
        </is>
      </c>
      <c r="B364" s="1" t="n">
        <v>46065</v>
      </c>
      <c r="C364" s="1" t="n">
        <v>46191</v>
      </c>
      <c r="D364" t="inlineStr">
        <is>
          <t>DALARNAS LÄN</t>
        </is>
      </c>
      <c r="E364" t="inlineStr">
        <is>
          <t>ORSA</t>
        </is>
      </c>
      <c r="G364" t="n">
        <v>0.7</v>
      </c>
      <c r="H364" t="n">
        <v>0</v>
      </c>
      <c r="I364" t="n">
        <v>0</v>
      </c>
      <c r="J364" t="n">
        <v>0</v>
      </c>
      <c r="K364" t="n">
        <v>0</v>
      </c>
      <c r="L364" t="n">
        <v>0</v>
      </c>
      <c r="M364" t="n">
        <v>0</v>
      </c>
      <c r="N364" t="n">
        <v>0</v>
      </c>
      <c r="O364" t="n">
        <v>0</v>
      </c>
      <c r="P364" t="n">
        <v>0</v>
      </c>
      <c r="Q364" t="n">
        <v>0</v>
      </c>
      <c r="R364" s="2" t="inlineStr"/>
    </row>
    <row r="365" ht="15" customHeight="1">
      <c r="A365" t="inlineStr">
        <is>
          <t>A 62830-2025</t>
        </is>
      </c>
      <c r="B365" s="1" t="n">
        <v>46008</v>
      </c>
      <c r="C365" s="1" t="n">
        <v>46191</v>
      </c>
      <c r="D365" t="inlineStr">
        <is>
          <t>DALARNAS LÄN</t>
        </is>
      </c>
      <c r="E365" t="inlineStr">
        <is>
          <t>ORSA</t>
        </is>
      </c>
      <c r="G365" t="n">
        <v>1.2</v>
      </c>
      <c r="H365" t="n">
        <v>0</v>
      </c>
      <c r="I365" t="n">
        <v>0</v>
      </c>
      <c r="J365" t="n">
        <v>0</v>
      </c>
      <c r="K365" t="n">
        <v>0</v>
      </c>
      <c r="L365" t="n">
        <v>0</v>
      </c>
      <c r="M365" t="n">
        <v>0</v>
      </c>
      <c r="N365" t="n">
        <v>0</v>
      </c>
      <c r="O365" t="n">
        <v>0</v>
      </c>
      <c r="P365" t="n">
        <v>0</v>
      </c>
      <c r="Q365" t="n">
        <v>0</v>
      </c>
      <c r="R365" s="2" t="inlineStr"/>
    </row>
    <row r="366" ht="15" customHeight="1">
      <c r="A366" t="inlineStr">
        <is>
          <t>A 62832-2025</t>
        </is>
      </c>
      <c r="B366" s="1" t="n">
        <v>46008</v>
      </c>
      <c r="C366" s="1" t="n">
        <v>46191</v>
      </c>
      <c r="D366" t="inlineStr">
        <is>
          <t>DALARNAS LÄN</t>
        </is>
      </c>
      <c r="E366" t="inlineStr">
        <is>
          <t>ORSA</t>
        </is>
      </c>
      <c r="G366" t="n">
        <v>1.9</v>
      </c>
      <c r="H366" t="n">
        <v>0</v>
      </c>
      <c r="I366" t="n">
        <v>0</v>
      </c>
      <c r="J366" t="n">
        <v>0</v>
      </c>
      <c r="K366" t="n">
        <v>0</v>
      </c>
      <c r="L366" t="n">
        <v>0</v>
      </c>
      <c r="M366" t="n">
        <v>0</v>
      </c>
      <c r="N366" t="n">
        <v>0</v>
      </c>
      <c r="O366" t="n">
        <v>0</v>
      </c>
      <c r="P366" t="n">
        <v>0</v>
      </c>
      <c r="Q366" t="n">
        <v>0</v>
      </c>
      <c r="R366" s="2" t="inlineStr"/>
    </row>
    <row r="367" ht="15" customHeight="1">
      <c r="A367" t="inlineStr">
        <is>
          <t>A 62810-2025</t>
        </is>
      </c>
      <c r="B367" s="1" t="n">
        <v>46008</v>
      </c>
      <c r="C367" s="1" t="n">
        <v>46191</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62858-2025</t>
        </is>
      </c>
      <c r="B368" s="1" t="n">
        <v>46008</v>
      </c>
      <c r="C368" s="1" t="n">
        <v>46191</v>
      </c>
      <c r="D368" t="inlineStr">
        <is>
          <t>DALARNAS LÄN</t>
        </is>
      </c>
      <c r="E368" t="inlineStr">
        <is>
          <t>ORSA</t>
        </is>
      </c>
      <c r="G368" t="n">
        <v>5</v>
      </c>
      <c r="H368" t="n">
        <v>0</v>
      </c>
      <c r="I368" t="n">
        <v>0</v>
      </c>
      <c r="J368" t="n">
        <v>0</v>
      </c>
      <c r="K368" t="n">
        <v>0</v>
      </c>
      <c r="L368" t="n">
        <v>0</v>
      </c>
      <c r="M368" t="n">
        <v>0</v>
      </c>
      <c r="N368" t="n">
        <v>0</v>
      </c>
      <c r="O368" t="n">
        <v>0</v>
      </c>
      <c r="P368" t="n">
        <v>0</v>
      </c>
      <c r="Q368" t="n">
        <v>0</v>
      </c>
      <c r="R368" s="2" t="inlineStr"/>
    </row>
    <row r="369" ht="15" customHeight="1">
      <c r="A369" t="inlineStr">
        <is>
          <t>A 3951-2023</t>
        </is>
      </c>
      <c r="B369" s="1" t="n">
        <v>44952</v>
      </c>
      <c r="C369" s="1" t="n">
        <v>46191</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50999-2021</t>
        </is>
      </c>
      <c r="B370" s="1" t="n">
        <v>44460</v>
      </c>
      <c r="C370" s="1" t="n">
        <v>46191</v>
      </c>
      <c r="D370" t="inlineStr">
        <is>
          <t>DALARNAS LÄN</t>
        </is>
      </c>
      <c r="E370" t="inlineStr">
        <is>
          <t>ORSA</t>
        </is>
      </c>
      <c r="G370" t="n">
        <v>3</v>
      </c>
      <c r="H370" t="n">
        <v>0</v>
      </c>
      <c r="I370" t="n">
        <v>0</v>
      </c>
      <c r="J370" t="n">
        <v>0</v>
      </c>
      <c r="K370" t="n">
        <v>0</v>
      </c>
      <c r="L370" t="n">
        <v>0</v>
      </c>
      <c r="M370" t="n">
        <v>0</v>
      </c>
      <c r="N370" t="n">
        <v>0</v>
      </c>
      <c r="O370" t="n">
        <v>0</v>
      </c>
      <c r="P370" t="n">
        <v>0</v>
      </c>
      <c r="Q370" t="n">
        <v>0</v>
      </c>
      <c r="R370" s="2" t="inlineStr"/>
    </row>
    <row r="371" ht="15" customHeight="1">
      <c r="A371" t="inlineStr">
        <is>
          <t>A 62971-2025</t>
        </is>
      </c>
      <c r="B371" s="1" t="n">
        <v>46009</v>
      </c>
      <c r="C371" s="1" t="n">
        <v>46191</v>
      </c>
      <c r="D371" t="inlineStr">
        <is>
          <t>DALARNAS LÄN</t>
        </is>
      </c>
      <c r="E371" t="inlineStr">
        <is>
          <t>ORSA</t>
        </is>
      </c>
      <c r="G371" t="n">
        <v>2.4</v>
      </c>
      <c r="H371" t="n">
        <v>0</v>
      </c>
      <c r="I371" t="n">
        <v>0</v>
      </c>
      <c r="J371" t="n">
        <v>0</v>
      </c>
      <c r="K371" t="n">
        <v>0</v>
      </c>
      <c r="L371" t="n">
        <v>0</v>
      </c>
      <c r="M371" t="n">
        <v>0</v>
      </c>
      <c r="N371" t="n">
        <v>0</v>
      </c>
      <c r="O371" t="n">
        <v>0</v>
      </c>
      <c r="P371" t="n">
        <v>0</v>
      </c>
      <c r="Q371" t="n">
        <v>0</v>
      </c>
      <c r="R371" s="2" t="inlineStr"/>
    </row>
    <row r="372" ht="15" customHeight="1">
      <c r="A372" t="inlineStr">
        <is>
          <t>A 63231-2025</t>
        </is>
      </c>
      <c r="B372" s="1" t="n">
        <v>46010</v>
      </c>
      <c r="C372" s="1" t="n">
        <v>46191</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63118-2025</t>
        </is>
      </c>
      <c r="B373" s="1" t="n">
        <v>46009</v>
      </c>
      <c r="C373" s="1" t="n">
        <v>46191</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56942-2024</t>
        </is>
      </c>
      <c r="B374" s="1" t="n">
        <v>45628</v>
      </c>
      <c r="C374" s="1" t="n">
        <v>46191</v>
      </c>
      <c r="D374" t="inlineStr">
        <is>
          <t>DALARNAS LÄN</t>
        </is>
      </c>
      <c r="E374" t="inlineStr">
        <is>
          <t>ORSA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63467-2025</t>
        </is>
      </c>
      <c r="B375" s="1" t="n">
        <v>46013</v>
      </c>
      <c r="C375" s="1" t="n">
        <v>46191</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3107-2025</t>
        </is>
      </c>
      <c r="B376" s="1" t="n">
        <v>45678</v>
      </c>
      <c r="C376" s="1" t="n">
        <v>46191</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21905-2022</t>
        </is>
      </c>
      <c r="B377" s="1" t="n">
        <v>44711</v>
      </c>
      <c r="C377" s="1" t="n">
        <v>46191</v>
      </c>
      <c r="D377" t="inlineStr">
        <is>
          <t>DALARNAS LÄN</t>
        </is>
      </c>
      <c r="E377" t="inlineStr">
        <is>
          <t>ORSA</t>
        </is>
      </c>
      <c r="F377" t="inlineStr">
        <is>
          <t>Allmännings- och besparingsskogar</t>
        </is>
      </c>
      <c r="G377" t="n">
        <v>3.1</v>
      </c>
      <c r="H377" t="n">
        <v>0</v>
      </c>
      <c r="I377" t="n">
        <v>0</v>
      </c>
      <c r="J377" t="n">
        <v>0</v>
      </c>
      <c r="K377" t="n">
        <v>0</v>
      </c>
      <c r="L377" t="n">
        <v>0</v>
      </c>
      <c r="M377" t="n">
        <v>0</v>
      </c>
      <c r="N377" t="n">
        <v>0</v>
      </c>
      <c r="O377" t="n">
        <v>0</v>
      </c>
      <c r="P377" t="n">
        <v>0</v>
      </c>
      <c r="Q377" t="n">
        <v>0</v>
      </c>
      <c r="R377" s="2" t="inlineStr"/>
    </row>
    <row r="378" ht="15" customHeight="1">
      <c r="A378" t="inlineStr">
        <is>
          <t>A 144-2026</t>
        </is>
      </c>
      <c r="B378" s="1" t="n">
        <v>46024</v>
      </c>
      <c r="C378" s="1" t="n">
        <v>46191</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51-2026</t>
        </is>
      </c>
      <c r="B379" s="1" t="n">
        <v>46024</v>
      </c>
      <c r="C379" s="1" t="n">
        <v>46191</v>
      </c>
      <c r="D379" t="inlineStr">
        <is>
          <t>DALARNAS LÄN</t>
        </is>
      </c>
      <c r="E379" t="inlineStr">
        <is>
          <t>ORSA</t>
        </is>
      </c>
      <c r="G379" t="n">
        <v>2</v>
      </c>
      <c r="H379" t="n">
        <v>0</v>
      </c>
      <c r="I379" t="n">
        <v>0</v>
      </c>
      <c r="J379" t="n">
        <v>0</v>
      </c>
      <c r="K379" t="n">
        <v>0</v>
      </c>
      <c r="L379" t="n">
        <v>0</v>
      </c>
      <c r="M379" t="n">
        <v>0</v>
      </c>
      <c r="N379" t="n">
        <v>0</v>
      </c>
      <c r="O379" t="n">
        <v>0</v>
      </c>
      <c r="P379" t="n">
        <v>0</v>
      </c>
      <c r="Q379" t="n">
        <v>0</v>
      </c>
      <c r="R379" s="2" t="inlineStr"/>
    </row>
    <row r="380" ht="15" customHeight="1">
      <c r="A380" t="inlineStr">
        <is>
          <t>A 50742-2023</t>
        </is>
      </c>
      <c r="B380" s="1" t="n">
        <v>45217</v>
      </c>
      <c r="C380" s="1" t="n">
        <v>46191</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101-2026</t>
        </is>
      </c>
      <c r="B381" s="1" t="n">
        <v>46024</v>
      </c>
      <c r="C381" s="1" t="n">
        <v>46191</v>
      </c>
      <c r="D381" t="inlineStr">
        <is>
          <t>DALARNAS LÄN</t>
        </is>
      </c>
      <c r="E381" t="inlineStr">
        <is>
          <t>ORSA</t>
        </is>
      </c>
      <c r="G381" t="n">
        <v>1.1</v>
      </c>
      <c r="H381" t="n">
        <v>0</v>
      </c>
      <c r="I381" t="n">
        <v>0</v>
      </c>
      <c r="J381" t="n">
        <v>0</v>
      </c>
      <c r="K381" t="n">
        <v>0</v>
      </c>
      <c r="L381" t="n">
        <v>0</v>
      </c>
      <c r="M381" t="n">
        <v>0</v>
      </c>
      <c r="N381" t="n">
        <v>0</v>
      </c>
      <c r="O381" t="n">
        <v>0</v>
      </c>
      <c r="P381" t="n">
        <v>0</v>
      </c>
      <c r="Q381" t="n">
        <v>0</v>
      </c>
      <c r="R381" s="2" t="inlineStr"/>
    </row>
    <row r="382" ht="15" customHeight="1">
      <c r="A382" t="inlineStr">
        <is>
          <t>A 27163-2023</t>
        </is>
      </c>
      <c r="B382" s="1" t="n">
        <v>45096</v>
      </c>
      <c r="C382" s="1" t="n">
        <v>46191</v>
      </c>
      <c r="D382" t="inlineStr">
        <is>
          <t>DALARNAS LÄN</t>
        </is>
      </c>
      <c r="E382" t="inlineStr">
        <is>
          <t>ORSA</t>
        </is>
      </c>
      <c r="F382" t="inlineStr">
        <is>
          <t>Bergvik skog öst AB</t>
        </is>
      </c>
      <c r="G382" t="n">
        <v>0.5</v>
      </c>
      <c r="H382" t="n">
        <v>0</v>
      </c>
      <c r="I382" t="n">
        <v>0</v>
      </c>
      <c r="J382" t="n">
        <v>0</v>
      </c>
      <c r="K382" t="n">
        <v>0</v>
      </c>
      <c r="L382" t="n">
        <v>0</v>
      </c>
      <c r="M382" t="n">
        <v>0</v>
      </c>
      <c r="N382" t="n">
        <v>0</v>
      </c>
      <c r="O382" t="n">
        <v>0</v>
      </c>
      <c r="P382" t="n">
        <v>0</v>
      </c>
      <c r="Q382" t="n">
        <v>0</v>
      </c>
      <c r="R382" s="2" t="inlineStr"/>
    </row>
    <row r="383" ht="15" customHeight="1">
      <c r="A383" t="inlineStr">
        <is>
          <t>A 39-2026</t>
        </is>
      </c>
      <c r="B383" s="1" t="n">
        <v>46024</v>
      </c>
      <c r="C383" s="1" t="n">
        <v>46191</v>
      </c>
      <c r="D383" t="inlineStr">
        <is>
          <t>DALARNAS LÄN</t>
        </is>
      </c>
      <c r="E383" t="inlineStr">
        <is>
          <t>ORSA</t>
        </is>
      </c>
      <c r="G383" t="n">
        <v>2.8</v>
      </c>
      <c r="H383" t="n">
        <v>0</v>
      </c>
      <c r="I383" t="n">
        <v>0</v>
      </c>
      <c r="J383" t="n">
        <v>0</v>
      </c>
      <c r="K383" t="n">
        <v>0</v>
      </c>
      <c r="L383" t="n">
        <v>0</v>
      </c>
      <c r="M383" t="n">
        <v>0</v>
      </c>
      <c r="N383" t="n">
        <v>0</v>
      </c>
      <c r="O383" t="n">
        <v>0</v>
      </c>
      <c r="P383" t="n">
        <v>0</v>
      </c>
      <c r="Q383" t="n">
        <v>0</v>
      </c>
      <c r="R383" s="2" t="inlineStr"/>
    </row>
    <row r="384" ht="15" customHeight="1">
      <c r="A384" t="inlineStr">
        <is>
          <t>A 9116-2026</t>
        </is>
      </c>
      <c r="B384" s="1" t="n">
        <v>46069</v>
      </c>
      <c r="C384" s="1" t="n">
        <v>46191</v>
      </c>
      <c r="D384" t="inlineStr">
        <is>
          <t>DALARNAS LÄN</t>
        </is>
      </c>
      <c r="E384" t="inlineStr">
        <is>
          <t>ORSA</t>
        </is>
      </c>
      <c r="G384" t="n">
        <v>1</v>
      </c>
      <c r="H384" t="n">
        <v>0</v>
      </c>
      <c r="I384" t="n">
        <v>0</v>
      </c>
      <c r="J384" t="n">
        <v>0</v>
      </c>
      <c r="K384" t="n">
        <v>0</v>
      </c>
      <c r="L384" t="n">
        <v>0</v>
      </c>
      <c r="M384" t="n">
        <v>0</v>
      </c>
      <c r="N384" t="n">
        <v>0</v>
      </c>
      <c r="O384" t="n">
        <v>0</v>
      </c>
      <c r="P384" t="n">
        <v>0</v>
      </c>
      <c r="Q384" t="n">
        <v>0</v>
      </c>
      <c r="R384" s="2" t="inlineStr"/>
    </row>
    <row r="385" ht="15" customHeight="1">
      <c r="A385" t="inlineStr">
        <is>
          <t>A 16224-2026</t>
        </is>
      </c>
      <c r="B385" s="1" t="n">
        <v>46111</v>
      </c>
      <c r="C385" s="1" t="n">
        <v>46191</v>
      </c>
      <c r="D385" t="inlineStr">
        <is>
          <t>DALARNAS LÄN</t>
        </is>
      </c>
      <c r="E385" t="inlineStr">
        <is>
          <t>ORSA</t>
        </is>
      </c>
      <c r="F385" t="inlineStr">
        <is>
          <t>Bergvik skog öst AB</t>
        </is>
      </c>
      <c r="G385" t="n">
        <v>1.1</v>
      </c>
      <c r="H385" t="n">
        <v>0</v>
      </c>
      <c r="I385" t="n">
        <v>0</v>
      </c>
      <c r="J385" t="n">
        <v>0</v>
      </c>
      <c r="K385" t="n">
        <v>0</v>
      </c>
      <c r="L385" t="n">
        <v>0</v>
      </c>
      <c r="M385" t="n">
        <v>0</v>
      </c>
      <c r="N385" t="n">
        <v>0</v>
      </c>
      <c r="O385" t="n">
        <v>0</v>
      </c>
      <c r="P385" t="n">
        <v>0</v>
      </c>
      <c r="Q385" t="n">
        <v>0</v>
      </c>
      <c r="R385" s="2" t="inlineStr"/>
    </row>
    <row r="386" ht="15" customHeight="1">
      <c r="A386" t="inlineStr">
        <is>
          <t>A 19891-2026</t>
        </is>
      </c>
      <c r="B386" s="1" t="n">
        <v>46135</v>
      </c>
      <c r="C386" s="1" t="n">
        <v>46191</v>
      </c>
      <c r="D386" t="inlineStr">
        <is>
          <t>DALARNAS LÄN</t>
        </is>
      </c>
      <c r="E386" t="inlineStr">
        <is>
          <t>ORSA</t>
        </is>
      </c>
      <c r="F386" t="inlineStr">
        <is>
          <t>Bergvik skog öst AB</t>
        </is>
      </c>
      <c r="G386" t="n">
        <v>10</v>
      </c>
      <c r="H386" t="n">
        <v>0</v>
      </c>
      <c r="I386" t="n">
        <v>0</v>
      </c>
      <c r="J386" t="n">
        <v>0</v>
      </c>
      <c r="K386" t="n">
        <v>0</v>
      </c>
      <c r="L386" t="n">
        <v>0</v>
      </c>
      <c r="M386" t="n">
        <v>0</v>
      </c>
      <c r="N386" t="n">
        <v>0</v>
      </c>
      <c r="O386" t="n">
        <v>0</v>
      </c>
      <c r="P386" t="n">
        <v>0</v>
      </c>
      <c r="Q386" t="n">
        <v>0</v>
      </c>
      <c r="R386" s="2" t="inlineStr"/>
    </row>
    <row r="387" ht="15" customHeight="1">
      <c r="A387" t="inlineStr">
        <is>
          <t>A 31688-2024</t>
        </is>
      </c>
      <c r="B387" s="1" t="n">
        <v>45507</v>
      </c>
      <c r="C387" s="1" t="n">
        <v>46191</v>
      </c>
      <c r="D387" t="inlineStr">
        <is>
          <t>DALARNAS LÄN</t>
        </is>
      </c>
      <c r="E387" t="inlineStr">
        <is>
          <t>ORSA</t>
        </is>
      </c>
      <c r="G387" t="n">
        <v>0.7</v>
      </c>
      <c r="H387" t="n">
        <v>0</v>
      </c>
      <c r="I387" t="n">
        <v>0</v>
      </c>
      <c r="J387" t="n">
        <v>0</v>
      </c>
      <c r="K387" t="n">
        <v>0</v>
      </c>
      <c r="L387" t="n">
        <v>0</v>
      </c>
      <c r="M387" t="n">
        <v>0</v>
      </c>
      <c r="N387" t="n">
        <v>0</v>
      </c>
      <c r="O387" t="n">
        <v>0</v>
      </c>
      <c r="P387" t="n">
        <v>0</v>
      </c>
      <c r="Q387" t="n">
        <v>0</v>
      </c>
      <c r="R387" s="2" t="inlineStr"/>
    </row>
    <row r="388" ht="15" customHeight="1">
      <c r="A388" t="inlineStr">
        <is>
          <t>A 25712-2026</t>
        </is>
      </c>
      <c r="B388" s="1" t="n">
        <v>46178</v>
      </c>
      <c r="C388" s="1" t="n">
        <v>46191</v>
      </c>
      <c r="D388" t="inlineStr">
        <is>
          <t>DALARNAS LÄN</t>
        </is>
      </c>
      <c r="E388" t="inlineStr">
        <is>
          <t>ORSA</t>
        </is>
      </c>
      <c r="F388" t="inlineStr">
        <is>
          <t>Allmännings- och besparingsskogar</t>
        </is>
      </c>
      <c r="G388" t="n">
        <v>4</v>
      </c>
      <c r="H388" t="n">
        <v>0</v>
      </c>
      <c r="I388" t="n">
        <v>0</v>
      </c>
      <c r="J388" t="n">
        <v>0</v>
      </c>
      <c r="K388" t="n">
        <v>0</v>
      </c>
      <c r="L388" t="n">
        <v>0</v>
      </c>
      <c r="M388" t="n">
        <v>0</v>
      </c>
      <c r="N388" t="n">
        <v>0</v>
      </c>
      <c r="O388" t="n">
        <v>0</v>
      </c>
      <c r="P388" t="n">
        <v>0</v>
      </c>
      <c r="Q388" t="n">
        <v>0</v>
      </c>
      <c r="R388" s="2" t="inlineStr"/>
    </row>
    <row r="389" ht="15" customHeight="1">
      <c r="A389" t="inlineStr">
        <is>
          <t>A 612-2025</t>
        </is>
      </c>
      <c r="B389" s="1" t="n">
        <v>45660</v>
      </c>
      <c r="C389" s="1" t="n">
        <v>46191</v>
      </c>
      <c r="D389" t="inlineStr">
        <is>
          <t>DALARNAS LÄN</t>
        </is>
      </c>
      <c r="E389" t="inlineStr">
        <is>
          <t>ORSA</t>
        </is>
      </c>
      <c r="F389" t="inlineStr">
        <is>
          <t>Allmännings- och besparingsskogar</t>
        </is>
      </c>
      <c r="G389" t="n">
        <v>0.8</v>
      </c>
      <c r="H389" t="n">
        <v>0</v>
      </c>
      <c r="I389" t="n">
        <v>0</v>
      </c>
      <c r="J389" t="n">
        <v>0</v>
      </c>
      <c r="K389" t="n">
        <v>0</v>
      </c>
      <c r="L389" t="n">
        <v>0</v>
      </c>
      <c r="M389" t="n">
        <v>0</v>
      </c>
      <c r="N389" t="n">
        <v>0</v>
      </c>
      <c r="O389" t="n">
        <v>0</v>
      </c>
      <c r="P389" t="n">
        <v>0</v>
      </c>
      <c r="Q389" t="n">
        <v>0</v>
      </c>
      <c r="R389" s="2" t="inlineStr"/>
    </row>
    <row r="390" ht="15" customHeight="1">
      <c r="A390" t="inlineStr">
        <is>
          <t>A 25576-2026</t>
        </is>
      </c>
      <c r="B390" s="1" t="n">
        <v>46177</v>
      </c>
      <c r="C390" s="1" t="n">
        <v>46191</v>
      </c>
      <c r="D390" t="inlineStr">
        <is>
          <t>DALARNAS LÄN</t>
        </is>
      </c>
      <c r="E390" t="inlineStr">
        <is>
          <t>ORSA</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41295-2021</t>
        </is>
      </c>
      <c r="B391" s="1" t="n">
        <v>44424</v>
      </c>
      <c r="C391" s="1" t="n">
        <v>46191</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2090-2026</t>
        </is>
      </c>
      <c r="B392" s="1" t="n">
        <v>46036</v>
      </c>
      <c r="C392" s="1" t="n">
        <v>46191</v>
      </c>
      <c r="D392" t="inlineStr">
        <is>
          <t>DALARNAS LÄN</t>
        </is>
      </c>
      <c r="E392" t="inlineStr">
        <is>
          <t>ORSA</t>
        </is>
      </c>
      <c r="G392" t="n">
        <v>5.7</v>
      </c>
      <c r="H392" t="n">
        <v>0</v>
      </c>
      <c r="I392" t="n">
        <v>0</v>
      </c>
      <c r="J392" t="n">
        <v>0</v>
      </c>
      <c r="K392" t="n">
        <v>0</v>
      </c>
      <c r="L392" t="n">
        <v>0</v>
      </c>
      <c r="M392" t="n">
        <v>0</v>
      </c>
      <c r="N392" t="n">
        <v>0</v>
      </c>
      <c r="O392" t="n">
        <v>0</v>
      </c>
      <c r="P392" t="n">
        <v>0</v>
      </c>
      <c r="Q392" t="n">
        <v>0</v>
      </c>
      <c r="R392" s="2" t="inlineStr"/>
    </row>
    <row r="393" ht="15" customHeight="1">
      <c r="A393" t="inlineStr">
        <is>
          <t>A 61034-2024</t>
        </is>
      </c>
      <c r="B393" s="1" t="n">
        <v>45645</v>
      </c>
      <c r="C393" s="1" t="n">
        <v>46191</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34169-2023</t>
        </is>
      </c>
      <c r="B394" s="1" t="n">
        <v>45138</v>
      </c>
      <c r="C394" s="1" t="n">
        <v>46191</v>
      </c>
      <c r="D394" t="inlineStr">
        <is>
          <t>DALARNAS LÄN</t>
        </is>
      </c>
      <c r="E394" t="inlineStr">
        <is>
          <t>ORSA</t>
        </is>
      </c>
      <c r="F394" t="inlineStr">
        <is>
          <t>Allmännings- och besparingsskogar</t>
        </is>
      </c>
      <c r="G394" t="n">
        <v>0.7</v>
      </c>
      <c r="H394" t="n">
        <v>0</v>
      </c>
      <c r="I394" t="n">
        <v>0</v>
      </c>
      <c r="J394" t="n">
        <v>0</v>
      </c>
      <c r="K394" t="n">
        <v>0</v>
      </c>
      <c r="L394" t="n">
        <v>0</v>
      </c>
      <c r="M394" t="n">
        <v>0</v>
      </c>
      <c r="N394" t="n">
        <v>0</v>
      </c>
      <c r="O394" t="n">
        <v>0</v>
      </c>
      <c r="P394" t="n">
        <v>0</v>
      </c>
      <c r="Q394" t="n">
        <v>0</v>
      </c>
      <c r="R394" s="2" t="inlineStr"/>
    </row>
    <row r="395" ht="15" customHeight="1">
      <c r="A395" t="inlineStr">
        <is>
          <t>A 19108-2025</t>
        </is>
      </c>
      <c r="B395" s="1" t="n">
        <v>45768</v>
      </c>
      <c r="C395" s="1" t="n">
        <v>46191</v>
      </c>
      <c r="D395" t="inlineStr">
        <is>
          <t>DALARNAS LÄN</t>
        </is>
      </c>
      <c r="E395" t="inlineStr">
        <is>
          <t>ORSA</t>
        </is>
      </c>
      <c r="F395" t="inlineStr">
        <is>
          <t>Bergvik skog väst AB</t>
        </is>
      </c>
      <c r="G395" t="n">
        <v>14.3</v>
      </c>
      <c r="H395" t="n">
        <v>0</v>
      </c>
      <c r="I395" t="n">
        <v>0</v>
      </c>
      <c r="J395" t="n">
        <v>0</v>
      </c>
      <c r="K395" t="n">
        <v>0</v>
      </c>
      <c r="L395" t="n">
        <v>0</v>
      </c>
      <c r="M395" t="n">
        <v>0</v>
      </c>
      <c r="N395" t="n">
        <v>0</v>
      </c>
      <c r="O395" t="n">
        <v>0</v>
      </c>
      <c r="P395" t="n">
        <v>0</v>
      </c>
      <c r="Q395" t="n">
        <v>0</v>
      </c>
      <c r="R395" s="2" t="inlineStr"/>
    </row>
    <row r="396" ht="15" customHeight="1">
      <c r="A396" t="inlineStr">
        <is>
          <t>A 37647-2023</t>
        </is>
      </c>
      <c r="B396" s="1" t="n">
        <v>45159</v>
      </c>
      <c r="C396" s="1" t="n">
        <v>46191</v>
      </c>
      <c r="D396" t="inlineStr">
        <is>
          <t>DALARNAS LÄN</t>
        </is>
      </c>
      <c r="E396" t="inlineStr">
        <is>
          <t>ORSA</t>
        </is>
      </c>
      <c r="F396" t="inlineStr">
        <is>
          <t>Allmännings- och besparingsskogar</t>
        </is>
      </c>
      <c r="G396" t="n">
        <v>2.1</v>
      </c>
      <c r="H396" t="n">
        <v>0</v>
      </c>
      <c r="I396" t="n">
        <v>0</v>
      </c>
      <c r="J396" t="n">
        <v>0</v>
      </c>
      <c r="K396" t="n">
        <v>0</v>
      </c>
      <c r="L396" t="n">
        <v>0</v>
      </c>
      <c r="M396" t="n">
        <v>0</v>
      </c>
      <c r="N396" t="n">
        <v>0</v>
      </c>
      <c r="O396" t="n">
        <v>0</v>
      </c>
      <c r="P396" t="n">
        <v>0</v>
      </c>
      <c r="Q396" t="n">
        <v>0</v>
      </c>
      <c r="R396" s="2" t="inlineStr"/>
    </row>
    <row r="397" ht="15" customHeight="1">
      <c r="A397" t="inlineStr">
        <is>
          <t>A 17848-2025</t>
        </is>
      </c>
      <c r="B397" s="1" t="n">
        <v>45758</v>
      </c>
      <c r="C397" s="1" t="n">
        <v>46191</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61685-2024</t>
        </is>
      </c>
      <c r="B398" s="1" t="n">
        <v>45647</v>
      </c>
      <c r="C398" s="1" t="n">
        <v>46191</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37981-2024</t>
        </is>
      </c>
      <c r="B399" s="1" t="n">
        <v>45544</v>
      </c>
      <c r="C399" s="1" t="n">
        <v>46191</v>
      </c>
      <c r="D399" t="inlineStr">
        <is>
          <t>DALARNAS LÄN</t>
        </is>
      </c>
      <c r="E399" t="inlineStr">
        <is>
          <t>ORSA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33488-2024</t>
        </is>
      </c>
      <c r="B400" s="1" t="n">
        <v>45519</v>
      </c>
      <c r="C400" s="1" t="n">
        <v>46191</v>
      </c>
      <c r="D400" t="inlineStr">
        <is>
          <t>DALARNAS LÄN</t>
        </is>
      </c>
      <c r="E400" t="inlineStr">
        <is>
          <t>ORSA</t>
        </is>
      </c>
      <c r="F400" t="inlineStr">
        <is>
          <t>Övriga statliga verk och myndigheter</t>
        </is>
      </c>
      <c r="G400" t="n">
        <v>0.5</v>
      </c>
      <c r="H400" t="n">
        <v>0</v>
      </c>
      <c r="I400" t="n">
        <v>0</v>
      </c>
      <c r="J400" t="n">
        <v>0</v>
      </c>
      <c r="K400" t="n">
        <v>0</v>
      </c>
      <c r="L400" t="n">
        <v>0</v>
      </c>
      <c r="M400" t="n">
        <v>0</v>
      </c>
      <c r="N400" t="n">
        <v>0</v>
      </c>
      <c r="O400" t="n">
        <v>0</v>
      </c>
      <c r="P400" t="n">
        <v>0</v>
      </c>
      <c r="Q400" t="n">
        <v>0</v>
      </c>
      <c r="R400" s="2" t="inlineStr"/>
    </row>
    <row r="401" ht="15" customHeight="1">
      <c r="A401" t="inlineStr">
        <is>
          <t>A 890-2024</t>
        </is>
      </c>
      <c r="B401" s="1" t="n">
        <v>45301</v>
      </c>
      <c r="C401" s="1" t="n">
        <v>46191</v>
      </c>
      <c r="D401" t="inlineStr">
        <is>
          <t>DALARNAS LÄN</t>
        </is>
      </c>
      <c r="E401" t="inlineStr">
        <is>
          <t>ORSA</t>
        </is>
      </c>
      <c r="G401" t="n">
        <v>2.5</v>
      </c>
      <c r="H401" t="n">
        <v>0</v>
      </c>
      <c r="I401" t="n">
        <v>0</v>
      </c>
      <c r="J401" t="n">
        <v>0</v>
      </c>
      <c r="K401" t="n">
        <v>0</v>
      </c>
      <c r="L401" t="n">
        <v>0</v>
      </c>
      <c r="M401" t="n">
        <v>0</v>
      </c>
      <c r="N401" t="n">
        <v>0</v>
      </c>
      <c r="O401" t="n">
        <v>0</v>
      </c>
      <c r="P401" t="n">
        <v>0</v>
      </c>
      <c r="Q401" t="n">
        <v>0</v>
      </c>
      <c r="R401" s="2" t="inlineStr"/>
    </row>
    <row r="402" ht="15" customHeight="1">
      <c r="A402" t="inlineStr">
        <is>
          <t>A 20589-2025</t>
        </is>
      </c>
      <c r="B402" s="1" t="n">
        <v>45775</v>
      </c>
      <c r="C402" s="1" t="n">
        <v>46191</v>
      </c>
      <c r="D402" t="inlineStr">
        <is>
          <t>DALARNAS LÄN</t>
        </is>
      </c>
      <c r="E402" t="inlineStr">
        <is>
          <t>ORSA</t>
        </is>
      </c>
      <c r="G402" t="n">
        <v>2</v>
      </c>
      <c r="H402" t="n">
        <v>0</v>
      </c>
      <c r="I402" t="n">
        <v>0</v>
      </c>
      <c r="J402" t="n">
        <v>0</v>
      </c>
      <c r="K402" t="n">
        <v>0</v>
      </c>
      <c r="L402" t="n">
        <v>0</v>
      </c>
      <c r="M402" t="n">
        <v>0</v>
      </c>
      <c r="N402" t="n">
        <v>0</v>
      </c>
      <c r="O402" t="n">
        <v>0</v>
      </c>
      <c r="P402" t="n">
        <v>0</v>
      </c>
      <c r="Q402" t="n">
        <v>0</v>
      </c>
      <c r="R402" s="2" t="inlineStr"/>
    </row>
    <row r="403" ht="15" customHeight="1">
      <c r="A403" t="inlineStr">
        <is>
          <t>A 33673-2023</t>
        </is>
      </c>
      <c r="B403" s="1" t="n">
        <v>45132</v>
      </c>
      <c r="C403" s="1" t="n">
        <v>46191</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20165-2026</t>
        </is>
      </c>
      <c r="B404" s="1" t="n">
        <v>46139</v>
      </c>
      <c r="C404" s="1" t="n">
        <v>46191</v>
      </c>
      <c r="D404" t="inlineStr">
        <is>
          <t>DALARNAS LÄN</t>
        </is>
      </c>
      <c r="E404" t="inlineStr">
        <is>
          <t>ORSA</t>
        </is>
      </c>
      <c r="F404" t="inlineStr">
        <is>
          <t>Bergvik skog öst AB</t>
        </is>
      </c>
      <c r="G404" t="n">
        <v>10.3</v>
      </c>
      <c r="H404" t="n">
        <v>0</v>
      </c>
      <c r="I404" t="n">
        <v>0</v>
      </c>
      <c r="J404" t="n">
        <v>0</v>
      </c>
      <c r="K404" t="n">
        <v>0</v>
      </c>
      <c r="L404" t="n">
        <v>0</v>
      </c>
      <c r="M404" t="n">
        <v>0</v>
      </c>
      <c r="N404" t="n">
        <v>0</v>
      </c>
      <c r="O404" t="n">
        <v>0</v>
      </c>
      <c r="P404" t="n">
        <v>0</v>
      </c>
      <c r="Q404" t="n">
        <v>0</v>
      </c>
      <c r="R404" s="2" t="inlineStr"/>
    </row>
    <row r="405" ht="15" customHeight="1">
      <c r="A405" t="inlineStr">
        <is>
          <t>A 4553-2025</t>
        </is>
      </c>
      <c r="B405" s="1" t="n">
        <v>45687</v>
      </c>
      <c r="C405" s="1" t="n">
        <v>46191</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20615-2026</t>
        </is>
      </c>
      <c r="B406" s="1" t="n">
        <v>46140</v>
      </c>
      <c r="C406" s="1" t="n">
        <v>46191</v>
      </c>
      <c r="D406" t="inlineStr">
        <is>
          <t>DALARNAS LÄN</t>
        </is>
      </c>
      <c r="E406" t="inlineStr">
        <is>
          <t>ORSA</t>
        </is>
      </c>
      <c r="G406" t="n">
        <v>1.1</v>
      </c>
      <c r="H406" t="n">
        <v>0</v>
      </c>
      <c r="I406" t="n">
        <v>0</v>
      </c>
      <c r="J406" t="n">
        <v>0</v>
      </c>
      <c r="K406" t="n">
        <v>0</v>
      </c>
      <c r="L406" t="n">
        <v>0</v>
      </c>
      <c r="M406" t="n">
        <v>0</v>
      </c>
      <c r="N406" t="n">
        <v>0</v>
      </c>
      <c r="O406" t="n">
        <v>0</v>
      </c>
      <c r="P406" t="n">
        <v>0</v>
      </c>
      <c r="Q406" t="n">
        <v>0</v>
      </c>
      <c r="R406" s="2" t="inlineStr"/>
    </row>
    <row r="407" ht="15" customHeight="1">
      <c r="A407" t="inlineStr">
        <is>
          <t>A 58853-2022</t>
        </is>
      </c>
      <c r="B407" s="1" t="n">
        <v>44903</v>
      </c>
      <c r="C407" s="1" t="n">
        <v>46191</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21335-2025</t>
        </is>
      </c>
      <c r="B408" s="1" t="n">
        <v>45782</v>
      </c>
      <c r="C408" s="1" t="n">
        <v>46191</v>
      </c>
      <c r="D408" t="inlineStr">
        <is>
          <t>DALARNAS LÄN</t>
        </is>
      </c>
      <c r="E408" t="inlineStr">
        <is>
          <t>ORSA</t>
        </is>
      </c>
      <c r="F408" t="inlineStr">
        <is>
          <t>Bergvik skog väst AB</t>
        </is>
      </c>
      <c r="G408" t="n">
        <v>14.3</v>
      </c>
      <c r="H408" t="n">
        <v>0</v>
      </c>
      <c r="I408" t="n">
        <v>0</v>
      </c>
      <c r="J408" t="n">
        <v>0</v>
      </c>
      <c r="K408" t="n">
        <v>0</v>
      </c>
      <c r="L408" t="n">
        <v>0</v>
      </c>
      <c r="M408" t="n">
        <v>0</v>
      </c>
      <c r="N408" t="n">
        <v>0</v>
      </c>
      <c r="O408" t="n">
        <v>0</v>
      </c>
      <c r="P408" t="n">
        <v>0</v>
      </c>
      <c r="Q408" t="n">
        <v>0</v>
      </c>
      <c r="R408" s="2" t="inlineStr"/>
    </row>
    <row r="409" ht="15" customHeight="1">
      <c r="A409" t="inlineStr">
        <is>
          <t>A 53758-2024</t>
        </is>
      </c>
      <c r="B409" s="1" t="n">
        <v>45615</v>
      </c>
      <c r="C409" s="1" t="n">
        <v>46191</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53102-2021</t>
        </is>
      </c>
      <c r="B410" s="1" t="n">
        <v>44467</v>
      </c>
      <c r="C410" s="1" t="n">
        <v>46191</v>
      </c>
      <c r="D410" t="inlineStr">
        <is>
          <t>DALARNAS LÄN</t>
        </is>
      </c>
      <c r="E410" t="inlineStr">
        <is>
          <t>ORSA</t>
        </is>
      </c>
      <c r="G410" t="n">
        <v>1.4</v>
      </c>
      <c r="H410" t="n">
        <v>0</v>
      </c>
      <c r="I410" t="n">
        <v>0</v>
      </c>
      <c r="J410" t="n">
        <v>0</v>
      </c>
      <c r="K410" t="n">
        <v>0</v>
      </c>
      <c r="L410" t="n">
        <v>0</v>
      </c>
      <c r="M410" t="n">
        <v>0</v>
      </c>
      <c r="N410" t="n">
        <v>0</v>
      </c>
      <c r="O410" t="n">
        <v>0</v>
      </c>
      <c r="P410" t="n">
        <v>0</v>
      </c>
      <c r="Q410" t="n">
        <v>0</v>
      </c>
      <c r="R410" s="2" t="inlineStr"/>
    </row>
    <row r="411" ht="15" customHeight="1">
      <c r="A411" t="inlineStr">
        <is>
          <t>A 51001-2021</t>
        </is>
      </c>
      <c r="B411" s="1" t="n">
        <v>44460</v>
      </c>
      <c r="C411" s="1" t="n">
        <v>46191</v>
      </c>
      <c r="D411" t="inlineStr">
        <is>
          <t>DALARNAS LÄN</t>
        </is>
      </c>
      <c r="E411" t="inlineStr">
        <is>
          <t>ORSA</t>
        </is>
      </c>
      <c r="G411" t="n">
        <v>2.6</v>
      </c>
      <c r="H411" t="n">
        <v>0</v>
      </c>
      <c r="I411" t="n">
        <v>0</v>
      </c>
      <c r="J411" t="n">
        <v>0</v>
      </c>
      <c r="K411" t="n">
        <v>0</v>
      </c>
      <c r="L411" t="n">
        <v>0</v>
      </c>
      <c r="M411" t="n">
        <v>0</v>
      </c>
      <c r="N411" t="n">
        <v>0</v>
      </c>
      <c r="O411" t="n">
        <v>0</v>
      </c>
      <c r="P411" t="n">
        <v>0</v>
      </c>
      <c r="Q411" t="n">
        <v>0</v>
      </c>
      <c r="R411" s="2" t="inlineStr"/>
    </row>
    <row r="412" ht="15" customHeight="1">
      <c r="A412" t="inlineStr">
        <is>
          <t>A 14814-2026</t>
        </is>
      </c>
      <c r="B412" s="1" t="n">
        <v>46104</v>
      </c>
      <c r="C412" s="1" t="n">
        <v>46191</v>
      </c>
      <c r="D412" t="inlineStr">
        <is>
          <t>DALARNAS LÄN</t>
        </is>
      </c>
      <c r="E412" t="inlineStr">
        <is>
          <t>ORSA</t>
        </is>
      </c>
      <c r="G412" t="n">
        <v>14.2</v>
      </c>
      <c r="H412" t="n">
        <v>0</v>
      </c>
      <c r="I412" t="n">
        <v>0</v>
      </c>
      <c r="J412" t="n">
        <v>0</v>
      </c>
      <c r="K412" t="n">
        <v>0</v>
      </c>
      <c r="L412" t="n">
        <v>0</v>
      </c>
      <c r="M412" t="n">
        <v>0</v>
      </c>
      <c r="N412" t="n">
        <v>0</v>
      </c>
      <c r="O412" t="n">
        <v>0</v>
      </c>
      <c r="P412" t="n">
        <v>0</v>
      </c>
      <c r="Q412" t="n">
        <v>0</v>
      </c>
      <c r="R412" s="2" t="inlineStr"/>
    </row>
    <row r="413" ht="15" customHeight="1">
      <c r="A413" t="inlineStr">
        <is>
          <t>A 26201-2026</t>
        </is>
      </c>
      <c r="B413" s="1" t="n">
        <v>46182</v>
      </c>
      <c r="C413" s="1" t="n">
        <v>46191</v>
      </c>
      <c r="D413" t="inlineStr">
        <is>
          <t>DALARNAS LÄN</t>
        </is>
      </c>
      <c r="E413" t="inlineStr">
        <is>
          <t>ORSA</t>
        </is>
      </c>
      <c r="G413" t="n">
        <v>3.4</v>
      </c>
      <c r="H413" t="n">
        <v>0</v>
      </c>
      <c r="I413" t="n">
        <v>0</v>
      </c>
      <c r="J413" t="n">
        <v>0</v>
      </c>
      <c r="K413" t="n">
        <v>0</v>
      </c>
      <c r="L413" t="n">
        <v>0</v>
      </c>
      <c r="M413" t="n">
        <v>0</v>
      </c>
      <c r="N413" t="n">
        <v>0</v>
      </c>
      <c r="O413" t="n">
        <v>0</v>
      </c>
      <c r="P413" t="n">
        <v>0</v>
      </c>
      <c r="Q413" t="n">
        <v>0</v>
      </c>
      <c r="R413" s="2" t="inlineStr"/>
    </row>
    <row r="414" ht="15" customHeight="1">
      <c r="A414" t="inlineStr">
        <is>
          <t>A 37931-2023</t>
        </is>
      </c>
      <c r="B414" s="1" t="n">
        <v>45160</v>
      </c>
      <c r="C414" s="1" t="n">
        <v>46191</v>
      </c>
      <c r="D414" t="inlineStr">
        <is>
          <t>DALARNAS LÄN</t>
        </is>
      </c>
      <c r="E414" t="inlineStr">
        <is>
          <t>ORSA</t>
        </is>
      </c>
      <c r="G414" t="n">
        <v>2.6</v>
      </c>
      <c r="H414" t="n">
        <v>0</v>
      </c>
      <c r="I414" t="n">
        <v>0</v>
      </c>
      <c r="J414" t="n">
        <v>0</v>
      </c>
      <c r="K414" t="n">
        <v>0</v>
      </c>
      <c r="L414" t="n">
        <v>0</v>
      </c>
      <c r="M414" t="n">
        <v>0</v>
      </c>
      <c r="N414" t="n">
        <v>0</v>
      </c>
      <c r="O414" t="n">
        <v>0</v>
      </c>
      <c r="P414" t="n">
        <v>0</v>
      </c>
      <c r="Q414" t="n">
        <v>0</v>
      </c>
      <c r="R414" s="2" t="inlineStr"/>
    </row>
    <row r="415" ht="15" customHeight="1">
      <c r="A415" t="inlineStr">
        <is>
          <t>A 1304-2024</t>
        </is>
      </c>
      <c r="B415" s="1" t="n">
        <v>45303</v>
      </c>
      <c r="C415" s="1" t="n">
        <v>46191</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20254-2026</t>
        </is>
      </c>
      <c r="B416" s="1" t="n">
        <v>46139</v>
      </c>
      <c r="C416" s="1" t="n">
        <v>46191</v>
      </c>
      <c r="D416" t="inlineStr">
        <is>
          <t>DALARNAS LÄN</t>
        </is>
      </c>
      <c r="E416" t="inlineStr">
        <is>
          <t>ORSA</t>
        </is>
      </c>
      <c r="F416" t="inlineStr">
        <is>
          <t>Bergvik skog öst AB</t>
        </is>
      </c>
      <c r="G416" t="n">
        <v>18.5</v>
      </c>
      <c r="H416" t="n">
        <v>0</v>
      </c>
      <c r="I416" t="n">
        <v>0</v>
      </c>
      <c r="J416" t="n">
        <v>0</v>
      </c>
      <c r="K416" t="n">
        <v>0</v>
      </c>
      <c r="L416" t="n">
        <v>0</v>
      </c>
      <c r="M416" t="n">
        <v>0</v>
      </c>
      <c r="N416" t="n">
        <v>0</v>
      </c>
      <c r="O416" t="n">
        <v>0</v>
      </c>
      <c r="P416" t="n">
        <v>0</v>
      </c>
      <c r="Q416" t="n">
        <v>0</v>
      </c>
      <c r="R416" s="2" t="inlineStr"/>
    </row>
    <row r="417" ht="15" customHeight="1">
      <c r="A417" t="inlineStr">
        <is>
          <t>A 61698-2022</t>
        </is>
      </c>
      <c r="B417" s="1" t="n">
        <v>44917</v>
      </c>
      <c r="C417" s="1" t="n">
        <v>46191</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56975-2023</t>
        </is>
      </c>
      <c r="B418" s="1" t="n">
        <v>45244</v>
      </c>
      <c r="C418" s="1" t="n">
        <v>46191</v>
      </c>
      <c r="D418" t="inlineStr">
        <is>
          <t>DALARNAS LÄN</t>
        </is>
      </c>
      <c r="E418" t="inlineStr">
        <is>
          <t>ORSA</t>
        </is>
      </c>
      <c r="G418" t="n">
        <v>1.6</v>
      </c>
      <c r="H418" t="n">
        <v>0</v>
      </c>
      <c r="I418" t="n">
        <v>0</v>
      </c>
      <c r="J418" t="n">
        <v>0</v>
      </c>
      <c r="K418" t="n">
        <v>0</v>
      </c>
      <c r="L418" t="n">
        <v>0</v>
      </c>
      <c r="M418" t="n">
        <v>0</v>
      </c>
      <c r="N418" t="n">
        <v>0</v>
      </c>
      <c r="O418" t="n">
        <v>0</v>
      </c>
      <c r="P418" t="n">
        <v>0</v>
      </c>
      <c r="Q418" t="n">
        <v>0</v>
      </c>
      <c r="R418" s="2" t="inlineStr"/>
    </row>
    <row r="419" ht="15" customHeight="1">
      <c r="A419" t="inlineStr">
        <is>
          <t>A 33209-2025</t>
        </is>
      </c>
      <c r="B419" s="1" t="n">
        <v>45840</v>
      </c>
      <c r="C419" s="1" t="n">
        <v>46191</v>
      </c>
      <c r="D419" t="inlineStr">
        <is>
          <t>DALARNAS LÄN</t>
        </is>
      </c>
      <c r="E419" t="inlineStr">
        <is>
          <t>ORSA</t>
        </is>
      </c>
      <c r="G419" t="n">
        <v>1.3</v>
      </c>
      <c r="H419" t="n">
        <v>0</v>
      </c>
      <c r="I419" t="n">
        <v>0</v>
      </c>
      <c r="J419" t="n">
        <v>0</v>
      </c>
      <c r="K419" t="n">
        <v>0</v>
      </c>
      <c r="L419" t="n">
        <v>0</v>
      </c>
      <c r="M419" t="n">
        <v>0</v>
      </c>
      <c r="N419" t="n">
        <v>0</v>
      </c>
      <c r="O419" t="n">
        <v>0</v>
      </c>
      <c r="P419" t="n">
        <v>0</v>
      </c>
      <c r="Q419" t="n">
        <v>0</v>
      </c>
      <c r="R419" s="2" t="inlineStr"/>
    </row>
    <row r="420" ht="15" customHeight="1">
      <c r="A420" t="inlineStr">
        <is>
          <t>A 37897-2025</t>
        </is>
      </c>
      <c r="B420" s="1" t="n">
        <v>45881</v>
      </c>
      <c r="C420" s="1" t="n">
        <v>46191</v>
      </c>
      <c r="D420" t="inlineStr">
        <is>
          <t>DALARNAS LÄN</t>
        </is>
      </c>
      <c r="E420" t="inlineStr">
        <is>
          <t>ORSA</t>
        </is>
      </c>
      <c r="G420" t="n">
        <v>1.9</v>
      </c>
      <c r="H420" t="n">
        <v>0</v>
      </c>
      <c r="I420" t="n">
        <v>0</v>
      </c>
      <c r="J420" t="n">
        <v>0</v>
      </c>
      <c r="K420" t="n">
        <v>0</v>
      </c>
      <c r="L420" t="n">
        <v>0</v>
      </c>
      <c r="M420" t="n">
        <v>0</v>
      </c>
      <c r="N420" t="n">
        <v>0</v>
      </c>
      <c r="O420" t="n">
        <v>0</v>
      </c>
      <c r="P420" t="n">
        <v>0</v>
      </c>
      <c r="Q420" t="n">
        <v>0</v>
      </c>
      <c r="R420" s="2" t="inlineStr"/>
    </row>
    <row r="421" ht="15" customHeight="1">
      <c r="A421" t="inlineStr">
        <is>
          <t>A 12800-2026</t>
        </is>
      </c>
      <c r="B421" s="1" t="n">
        <v>46092</v>
      </c>
      <c r="C421" s="1" t="n">
        <v>46191</v>
      </c>
      <c r="D421" t="inlineStr">
        <is>
          <t>DALARNAS LÄN</t>
        </is>
      </c>
      <c r="E421" t="inlineStr">
        <is>
          <t>ORSA</t>
        </is>
      </c>
      <c r="G421" t="n">
        <v>1.6</v>
      </c>
      <c r="H421" t="n">
        <v>0</v>
      </c>
      <c r="I421" t="n">
        <v>0</v>
      </c>
      <c r="J421" t="n">
        <v>0</v>
      </c>
      <c r="K421" t="n">
        <v>0</v>
      </c>
      <c r="L421" t="n">
        <v>0</v>
      </c>
      <c r="M421" t="n">
        <v>0</v>
      </c>
      <c r="N421" t="n">
        <v>0</v>
      </c>
      <c r="O421" t="n">
        <v>0</v>
      </c>
      <c r="P421" t="n">
        <v>0</v>
      </c>
      <c r="Q421" t="n">
        <v>0</v>
      </c>
      <c r="R421" s="2" t="inlineStr"/>
    </row>
    <row r="422" ht="15" customHeight="1">
      <c r="A422" t="inlineStr">
        <is>
          <t>A 24235-2025</t>
        </is>
      </c>
      <c r="B422" s="1" t="n">
        <v>45797</v>
      </c>
      <c r="C422" s="1" t="n">
        <v>46191</v>
      </c>
      <c r="D422" t="inlineStr">
        <is>
          <t>DALARNAS LÄN</t>
        </is>
      </c>
      <c r="E422" t="inlineStr">
        <is>
          <t>ORSA</t>
        </is>
      </c>
      <c r="G422" t="n">
        <v>3.1</v>
      </c>
      <c r="H422" t="n">
        <v>0</v>
      </c>
      <c r="I422" t="n">
        <v>0</v>
      </c>
      <c r="J422" t="n">
        <v>0</v>
      </c>
      <c r="K422" t="n">
        <v>0</v>
      </c>
      <c r="L422" t="n">
        <v>0</v>
      </c>
      <c r="M422" t="n">
        <v>0</v>
      </c>
      <c r="N422" t="n">
        <v>0</v>
      </c>
      <c r="O422" t="n">
        <v>0</v>
      </c>
      <c r="P422" t="n">
        <v>0</v>
      </c>
      <c r="Q422" t="n">
        <v>0</v>
      </c>
      <c r="R422" s="2" t="inlineStr"/>
    </row>
    <row r="423" ht="15" customHeight="1">
      <c r="A423" t="inlineStr">
        <is>
          <t>A 3720-2023</t>
        </is>
      </c>
      <c r="B423" s="1" t="n">
        <v>44951</v>
      </c>
      <c r="C423" s="1" t="n">
        <v>46191</v>
      </c>
      <c r="D423" t="inlineStr">
        <is>
          <t>DALARNAS LÄN</t>
        </is>
      </c>
      <c r="E423" t="inlineStr">
        <is>
          <t>ORSA</t>
        </is>
      </c>
      <c r="G423" t="n">
        <v>0.9</v>
      </c>
      <c r="H423" t="n">
        <v>0</v>
      </c>
      <c r="I423" t="n">
        <v>0</v>
      </c>
      <c r="J423" t="n">
        <v>0</v>
      </c>
      <c r="K423" t="n">
        <v>0</v>
      </c>
      <c r="L423" t="n">
        <v>0</v>
      </c>
      <c r="M423" t="n">
        <v>0</v>
      </c>
      <c r="N423" t="n">
        <v>0</v>
      </c>
      <c r="O423" t="n">
        <v>0</v>
      </c>
      <c r="P423" t="n">
        <v>0</v>
      </c>
      <c r="Q423" t="n">
        <v>0</v>
      </c>
      <c r="R423" s="2" t="inlineStr"/>
    </row>
    <row r="424" ht="15" customHeight="1">
      <c r="A424" t="inlineStr">
        <is>
          <t>A 7775-2026</t>
        </is>
      </c>
      <c r="B424" s="1" t="n">
        <v>46062</v>
      </c>
      <c r="C424" s="1" t="n">
        <v>46191</v>
      </c>
      <c r="D424" t="inlineStr">
        <is>
          <t>DALARNAS LÄN</t>
        </is>
      </c>
      <c r="E424" t="inlineStr">
        <is>
          <t>ORSA</t>
        </is>
      </c>
      <c r="G424" t="n">
        <v>1.9</v>
      </c>
      <c r="H424" t="n">
        <v>0</v>
      </c>
      <c r="I424" t="n">
        <v>0</v>
      </c>
      <c r="J424" t="n">
        <v>0</v>
      </c>
      <c r="K424" t="n">
        <v>0</v>
      </c>
      <c r="L424" t="n">
        <v>0</v>
      </c>
      <c r="M424" t="n">
        <v>0</v>
      </c>
      <c r="N424" t="n">
        <v>0</v>
      </c>
      <c r="O424" t="n">
        <v>0</v>
      </c>
      <c r="P424" t="n">
        <v>0</v>
      </c>
      <c r="Q424" t="n">
        <v>0</v>
      </c>
      <c r="R424" s="2" t="inlineStr"/>
    </row>
    <row r="425" ht="15" customHeight="1">
      <c r="A425" t="inlineStr">
        <is>
          <t>A 892-2024</t>
        </is>
      </c>
      <c r="B425" s="1" t="n">
        <v>45301</v>
      </c>
      <c r="C425" s="1" t="n">
        <v>46191</v>
      </c>
      <c r="D425" t="inlineStr">
        <is>
          <t>DALARNAS LÄN</t>
        </is>
      </c>
      <c r="E425" t="inlineStr">
        <is>
          <t>ORSA</t>
        </is>
      </c>
      <c r="G425" t="n">
        <v>1.2</v>
      </c>
      <c r="H425" t="n">
        <v>0</v>
      </c>
      <c r="I425" t="n">
        <v>0</v>
      </c>
      <c r="J425" t="n">
        <v>0</v>
      </c>
      <c r="K425" t="n">
        <v>0</v>
      </c>
      <c r="L425" t="n">
        <v>0</v>
      </c>
      <c r="M425" t="n">
        <v>0</v>
      </c>
      <c r="N425" t="n">
        <v>0</v>
      </c>
      <c r="O425" t="n">
        <v>0</v>
      </c>
      <c r="P425" t="n">
        <v>0</v>
      </c>
      <c r="Q425" t="n">
        <v>0</v>
      </c>
      <c r="R425" s="2" t="inlineStr"/>
    </row>
    <row r="426" ht="15" customHeight="1">
      <c r="A426" t="inlineStr">
        <is>
          <t>A 16777-2024</t>
        </is>
      </c>
      <c r="B426" s="1" t="n">
        <v>45411</v>
      </c>
      <c r="C426" s="1" t="n">
        <v>46191</v>
      </c>
      <c r="D426" t="inlineStr">
        <is>
          <t>DALARNAS LÄN</t>
        </is>
      </c>
      <c r="E426" t="inlineStr">
        <is>
          <t>ORSA</t>
        </is>
      </c>
      <c r="G426" t="n">
        <v>0.9</v>
      </c>
      <c r="H426" t="n">
        <v>0</v>
      </c>
      <c r="I426" t="n">
        <v>0</v>
      </c>
      <c r="J426" t="n">
        <v>0</v>
      </c>
      <c r="K426" t="n">
        <v>0</v>
      </c>
      <c r="L426" t="n">
        <v>0</v>
      </c>
      <c r="M426" t="n">
        <v>0</v>
      </c>
      <c r="N426" t="n">
        <v>0</v>
      </c>
      <c r="O426" t="n">
        <v>0</v>
      </c>
      <c r="P426" t="n">
        <v>0</v>
      </c>
      <c r="Q426" t="n">
        <v>0</v>
      </c>
      <c r="R426" s="2" t="inlineStr"/>
    </row>
    <row r="427" ht="15" customHeight="1">
      <c r="A427" t="inlineStr">
        <is>
          <t>A 48521-2024</t>
        </is>
      </c>
      <c r="B427" s="1" t="n">
        <v>45593</v>
      </c>
      <c r="C427" s="1" t="n">
        <v>46191</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48516-2024</t>
        </is>
      </c>
      <c r="B428" s="1" t="n">
        <v>45593</v>
      </c>
      <c r="C428" s="1" t="n">
        <v>46191</v>
      </c>
      <c r="D428" t="inlineStr">
        <is>
          <t>DALARNAS LÄN</t>
        </is>
      </c>
      <c r="E428" t="inlineStr">
        <is>
          <t>ORSA</t>
        </is>
      </c>
      <c r="G428" t="n">
        <v>3.3</v>
      </c>
      <c r="H428" t="n">
        <v>0</v>
      </c>
      <c r="I428" t="n">
        <v>0</v>
      </c>
      <c r="J428" t="n">
        <v>0</v>
      </c>
      <c r="K428" t="n">
        <v>0</v>
      </c>
      <c r="L428" t="n">
        <v>0</v>
      </c>
      <c r="M428" t="n">
        <v>0</v>
      </c>
      <c r="N428" t="n">
        <v>0</v>
      </c>
      <c r="O428" t="n">
        <v>0</v>
      </c>
      <c r="P428" t="n">
        <v>0</v>
      </c>
      <c r="Q428" t="n">
        <v>0</v>
      </c>
      <c r="R428" s="2" t="inlineStr"/>
    </row>
    <row r="429" ht="15" customHeight="1">
      <c r="A429" t="inlineStr">
        <is>
          <t>A 4040-2026</t>
        </is>
      </c>
      <c r="B429" s="1" t="n">
        <v>46044</v>
      </c>
      <c r="C429" s="1" t="n">
        <v>46191</v>
      </c>
      <c r="D429" t="inlineStr">
        <is>
          <t>DALARNAS LÄN</t>
        </is>
      </c>
      <c r="E429" t="inlineStr">
        <is>
          <t>ORSA</t>
        </is>
      </c>
      <c r="G429" t="n">
        <v>4.3</v>
      </c>
      <c r="H429" t="n">
        <v>0</v>
      </c>
      <c r="I429" t="n">
        <v>0</v>
      </c>
      <c r="J429" t="n">
        <v>0</v>
      </c>
      <c r="K429" t="n">
        <v>0</v>
      </c>
      <c r="L429" t="n">
        <v>0</v>
      </c>
      <c r="M429" t="n">
        <v>0</v>
      </c>
      <c r="N429" t="n">
        <v>0</v>
      </c>
      <c r="O429" t="n">
        <v>0</v>
      </c>
      <c r="P429" t="n">
        <v>0</v>
      </c>
      <c r="Q429" t="n">
        <v>0</v>
      </c>
      <c r="R429" s="2" t="inlineStr"/>
    </row>
    <row r="430" ht="15" customHeight="1">
      <c r="A430" t="inlineStr">
        <is>
          <t>A 52643-2024</t>
        </is>
      </c>
      <c r="B430" s="1" t="n">
        <v>45610</v>
      </c>
      <c r="C430" s="1" t="n">
        <v>46191</v>
      </c>
      <c r="D430" t="inlineStr">
        <is>
          <t>DALARNAS LÄN</t>
        </is>
      </c>
      <c r="E430" t="inlineStr">
        <is>
          <t>ORSA</t>
        </is>
      </c>
      <c r="G430" t="n">
        <v>1.5</v>
      </c>
      <c r="H430" t="n">
        <v>0</v>
      </c>
      <c r="I430" t="n">
        <v>0</v>
      </c>
      <c r="J430" t="n">
        <v>0</v>
      </c>
      <c r="K430" t="n">
        <v>0</v>
      </c>
      <c r="L430" t="n">
        <v>0</v>
      </c>
      <c r="M430" t="n">
        <v>0</v>
      </c>
      <c r="N430" t="n">
        <v>0</v>
      </c>
      <c r="O430" t="n">
        <v>0</v>
      </c>
      <c r="P430" t="n">
        <v>0</v>
      </c>
      <c r="Q430" t="n">
        <v>0</v>
      </c>
      <c r="R430" s="2" t="inlineStr"/>
    </row>
    <row r="431" ht="15" customHeight="1">
      <c r="A431" t="inlineStr">
        <is>
          <t>A 34744-2025</t>
        </is>
      </c>
      <c r="B431" s="1" t="n">
        <v>45848</v>
      </c>
      <c r="C431" s="1" t="n">
        <v>46191</v>
      </c>
      <c r="D431" t="inlineStr">
        <is>
          <t>DALARNAS LÄN</t>
        </is>
      </c>
      <c r="E431" t="inlineStr">
        <is>
          <t>ORSA</t>
        </is>
      </c>
      <c r="G431" t="n">
        <v>1.7</v>
      </c>
      <c r="H431" t="n">
        <v>0</v>
      </c>
      <c r="I431" t="n">
        <v>0</v>
      </c>
      <c r="J431" t="n">
        <v>0</v>
      </c>
      <c r="K431" t="n">
        <v>0</v>
      </c>
      <c r="L431" t="n">
        <v>0</v>
      </c>
      <c r="M431" t="n">
        <v>0</v>
      </c>
      <c r="N431" t="n">
        <v>0</v>
      </c>
      <c r="O431" t="n">
        <v>0</v>
      </c>
      <c r="P431" t="n">
        <v>0</v>
      </c>
      <c r="Q431" t="n">
        <v>0</v>
      </c>
      <c r="R431" s="2" t="inlineStr"/>
    </row>
    <row r="432" ht="15" customHeight="1">
      <c r="A432" t="inlineStr">
        <is>
          <t>A 35939-2025</t>
        </is>
      </c>
      <c r="B432" s="1" t="n">
        <v>45862</v>
      </c>
      <c r="C432" s="1" t="n">
        <v>46191</v>
      </c>
      <c r="D432" t="inlineStr">
        <is>
          <t>DALARNAS LÄN</t>
        </is>
      </c>
      <c r="E432" t="inlineStr">
        <is>
          <t>ORSA</t>
        </is>
      </c>
      <c r="G432" t="n">
        <v>5.6</v>
      </c>
      <c r="H432" t="n">
        <v>0</v>
      </c>
      <c r="I432" t="n">
        <v>0</v>
      </c>
      <c r="J432" t="n">
        <v>0</v>
      </c>
      <c r="K432" t="n">
        <v>0</v>
      </c>
      <c r="L432" t="n">
        <v>0</v>
      </c>
      <c r="M432" t="n">
        <v>0</v>
      </c>
      <c r="N432" t="n">
        <v>0</v>
      </c>
      <c r="O432" t="n">
        <v>0</v>
      </c>
      <c r="P432" t="n">
        <v>0</v>
      </c>
      <c r="Q432" t="n">
        <v>0</v>
      </c>
      <c r="R432" s="2" t="inlineStr"/>
    </row>
    <row r="433" ht="15" customHeight="1">
      <c r="A433" t="inlineStr">
        <is>
          <t>A 22497-2026</t>
        </is>
      </c>
      <c r="B433" s="1" t="n">
        <v>46154</v>
      </c>
      <c r="C433" s="1" t="n">
        <v>46191</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21301-2023</t>
        </is>
      </c>
      <c r="B434" s="1" t="n">
        <v>45062</v>
      </c>
      <c r="C434" s="1" t="n">
        <v>46191</v>
      </c>
      <c r="D434" t="inlineStr">
        <is>
          <t>DALARNAS LÄN</t>
        </is>
      </c>
      <c r="E434" t="inlineStr">
        <is>
          <t>ORSA</t>
        </is>
      </c>
      <c r="G434" t="n">
        <v>2.2</v>
      </c>
      <c r="H434" t="n">
        <v>0</v>
      </c>
      <c r="I434" t="n">
        <v>0</v>
      </c>
      <c r="J434" t="n">
        <v>0</v>
      </c>
      <c r="K434" t="n">
        <v>0</v>
      </c>
      <c r="L434" t="n">
        <v>0</v>
      </c>
      <c r="M434" t="n">
        <v>0</v>
      </c>
      <c r="N434" t="n">
        <v>0</v>
      </c>
      <c r="O434" t="n">
        <v>0</v>
      </c>
      <c r="P434" t="n">
        <v>0</v>
      </c>
      <c r="Q434" t="n">
        <v>0</v>
      </c>
      <c r="R434" s="2" t="inlineStr"/>
    </row>
    <row r="435" ht="15" customHeight="1">
      <c r="A435" t="inlineStr">
        <is>
          <t>A 1967-2026</t>
        </is>
      </c>
      <c r="B435" s="1" t="n">
        <v>46035</v>
      </c>
      <c r="C435" s="1" t="n">
        <v>46191</v>
      </c>
      <c r="D435" t="inlineStr">
        <is>
          <t>DALARNAS LÄN</t>
        </is>
      </c>
      <c r="E435" t="inlineStr">
        <is>
          <t>ORSA</t>
        </is>
      </c>
      <c r="G435" t="n">
        <v>6.3</v>
      </c>
      <c r="H435" t="n">
        <v>0</v>
      </c>
      <c r="I435" t="n">
        <v>0</v>
      </c>
      <c r="J435" t="n">
        <v>0</v>
      </c>
      <c r="K435" t="n">
        <v>0</v>
      </c>
      <c r="L435" t="n">
        <v>0</v>
      </c>
      <c r="M435" t="n">
        <v>0</v>
      </c>
      <c r="N435" t="n">
        <v>0</v>
      </c>
      <c r="O435" t="n">
        <v>0</v>
      </c>
      <c r="P435" t="n">
        <v>0</v>
      </c>
      <c r="Q435" t="n">
        <v>0</v>
      </c>
      <c r="R435" s="2" t="inlineStr"/>
    </row>
    <row r="436" ht="15" customHeight="1">
      <c r="A436" t="inlineStr">
        <is>
          <t>A 56711-2021</t>
        </is>
      </c>
      <c r="B436" s="1" t="n">
        <v>44481</v>
      </c>
      <c r="C436" s="1" t="n">
        <v>46191</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3226-2026</t>
        </is>
      </c>
      <c r="B437" s="1" t="n">
        <v>46041</v>
      </c>
      <c r="C437" s="1" t="n">
        <v>46191</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37852-2024</t>
        </is>
      </c>
      <c r="B438" s="1" t="n">
        <v>45544</v>
      </c>
      <c r="C438" s="1" t="n">
        <v>46191</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8807-2026</t>
        </is>
      </c>
      <c r="B439" s="1" t="n">
        <v>46066</v>
      </c>
      <c r="C439" s="1" t="n">
        <v>46191</v>
      </c>
      <c r="D439" t="inlineStr">
        <is>
          <t>DALARNAS LÄN</t>
        </is>
      </c>
      <c r="E439" t="inlineStr">
        <is>
          <t>ORSA</t>
        </is>
      </c>
      <c r="G439" t="n">
        <v>1.2</v>
      </c>
      <c r="H439" t="n">
        <v>0</v>
      </c>
      <c r="I439" t="n">
        <v>0</v>
      </c>
      <c r="J439" t="n">
        <v>0</v>
      </c>
      <c r="K439" t="n">
        <v>0</v>
      </c>
      <c r="L439" t="n">
        <v>0</v>
      </c>
      <c r="M439" t="n">
        <v>0</v>
      </c>
      <c r="N439" t="n">
        <v>0</v>
      </c>
      <c r="O439" t="n">
        <v>0</v>
      </c>
      <c r="P439" t="n">
        <v>0</v>
      </c>
      <c r="Q439" t="n">
        <v>0</v>
      </c>
      <c r="R439" s="2" t="inlineStr"/>
    </row>
    <row r="440" ht="15" customHeight="1">
      <c r="A440" t="inlineStr">
        <is>
          <t>A 57055-2025</t>
        </is>
      </c>
      <c r="B440" s="1" t="n">
        <v>45979</v>
      </c>
      <c r="C440" s="1" t="n">
        <v>46191</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54519-2023</t>
        </is>
      </c>
      <c r="B441" s="1" t="n">
        <v>45233</v>
      </c>
      <c r="C441" s="1" t="n">
        <v>46191</v>
      </c>
      <c r="D441" t="inlineStr">
        <is>
          <t>DALARNAS LÄN</t>
        </is>
      </c>
      <c r="E441" t="inlineStr">
        <is>
          <t>ORSA</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48990-2023</t>
        </is>
      </c>
      <c r="B442" s="1" t="n">
        <v>45209</v>
      </c>
      <c r="C442" s="1" t="n">
        <v>46191</v>
      </c>
      <c r="D442" t="inlineStr">
        <is>
          <t>DALARNAS LÄN</t>
        </is>
      </c>
      <c r="E442" t="inlineStr">
        <is>
          <t>ORSA</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57685-2021</t>
        </is>
      </c>
      <c r="B443" s="1" t="n">
        <v>44484</v>
      </c>
      <c r="C443" s="1" t="n">
        <v>46191</v>
      </c>
      <c r="D443" t="inlineStr">
        <is>
          <t>DALARNAS LÄN</t>
        </is>
      </c>
      <c r="E443" t="inlineStr">
        <is>
          <t>ORSA</t>
        </is>
      </c>
      <c r="G443" t="n">
        <v>4.1</v>
      </c>
      <c r="H443" t="n">
        <v>0</v>
      </c>
      <c r="I443" t="n">
        <v>0</v>
      </c>
      <c r="J443" t="n">
        <v>0</v>
      </c>
      <c r="K443" t="n">
        <v>0</v>
      </c>
      <c r="L443" t="n">
        <v>0</v>
      </c>
      <c r="M443" t="n">
        <v>0</v>
      </c>
      <c r="N443" t="n">
        <v>0</v>
      </c>
      <c r="O443" t="n">
        <v>0</v>
      </c>
      <c r="P443" t="n">
        <v>0</v>
      </c>
      <c r="Q443" t="n">
        <v>0</v>
      </c>
      <c r="R443" s="2" t="inlineStr"/>
    </row>
    <row r="444" ht="15" customHeight="1">
      <c r="A444" t="inlineStr">
        <is>
          <t>A 10261-2022</t>
        </is>
      </c>
      <c r="B444" s="1" t="n">
        <v>44622</v>
      </c>
      <c r="C444" s="1" t="n">
        <v>46191</v>
      </c>
      <c r="D444" t="inlineStr">
        <is>
          <t>DALARNAS LÄN</t>
        </is>
      </c>
      <c r="E444" t="inlineStr">
        <is>
          <t>ORSA</t>
        </is>
      </c>
      <c r="G444" t="n">
        <v>3.1</v>
      </c>
      <c r="H444" t="n">
        <v>0</v>
      </c>
      <c r="I444" t="n">
        <v>0</v>
      </c>
      <c r="J444" t="n">
        <v>0</v>
      </c>
      <c r="K444" t="n">
        <v>0</v>
      </c>
      <c r="L444" t="n">
        <v>0</v>
      </c>
      <c r="M444" t="n">
        <v>0</v>
      </c>
      <c r="N444" t="n">
        <v>0</v>
      </c>
      <c r="O444" t="n">
        <v>0</v>
      </c>
      <c r="P444" t="n">
        <v>0</v>
      </c>
      <c r="Q444" t="n">
        <v>0</v>
      </c>
      <c r="R444" s="2" t="inlineStr"/>
    </row>
    <row r="445" ht="15" customHeight="1">
      <c r="A445" t="inlineStr">
        <is>
          <t>A 5045-2026</t>
        </is>
      </c>
      <c r="B445" s="1" t="n">
        <v>46049</v>
      </c>
      <c r="C445" s="1" t="n">
        <v>46191</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6492-2025</t>
        </is>
      </c>
      <c r="B446" s="1" t="n">
        <v>45699</v>
      </c>
      <c r="C446" s="1" t="n">
        <v>46191</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41971-2025</t>
        </is>
      </c>
      <c r="B447" s="1" t="n">
        <v>45903</v>
      </c>
      <c r="C447" s="1" t="n">
        <v>46191</v>
      </c>
      <c r="D447" t="inlineStr">
        <is>
          <t>DALARNAS LÄN</t>
        </is>
      </c>
      <c r="E447" t="inlineStr">
        <is>
          <t>ORSA</t>
        </is>
      </c>
      <c r="G447" t="n">
        <v>15.8</v>
      </c>
      <c r="H447" t="n">
        <v>0</v>
      </c>
      <c r="I447" t="n">
        <v>0</v>
      </c>
      <c r="J447" t="n">
        <v>0</v>
      </c>
      <c r="K447" t="n">
        <v>0</v>
      </c>
      <c r="L447" t="n">
        <v>0</v>
      </c>
      <c r="M447" t="n">
        <v>0</v>
      </c>
      <c r="N447" t="n">
        <v>0</v>
      </c>
      <c r="O447" t="n">
        <v>0</v>
      </c>
      <c r="P447" t="n">
        <v>0</v>
      </c>
      <c r="Q447" t="n">
        <v>0</v>
      </c>
      <c r="R447" s="2" t="inlineStr"/>
    </row>
    <row r="448" ht="15" customHeight="1">
      <c r="A448" t="inlineStr">
        <is>
          <t>A 13580-2025</t>
        </is>
      </c>
      <c r="B448" s="1" t="n">
        <v>45736</v>
      </c>
      <c r="C448" s="1" t="n">
        <v>46191</v>
      </c>
      <c r="D448" t="inlineStr">
        <is>
          <t>DALARNAS LÄN</t>
        </is>
      </c>
      <c r="E448" t="inlineStr">
        <is>
          <t>ORSA</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51574-2023</t>
        </is>
      </c>
      <c r="B449" s="1" t="n">
        <v>45222</v>
      </c>
      <c r="C449" s="1" t="n">
        <v>46191</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5435-2025</t>
        </is>
      </c>
      <c r="B450" s="1" t="n">
        <v>45692</v>
      </c>
      <c r="C450" s="1" t="n">
        <v>46191</v>
      </c>
      <c r="D450" t="inlineStr">
        <is>
          <t>DALARNAS LÄN</t>
        </is>
      </c>
      <c r="E450" t="inlineStr">
        <is>
          <t>ORSA</t>
        </is>
      </c>
      <c r="G450" t="n">
        <v>7.8</v>
      </c>
      <c r="H450" t="n">
        <v>0</v>
      </c>
      <c r="I450" t="n">
        <v>0</v>
      </c>
      <c r="J450" t="n">
        <v>0</v>
      </c>
      <c r="K450" t="n">
        <v>0</v>
      </c>
      <c r="L450" t="n">
        <v>0</v>
      </c>
      <c r="M450" t="n">
        <v>0</v>
      </c>
      <c r="N450" t="n">
        <v>0</v>
      </c>
      <c r="O450" t="n">
        <v>0</v>
      </c>
      <c r="P450" t="n">
        <v>0</v>
      </c>
      <c r="Q450" t="n">
        <v>0</v>
      </c>
      <c r="R450" s="2" t="inlineStr"/>
    </row>
    <row r="451" ht="15" customHeight="1">
      <c r="A451" t="inlineStr">
        <is>
          <t>A 54546-2024</t>
        </is>
      </c>
      <c r="B451" s="1" t="n">
        <v>45617</v>
      </c>
      <c r="C451" s="1" t="n">
        <v>46191</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21511-2026</t>
        </is>
      </c>
      <c r="B452" s="1" t="n">
        <v>46146</v>
      </c>
      <c r="C452" s="1" t="n">
        <v>46191</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27141-2026</t>
        </is>
      </c>
      <c r="B453" s="1" t="n">
        <v>46188</v>
      </c>
      <c r="C453" s="1" t="n">
        <v>46191</v>
      </c>
      <c r="D453" t="inlineStr">
        <is>
          <t>DALARNAS LÄN</t>
        </is>
      </c>
      <c r="E453" t="inlineStr">
        <is>
          <t>ORSA</t>
        </is>
      </c>
      <c r="F453" t="inlineStr">
        <is>
          <t>Bergvik skog öst AB</t>
        </is>
      </c>
      <c r="G453" t="n">
        <v>9</v>
      </c>
      <c r="H453" t="n">
        <v>0</v>
      </c>
      <c r="I453" t="n">
        <v>0</v>
      </c>
      <c r="J453" t="n">
        <v>0</v>
      </c>
      <c r="K453" t="n">
        <v>0</v>
      </c>
      <c r="L453" t="n">
        <v>0</v>
      </c>
      <c r="M453" t="n">
        <v>0</v>
      </c>
      <c r="N453" t="n">
        <v>0</v>
      </c>
      <c r="O453" t="n">
        <v>0</v>
      </c>
      <c r="P453" t="n">
        <v>0</v>
      </c>
      <c r="Q453" t="n">
        <v>0</v>
      </c>
      <c r="R453" s="2" t="inlineStr"/>
    </row>
    <row r="454" ht="15" customHeight="1">
      <c r="A454" t="inlineStr">
        <is>
          <t>A 21225-2026</t>
        </is>
      </c>
      <c r="B454" s="1" t="n">
        <v>46146</v>
      </c>
      <c r="C454" s="1" t="n">
        <v>46191</v>
      </c>
      <c r="D454" t="inlineStr">
        <is>
          <t>DALARNAS LÄN</t>
        </is>
      </c>
      <c r="E454" t="inlineStr">
        <is>
          <t>ORSA</t>
        </is>
      </c>
      <c r="G454" t="n">
        <v>4.6</v>
      </c>
      <c r="H454" t="n">
        <v>0</v>
      </c>
      <c r="I454" t="n">
        <v>0</v>
      </c>
      <c r="J454" t="n">
        <v>0</v>
      </c>
      <c r="K454" t="n">
        <v>0</v>
      </c>
      <c r="L454" t="n">
        <v>0</v>
      </c>
      <c r="M454" t="n">
        <v>0</v>
      </c>
      <c r="N454" t="n">
        <v>0</v>
      </c>
      <c r="O454" t="n">
        <v>0</v>
      </c>
      <c r="P454" t="n">
        <v>0</v>
      </c>
      <c r="Q454" t="n">
        <v>0</v>
      </c>
      <c r="R454" s="2" t="inlineStr"/>
    </row>
    <row r="455" ht="15" customHeight="1">
      <c r="A455" t="inlineStr">
        <is>
          <t>A 6476-2025</t>
        </is>
      </c>
      <c r="B455" s="1" t="n">
        <v>45699</v>
      </c>
      <c r="C455" s="1" t="n">
        <v>46191</v>
      </c>
      <c r="D455" t="inlineStr">
        <is>
          <t>DALARNAS LÄN</t>
        </is>
      </c>
      <c r="E455" t="inlineStr">
        <is>
          <t>ORSA</t>
        </is>
      </c>
      <c r="G455" t="n">
        <v>1.2</v>
      </c>
      <c r="H455" t="n">
        <v>0</v>
      </c>
      <c r="I455" t="n">
        <v>0</v>
      </c>
      <c r="J455" t="n">
        <v>0</v>
      </c>
      <c r="K455" t="n">
        <v>0</v>
      </c>
      <c r="L455" t="n">
        <v>0</v>
      </c>
      <c r="M455" t="n">
        <v>0</v>
      </c>
      <c r="N455" t="n">
        <v>0</v>
      </c>
      <c r="O455" t="n">
        <v>0</v>
      </c>
      <c r="P455" t="n">
        <v>0</v>
      </c>
      <c r="Q455" t="n">
        <v>0</v>
      </c>
      <c r="R455" s="2" t="inlineStr"/>
    </row>
    <row r="456" ht="15" customHeight="1">
      <c r="A456" t="inlineStr">
        <is>
          <t>A 6479-2025</t>
        </is>
      </c>
      <c r="B456" s="1" t="n">
        <v>45699</v>
      </c>
      <c r="C456" s="1" t="n">
        <v>46191</v>
      </c>
      <c r="D456" t="inlineStr">
        <is>
          <t>DALARNAS LÄN</t>
        </is>
      </c>
      <c r="E456" t="inlineStr">
        <is>
          <t>ORSA</t>
        </is>
      </c>
      <c r="G456" t="n">
        <v>3.2</v>
      </c>
      <c r="H456" t="n">
        <v>0</v>
      </c>
      <c r="I456" t="n">
        <v>0</v>
      </c>
      <c r="J456" t="n">
        <v>0</v>
      </c>
      <c r="K456" t="n">
        <v>0</v>
      </c>
      <c r="L456" t="n">
        <v>0</v>
      </c>
      <c r="M456" t="n">
        <v>0</v>
      </c>
      <c r="N456" t="n">
        <v>0</v>
      </c>
      <c r="O456" t="n">
        <v>0</v>
      </c>
      <c r="P456" t="n">
        <v>0</v>
      </c>
      <c r="Q456" t="n">
        <v>0</v>
      </c>
      <c r="R456" s="2" t="inlineStr"/>
    </row>
    <row r="457" ht="15" customHeight="1">
      <c r="A457" t="inlineStr">
        <is>
          <t>A 20588-2025</t>
        </is>
      </c>
      <c r="B457" s="1" t="n">
        <v>45775</v>
      </c>
      <c r="C457" s="1" t="n">
        <v>46191</v>
      </c>
      <c r="D457" t="inlineStr">
        <is>
          <t>DALARNAS LÄN</t>
        </is>
      </c>
      <c r="E457" t="inlineStr">
        <is>
          <t>ORSA</t>
        </is>
      </c>
      <c r="G457" t="n">
        <v>1.7</v>
      </c>
      <c r="H457" t="n">
        <v>0</v>
      </c>
      <c r="I457" t="n">
        <v>0</v>
      </c>
      <c r="J457" t="n">
        <v>0</v>
      </c>
      <c r="K457" t="n">
        <v>0</v>
      </c>
      <c r="L457" t="n">
        <v>0</v>
      </c>
      <c r="M457" t="n">
        <v>0</v>
      </c>
      <c r="N457" t="n">
        <v>0</v>
      </c>
      <c r="O457" t="n">
        <v>0</v>
      </c>
      <c r="P457" t="n">
        <v>0</v>
      </c>
      <c r="Q457" t="n">
        <v>0</v>
      </c>
      <c r="R457" s="2" t="inlineStr"/>
    </row>
    <row r="458" ht="15" customHeight="1">
      <c r="A458" t="inlineStr">
        <is>
          <t>A 29499-2024</t>
        </is>
      </c>
      <c r="B458" s="1" t="n">
        <v>45484</v>
      </c>
      <c r="C458" s="1" t="n">
        <v>46191</v>
      </c>
      <c r="D458" t="inlineStr">
        <is>
          <t>DALARNAS LÄN</t>
        </is>
      </c>
      <c r="E458" t="inlineStr">
        <is>
          <t>ORSA</t>
        </is>
      </c>
      <c r="G458" t="n">
        <v>1.7</v>
      </c>
      <c r="H458" t="n">
        <v>0</v>
      </c>
      <c r="I458" t="n">
        <v>0</v>
      </c>
      <c r="J458" t="n">
        <v>0</v>
      </c>
      <c r="K458" t="n">
        <v>0</v>
      </c>
      <c r="L458" t="n">
        <v>0</v>
      </c>
      <c r="M458" t="n">
        <v>0</v>
      </c>
      <c r="N458" t="n">
        <v>0</v>
      </c>
      <c r="O458" t="n">
        <v>0</v>
      </c>
      <c r="P458" t="n">
        <v>0</v>
      </c>
      <c r="Q458" t="n">
        <v>0</v>
      </c>
      <c r="R458" s="2" t="inlineStr"/>
    </row>
    <row r="459" ht="15" customHeight="1">
      <c r="A459" t="inlineStr">
        <is>
          <t>A 5921-2025</t>
        </is>
      </c>
      <c r="B459" s="1" t="n">
        <v>45695</v>
      </c>
      <c r="C459" s="1" t="n">
        <v>46191</v>
      </c>
      <c r="D459" t="inlineStr">
        <is>
          <t>DALARNAS LÄN</t>
        </is>
      </c>
      <c r="E459" t="inlineStr">
        <is>
          <t>ORSA</t>
        </is>
      </c>
      <c r="G459" t="n">
        <v>1.4</v>
      </c>
      <c r="H459" t="n">
        <v>0</v>
      </c>
      <c r="I459" t="n">
        <v>0</v>
      </c>
      <c r="J459" t="n">
        <v>0</v>
      </c>
      <c r="K459" t="n">
        <v>0</v>
      </c>
      <c r="L459" t="n">
        <v>0</v>
      </c>
      <c r="M459" t="n">
        <v>0</v>
      </c>
      <c r="N459" t="n">
        <v>0</v>
      </c>
      <c r="O459" t="n">
        <v>0</v>
      </c>
      <c r="P459" t="n">
        <v>0</v>
      </c>
      <c r="Q459" t="n">
        <v>0</v>
      </c>
      <c r="R459" s="2" t="inlineStr"/>
    </row>
    <row r="460" ht="15" customHeight="1">
      <c r="A460" t="inlineStr">
        <is>
          <t>A 50392-2024</t>
        </is>
      </c>
      <c r="B460" s="1" t="n">
        <v>45601</v>
      </c>
      <c r="C460" s="1" t="n">
        <v>46191</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21379-2026</t>
        </is>
      </c>
      <c r="B461" s="1" t="n">
        <v>46147</v>
      </c>
      <c r="C461" s="1" t="n">
        <v>46191</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61277-2023</t>
        </is>
      </c>
      <c r="B462" s="1" t="n">
        <v>45264</v>
      </c>
      <c r="C462" s="1" t="n">
        <v>46191</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27531-2026</t>
        </is>
      </c>
      <c r="B463" s="1" t="n">
        <v>46189</v>
      </c>
      <c r="C463" s="1" t="n">
        <v>46191</v>
      </c>
      <c r="D463" t="inlineStr">
        <is>
          <t>DALARNAS LÄN</t>
        </is>
      </c>
      <c r="E463" t="inlineStr">
        <is>
          <t>ORSA</t>
        </is>
      </c>
      <c r="F463" t="inlineStr">
        <is>
          <t>Allmännings- och besparingsskogar</t>
        </is>
      </c>
      <c r="G463" t="n">
        <v>5.8</v>
      </c>
      <c r="H463" t="n">
        <v>0</v>
      </c>
      <c r="I463" t="n">
        <v>0</v>
      </c>
      <c r="J463" t="n">
        <v>0</v>
      </c>
      <c r="K463" t="n">
        <v>0</v>
      </c>
      <c r="L463" t="n">
        <v>0</v>
      </c>
      <c r="M463" t="n">
        <v>0</v>
      </c>
      <c r="N463" t="n">
        <v>0</v>
      </c>
      <c r="O463" t="n">
        <v>0</v>
      </c>
      <c r="P463" t="n">
        <v>0</v>
      </c>
      <c r="Q463" t="n">
        <v>0</v>
      </c>
      <c r="R463" s="2" t="inlineStr"/>
    </row>
    <row r="464" ht="15" customHeight="1">
      <c r="A464" t="inlineStr">
        <is>
          <t>A 27644-2026</t>
        </is>
      </c>
      <c r="B464" s="1" t="n">
        <v>46190</v>
      </c>
      <c r="C464" s="1" t="n">
        <v>46191</v>
      </c>
      <c r="D464" t="inlineStr">
        <is>
          <t>DALARNAS LÄN</t>
        </is>
      </c>
      <c r="E464" t="inlineStr">
        <is>
          <t>ORSA</t>
        </is>
      </c>
      <c r="G464" t="n">
        <v>0.8</v>
      </c>
      <c r="H464" t="n">
        <v>0</v>
      </c>
      <c r="I464" t="n">
        <v>0</v>
      </c>
      <c r="J464" t="n">
        <v>0</v>
      </c>
      <c r="K464" t="n">
        <v>0</v>
      </c>
      <c r="L464" t="n">
        <v>0</v>
      </c>
      <c r="M464" t="n">
        <v>0</v>
      </c>
      <c r="N464" t="n">
        <v>0</v>
      </c>
      <c r="O464" t="n">
        <v>0</v>
      </c>
      <c r="P464" t="n">
        <v>0</v>
      </c>
      <c r="Q464" t="n">
        <v>0</v>
      </c>
      <c r="R464" s="2" t="inlineStr"/>
    </row>
    <row r="465" ht="15" customHeight="1">
      <c r="A465" t="inlineStr">
        <is>
          <t>A 27603-2026</t>
        </is>
      </c>
      <c r="B465" s="1" t="n">
        <v>46190</v>
      </c>
      <c r="C465" s="1" t="n">
        <v>46191</v>
      </c>
      <c r="D465" t="inlineStr">
        <is>
          <t>DALARNAS LÄN</t>
        </is>
      </c>
      <c r="E465" t="inlineStr">
        <is>
          <t>ORSA</t>
        </is>
      </c>
      <c r="F465" t="inlineStr">
        <is>
          <t>Allmännings- och besparingsskogar</t>
        </is>
      </c>
      <c r="G465" t="n">
        <v>5.3</v>
      </c>
      <c r="H465" t="n">
        <v>0</v>
      </c>
      <c r="I465" t="n">
        <v>0</v>
      </c>
      <c r="J465" t="n">
        <v>0</v>
      </c>
      <c r="K465" t="n">
        <v>0</v>
      </c>
      <c r="L465" t="n">
        <v>0</v>
      </c>
      <c r="M465" t="n">
        <v>0</v>
      </c>
      <c r="N465" t="n">
        <v>0</v>
      </c>
      <c r="O465" t="n">
        <v>0</v>
      </c>
      <c r="P465" t="n">
        <v>0</v>
      </c>
      <c r="Q465" t="n">
        <v>0</v>
      </c>
      <c r="R465" s="2" t="inlineStr"/>
    </row>
    <row r="466" ht="15" customHeight="1">
      <c r="A466" t="inlineStr">
        <is>
          <t>A 21530-2026</t>
        </is>
      </c>
      <c r="B466" s="1" t="n">
        <v>46148</v>
      </c>
      <c r="C466" s="1" t="n">
        <v>46191</v>
      </c>
      <c r="D466" t="inlineStr">
        <is>
          <t>DALARNAS LÄN</t>
        </is>
      </c>
      <c r="E466" t="inlineStr">
        <is>
          <t>ORSA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27511-2026</t>
        </is>
      </c>
      <c r="B467" s="1" t="n">
        <v>46189</v>
      </c>
      <c r="C467" s="1" t="n">
        <v>46191</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21376-2025</t>
        </is>
      </c>
      <c r="B468" s="1" t="n">
        <v>45782</v>
      </c>
      <c r="C468" s="1" t="n">
        <v>46191</v>
      </c>
      <c r="D468" t="inlineStr">
        <is>
          <t>DALARNAS LÄN</t>
        </is>
      </c>
      <c r="E468" t="inlineStr">
        <is>
          <t>ORSA</t>
        </is>
      </c>
      <c r="G468" t="n">
        <v>4.6</v>
      </c>
      <c r="H468" t="n">
        <v>0</v>
      </c>
      <c r="I468" t="n">
        <v>0</v>
      </c>
      <c r="J468" t="n">
        <v>0</v>
      </c>
      <c r="K468" t="n">
        <v>0</v>
      </c>
      <c r="L468" t="n">
        <v>0</v>
      </c>
      <c r="M468" t="n">
        <v>0</v>
      </c>
      <c r="N468" t="n">
        <v>0</v>
      </c>
      <c r="O468" t="n">
        <v>0</v>
      </c>
      <c r="P468" t="n">
        <v>0</v>
      </c>
      <c r="Q468" t="n">
        <v>0</v>
      </c>
      <c r="R468" s="2" t="inlineStr"/>
    </row>
    <row r="469" ht="15" customHeight="1">
      <c r="A469" t="inlineStr">
        <is>
          <t>A 52816-2024</t>
        </is>
      </c>
      <c r="B469" s="1" t="n">
        <v>45610</v>
      </c>
      <c r="C469" s="1" t="n">
        <v>46191</v>
      </c>
      <c r="D469" t="inlineStr">
        <is>
          <t>DALARNAS LÄN</t>
        </is>
      </c>
      <c r="E469" t="inlineStr">
        <is>
          <t>ORSA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27602-2026</t>
        </is>
      </c>
      <c r="B470" s="1" t="n">
        <v>46190</v>
      </c>
      <c r="C470" s="1" t="n">
        <v>46191</v>
      </c>
      <c r="D470" t="inlineStr">
        <is>
          <t>DALARNAS LÄN</t>
        </is>
      </c>
      <c r="E470" t="inlineStr">
        <is>
          <t>ORSA</t>
        </is>
      </c>
      <c r="G470" t="n">
        <v>1.1</v>
      </c>
      <c r="H470" t="n">
        <v>0</v>
      </c>
      <c r="I470" t="n">
        <v>0</v>
      </c>
      <c r="J470" t="n">
        <v>0</v>
      </c>
      <c r="K470" t="n">
        <v>0</v>
      </c>
      <c r="L470" t="n">
        <v>0</v>
      </c>
      <c r="M470" t="n">
        <v>0</v>
      </c>
      <c r="N470" t="n">
        <v>0</v>
      </c>
      <c r="O470" t="n">
        <v>0</v>
      </c>
      <c r="P470" t="n">
        <v>0</v>
      </c>
      <c r="Q470" t="n">
        <v>0</v>
      </c>
      <c r="R470" s="2" t="inlineStr"/>
    </row>
    <row r="471" ht="15" customHeight="1">
      <c r="A471" t="inlineStr">
        <is>
          <t>A 42517-2024</t>
        </is>
      </c>
      <c r="B471" s="1" t="n">
        <v>45565</v>
      </c>
      <c r="C471" s="1" t="n">
        <v>46191</v>
      </c>
      <c r="D471" t="inlineStr">
        <is>
          <t>DALARNAS LÄN</t>
        </is>
      </c>
      <c r="E471" t="inlineStr">
        <is>
          <t>ORSA</t>
        </is>
      </c>
      <c r="G471" t="n">
        <v>3</v>
      </c>
      <c r="H471" t="n">
        <v>0</v>
      </c>
      <c r="I471" t="n">
        <v>0</v>
      </c>
      <c r="J471" t="n">
        <v>0</v>
      </c>
      <c r="K471" t="n">
        <v>0</v>
      </c>
      <c r="L471" t="n">
        <v>0</v>
      </c>
      <c r="M471" t="n">
        <v>0</v>
      </c>
      <c r="N471" t="n">
        <v>0</v>
      </c>
      <c r="O471" t="n">
        <v>0</v>
      </c>
      <c r="P471" t="n">
        <v>0</v>
      </c>
      <c r="Q471" t="n">
        <v>0</v>
      </c>
      <c r="R471" s="2" t="inlineStr"/>
    </row>
    <row r="472" ht="15" customHeight="1">
      <c r="A472" t="inlineStr">
        <is>
          <t>A 23235-2026</t>
        </is>
      </c>
      <c r="B472" s="1" t="n">
        <v>46162</v>
      </c>
      <c r="C472" s="1" t="n">
        <v>46191</v>
      </c>
      <c r="D472" t="inlineStr">
        <is>
          <t>DALARNAS LÄN</t>
        </is>
      </c>
      <c r="E472" t="inlineStr">
        <is>
          <t>ORSA</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28082-2023</t>
        </is>
      </c>
      <c r="B473" s="1" t="n">
        <v>45099</v>
      </c>
      <c r="C473" s="1" t="n">
        <v>46191</v>
      </c>
      <c r="D473" t="inlineStr">
        <is>
          <t>DALARNAS LÄN</t>
        </is>
      </c>
      <c r="E473" t="inlineStr">
        <is>
          <t>ORSA</t>
        </is>
      </c>
      <c r="G473" t="n">
        <v>0.4</v>
      </c>
      <c r="H473" t="n">
        <v>0</v>
      </c>
      <c r="I473" t="n">
        <v>0</v>
      </c>
      <c r="J473" t="n">
        <v>0</v>
      </c>
      <c r="K473" t="n">
        <v>0</v>
      </c>
      <c r="L473" t="n">
        <v>0</v>
      </c>
      <c r="M473" t="n">
        <v>0</v>
      </c>
      <c r="N473" t="n">
        <v>0</v>
      </c>
      <c r="O473" t="n">
        <v>0</v>
      </c>
      <c r="P473" t="n">
        <v>0</v>
      </c>
      <c r="Q473" t="n">
        <v>0</v>
      </c>
      <c r="R473" s="2" t="inlineStr"/>
    </row>
    <row r="474" ht="15" customHeight="1">
      <c r="A474" t="inlineStr">
        <is>
          <t>A 2717-2024</t>
        </is>
      </c>
      <c r="B474" s="1" t="n">
        <v>45314</v>
      </c>
      <c r="C474" s="1" t="n">
        <v>46191</v>
      </c>
      <c r="D474" t="inlineStr">
        <is>
          <t>DALARNAS LÄN</t>
        </is>
      </c>
      <c r="E474" t="inlineStr">
        <is>
          <t>ORSA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879-2024</t>
        </is>
      </c>
      <c r="B475" s="1" t="n">
        <v>45301</v>
      </c>
      <c r="C475" s="1" t="n">
        <v>46191</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21165-2024</t>
        </is>
      </c>
      <c r="B476" s="1" t="n">
        <v>45440</v>
      </c>
      <c r="C476" s="1" t="n">
        <v>46191</v>
      </c>
      <c r="D476" t="inlineStr">
        <is>
          <t>DALARNAS LÄN</t>
        </is>
      </c>
      <c r="E476" t="inlineStr">
        <is>
          <t>ORSA</t>
        </is>
      </c>
      <c r="F476" t="inlineStr">
        <is>
          <t>Bergvik skog öst AB</t>
        </is>
      </c>
      <c r="G476" t="n">
        <v>1.3</v>
      </c>
      <c r="H476" t="n">
        <v>0</v>
      </c>
      <c r="I476" t="n">
        <v>0</v>
      </c>
      <c r="J476" t="n">
        <v>0</v>
      </c>
      <c r="K476" t="n">
        <v>0</v>
      </c>
      <c r="L476" t="n">
        <v>0</v>
      </c>
      <c r="M476" t="n">
        <v>0</v>
      </c>
      <c r="N476" t="n">
        <v>0</v>
      </c>
      <c r="O476" t="n">
        <v>0</v>
      </c>
      <c r="P476" t="n">
        <v>0</v>
      </c>
      <c r="Q476" t="n">
        <v>0</v>
      </c>
      <c r="R476" s="2" t="inlineStr"/>
    </row>
    <row r="477" ht="15" customHeight="1">
      <c r="A477" t="inlineStr">
        <is>
          <t>A 56887-2024</t>
        </is>
      </c>
      <c r="B477" s="1" t="n">
        <v>45628</v>
      </c>
      <c r="C477" s="1" t="n">
        <v>46191</v>
      </c>
      <c r="D477" t="inlineStr">
        <is>
          <t>DALARNAS LÄN</t>
        </is>
      </c>
      <c r="E477" t="inlineStr">
        <is>
          <t>ORSA</t>
        </is>
      </c>
      <c r="F477" t="inlineStr">
        <is>
          <t>Bergvik skog öst AB</t>
        </is>
      </c>
      <c r="G477" t="n">
        <v>0.6</v>
      </c>
      <c r="H477" t="n">
        <v>0</v>
      </c>
      <c r="I477" t="n">
        <v>0</v>
      </c>
      <c r="J477" t="n">
        <v>0</v>
      </c>
      <c r="K477" t="n">
        <v>0</v>
      </c>
      <c r="L477" t="n">
        <v>0</v>
      </c>
      <c r="M477" t="n">
        <v>0</v>
      </c>
      <c r="N477" t="n">
        <v>0</v>
      </c>
      <c r="O477" t="n">
        <v>0</v>
      </c>
      <c r="P477" t="n">
        <v>0</v>
      </c>
      <c r="Q477" t="n">
        <v>0</v>
      </c>
      <c r="R477" s="2" t="inlineStr"/>
    </row>
    <row r="478" ht="15" customHeight="1">
      <c r="A478" t="inlineStr">
        <is>
          <t>A 41835-2024</t>
        </is>
      </c>
      <c r="B478" s="1" t="n">
        <v>45561</v>
      </c>
      <c r="C478" s="1" t="n">
        <v>46191</v>
      </c>
      <c r="D478" t="inlineStr">
        <is>
          <t>DALARNAS LÄN</t>
        </is>
      </c>
      <c r="E478" t="inlineStr">
        <is>
          <t>ORSA</t>
        </is>
      </c>
      <c r="G478" t="n">
        <v>0.7</v>
      </c>
      <c r="H478" t="n">
        <v>0</v>
      </c>
      <c r="I478" t="n">
        <v>0</v>
      </c>
      <c r="J478" t="n">
        <v>0</v>
      </c>
      <c r="K478" t="n">
        <v>0</v>
      </c>
      <c r="L478" t="n">
        <v>0</v>
      </c>
      <c r="M478" t="n">
        <v>0</v>
      </c>
      <c r="N478" t="n">
        <v>0</v>
      </c>
      <c r="O478" t="n">
        <v>0</v>
      </c>
      <c r="P478" t="n">
        <v>0</v>
      </c>
      <c r="Q478" t="n">
        <v>0</v>
      </c>
      <c r="R478" s="2" t="inlineStr"/>
    </row>
    <row r="479" ht="15" customHeight="1">
      <c r="A479" t="inlineStr">
        <is>
          <t>A 10004-2023</t>
        </is>
      </c>
      <c r="B479" s="1" t="n">
        <v>44985</v>
      </c>
      <c r="C479" s="1" t="n">
        <v>46191</v>
      </c>
      <c r="D479" t="inlineStr">
        <is>
          <t>DALARNAS LÄN</t>
        </is>
      </c>
      <c r="E479" t="inlineStr">
        <is>
          <t>ORSA</t>
        </is>
      </c>
      <c r="G479" t="n">
        <v>2.1</v>
      </c>
      <c r="H479" t="n">
        <v>0</v>
      </c>
      <c r="I479" t="n">
        <v>0</v>
      </c>
      <c r="J479" t="n">
        <v>0</v>
      </c>
      <c r="K479" t="n">
        <v>0</v>
      </c>
      <c r="L479" t="n">
        <v>0</v>
      </c>
      <c r="M479" t="n">
        <v>0</v>
      </c>
      <c r="N479" t="n">
        <v>0</v>
      </c>
      <c r="O479" t="n">
        <v>0</v>
      </c>
      <c r="P479" t="n">
        <v>0</v>
      </c>
      <c r="Q479" t="n">
        <v>0</v>
      </c>
      <c r="R479" s="2" t="inlineStr"/>
    </row>
    <row r="480" ht="15" customHeight="1">
      <c r="A480" t="inlineStr">
        <is>
          <t>A 4566-2025</t>
        </is>
      </c>
      <c r="B480" s="1" t="n">
        <v>45687</v>
      </c>
      <c r="C480" s="1" t="n">
        <v>46191</v>
      </c>
      <c r="D480" t="inlineStr">
        <is>
          <t>DALARNAS LÄN</t>
        </is>
      </c>
      <c r="E480" t="inlineStr">
        <is>
          <t>ORSA</t>
        </is>
      </c>
      <c r="G480" t="n">
        <v>2.1</v>
      </c>
      <c r="H480" t="n">
        <v>0</v>
      </c>
      <c r="I480" t="n">
        <v>0</v>
      </c>
      <c r="J480" t="n">
        <v>0</v>
      </c>
      <c r="K480" t="n">
        <v>0</v>
      </c>
      <c r="L480" t="n">
        <v>0</v>
      </c>
      <c r="M480" t="n">
        <v>0</v>
      </c>
      <c r="N480" t="n">
        <v>0</v>
      </c>
      <c r="O480" t="n">
        <v>0</v>
      </c>
      <c r="P480" t="n">
        <v>0</v>
      </c>
      <c r="Q480" t="n">
        <v>0</v>
      </c>
      <c r="R480" s="2" t="inlineStr"/>
    </row>
    <row r="481" ht="15" customHeight="1">
      <c r="A481" t="inlineStr">
        <is>
          <t>A 42513-2024</t>
        </is>
      </c>
      <c r="B481" s="1" t="n">
        <v>45565</v>
      </c>
      <c r="C481" s="1" t="n">
        <v>46191</v>
      </c>
      <c r="D481" t="inlineStr">
        <is>
          <t>DALARNAS LÄN</t>
        </is>
      </c>
      <c r="E481" t="inlineStr">
        <is>
          <t>ORSA</t>
        </is>
      </c>
      <c r="G481" t="n">
        <v>1.6</v>
      </c>
      <c r="H481" t="n">
        <v>0</v>
      </c>
      <c r="I481" t="n">
        <v>0</v>
      </c>
      <c r="J481" t="n">
        <v>0</v>
      </c>
      <c r="K481" t="n">
        <v>0</v>
      </c>
      <c r="L481" t="n">
        <v>0</v>
      </c>
      <c r="M481" t="n">
        <v>0</v>
      </c>
      <c r="N481" t="n">
        <v>0</v>
      </c>
      <c r="O481" t="n">
        <v>0</v>
      </c>
      <c r="P481" t="n">
        <v>0</v>
      </c>
      <c r="Q481" t="n">
        <v>0</v>
      </c>
      <c r="R481" s="2" t="inlineStr"/>
    </row>
    <row r="482" ht="15" customHeight="1">
      <c r="A482" t="inlineStr">
        <is>
          <t>A 44904-2024</t>
        </is>
      </c>
      <c r="B482" s="1" t="n">
        <v>45575</v>
      </c>
      <c r="C482" s="1" t="n">
        <v>46191</v>
      </c>
      <c r="D482" t="inlineStr">
        <is>
          <t>DALARNAS LÄN</t>
        </is>
      </c>
      <c r="E482" t="inlineStr">
        <is>
          <t>ORSA</t>
        </is>
      </c>
      <c r="F482" t="inlineStr">
        <is>
          <t>Bergvik skog öst AB</t>
        </is>
      </c>
      <c r="G482" t="n">
        <v>1.2</v>
      </c>
      <c r="H482" t="n">
        <v>0</v>
      </c>
      <c r="I482" t="n">
        <v>0</v>
      </c>
      <c r="J482" t="n">
        <v>0</v>
      </c>
      <c r="K482" t="n">
        <v>0</v>
      </c>
      <c r="L482" t="n">
        <v>0</v>
      </c>
      <c r="M482" t="n">
        <v>0</v>
      </c>
      <c r="N482" t="n">
        <v>0</v>
      </c>
      <c r="O482" t="n">
        <v>0</v>
      </c>
      <c r="P482" t="n">
        <v>0</v>
      </c>
      <c r="Q482" t="n">
        <v>0</v>
      </c>
      <c r="R482" s="2" t="inlineStr"/>
    </row>
    <row r="483" ht="15" customHeight="1">
      <c r="A483" t="inlineStr">
        <is>
          <t>A 23056-2025</t>
        </is>
      </c>
      <c r="B483" s="1" t="n">
        <v>45790</v>
      </c>
      <c r="C483" s="1" t="n">
        <v>46191</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23055-2025</t>
        </is>
      </c>
      <c r="B484" s="1" t="n">
        <v>45790</v>
      </c>
      <c r="C484" s="1" t="n">
        <v>46191</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23015-2025</t>
        </is>
      </c>
      <c r="B485" s="1" t="n">
        <v>45790</v>
      </c>
      <c r="C485" s="1" t="n">
        <v>46191</v>
      </c>
      <c r="D485" t="inlineStr">
        <is>
          <t>DALARNAS LÄN</t>
        </is>
      </c>
      <c r="E485" t="inlineStr">
        <is>
          <t>ORSA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62289-2023</t>
        </is>
      </c>
      <c r="B486" s="1" t="n">
        <v>45266</v>
      </c>
      <c r="C486" s="1" t="n">
        <v>46191</v>
      </c>
      <c r="D486" t="inlineStr">
        <is>
          <t>DALARNAS LÄN</t>
        </is>
      </c>
      <c r="E486" t="inlineStr">
        <is>
          <t>ORSA</t>
        </is>
      </c>
      <c r="G486" t="n">
        <v>1.9</v>
      </c>
      <c r="H486" t="n">
        <v>0</v>
      </c>
      <c r="I486" t="n">
        <v>0</v>
      </c>
      <c r="J486" t="n">
        <v>0</v>
      </c>
      <c r="K486" t="n">
        <v>0</v>
      </c>
      <c r="L486" t="n">
        <v>0</v>
      </c>
      <c r="M486" t="n">
        <v>0</v>
      </c>
      <c r="N486" t="n">
        <v>0</v>
      </c>
      <c r="O486" t="n">
        <v>0</v>
      </c>
      <c r="P486" t="n">
        <v>0</v>
      </c>
      <c r="Q486" t="n">
        <v>0</v>
      </c>
      <c r="R486" s="2" t="inlineStr"/>
    </row>
    <row r="487" ht="15" customHeight="1">
      <c r="A487" t="inlineStr">
        <is>
          <t>A 42346-2022</t>
        </is>
      </c>
      <c r="B487" s="1" t="n">
        <v>44831</v>
      </c>
      <c r="C487" s="1" t="n">
        <v>46191</v>
      </c>
      <c r="D487" t="inlineStr">
        <is>
          <t>DALARNAS LÄN</t>
        </is>
      </c>
      <c r="E487" t="inlineStr">
        <is>
          <t>ORSA</t>
        </is>
      </c>
      <c r="G487" t="n">
        <v>2.4</v>
      </c>
      <c r="H487" t="n">
        <v>0</v>
      </c>
      <c r="I487" t="n">
        <v>0</v>
      </c>
      <c r="J487" t="n">
        <v>0</v>
      </c>
      <c r="K487" t="n">
        <v>0</v>
      </c>
      <c r="L487" t="n">
        <v>0</v>
      </c>
      <c r="M487" t="n">
        <v>0</v>
      </c>
      <c r="N487" t="n">
        <v>0</v>
      </c>
      <c r="O487" t="n">
        <v>0</v>
      </c>
      <c r="P487" t="n">
        <v>0</v>
      </c>
      <c r="Q487" t="n">
        <v>0</v>
      </c>
      <c r="R487" s="2" t="inlineStr"/>
    </row>
    <row r="488" ht="15" customHeight="1">
      <c r="A488" t="inlineStr">
        <is>
          <t>A 58549-2023</t>
        </is>
      </c>
      <c r="B488" s="1" t="n">
        <v>45251</v>
      </c>
      <c r="C488" s="1" t="n">
        <v>46191</v>
      </c>
      <c r="D488" t="inlineStr">
        <is>
          <t>DALARNAS LÄN</t>
        </is>
      </c>
      <c r="E488" t="inlineStr">
        <is>
          <t>ORSA</t>
        </is>
      </c>
      <c r="G488" t="n">
        <v>0.9</v>
      </c>
      <c r="H488" t="n">
        <v>0</v>
      </c>
      <c r="I488" t="n">
        <v>0</v>
      </c>
      <c r="J488" t="n">
        <v>0</v>
      </c>
      <c r="K488" t="n">
        <v>0</v>
      </c>
      <c r="L488" t="n">
        <v>0</v>
      </c>
      <c r="M488" t="n">
        <v>0</v>
      </c>
      <c r="N488" t="n">
        <v>0</v>
      </c>
      <c r="O488" t="n">
        <v>0</v>
      </c>
      <c r="P488" t="n">
        <v>0</v>
      </c>
      <c r="Q488" t="n">
        <v>0</v>
      </c>
      <c r="R488" s="2" t="inlineStr"/>
    </row>
    <row r="489" ht="15" customHeight="1">
      <c r="A489" t="inlineStr">
        <is>
          <t>A 52925-2024</t>
        </is>
      </c>
      <c r="B489" s="1" t="n">
        <v>45610</v>
      </c>
      <c r="C489" s="1" t="n">
        <v>46191</v>
      </c>
      <c r="D489" t="inlineStr">
        <is>
          <t>DALARNAS LÄN</t>
        </is>
      </c>
      <c r="E489" t="inlineStr">
        <is>
          <t>ORSA</t>
        </is>
      </c>
      <c r="F489" t="inlineStr">
        <is>
          <t>Allmännings- och besparingsskogar</t>
        </is>
      </c>
      <c r="G489" t="n">
        <v>2.5</v>
      </c>
      <c r="H489" t="n">
        <v>0</v>
      </c>
      <c r="I489" t="n">
        <v>0</v>
      </c>
      <c r="J489" t="n">
        <v>0</v>
      </c>
      <c r="K489" t="n">
        <v>0</v>
      </c>
      <c r="L489" t="n">
        <v>0</v>
      </c>
      <c r="M489" t="n">
        <v>0</v>
      </c>
      <c r="N489" t="n">
        <v>0</v>
      </c>
      <c r="O489" t="n">
        <v>0</v>
      </c>
      <c r="P489" t="n">
        <v>0</v>
      </c>
      <c r="Q489" t="n">
        <v>0</v>
      </c>
      <c r="R489" s="2" t="inlineStr"/>
    </row>
    <row r="490" ht="15" customHeight="1">
      <c r="A490" t="inlineStr">
        <is>
          <t>A 5302-2024</t>
        </is>
      </c>
      <c r="B490" s="1" t="n">
        <v>45331</v>
      </c>
      <c r="C490" s="1" t="n">
        <v>46191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6097-2025</t>
        </is>
      </c>
      <c r="B491" s="1" t="n">
        <v>45697</v>
      </c>
      <c r="C491" s="1" t="n">
        <v>46191</v>
      </c>
      <c r="D491" t="inlineStr">
        <is>
          <t>DALARNAS LÄN</t>
        </is>
      </c>
      <c r="E491" t="inlineStr">
        <is>
          <t>ORSA</t>
        </is>
      </c>
      <c r="G491" t="n">
        <v>11.1</v>
      </c>
      <c r="H491" t="n">
        <v>0</v>
      </c>
      <c r="I491" t="n">
        <v>0</v>
      </c>
      <c r="J491" t="n">
        <v>0</v>
      </c>
      <c r="K491" t="n">
        <v>0</v>
      </c>
      <c r="L491" t="n">
        <v>0</v>
      </c>
      <c r="M491" t="n">
        <v>0</v>
      </c>
      <c r="N491" t="n">
        <v>0</v>
      </c>
      <c r="O491" t="n">
        <v>0</v>
      </c>
      <c r="P491" t="n">
        <v>0</v>
      </c>
      <c r="Q491" t="n">
        <v>0</v>
      </c>
      <c r="R491" s="2" t="inlineStr"/>
    </row>
    <row r="492" ht="15" customHeight="1">
      <c r="A492" t="inlineStr">
        <is>
          <t>A 40101-2024</t>
        </is>
      </c>
      <c r="B492" s="1" t="n">
        <v>45554</v>
      </c>
      <c r="C492" s="1" t="n">
        <v>46191</v>
      </c>
      <c r="D492" t="inlineStr">
        <is>
          <t>DALARNAS LÄN</t>
        </is>
      </c>
      <c r="E492" t="inlineStr">
        <is>
          <t>ORSA</t>
        </is>
      </c>
      <c r="G492" t="n">
        <v>1.3</v>
      </c>
      <c r="H492" t="n">
        <v>0</v>
      </c>
      <c r="I492" t="n">
        <v>0</v>
      </c>
      <c r="J492" t="n">
        <v>0</v>
      </c>
      <c r="K492" t="n">
        <v>0</v>
      </c>
      <c r="L492" t="n">
        <v>0</v>
      </c>
      <c r="M492" t="n">
        <v>0</v>
      </c>
      <c r="N492" t="n">
        <v>0</v>
      </c>
      <c r="O492" t="n">
        <v>0</v>
      </c>
      <c r="P492" t="n">
        <v>0</v>
      </c>
      <c r="Q492" t="n">
        <v>0</v>
      </c>
      <c r="R492" s="2" t="inlineStr"/>
    </row>
    <row r="493" ht="15" customHeight="1">
      <c r="A493" t="inlineStr">
        <is>
          <t>A 1785-2024</t>
        </is>
      </c>
      <c r="B493" s="1" t="n">
        <v>45307</v>
      </c>
      <c r="C493" s="1" t="n">
        <v>46191</v>
      </c>
      <c r="D493" t="inlineStr">
        <is>
          <t>DALARNAS LÄN</t>
        </is>
      </c>
      <c r="E493" t="inlineStr">
        <is>
          <t>ORSA</t>
        </is>
      </c>
      <c r="G493" t="n">
        <v>42.8</v>
      </c>
      <c r="H493" t="n">
        <v>0</v>
      </c>
      <c r="I493" t="n">
        <v>0</v>
      </c>
      <c r="J493" t="n">
        <v>0</v>
      </c>
      <c r="K493" t="n">
        <v>0</v>
      </c>
      <c r="L493" t="n">
        <v>0</v>
      </c>
      <c r="M493" t="n">
        <v>0</v>
      </c>
      <c r="N493" t="n">
        <v>0</v>
      </c>
      <c r="O493" t="n">
        <v>0</v>
      </c>
      <c r="P493" t="n">
        <v>0</v>
      </c>
      <c r="Q493" t="n">
        <v>0</v>
      </c>
      <c r="R493" s="2" t="inlineStr"/>
    </row>
    <row r="494" ht="15" customHeight="1">
      <c r="A494" t="inlineStr">
        <is>
          <t>A 53703-2024</t>
        </is>
      </c>
      <c r="B494" s="1" t="n">
        <v>45615</v>
      </c>
      <c r="C494" s="1" t="n">
        <v>46191</v>
      </c>
      <c r="D494" t="inlineStr">
        <is>
          <t>DALARNAS LÄN</t>
        </is>
      </c>
      <c r="E494" t="inlineStr">
        <is>
          <t>ORSA</t>
        </is>
      </c>
      <c r="G494" t="n">
        <v>1.4</v>
      </c>
      <c r="H494" t="n">
        <v>0</v>
      </c>
      <c r="I494" t="n">
        <v>0</v>
      </c>
      <c r="J494" t="n">
        <v>0</v>
      </c>
      <c r="K494" t="n">
        <v>0</v>
      </c>
      <c r="L494" t="n">
        <v>0</v>
      </c>
      <c r="M494" t="n">
        <v>0</v>
      </c>
      <c r="N494" t="n">
        <v>0</v>
      </c>
      <c r="O494" t="n">
        <v>0</v>
      </c>
      <c r="P494" t="n">
        <v>0</v>
      </c>
      <c r="Q494" t="n">
        <v>0</v>
      </c>
      <c r="R494" s="2" t="inlineStr"/>
    </row>
    <row r="495" ht="15" customHeight="1">
      <c r="A495" t="inlineStr">
        <is>
          <t>A 5434-2025</t>
        </is>
      </c>
      <c r="B495" s="1" t="n">
        <v>45692</v>
      </c>
      <c r="C495" s="1" t="n">
        <v>46191</v>
      </c>
      <c r="D495" t="inlineStr">
        <is>
          <t>DALARNAS LÄN</t>
        </is>
      </c>
      <c r="E495" t="inlineStr">
        <is>
          <t>ORSA</t>
        </is>
      </c>
      <c r="G495" t="n">
        <v>6.9</v>
      </c>
      <c r="H495" t="n">
        <v>0</v>
      </c>
      <c r="I495" t="n">
        <v>0</v>
      </c>
      <c r="J495" t="n">
        <v>0</v>
      </c>
      <c r="K495" t="n">
        <v>0</v>
      </c>
      <c r="L495" t="n">
        <v>0</v>
      </c>
      <c r="M495" t="n">
        <v>0</v>
      </c>
      <c r="N495" t="n">
        <v>0</v>
      </c>
      <c r="O495" t="n">
        <v>0</v>
      </c>
      <c r="P495" t="n">
        <v>0</v>
      </c>
      <c r="Q495" t="n">
        <v>0</v>
      </c>
      <c r="R495" s="2" t="inlineStr"/>
    </row>
    <row r="496" ht="15" customHeight="1">
      <c r="A496" t="inlineStr">
        <is>
          <t>A 10048-2023</t>
        </is>
      </c>
      <c r="B496" s="1" t="n">
        <v>44985</v>
      </c>
      <c r="C496" s="1" t="n">
        <v>46191</v>
      </c>
      <c r="D496" t="inlineStr">
        <is>
          <t>DALARNAS LÄN</t>
        </is>
      </c>
      <c r="E496" t="inlineStr">
        <is>
          <t>ORSA</t>
        </is>
      </c>
      <c r="G496" t="n">
        <v>4.8</v>
      </c>
      <c r="H496" t="n">
        <v>0</v>
      </c>
      <c r="I496" t="n">
        <v>0</v>
      </c>
      <c r="J496" t="n">
        <v>0</v>
      </c>
      <c r="K496" t="n">
        <v>0</v>
      </c>
      <c r="L496" t="n">
        <v>0</v>
      </c>
      <c r="M496" t="n">
        <v>0</v>
      </c>
      <c r="N496" t="n">
        <v>0</v>
      </c>
      <c r="O496" t="n">
        <v>0</v>
      </c>
      <c r="P496" t="n">
        <v>0</v>
      </c>
      <c r="Q496" t="n">
        <v>0</v>
      </c>
      <c r="R496" s="2" t="inlineStr"/>
    </row>
    <row r="497" ht="15" customHeight="1">
      <c r="A497" t="inlineStr">
        <is>
          <t>A 31031-2023</t>
        </is>
      </c>
      <c r="B497" s="1" t="n">
        <v>45113</v>
      </c>
      <c r="C497" s="1" t="n">
        <v>46191</v>
      </c>
      <c r="D497" t="inlineStr">
        <is>
          <t>DALARNAS LÄN</t>
        </is>
      </c>
      <c r="E497" t="inlineStr">
        <is>
          <t>ORSA</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24969-2025</t>
        </is>
      </c>
      <c r="B498" s="1" t="n">
        <v>45799</v>
      </c>
      <c r="C498" s="1" t="n">
        <v>46191</v>
      </c>
      <c r="D498" t="inlineStr">
        <is>
          <t>DALARNAS LÄN</t>
        </is>
      </c>
      <c r="E498" t="inlineStr">
        <is>
          <t>ORSA</t>
        </is>
      </c>
      <c r="F498" t="inlineStr">
        <is>
          <t>Allmännings- och besparingsskogar</t>
        </is>
      </c>
      <c r="G498" t="n">
        <v>2.6</v>
      </c>
      <c r="H498" t="n">
        <v>0</v>
      </c>
      <c r="I498" t="n">
        <v>0</v>
      </c>
      <c r="J498" t="n">
        <v>0</v>
      </c>
      <c r="K498" t="n">
        <v>0</v>
      </c>
      <c r="L498" t="n">
        <v>0</v>
      </c>
      <c r="M498" t="n">
        <v>0</v>
      </c>
      <c r="N498" t="n">
        <v>0</v>
      </c>
      <c r="O498" t="n">
        <v>0</v>
      </c>
      <c r="P498" t="n">
        <v>0</v>
      </c>
      <c r="Q498" t="n">
        <v>0</v>
      </c>
      <c r="R498" s="2" t="inlineStr"/>
    </row>
    <row r="499" ht="15" customHeight="1">
      <c r="A499" t="inlineStr">
        <is>
          <t>A 28388-2024</t>
        </is>
      </c>
      <c r="B499" s="1" t="n">
        <v>45477</v>
      </c>
      <c r="C499" s="1" t="n">
        <v>46191</v>
      </c>
      <c r="D499" t="inlineStr">
        <is>
          <t>DALARNAS LÄN</t>
        </is>
      </c>
      <c r="E499" t="inlineStr">
        <is>
          <t>ORSA</t>
        </is>
      </c>
      <c r="F499" t="inlineStr">
        <is>
          <t>Bergvik skog öst AB</t>
        </is>
      </c>
      <c r="G499" t="n">
        <v>3.8</v>
      </c>
      <c r="H499" t="n">
        <v>0</v>
      </c>
      <c r="I499" t="n">
        <v>0</v>
      </c>
      <c r="J499" t="n">
        <v>0</v>
      </c>
      <c r="K499" t="n">
        <v>0</v>
      </c>
      <c r="L499" t="n">
        <v>0</v>
      </c>
      <c r="M499" t="n">
        <v>0</v>
      </c>
      <c r="N499" t="n">
        <v>0</v>
      </c>
      <c r="O499" t="n">
        <v>0</v>
      </c>
      <c r="P499" t="n">
        <v>0</v>
      </c>
      <c r="Q499" t="n">
        <v>0</v>
      </c>
      <c r="R499" s="2" t="inlineStr"/>
    </row>
    <row r="500" ht="15" customHeight="1">
      <c r="A500" t="inlineStr">
        <is>
          <t>A 25211-2025</t>
        </is>
      </c>
      <c r="B500" s="1" t="n">
        <v>45800</v>
      </c>
      <c r="C500" s="1" t="n">
        <v>46191</v>
      </c>
      <c r="D500" t="inlineStr">
        <is>
          <t>DALARNAS LÄN</t>
        </is>
      </c>
      <c r="E500" t="inlineStr">
        <is>
          <t>ORSA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18817-2023</t>
        </is>
      </c>
      <c r="B501" s="1" t="n">
        <v>45043</v>
      </c>
      <c r="C501" s="1" t="n">
        <v>46191</v>
      </c>
      <c r="D501" t="inlineStr">
        <is>
          <t>DALARNAS LÄN</t>
        </is>
      </c>
      <c r="E501" t="inlineStr">
        <is>
          <t>ORSA</t>
        </is>
      </c>
      <c r="G501" t="n">
        <v>4.4</v>
      </c>
      <c r="H501" t="n">
        <v>0</v>
      </c>
      <c r="I501" t="n">
        <v>0</v>
      </c>
      <c r="J501" t="n">
        <v>0</v>
      </c>
      <c r="K501" t="n">
        <v>0</v>
      </c>
      <c r="L501" t="n">
        <v>0</v>
      </c>
      <c r="M501" t="n">
        <v>0</v>
      </c>
      <c r="N501" t="n">
        <v>0</v>
      </c>
      <c r="O501" t="n">
        <v>0</v>
      </c>
      <c r="P501" t="n">
        <v>0</v>
      </c>
      <c r="Q501" t="n">
        <v>0</v>
      </c>
      <c r="R501" s="2" t="inlineStr"/>
    </row>
    <row r="502" ht="15" customHeight="1">
      <c r="A502" t="inlineStr">
        <is>
          <t>A 34708-2021</t>
        </is>
      </c>
      <c r="B502" s="1" t="n">
        <v>44382</v>
      </c>
      <c r="C502" s="1" t="n">
        <v>46191</v>
      </c>
      <c r="D502" t="inlineStr">
        <is>
          <t>DALARNAS LÄN</t>
        </is>
      </c>
      <c r="E502" t="inlineStr">
        <is>
          <t>ORSA</t>
        </is>
      </c>
      <c r="G502" t="n">
        <v>4.3</v>
      </c>
      <c r="H502" t="n">
        <v>0</v>
      </c>
      <c r="I502" t="n">
        <v>0</v>
      </c>
      <c r="J502" t="n">
        <v>0</v>
      </c>
      <c r="K502" t="n">
        <v>0</v>
      </c>
      <c r="L502" t="n">
        <v>0</v>
      </c>
      <c r="M502" t="n">
        <v>0</v>
      </c>
      <c r="N502" t="n">
        <v>0</v>
      </c>
      <c r="O502" t="n">
        <v>0</v>
      </c>
      <c r="P502" t="n">
        <v>0</v>
      </c>
      <c r="Q502" t="n">
        <v>0</v>
      </c>
      <c r="R502" s="2" t="inlineStr"/>
    </row>
    <row r="503" ht="15" customHeight="1">
      <c r="A503" t="inlineStr">
        <is>
          <t>A 37830-2024</t>
        </is>
      </c>
      <c r="B503" s="1" t="n">
        <v>45544</v>
      </c>
      <c r="C503" s="1" t="n">
        <v>46191</v>
      </c>
      <c r="D503" t="inlineStr">
        <is>
          <t>DALARNAS LÄN</t>
        </is>
      </c>
      <c r="E503" t="inlineStr">
        <is>
          <t>ORSA</t>
        </is>
      </c>
      <c r="G503" t="n">
        <v>0.8</v>
      </c>
      <c r="H503" t="n">
        <v>0</v>
      </c>
      <c r="I503" t="n">
        <v>0</v>
      </c>
      <c r="J503" t="n">
        <v>0</v>
      </c>
      <c r="K503" t="n">
        <v>0</v>
      </c>
      <c r="L503" t="n">
        <v>0</v>
      </c>
      <c r="M503" t="n">
        <v>0</v>
      </c>
      <c r="N503" t="n">
        <v>0</v>
      </c>
      <c r="O503" t="n">
        <v>0</v>
      </c>
      <c r="P503" t="n">
        <v>0</v>
      </c>
      <c r="Q503" t="n">
        <v>0</v>
      </c>
      <c r="R503" s="2" t="inlineStr"/>
    </row>
    <row r="504" ht="15" customHeight="1">
      <c r="A504" t="inlineStr">
        <is>
          <t>A 45272-2022</t>
        </is>
      </c>
      <c r="B504" s="1" t="n">
        <v>44844</v>
      </c>
      <c r="C504" s="1" t="n">
        <v>46191</v>
      </c>
      <c r="D504" t="inlineStr">
        <is>
          <t>DALARNAS LÄN</t>
        </is>
      </c>
      <c r="E504" t="inlineStr">
        <is>
          <t>ORSA</t>
        </is>
      </c>
      <c r="G504" t="n">
        <v>0.3</v>
      </c>
      <c r="H504" t="n">
        <v>0</v>
      </c>
      <c r="I504" t="n">
        <v>0</v>
      </c>
      <c r="J504" t="n">
        <v>0</v>
      </c>
      <c r="K504" t="n">
        <v>0</v>
      </c>
      <c r="L504" t="n">
        <v>0</v>
      </c>
      <c r="M504" t="n">
        <v>0</v>
      </c>
      <c r="N504" t="n">
        <v>0</v>
      </c>
      <c r="O504" t="n">
        <v>0</v>
      </c>
      <c r="P504" t="n">
        <v>0</v>
      </c>
      <c r="Q504" t="n">
        <v>0</v>
      </c>
      <c r="R504" s="2" t="inlineStr"/>
    </row>
    <row r="505" ht="15" customHeight="1">
      <c r="A505" t="inlineStr">
        <is>
          <t>A 4202-2025</t>
        </is>
      </c>
      <c r="B505" s="1" t="n">
        <v>45685</v>
      </c>
      <c r="C505" s="1" t="n">
        <v>46191</v>
      </c>
      <c r="D505" t="inlineStr">
        <is>
          <t>DALARNAS LÄN</t>
        </is>
      </c>
      <c r="E505" t="inlineStr">
        <is>
          <t>ORSA</t>
        </is>
      </c>
      <c r="G505" t="n">
        <v>0.9</v>
      </c>
      <c r="H505" t="n">
        <v>0</v>
      </c>
      <c r="I505" t="n">
        <v>0</v>
      </c>
      <c r="J505" t="n">
        <v>0</v>
      </c>
      <c r="K505" t="n">
        <v>0</v>
      </c>
      <c r="L505" t="n">
        <v>0</v>
      </c>
      <c r="M505" t="n">
        <v>0</v>
      </c>
      <c r="N505" t="n">
        <v>0</v>
      </c>
      <c r="O505" t="n">
        <v>0</v>
      </c>
      <c r="P505" t="n">
        <v>0</v>
      </c>
      <c r="Q505" t="n">
        <v>0</v>
      </c>
      <c r="R505" s="2" t="inlineStr"/>
    </row>
    <row r="506" ht="15" customHeight="1">
      <c r="A506" t="inlineStr">
        <is>
          <t>A 4204-2025</t>
        </is>
      </c>
      <c r="B506" s="1" t="n">
        <v>45685</v>
      </c>
      <c r="C506" s="1" t="n">
        <v>46191</v>
      </c>
      <c r="D506" t="inlineStr">
        <is>
          <t>DALARNAS LÄN</t>
        </is>
      </c>
      <c r="E506" t="inlineStr">
        <is>
          <t>ORSA</t>
        </is>
      </c>
      <c r="G506" t="n">
        <v>1.8</v>
      </c>
      <c r="H506" t="n">
        <v>0</v>
      </c>
      <c r="I506" t="n">
        <v>0</v>
      </c>
      <c r="J506" t="n">
        <v>0</v>
      </c>
      <c r="K506" t="n">
        <v>0</v>
      </c>
      <c r="L506" t="n">
        <v>0</v>
      </c>
      <c r="M506" t="n">
        <v>0</v>
      </c>
      <c r="N506" t="n">
        <v>0</v>
      </c>
      <c r="O506" t="n">
        <v>0</v>
      </c>
      <c r="P506" t="n">
        <v>0</v>
      </c>
      <c r="Q506" t="n">
        <v>0</v>
      </c>
      <c r="R506" s="2" t="inlineStr"/>
    </row>
    <row r="507" ht="15" customHeight="1">
      <c r="A507" t="inlineStr">
        <is>
          <t>A 7628-2025</t>
        </is>
      </c>
      <c r="B507" s="1" t="n">
        <v>45705</v>
      </c>
      <c r="C507" s="1" t="n">
        <v>46191</v>
      </c>
      <c r="D507" t="inlineStr">
        <is>
          <t>DALARNAS LÄN</t>
        </is>
      </c>
      <c r="E507" t="inlineStr">
        <is>
          <t>ORSA</t>
        </is>
      </c>
      <c r="G507" t="n">
        <v>1.8</v>
      </c>
      <c r="H507" t="n">
        <v>0</v>
      </c>
      <c r="I507" t="n">
        <v>0</v>
      </c>
      <c r="J507" t="n">
        <v>0</v>
      </c>
      <c r="K507" t="n">
        <v>0</v>
      </c>
      <c r="L507" t="n">
        <v>0</v>
      </c>
      <c r="M507" t="n">
        <v>0</v>
      </c>
      <c r="N507" t="n">
        <v>0</v>
      </c>
      <c r="O507" t="n">
        <v>0</v>
      </c>
      <c r="P507" t="n">
        <v>0</v>
      </c>
      <c r="Q507" t="n">
        <v>0</v>
      </c>
      <c r="R507" s="2" t="inlineStr"/>
    </row>
    <row r="508" ht="15" customHeight="1">
      <c r="A508" t="inlineStr">
        <is>
          <t>A 26301-2023</t>
        </is>
      </c>
      <c r="B508" s="1" t="n">
        <v>45091</v>
      </c>
      <c r="C508" s="1" t="n">
        <v>46191</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33265-2021</t>
        </is>
      </c>
      <c r="B509" s="1" t="n">
        <v>44377</v>
      </c>
      <c r="C509" s="1" t="n">
        <v>46191</v>
      </c>
      <c r="D509" t="inlineStr">
        <is>
          <t>DALARNAS LÄN</t>
        </is>
      </c>
      <c r="E509" t="inlineStr">
        <is>
          <t>ORSA</t>
        </is>
      </c>
      <c r="G509" t="n">
        <v>1.9</v>
      </c>
      <c r="H509" t="n">
        <v>0</v>
      </c>
      <c r="I509" t="n">
        <v>0</v>
      </c>
      <c r="J509" t="n">
        <v>0</v>
      </c>
      <c r="K509" t="n">
        <v>0</v>
      </c>
      <c r="L509" t="n">
        <v>0</v>
      </c>
      <c r="M509" t="n">
        <v>0</v>
      </c>
      <c r="N509" t="n">
        <v>0</v>
      </c>
      <c r="O509" t="n">
        <v>0</v>
      </c>
      <c r="P509" t="n">
        <v>0</v>
      </c>
      <c r="Q509" t="n">
        <v>0</v>
      </c>
      <c r="R509" s="2" t="inlineStr"/>
    </row>
    <row r="510" ht="15" customHeight="1">
      <c r="A510" t="inlineStr">
        <is>
          <t>A 20302-2023</t>
        </is>
      </c>
      <c r="B510" s="1" t="n">
        <v>45056</v>
      </c>
      <c r="C510" s="1" t="n">
        <v>46191</v>
      </c>
      <c r="D510" t="inlineStr">
        <is>
          <t>DALARNAS LÄN</t>
        </is>
      </c>
      <c r="E510" t="inlineStr">
        <is>
          <t>ORSA</t>
        </is>
      </c>
      <c r="G510" t="n">
        <v>2.1</v>
      </c>
      <c r="H510" t="n">
        <v>0</v>
      </c>
      <c r="I510" t="n">
        <v>0</v>
      </c>
      <c r="J510" t="n">
        <v>0</v>
      </c>
      <c r="K510" t="n">
        <v>0</v>
      </c>
      <c r="L510" t="n">
        <v>0</v>
      </c>
      <c r="M510" t="n">
        <v>0</v>
      </c>
      <c r="N510" t="n">
        <v>0</v>
      </c>
      <c r="O510" t="n">
        <v>0</v>
      </c>
      <c r="P510" t="n">
        <v>0</v>
      </c>
      <c r="Q510" t="n">
        <v>0</v>
      </c>
      <c r="R510" s="2" t="inlineStr"/>
    </row>
    <row r="511" ht="15" customHeight="1">
      <c r="A511" t="inlineStr">
        <is>
          <t>A 26741-2025</t>
        </is>
      </c>
      <c r="B511" s="1" t="n">
        <v>45810</v>
      </c>
      <c r="C511" s="1" t="n">
        <v>46191</v>
      </c>
      <c r="D511" t="inlineStr">
        <is>
          <t>DALARNAS LÄN</t>
        </is>
      </c>
      <c r="E511" t="inlineStr">
        <is>
          <t>ORSA</t>
        </is>
      </c>
      <c r="G511" t="n">
        <v>0.7</v>
      </c>
      <c r="H511" t="n">
        <v>0</v>
      </c>
      <c r="I511" t="n">
        <v>0</v>
      </c>
      <c r="J511" t="n">
        <v>0</v>
      </c>
      <c r="K511" t="n">
        <v>0</v>
      </c>
      <c r="L511" t="n">
        <v>0</v>
      </c>
      <c r="M511" t="n">
        <v>0</v>
      </c>
      <c r="N511" t="n">
        <v>0</v>
      </c>
      <c r="O511" t="n">
        <v>0</v>
      </c>
      <c r="P511" t="n">
        <v>0</v>
      </c>
      <c r="Q511" t="n">
        <v>0</v>
      </c>
      <c r="R511" s="2" t="inlineStr"/>
    </row>
    <row r="512" ht="15" customHeight="1">
      <c r="A512" t="inlineStr">
        <is>
          <t>A 49781-2023</t>
        </is>
      </c>
      <c r="B512" s="1" t="n">
        <v>45212</v>
      </c>
      <c r="C512" s="1" t="n">
        <v>46191</v>
      </c>
      <c r="D512" t="inlineStr">
        <is>
          <t>DALARNAS LÄN</t>
        </is>
      </c>
      <c r="E512" t="inlineStr">
        <is>
          <t>ORSA</t>
        </is>
      </c>
      <c r="G512" t="n">
        <v>0.9</v>
      </c>
      <c r="H512" t="n">
        <v>0</v>
      </c>
      <c r="I512" t="n">
        <v>0</v>
      </c>
      <c r="J512" t="n">
        <v>0</v>
      </c>
      <c r="K512" t="n">
        <v>0</v>
      </c>
      <c r="L512" t="n">
        <v>0</v>
      </c>
      <c r="M512" t="n">
        <v>0</v>
      </c>
      <c r="N512" t="n">
        <v>0</v>
      </c>
      <c r="O512" t="n">
        <v>0</v>
      </c>
      <c r="P512" t="n">
        <v>0</v>
      </c>
      <c r="Q512" t="n">
        <v>0</v>
      </c>
      <c r="R512" s="2" t="inlineStr"/>
    </row>
    <row r="513" ht="15" customHeight="1">
      <c r="A513" t="inlineStr">
        <is>
          <t>A 49814-2023</t>
        </is>
      </c>
      <c r="B513" s="1" t="n">
        <v>45212</v>
      </c>
      <c r="C513" s="1" t="n">
        <v>46191</v>
      </c>
      <c r="D513" t="inlineStr">
        <is>
          <t>DALARNAS LÄN</t>
        </is>
      </c>
      <c r="E513" t="inlineStr">
        <is>
          <t>ORSA</t>
        </is>
      </c>
      <c r="G513" t="n">
        <v>0.7</v>
      </c>
      <c r="H513" t="n">
        <v>0</v>
      </c>
      <c r="I513" t="n">
        <v>0</v>
      </c>
      <c r="J513" t="n">
        <v>0</v>
      </c>
      <c r="K513" t="n">
        <v>0</v>
      </c>
      <c r="L513" t="n">
        <v>0</v>
      </c>
      <c r="M513" t="n">
        <v>0</v>
      </c>
      <c r="N513" t="n">
        <v>0</v>
      </c>
      <c r="O513" t="n">
        <v>0</v>
      </c>
      <c r="P513" t="n">
        <v>0</v>
      </c>
      <c r="Q513" t="n">
        <v>0</v>
      </c>
      <c r="R513" s="2" t="inlineStr"/>
    </row>
    <row r="514" ht="15" customHeight="1">
      <c r="A514" t="inlineStr">
        <is>
          <t>A 6490-2025</t>
        </is>
      </c>
      <c r="B514" s="1" t="n">
        <v>45699</v>
      </c>
      <c r="C514" s="1" t="n">
        <v>46191</v>
      </c>
      <c r="D514" t="inlineStr">
        <is>
          <t>DALARNAS LÄN</t>
        </is>
      </c>
      <c r="E514" t="inlineStr">
        <is>
          <t>ORSA</t>
        </is>
      </c>
      <c r="G514" t="n">
        <v>7.5</v>
      </c>
      <c r="H514" t="n">
        <v>0</v>
      </c>
      <c r="I514" t="n">
        <v>0</v>
      </c>
      <c r="J514" t="n">
        <v>0</v>
      </c>
      <c r="K514" t="n">
        <v>0</v>
      </c>
      <c r="L514" t="n">
        <v>0</v>
      </c>
      <c r="M514" t="n">
        <v>0</v>
      </c>
      <c r="N514" t="n">
        <v>0</v>
      </c>
      <c r="O514" t="n">
        <v>0</v>
      </c>
      <c r="P514" t="n">
        <v>0</v>
      </c>
      <c r="Q514" t="n">
        <v>0</v>
      </c>
      <c r="R514" s="2" t="inlineStr"/>
    </row>
    <row r="515" ht="15" customHeight="1">
      <c r="A515" t="inlineStr">
        <is>
          <t>A 27313-2025</t>
        </is>
      </c>
      <c r="B515" s="1" t="n">
        <v>45812</v>
      </c>
      <c r="C515" s="1" t="n">
        <v>46191</v>
      </c>
      <c r="D515" t="inlineStr">
        <is>
          <t>DALARNAS LÄN</t>
        </is>
      </c>
      <c r="E515" t="inlineStr">
        <is>
          <t>ORSA</t>
        </is>
      </c>
      <c r="F515" t="inlineStr">
        <is>
          <t>Allmännings- och besparingsskogar</t>
        </is>
      </c>
      <c r="G515" t="n">
        <v>1.4</v>
      </c>
      <c r="H515" t="n">
        <v>0</v>
      </c>
      <c r="I515" t="n">
        <v>0</v>
      </c>
      <c r="J515" t="n">
        <v>0</v>
      </c>
      <c r="K515" t="n">
        <v>0</v>
      </c>
      <c r="L515" t="n">
        <v>0</v>
      </c>
      <c r="M515" t="n">
        <v>0</v>
      </c>
      <c r="N515" t="n">
        <v>0</v>
      </c>
      <c r="O515" t="n">
        <v>0</v>
      </c>
      <c r="P515" t="n">
        <v>0</v>
      </c>
      <c r="Q515" t="n">
        <v>0</v>
      </c>
      <c r="R515" s="2" t="inlineStr"/>
    </row>
    <row r="516" ht="15" customHeight="1">
      <c r="A516" t="inlineStr">
        <is>
          <t>A 27987-2025</t>
        </is>
      </c>
      <c r="B516" s="1" t="n">
        <v>45817</v>
      </c>
      <c r="C516" s="1" t="n">
        <v>46191</v>
      </c>
      <c r="D516" t="inlineStr">
        <is>
          <t>DALARNAS LÄN</t>
        </is>
      </c>
      <c r="E516" t="inlineStr">
        <is>
          <t>ORSA</t>
        </is>
      </c>
      <c r="F516" t="inlineStr">
        <is>
          <t>Allmännings- och besparingsskogar</t>
        </is>
      </c>
      <c r="G516" t="n">
        <v>2.5</v>
      </c>
      <c r="H516" t="n">
        <v>0</v>
      </c>
      <c r="I516" t="n">
        <v>0</v>
      </c>
      <c r="J516" t="n">
        <v>0</v>
      </c>
      <c r="K516" t="n">
        <v>0</v>
      </c>
      <c r="L516" t="n">
        <v>0</v>
      </c>
      <c r="M516" t="n">
        <v>0</v>
      </c>
      <c r="N516" t="n">
        <v>0</v>
      </c>
      <c r="O516" t="n">
        <v>0</v>
      </c>
      <c r="P516" t="n">
        <v>0</v>
      </c>
      <c r="Q516" t="n">
        <v>0</v>
      </c>
      <c r="R516" s="2" t="inlineStr"/>
    </row>
    <row r="517" ht="15" customHeight="1">
      <c r="A517" t="inlineStr">
        <is>
          <t>A 27885-2025</t>
        </is>
      </c>
      <c r="B517" s="1" t="n">
        <v>45817</v>
      </c>
      <c r="C517" s="1" t="n">
        <v>46191</v>
      </c>
      <c r="D517" t="inlineStr">
        <is>
          <t>DALARNAS LÄN</t>
        </is>
      </c>
      <c r="E517" t="inlineStr">
        <is>
          <t>ORSA</t>
        </is>
      </c>
      <c r="F517" t="inlineStr">
        <is>
          <t>Allmännings- och besparingsskogar</t>
        </is>
      </c>
      <c r="G517" t="n">
        <v>3.4</v>
      </c>
      <c r="H517" t="n">
        <v>0</v>
      </c>
      <c r="I517" t="n">
        <v>0</v>
      </c>
      <c r="J517" t="n">
        <v>0</v>
      </c>
      <c r="K517" t="n">
        <v>0</v>
      </c>
      <c r="L517" t="n">
        <v>0</v>
      </c>
      <c r="M517" t="n">
        <v>0</v>
      </c>
      <c r="N517" t="n">
        <v>0</v>
      </c>
      <c r="O517" t="n">
        <v>0</v>
      </c>
      <c r="P517" t="n">
        <v>0</v>
      </c>
      <c r="Q517" t="n">
        <v>0</v>
      </c>
      <c r="R517" s="2" t="inlineStr"/>
    </row>
    <row r="518" ht="15" customHeight="1">
      <c r="A518" t="inlineStr">
        <is>
          <t>A 47732-2021</t>
        </is>
      </c>
      <c r="B518" s="1" t="n">
        <v>44448</v>
      </c>
      <c r="C518" s="1" t="n">
        <v>46191</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60189-2022</t>
        </is>
      </c>
      <c r="B519" s="1" t="n">
        <v>44910</v>
      </c>
      <c r="C519" s="1" t="n">
        <v>46191</v>
      </c>
      <c r="D519" t="inlineStr">
        <is>
          <t>DALARNAS LÄN</t>
        </is>
      </c>
      <c r="E519" t="inlineStr">
        <is>
          <t>ORSA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46191</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29933-2025</t>
        </is>
      </c>
      <c r="B521" s="1" t="n">
        <v>45826</v>
      </c>
      <c r="C521" s="1" t="n">
        <v>46191</v>
      </c>
      <c r="D521" t="inlineStr">
        <is>
          <t>DALARNAS LÄN</t>
        </is>
      </c>
      <c r="E521" t="inlineStr">
        <is>
          <t>ORSA</t>
        </is>
      </c>
      <c r="G521" t="n">
        <v>1.8</v>
      </c>
      <c r="H521" t="n">
        <v>0</v>
      </c>
      <c r="I521" t="n">
        <v>0</v>
      </c>
      <c r="J521" t="n">
        <v>0</v>
      </c>
      <c r="K521" t="n">
        <v>0</v>
      </c>
      <c r="L521" t="n">
        <v>0</v>
      </c>
      <c r="M521" t="n">
        <v>0</v>
      </c>
      <c r="N521" t="n">
        <v>0</v>
      </c>
      <c r="O521" t="n">
        <v>0</v>
      </c>
      <c r="P521" t="n">
        <v>0</v>
      </c>
      <c r="Q521" t="n">
        <v>0</v>
      </c>
      <c r="R521" s="2" t="inlineStr"/>
    </row>
    <row r="522" ht="15" customHeight="1">
      <c r="A522" t="inlineStr">
        <is>
          <t>A 13575-2025</t>
        </is>
      </c>
      <c r="B522" s="1" t="n">
        <v>45736</v>
      </c>
      <c r="C522" s="1" t="n">
        <v>46191</v>
      </c>
      <c r="D522" t="inlineStr">
        <is>
          <t>DALARNAS LÄN</t>
        </is>
      </c>
      <c r="E522" t="inlineStr">
        <is>
          <t>ORSA</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30382-2023</t>
        </is>
      </c>
      <c r="B523" s="1" t="n">
        <v>45111</v>
      </c>
      <c r="C523" s="1" t="n">
        <v>46191</v>
      </c>
      <c r="D523" t="inlineStr">
        <is>
          <t>DALARNAS LÄN</t>
        </is>
      </c>
      <c r="E523" t="inlineStr">
        <is>
          <t>ORSA</t>
        </is>
      </c>
      <c r="F523" t="inlineStr">
        <is>
          <t>Bergvik skog öst AB</t>
        </is>
      </c>
      <c r="G523" t="n">
        <v>1.4</v>
      </c>
      <c r="H523" t="n">
        <v>0</v>
      </c>
      <c r="I523" t="n">
        <v>0</v>
      </c>
      <c r="J523" t="n">
        <v>0</v>
      </c>
      <c r="K523" t="n">
        <v>0</v>
      </c>
      <c r="L523" t="n">
        <v>0</v>
      </c>
      <c r="M523" t="n">
        <v>0</v>
      </c>
      <c r="N523" t="n">
        <v>0</v>
      </c>
      <c r="O523" t="n">
        <v>0</v>
      </c>
      <c r="P523" t="n">
        <v>0</v>
      </c>
      <c r="Q523" t="n">
        <v>0</v>
      </c>
      <c r="R523" s="2" t="inlineStr"/>
    </row>
    <row r="524" ht="15" customHeight="1">
      <c r="A524" t="inlineStr">
        <is>
          <t>A 17503-2025</t>
        </is>
      </c>
      <c r="B524" s="1" t="n">
        <v>45757</v>
      </c>
      <c r="C524" s="1" t="n">
        <v>46191</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60803-2022</t>
        </is>
      </c>
      <c r="B525" s="1" t="n">
        <v>44914</v>
      </c>
      <c r="C525" s="1" t="n">
        <v>46191</v>
      </c>
      <c r="D525" t="inlineStr">
        <is>
          <t>DALARNAS LÄN</t>
        </is>
      </c>
      <c r="E525" t="inlineStr">
        <is>
          <t>ORSA</t>
        </is>
      </c>
      <c r="G525" t="n">
        <v>1.2</v>
      </c>
      <c r="H525" t="n">
        <v>0</v>
      </c>
      <c r="I525" t="n">
        <v>0</v>
      </c>
      <c r="J525" t="n">
        <v>0</v>
      </c>
      <c r="K525" t="n">
        <v>0</v>
      </c>
      <c r="L525" t="n">
        <v>0</v>
      </c>
      <c r="M525" t="n">
        <v>0</v>
      </c>
      <c r="N525" t="n">
        <v>0</v>
      </c>
      <c r="O525" t="n">
        <v>0</v>
      </c>
      <c r="P525" t="n">
        <v>0</v>
      </c>
      <c r="Q525" t="n">
        <v>0</v>
      </c>
      <c r="R525" s="2" t="inlineStr"/>
    </row>
    <row r="526" ht="15" customHeight="1">
      <c r="A526" t="inlineStr">
        <is>
          <t>A 51915-2022</t>
        </is>
      </c>
      <c r="B526" s="1" t="n">
        <v>44872</v>
      </c>
      <c r="C526" s="1" t="n">
        <v>46191</v>
      </c>
      <c r="D526" t="inlineStr">
        <is>
          <t>DALARNAS LÄN</t>
        </is>
      </c>
      <c r="E526" t="inlineStr">
        <is>
          <t>ORSA</t>
        </is>
      </c>
      <c r="G526" t="n">
        <v>0.7</v>
      </c>
      <c r="H526" t="n">
        <v>0</v>
      </c>
      <c r="I526" t="n">
        <v>0</v>
      </c>
      <c r="J526" t="n">
        <v>0</v>
      </c>
      <c r="K526" t="n">
        <v>0</v>
      </c>
      <c r="L526" t="n">
        <v>0</v>
      </c>
      <c r="M526" t="n">
        <v>0</v>
      </c>
      <c r="N526" t="n">
        <v>0</v>
      </c>
      <c r="O526" t="n">
        <v>0</v>
      </c>
      <c r="P526" t="n">
        <v>0</v>
      </c>
      <c r="Q526" t="n">
        <v>0</v>
      </c>
      <c r="R526" s="2" t="inlineStr"/>
    </row>
    <row r="527" ht="15" customHeight="1">
      <c r="A527" t="inlineStr">
        <is>
          <t>A 31659-2025</t>
        </is>
      </c>
      <c r="B527" s="1" t="n">
        <v>45834</v>
      </c>
      <c r="C527" s="1" t="n">
        <v>46191</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34125-2023</t>
        </is>
      </c>
      <c r="B528" s="1" t="n">
        <v>45135</v>
      </c>
      <c r="C528" s="1" t="n">
        <v>46191</v>
      </c>
      <c r="D528" t="inlineStr">
        <is>
          <t>DALARNAS LÄN</t>
        </is>
      </c>
      <c r="E528" t="inlineStr">
        <is>
          <t>ORSA</t>
        </is>
      </c>
      <c r="G528" t="n">
        <v>2.7</v>
      </c>
      <c r="H528" t="n">
        <v>0</v>
      </c>
      <c r="I528" t="n">
        <v>0</v>
      </c>
      <c r="J528" t="n">
        <v>0</v>
      </c>
      <c r="K528" t="n">
        <v>0</v>
      </c>
      <c r="L528" t="n">
        <v>0</v>
      </c>
      <c r="M528" t="n">
        <v>0</v>
      </c>
      <c r="N528" t="n">
        <v>0</v>
      </c>
      <c r="O528" t="n">
        <v>0</v>
      </c>
      <c r="P528" t="n">
        <v>0</v>
      </c>
      <c r="Q528" t="n">
        <v>0</v>
      </c>
      <c r="R528" s="2" t="inlineStr"/>
    </row>
    <row r="529" ht="15" customHeight="1">
      <c r="A529" t="inlineStr">
        <is>
          <t>A 32325-2025</t>
        </is>
      </c>
      <c r="B529" s="1" t="n">
        <v>45836</v>
      </c>
      <c r="C529" s="1" t="n">
        <v>46191</v>
      </c>
      <c r="D529" t="inlineStr">
        <is>
          <t>DALARNAS LÄN</t>
        </is>
      </c>
      <c r="E529" t="inlineStr">
        <is>
          <t>ORSA</t>
        </is>
      </c>
      <c r="G529" t="n">
        <v>3.8</v>
      </c>
      <c r="H529" t="n">
        <v>0</v>
      </c>
      <c r="I529" t="n">
        <v>0</v>
      </c>
      <c r="J529" t="n">
        <v>0</v>
      </c>
      <c r="K529" t="n">
        <v>0</v>
      </c>
      <c r="L529" t="n">
        <v>0</v>
      </c>
      <c r="M529" t="n">
        <v>0</v>
      </c>
      <c r="N529" t="n">
        <v>0</v>
      </c>
      <c r="O529" t="n">
        <v>0</v>
      </c>
      <c r="P529" t="n">
        <v>0</v>
      </c>
      <c r="Q529" t="n">
        <v>0</v>
      </c>
      <c r="R529" s="2" t="inlineStr"/>
    </row>
    <row r="530" ht="15" customHeight="1">
      <c r="A530" t="inlineStr">
        <is>
          <t>A 29485-2022</t>
        </is>
      </c>
      <c r="B530" s="1" t="n">
        <v>44753</v>
      </c>
      <c r="C530" s="1" t="n">
        <v>46191</v>
      </c>
      <c r="D530" t="inlineStr">
        <is>
          <t>DALARNAS LÄN</t>
        </is>
      </c>
      <c r="E530" t="inlineStr">
        <is>
          <t>ORSA</t>
        </is>
      </c>
      <c r="G530" t="n">
        <v>1.2</v>
      </c>
      <c r="H530" t="n">
        <v>0</v>
      </c>
      <c r="I530" t="n">
        <v>0</v>
      </c>
      <c r="J530" t="n">
        <v>0</v>
      </c>
      <c r="K530" t="n">
        <v>0</v>
      </c>
      <c r="L530" t="n">
        <v>0</v>
      </c>
      <c r="M530" t="n">
        <v>0</v>
      </c>
      <c r="N530" t="n">
        <v>0</v>
      </c>
      <c r="O530" t="n">
        <v>0</v>
      </c>
      <c r="P530" t="n">
        <v>0</v>
      </c>
      <c r="Q530" t="n">
        <v>0</v>
      </c>
      <c r="R530" s="2" t="inlineStr"/>
    </row>
    <row r="531" ht="15" customHeight="1">
      <c r="A531" t="inlineStr">
        <is>
          <t>A 13236-2022</t>
        </is>
      </c>
      <c r="B531" s="1" t="n">
        <v>44644</v>
      </c>
      <c r="C531" s="1" t="n">
        <v>46191</v>
      </c>
      <c r="D531" t="inlineStr">
        <is>
          <t>DALARNAS LÄN</t>
        </is>
      </c>
      <c r="E531" t="inlineStr">
        <is>
          <t>ORSA</t>
        </is>
      </c>
      <c r="G531" t="n">
        <v>0.5</v>
      </c>
      <c r="H531" t="n">
        <v>0</v>
      </c>
      <c r="I531" t="n">
        <v>0</v>
      </c>
      <c r="J531" t="n">
        <v>0</v>
      </c>
      <c r="K531" t="n">
        <v>0</v>
      </c>
      <c r="L531" t="n">
        <v>0</v>
      </c>
      <c r="M531" t="n">
        <v>0</v>
      </c>
      <c r="N531" t="n">
        <v>0</v>
      </c>
      <c r="O531" t="n">
        <v>0</v>
      </c>
      <c r="P531" t="n">
        <v>0</v>
      </c>
      <c r="Q531" t="n">
        <v>0</v>
      </c>
      <c r="R531" s="2" t="inlineStr"/>
    </row>
    <row r="532" ht="15" customHeight="1">
      <c r="A532" t="inlineStr">
        <is>
          <t>A 32985-2025</t>
        </is>
      </c>
      <c r="B532" s="1" t="n">
        <v>45839</v>
      </c>
      <c r="C532" s="1" t="n">
        <v>46191</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32984-2025</t>
        </is>
      </c>
      <c r="B533" s="1" t="n">
        <v>45839</v>
      </c>
      <c r="C533" s="1" t="n">
        <v>46191</v>
      </c>
      <c r="D533" t="inlineStr">
        <is>
          <t>DALARNAS LÄN</t>
        </is>
      </c>
      <c r="E533" t="inlineStr">
        <is>
          <t>ORSA</t>
        </is>
      </c>
      <c r="G533" t="n">
        <v>0.5</v>
      </c>
      <c r="H533" t="n">
        <v>0</v>
      </c>
      <c r="I533" t="n">
        <v>0</v>
      </c>
      <c r="J533" t="n">
        <v>0</v>
      </c>
      <c r="K533" t="n">
        <v>0</v>
      </c>
      <c r="L533" t="n">
        <v>0</v>
      </c>
      <c r="M533" t="n">
        <v>0</v>
      </c>
      <c r="N533" t="n">
        <v>0</v>
      </c>
      <c r="O533" t="n">
        <v>0</v>
      </c>
      <c r="P533" t="n">
        <v>0</v>
      </c>
      <c r="Q533" t="n">
        <v>0</v>
      </c>
      <c r="R533" s="2" t="inlineStr"/>
    </row>
    <row r="534" ht="15" customHeight="1">
      <c r="A534" t="inlineStr">
        <is>
          <t>A 33374-2025</t>
        </is>
      </c>
      <c r="B534" s="1" t="n">
        <v>45841</v>
      </c>
      <c r="C534" s="1" t="n">
        <v>46191</v>
      </c>
      <c r="D534" t="inlineStr">
        <is>
          <t>DALARNAS LÄN</t>
        </is>
      </c>
      <c r="E534" t="inlineStr">
        <is>
          <t>ORSA</t>
        </is>
      </c>
      <c r="G534" t="n">
        <v>1</v>
      </c>
      <c r="H534" t="n">
        <v>0</v>
      </c>
      <c r="I534" t="n">
        <v>0</v>
      </c>
      <c r="J534" t="n">
        <v>0</v>
      </c>
      <c r="K534" t="n">
        <v>0</v>
      </c>
      <c r="L534" t="n">
        <v>0</v>
      </c>
      <c r="M534" t="n">
        <v>0</v>
      </c>
      <c r="N534" t="n">
        <v>0</v>
      </c>
      <c r="O534" t="n">
        <v>0</v>
      </c>
      <c r="P534" t="n">
        <v>0</v>
      </c>
      <c r="Q534" t="n">
        <v>0</v>
      </c>
      <c r="R534" s="2" t="inlineStr"/>
    </row>
    <row r="535" ht="15" customHeight="1">
      <c r="A535" t="inlineStr">
        <is>
          <t>A 17500-2025</t>
        </is>
      </c>
      <c r="B535" s="1" t="n">
        <v>45757</v>
      </c>
      <c r="C535" s="1" t="n">
        <v>46191</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33951-2025</t>
        </is>
      </c>
      <c r="B536" s="1" t="n">
        <v>45842</v>
      </c>
      <c r="C536" s="1" t="n">
        <v>46191</v>
      </c>
      <c r="D536" t="inlineStr">
        <is>
          <t>DALARNAS LÄN</t>
        </is>
      </c>
      <c r="E536" t="inlineStr">
        <is>
          <t>ORSA</t>
        </is>
      </c>
      <c r="G536" t="n">
        <v>1.2</v>
      </c>
      <c r="H536" t="n">
        <v>0</v>
      </c>
      <c r="I536" t="n">
        <v>0</v>
      </c>
      <c r="J536" t="n">
        <v>0</v>
      </c>
      <c r="K536" t="n">
        <v>0</v>
      </c>
      <c r="L536" t="n">
        <v>0</v>
      </c>
      <c r="M536" t="n">
        <v>0</v>
      </c>
      <c r="N536" t="n">
        <v>0</v>
      </c>
      <c r="O536" t="n">
        <v>0</v>
      </c>
      <c r="P536" t="n">
        <v>0</v>
      </c>
      <c r="Q536" t="n">
        <v>0</v>
      </c>
      <c r="R536" s="2" t="inlineStr"/>
    </row>
    <row r="537" ht="15" customHeight="1">
      <c r="A537" t="inlineStr">
        <is>
          <t>A 28451-2023</t>
        </is>
      </c>
      <c r="B537" s="1" t="n">
        <v>45103</v>
      </c>
      <c r="C537" s="1" t="n">
        <v>46191</v>
      </c>
      <c r="D537" t="inlineStr">
        <is>
          <t>DALARNAS LÄN</t>
        </is>
      </c>
      <c r="E537" t="inlineStr">
        <is>
          <t>ORSA</t>
        </is>
      </c>
      <c r="G537" t="n">
        <v>0.5</v>
      </c>
      <c r="H537" t="n">
        <v>0</v>
      </c>
      <c r="I537" t="n">
        <v>0</v>
      </c>
      <c r="J537" t="n">
        <v>0</v>
      </c>
      <c r="K537" t="n">
        <v>0</v>
      </c>
      <c r="L537" t="n">
        <v>0</v>
      </c>
      <c r="M537" t="n">
        <v>0</v>
      </c>
      <c r="N537" t="n">
        <v>0</v>
      </c>
      <c r="O537" t="n">
        <v>0</v>
      </c>
      <c r="P537" t="n">
        <v>0</v>
      </c>
      <c r="Q537" t="n">
        <v>0</v>
      </c>
      <c r="R537" s="2" t="inlineStr"/>
    </row>
    <row r="538" ht="15" customHeight="1">
      <c r="A538" t="inlineStr">
        <is>
          <t>A 8429-2024</t>
        </is>
      </c>
      <c r="B538" s="1" t="n">
        <v>45353</v>
      </c>
      <c r="C538" s="1" t="n">
        <v>46191</v>
      </c>
      <c r="D538" t="inlineStr">
        <is>
          <t>DALARNAS LÄN</t>
        </is>
      </c>
      <c r="E538" t="inlineStr">
        <is>
          <t>ORSA</t>
        </is>
      </c>
      <c r="G538" t="n">
        <v>0.3</v>
      </c>
      <c r="H538" t="n">
        <v>0</v>
      </c>
      <c r="I538" t="n">
        <v>0</v>
      </c>
      <c r="J538" t="n">
        <v>0</v>
      </c>
      <c r="K538" t="n">
        <v>0</v>
      </c>
      <c r="L538" t="n">
        <v>0</v>
      </c>
      <c r="M538" t="n">
        <v>0</v>
      </c>
      <c r="N538" t="n">
        <v>0</v>
      </c>
      <c r="O538" t="n">
        <v>0</v>
      </c>
      <c r="P538" t="n">
        <v>0</v>
      </c>
      <c r="Q538" t="n">
        <v>0</v>
      </c>
      <c r="R538" s="2" t="inlineStr"/>
    </row>
    <row r="539" ht="15" customHeight="1">
      <c r="A539" t="inlineStr">
        <is>
          <t>A 28155-2023</t>
        </is>
      </c>
      <c r="B539" s="1" t="n">
        <v>45099</v>
      </c>
      <c r="C539" s="1" t="n">
        <v>46191</v>
      </c>
      <c r="D539" t="inlineStr">
        <is>
          <t>DALARNAS LÄN</t>
        </is>
      </c>
      <c r="E539" t="inlineStr">
        <is>
          <t>ORSA</t>
        </is>
      </c>
      <c r="F539" t="inlineStr">
        <is>
          <t>Bergvik skog öst AB</t>
        </is>
      </c>
      <c r="G539" t="n">
        <v>7.8</v>
      </c>
      <c r="H539" t="n">
        <v>0</v>
      </c>
      <c r="I539" t="n">
        <v>0</v>
      </c>
      <c r="J539" t="n">
        <v>0</v>
      </c>
      <c r="K539" t="n">
        <v>0</v>
      </c>
      <c r="L539" t="n">
        <v>0</v>
      </c>
      <c r="M539" t="n">
        <v>0</v>
      </c>
      <c r="N539" t="n">
        <v>0</v>
      </c>
      <c r="O539" t="n">
        <v>0</v>
      </c>
      <c r="P539" t="n">
        <v>0</v>
      </c>
      <c r="Q539" t="n">
        <v>0</v>
      </c>
      <c r="R539" s="2" t="inlineStr"/>
    </row>
    <row r="540" ht="15" customHeight="1">
      <c r="A540" t="inlineStr">
        <is>
          <t>A 34779-2025</t>
        </is>
      </c>
      <c r="B540" s="1" t="n">
        <v>45848</v>
      </c>
      <c r="C540" s="1" t="n">
        <v>46191</v>
      </c>
      <c r="D540" t="inlineStr">
        <is>
          <t>DALARNAS LÄN</t>
        </is>
      </c>
      <c r="E540" t="inlineStr">
        <is>
          <t>ORSA</t>
        </is>
      </c>
      <c r="G540" t="n">
        <v>0.6</v>
      </c>
      <c r="H540" t="n">
        <v>0</v>
      </c>
      <c r="I540" t="n">
        <v>0</v>
      </c>
      <c r="J540" t="n">
        <v>0</v>
      </c>
      <c r="K540" t="n">
        <v>0</v>
      </c>
      <c r="L540" t="n">
        <v>0</v>
      </c>
      <c r="M540" t="n">
        <v>0</v>
      </c>
      <c r="N540" t="n">
        <v>0</v>
      </c>
      <c r="O540" t="n">
        <v>0</v>
      </c>
      <c r="P540" t="n">
        <v>0</v>
      </c>
      <c r="Q540" t="n">
        <v>0</v>
      </c>
      <c r="R540" s="2" t="inlineStr"/>
    </row>
    <row r="541" ht="15" customHeight="1">
      <c r="A541" t="inlineStr">
        <is>
          <t>A 51567-2023</t>
        </is>
      </c>
      <c r="B541" s="1" t="n">
        <v>45222</v>
      </c>
      <c r="C541" s="1" t="n">
        <v>46191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34753-2025</t>
        </is>
      </c>
      <c r="B542" s="1" t="n">
        <v>45848</v>
      </c>
      <c r="C542" s="1" t="n">
        <v>46191</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34781-2025</t>
        </is>
      </c>
      <c r="B543" s="1" t="n">
        <v>45848</v>
      </c>
      <c r="C543" s="1" t="n">
        <v>46191</v>
      </c>
      <c r="D543" t="inlineStr">
        <is>
          <t>DALARNAS LÄN</t>
        </is>
      </c>
      <c r="E543" t="inlineStr">
        <is>
          <t>ORSA</t>
        </is>
      </c>
      <c r="G543" t="n">
        <v>0.9</v>
      </c>
      <c r="H543" t="n">
        <v>0</v>
      </c>
      <c r="I543" t="n">
        <v>0</v>
      </c>
      <c r="J543" t="n">
        <v>0</v>
      </c>
      <c r="K543" t="n">
        <v>0</v>
      </c>
      <c r="L543" t="n">
        <v>0</v>
      </c>
      <c r="M543" t="n">
        <v>0</v>
      </c>
      <c r="N543" t="n">
        <v>0</v>
      </c>
      <c r="O543" t="n">
        <v>0</v>
      </c>
      <c r="P543" t="n">
        <v>0</v>
      </c>
      <c r="Q543" t="n">
        <v>0</v>
      </c>
      <c r="R543" s="2" t="inlineStr"/>
    </row>
    <row r="544" ht="15" customHeight="1">
      <c r="A544" t="inlineStr">
        <is>
          <t>A 34769-2025</t>
        </is>
      </c>
      <c r="B544" s="1" t="n">
        <v>45848</v>
      </c>
      <c r="C544" s="1" t="n">
        <v>46191</v>
      </c>
      <c r="D544" t="inlineStr">
        <is>
          <t>DALARNAS LÄN</t>
        </is>
      </c>
      <c r="E544" t="inlineStr">
        <is>
          <t>ORSA</t>
        </is>
      </c>
      <c r="G544" t="n">
        <v>0.4</v>
      </c>
      <c r="H544" t="n">
        <v>0</v>
      </c>
      <c r="I544" t="n">
        <v>0</v>
      </c>
      <c r="J544" t="n">
        <v>0</v>
      </c>
      <c r="K544" t="n">
        <v>0</v>
      </c>
      <c r="L544" t="n">
        <v>0</v>
      </c>
      <c r="M544" t="n">
        <v>0</v>
      </c>
      <c r="N544" t="n">
        <v>0</v>
      </c>
      <c r="O544" t="n">
        <v>0</v>
      </c>
      <c r="P544" t="n">
        <v>0</v>
      </c>
      <c r="Q544" t="n">
        <v>0</v>
      </c>
      <c r="R544" s="2" t="inlineStr"/>
    </row>
    <row r="545" ht="15" customHeight="1">
      <c r="A545" t="inlineStr">
        <is>
          <t>A 34777-2025</t>
        </is>
      </c>
      <c r="B545" s="1" t="n">
        <v>45848</v>
      </c>
      <c r="C545" s="1" t="n">
        <v>46191</v>
      </c>
      <c r="D545" t="inlineStr">
        <is>
          <t>DALARNAS LÄN</t>
        </is>
      </c>
      <c r="E545" t="inlineStr">
        <is>
          <t>ORSA</t>
        </is>
      </c>
      <c r="G545" t="n">
        <v>0.4</v>
      </c>
      <c r="H545" t="n">
        <v>0</v>
      </c>
      <c r="I545" t="n">
        <v>0</v>
      </c>
      <c r="J545" t="n">
        <v>0</v>
      </c>
      <c r="K545" t="n">
        <v>0</v>
      </c>
      <c r="L545" t="n">
        <v>0</v>
      </c>
      <c r="M545" t="n">
        <v>0</v>
      </c>
      <c r="N545" t="n">
        <v>0</v>
      </c>
      <c r="O545" t="n">
        <v>0</v>
      </c>
      <c r="P545" t="n">
        <v>0</v>
      </c>
      <c r="Q545" t="n">
        <v>0</v>
      </c>
      <c r="R545" s="2" t="inlineStr"/>
    </row>
    <row r="546" ht="15" customHeight="1">
      <c r="A546" t="inlineStr">
        <is>
          <t>A 34764-2025</t>
        </is>
      </c>
      <c r="B546" s="1" t="n">
        <v>45848</v>
      </c>
      <c r="C546" s="1" t="n">
        <v>46191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6047-2023</t>
        </is>
      </c>
      <c r="B547" s="1" t="n">
        <v>44964</v>
      </c>
      <c r="C547" s="1" t="n">
        <v>46191</v>
      </c>
      <c r="D547" t="inlineStr">
        <is>
          <t>DALARNAS LÄN</t>
        </is>
      </c>
      <c r="E547" t="inlineStr">
        <is>
          <t>ORSA</t>
        </is>
      </c>
      <c r="F547" t="inlineStr">
        <is>
          <t>Bergvik skog öst AB</t>
        </is>
      </c>
      <c r="G547" t="n">
        <v>0.2</v>
      </c>
      <c r="H547" t="n">
        <v>0</v>
      </c>
      <c r="I547" t="n">
        <v>0</v>
      </c>
      <c r="J547" t="n">
        <v>0</v>
      </c>
      <c r="K547" t="n">
        <v>0</v>
      </c>
      <c r="L547" t="n">
        <v>0</v>
      </c>
      <c r="M547" t="n">
        <v>0</v>
      </c>
      <c r="N547" t="n">
        <v>0</v>
      </c>
      <c r="O547" t="n">
        <v>0</v>
      </c>
      <c r="P547" t="n">
        <v>0</v>
      </c>
      <c r="Q547" t="n">
        <v>0</v>
      </c>
      <c r="R547" s="2" t="inlineStr"/>
    </row>
    <row r="548" ht="15" customHeight="1">
      <c r="A548" t="inlineStr">
        <is>
          <t>A 33384-2022</t>
        </is>
      </c>
      <c r="B548" s="1" t="n">
        <v>44788</v>
      </c>
      <c r="C548" s="1" t="n">
        <v>46191</v>
      </c>
      <c r="D548" t="inlineStr">
        <is>
          <t>DALARNAS LÄN</t>
        </is>
      </c>
      <c r="E548" t="inlineStr">
        <is>
          <t>ORSA</t>
        </is>
      </c>
      <c r="F548" t="inlineStr">
        <is>
          <t>Bergvik skog öst AB</t>
        </is>
      </c>
      <c r="G548" t="n">
        <v>0.7</v>
      </c>
      <c r="H548" t="n">
        <v>0</v>
      </c>
      <c r="I548" t="n">
        <v>0</v>
      </c>
      <c r="J548" t="n">
        <v>0</v>
      </c>
      <c r="K548" t="n">
        <v>0</v>
      </c>
      <c r="L548" t="n">
        <v>0</v>
      </c>
      <c r="M548" t="n">
        <v>0</v>
      </c>
      <c r="N548" t="n">
        <v>0</v>
      </c>
      <c r="O548" t="n">
        <v>0</v>
      </c>
      <c r="P548" t="n">
        <v>0</v>
      </c>
      <c r="Q548" t="n">
        <v>0</v>
      </c>
      <c r="R548" s="2" t="inlineStr"/>
    </row>
    <row r="549" ht="15" customHeight="1">
      <c r="A549" t="inlineStr">
        <is>
          <t>A 14680-2023</t>
        </is>
      </c>
      <c r="B549" s="1" t="n">
        <v>45014</v>
      </c>
      <c r="C549" s="1" t="n">
        <v>46191</v>
      </c>
      <c r="D549" t="inlineStr">
        <is>
          <t>DALARNAS LÄN</t>
        </is>
      </c>
      <c r="E549" t="inlineStr">
        <is>
          <t>ORSA</t>
        </is>
      </c>
      <c r="G549" t="n">
        <v>4.2</v>
      </c>
      <c r="H549" t="n">
        <v>0</v>
      </c>
      <c r="I549" t="n">
        <v>0</v>
      </c>
      <c r="J549" t="n">
        <v>0</v>
      </c>
      <c r="K549" t="n">
        <v>0</v>
      </c>
      <c r="L549" t="n">
        <v>0</v>
      </c>
      <c r="M549" t="n">
        <v>0</v>
      </c>
      <c r="N549" t="n">
        <v>0</v>
      </c>
      <c r="O549" t="n">
        <v>0</v>
      </c>
      <c r="P549" t="n">
        <v>0</v>
      </c>
      <c r="Q549" t="n">
        <v>0</v>
      </c>
      <c r="R549" s="2" t="inlineStr"/>
    </row>
    <row r="550" ht="15" customHeight="1">
      <c r="A550" t="inlineStr">
        <is>
          <t>A 35619-2025</t>
        </is>
      </c>
      <c r="B550" s="1" t="n">
        <v>45859</v>
      </c>
      <c r="C550" s="1" t="n">
        <v>46191</v>
      </c>
      <c r="D550" t="inlineStr">
        <is>
          <t>DALARNAS LÄN</t>
        </is>
      </c>
      <c r="E550" t="inlineStr">
        <is>
          <t>ORSA</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35940-2025</t>
        </is>
      </c>
      <c r="B551" s="1" t="n">
        <v>45862</v>
      </c>
      <c r="C551" s="1" t="n">
        <v>46191</v>
      </c>
      <c r="D551" t="inlineStr">
        <is>
          <t>DALARNAS LÄN</t>
        </is>
      </c>
      <c r="E551" t="inlineStr">
        <is>
          <t>ORSA</t>
        </is>
      </c>
      <c r="G551" t="n">
        <v>5.1</v>
      </c>
      <c r="H551" t="n">
        <v>0</v>
      </c>
      <c r="I551" t="n">
        <v>0</v>
      </c>
      <c r="J551" t="n">
        <v>0</v>
      </c>
      <c r="K551" t="n">
        <v>0</v>
      </c>
      <c r="L551" t="n">
        <v>0</v>
      </c>
      <c r="M551" t="n">
        <v>0</v>
      </c>
      <c r="N551" t="n">
        <v>0</v>
      </c>
      <c r="O551" t="n">
        <v>0</v>
      </c>
      <c r="P551" t="n">
        <v>0</v>
      </c>
      <c r="Q551" t="n">
        <v>0</v>
      </c>
      <c r="R551" s="2" t="inlineStr"/>
    </row>
    <row r="552" ht="15" customHeight="1">
      <c r="A552" t="inlineStr">
        <is>
          <t>A 35933-2025</t>
        </is>
      </c>
      <c r="B552" s="1" t="n">
        <v>45862</v>
      </c>
      <c r="C552" s="1" t="n">
        <v>46191</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35935-2025</t>
        </is>
      </c>
      <c r="B553" s="1" t="n">
        <v>45862</v>
      </c>
      <c r="C553" s="1" t="n">
        <v>46191</v>
      </c>
      <c r="D553" t="inlineStr">
        <is>
          <t>DALARNAS LÄN</t>
        </is>
      </c>
      <c r="E553" t="inlineStr">
        <is>
          <t>ORSA</t>
        </is>
      </c>
      <c r="G553" t="n">
        <v>0.6</v>
      </c>
      <c r="H553" t="n">
        <v>0</v>
      </c>
      <c r="I553" t="n">
        <v>0</v>
      </c>
      <c r="J553" t="n">
        <v>0</v>
      </c>
      <c r="K553" t="n">
        <v>0</v>
      </c>
      <c r="L553" t="n">
        <v>0</v>
      </c>
      <c r="M553" t="n">
        <v>0</v>
      </c>
      <c r="N553" t="n">
        <v>0</v>
      </c>
      <c r="O553" t="n">
        <v>0</v>
      </c>
      <c r="P553" t="n">
        <v>0</v>
      </c>
      <c r="Q553" t="n">
        <v>0</v>
      </c>
      <c r="R553" s="2" t="inlineStr"/>
    </row>
    <row r="554" ht="15" customHeight="1">
      <c r="A554" t="inlineStr">
        <is>
          <t>A 50714-2023</t>
        </is>
      </c>
      <c r="B554" s="1" t="n">
        <v>45217</v>
      </c>
      <c r="C554" s="1" t="n">
        <v>46191</v>
      </c>
      <c r="D554" t="inlineStr">
        <is>
          <t>DALARNAS LÄN</t>
        </is>
      </c>
      <c r="E554" t="inlineStr">
        <is>
          <t>ORSA</t>
        </is>
      </c>
      <c r="G554" t="n">
        <v>1.1</v>
      </c>
      <c r="H554" t="n">
        <v>0</v>
      </c>
      <c r="I554" t="n">
        <v>0</v>
      </c>
      <c r="J554" t="n">
        <v>0</v>
      </c>
      <c r="K554" t="n">
        <v>0</v>
      </c>
      <c r="L554" t="n">
        <v>0</v>
      </c>
      <c r="M554" t="n">
        <v>0</v>
      </c>
      <c r="N554" t="n">
        <v>0</v>
      </c>
      <c r="O554" t="n">
        <v>0</v>
      </c>
      <c r="P554" t="n">
        <v>0</v>
      </c>
      <c r="Q554" t="n">
        <v>0</v>
      </c>
      <c r="R554" s="2" t="inlineStr"/>
    </row>
    <row r="555" ht="15" customHeight="1">
      <c r="A555" t="inlineStr">
        <is>
          <t>A 36570-2025</t>
        </is>
      </c>
      <c r="B555" s="1" t="n">
        <v>45870</v>
      </c>
      <c r="C555" s="1" t="n">
        <v>46191</v>
      </c>
      <c r="D555" t="inlineStr">
        <is>
          <t>DALARNAS LÄN</t>
        </is>
      </c>
      <c r="E555" t="inlineStr">
        <is>
          <t>ORSA</t>
        </is>
      </c>
      <c r="F555" t="inlineStr">
        <is>
          <t>Bergvik skog öst AB</t>
        </is>
      </c>
      <c r="G555" t="n">
        <v>2.2</v>
      </c>
      <c r="H555" t="n">
        <v>0</v>
      </c>
      <c r="I555" t="n">
        <v>0</v>
      </c>
      <c r="J555" t="n">
        <v>0</v>
      </c>
      <c r="K555" t="n">
        <v>0</v>
      </c>
      <c r="L555" t="n">
        <v>0</v>
      </c>
      <c r="M555" t="n">
        <v>0</v>
      </c>
      <c r="N555" t="n">
        <v>0</v>
      </c>
      <c r="O555" t="n">
        <v>0</v>
      </c>
      <c r="P555" t="n">
        <v>0</v>
      </c>
      <c r="Q555" t="n">
        <v>0</v>
      </c>
      <c r="R555" s="2" t="inlineStr"/>
    </row>
    <row r="556" ht="15" customHeight="1">
      <c r="A556" t="inlineStr">
        <is>
          <t>A 57533-2022</t>
        </is>
      </c>
      <c r="B556" s="1" t="n">
        <v>44896</v>
      </c>
      <c r="C556" s="1" t="n">
        <v>46191</v>
      </c>
      <c r="D556" t="inlineStr">
        <is>
          <t>DALARNAS LÄN</t>
        </is>
      </c>
      <c r="E556" t="inlineStr">
        <is>
          <t>ORSA</t>
        </is>
      </c>
      <c r="F556" t="inlineStr">
        <is>
          <t>Bergvik skog öst AB</t>
        </is>
      </c>
      <c r="G556" t="n">
        <v>2.2</v>
      </c>
      <c r="H556" t="n">
        <v>0</v>
      </c>
      <c r="I556" t="n">
        <v>0</v>
      </c>
      <c r="J556" t="n">
        <v>0</v>
      </c>
      <c r="K556" t="n">
        <v>0</v>
      </c>
      <c r="L556" t="n">
        <v>0</v>
      </c>
      <c r="M556" t="n">
        <v>0</v>
      </c>
      <c r="N556" t="n">
        <v>0</v>
      </c>
      <c r="O556" t="n">
        <v>0</v>
      </c>
      <c r="P556" t="n">
        <v>0</v>
      </c>
      <c r="Q556" t="n">
        <v>0</v>
      </c>
      <c r="R556" s="2" t="inlineStr"/>
    </row>
    <row r="557" ht="15" customHeight="1">
      <c r="A557" t="inlineStr">
        <is>
          <t>A 8430-2024</t>
        </is>
      </c>
      <c r="B557" s="1" t="n">
        <v>45353</v>
      </c>
      <c r="C557" s="1" t="n">
        <v>46191</v>
      </c>
      <c r="D557" t="inlineStr">
        <is>
          <t>DALARNAS LÄN</t>
        </is>
      </c>
      <c r="E557" t="inlineStr">
        <is>
          <t>ORSA</t>
        </is>
      </c>
      <c r="G557" t="n">
        <v>14.4</v>
      </c>
      <c r="H557" t="n">
        <v>0</v>
      </c>
      <c r="I557" t="n">
        <v>0</v>
      </c>
      <c r="J557" t="n">
        <v>0</v>
      </c>
      <c r="K557" t="n">
        <v>0</v>
      </c>
      <c r="L557" t="n">
        <v>0</v>
      </c>
      <c r="M557" t="n">
        <v>0</v>
      </c>
      <c r="N557" t="n">
        <v>0</v>
      </c>
      <c r="O557" t="n">
        <v>0</v>
      </c>
      <c r="P557" t="n">
        <v>0</v>
      </c>
      <c r="Q557" t="n">
        <v>0</v>
      </c>
      <c r="R557" s="2" t="inlineStr"/>
    </row>
    <row r="558" ht="15" customHeight="1">
      <c r="A558" t="inlineStr">
        <is>
          <t>A 41832-2024</t>
        </is>
      </c>
      <c r="B558" s="1" t="n">
        <v>45561</v>
      </c>
      <c r="C558" s="1" t="n">
        <v>46191</v>
      </c>
      <c r="D558" t="inlineStr">
        <is>
          <t>DALARNAS LÄN</t>
        </is>
      </c>
      <c r="E558" t="inlineStr">
        <is>
          <t>ORSA</t>
        </is>
      </c>
      <c r="G558" t="n">
        <v>0.5</v>
      </c>
      <c r="H558" t="n">
        <v>0</v>
      </c>
      <c r="I558" t="n">
        <v>0</v>
      </c>
      <c r="J558" t="n">
        <v>0</v>
      </c>
      <c r="K558" t="n">
        <v>0</v>
      </c>
      <c r="L558" t="n">
        <v>0</v>
      </c>
      <c r="M558" t="n">
        <v>0</v>
      </c>
      <c r="N558" t="n">
        <v>0</v>
      </c>
      <c r="O558" t="n">
        <v>0</v>
      </c>
      <c r="P558" t="n">
        <v>0</v>
      </c>
      <c r="Q558" t="n">
        <v>0</v>
      </c>
      <c r="R558" s="2" t="inlineStr"/>
    </row>
    <row r="559" ht="15" customHeight="1">
      <c r="A559" t="inlineStr">
        <is>
          <t>A 36427-2023</t>
        </is>
      </c>
      <c r="B559" s="1" t="n">
        <v>45152</v>
      </c>
      <c r="C559" s="1" t="n">
        <v>46191</v>
      </c>
      <c r="D559" t="inlineStr">
        <is>
          <t>DALARNAS LÄN</t>
        </is>
      </c>
      <c r="E559" t="inlineStr">
        <is>
          <t>ORSA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37181-2025</t>
        </is>
      </c>
      <c r="B560" s="1" t="n">
        <v>45875</v>
      </c>
      <c r="C560" s="1" t="n">
        <v>46191</v>
      </c>
      <c r="D560" t="inlineStr">
        <is>
          <t>DALARNAS LÄN</t>
        </is>
      </c>
      <c r="E560" t="inlineStr">
        <is>
          <t>ORSA</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33945-2022</t>
        </is>
      </c>
      <c r="B561" s="1" t="n">
        <v>44790</v>
      </c>
      <c r="C561" s="1" t="n">
        <v>46191</v>
      </c>
      <c r="D561" t="inlineStr">
        <is>
          <t>DALARNAS LÄN</t>
        </is>
      </c>
      <c r="E561" t="inlineStr">
        <is>
          <t>ORSA</t>
        </is>
      </c>
      <c r="F561" t="inlineStr">
        <is>
          <t>Bergvik skog öst AB</t>
        </is>
      </c>
      <c r="G561" t="n">
        <v>1.9</v>
      </c>
      <c r="H561" t="n">
        <v>0</v>
      </c>
      <c r="I561" t="n">
        <v>0</v>
      </c>
      <c r="J561" t="n">
        <v>0</v>
      </c>
      <c r="K561" t="n">
        <v>0</v>
      </c>
      <c r="L561" t="n">
        <v>0</v>
      </c>
      <c r="M561" t="n">
        <v>0</v>
      </c>
      <c r="N561" t="n">
        <v>0</v>
      </c>
      <c r="O561" t="n">
        <v>0</v>
      </c>
      <c r="P561" t="n">
        <v>0</v>
      </c>
      <c r="Q561" t="n">
        <v>0</v>
      </c>
      <c r="R561" s="2" t="inlineStr"/>
    </row>
    <row r="562" ht="15" customHeight="1">
      <c r="A562" t="inlineStr">
        <is>
          <t>A 37445-2025</t>
        </is>
      </c>
      <c r="B562" s="1" t="n">
        <v>45877</v>
      </c>
      <c r="C562" s="1" t="n">
        <v>46191</v>
      </c>
      <c r="D562" t="inlineStr">
        <is>
          <t>DALARNAS LÄN</t>
        </is>
      </c>
      <c r="E562" t="inlineStr">
        <is>
          <t>ORSA</t>
        </is>
      </c>
      <c r="F562" t="inlineStr">
        <is>
          <t>Bergvik skog öst AB</t>
        </is>
      </c>
      <c r="G562" t="n">
        <v>13.4</v>
      </c>
      <c r="H562" t="n">
        <v>0</v>
      </c>
      <c r="I562" t="n">
        <v>0</v>
      </c>
      <c r="J562" t="n">
        <v>0</v>
      </c>
      <c r="K562" t="n">
        <v>0</v>
      </c>
      <c r="L562" t="n">
        <v>0</v>
      </c>
      <c r="M562" t="n">
        <v>0</v>
      </c>
      <c r="N562" t="n">
        <v>0</v>
      </c>
      <c r="O562" t="n">
        <v>0</v>
      </c>
      <c r="P562" t="n">
        <v>0</v>
      </c>
      <c r="Q562" t="n">
        <v>0</v>
      </c>
      <c r="R562" s="2" t="inlineStr"/>
    </row>
    <row r="563" ht="15" customHeight="1">
      <c r="A563" t="inlineStr">
        <is>
          <t>A 16585-2023</t>
        </is>
      </c>
      <c r="B563" s="1" t="n">
        <v>45030</v>
      </c>
      <c r="C563" s="1" t="n">
        <v>46191</v>
      </c>
      <c r="D563" t="inlineStr">
        <is>
          <t>DALARNAS LÄN</t>
        </is>
      </c>
      <c r="E563" t="inlineStr">
        <is>
          <t>ORSA</t>
        </is>
      </c>
      <c r="G563" t="n">
        <v>1</v>
      </c>
      <c r="H563" t="n">
        <v>0</v>
      </c>
      <c r="I563" t="n">
        <v>0</v>
      </c>
      <c r="J563" t="n">
        <v>0</v>
      </c>
      <c r="K563" t="n">
        <v>0</v>
      </c>
      <c r="L563" t="n">
        <v>0</v>
      </c>
      <c r="M563" t="n">
        <v>0</v>
      </c>
      <c r="N563" t="n">
        <v>0</v>
      </c>
      <c r="O563" t="n">
        <v>0</v>
      </c>
      <c r="P563" t="n">
        <v>0</v>
      </c>
      <c r="Q563" t="n">
        <v>0</v>
      </c>
      <c r="R563" s="2" t="inlineStr"/>
    </row>
    <row r="564" ht="15" customHeight="1">
      <c r="A564" t="inlineStr">
        <is>
          <t>A 37439-2025</t>
        </is>
      </c>
      <c r="B564" s="1" t="n">
        <v>45877</v>
      </c>
      <c r="C564" s="1" t="n">
        <v>46191</v>
      </c>
      <c r="D564" t="inlineStr">
        <is>
          <t>DALARNAS LÄN</t>
        </is>
      </c>
      <c r="E564" t="inlineStr">
        <is>
          <t>ORSA</t>
        </is>
      </c>
      <c r="F564" t="inlineStr">
        <is>
          <t>Allmännings- och besparingsskogar</t>
        </is>
      </c>
      <c r="G564" t="n">
        <v>7.9</v>
      </c>
      <c r="H564" t="n">
        <v>0</v>
      </c>
      <c r="I564" t="n">
        <v>0</v>
      </c>
      <c r="J564" t="n">
        <v>0</v>
      </c>
      <c r="K564" t="n">
        <v>0</v>
      </c>
      <c r="L564" t="n">
        <v>0</v>
      </c>
      <c r="M564" t="n">
        <v>0</v>
      </c>
      <c r="N564" t="n">
        <v>0</v>
      </c>
      <c r="O564" t="n">
        <v>0</v>
      </c>
      <c r="P564" t="n">
        <v>0</v>
      </c>
      <c r="Q564" t="n">
        <v>0</v>
      </c>
      <c r="R564" s="2" t="inlineStr"/>
    </row>
    <row r="565" ht="15" customHeight="1">
      <c r="A565" t="inlineStr">
        <is>
          <t>A 37906-2025</t>
        </is>
      </c>
      <c r="B565" s="1" t="n">
        <v>45881</v>
      </c>
      <c r="C565" s="1" t="n">
        <v>46191</v>
      </c>
      <c r="D565" t="inlineStr">
        <is>
          <t>DALARNAS LÄN</t>
        </is>
      </c>
      <c r="E565" t="inlineStr">
        <is>
          <t>ORSA</t>
        </is>
      </c>
      <c r="G565" t="n">
        <v>1</v>
      </c>
      <c r="H565" t="n">
        <v>0</v>
      </c>
      <c r="I565" t="n">
        <v>0</v>
      </c>
      <c r="J565" t="n">
        <v>0</v>
      </c>
      <c r="K565" t="n">
        <v>0</v>
      </c>
      <c r="L565" t="n">
        <v>0</v>
      </c>
      <c r="M565" t="n">
        <v>0</v>
      </c>
      <c r="N565" t="n">
        <v>0</v>
      </c>
      <c r="O565" t="n">
        <v>0</v>
      </c>
      <c r="P565" t="n">
        <v>0</v>
      </c>
      <c r="Q565" t="n">
        <v>0</v>
      </c>
      <c r="R565" s="2" t="inlineStr"/>
    </row>
    <row r="566">
      <c r="A566" t="inlineStr">
        <is>
          <t>A 37838-2024</t>
        </is>
      </c>
      <c r="B566" s="1" t="n">
        <v>45544</v>
      </c>
      <c r="C566" s="1" t="n">
        <v>46191</v>
      </c>
      <c r="D566" t="inlineStr">
        <is>
          <t>DALARNAS LÄN</t>
        </is>
      </c>
      <c r="E566" t="inlineStr">
        <is>
          <t>ORSA</t>
        </is>
      </c>
      <c r="G566" t="n">
        <v>2.9</v>
      </c>
      <c r="H566" t="n">
        <v>0</v>
      </c>
      <c r="I566" t="n">
        <v>0</v>
      </c>
      <c r="J566" t="n">
        <v>0</v>
      </c>
      <c r="K566" t="n">
        <v>0</v>
      </c>
      <c r="L566" t="n">
        <v>0</v>
      </c>
      <c r="M566" t="n">
        <v>0</v>
      </c>
      <c r="N566" t="n">
        <v>0</v>
      </c>
      <c r="O566" t="n">
        <v>0</v>
      </c>
      <c r="P566" t="n">
        <v>0</v>
      </c>
      <c r="Q566" t="n">
        <v>0</v>
      </c>
      <c r="R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2026-06-18T13:15:37Z</dcterms:created>
  <dcterms:modified xmlns:dcterms="http://purl.org/dc/terms/" xmlns:xsi="http://www.w3.org/2001/XMLSchema-instance" xsi:type="dcterms:W3CDTF">2026-06-18T13:15:38Z</dcterms:modified>
</cp:coreProperties>
</file>