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62749-2023</t>
        </is>
      </c>
      <c r="B2" t="inlineStr">
        <is>
          <t>avverkningsanmälan</t>
        </is>
      </c>
      <c r="C2" t="inlineStr">
        <is>
          <t>Avverkning för annat ändamål</t>
        </is>
      </c>
      <c r="D2" s="1" t="n">
        <v>45271</v>
      </c>
      <c r="E2" s="1" t="n">
        <v>46223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HYPERLINK("https://klasma.github.io/Logging_2034/kartor_geotiff/A 62749-2023 georefererad karta.tif", "A 62749-2023")</f>
        <v/>
      </c>
      <c r="Y2">
        <f>HYPERLINK("https://klasma.github.io/Logging_2034/knärot/A 62749-2023 karta knärot.png", "A 62749-2023")</f>
        <v/>
      </c>
      <c r="Z2">
        <f>HYPERLINK("https://klasma.github.io/Logging_2034/klagomål/A 62749-2023 FSC-klagomål.docx", "A 62749-2023")</f>
        <v/>
      </c>
      <c r="AA2">
        <f>HYPERLINK("https://klasma.github.io/Logging_2034/klagomålsmail/A 62749-2023 FSC-klagomål mail.docx", "A 62749-2023")</f>
        <v/>
      </c>
      <c r="AB2">
        <f>HYPERLINK("https://klasma.github.io/Logging_2034/tillsyn/A 62749-2023 tillsynsbegäran.docx", "A 62749-2023")</f>
        <v/>
      </c>
      <c r="AC2">
        <f>HYPERLINK("https://klasma.github.io/Logging_2034/tillsynsmail/A 62749-2023 tillsynsbegäran mail.docx", "A 62749-2023")</f>
        <v/>
      </c>
      <c r="AD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46223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3">
        <f>HYPERLINK("https://klasma.github.io/Logging_2034/artfynd/A 45776-2023 artfynd.xlsx", "A 45776-2023")</f>
        <v/>
      </c>
      <c r="W3">
        <f>HYPERLINK("https://klasma.github.io/Logging_2034/kartor/A 45776-2023 karta.png", "A 45776-2023")</f>
        <v/>
      </c>
      <c r="X3">
        <f>HYPERLINK("https://klasma.github.io/Logging_2034/kartor_geotiff/A 45776-2023 georefererad karta.tif", "A 45776-2023")</f>
        <v/>
      </c>
      <c r="Y3">
        <f>HYPERLINK("https://klasma.github.io/Logging_2034/knärot/A 45776-2023 karta knärot.png", "A 45776-2023")</f>
        <v/>
      </c>
      <c r="Z3">
        <f>HYPERLINK("https://klasma.github.io/Logging_2034/klagomål/A 45776-2023 FSC-klagomål.docx", "A 45776-2023")</f>
        <v/>
      </c>
      <c r="AA3">
        <f>HYPERLINK("https://klasma.github.io/Logging_2034/klagomålsmail/A 45776-2023 FSC-klagomål mail.docx", "A 45776-2023")</f>
        <v/>
      </c>
      <c r="AB3">
        <f>HYPERLINK("https://klasma.github.io/Logging_2034/tillsyn/A 45776-2023 tillsynsbegäran.docx", "A 45776-2023")</f>
        <v/>
      </c>
      <c r="AC3">
        <f>HYPERLINK("https://klasma.github.io/Logging_2034/tillsynsmail/A 45776-2023 tillsynsbegäran mail.docx", "A 45776-2023")</f>
        <v/>
      </c>
      <c r="AD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46223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4">
        <f>HYPERLINK("https://klasma.github.io/Logging_2034/artfynd/A 30017-2024 artfynd.xlsx", "A 30017-2024")</f>
        <v/>
      </c>
      <c r="W4">
        <f>HYPERLINK("https://klasma.github.io/Logging_2034/kartor/A 30017-2024 karta.png", "A 30017-2024")</f>
        <v/>
      </c>
      <c r="X4">
        <f>HYPERLINK("https://klasma.github.io/Logging_2034/kartor_geotiff/A 30017-2024 georefererad karta.tif", "A 30017-2024")</f>
        <v/>
      </c>
      <c r="Z4">
        <f>HYPERLINK("https://klasma.github.io/Logging_2034/klagomål/A 30017-2024 FSC-klagomål.docx", "A 30017-2024")</f>
        <v/>
      </c>
      <c r="AA4">
        <f>HYPERLINK("https://klasma.github.io/Logging_2034/klagomålsmail/A 30017-2024 FSC-klagomål mail.docx", "A 30017-2024")</f>
        <v/>
      </c>
      <c r="AB4">
        <f>HYPERLINK("https://klasma.github.io/Logging_2034/tillsyn/A 30017-2024 tillsynsbegäran.docx", "A 30017-2024")</f>
        <v/>
      </c>
      <c r="AC4">
        <f>HYPERLINK("https://klasma.github.io/Logging_2034/tillsynsmail/A 30017-2024 tillsynsbegäran mail.docx", "A 30017-2024")</f>
        <v/>
      </c>
      <c r="AD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46223</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HYPERLINK("https://klasma.github.io/Logging_2034/kartor_geotiff/A 7507-2025 georefererad karta.tif", "A 7507-2025")</f>
        <v/>
      </c>
      <c r="Y5">
        <f>HYPERLINK("https://klasma.github.io/Logging_2034/knärot/A 7507-2025 karta knärot.png", "A 7507-2025")</f>
        <v/>
      </c>
      <c r="Z5">
        <f>HYPERLINK("https://klasma.github.io/Logging_2034/klagomål/A 7507-2025 FSC-klagomål.docx", "A 7507-2025")</f>
        <v/>
      </c>
      <c r="AA5">
        <f>HYPERLINK("https://klasma.github.io/Logging_2034/klagomålsmail/A 7507-2025 FSC-klagomål mail.docx", "A 7507-2025")</f>
        <v/>
      </c>
      <c r="AB5">
        <f>HYPERLINK("https://klasma.github.io/Logging_2034/tillsyn/A 7507-2025 tillsynsbegäran.docx", "A 7507-2025")</f>
        <v/>
      </c>
      <c r="AC5">
        <f>HYPERLINK("https://klasma.github.io/Logging_2034/tillsynsmail/A 7507-2025 tillsynsbegäran mail.docx", "A 7507-2025")</f>
        <v/>
      </c>
      <c r="AD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46223</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HYPERLINK("https://klasma.github.io/Logging_2034/kartor_geotiff/A 1135-2023 georefererad karta.tif", "A 1135-2023")</f>
        <v/>
      </c>
      <c r="Y6">
        <f>HYPERLINK("https://klasma.github.io/Logging_2034/knärot/A 1135-2023 karta knärot.png", "A 1135-2023")</f>
        <v/>
      </c>
      <c r="Z6">
        <f>HYPERLINK("https://klasma.github.io/Logging_2034/klagomål/A 1135-2023 FSC-klagomål.docx", "A 1135-2023")</f>
        <v/>
      </c>
      <c r="AA6">
        <f>HYPERLINK("https://klasma.github.io/Logging_2034/klagomålsmail/A 1135-2023 FSC-klagomål mail.docx", "A 1135-2023")</f>
        <v/>
      </c>
      <c r="AB6">
        <f>HYPERLINK("https://klasma.github.io/Logging_2034/tillsyn/A 1135-2023 tillsynsbegäran.docx", "A 1135-2023")</f>
        <v/>
      </c>
      <c r="AC6">
        <f>HYPERLINK("https://klasma.github.io/Logging_2034/tillsynsmail/A 1135-2023 tillsynsbegäran mail.docx", "A 1135-2023")</f>
        <v/>
      </c>
      <c r="AD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46223</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X7">
        <f>HYPERLINK("https://klasma.github.io/Logging_2034/kartor_geotiff/A 36188-2025 georefererad karta.tif", "A 36188-2025")</f>
        <v/>
      </c>
      <c r="Z7">
        <f>HYPERLINK("https://klasma.github.io/Logging_2034/klagomål/A 36188-2025 FSC-klagomål.docx", "A 36188-2025")</f>
        <v/>
      </c>
      <c r="AA7">
        <f>HYPERLINK("https://klasma.github.io/Logging_2034/klagomålsmail/A 36188-2025 FSC-klagomål mail.docx", "A 36188-2025")</f>
        <v/>
      </c>
      <c r="AB7">
        <f>HYPERLINK("https://klasma.github.io/Logging_2034/tillsyn/A 36188-2025 tillsynsbegäran.docx", "A 36188-2025")</f>
        <v/>
      </c>
      <c r="AC7">
        <f>HYPERLINK("https://klasma.github.io/Logging_2034/tillsynsmail/A 36188-2025 tillsynsbegäran mail.docx", "A 36188-2025")</f>
        <v/>
      </c>
      <c r="AD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HYPERLINK("https://klasma.github.io/Logging_2034/kartor_geotiff/A 51902-2023 georefererad karta.tif", "A 51902-2023")</f>
        <v/>
      </c>
      <c r="Y8">
        <f>HYPERLINK("https://klasma.github.io/Logging_2034/knärot/A 51902-2023 karta knärot.png", "A 51902-2023")</f>
        <v/>
      </c>
      <c r="Z8">
        <f>HYPERLINK("https://klasma.github.io/Logging_2034/klagomål/A 51902-2023 FSC-klagomål.docx", "A 51902-2023")</f>
        <v/>
      </c>
      <c r="AA8">
        <f>HYPERLINK("https://klasma.github.io/Logging_2034/klagomålsmail/A 51902-2023 FSC-klagomål mail.docx", "A 51902-2023")</f>
        <v/>
      </c>
      <c r="AB8">
        <f>HYPERLINK("https://klasma.github.io/Logging_2034/tillsyn/A 51902-2023 tillsynsbegäran.docx", "A 51902-2023")</f>
        <v/>
      </c>
      <c r="AC8">
        <f>HYPERLINK("https://klasma.github.io/Logging_2034/tillsynsmail/A 51902-2023 tillsynsbegäran mail.docx", "A 51902-2023")</f>
        <v/>
      </c>
      <c r="AD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46223</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X9">
        <f>HYPERLINK("https://klasma.github.io/Logging_2034/kartor_geotiff/A 47952-2023 georefererad karta.tif", "A 47952-2023")</f>
        <v/>
      </c>
      <c r="Z9">
        <f>HYPERLINK("https://klasma.github.io/Logging_2034/klagomål/A 47952-2023 FSC-klagomål.docx", "A 47952-2023")</f>
        <v/>
      </c>
      <c r="AA9">
        <f>HYPERLINK("https://klasma.github.io/Logging_2034/klagomålsmail/A 47952-2023 FSC-klagomål mail.docx", "A 47952-2023")</f>
        <v/>
      </c>
      <c r="AB9">
        <f>HYPERLINK("https://klasma.github.io/Logging_2034/tillsyn/A 47952-2023 tillsynsbegäran.docx", "A 47952-2023")</f>
        <v/>
      </c>
      <c r="AC9">
        <f>HYPERLINK("https://klasma.github.io/Logging_2034/tillsynsmail/A 47952-2023 tillsynsbegäran mail.docx", "A 47952-2023")</f>
        <v/>
      </c>
      <c r="AD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46223</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X10">
        <f>HYPERLINK("https://klasma.github.io/Logging_2034/kartor_geotiff/A 30505-2024 georefererad karta.tif", "A 30505-2024")</f>
        <v/>
      </c>
      <c r="Z10">
        <f>HYPERLINK("https://klasma.github.io/Logging_2034/klagomål/A 30505-2024 FSC-klagomål.docx", "A 30505-2024")</f>
        <v/>
      </c>
      <c r="AA10">
        <f>HYPERLINK("https://klasma.github.io/Logging_2034/klagomålsmail/A 30505-2024 FSC-klagomål mail.docx", "A 30505-2024")</f>
        <v/>
      </c>
      <c r="AB10">
        <f>HYPERLINK("https://klasma.github.io/Logging_2034/tillsyn/A 30505-2024 tillsynsbegäran.docx", "A 30505-2024")</f>
        <v/>
      </c>
      <c r="AC10">
        <f>HYPERLINK("https://klasma.github.io/Logging_2034/tillsynsmail/A 30505-2024 tillsynsbegäran mail.docx", "A 30505-2024")</f>
        <v/>
      </c>
      <c r="AD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46223</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X11">
        <f>HYPERLINK("https://klasma.github.io/Logging_2034/kartor_geotiff/A 47905-2023 georefererad karta.tif", "A 47905-2023")</f>
        <v/>
      </c>
      <c r="Z11">
        <f>HYPERLINK("https://klasma.github.io/Logging_2034/klagomål/A 47905-2023 FSC-klagomål.docx", "A 47905-2023")</f>
        <v/>
      </c>
      <c r="AA11">
        <f>HYPERLINK("https://klasma.github.io/Logging_2034/klagomålsmail/A 47905-2023 FSC-klagomål mail.docx", "A 47905-2023")</f>
        <v/>
      </c>
      <c r="AB11">
        <f>HYPERLINK("https://klasma.github.io/Logging_2034/tillsyn/A 47905-2023 tillsynsbegäran.docx", "A 47905-2023")</f>
        <v/>
      </c>
      <c r="AC11">
        <f>HYPERLINK("https://klasma.github.io/Logging_2034/tillsynsmail/A 47905-2023 tillsynsbegäran mail.docx", "A 47905-2023")</f>
        <v/>
      </c>
      <c r="AD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46223</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s="2" t="inlineStr">
        <is>
          <t>Garnlav
Knärot
Ulltickeporing
Blanksvart spiklav
Dropptaggsvamp
Rosenticka
Rynkskinn
Skogshare
Tretåig hackspett
Ullticka
Vedskivlav
Violettgrå tagellav
Bronshjon
Mindre märgborre
Vedticka
Vågbandad barkbock
Spillkråka
Revlummer</t>
        </is>
      </c>
      <c r="V12">
        <f>HYPERLINK("https://klasma.github.io/Logging_2034/artfynd/A 7619-2025 artfynd.xlsx", "A 7619-2025")</f>
        <v/>
      </c>
      <c r="W12">
        <f>HYPERLINK("https://klasma.github.io/Logging_2034/kartor/A 7619-2025 karta.png", "A 7619-2025")</f>
        <v/>
      </c>
      <c r="X12">
        <f>HYPERLINK("https://klasma.github.io/Logging_2034/kartor_geotiff/A 7619-2025 georefererad karta.tif", "A 7619-2025")</f>
        <v/>
      </c>
      <c r="Y12">
        <f>HYPERLINK("https://klasma.github.io/Logging_2034/knärot/A 7619-2025 karta knärot.png", "A 7619-2025")</f>
        <v/>
      </c>
      <c r="Z12">
        <f>HYPERLINK("https://klasma.github.io/Logging_2034/klagomål/A 7619-2025 FSC-klagomål.docx", "A 7619-2025")</f>
        <v/>
      </c>
      <c r="AA12">
        <f>HYPERLINK("https://klasma.github.io/Logging_2034/klagomålsmail/A 7619-2025 FSC-klagomål mail.docx", "A 7619-2025")</f>
        <v/>
      </c>
      <c r="AB12">
        <f>HYPERLINK("https://klasma.github.io/Logging_2034/tillsyn/A 7619-2025 tillsynsbegäran.docx", "A 7619-2025")</f>
        <v/>
      </c>
      <c r="AC12">
        <f>HYPERLINK("https://klasma.github.io/Logging_2034/tillsynsmail/A 7619-2025 tillsynsbegäran mail.docx", "A 7619-2025")</f>
        <v/>
      </c>
      <c r="AD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46223</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s="2" t="inlineStr">
        <is>
          <t>Garnlav
Goliatmusseron
Skrovlig taggsvamp
Spadskinn
Torrmusseron
Blå taggsvamp
Dropptaggsvamp
Dvärgbägarlav
Mjölsvärting
Motaggsvamp
Orange taggsvamp
Tallfingersvamp
Talltagel
Talltita
Vaxspindling
Vedskivlav
Mindre märgborre
Rökmusseron</t>
        </is>
      </c>
      <c r="V13">
        <f>HYPERLINK("https://klasma.github.io/Logging_2034/artfynd/A 52487-2024 artfynd.xlsx", "A 52487-2024")</f>
        <v/>
      </c>
      <c r="W13">
        <f>HYPERLINK("https://klasma.github.io/Logging_2034/kartor/A 52487-2024 karta.png", "A 52487-2024")</f>
        <v/>
      </c>
      <c r="X13">
        <f>HYPERLINK("https://klasma.github.io/Logging_2034/kartor_geotiff/A 52487-2024 georefererad karta.tif", "A 52487-2024")</f>
        <v/>
      </c>
      <c r="Z13">
        <f>HYPERLINK("https://klasma.github.io/Logging_2034/klagomål/A 52487-2024 FSC-klagomål.docx", "A 52487-2024")</f>
        <v/>
      </c>
      <c r="AA13">
        <f>HYPERLINK("https://klasma.github.io/Logging_2034/klagomålsmail/A 52487-2024 FSC-klagomål mail.docx", "A 52487-2024")</f>
        <v/>
      </c>
      <c r="AB13">
        <f>HYPERLINK("https://klasma.github.io/Logging_2034/tillsyn/A 52487-2024 tillsynsbegäran.docx", "A 52487-2024")</f>
        <v/>
      </c>
      <c r="AC13">
        <f>HYPERLINK("https://klasma.github.io/Logging_2034/tillsynsmail/A 52487-2024 tillsynsbegäran mail.docx", "A 52487-2024")</f>
        <v/>
      </c>
      <c r="AD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46223</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X14">
        <f>HYPERLINK("https://klasma.github.io/Logging_2034/kartor_geotiff/S 127-2026 georefererad karta.tif", "S 127-2026")</f>
        <v/>
      </c>
      <c r="Z14">
        <f>HYPERLINK("https://klasma.github.io/Logging_2034/klagomål/S 127-2026 FSC-klagomål.docx", "S 127-2026")</f>
        <v/>
      </c>
      <c r="AA14">
        <f>HYPERLINK("https://klasma.github.io/Logging_2034/klagomålsmail/S 127-2026 FSC-klagomål mail.docx", "S 127-2026")</f>
        <v/>
      </c>
      <c r="AB14">
        <f>HYPERLINK("https://klasma.github.io/Logging_2034/tillsyn/S 127-2026 tillsynsbegäran.docx", "S 127-2026")</f>
        <v/>
      </c>
      <c r="AC14">
        <f>HYPERLINK("https://klasma.github.io/Logging_2034/tillsynsmail/S 127-2026 tillsynsbegäran mail.docx", "S 127-2026")</f>
        <v/>
      </c>
      <c r="AD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46223</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s="2" t="inlineStr">
        <is>
          <t>Garnlav
Knärot
Dropptaggsvamp
Kolflarnlav
Kötticka
Mörk kolflarnlav
Talltagel
Talltita
Tretåig hackspett
Vedskivlav
Violettgrå tagellav
Vitgrynig nållav
Gulnål
Vedticka
Tjäder</t>
        </is>
      </c>
      <c r="V15">
        <f>HYPERLINK("https://klasma.github.io/Logging_2034/artfynd/A 7618-2025 artfynd.xlsx", "A 7618-2025")</f>
        <v/>
      </c>
      <c r="W15">
        <f>HYPERLINK("https://klasma.github.io/Logging_2034/kartor/A 7618-2025 karta.png", "A 7618-2025")</f>
        <v/>
      </c>
      <c r="X15">
        <f>HYPERLINK("https://klasma.github.io/Logging_2034/kartor_geotiff/A 7618-2025 georefererad karta.tif", "A 7618-2025")</f>
        <v/>
      </c>
      <c r="Y15">
        <f>HYPERLINK("https://klasma.github.io/Logging_2034/knärot/A 7618-2025 karta knärot.png", "A 7618-2025")</f>
        <v/>
      </c>
      <c r="Z15">
        <f>HYPERLINK("https://klasma.github.io/Logging_2034/klagomål/A 7618-2025 FSC-klagomål.docx", "A 7618-2025")</f>
        <v/>
      </c>
      <c r="AA15">
        <f>HYPERLINK("https://klasma.github.io/Logging_2034/klagomålsmail/A 7618-2025 FSC-klagomål mail.docx", "A 7618-2025")</f>
        <v/>
      </c>
      <c r="AB15">
        <f>HYPERLINK("https://klasma.github.io/Logging_2034/tillsyn/A 7618-2025 tillsynsbegäran.docx", "A 7618-2025")</f>
        <v/>
      </c>
      <c r="AC15">
        <f>HYPERLINK("https://klasma.github.io/Logging_2034/tillsynsmail/A 7618-2025 tillsynsbegäran mail.docx", "A 7618-2025")</f>
        <v/>
      </c>
      <c r="AD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46223</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HYPERLINK("https://klasma.github.io/Logging_2034/kartor_geotiff/A 61338-2024 georefererad karta.tif", "A 61338-2024")</f>
        <v/>
      </c>
      <c r="Y16">
        <f>HYPERLINK("https://klasma.github.io/Logging_2034/knärot/A 61338-2024 karta knärot.png", "A 61338-2024")</f>
        <v/>
      </c>
      <c r="Z16">
        <f>HYPERLINK("https://klasma.github.io/Logging_2034/klagomål/A 61338-2024 FSC-klagomål.docx", "A 61338-2024")</f>
        <v/>
      </c>
      <c r="AA16">
        <f>HYPERLINK("https://klasma.github.io/Logging_2034/klagomålsmail/A 61338-2024 FSC-klagomål mail.docx", "A 61338-2024")</f>
        <v/>
      </c>
      <c r="AB16">
        <f>HYPERLINK("https://klasma.github.io/Logging_2034/tillsyn/A 61338-2024 tillsynsbegäran.docx", "A 61338-2024")</f>
        <v/>
      </c>
      <c r="AC16">
        <f>HYPERLINK("https://klasma.github.io/Logging_2034/tillsynsmail/A 61338-2024 tillsynsbegäran mail.docx", "A 61338-2024")</f>
        <v/>
      </c>
      <c r="AD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46223</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s="2" t="inlineStr">
        <is>
          <t>Garnlav
Rotfingersvamp
Skrovlig taggsvamp
Tallgråticka
Backstarr
Dropptaggsvamp
Mjölsvärting
Motaggsvamp
Orange taggsvamp
Tallfingersvamp
Talltaggsvamp
Vedskivlav
Mindre märgborre
Spillkråka</t>
        </is>
      </c>
      <c r="V17">
        <f>HYPERLINK("https://klasma.github.io/Logging_2034/artfynd/A 30284-2024 artfynd.xlsx", "A 30284-2024")</f>
        <v/>
      </c>
      <c r="W17">
        <f>HYPERLINK("https://klasma.github.io/Logging_2034/kartor/A 30284-2024 karta.png", "A 30284-2024")</f>
        <v/>
      </c>
      <c r="X17">
        <f>HYPERLINK("https://klasma.github.io/Logging_2034/kartor_geotiff/A 30284-2024 georefererad karta.tif", "A 30284-2024")</f>
        <v/>
      </c>
      <c r="Z17">
        <f>HYPERLINK("https://klasma.github.io/Logging_2034/klagomål/A 30284-2024 FSC-klagomål.docx", "A 30284-2024")</f>
        <v/>
      </c>
      <c r="AA17">
        <f>HYPERLINK("https://klasma.github.io/Logging_2034/klagomålsmail/A 30284-2024 FSC-klagomål mail.docx", "A 30284-2024")</f>
        <v/>
      </c>
      <c r="AB17">
        <f>HYPERLINK("https://klasma.github.io/Logging_2034/tillsyn/A 30284-2024 tillsynsbegäran.docx", "A 30284-2024")</f>
        <v/>
      </c>
      <c r="AC17">
        <f>HYPERLINK("https://klasma.github.io/Logging_2034/tillsynsmail/A 30284-2024 tillsynsbegäran mail.docx", "A 30284-2024")</f>
        <v/>
      </c>
      <c r="AD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46223</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s="2" t="inlineStr">
        <is>
          <t>Garnlav
Rynkskinn
Tretåig hackspett
Violettgrå tagellav
Bronshjon
Gytterlav
Norrlandslav
Spindelblomster
Vedticka
Vågbandad barkbock
Spillkråka
Tjäder
Fläcknycklar
Revlummer</t>
        </is>
      </c>
      <c r="V18">
        <f>HYPERLINK("https://klasma.github.io/Logging_2034/artfynd/A 31137-2025 artfynd.xlsx", "A 31137-2025")</f>
        <v/>
      </c>
      <c r="W18">
        <f>HYPERLINK("https://klasma.github.io/Logging_2034/kartor/A 31137-2025 karta.png", "A 31137-2025")</f>
        <v/>
      </c>
      <c r="X18">
        <f>HYPERLINK("https://klasma.github.io/Logging_2034/kartor_geotiff/A 31137-2025 georefererad karta.tif", "A 31137-2025")</f>
        <v/>
      </c>
      <c r="Z18">
        <f>HYPERLINK("https://klasma.github.io/Logging_2034/klagomål/A 31137-2025 FSC-klagomål.docx", "A 31137-2025")</f>
        <v/>
      </c>
      <c r="AA18">
        <f>HYPERLINK("https://klasma.github.io/Logging_2034/klagomålsmail/A 31137-2025 FSC-klagomål mail.docx", "A 31137-2025")</f>
        <v/>
      </c>
      <c r="AB18">
        <f>HYPERLINK("https://klasma.github.io/Logging_2034/tillsyn/A 31137-2025 tillsynsbegäran.docx", "A 31137-2025")</f>
        <v/>
      </c>
      <c r="AC18">
        <f>HYPERLINK("https://klasma.github.io/Logging_2034/tillsynsmail/A 31137-2025 tillsynsbegäran mail.docx", "A 31137-2025")</f>
        <v/>
      </c>
      <c r="AD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46223</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s="2" t="inlineStr">
        <is>
          <t>Garnlav
Järnsparv
Kolflarnlav
Lunglav
Mörk kolflarnlav
Tallticka
Talltita
Tretåig hackspett
Vedskivlav
Violettgrå tagellav
Mindre märgborre
Nästlav
Spillkråka
Tjäder</t>
        </is>
      </c>
      <c r="V19">
        <f>HYPERLINK("https://klasma.github.io/Logging_2034/artfynd/A 2121-2025 artfynd.xlsx", "A 2121-2025")</f>
        <v/>
      </c>
      <c r="W19">
        <f>HYPERLINK("https://klasma.github.io/Logging_2034/kartor/A 2121-2025 karta.png", "A 2121-2025")</f>
        <v/>
      </c>
      <c r="X19">
        <f>HYPERLINK("https://klasma.github.io/Logging_2034/kartor_geotiff/A 2121-2025 georefererad karta.tif", "A 2121-2025")</f>
        <v/>
      </c>
      <c r="Z19">
        <f>HYPERLINK("https://klasma.github.io/Logging_2034/klagomål/A 2121-2025 FSC-klagomål.docx", "A 2121-2025")</f>
        <v/>
      </c>
      <c r="AA19">
        <f>HYPERLINK("https://klasma.github.io/Logging_2034/klagomålsmail/A 2121-2025 FSC-klagomål mail.docx", "A 2121-2025")</f>
        <v/>
      </c>
      <c r="AB19">
        <f>HYPERLINK("https://klasma.github.io/Logging_2034/tillsyn/A 2121-2025 tillsynsbegäran.docx", "A 2121-2025")</f>
        <v/>
      </c>
      <c r="AC19">
        <f>HYPERLINK("https://klasma.github.io/Logging_2034/tillsynsmail/A 2121-2025 tillsynsbegäran mail.docx", "A 2121-2025")</f>
        <v/>
      </c>
      <c r="AD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46223</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s="2" t="inlineStr">
        <is>
          <t>Garnlav
Bivråk
Björktrast
Dropptaggsvamp
Mörk kolflarnlav
Talltita
Tretåig hackspett
Vedflamlav
Violettgrå tagellav
Bronshjon
Mindre märgborre
Vedticka
Spillkråka
Tjäder</t>
        </is>
      </c>
      <c r="V20">
        <f>HYPERLINK("https://klasma.github.io/Logging_2034/artfynd/A 38047-2025 artfynd.xlsx", "A 38047-2025")</f>
        <v/>
      </c>
      <c r="W20">
        <f>HYPERLINK("https://klasma.github.io/Logging_2034/kartor/A 38047-2025 karta.png", "A 38047-2025")</f>
        <v/>
      </c>
      <c r="X20">
        <f>HYPERLINK("https://klasma.github.io/Logging_2034/kartor_geotiff/A 38047-2025 georefererad karta.tif", "A 38047-2025")</f>
        <v/>
      </c>
      <c r="Z20">
        <f>HYPERLINK("https://klasma.github.io/Logging_2034/klagomål/A 38047-2025 FSC-klagomål.docx", "A 38047-2025")</f>
        <v/>
      </c>
      <c r="AA20">
        <f>HYPERLINK("https://klasma.github.io/Logging_2034/klagomålsmail/A 38047-2025 FSC-klagomål mail.docx", "A 38047-2025")</f>
        <v/>
      </c>
      <c r="AB20">
        <f>HYPERLINK("https://klasma.github.io/Logging_2034/tillsyn/A 38047-2025 tillsynsbegäran.docx", "A 38047-2025")</f>
        <v/>
      </c>
      <c r="AC20">
        <f>HYPERLINK("https://klasma.github.io/Logging_2034/tillsynsmail/A 38047-2025 tillsynsbegäran mail.docx", "A 38047-2025")</f>
        <v/>
      </c>
      <c r="AD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46223</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s="2" t="inlineStr">
        <is>
          <t>Garnlav
Gräddporing
Skuggnål
Dropptaggsvamp
Kolflarnlav
Lunglav
Skrovellav
Tretåig hackspett
Vedskivlav
Violettgrå tagellav
Bårdlav
Stuplav
Vågbandad barkbock
Tjäder</t>
        </is>
      </c>
      <c r="V21">
        <f>HYPERLINK("https://klasma.github.io/Logging_2034/artfynd/A 50728-2022 artfynd.xlsx", "A 50728-2022")</f>
        <v/>
      </c>
      <c r="W21">
        <f>HYPERLINK("https://klasma.github.io/Logging_2034/kartor/A 50728-2022 karta.png", "A 50728-2022")</f>
        <v/>
      </c>
      <c r="X21">
        <f>HYPERLINK("https://klasma.github.io/Logging_2034/kartor_geotiff/A 50728-2022 georefererad karta.tif", "A 50728-2022")</f>
        <v/>
      </c>
      <c r="Z21">
        <f>HYPERLINK("https://klasma.github.io/Logging_2034/klagomål/A 50728-2022 FSC-klagomål.docx", "A 50728-2022")</f>
        <v/>
      </c>
      <c r="AA21">
        <f>HYPERLINK("https://klasma.github.io/Logging_2034/klagomålsmail/A 50728-2022 FSC-klagomål mail.docx", "A 50728-2022")</f>
        <v/>
      </c>
      <c r="AB21">
        <f>HYPERLINK("https://klasma.github.io/Logging_2034/tillsyn/A 50728-2022 tillsynsbegäran.docx", "A 50728-2022")</f>
        <v/>
      </c>
      <c r="AC21">
        <f>HYPERLINK("https://klasma.github.io/Logging_2034/tillsynsmail/A 50728-2022 tillsynsbegäran mail.docx", "A 50728-2022")</f>
        <v/>
      </c>
      <c r="AD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46223</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HYPERLINK("https://klasma.github.io/Logging_2034/kartor_geotiff/S 1383-2026 georefererad karta.tif", "S 1383-2026")</f>
        <v/>
      </c>
      <c r="Y22">
        <f>HYPERLINK("https://klasma.github.io/Logging_2034/knärot/S 1383-2026 karta knärot.png", "S 1383-2026")</f>
        <v/>
      </c>
      <c r="Z22">
        <f>HYPERLINK("https://klasma.github.io/Logging_2034/klagomål/S 1383-2026 FSC-klagomål.docx", "S 1383-2026")</f>
        <v/>
      </c>
      <c r="AA22">
        <f>HYPERLINK("https://klasma.github.io/Logging_2034/klagomålsmail/S 1383-2026 FSC-klagomål mail.docx", "S 1383-2026")</f>
        <v/>
      </c>
      <c r="AB22">
        <f>HYPERLINK("https://klasma.github.io/Logging_2034/tillsyn/S 1383-2026 tillsynsbegäran.docx", "S 1383-2026")</f>
        <v/>
      </c>
      <c r="AC22">
        <f>HYPERLINK("https://klasma.github.io/Logging_2034/tillsynsmail/S 1383-2026 tillsynsbegäran mail.docx", "S 1383-2026")</f>
        <v/>
      </c>
      <c r="AD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46223</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X23">
        <f>HYPERLINK("https://klasma.github.io/Logging_2034/kartor_geotiff/A 62816-2025 georefererad karta.tif", "A 62816-2025")</f>
        <v/>
      </c>
      <c r="Z23">
        <f>HYPERLINK("https://klasma.github.io/Logging_2034/klagomål/A 62816-2025 FSC-klagomål.docx", "A 62816-2025")</f>
        <v/>
      </c>
      <c r="AA23">
        <f>HYPERLINK("https://klasma.github.io/Logging_2034/klagomålsmail/A 62816-2025 FSC-klagomål mail.docx", "A 62816-2025")</f>
        <v/>
      </c>
      <c r="AB23">
        <f>HYPERLINK("https://klasma.github.io/Logging_2034/tillsyn/A 62816-2025 tillsynsbegäran.docx", "A 62816-2025")</f>
        <v/>
      </c>
      <c r="AC23">
        <f>HYPERLINK("https://klasma.github.io/Logging_2034/tillsynsmail/A 62816-2025 tillsynsbegäran mail.docx", "A 62816-2025")</f>
        <v/>
      </c>
      <c r="AD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46223</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s="2" t="inlineStr">
        <is>
          <t>Garnlav
Tretåig hackspett
Bronshjon
Gytterlav
Norrlandslav
Spindelblomster
Vågbandad barkbock
Spillkråka
Tjäder
Fläcknycklar
Revlummer</t>
        </is>
      </c>
      <c r="V24">
        <f>HYPERLINK("https://klasma.github.io/Logging_2034/artfynd/A 31161-2025 artfynd.xlsx", "A 31161-2025")</f>
        <v/>
      </c>
      <c r="W24">
        <f>HYPERLINK("https://klasma.github.io/Logging_2034/kartor/A 31161-2025 karta.png", "A 31161-2025")</f>
        <v/>
      </c>
      <c r="X24">
        <f>HYPERLINK("https://klasma.github.io/Logging_2034/kartor_geotiff/A 31161-2025 georefererad karta.tif", "A 31161-2025")</f>
        <v/>
      </c>
      <c r="Z24">
        <f>HYPERLINK("https://klasma.github.io/Logging_2034/klagomål/A 31161-2025 FSC-klagomål.docx", "A 31161-2025")</f>
        <v/>
      </c>
      <c r="AA24">
        <f>HYPERLINK("https://klasma.github.io/Logging_2034/klagomålsmail/A 31161-2025 FSC-klagomål mail.docx", "A 31161-2025")</f>
        <v/>
      </c>
      <c r="AB24">
        <f>HYPERLINK("https://klasma.github.io/Logging_2034/tillsyn/A 31161-2025 tillsynsbegäran.docx", "A 31161-2025")</f>
        <v/>
      </c>
      <c r="AC24">
        <f>HYPERLINK("https://klasma.github.io/Logging_2034/tillsynsmail/A 31161-2025 tillsynsbegäran mail.docx", "A 31161-2025")</f>
        <v/>
      </c>
      <c r="AD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46223</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s="2" t="inlineStr">
        <is>
          <t>Garnlav
Entita
Ladusvala
Talltagel
Tallticka
Tretåig hackspett
Bronshjon
Mindre märgborre
Spillkråka
Tofsmes
Ärtsångare</t>
        </is>
      </c>
      <c r="V25">
        <f>HYPERLINK("https://klasma.github.io/Logging_2034/artfynd/A 51305-2023 artfynd.xlsx", "A 51305-2023")</f>
        <v/>
      </c>
      <c r="W25">
        <f>HYPERLINK("https://klasma.github.io/Logging_2034/kartor/A 51305-2023 karta.png", "A 51305-2023")</f>
        <v/>
      </c>
      <c r="X25">
        <f>HYPERLINK("https://klasma.github.io/Logging_2034/kartor_geotiff/A 51305-2023 georefererad karta.tif", "A 51305-2023")</f>
        <v/>
      </c>
      <c r="Z25">
        <f>HYPERLINK("https://klasma.github.io/Logging_2034/klagomål/A 51305-2023 FSC-klagomål.docx", "A 51305-2023")</f>
        <v/>
      </c>
      <c r="AA25">
        <f>HYPERLINK("https://klasma.github.io/Logging_2034/klagomålsmail/A 51305-2023 FSC-klagomål mail.docx", "A 51305-2023")</f>
        <v/>
      </c>
      <c r="AB25">
        <f>HYPERLINK("https://klasma.github.io/Logging_2034/tillsyn/A 51305-2023 tillsynsbegäran.docx", "A 51305-2023")</f>
        <v/>
      </c>
      <c r="AC25">
        <f>HYPERLINK("https://klasma.github.io/Logging_2034/tillsynsmail/A 51305-2023 tillsynsbegäran mail.docx", "A 51305-2023")</f>
        <v/>
      </c>
      <c r="AD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46223</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X26">
        <f>HYPERLINK("https://klasma.github.io/Logging_2034/kartor_geotiff/A 49516-2025 georefererad karta.tif", "A 49516-2025")</f>
        <v/>
      </c>
      <c r="Z26">
        <f>HYPERLINK("https://klasma.github.io/Logging_2034/klagomål/A 49516-2025 FSC-klagomål.docx", "A 49516-2025")</f>
        <v/>
      </c>
      <c r="AA26">
        <f>HYPERLINK("https://klasma.github.io/Logging_2034/klagomålsmail/A 49516-2025 FSC-klagomål mail.docx", "A 49516-2025")</f>
        <v/>
      </c>
      <c r="AB26">
        <f>HYPERLINK("https://klasma.github.io/Logging_2034/tillsyn/A 49516-2025 tillsynsbegäran.docx", "A 49516-2025")</f>
        <v/>
      </c>
      <c r="AC26">
        <f>HYPERLINK("https://klasma.github.io/Logging_2034/tillsynsmail/A 49516-2025 tillsynsbegäran mail.docx", "A 49516-2025")</f>
        <v/>
      </c>
      <c r="AD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46223</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X27">
        <f>HYPERLINK("https://klasma.github.io/Logging_2034/kartor_geotiff/A 21630-2026 georefererad karta.tif", "A 21630-2026")</f>
        <v/>
      </c>
      <c r="Z27">
        <f>HYPERLINK("https://klasma.github.io/Logging_2034/klagomål/A 21630-2026 FSC-klagomål.docx", "A 21630-2026")</f>
        <v/>
      </c>
      <c r="AA27">
        <f>HYPERLINK("https://klasma.github.io/Logging_2034/klagomålsmail/A 21630-2026 FSC-klagomål mail.docx", "A 21630-2026")</f>
        <v/>
      </c>
      <c r="AB27">
        <f>HYPERLINK("https://klasma.github.io/Logging_2034/tillsyn/A 21630-2026 tillsynsbegäran.docx", "A 21630-2026")</f>
        <v/>
      </c>
      <c r="AC27">
        <f>HYPERLINK("https://klasma.github.io/Logging_2034/tillsynsmail/A 21630-2026 tillsynsbegäran mail.docx", "A 21630-2026")</f>
        <v/>
      </c>
      <c r="AD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46223</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HYPERLINK("https://klasma.github.io/Logging_2034/kartor_geotiff/A 53634-2021 georefererad karta.tif", "A 53634-2021")</f>
        <v/>
      </c>
      <c r="Y28">
        <f>HYPERLINK("https://klasma.github.io/Logging_2034/knärot/A 53634-2021 karta knärot.png", "A 53634-2021")</f>
        <v/>
      </c>
      <c r="Z28">
        <f>HYPERLINK("https://klasma.github.io/Logging_2034/klagomål/A 53634-2021 FSC-klagomål.docx", "A 53634-2021")</f>
        <v/>
      </c>
      <c r="AA28">
        <f>HYPERLINK("https://klasma.github.io/Logging_2034/klagomålsmail/A 53634-2021 FSC-klagomål mail.docx", "A 53634-2021")</f>
        <v/>
      </c>
      <c r="AB28">
        <f>HYPERLINK("https://klasma.github.io/Logging_2034/tillsyn/A 53634-2021 tillsynsbegäran.docx", "A 53634-2021")</f>
        <v/>
      </c>
      <c r="AC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46223</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s="2" t="inlineStr">
        <is>
          <t>Talltita
Källmossa
Mörk husmossa
Ögonpyrola
Mattlummer
Spillkråka
Kungsfågel
Fläcknycklar
Revlummer</t>
        </is>
      </c>
      <c r="V29">
        <f>HYPERLINK("https://klasma.github.io/Logging_2034/artfynd/A 21476-2026 artfynd.xlsx", "A 21476-2026")</f>
        <v/>
      </c>
      <c r="W29">
        <f>HYPERLINK("https://klasma.github.io/Logging_2034/kartor/A 21476-2026 karta.png", "A 21476-2026")</f>
        <v/>
      </c>
      <c r="X29">
        <f>HYPERLINK("https://klasma.github.io/Logging_2034/kartor_geotiff/A 21476-2026 georefererad karta.tif", "A 21476-2026")</f>
        <v/>
      </c>
      <c r="Z29">
        <f>HYPERLINK("https://klasma.github.io/Logging_2034/klagomål/A 21476-2026 FSC-klagomål.docx", "A 21476-2026")</f>
        <v/>
      </c>
      <c r="AA29">
        <f>HYPERLINK("https://klasma.github.io/Logging_2034/klagomålsmail/A 21476-2026 FSC-klagomål mail.docx", "A 21476-2026")</f>
        <v/>
      </c>
      <c r="AB29">
        <f>HYPERLINK("https://klasma.github.io/Logging_2034/tillsyn/A 21476-2026 tillsynsbegäran.docx", "A 21476-2026")</f>
        <v/>
      </c>
      <c r="AC29">
        <f>HYPERLINK("https://klasma.github.io/Logging_2034/tillsynsmail/A 21476-2026 tillsynsbegäran mail.docx", "A 21476-2026")</f>
        <v/>
      </c>
      <c r="AD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46223</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s="2" t="inlineStr">
        <is>
          <t>Garnlav
Dropptaggsvamp
Kolflarnlav
Mörk kolflarnlav
Varglav
Vedflamlav
Vedskivlav
Mindre märgborre
Spillkråka</t>
        </is>
      </c>
      <c r="V30">
        <f>HYPERLINK("https://klasma.github.io/Logging_2034/artfynd/A 23924-2026 artfynd.xlsx", "A 23924-2026")</f>
        <v/>
      </c>
      <c r="W30">
        <f>HYPERLINK("https://klasma.github.io/Logging_2034/kartor/A 23924-2026 karta.png", "A 23924-2026")</f>
        <v/>
      </c>
      <c r="X30">
        <f>HYPERLINK("https://klasma.github.io/Logging_2034/kartor_geotiff/A 23924-2026 georefererad karta.tif", "A 23924-2026")</f>
        <v/>
      </c>
      <c r="Z30">
        <f>HYPERLINK("https://klasma.github.io/Logging_2034/klagomål/A 23924-2026 FSC-klagomål.docx", "A 23924-2026")</f>
        <v/>
      </c>
      <c r="AA30">
        <f>HYPERLINK("https://klasma.github.io/Logging_2034/klagomålsmail/A 23924-2026 FSC-klagomål mail.docx", "A 23924-2026")</f>
        <v/>
      </c>
      <c r="AB30">
        <f>HYPERLINK("https://klasma.github.io/Logging_2034/tillsyn/A 23924-2026 tillsynsbegäran.docx", "A 23924-2026")</f>
        <v/>
      </c>
      <c r="AC30">
        <f>HYPERLINK("https://klasma.github.io/Logging_2034/tillsynsmail/A 23924-2026 tillsynsbegäran mail.docx", "A 23924-2026")</f>
        <v/>
      </c>
      <c r="AD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46223</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X31">
        <f>HYPERLINK("https://klasma.github.io/Logging_2034/kartor_geotiff/A 39682-2025 georefererad karta.tif", "A 39682-2025")</f>
        <v/>
      </c>
      <c r="Z31">
        <f>HYPERLINK("https://klasma.github.io/Logging_2034/klagomål/A 39682-2025 FSC-klagomål.docx", "A 39682-2025")</f>
        <v/>
      </c>
      <c r="AA31">
        <f>HYPERLINK("https://klasma.github.io/Logging_2034/klagomålsmail/A 39682-2025 FSC-klagomål mail.docx", "A 39682-2025")</f>
        <v/>
      </c>
      <c r="AB31">
        <f>HYPERLINK("https://klasma.github.io/Logging_2034/tillsyn/A 39682-2025 tillsynsbegäran.docx", "A 39682-2025")</f>
        <v/>
      </c>
      <c r="AC31">
        <f>HYPERLINK("https://klasma.github.io/Logging_2034/tillsynsmail/A 39682-2025 tillsynsbegäran mail.docx", "A 39682-2025")</f>
        <v/>
      </c>
      <c r="AD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46223</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X32">
        <f>HYPERLINK("https://klasma.github.io/Logging_2034/kartor_geotiff/A 62829-2025 georefererad karta.tif", "A 62829-2025")</f>
        <v/>
      </c>
      <c r="Z32">
        <f>HYPERLINK("https://klasma.github.io/Logging_2034/klagomål/A 62829-2025 FSC-klagomål.docx", "A 62829-2025")</f>
        <v/>
      </c>
      <c r="AA32">
        <f>HYPERLINK("https://klasma.github.io/Logging_2034/klagomålsmail/A 62829-2025 FSC-klagomål mail.docx", "A 62829-2025")</f>
        <v/>
      </c>
      <c r="AB32">
        <f>HYPERLINK("https://klasma.github.io/Logging_2034/tillsyn/A 62829-2025 tillsynsbegäran.docx", "A 62829-2025")</f>
        <v/>
      </c>
      <c r="AC32">
        <f>HYPERLINK("https://klasma.github.io/Logging_2034/tillsynsmail/A 62829-2025 tillsynsbegäran mail.docx", "A 62829-2025")</f>
        <v/>
      </c>
      <c r="AD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46223</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HYPERLINK("https://klasma.github.io/Logging_2034/kartor_geotiff/A 22647-2022 georefererad karta.tif", "A 22647-2022")</f>
        <v/>
      </c>
      <c r="Y33">
        <f>HYPERLINK("https://klasma.github.io/Logging_2034/knärot/A 22647-2022 karta knärot.png", "A 22647-2022")</f>
        <v/>
      </c>
      <c r="Z33">
        <f>HYPERLINK("https://klasma.github.io/Logging_2034/klagomål/A 22647-2022 FSC-klagomål.docx", "A 22647-2022")</f>
        <v/>
      </c>
      <c r="AA33">
        <f>HYPERLINK("https://klasma.github.io/Logging_2034/klagomålsmail/A 22647-2022 FSC-klagomål mail.docx", "A 22647-2022")</f>
        <v/>
      </c>
      <c r="AB33">
        <f>HYPERLINK("https://klasma.github.io/Logging_2034/tillsyn/A 22647-2022 tillsynsbegäran.docx", "A 22647-2022")</f>
        <v/>
      </c>
      <c r="AC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46223</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s="2" t="inlineStr">
        <is>
          <t>Garnlav
Doftskinn
Knottrig blåslav
Talltagel
Tretåig hackspett
Violettgrå tagellav
Svartvit flugsnappare</t>
        </is>
      </c>
      <c r="V34">
        <f>HYPERLINK("https://klasma.github.io/Logging_2034/artfynd/A 707-2024 artfynd.xlsx", "A 707-2024")</f>
        <v/>
      </c>
      <c r="W34">
        <f>HYPERLINK("https://klasma.github.io/Logging_2034/kartor/A 707-2024 karta.png", "A 707-2024")</f>
        <v/>
      </c>
      <c r="X34">
        <f>HYPERLINK("https://klasma.github.io/Logging_2034/kartor_geotiff/A 707-2024 georefererad karta.tif", "A 707-2024")</f>
        <v/>
      </c>
      <c r="Z34">
        <f>HYPERLINK("https://klasma.github.io/Logging_2034/klagomål/A 707-2024 FSC-klagomål.docx", "A 707-2024")</f>
        <v/>
      </c>
      <c r="AA34">
        <f>HYPERLINK("https://klasma.github.io/Logging_2034/klagomålsmail/A 707-2024 FSC-klagomål mail.docx", "A 707-2024")</f>
        <v/>
      </c>
      <c r="AB34">
        <f>HYPERLINK("https://klasma.github.io/Logging_2034/tillsyn/A 707-2024 tillsynsbegäran.docx", "A 707-2024")</f>
        <v/>
      </c>
      <c r="AC34">
        <f>HYPERLINK("https://klasma.github.io/Logging_2034/tillsynsmail/A 707-2024 tillsynsbegäran mail.docx", "A 707-2024")</f>
        <v/>
      </c>
      <c r="AD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46223</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s="2" t="inlineStr">
        <is>
          <t>Garnlav
Ringlav
Tretåig hackspett
Bronshjon
Mindre märgborre
Rödgul trumpetsvamp
Svavelriska</t>
        </is>
      </c>
      <c r="V35">
        <f>HYPERLINK("https://klasma.github.io/Logging_2034/artfynd/A 62761-2025 artfynd.xlsx", "A 62761-2025")</f>
        <v/>
      </c>
      <c r="W35">
        <f>HYPERLINK("https://klasma.github.io/Logging_2034/kartor/A 62761-2025 karta.png", "A 62761-2025")</f>
        <v/>
      </c>
      <c r="X35">
        <f>HYPERLINK("https://klasma.github.io/Logging_2034/kartor_geotiff/A 62761-2025 georefererad karta.tif", "A 62761-2025")</f>
        <v/>
      </c>
      <c r="Z35">
        <f>HYPERLINK("https://klasma.github.io/Logging_2034/klagomål/A 62761-2025 FSC-klagomål.docx", "A 62761-2025")</f>
        <v/>
      </c>
      <c r="AA35">
        <f>HYPERLINK("https://klasma.github.io/Logging_2034/klagomålsmail/A 62761-2025 FSC-klagomål mail.docx", "A 62761-2025")</f>
        <v/>
      </c>
      <c r="AB35">
        <f>HYPERLINK("https://klasma.github.io/Logging_2034/tillsyn/A 62761-2025 tillsynsbegäran.docx", "A 62761-2025")</f>
        <v/>
      </c>
      <c r="AC35">
        <f>HYPERLINK("https://klasma.github.io/Logging_2034/tillsynsmail/A 62761-2025 tillsynsbegäran mail.docx", "A 62761-2025")</f>
        <v/>
      </c>
      <c r="AD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46223</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s="2" t="inlineStr">
        <is>
          <t>Garnlav
Grönhjon
Lunglav
Mörk kolflarnlav
Tretåig hackspett
Björksplintborre
Tjäder</t>
        </is>
      </c>
      <c r="V36">
        <f>HYPERLINK("https://klasma.github.io/Logging_2034/artfynd/A 8107-2024 artfynd.xlsx", "A 8107-2024")</f>
        <v/>
      </c>
      <c r="W36">
        <f>HYPERLINK("https://klasma.github.io/Logging_2034/kartor/A 8107-2024 karta.png", "A 8107-2024")</f>
        <v/>
      </c>
      <c r="X36">
        <f>HYPERLINK("https://klasma.github.io/Logging_2034/kartor_geotiff/A 8107-2024 georefererad karta.tif", "A 8107-2024")</f>
        <v/>
      </c>
      <c r="Z36">
        <f>HYPERLINK("https://klasma.github.io/Logging_2034/klagomål/A 8107-2024 FSC-klagomål.docx", "A 8107-2024")</f>
        <v/>
      </c>
      <c r="AA36">
        <f>HYPERLINK("https://klasma.github.io/Logging_2034/klagomålsmail/A 8107-2024 FSC-klagomål mail.docx", "A 8107-2024")</f>
        <v/>
      </c>
      <c r="AB36">
        <f>HYPERLINK("https://klasma.github.io/Logging_2034/tillsyn/A 8107-2024 tillsynsbegäran.docx", "A 8107-2024")</f>
        <v/>
      </c>
      <c r="AC36">
        <f>HYPERLINK("https://klasma.github.io/Logging_2034/tillsynsmail/A 8107-2024 tillsynsbegäran mail.docx", "A 8107-2024")</f>
        <v/>
      </c>
      <c r="AD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46223</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X37">
        <f>HYPERLINK("https://klasma.github.io/Logging_2034/kartor_geotiff/A 21919-2026 georefererad karta.tif", "A 21919-2026")</f>
        <v/>
      </c>
      <c r="Z37">
        <f>HYPERLINK("https://klasma.github.io/Logging_2034/klagomål/A 21919-2026 FSC-klagomål.docx", "A 21919-2026")</f>
        <v/>
      </c>
      <c r="AA37">
        <f>HYPERLINK("https://klasma.github.io/Logging_2034/klagomålsmail/A 21919-2026 FSC-klagomål mail.docx", "A 21919-2026")</f>
        <v/>
      </c>
      <c r="AB37">
        <f>HYPERLINK("https://klasma.github.io/Logging_2034/tillsyn/A 21919-2026 tillsynsbegäran.docx", "A 21919-2026")</f>
        <v/>
      </c>
      <c r="AC37">
        <f>HYPERLINK("https://klasma.github.io/Logging_2034/tillsynsmail/A 21919-2026 tillsynsbegäran mail.docx", "A 21919-2026")</f>
        <v/>
      </c>
      <c r="AD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46223</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s="2" t="inlineStr">
        <is>
          <t>Garnlav
Mörk kolflarnlav
Tretåig hackspett
Violettgrå tagellav
Bronshjon
Mindre märgborre</t>
        </is>
      </c>
      <c r="V38">
        <f>HYPERLINK("https://klasma.github.io/Logging_2034/artfynd/A 62748-2025 artfynd.xlsx", "A 62748-2025")</f>
        <v/>
      </c>
      <c r="W38">
        <f>HYPERLINK("https://klasma.github.io/Logging_2034/kartor/A 62748-2025 karta.png", "A 62748-2025")</f>
        <v/>
      </c>
      <c r="X38">
        <f>HYPERLINK("https://klasma.github.io/Logging_2034/kartor_geotiff/A 62748-2025 georefererad karta.tif", "A 62748-2025")</f>
        <v/>
      </c>
      <c r="Z38">
        <f>HYPERLINK("https://klasma.github.io/Logging_2034/klagomål/A 62748-2025 FSC-klagomål.docx", "A 62748-2025")</f>
        <v/>
      </c>
      <c r="AA38">
        <f>HYPERLINK("https://klasma.github.io/Logging_2034/klagomålsmail/A 62748-2025 FSC-klagomål mail.docx", "A 62748-2025")</f>
        <v/>
      </c>
      <c r="AB38">
        <f>HYPERLINK("https://klasma.github.io/Logging_2034/tillsyn/A 62748-2025 tillsynsbegäran.docx", "A 62748-2025")</f>
        <v/>
      </c>
      <c r="AC38">
        <f>HYPERLINK("https://klasma.github.io/Logging_2034/tillsynsmail/A 62748-2025 tillsynsbegäran mail.docx", "A 62748-2025")</f>
        <v/>
      </c>
      <c r="AD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46223</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s="2" t="inlineStr">
        <is>
          <t>Garnlav
Lavskrika
Tallfingersvamp
Tretåig hackspett
Spillkråka
Revlummer</t>
        </is>
      </c>
      <c r="V39">
        <f>HYPERLINK("https://klasma.github.io/Logging_2034/artfynd/A 22172-2025 artfynd.xlsx", "A 22172-2025")</f>
        <v/>
      </c>
      <c r="W39">
        <f>HYPERLINK("https://klasma.github.io/Logging_2034/kartor/A 22172-2025 karta.png", "A 22172-2025")</f>
        <v/>
      </c>
      <c r="X39">
        <f>HYPERLINK("https://klasma.github.io/Logging_2034/kartor_geotiff/A 22172-2025 georefererad karta.tif", "A 22172-2025")</f>
        <v/>
      </c>
      <c r="Z39">
        <f>HYPERLINK("https://klasma.github.io/Logging_2034/klagomål/A 22172-2025 FSC-klagomål.docx", "A 22172-2025")</f>
        <v/>
      </c>
      <c r="AA39">
        <f>HYPERLINK("https://klasma.github.io/Logging_2034/klagomålsmail/A 22172-2025 FSC-klagomål mail.docx", "A 22172-2025")</f>
        <v/>
      </c>
      <c r="AB39">
        <f>HYPERLINK("https://klasma.github.io/Logging_2034/tillsyn/A 22172-2025 tillsynsbegäran.docx", "A 22172-2025")</f>
        <v/>
      </c>
      <c r="AC39">
        <f>HYPERLINK("https://klasma.github.io/Logging_2034/tillsynsmail/A 22172-2025 tillsynsbegäran mail.docx", "A 22172-2025")</f>
        <v/>
      </c>
      <c r="AD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46223</v>
      </c>
      <c r="F40" t="inlineStr">
        <is>
          <t>DALARNAS LÄN</t>
        </is>
      </c>
      <c r="G40" t="inlineStr">
        <is>
          <t>ORSA</t>
        </is>
      </c>
      <c r="I40" t="n">
        <v>2.3</v>
      </c>
      <c r="J40" t="n">
        <v>4</v>
      </c>
      <c r="K40" t="n">
        <v>1</v>
      </c>
      <c r="L40" t="n">
        <v>1</v>
      </c>
      <c r="M40" t="n">
        <v>0</v>
      </c>
      <c r="N40" t="n">
        <v>0</v>
      </c>
      <c r="O40" t="n">
        <v>0</v>
      </c>
      <c r="P40" t="n">
        <v>0</v>
      </c>
      <c r="Q40" t="n">
        <v>1</v>
      </c>
      <c r="R40" t="n">
        <v>0</v>
      </c>
      <c r="S40" t="n">
        <v>6</v>
      </c>
      <c r="T40" t="n">
        <v>8</v>
      </c>
      <c r="U40" s="2" t="inlineStr">
        <is>
          <t>Blå taggsvamp
Mindre märgborre
Spillkråka
Grönsiska
Svartvit flugsnappare
Trädlärka</t>
        </is>
      </c>
      <c r="V40">
        <f>HYPERLINK("https://klasma.github.io/Logging_2034/artfynd/A 22778-2026 artfynd.xlsx", "A 22778-2026")</f>
        <v/>
      </c>
      <c r="W40">
        <f>HYPERLINK("https://klasma.github.io/Logging_2034/kartor/A 22778-2026 karta.png", "A 22778-2026")</f>
        <v/>
      </c>
      <c r="X40">
        <f>HYPERLINK("https://klasma.github.io/Logging_2034/kartor_geotiff/A 22778-2026 georefererad karta.tif", "A 22778-2026")</f>
        <v/>
      </c>
      <c r="Z40">
        <f>HYPERLINK("https://klasma.github.io/Logging_2034/klagomål/A 22778-2026 FSC-klagomål.docx", "A 22778-2026")</f>
        <v/>
      </c>
      <c r="AA40">
        <f>HYPERLINK("https://klasma.github.io/Logging_2034/klagomålsmail/A 22778-2026 FSC-klagomål mail.docx", "A 22778-2026")</f>
        <v/>
      </c>
      <c r="AB40">
        <f>HYPERLINK("https://klasma.github.io/Logging_2034/tillsyn/A 22778-2026 tillsynsbegäran.docx", "A 22778-2026")</f>
        <v/>
      </c>
      <c r="AC40">
        <f>HYPERLINK("https://klasma.github.io/Logging_2034/tillsynsmail/A 22778-2026 tillsynsbegäran mail.docx", "A 22778-2026")</f>
        <v/>
      </c>
      <c r="AD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46223</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s="2" t="inlineStr">
        <is>
          <t>Garnlav
Violettgrå tagellav
Bronshjon
Plattlummer
Mattlummer
Fläcknycklar</t>
        </is>
      </c>
      <c r="V41">
        <f>HYPERLINK("https://klasma.github.io/Logging_2034/artfynd/A 29720-2026 artfynd.xlsx", "A 29720-2026")</f>
        <v/>
      </c>
      <c r="W41">
        <f>HYPERLINK("https://klasma.github.io/Logging_2034/kartor/A 29720-2026 karta.png", "A 29720-2026")</f>
        <v/>
      </c>
      <c r="X41">
        <f>HYPERLINK("https://klasma.github.io/Logging_2034/kartor_geotiff/A 29720-2026 georefererad karta.tif", "A 29720-2026")</f>
        <v/>
      </c>
      <c r="Z41">
        <f>HYPERLINK("https://klasma.github.io/Logging_2034/klagomål/A 29720-2026 FSC-klagomål.docx", "A 29720-2026")</f>
        <v/>
      </c>
      <c r="AA41">
        <f>HYPERLINK("https://klasma.github.io/Logging_2034/klagomålsmail/A 29720-2026 FSC-klagomål mail.docx", "A 29720-2026")</f>
        <v/>
      </c>
      <c r="AB41">
        <f>HYPERLINK("https://klasma.github.io/Logging_2034/tillsyn/A 29720-2026 tillsynsbegäran.docx", "A 29720-2026")</f>
        <v/>
      </c>
      <c r="AC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46223</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s="2" t="inlineStr">
        <is>
          <t>Garnlav
Tretåig hackspett
Bronshjon
Vanlig flatbagge
Vedticka
Tjäder</t>
        </is>
      </c>
      <c r="V42">
        <f>HYPERLINK("https://klasma.github.io/Logging_2034/artfynd/A 21799-2026 artfynd.xlsx", "A 21799-2026")</f>
        <v/>
      </c>
      <c r="W42">
        <f>HYPERLINK("https://klasma.github.io/Logging_2034/kartor/A 21799-2026 karta.png", "A 21799-2026")</f>
        <v/>
      </c>
      <c r="X42">
        <f>HYPERLINK("https://klasma.github.io/Logging_2034/kartor_geotiff/A 21799-2026 georefererad karta.tif", "A 21799-2026")</f>
        <v/>
      </c>
      <c r="Z42">
        <f>HYPERLINK("https://klasma.github.io/Logging_2034/klagomål/A 21799-2026 FSC-klagomål.docx", "A 21799-2026")</f>
        <v/>
      </c>
      <c r="AA42">
        <f>HYPERLINK("https://klasma.github.io/Logging_2034/klagomålsmail/A 21799-2026 FSC-klagomål mail.docx", "A 21799-2026")</f>
        <v/>
      </c>
      <c r="AB42">
        <f>HYPERLINK("https://klasma.github.io/Logging_2034/tillsyn/A 21799-2026 tillsynsbegäran.docx", "A 21799-2026")</f>
        <v/>
      </c>
      <c r="AC42">
        <f>HYPERLINK("https://klasma.github.io/Logging_2034/tillsynsmail/A 21799-2026 tillsynsbegäran mail.docx", "A 21799-2026")</f>
        <v/>
      </c>
      <c r="AD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46223</v>
      </c>
      <c r="F43" t="inlineStr">
        <is>
          <t>DALARNAS LÄN</t>
        </is>
      </c>
      <c r="G43" t="inlineStr">
        <is>
          <t>ORSA</t>
        </is>
      </c>
      <c r="I43" t="n">
        <v>2.8</v>
      </c>
      <c r="J43" t="n">
        <v>0</v>
      </c>
      <c r="K43" t="n">
        <v>0</v>
      </c>
      <c r="L43" t="n">
        <v>4</v>
      </c>
      <c r="M43" t="n">
        <v>1</v>
      </c>
      <c r="N43" t="n">
        <v>0</v>
      </c>
      <c r="O43" t="n">
        <v>0</v>
      </c>
      <c r="P43" t="n">
        <v>0</v>
      </c>
      <c r="Q43" t="n">
        <v>5</v>
      </c>
      <c r="R43" t="n">
        <v>1</v>
      </c>
      <c r="S43" t="n">
        <v>5</v>
      </c>
      <c r="T43" t="n">
        <v>8</v>
      </c>
      <c r="U43" s="2" t="inlineStr">
        <is>
          <t>Garnlav
Rosenticka
Rynkskinn
Ullticka
Vedtrappmossa</t>
        </is>
      </c>
      <c r="V43">
        <f>HYPERLINK("https://klasma.github.io/Logging_2034/artfynd/A 883-2026 artfynd.xlsx", "A 883-2026")</f>
        <v/>
      </c>
      <c r="W43">
        <f>HYPERLINK("https://klasma.github.io/Logging_2034/kartor/A 883-2026 karta.png", "A 883-2026")</f>
        <v/>
      </c>
      <c r="X43">
        <f>HYPERLINK("https://klasma.github.io/Logging_2034/kartor_geotiff/A 883-2026 georefererad karta.tif", "A 883-2026")</f>
        <v/>
      </c>
      <c r="Z43">
        <f>HYPERLINK("https://klasma.github.io/Logging_2034/klagomål/A 883-2026 FSC-klagomål.docx", "A 883-2026")</f>
        <v/>
      </c>
      <c r="AA43">
        <f>HYPERLINK("https://klasma.github.io/Logging_2034/klagomålsmail/A 883-2026 FSC-klagomål mail.docx", "A 883-2026")</f>
        <v/>
      </c>
      <c r="AB43">
        <f>HYPERLINK("https://klasma.github.io/Logging_2034/tillsyn/A 883-2026 tillsynsbegäran.docx", "A 883-2026")</f>
        <v/>
      </c>
      <c r="AC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46223</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s="2" t="inlineStr">
        <is>
          <t>Garnlav
Lavskrika
Tretåig hackspett
Violettgrå tagellav
Vitgrynig nållav</t>
        </is>
      </c>
      <c r="V44">
        <f>HYPERLINK("https://klasma.github.io/Logging_2034/artfynd/A 33366-2023 artfynd.xlsx", "A 33366-2023")</f>
        <v/>
      </c>
      <c r="W44">
        <f>HYPERLINK("https://klasma.github.io/Logging_2034/kartor/A 33366-2023 karta.png", "A 33366-2023")</f>
        <v/>
      </c>
      <c r="X44">
        <f>HYPERLINK("https://klasma.github.io/Logging_2034/kartor_geotiff/A 33366-2023 georefererad karta.tif", "A 33366-2023")</f>
        <v/>
      </c>
      <c r="Z44">
        <f>HYPERLINK("https://klasma.github.io/Logging_2034/klagomål/A 33366-2023 FSC-klagomål.docx", "A 33366-2023")</f>
        <v/>
      </c>
      <c r="AA44">
        <f>HYPERLINK("https://klasma.github.io/Logging_2034/klagomålsmail/A 33366-2023 FSC-klagomål mail.docx", "A 33366-2023")</f>
        <v/>
      </c>
      <c r="AB44">
        <f>HYPERLINK("https://klasma.github.io/Logging_2034/tillsyn/A 33366-2023 tillsynsbegäran.docx", "A 33366-2023")</f>
        <v/>
      </c>
      <c r="AC44">
        <f>HYPERLINK("https://klasma.github.io/Logging_2034/tillsynsmail/A 33366-2023 tillsynsbegäran mail.docx", "A 33366-2023")</f>
        <v/>
      </c>
      <c r="AD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46223</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s="2" t="inlineStr">
        <is>
          <t>Garnlav
Talltagel
Tallticka
Mindre märgborre
Spillkråka</t>
        </is>
      </c>
      <c r="V45">
        <f>HYPERLINK("https://klasma.github.io/Logging_2034/artfynd/A 51289-2023 artfynd.xlsx", "A 51289-2023")</f>
        <v/>
      </c>
      <c r="W45">
        <f>HYPERLINK("https://klasma.github.io/Logging_2034/kartor/A 51289-2023 karta.png", "A 51289-2023")</f>
        <v/>
      </c>
      <c r="X45">
        <f>HYPERLINK("https://klasma.github.io/Logging_2034/kartor_geotiff/A 51289-2023 georefererad karta.tif", "A 51289-2023")</f>
        <v/>
      </c>
      <c r="Z45">
        <f>HYPERLINK("https://klasma.github.io/Logging_2034/klagomål/A 51289-2023 FSC-klagomål.docx", "A 51289-2023")</f>
        <v/>
      </c>
      <c r="AA45">
        <f>HYPERLINK("https://klasma.github.io/Logging_2034/klagomålsmail/A 51289-2023 FSC-klagomål mail.docx", "A 51289-2023")</f>
        <v/>
      </c>
      <c r="AB45">
        <f>HYPERLINK("https://klasma.github.io/Logging_2034/tillsyn/A 51289-2023 tillsynsbegäran.docx", "A 51289-2023")</f>
        <v/>
      </c>
      <c r="AC45">
        <f>HYPERLINK("https://klasma.github.io/Logging_2034/tillsynsmail/A 51289-2023 tillsynsbegäran mail.docx", "A 51289-2023")</f>
        <v/>
      </c>
      <c r="AD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46223</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s="2" t="inlineStr">
        <is>
          <t>Garnlav
Tretåig hackspett
Ullticka
Violettgrå tagellav</t>
        </is>
      </c>
      <c r="V46">
        <f>HYPERLINK("https://klasma.github.io/Logging_2034/artfynd/A 8579-2025 artfynd.xlsx", "A 8579-2025")</f>
        <v/>
      </c>
      <c r="W46">
        <f>HYPERLINK("https://klasma.github.io/Logging_2034/kartor/A 8579-2025 karta.png", "A 8579-2025")</f>
        <v/>
      </c>
      <c r="X46">
        <f>HYPERLINK("https://klasma.github.io/Logging_2034/kartor_geotiff/A 8579-2025 georefererad karta.tif", "A 8579-2025")</f>
        <v/>
      </c>
      <c r="Z46">
        <f>HYPERLINK("https://klasma.github.io/Logging_2034/klagomål/A 8579-2025 FSC-klagomål.docx", "A 8579-2025")</f>
        <v/>
      </c>
      <c r="AA46">
        <f>HYPERLINK("https://klasma.github.io/Logging_2034/klagomålsmail/A 8579-2025 FSC-klagomål mail.docx", "A 8579-2025")</f>
        <v/>
      </c>
      <c r="AB46">
        <f>HYPERLINK("https://klasma.github.io/Logging_2034/tillsyn/A 8579-2025 tillsynsbegäran.docx", "A 8579-2025")</f>
        <v/>
      </c>
      <c r="AC46">
        <f>HYPERLINK("https://klasma.github.io/Logging_2034/tillsynsmail/A 8579-2025 tillsynsbegäran mail.docx", "A 8579-2025")</f>
        <v/>
      </c>
      <c r="AD46">
        <f>HYPERLINK("https://klasma.github.io/Logging_2034/fåglar/A 8579-2025 prioriterade fågelarter.docx", "A 8579-2025")</f>
        <v/>
      </c>
    </row>
    <row r="47" ht="15" customHeight="1">
      <c r="A47" t="inlineStr">
        <is>
          <t>A 51070-2025</t>
        </is>
      </c>
      <c r="B47" t="inlineStr">
        <is>
          <t>avverkningsanmälan</t>
        </is>
      </c>
      <c r="C47" t="inlineStr">
        <is>
          <t>Föryngringsavverkning</t>
        </is>
      </c>
      <c r="D47" s="1" t="n">
        <v>45947</v>
      </c>
      <c r="E47" s="1" t="n">
        <v>46223</v>
      </c>
      <c r="F47" t="inlineStr">
        <is>
          <t>DALARNAS LÄN</t>
        </is>
      </c>
      <c r="G47" t="inlineStr">
        <is>
          <t>ORSA</t>
        </is>
      </c>
      <c r="I47" t="n">
        <v>2.8</v>
      </c>
      <c r="J47" t="n">
        <v>2</v>
      </c>
      <c r="K47" t="n">
        <v>0</v>
      </c>
      <c r="L47" t="n">
        <v>2</v>
      </c>
      <c r="M47" t="n">
        <v>1</v>
      </c>
      <c r="N47" t="n">
        <v>0</v>
      </c>
      <c r="O47" t="n">
        <v>0</v>
      </c>
      <c r="P47" t="n">
        <v>0</v>
      </c>
      <c r="Q47" t="n">
        <v>3</v>
      </c>
      <c r="R47" t="n">
        <v>1</v>
      </c>
      <c r="S47" t="n">
        <v>4</v>
      </c>
      <c r="T47" t="n">
        <v>7</v>
      </c>
      <c r="U47" s="2" t="inlineStr">
        <is>
          <t>Garnlav
Lunglav
Tretåig hackspett
Tjäder</t>
        </is>
      </c>
      <c r="V47">
        <f>HYPERLINK("https://klasma.github.io/Logging_2034/artfynd/A 51070-2025 artfynd.xlsx", "A 51070-2025")</f>
        <v/>
      </c>
      <c r="W47">
        <f>HYPERLINK("https://klasma.github.io/Logging_2034/kartor/A 51070-2025 karta.png", "A 51070-2025")</f>
        <v/>
      </c>
      <c r="X47">
        <f>HYPERLINK("https://klasma.github.io/Logging_2034/kartor_geotiff/A 51070-2025 georefererad karta.tif", "A 51070-2025")</f>
        <v/>
      </c>
      <c r="Z47">
        <f>HYPERLINK("https://klasma.github.io/Logging_2034/klagomål/A 51070-2025 FSC-klagomål.docx", "A 51070-2025")</f>
        <v/>
      </c>
      <c r="AA47">
        <f>HYPERLINK("https://klasma.github.io/Logging_2034/klagomålsmail/A 51070-2025 FSC-klagomål mail.docx", "A 51070-2025")</f>
        <v/>
      </c>
      <c r="AB47">
        <f>HYPERLINK("https://klasma.github.io/Logging_2034/tillsyn/A 51070-2025 tillsynsbegäran.docx", "A 51070-2025")</f>
        <v/>
      </c>
      <c r="AC47">
        <f>HYPERLINK("https://klasma.github.io/Logging_2034/tillsynsmail/A 51070-2025 tillsynsbegäran mail.docx", "A 51070-2025")</f>
        <v/>
      </c>
      <c r="AD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46223</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s="2" t="inlineStr">
        <is>
          <t>Garnlav
Skogshare
Tretåig hackspett
Spillkråka</t>
        </is>
      </c>
      <c r="V48">
        <f>HYPERLINK("https://klasma.github.io/Logging_2034/artfynd/A 48499-2024 artfynd.xlsx", "A 48499-2024")</f>
        <v/>
      </c>
      <c r="W48">
        <f>HYPERLINK("https://klasma.github.io/Logging_2034/kartor/A 48499-2024 karta.png", "A 48499-2024")</f>
        <v/>
      </c>
      <c r="X48">
        <f>HYPERLINK("https://klasma.github.io/Logging_2034/kartor_geotiff/A 48499-2024 georefererad karta.tif", "A 48499-2024")</f>
        <v/>
      </c>
      <c r="Z48">
        <f>HYPERLINK("https://klasma.github.io/Logging_2034/klagomål/A 48499-2024 FSC-klagomål.docx", "A 48499-2024")</f>
        <v/>
      </c>
      <c r="AA48">
        <f>HYPERLINK("https://klasma.github.io/Logging_2034/klagomålsmail/A 48499-2024 FSC-klagomål mail.docx", "A 48499-2024")</f>
        <v/>
      </c>
      <c r="AB48">
        <f>HYPERLINK("https://klasma.github.io/Logging_2034/tillsyn/A 48499-2024 tillsynsbegäran.docx", "A 48499-2024")</f>
        <v/>
      </c>
      <c r="AC48">
        <f>HYPERLINK("https://klasma.github.io/Logging_2034/tillsynsmail/A 48499-2024 tillsynsbegäran mail.docx", "A 48499-2024")</f>
        <v/>
      </c>
      <c r="AD48">
        <f>HYPERLINK("https://klasma.github.io/Logging_2034/fåglar/A 48499-2024 prioriterade fågelarter.docx", "A 48499-2024")</f>
        <v/>
      </c>
    </row>
    <row r="49" ht="15" customHeight="1">
      <c r="A49" t="inlineStr">
        <is>
          <t>A 62837-2025</t>
        </is>
      </c>
      <c r="B49" t="inlineStr">
        <is>
          <t>avverkningsanmälan</t>
        </is>
      </c>
      <c r="C49" t="inlineStr">
        <is>
          <t>Föryngringsavverkning</t>
        </is>
      </c>
      <c r="D49" s="1" t="n">
        <v>46008</v>
      </c>
      <c r="E49" s="1" t="n">
        <v>46223</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s="2" t="inlineStr">
        <is>
          <t>Garnlav
Tretåig hackspett
Järpe
Spillkråka</t>
        </is>
      </c>
      <c r="V49">
        <f>HYPERLINK("https://klasma.github.io/Logging_2034/artfynd/A 62837-2025 artfynd.xlsx", "A 62837-2025")</f>
        <v/>
      </c>
      <c r="W49">
        <f>HYPERLINK("https://klasma.github.io/Logging_2034/kartor/A 62837-2025 karta.png", "A 62837-2025")</f>
        <v/>
      </c>
      <c r="X49">
        <f>HYPERLINK("https://klasma.github.io/Logging_2034/kartor_geotiff/A 62837-2025 georefererad karta.tif", "A 62837-2025")</f>
        <v/>
      </c>
      <c r="Z49">
        <f>HYPERLINK("https://klasma.github.io/Logging_2034/klagomål/A 62837-2025 FSC-klagomål.docx", "A 62837-2025")</f>
        <v/>
      </c>
      <c r="AA49">
        <f>HYPERLINK("https://klasma.github.io/Logging_2034/klagomålsmail/A 62837-2025 FSC-klagomål mail.docx", "A 62837-2025")</f>
        <v/>
      </c>
      <c r="AB49">
        <f>HYPERLINK("https://klasma.github.io/Logging_2034/tillsyn/A 62837-2025 tillsynsbegäran.docx", "A 62837-2025")</f>
        <v/>
      </c>
      <c r="AC49">
        <f>HYPERLINK("https://klasma.github.io/Logging_2034/tillsynsmail/A 62837-2025 tillsynsbegäran mail.docx", "A 62837-2025")</f>
        <v/>
      </c>
      <c r="AD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46223</v>
      </c>
      <c r="F50" t="inlineStr">
        <is>
          <t>DALARNAS LÄN</t>
        </is>
      </c>
      <c r="G50" t="inlineStr">
        <is>
          <t>ORSA</t>
        </is>
      </c>
      <c r="I50" t="n">
        <v>5.8</v>
      </c>
      <c r="J50" t="n">
        <v>3</v>
      </c>
      <c r="K50" t="n">
        <v>2</v>
      </c>
      <c r="L50" t="n">
        <v>0</v>
      </c>
      <c r="M50" t="n">
        <v>0</v>
      </c>
      <c r="N50" t="n">
        <v>0</v>
      </c>
      <c r="O50" t="n">
        <v>0</v>
      </c>
      <c r="P50" t="n">
        <v>0</v>
      </c>
      <c r="Q50" t="n">
        <v>0</v>
      </c>
      <c r="R50" t="n">
        <v>0</v>
      </c>
      <c r="S50" t="n">
        <v>4</v>
      </c>
      <c r="T50" t="n">
        <v>4</v>
      </c>
      <c r="U50" s="2" t="inlineStr">
        <is>
          <t>Guckusko
Tibast
Blåsippa
Fläcknycklar</t>
        </is>
      </c>
      <c r="V50">
        <f>HYPERLINK("https://klasma.github.io/Logging_2034/artfynd/A 18009-2023 artfynd.xlsx", "A 18009-2023")</f>
        <v/>
      </c>
      <c r="W50">
        <f>HYPERLINK("https://klasma.github.io/Logging_2034/kartor/A 18009-2023 karta.png", "A 18009-2023")</f>
        <v/>
      </c>
      <c r="X50">
        <f>HYPERLINK("https://klasma.github.io/Logging_2034/kartor_geotiff/A 18009-2023 georefererad karta.tif", "A 18009-2023")</f>
        <v/>
      </c>
      <c r="Z50">
        <f>HYPERLINK("https://klasma.github.io/Logging_2034/klagomål/A 18009-2023 FSC-klagomål.docx", "A 18009-2023")</f>
        <v/>
      </c>
      <c r="AA50">
        <f>HYPERLINK("https://klasma.github.io/Logging_2034/klagomålsmail/A 18009-2023 FSC-klagomål mail.docx", "A 18009-2023")</f>
        <v/>
      </c>
      <c r="AB50">
        <f>HYPERLINK("https://klasma.github.io/Logging_2034/tillsyn/A 18009-2023 tillsynsbegäran.docx", "A 18009-2023")</f>
        <v/>
      </c>
      <c r="AC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46223</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X51">
        <f>HYPERLINK("https://klasma.github.io/Logging_2034/kartor_geotiff/A 35570-2024 georefererad karta.tif", "A 35570-2024")</f>
        <v/>
      </c>
      <c r="Z51">
        <f>HYPERLINK("https://klasma.github.io/Logging_2034/klagomål/A 35570-2024 FSC-klagomål.docx", "A 35570-2024")</f>
        <v/>
      </c>
      <c r="AA51">
        <f>HYPERLINK("https://klasma.github.io/Logging_2034/klagomålsmail/A 35570-2024 FSC-klagomål mail.docx", "A 35570-2024")</f>
        <v/>
      </c>
      <c r="AB51">
        <f>HYPERLINK("https://klasma.github.io/Logging_2034/tillsyn/A 35570-2024 tillsynsbegäran.docx", "A 35570-2024")</f>
        <v/>
      </c>
      <c r="AC51">
        <f>HYPERLINK("https://klasma.github.io/Logging_2034/tillsynsmail/A 35570-2024 tillsynsbegäran mail.docx", "A 35570-2024")</f>
        <v/>
      </c>
      <c r="AD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46223</v>
      </c>
      <c r="F52" t="inlineStr">
        <is>
          <t>DALARNAS LÄN</t>
        </is>
      </c>
      <c r="G52" t="inlineStr">
        <is>
          <t>ORSA</t>
        </is>
      </c>
      <c r="I52" t="n">
        <v>1.2</v>
      </c>
      <c r="J52" t="n">
        <v>1</v>
      </c>
      <c r="K52" t="n">
        <v>1</v>
      </c>
      <c r="L52" t="n">
        <v>2</v>
      </c>
      <c r="M52" t="n">
        <v>1</v>
      </c>
      <c r="N52" t="n">
        <v>0</v>
      </c>
      <c r="O52" t="n">
        <v>0</v>
      </c>
      <c r="P52" t="n">
        <v>0</v>
      </c>
      <c r="Q52" t="n">
        <v>3</v>
      </c>
      <c r="R52" t="n">
        <v>1</v>
      </c>
      <c r="S52" t="n">
        <v>4</v>
      </c>
      <c r="T52" t="n">
        <v>5</v>
      </c>
      <c r="U52" s="2" t="inlineStr">
        <is>
          <t>Garnlav
Tretåig hackspett
Violettgrå tagellav
Mindre märgborre</t>
        </is>
      </c>
      <c r="V52">
        <f>HYPERLINK("https://klasma.github.io/Logging_2034/artfynd/A 21747-2025 artfynd.xlsx", "A 21747-2025")</f>
        <v/>
      </c>
      <c r="W52">
        <f>HYPERLINK("https://klasma.github.io/Logging_2034/kartor/A 21747-2025 karta.png", "A 21747-2025")</f>
        <v/>
      </c>
      <c r="X52">
        <f>HYPERLINK("https://klasma.github.io/Logging_2034/kartor_geotiff/A 21747-2025 georefererad karta.tif", "A 21747-2025")</f>
        <v/>
      </c>
      <c r="Z52">
        <f>HYPERLINK("https://klasma.github.io/Logging_2034/klagomål/A 21747-2025 FSC-klagomål.docx", "A 21747-2025")</f>
        <v/>
      </c>
      <c r="AA52">
        <f>HYPERLINK("https://klasma.github.io/Logging_2034/klagomålsmail/A 21747-2025 FSC-klagomål mail.docx", "A 21747-2025")</f>
        <v/>
      </c>
      <c r="AB52">
        <f>HYPERLINK("https://klasma.github.io/Logging_2034/tillsyn/A 21747-2025 tillsynsbegäran.docx", "A 21747-2025")</f>
        <v/>
      </c>
      <c r="AC52">
        <f>HYPERLINK("https://klasma.github.io/Logging_2034/tillsynsmail/A 21747-2025 tillsynsbegäran mail.docx", "A 21747-2025")</f>
        <v/>
      </c>
      <c r="AD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46223</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X53">
        <f>HYPERLINK("https://klasma.github.io/Logging_2034/kartor_geotiff/A 41553-2025 georefererad karta.tif", "A 41553-2025")</f>
        <v/>
      </c>
      <c r="Z53">
        <f>HYPERLINK("https://klasma.github.io/Logging_2034/klagomål/A 41553-2025 FSC-klagomål.docx", "A 41553-2025")</f>
        <v/>
      </c>
      <c r="AA53">
        <f>HYPERLINK("https://klasma.github.io/Logging_2034/klagomålsmail/A 41553-2025 FSC-klagomål mail.docx", "A 41553-2025")</f>
        <v/>
      </c>
      <c r="AB53">
        <f>HYPERLINK("https://klasma.github.io/Logging_2034/tillsyn/A 41553-2025 tillsynsbegäran.docx", "A 41553-2025")</f>
        <v/>
      </c>
      <c r="AC53">
        <f>HYPERLINK("https://klasma.github.io/Logging_2034/tillsynsmail/A 41553-2025 tillsynsbegäran mail.docx", "A 41553-2025")</f>
        <v/>
      </c>
    </row>
    <row r="54" ht="15" customHeight="1">
      <c r="A54" t="inlineStr">
        <is>
          <t>A 37457-2025</t>
        </is>
      </c>
      <c r="B54" t="inlineStr">
        <is>
          <t>avverkningsanmälan</t>
        </is>
      </c>
      <c r="C54" t="inlineStr">
        <is>
          <t>Föryngringsavverkning</t>
        </is>
      </c>
      <c r="D54" s="1" t="n">
        <v>45877</v>
      </c>
      <c r="E54" s="1" t="n">
        <v>46223</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s="2" t="inlineStr">
        <is>
          <t>Urskogsporing
Blanksvart spiklav
Dvärgbägarlav</t>
        </is>
      </c>
      <c r="V54">
        <f>HYPERLINK("https://klasma.github.io/Logging_2034/artfynd/A 37457-2025 artfynd.xlsx", "A 37457-2025")</f>
        <v/>
      </c>
      <c r="W54">
        <f>HYPERLINK("https://klasma.github.io/Logging_2034/kartor/A 37457-2025 karta.png", "A 37457-2025")</f>
        <v/>
      </c>
      <c r="X54">
        <f>HYPERLINK("https://klasma.github.io/Logging_2034/kartor_geotiff/A 37457-2025 georefererad karta.tif", "A 37457-2025")</f>
        <v/>
      </c>
      <c r="Z54">
        <f>HYPERLINK("https://klasma.github.io/Logging_2034/klagomål/A 37457-2025 FSC-klagomål.docx", "A 37457-2025")</f>
        <v/>
      </c>
      <c r="AA54">
        <f>HYPERLINK("https://klasma.github.io/Logging_2034/klagomålsmail/A 37457-2025 FSC-klagomål mail.docx", "A 37457-2025")</f>
        <v/>
      </c>
      <c r="AB54">
        <f>HYPERLINK("https://klasma.github.io/Logging_2034/tillsyn/A 37457-2025 tillsynsbegäran.docx", "A 37457-2025")</f>
        <v/>
      </c>
      <c r="AC54">
        <f>HYPERLINK("https://klasma.github.io/Logging_2034/tillsynsmail/A 37457-2025 tillsynsbegäran mail.docx", "A 37457-2025")</f>
        <v/>
      </c>
    </row>
    <row r="55" ht="15" customHeight="1">
      <c r="A55" t="inlineStr">
        <is>
          <t>A 56344-2025</t>
        </is>
      </c>
      <c r="B55" t="inlineStr">
        <is>
          <t>avverkningsanmälan</t>
        </is>
      </c>
      <c r="C55" t="inlineStr">
        <is>
          <t>Föryngringsavverkning</t>
        </is>
      </c>
      <c r="D55" s="1" t="n">
        <v>45974</v>
      </c>
      <c r="E55" s="1" t="n">
        <v>46223</v>
      </c>
      <c r="F55" t="inlineStr">
        <is>
          <t>DALARNAS LÄN</t>
        </is>
      </c>
      <c r="G55" t="inlineStr">
        <is>
          <t>ORSA</t>
        </is>
      </c>
      <c r="I55" t="n">
        <v>5.5</v>
      </c>
      <c r="J55" t="n">
        <v>2</v>
      </c>
      <c r="K55" t="n">
        <v>2</v>
      </c>
      <c r="L55" t="n">
        <v>1</v>
      </c>
      <c r="M55" t="n">
        <v>0</v>
      </c>
      <c r="N55" t="n">
        <v>0</v>
      </c>
      <c r="O55" t="n">
        <v>0</v>
      </c>
      <c r="P55" t="n">
        <v>0</v>
      </c>
      <c r="Q55" t="n">
        <v>1</v>
      </c>
      <c r="R55" t="n">
        <v>0</v>
      </c>
      <c r="S55" t="n">
        <v>3</v>
      </c>
      <c r="T55" t="n">
        <v>7</v>
      </c>
      <c r="U55" s="2" t="inlineStr">
        <is>
          <t>Backruta
Guckusko
Tvåblad</t>
        </is>
      </c>
      <c r="V55">
        <f>HYPERLINK("https://klasma.github.io/Logging_2034/artfynd/A 56344-2025 artfynd.xlsx", "A 56344-2025")</f>
        <v/>
      </c>
      <c r="W55">
        <f>HYPERLINK("https://klasma.github.io/Logging_2034/kartor/A 56344-2025 karta.png", "A 56344-2025")</f>
        <v/>
      </c>
      <c r="X55">
        <f>HYPERLINK("https://klasma.github.io/Logging_2034/kartor_geotiff/A 56344-2025 georefererad karta.tif", "A 56344-2025")</f>
        <v/>
      </c>
      <c r="Z55">
        <f>HYPERLINK("https://klasma.github.io/Logging_2034/klagomål/A 56344-2025 FSC-klagomål.docx", "A 56344-2025")</f>
        <v/>
      </c>
      <c r="AA55">
        <f>HYPERLINK("https://klasma.github.io/Logging_2034/klagomålsmail/A 56344-2025 FSC-klagomål mail.docx", "A 56344-2025")</f>
        <v/>
      </c>
      <c r="AB55">
        <f>HYPERLINK("https://klasma.github.io/Logging_2034/tillsyn/A 56344-2025 tillsynsbegäran.docx", "A 56344-2025")</f>
        <v/>
      </c>
      <c r="AC55">
        <f>HYPERLINK("https://klasma.github.io/Logging_2034/tillsynsmail/A 56344-2025 tillsynsbegäran mail.docx", "A 56344-2025")</f>
        <v/>
      </c>
    </row>
    <row r="56" ht="15" customHeight="1">
      <c r="A56" t="inlineStr">
        <is>
          <t>A 61163-2025</t>
        </is>
      </c>
      <c r="B56" t="inlineStr">
        <is>
          <t>avverkningsanmälan</t>
        </is>
      </c>
      <c r="C56" t="inlineStr">
        <is>
          <t>Föryngringsavverkning</t>
        </is>
      </c>
      <c r="D56" s="1" t="n">
        <v>46000</v>
      </c>
      <c r="E56" s="1" t="n">
        <v>46223</v>
      </c>
      <c r="F56" t="inlineStr">
        <is>
          <t>DALARNAS LÄN</t>
        </is>
      </c>
      <c r="G56" t="inlineStr">
        <is>
          <t>ORSA</t>
        </is>
      </c>
      <c r="I56" t="n">
        <v>6.4</v>
      </c>
      <c r="J56" t="n">
        <v>1</v>
      </c>
      <c r="K56" t="n">
        <v>1</v>
      </c>
      <c r="L56" t="n">
        <v>0</v>
      </c>
      <c r="M56" t="n">
        <v>1</v>
      </c>
      <c r="N56" t="n">
        <v>0</v>
      </c>
      <c r="O56" t="n">
        <v>0</v>
      </c>
      <c r="P56" t="n">
        <v>0</v>
      </c>
      <c r="Q56" t="n">
        <v>1</v>
      </c>
      <c r="R56" t="n">
        <v>1</v>
      </c>
      <c r="S56" t="n">
        <v>3</v>
      </c>
      <c r="T56" t="n">
        <v>3</v>
      </c>
      <c r="U56" s="2" t="inlineStr">
        <is>
          <t>Garnlav
Mindre märgborre
Mattlummer</t>
        </is>
      </c>
      <c r="V56">
        <f>HYPERLINK("https://klasma.github.io/Logging_2034/artfynd/A 61163-2025 artfynd.xlsx", "A 61163-2025")</f>
        <v/>
      </c>
      <c r="W56">
        <f>HYPERLINK("https://klasma.github.io/Logging_2034/kartor/A 61163-2025 karta.png", "A 61163-2025")</f>
        <v/>
      </c>
      <c r="X56">
        <f>HYPERLINK("https://klasma.github.io/Logging_2034/kartor_geotiff/A 61163-2025 georefererad karta.tif", "A 61163-2025")</f>
        <v/>
      </c>
      <c r="Z56">
        <f>HYPERLINK("https://klasma.github.io/Logging_2034/klagomål/A 61163-2025 FSC-klagomål.docx", "A 61163-2025")</f>
        <v/>
      </c>
      <c r="AA56">
        <f>HYPERLINK("https://klasma.github.io/Logging_2034/klagomålsmail/A 61163-2025 FSC-klagomål mail.docx", "A 61163-2025")</f>
        <v/>
      </c>
      <c r="AB56">
        <f>HYPERLINK("https://klasma.github.io/Logging_2034/tillsyn/A 61163-2025 tillsynsbegäran.docx", "A 61163-2025")</f>
        <v/>
      </c>
      <c r="AC56">
        <f>HYPERLINK("https://klasma.github.io/Logging_2034/tillsynsmail/A 61163-2025 tillsynsbegäran mail.docx", "A 61163-2025")</f>
        <v/>
      </c>
    </row>
    <row r="57" ht="15" customHeight="1">
      <c r="A57" t="inlineStr">
        <is>
          <t>A 31164-2025</t>
        </is>
      </c>
      <c r="B57" t="inlineStr">
        <is>
          <t>avverkningsanmälan</t>
        </is>
      </c>
      <c r="C57" t="inlineStr">
        <is>
          <t>Föryngringsavverkning</t>
        </is>
      </c>
      <c r="D57" s="1" t="n">
        <v>45832</v>
      </c>
      <c r="E57" s="1" t="n">
        <v>46223</v>
      </c>
      <c r="F57" t="inlineStr">
        <is>
          <t>DALARNAS LÄN</t>
        </is>
      </c>
      <c r="G57" t="inlineStr">
        <is>
          <t>ORSA</t>
        </is>
      </c>
      <c r="I57" t="n">
        <v>0.9</v>
      </c>
      <c r="J57" t="n">
        <v>1</v>
      </c>
      <c r="K57" t="n">
        <v>1</v>
      </c>
      <c r="L57" t="n">
        <v>1</v>
      </c>
      <c r="M57" t="n">
        <v>1</v>
      </c>
      <c r="N57" t="n">
        <v>0</v>
      </c>
      <c r="O57" t="n">
        <v>0</v>
      </c>
      <c r="P57" t="n">
        <v>0</v>
      </c>
      <c r="Q57" t="n">
        <v>2</v>
      </c>
      <c r="R57" t="n">
        <v>1</v>
      </c>
      <c r="S57" t="n">
        <v>3</v>
      </c>
      <c r="T57" t="n">
        <v>6</v>
      </c>
      <c r="U57" s="2" t="inlineStr">
        <is>
          <t>Garnlav
Tretåig hackspett
Bronshjon</t>
        </is>
      </c>
      <c r="V57">
        <f>HYPERLINK("https://klasma.github.io/Logging_2034/artfynd/A 31164-2025 artfynd.xlsx", "A 31164-2025")</f>
        <v/>
      </c>
      <c r="W57">
        <f>HYPERLINK("https://klasma.github.io/Logging_2034/kartor/A 31164-2025 karta.png", "A 31164-2025")</f>
        <v/>
      </c>
      <c r="X57">
        <f>HYPERLINK("https://klasma.github.io/Logging_2034/kartor_geotiff/A 31164-2025 georefererad karta.tif", "A 31164-2025")</f>
        <v/>
      </c>
      <c r="Z57">
        <f>HYPERLINK("https://klasma.github.io/Logging_2034/klagomål/A 31164-2025 FSC-klagomål.docx", "A 31164-2025")</f>
        <v/>
      </c>
      <c r="AA57">
        <f>HYPERLINK("https://klasma.github.io/Logging_2034/klagomålsmail/A 31164-2025 FSC-klagomål mail.docx", "A 31164-2025")</f>
        <v/>
      </c>
      <c r="AB57">
        <f>HYPERLINK("https://klasma.github.io/Logging_2034/tillsyn/A 31164-2025 tillsynsbegäran.docx", "A 31164-2025")</f>
        <v/>
      </c>
      <c r="AC57">
        <f>HYPERLINK("https://klasma.github.io/Logging_2034/tillsynsmail/A 31164-2025 tillsynsbegäran mail.docx", "A 31164-2025")</f>
        <v/>
      </c>
      <c r="AD57">
        <f>HYPERLINK("https://klasma.github.io/Logging_2034/fåglar/A 31164-2025 prioriterade fågelarter.docx", "A 31164-2025")</f>
        <v/>
      </c>
    </row>
    <row r="58" ht="15" customHeight="1">
      <c r="A58" t="inlineStr">
        <is>
          <t>A 51303-2023</t>
        </is>
      </c>
      <c r="B58" t="inlineStr">
        <is>
          <t>avverkningsanmälan</t>
        </is>
      </c>
      <c r="C58" t="inlineStr">
        <is>
          <t>Föryngringsavverkning</t>
        </is>
      </c>
      <c r="D58" s="1" t="n">
        <v>45219</v>
      </c>
      <c r="E58" s="1" t="n">
        <v>46223</v>
      </c>
      <c r="F58" t="inlineStr">
        <is>
          <t>DALARNAS LÄN</t>
        </is>
      </c>
      <c r="G58" t="inlineStr">
        <is>
          <t>ORSA</t>
        </is>
      </c>
      <c r="I58" t="n">
        <v>1.8</v>
      </c>
      <c r="J58" t="n">
        <v>1</v>
      </c>
      <c r="K58" t="n">
        <v>1</v>
      </c>
      <c r="L58" t="n">
        <v>1</v>
      </c>
      <c r="M58" t="n">
        <v>0</v>
      </c>
      <c r="N58" t="n">
        <v>0</v>
      </c>
      <c r="O58" t="n">
        <v>0</v>
      </c>
      <c r="P58" t="n">
        <v>0</v>
      </c>
      <c r="Q58" t="n">
        <v>1</v>
      </c>
      <c r="R58" t="n">
        <v>0</v>
      </c>
      <c r="S58" t="n">
        <v>3</v>
      </c>
      <c r="T58" t="n">
        <v>9</v>
      </c>
      <c r="U58" s="2" t="inlineStr">
        <is>
          <t>Tallticka
Mindre märgborre
Spillkråka</t>
        </is>
      </c>
      <c r="V58">
        <f>HYPERLINK("https://klasma.github.io/Logging_2034/artfynd/A 51303-2023 artfynd.xlsx", "A 51303-2023")</f>
        <v/>
      </c>
      <c r="W58">
        <f>HYPERLINK("https://klasma.github.io/Logging_2034/kartor/A 51303-2023 karta.png", "A 51303-2023")</f>
        <v/>
      </c>
      <c r="X58">
        <f>HYPERLINK("https://klasma.github.io/Logging_2034/kartor_geotiff/A 51303-2023 georefererad karta.tif", "A 51303-2023")</f>
        <v/>
      </c>
      <c r="Z58">
        <f>HYPERLINK("https://klasma.github.io/Logging_2034/klagomål/A 51303-2023 FSC-klagomål.docx", "A 51303-2023")</f>
        <v/>
      </c>
      <c r="AA58">
        <f>HYPERLINK("https://klasma.github.io/Logging_2034/klagomålsmail/A 51303-2023 FSC-klagomål mail.docx", "A 51303-2023")</f>
        <v/>
      </c>
      <c r="AB58">
        <f>HYPERLINK("https://klasma.github.io/Logging_2034/tillsyn/A 51303-2023 tillsynsbegäran.docx", "A 51303-2023")</f>
        <v/>
      </c>
      <c r="AC58">
        <f>HYPERLINK("https://klasma.github.io/Logging_2034/tillsynsmail/A 51303-2023 tillsynsbegäran mail.docx", "A 51303-2023")</f>
        <v/>
      </c>
      <c r="AD58">
        <f>HYPERLINK("https://klasma.github.io/Logging_2034/fåglar/A 51303-2023 prioriterade fågelarter.docx", "A 51303-2023")</f>
        <v/>
      </c>
    </row>
    <row r="59" ht="15" customHeight="1">
      <c r="A59" t="inlineStr">
        <is>
          <t>A 64154-2025</t>
        </is>
      </c>
      <c r="B59" t="inlineStr">
        <is>
          <t>avverkningsanmälan</t>
        </is>
      </c>
      <c r="C59" t="inlineStr">
        <is>
          <t>Föryngringsavverkning</t>
        </is>
      </c>
      <c r="D59" s="1" t="n">
        <v>46022</v>
      </c>
      <c r="E59" s="1" t="n">
        <v>46223</v>
      </c>
      <c r="F59" t="inlineStr">
        <is>
          <t>DALARNAS LÄN</t>
        </is>
      </c>
      <c r="G59" t="inlineStr">
        <is>
          <t>ORSA</t>
        </is>
      </c>
      <c r="I59" t="n">
        <v>29.9</v>
      </c>
      <c r="J59" t="n">
        <v>1</v>
      </c>
      <c r="K59" t="n">
        <v>1</v>
      </c>
      <c r="L59" t="n">
        <v>1</v>
      </c>
      <c r="M59" t="n">
        <v>1</v>
      </c>
      <c r="N59" t="n">
        <v>0</v>
      </c>
      <c r="O59" t="n">
        <v>0</v>
      </c>
      <c r="P59" t="n">
        <v>0</v>
      </c>
      <c r="Q59" t="n">
        <v>2</v>
      </c>
      <c r="R59" t="n">
        <v>1</v>
      </c>
      <c r="S59" t="n">
        <v>3</v>
      </c>
      <c r="T59" t="n">
        <v>8</v>
      </c>
      <c r="U59" s="2" t="inlineStr">
        <is>
          <t>Garnlav
Tretåig hackspett
Mindre märgborre</t>
        </is>
      </c>
      <c r="V59">
        <f>HYPERLINK("https://klasma.github.io/Logging_2034/artfynd/A 64154-2025 artfynd.xlsx", "A 64154-2025")</f>
        <v/>
      </c>
      <c r="W59">
        <f>HYPERLINK("https://klasma.github.io/Logging_2034/kartor/A 64154-2025 karta.png", "A 64154-2025")</f>
        <v/>
      </c>
      <c r="X59">
        <f>HYPERLINK("https://klasma.github.io/Logging_2034/kartor_geotiff/A 64154-2025 georefererad karta.tif", "A 64154-2025")</f>
        <v/>
      </c>
      <c r="Z59">
        <f>HYPERLINK("https://klasma.github.io/Logging_2034/klagomål/A 64154-2025 FSC-klagomål.docx", "A 64154-2025")</f>
        <v/>
      </c>
      <c r="AA59">
        <f>HYPERLINK("https://klasma.github.io/Logging_2034/klagomålsmail/A 64154-2025 FSC-klagomål mail.docx", "A 64154-2025")</f>
        <v/>
      </c>
      <c r="AB59">
        <f>HYPERLINK("https://klasma.github.io/Logging_2034/tillsyn/A 64154-2025 tillsynsbegäran.docx", "A 64154-2025")</f>
        <v/>
      </c>
      <c r="AC59">
        <f>HYPERLINK("https://klasma.github.io/Logging_2034/tillsynsmail/A 64154-2025 tillsynsbegäran mail.docx", "A 64154-2025")</f>
        <v/>
      </c>
      <c r="AD59">
        <f>HYPERLINK("https://klasma.github.io/Logging_2034/fåglar/A 64154-2025 prioriterade fågelarter.docx", "A 64154-2025")</f>
        <v/>
      </c>
    </row>
    <row r="60" ht="15" customHeight="1">
      <c r="A60" t="inlineStr">
        <is>
          <t>A 48343-2022</t>
        </is>
      </c>
      <c r="B60" t="inlineStr">
        <is>
          <t>avverkningsanmälan</t>
        </is>
      </c>
      <c r="C60" t="inlineStr">
        <is>
          <t>Avverkning för annat ändamål</t>
        </is>
      </c>
      <c r="D60" s="1" t="n">
        <v>44858</v>
      </c>
      <c r="E60" s="1" t="n">
        <v>46223</v>
      </c>
      <c r="F60" t="inlineStr">
        <is>
          <t>DALARNAS LÄN</t>
        </is>
      </c>
      <c r="G60" t="inlineStr">
        <is>
          <t>ORSA</t>
        </is>
      </c>
      <c r="I60" t="n">
        <v>1.6</v>
      </c>
      <c r="J60" t="n">
        <v>2</v>
      </c>
      <c r="K60" t="n">
        <v>0</v>
      </c>
      <c r="L60" t="n">
        <v>1</v>
      </c>
      <c r="M60" t="n">
        <v>1</v>
      </c>
      <c r="N60" t="n">
        <v>0</v>
      </c>
      <c r="O60" t="n">
        <v>0</v>
      </c>
      <c r="P60" t="n">
        <v>0</v>
      </c>
      <c r="Q60" t="n">
        <v>2</v>
      </c>
      <c r="R60" t="n">
        <v>1</v>
      </c>
      <c r="S60" t="n">
        <v>3</v>
      </c>
      <c r="T60" t="n">
        <v>7</v>
      </c>
      <c r="U60" s="2" t="inlineStr">
        <is>
          <t>Igelkott
Nordfladdermus
Vattenfladdermus</t>
        </is>
      </c>
      <c r="V60">
        <f>HYPERLINK("https://klasma.github.io/Logging_2034/artfynd/A 48343-2022 artfynd.xlsx", "A 48343-2022")</f>
        <v/>
      </c>
      <c r="W60">
        <f>HYPERLINK("https://klasma.github.io/Logging_2034/kartor/A 48343-2022 karta.png", "A 48343-2022")</f>
        <v/>
      </c>
      <c r="X60">
        <f>HYPERLINK("https://klasma.github.io/Logging_2034/kartor_geotiff/A 48343-2022 georefererad karta.tif", "A 48343-2022")</f>
        <v/>
      </c>
      <c r="Z60">
        <f>HYPERLINK("https://klasma.github.io/Logging_2034/klagomål/A 48343-2022 FSC-klagomål.docx", "A 48343-2022")</f>
        <v/>
      </c>
      <c r="AA60">
        <f>HYPERLINK("https://klasma.github.io/Logging_2034/klagomålsmail/A 48343-2022 FSC-klagomål mail.docx", "A 48343-2022")</f>
        <v/>
      </c>
      <c r="AB60">
        <f>HYPERLINK("https://klasma.github.io/Logging_2034/tillsyn/A 48343-2022 tillsynsbegäran.docx", "A 48343-2022")</f>
        <v/>
      </c>
      <c r="AC60">
        <f>HYPERLINK("https://klasma.github.io/Logging_2034/tillsynsmail/A 48343-2022 tillsynsbegäran mail.docx", "A 48343-2022")</f>
        <v/>
      </c>
    </row>
    <row r="61" ht="15" customHeight="1">
      <c r="A61" t="inlineStr">
        <is>
          <t>A 29893-2026</t>
        </is>
      </c>
      <c r="B61" t="inlineStr">
        <is>
          <t>avverkningsanmälan</t>
        </is>
      </c>
      <c r="C61" t="inlineStr">
        <is>
          <t>Avverkning för annat ändamål</t>
        </is>
      </c>
      <c r="D61" s="1" t="n">
        <v>46205</v>
      </c>
      <c r="E61" s="1" t="n">
        <v>46223</v>
      </c>
      <c r="F61" t="inlineStr">
        <is>
          <t>DALARNAS LÄN</t>
        </is>
      </c>
      <c r="G61" t="inlineStr">
        <is>
          <t>ORSA</t>
        </is>
      </c>
      <c r="I61" t="n">
        <v>9.9</v>
      </c>
      <c r="J61" t="n">
        <v>2</v>
      </c>
      <c r="K61" t="n">
        <v>2</v>
      </c>
      <c r="L61" t="n">
        <v>0</v>
      </c>
      <c r="M61" t="n">
        <v>0</v>
      </c>
      <c r="N61" t="n">
        <v>0</v>
      </c>
      <c r="O61" t="n">
        <v>0</v>
      </c>
      <c r="P61" t="n">
        <v>0</v>
      </c>
      <c r="Q61" t="n">
        <v>0</v>
      </c>
      <c r="R61" t="n">
        <v>0</v>
      </c>
      <c r="S61" t="n">
        <v>3</v>
      </c>
      <c r="T61" t="n">
        <v>3</v>
      </c>
      <c r="U61" s="2" t="inlineStr">
        <is>
          <t>Skogshakmossa
Spindelblomster
Nattviol</t>
        </is>
      </c>
      <c r="V61">
        <f>HYPERLINK("https://klasma.github.io/Logging_2034/artfynd/A 29893-2026 artfynd.xlsx", "A 29893-2026")</f>
        <v/>
      </c>
      <c r="W61">
        <f>HYPERLINK("https://klasma.github.io/Logging_2034/kartor/A 29893-2026 karta.png", "A 29893-2026")</f>
        <v/>
      </c>
      <c r="X61">
        <f>HYPERLINK("https://klasma.github.io/Logging_2034/kartor_geotiff/A 29893-2026 georefererad karta.tif", "A 29893-2026")</f>
        <v/>
      </c>
      <c r="Z61">
        <f>HYPERLINK("https://klasma.github.io/Logging_2034/klagomål/A 29893-2026 FSC-klagomål.docx", "A 29893-2026")</f>
        <v/>
      </c>
      <c r="AA61">
        <f>HYPERLINK("https://klasma.github.io/Logging_2034/klagomålsmail/A 29893-2026 FSC-klagomål mail.docx", "A 29893-2026")</f>
        <v/>
      </c>
      <c r="AB61">
        <f>HYPERLINK("https://klasma.github.io/Logging_2034/tillsyn/A 29893-2026 tillsynsbegäran.docx", "A 29893-2026")</f>
        <v/>
      </c>
      <c r="AC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46223</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s="2" t="inlineStr">
        <is>
          <t>Garnlav
Violettgrå tagellav
Stuplav</t>
        </is>
      </c>
      <c r="V62">
        <f>HYPERLINK("https://klasma.github.io/Logging_2034/artfynd/A 30158-2026 artfynd.xlsx", "A 30158-2026")</f>
        <v/>
      </c>
      <c r="W62">
        <f>HYPERLINK("https://klasma.github.io/Logging_2034/kartor/A 30158-2026 karta.png", "A 30158-2026")</f>
        <v/>
      </c>
      <c r="X62">
        <f>HYPERLINK("https://klasma.github.io/Logging_2034/kartor_geotiff/A 30158-2026 georefererad karta.tif", "A 30158-2026")</f>
        <v/>
      </c>
      <c r="Z62">
        <f>HYPERLINK("https://klasma.github.io/Logging_2034/klagomål/A 30158-2026 FSC-klagomål.docx", "A 30158-2026")</f>
        <v/>
      </c>
      <c r="AA62">
        <f>HYPERLINK("https://klasma.github.io/Logging_2034/klagomålsmail/A 30158-2026 FSC-klagomål mail.docx", "A 30158-2026")</f>
        <v/>
      </c>
      <c r="AB62">
        <f>HYPERLINK("https://klasma.github.io/Logging_2034/tillsyn/A 30158-2026 tillsynsbegäran.docx", "A 30158-2026")</f>
        <v/>
      </c>
      <c r="AC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46223</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X63">
        <f>HYPERLINK("https://klasma.github.io/Logging_2034/kartor_geotiff/S 892-2024 georefererad karta.tif", "S 892-2024")</f>
        <v/>
      </c>
      <c r="Z63">
        <f>HYPERLINK("https://klasma.github.io/Logging_2034/klagomål/S 892-2024 FSC-klagomål.docx", "S 892-2024")</f>
        <v/>
      </c>
      <c r="AA63">
        <f>HYPERLINK("https://klasma.github.io/Logging_2034/klagomålsmail/S 892-2024 FSC-klagomål mail.docx", "S 892-2024")</f>
        <v/>
      </c>
      <c r="AB63">
        <f>HYPERLINK("https://klasma.github.io/Logging_2034/tillsyn/S 892-2024 tillsynsbegäran.docx", "S 892-2024")</f>
        <v/>
      </c>
      <c r="AC63">
        <f>HYPERLINK("https://klasma.github.io/Logging_2034/tillsynsmail/S 892-2024 tillsynsbegäran mail.docx", "S 892-2024")</f>
        <v/>
      </c>
      <c r="AD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46223</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HYPERLINK("https://klasma.github.io/Logging_2034/kartor_geotiff/S 659-2026 georefererad karta.tif", "S 659-2026")</f>
        <v/>
      </c>
      <c r="Y64">
        <f>HYPERLINK("https://klasma.github.io/Logging_2034/knärot/S 659-2026 karta knärot.png", "S 659-2026")</f>
        <v/>
      </c>
      <c r="Z64">
        <f>HYPERLINK("https://klasma.github.io/Logging_2034/klagomål/S 659-2026 FSC-klagomål.docx", "S 659-2026")</f>
        <v/>
      </c>
      <c r="AA64">
        <f>HYPERLINK("https://klasma.github.io/Logging_2034/klagomålsmail/S 659-2026 FSC-klagomål mail.docx", "S 659-2026")</f>
        <v/>
      </c>
      <c r="AB64">
        <f>HYPERLINK("https://klasma.github.io/Logging_2034/tillsyn/S 659-2026 tillsynsbegäran.docx", "S 659-2026")</f>
        <v/>
      </c>
      <c r="AC64">
        <f>HYPERLINK("https://klasma.github.io/Logging_2034/tillsynsmail/S 659-2026 tillsynsbegäran mail.docx", "S 659-2026")</f>
        <v/>
      </c>
      <c r="AD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46223</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s="2" t="inlineStr">
        <is>
          <t>Garnlav
Violettgrå tagellav</t>
        </is>
      </c>
      <c r="V65">
        <f>HYPERLINK("https://klasma.github.io/Logging_2034/artfynd/A 63810-2021 artfynd.xlsx", "A 63810-2021")</f>
        <v/>
      </c>
      <c r="W65">
        <f>HYPERLINK("https://klasma.github.io/Logging_2034/kartor/A 63810-2021 karta.png", "A 63810-2021")</f>
        <v/>
      </c>
      <c r="X65">
        <f>HYPERLINK("https://klasma.github.io/Logging_2034/kartor_geotiff/A 63810-2021 georefererad karta.tif", "A 63810-2021")</f>
        <v/>
      </c>
      <c r="Z65">
        <f>HYPERLINK("https://klasma.github.io/Logging_2034/klagomål/A 63810-2021 FSC-klagomål.docx", "A 63810-2021")</f>
        <v/>
      </c>
      <c r="AA65">
        <f>HYPERLINK("https://klasma.github.io/Logging_2034/klagomålsmail/A 63810-2021 FSC-klagomål mail.docx", "A 63810-2021")</f>
        <v/>
      </c>
      <c r="AB65">
        <f>HYPERLINK("https://klasma.github.io/Logging_2034/tillsyn/A 63810-2021 tillsynsbegäran.docx", "A 63810-2021")</f>
        <v/>
      </c>
      <c r="AC65">
        <f>HYPERLINK("https://klasma.github.io/Logging_2034/tillsynsmail/A 63810-2021 tillsynsbegäran mail.docx", "A 63810-2021")</f>
        <v/>
      </c>
    </row>
    <row r="66" ht="15" customHeight="1">
      <c r="A66" t="inlineStr">
        <is>
          <t>A 21364-2025</t>
        </is>
      </c>
      <c r="B66" t="inlineStr">
        <is>
          <t>avverkningsanmälan</t>
        </is>
      </c>
      <c r="C66" t="inlineStr">
        <is>
          <t>Föryngringsavverkning</t>
        </is>
      </c>
      <c r="D66" s="1" t="n">
        <v>45782</v>
      </c>
      <c r="E66" s="1" t="n">
        <v>46223</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s="2" t="inlineStr">
        <is>
          <t>Lappuggla
Orre</t>
        </is>
      </c>
      <c r="V66">
        <f>HYPERLINK("https://klasma.github.io/Logging_2034/artfynd/A 21364-2025 artfynd.xlsx", "A 21364-2025")</f>
        <v/>
      </c>
      <c r="W66">
        <f>HYPERLINK("https://klasma.github.io/Logging_2034/kartor/A 21364-2025 karta.png", "A 21364-2025")</f>
        <v/>
      </c>
      <c r="X66">
        <f>HYPERLINK("https://klasma.github.io/Logging_2034/kartor_geotiff/A 21364-2025 georefererad karta.tif", "A 21364-2025")</f>
        <v/>
      </c>
      <c r="Z66">
        <f>HYPERLINK("https://klasma.github.io/Logging_2034/klagomål/A 21364-2025 FSC-klagomål.docx", "A 21364-2025")</f>
        <v/>
      </c>
      <c r="AA66">
        <f>HYPERLINK("https://klasma.github.io/Logging_2034/klagomålsmail/A 21364-2025 FSC-klagomål mail.docx", "A 21364-2025")</f>
        <v/>
      </c>
      <c r="AB66">
        <f>HYPERLINK("https://klasma.github.io/Logging_2034/tillsyn/A 21364-2025 tillsynsbegäran.docx", "A 21364-2025")</f>
        <v/>
      </c>
      <c r="AC66">
        <f>HYPERLINK("https://klasma.github.io/Logging_2034/tillsynsmail/A 21364-2025 tillsynsbegäran mail.docx", "A 21364-2025")</f>
        <v/>
      </c>
      <c r="AD66">
        <f>HYPERLINK("https://klasma.github.io/Logging_2034/fåglar/A 21364-2025 prioriterade fågelarter.docx", "A 21364-2025")</f>
        <v/>
      </c>
    </row>
    <row r="67" ht="15" customHeight="1">
      <c r="A67" t="inlineStr">
        <is>
          <t>A 42327-2025</t>
        </is>
      </c>
      <c r="B67" t="inlineStr">
        <is>
          <t>avverkningsanmälan</t>
        </is>
      </c>
      <c r="C67" t="inlineStr">
        <is>
          <t>Föryngringsavverkning</t>
        </is>
      </c>
      <c r="D67" s="1" t="n">
        <v>45904</v>
      </c>
      <c r="E67" s="1" t="n">
        <v>46223</v>
      </c>
      <c r="F67" t="inlineStr">
        <is>
          <t>DALARNAS LÄN</t>
        </is>
      </c>
      <c r="G67" t="inlineStr">
        <is>
          <t>ORSA</t>
        </is>
      </c>
      <c r="I67" t="n">
        <v>1.6</v>
      </c>
      <c r="J67" t="n">
        <v>2</v>
      </c>
      <c r="K67" t="n">
        <v>0</v>
      </c>
      <c r="L67" t="n">
        <v>2</v>
      </c>
      <c r="M67" t="n">
        <v>0</v>
      </c>
      <c r="N67" t="n">
        <v>0</v>
      </c>
      <c r="O67" t="n">
        <v>0</v>
      </c>
      <c r="P67" t="n">
        <v>0</v>
      </c>
      <c r="Q67" t="n">
        <v>2</v>
      </c>
      <c r="R67" t="n">
        <v>0</v>
      </c>
      <c r="S67" t="n">
        <v>2</v>
      </c>
      <c r="T67" t="n">
        <v>2</v>
      </c>
      <c r="U67" s="2" t="inlineStr">
        <is>
          <t>Grönsångare
Lavskrika</t>
        </is>
      </c>
      <c r="V67">
        <f>HYPERLINK("https://klasma.github.io/Logging_2034/artfynd/A 42327-2025 artfynd.xlsx", "A 42327-2025")</f>
        <v/>
      </c>
      <c r="W67">
        <f>HYPERLINK("https://klasma.github.io/Logging_2034/kartor/A 42327-2025 karta.png", "A 42327-2025")</f>
        <v/>
      </c>
      <c r="X67">
        <f>HYPERLINK("https://klasma.github.io/Logging_2034/kartor_geotiff/A 42327-2025 georefererad karta.tif", "A 42327-2025")</f>
        <v/>
      </c>
      <c r="Z67">
        <f>HYPERLINK("https://klasma.github.io/Logging_2034/klagomål/A 42327-2025 FSC-klagomål.docx", "A 42327-2025")</f>
        <v/>
      </c>
      <c r="AA67">
        <f>HYPERLINK("https://klasma.github.io/Logging_2034/klagomålsmail/A 42327-2025 FSC-klagomål mail.docx", "A 42327-2025")</f>
        <v/>
      </c>
      <c r="AB67">
        <f>HYPERLINK("https://klasma.github.io/Logging_2034/tillsyn/A 42327-2025 tillsynsbegäran.docx", "A 42327-2025")</f>
        <v/>
      </c>
      <c r="AC67">
        <f>HYPERLINK("https://klasma.github.io/Logging_2034/tillsynsmail/A 42327-2025 tillsynsbegäran mail.docx", "A 42327-2025")</f>
        <v/>
      </c>
      <c r="AD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46223</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s="2" t="inlineStr">
        <is>
          <t>Garnlav
Tretåig hackspett</t>
        </is>
      </c>
      <c r="V68">
        <f>HYPERLINK("https://klasma.github.io/Logging_2034/artfynd/A 48973-2025 artfynd.xlsx", "A 48973-2025")</f>
        <v/>
      </c>
      <c r="W68">
        <f>HYPERLINK("https://klasma.github.io/Logging_2034/kartor/A 48973-2025 karta.png", "A 48973-2025")</f>
        <v/>
      </c>
      <c r="X68">
        <f>HYPERLINK("https://klasma.github.io/Logging_2034/kartor_geotiff/A 48973-2025 georefererad karta.tif", "A 48973-2025")</f>
        <v/>
      </c>
      <c r="Z68">
        <f>HYPERLINK("https://klasma.github.io/Logging_2034/klagomål/A 48973-2025 FSC-klagomål.docx", "A 48973-2025")</f>
        <v/>
      </c>
      <c r="AA68">
        <f>HYPERLINK("https://klasma.github.io/Logging_2034/klagomålsmail/A 48973-2025 FSC-klagomål mail.docx", "A 48973-2025")</f>
        <v/>
      </c>
      <c r="AB68">
        <f>HYPERLINK("https://klasma.github.io/Logging_2034/tillsyn/A 48973-2025 tillsynsbegäran.docx", "A 48973-2025")</f>
        <v/>
      </c>
      <c r="AC68">
        <f>HYPERLINK("https://klasma.github.io/Logging_2034/tillsynsmail/A 48973-2025 tillsynsbegäran mail.docx", "A 48973-2025")</f>
        <v/>
      </c>
      <c r="AD68">
        <f>HYPERLINK("https://klasma.github.io/Logging_2034/fåglar/A 48973-2025 prioriterade fågelarter.docx", "A 48973-2025")</f>
        <v/>
      </c>
    </row>
    <row r="69" ht="15" customHeight="1">
      <c r="A69" t="inlineStr">
        <is>
          <t>A 54687-2025</t>
        </is>
      </c>
      <c r="B69" t="inlineStr">
        <is>
          <t>avverkningsanmälan</t>
        </is>
      </c>
      <c r="C69" t="inlineStr">
        <is>
          <t>Föryngringsavverkning</t>
        </is>
      </c>
      <c r="D69" s="1" t="n">
        <v>45966</v>
      </c>
      <c r="E69" s="1" t="n">
        <v>46223</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s="2" t="inlineStr">
        <is>
          <t>Garnlav
Tretåig hackspett</t>
        </is>
      </c>
      <c r="V69">
        <f>HYPERLINK("https://klasma.github.io/Logging_2034/artfynd/A 54687-2025 artfynd.xlsx", "A 54687-2025")</f>
        <v/>
      </c>
      <c r="W69">
        <f>HYPERLINK("https://klasma.github.io/Logging_2034/kartor/A 54687-2025 karta.png", "A 54687-2025")</f>
        <v/>
      </c>
      <c r="X69">
        <f>HYPERLINK("https://klasma.github.io/Logging_2034/kartor_geotiff/A 54687-2025 georefererad karta.tif", "A 54687-2025")</f>
        <v/>
      </c>
      <c r="Z69">
        <f>HYPERLINK("https://klasma.github.io/Logging_2034/klagomål/A 54687-2025 FSC-klagomål.docx", "A 54687-2025")</f>
        <v/>
      </c>
      <c r="AA69">
        <f>HYPERLINK("https://klasma.github.io/Logging_2034/klagomålsmail/A 54687-2025 FSC-klagomål mail.docx", "A 54687-2025")</f>
        <v/>
      </c>
      <c r="AB69">
        <f>HYPERLINK("https://klasma.github.io/Logging_2034/tillsyn/A 54687-2025 tillsynsbegäran.docx", "A 54687-2025")</f>
        <v/>
      </c>
      <c r="AC69">
        <f>HYPERLINK("https://klasma.github.io/Logging_2034/tillsynsmail/A 54687-2025 tillsynsbegäran mail.docx", "A 54687-2025")</f>
        <v/>
      </c>
      <c r="AD69">
        <f>HYPERLINK("https://klasma.github.io/Logging_2034/fåglar/A 54687-2025 prioriterade fågelarter.docx", "A 54687-2025")</f>
        <v/>
      </c>
    </row>
    <row r="70" ht="15" customHeight="1">
      <c r="A70" t="inlineStr">
        <is>
          <t>A 58910-2025</t>
        </is>
      </c>
      <c r="B70" t="inlineStr">
        <is>
          <t>avverkningsanmälan</t>
        </is>
      </c>
      <c r="C70" t="inlineStr">
        <is>
          <t>Föryngringsavverkning</t>
        </is>
      </c>
      <c r="D70" s="1" t="n">
        <v>45987</v>
      </c>
      <c r="E70" s="1" t="n">
        <v>46223</v>
      </c>
      <c r="F70" t="inlineStr">
        <is>
          <t>DALARNAS LÄN</t>
        </is>
      </c>
      <c r="G70" t="inlineStr">
        <is>
          <t>ORSA</t>
        </is>
      </c>
      <c r="I70" t="n">
        <v>2.1</v>
      </c>
      <c r="J70" t="n">
        <v>1</v>
      </c>
      <c r="K70" t="n">
        <v>1</v>
      </c>
      <c r="L70" t="n">
        <v>0</v>
      </c>
      <c r="M70" t="n">
        <v>1</v>
      </c>
      <c r="N70" t="n">
        <v>0</v>
      </c>
      <c r="O70" t="n">
        <v>0</v>
      </c>
      <c r="P70" t="n">
        <v>0</v>
      </c>
      <c r="Q70" t="n">
        <v>1</v>
      </c>
      <c r="R70" t="n">
        <v>1</v>
      </c>
      <c r="S70" t="n">
        <v>2</v>
      </c>
      <c r="T70" t="n">
        <v>2</v>
      </c>
      <c r="U70" s="2" t="inlineStr">
        <is>
          <t>Knärot
Gräsull</t>
        </is>
      </c>
      <c r="V70">
        <f>HYPERLINK("https://klasma.github.io/Logging_2034/artfynd/A 58910-2025 artfynd.xlsx", "A 58910-2025")</f>
        <v/>
      </c>
      <c r="W70">
        <f>HYPERLINK("https://klasma.github.io/Logging_2034/kartor/A 58910-2025 karta.png", "A 58910-2025")</f>
        <v/>
      </c>
      <c r="X70">
        <f>HYPERLINK("https://klasma.github.io/Logging_2034/kartor_geotiff/A 58910-2025 georefererad karta.tif", "A 58910-2025")</f>
        <v/>
      </c>
      <c r="Y70">
        <f>HYPERLINK("https://klasma.github.io/Logging_2034/knärot/A 58910-2025 karta knärot.png", "A 58910-2025")</f>
        <v/>
      </c>
      <c r="Z70">
        <f>HYPERLINK("https://klasma.github.io/Logging_2034/klagomål/A 58910-2025 FSC-klagomål.docx", "A 58910-2025")</f>
        <v/>
      </c>
      <c r="AA70">
        <f>HYPERLINK("https://klasma.github.io/Logging_2034/klagomålsmail/A 58910-2025 FSC-klagomål mail.docx", "A 58910-2025")</f>
        <v/>
      </c>
      <c r="AB70">
        <f>HYPERLINK("https://klasma.github.io/Logging_2034/tillsyn/A 58910-2025 tillsynsbegäran.docx", "A 58910-2025")</f>
        <v/>
      </c>
      <c r="AC70">
        <f>HYPERLINK("https://klasma.github.io/Logging_2034/tillsynsmail/A 58910-2025 tillsynsbegäran mail.docx", "A 58910-2025")</f>
        <v/>
      </c>
    </row>
    <row r="71" ht="15" customHeight="1">
      <c r="A71" t="inlineStr">
        <is>
          <t>A 18692-2026</t>
        </is>
      </c>
      <c r="B71" t="inlineStr">
        <is>
          <t>avverkningsanmälan</t>
        </is>
      </c>
      <c r="C71" t="inlineStr">
        <is>
          <t>Föryngringsavverkning</t>
        </is>
      </c>
      <c r="D71" s="1" t="n">
        <v>46128</v>
      </c>
      <c r="E71" s="1" t="n">
        <v>46223</v>
      </c>
      <c r="F71" t="inlineStr">
        <is>
          <t>DALARNAS LÄN</t>
        </is>
      </c>
      <c r="G71" t="inlineStr">
        <is>
          <t>ORSA</t>
        </is>
      </c>
      <c r="I71" t="n">
        <v>3.3</v>
      </c>
      <c r="J71" t="n">
        <v>1</v>
      </c>
      <c r="K71" t="n">
        <v>1</v>
      </c>
      <c r="L71" t="n">
        <v>0</v>
      </c>
      <c r="M71" t="n">
        <v>0</v>
      </c>
      <c r="N71" t="n">
        <v>0</v>
      </c>
      <c r="O71" t="n">
        <v>0</v>
      </c>
      <c r="P71" t="n">
        <v>0</v>
      </c>
      <c r="Q71" t="n">
        <v>0</v>
      </c>
      <c r="R71" t="n">
        <v>0</v>
      </c>
      <c r="S71" t="n">
        <v>2</v>
      </c>
      <c r="T71" t="n">
        <v>3</v>
      </c>
      <c r="U71" s="2" t="inlineStr">
        <is>
          <t>Mindre märgborre
Tjäder</t>
        </is>
      </c>
      <c r="V71">
        <f>HYPERLINK("https://klasma.github.io/Logging_2034/artfynd/A 18692-2026 artfynd.xlsx", "A 18692-2026")</f>
        <v/>
      </c>
      <c r="W71">
        <f>HYPERLINK("https://klasma.github.io/Logging_2034/kartor/A 18692-2026 karta.png", "A 18692-2026")</f>
        <v/>
      </c>
      <c r="X71">
        <f>HYPERLINK("https://klasma.github.io/Logging_2034/kartor_geotiff/A 18692-2026 georefererad karta.tif", "A 18692-2026")</f>
        <v/>
      </c>
      <c r="Z71">
        <f>HYPERLINK("https://klasma.github.io/Logging_2034/klagomål/A 18692-2026 FSC-klagomål.docx", "A 18692-2026")</f>
        <v/>
      </c>
      <c r="AA71">
        <f>HYPERLINK("https://klasma.github.io/Logging_2034/klagomålsmail/A 18692-2026 FSC-klagomål mail.docx", "A 18692-2026")</f>
        <v/>
      </c>
      <c r="AB71">
        <f>HYPERLINK("https://klasma.github.io/Logging_2034/tillsyn/A 18692-2026 tillsynsbegäran.docx", "A 18692-2026")</f>
        <v/>
      </c>
      <c r="AC71">
        <f>HYPERLINK("https://klasma.github.io/Logging_2034/tillsynsmail/A 18692-2026 tillsynsbegäran mail.docx", "A 18692-2026")</f>
        <v/>
      </c>
      <c r="AD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46223</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s="2" t="inlineStr">
        <is>
          <t>Garnlav
Spillkråka</t>
        </is>
      </c>
      <c r="V72">
        <f>HYPERLINK("https://klasma.github.io/Logging_2034/artfynd/A 31336-2025 artfynd.xlsx", "A 31336-2025")</f>
        <v/>
      </c>
      <c r="W72">
        <f>HYPERLINK("https://klasma.github.io/Logging_2034/kartor/A 31336-2025 karta.png", "A 31336-2025")</f>
        <v/>
      </c>
      <c r="X72">
        <f>HYPERLINK("https://klasma.github.io/Logging_2034/kartor_geotiff/A 31336-2025 georefererad karta.tif", "A 31336-2025")</f>
        <v/>
      </c>
      <c r="Z72">
        <f>HYPERLINK("https://klasma.github.io/Logging_2034/klagomål/A 31336-2025 FSC-klagomål.docx", "A 31336-2025")</f>
        <v/>
      </c>
      <c r="AA72">
        <f>HYPERLINK("https://klasma.github.io/Logging_2034/klagomålsmail/A 31336-2025 FSC-klagomål mail.docx", "A 31336-2025")</f>
        <v/>
      </c>
      <c r="AB72">
        <f>HYPERLINK("https://klasma.github.io/Logging_2034/tillsyn/A 31336-2025 tillsynsbegäran.docx", "A 31336-2025")</f>
        <v/>
      </c>
      <c r="AC72">
        <f>HYPERLINK("https://klasma.github.io/Logging_2034/tillsynsmail/A 31336-2025 tillsynsbegäran mail.docx", "A 31336-2025")</f>
        <v/>
      </c>
      <c r="AD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46223</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s="2" t="inlineStr">
        <is>
          <t>Garnlav
Mörk kolflarnlav</t>
        </is>
      </c>
      <c r="V73">
        <f>HYPERLINK("https://klasma.github.io/Logging_2034/artfynd/A 22267-2026 artfynd.xlsx", "A 22267-2026")</f>
        <v/>
      </c>
      <c r="W73">
        <f>HYPERLINK("https://klasma.github.io/Logging_2034/kartor/A 22267-2026 karta.png", "A 22267-2026")</f>
        <v/>
      </c>
      <c r="X73">
        <f>HYPERLINK("https://klasma.github.io/Logging_2034/kartor_geotiff/A 22267-2026 georefererad karta.tif", "A 22267-2026")</f>
        <v/>
      </c>
      <c r="Z73">
        <f>HYPERLINK("https://klasma.github.io/Logging_2034/klagomål/A 22267-2026 FSC-klagomål.docx", "A 22267-2026")</f>
        <v/>
      </c>
      <c r="AA73">
        <f>HYPERLINK("https://klasma.github.io/Logging_2034/klagomålsmail/A 22267-2026 FSC-klagomål mail.docx", "A 22267-2026")</f>
        <v/>
      </c>
      <c r="AB73">
        <f>HYPERLINK("https://klasma.github.io/Logging_2034/tillsyn/A 22267-2026 tillsynsbegäran.docx", "A 22267-2026")</f>
        <v/>
      </c>
      <c r="AC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46223</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s="2" t="inlineStr">
        <is>
          <t>Garnlav
Stuplav</t>
        </is>
      </c>
      <c r="V74">
        <f>HYPERLINK("https://klasma.github.io/Logging_2034/artfynd/A 30227-2026 artfynd.xlsx", "A 30227-2026")</f>
        <v/>
      </c>
      <c r="W74">
        <f>HYPERLINK("https://klasma.github.io/Logging_2034/kartor/A 30227-2026 karta.png", "A 30227-2026")</f>
        <v/>
      </c>
      <c r="X74">
        <f>HYPERLINK("https://klasma.github.io/Logging_2034/kartor_geotiff/A 30227-2026 georefererad karta.tif", "A 30227-2026")</f>
        <v/>
      </c>
      <c r="Z74">
        <f>HYPERLINK("https://klasma.github.io/Logging_2034/klagomål/A 30227-2026 FSC-klagomål.docx", "A 30227-2026")</f>
        <v/>
      </c>
      <c r="AA74">
        <f>HYPERLINK("https://klasma.github.io/Logging_2034/klagomålsmail/A 30227-2026 FSC-klagomål mail.docx", "A 30227-2026")</f>
        <v/>
      </c>
      <c r="AB74">
        <f>HYPERLINK("https://klasma.github.io/Logging_2034/tillsyn/A 30227-2026 tillsynsbegäran.docx", "A 30227-2026")</f>
        <v/>
      </c>
      <c r="AC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46223</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s="2" t="inlineStr">
        <is>
          <t>Plattlummer
Stjärnstarr</t>
        </is>
      </c>
      <c r="V75">
        <f>HYPERLINK("https://klasma.github.io/Logging_2034/artfynd/A 30672-2026 artfynd.xlsx", "A 30672-2026")</f>
        <v/>
      </c>
      <c r="W75">
        <f>HYPERLINK("https://klasma.github.io/Logging_2034/kartor/A 30672-2026 karta.png", "A 30672-2026")</f>
        <v/>
      </c>
      <c r="X75">
        <f>HYPERLINK("https://klasma.github.io/Logging_2034/kartor_geotiff/A 30672-2026 georefererad karta.tif", "A 30672-2026")</f>
        <v/>
      </c>
      <c r="Z75">
        <f>HYPERLINK("https://klasma.github.io/Logging_2034/klagomål/A 30672-2026 FSC-klagomål.docx", "A 30672-2026")</f>
        <v/>
      </c>
      <c r="AA75">
        <f>HYPERLINK("https://klasma.github.io/Logging_2034/klagomålsmail/A 30672-2026 FSC-klagomål mail.docx", "A 30672-2026")</f>
        <v/>
      </c>
      <c r="AB75">
        <f>HYPERLINK("https://klasma.github.io/Logging_2034/tillsyn/A 30672-2026 tillsynsbegäran.docx", "A 30672-2026")</f>
        <v/>
      </c>
      <c r="AC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46223</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s="2" t="inlineStr">
        <is>
          <t>Garnlav
Lunglav</t>
        </is>
      </c>
      <c r="V76">
        <f>HYPERLINK("https://klasma.github.io/Logging_2034/artfynd/S 890-2024 artfynd.xlsx", "S 890-2024")</f>
        <v/>
      </c>
      <c r="W76">
        <f>HYPERLINK("https://klasma.github.io/Logging_2034/kartor/S 890-2024 karta.png", "S 890-2024")</f>
        <v/>
      </c>
      <c r="X76">
        <f>HYPERLINK("https://klasma.github.io/Logging_2034/kartor_geotiff/S 890-2024 georefererad karta.tif", "S 890-2024")</f>
        <v/>
      </c>
      <c r="Z76">
        <f>HYPERLINK("https://klasma.github.io/Logging_2034/klagomål/S 890-2024 FSC-klagomål.docx", "S 890-2024")</f>
        <v/>
      </c>
      <c r="AA76">
        <f>HYPERLINK("https://klasma.github.io/Logging_2034/klagomålsmail/S 890-2024 FSC-klagomål mail.docx", "S 890-2024")</f>
        <v/>
      </c>
      <c r="AB76">
        <f>HYPERLINK("https://klasma.github.io/Logging_2034/tillsyn/S 890-2024 tillsynsbegäran.docx", "S 890-2024")</f>
        <v/>
      </c>
      <c r="AC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46223</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s="2" t="inlineStr">
        <is>
          <t>Vaddporing
Vitplätt</t>
        </is>
      </c>
      <c r="V77">
        <f>HYPERLINK("https://klasma.github.io/Logging_2034/artfynd/S 5391-2022 artfynd.xlsx", "S 5391-2022")</f>
        <v/>
      </c>
      <c r="W77">
        <f>HYPERLINK("https://klasma.github.io/Logging_2034/kartor/S 5391-2022 karta.png", "S 5391-2022")</f>
        <v/>
      </c>
      <c r="X77">
        <f>HYPERLINK("https://klasma.github.io/Logging_2034/kartor_geotiff/S 5391-2022 georefererad karta.tif", "S 5391-2022")</f>
        <v/>
      </c>
      <c r="Z77">
        <f>HYPERLINK("https://klasma.github.io/Logging_2034/klagomål/S 5391-2022 FSC-klagomål.docx", "S 5391-2022")</f>
        <v/>
      </c>
      <c r="AA77">
        <f>HYPERLINK("https://klasma.github.io/Logging_2034/klagomålsmail/S 5391-2022 FSC-klagomål mail.docx", "S 5391-2022")</f>
        <v/>
      </c>
      <c r="AB77">
        <f>HYPERLINK("https://klasma.github.io/Logging_2034/tillsyn/S 5391-2022 tillsynsbegäran.docx", "S 5391-2022")</f>
        <v/>
      </c>
      <c r="AC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46223</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s="2" t="inlineStr">
        <is>
          <t>Garnlav
Doftskinn</t>
        </is>
      </c>
      <c r="V78">
        <f>HYPERLINK("https://klasma.github.io/Logging_2034/artfynd/S 8668-2021 artfynd.xlsx", "S 8668-2021")</f>
        <v/>
      </c>
      <c r="W78">
        <f>HYPERLINK("https://klasma.github.io/Logging_2034/kartor/S 8668-2021 karta.png", "S 8668-2021")</f>
        <v/>
      </c>
      <c r="X78">
        <f>HYPERLINK("https://klasma.github.io/Logging_2034/kartor_geotiff/S 8668-2021 georefererad karta.tif", "S 8668-2021")</f>
        <v/>
      </c>
      <c r="Z78">
        <f>HYPERLINK("https://klasma.github.io/Logging_2034/klagomål/S 8668-2021 FSC-klagomål.docx", "S 8668-2021")</f>
        <v/>
      </c>
      <c r="AA78">
        <f>HYPERLINK("https://klasma.github.io/Logging_2034/klagomålsmail/S 8668-2021 FSC-klagomål mail.docx", "S 8668-2021")</f>
        <v/>
      </c>
      <c r="AB78">
        <f>HYPERLINK("https://klasma.github.io/Logging_2034/tillsyn/S 8668-2021 tillsynsbegäran.docx", "S 8668-2021")</f>
        <v/>
      </c>
      <c r="AC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46223</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s="2" t="inlineStr">
        <is>
          <t>Knärot
Mellanlummer</t>
        </is>
      </c>
      <c r="V79">
        <f>HYPERLINK("https://klasma.github.io/Logging_2034/artfynd/S 658-2026 artfynd.xlsx", "S 658-2026")</f>
        <v/>
      </c>
      <c r="W79">
        <f>HYPERLINK("https://klasma.github.io/Logging_2034/kartor/S 658-2026 karta.png", "S 658-2026")</f>
        <v/>
      </c>
      <c r="X79">
        <f>HYPERLINK("https://klasma.github.io/Logging_2034/kartor_geotiff/S 658-2026 georefererad karta.tif", "S 658-2026")</f>
        <v/>
      </c>
      <c r="Y79">
        <f>HYPERLINK("https://klasma.github.io/Logging_2034/knärot/S 658-2026 karta knärot.png", "S 658-2026")</f>
        <v/>
      </c>
      <c r="Z79">
        <f>HYPERLINK("https://klasma.github.io/Logging_2034/klagomål/S 658-2026 FSC-klagomål.docx", "S 658-2026")</f>
        <v/>
      </c>
      <c r="AA79">
        <f>HYPERLINK("https://klasma.github.io/Logging_2034/klagomålsmail/S 658-2026 FSC-klagomål mail.docx", "S 658-2026")</f>
        <v/>
      </c>
      <c r="AB79">
        <f>HYPERLINK("https://klasma.github.io/Logging_2034/tillsyn/S 658-2026 tillsynsbegäran.docx", "S 658-2026")</f>
        <v/>
      </c>
      <c r="AC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46223</v>
      </c>
      <c r="F80" t="inlineStr">
        <is>
          <t>DALARNAS LÄN</t>
        </is>
      </c>
      <c r="G80" t="inlineStr">
        <is>
          <t>ORSA</t>
        </is>
      </c>
      <c r="I80" t="n">
        <v>0.5</v>
      </c>
      <c r="J80" t="n">
        <v>1</v>
      </c>
      <c r="K80" t="n">
        <v>0</v>
      </c>
      <c r="L80" t="n">
        <v>0</v>
      </c>
      <c r="M80" t="n">
        <v>0</v>
      </c>
      <c r="N80" t="n">
        <v>0</v>
      </c>
      <c r="O80" t="n">
        <v>0</v>
      </c>
      <c r="P80" t="n">
        <v>0</v>
      </c>
      <c r="Q80" t="n">
        <v>0</v>
      </c>
      <c r="R80" t="n">
        <v>0</v>
      </c>
      <c r="S80" t="n">
        <v>1</v>
      </c>
      <c r="T80" t="n">
        <v>1</v>
      </c>
      <c r="U80" s="2" t="inlineStr">
        <is>
          <t>Ärtsångare</t>
        </is>
      </c>
      <c r="V80">
        <f>HYPERLINK("https://klasma.github.io/Logging_2034/artfynd/A 9807-2022 artfynd.xlsx", "A 9807-2022")</f>
        <v/>
      </c>
      <c r="W80">
        <f>HYPERLINK("https://klasma.github.io/Logging_2034/kartor/A 9807-2022 karta.png", "A 9807-2022")</f>
        <v/>
      </c>
      <c r="X80">
        <f>HYPERLINK("https://klasma.github.io/Logging_2034/kartor_geotiff/A 9807-2022 georefererad karta.tif", "A 9807-2022")</f>
        <v/>
      </c>
      <c r="Z80">
        <f>HYPERLINK("https://klasma.github.io/Logging_2034/klagomål/A 9807-2022 FSC-klagomål.docx", "A 9807-2022")</f>
        <v/>
      </c>
      <c r="AA80">
        <f>HYPERLINK("https://klasma.github.io/Logging_2034/klagomålsmail/A 9807-2022 FSC-klagomål mail.docx", "A 9807-2022")</f>
        <v/>
      </c>
      <c r="AB80">
        <f>HYPERLINK("https://klasma.github.io/Logging_2034/tillsyn/A 9807-2022 tillsynsbegäran.docx", "A 9807-2022")</f>
        <v/>
      </c>
      <c r="AC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46223</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s="2" t="inlineStr">
        <is>
          <t>Spindelblomster</t>
        </is>
      </c>
      <c r="V81">
        <f>HYPERLINK("https://klasma.github.io/Logging_2034/artfynd/A 46244-2022 artfynd.xlsx", "A 46244-2022")</f>
        <v/>
      </c>
      <c r="W81">
        <f>HYPERLINK("https://klasma.github.io/Logging_2034/kartor/A 46244-2022 karta.png", "A 46244-2022")</f>
        <v/>
      </c>
      <c r="X81">
        <f>HYPERLINK("https://klasma.github.io/Logging_2034/kartor_geotiff/A 46244-2022 georefererad karta.tif", "A 46244-2022")</f>
        <v/>
      </c>
      <c r="Z81">
        <f>HYPERLINK("https://klasma.github.io/Logging_2034/klagomål/A 46244-2022 FSC-klagomål.docx", "A 46244-2022")</f>
        <v/>
      </c>
      <c r="AA81">
        <f>HYPERLINK("https://klasma.github.io/Logging_2034/klagomålsmail/A 46244-2022 FSC-klagomål mail.docx", "A 46244-2022")</f>
        <v/>
      </c>
      <c r="AB81">
        <f>HYPERLINK("https://klasma.github.io/Logging_2034/tillsyn/A 46244-2022 tillsynsbegäran.docx", "A 46244-2022")</f>
        <v/>
      </c>
      <c r="AC81">
        <f>HYPERLINK("https://klasma.github.io/Logging_2034/tillsynsmail/A 46244-2022 tillsynsbegäran mail.docx", "A 46244-2022")</f>
        <v/>
      </c>
    </row>
    <row r="82" ht="15" customHeight="1">
      <c r="A82" t="inlineStr">
        <is>
          <t>A 56807-2024</t>
        </is>
      </c>
      <c r="B82" t="inlineStr">
        <is>
          <t>avverkningsanmälan</t>
        </is>
      </c>
      <c r="C82" t="inlineStr">
        <is>
          <t>Föryngringsavverkning</t>
        </is>
      </c>
      <c r="D82" s="1" t="n">
        <v>45628</v>
      </c>
      <c r="E82" s="1" t="n">
        <v>46223</v>
      </c>
      <c r="F82" t="inlineStr">
        <is>
          <t>DALARNAS LÄN</t>
        </is>
      </c>
      <c r="G82" t="inlineStr">
        <is>
          <t>ORSA</t>
        </is>
      </c>
      <c r="I82" t="n">
        <v>1.9</v>
      </c>
      <c r="J82" t="n">
        <v>1</v>
      </c>
      <c r="K82" t="n">
        <v>0</v>
      </c>
      <c r="L82" t="n">
        <v>1</v>
      </c>
      <c r="M82" t="n">
        <v>0</v>
      </c>
      <c r="N82" t="n">
        <v>0</v>
      </c>
      <c r="O82" t="n">
        <v>0</v>
      </c>
      <c r="P82" t="n">
        <v>0</v>
      </c>
      <c r="Q82" t="n">
        <v>1</v>
      </c>
      <c r="R82" t="n">
        <v>0</v>
      </c>
      <c r="S82" t="n">
        <v>1</v>
      </c>
      <c r="T82" t="n">
        <v>1</v>
      </c>
      <c r="U82" s="2" t="inlineStr">
        <is>
          <t>Lavskrika</t>
        </is>
      </c>
      <c r="V82">
        <f>HYPERLINK("https://klasma.github.io/Logging_2034/artfynd/A 56807-2024 artfynd.xlsx", "A 56807-2024")</f>
        <v/>
      </c>
      <c r="W82">
        <f>HYPERLINK("https://klasma.github.io/Logging_2034/kartor/A 56807-2024 karta.png", "A 56807-2024")</f>
        <v/>
      </c>
      <c r="X82">
        <f>HYPERLINK("https://klasma.github.io/Logging_2034/kartor_geotiff/A 56807-2024 georefererad karta.tif", "A 56807-2024")</f>
        <v/>
      </c>
      <c r="Z82">
        <f>HYPERLINK("https://klasma.github.io/Logging_2034/klagomål/A 56807-2024 FSC-klagomål.docx", "A 56807-2024")</f>
        <v/>
      </c>
      <c r="AA82">
        <f>HYPERLINK("https://klasma.github.io/Logging_2034/klagomålsmail/A 56807-2024 FSC-klagomål mail.docx", "A 56807-2024")</f>
        <v/>
      </c>
      <c r="AB82">
        <f>HYPERLINK("https://klasma.github.io/Logging_2034/tillsyn/A 56807-2024 tillsynsbegäran.docx", "A 56807-2024")</f>
        <v/>
      </c>
      <c r="AC82">
        <f>HYPERLINK("https://klasma.github.io/Logging_2034/tillsynsmail/A 56807-2024 tillsynsbegäran mail.docx", "A 56807-2024")</f>
        <v/>
      </c>
      <c r="AD82">
        <f>HYPERLINK("https://klasma.github.io/Logging_2034/fåglar/A 56807-2024 prioriterade fågelarter.docx", "A 56807-2024")</f>
        <v/>
      </c>
    </row>
    <row r="83" ht="15" customHeight="1">
      <c r="A83" t="inlineStr">
        <is>
          <t>A 41927-2025</t>
        </is>
      </c>
      <c r="B83" t="inlineStr">
        <is>
          <t>avverkningsanmälan</t>
        </is>
      </c>
      <c r="C83" t="inlineStr">
        <is>
          <t>Föryngringsavverkning</t>
        </is>
      </c>
      <c r="D83" s="1" t="n">
        <v>45903</v>
      </c>
      <c r="E83" s="1" t="n">
        <v>46223</v>
      </c>
      <c r="F83" t="inlineStr">
        <is>
          <t>DALARNAS LÄN</t>
        </is>
      </c>
      <c r="G83" t="inlineStr">
        <is>
          <t>ORSA</t>
        </is>
      </c>
      <c r="I83" t="n">
        <v>2.4</v>
      </c>
      <c r="J83" t="n">
        <v>0</v>
      </c>
      <c r="K83" t="n">
        <v>0</v>
      </c>
      <c r="L83" t="n">
        <v>1</v>
      </c>
      <c r="M83" t="n">
        <v>0</v>
      </c>
      <c r="N83" t="n">
        <v>0</v>
      </c>
      <c r="O83" t="n">
        <v>0</v>
      </c>
      <c r="P83" t="n">
        <v>0</v>
      </c>
      <c r="Q83" t="n">
        <v>1</v>
      </c>
      <c r="R83" t="n">
        <v>0</v>
      </c>
      <c r="S83" t="n">
        <v>1</v>
      </c>
      <c r="T83" t="n">
        <v>1</v>
      </c>
      <c r="U83" s="2" t="inlineStr">
        <is>
          <t>Dofttaggsvamp</t>
        </is>
      </c>
      <c r="V83">
        <f>HYPERLINK("https://klasma.github.io/Logging_2034/artfynd/A 41927-2025 artfynd.xlsx", "A 41927-2025")</f>
        <v/>
      </c>
      <c r="W83">
        <f>HYPERLINK("https://klasma.github.io/Logging_2034/kartor/A 41927-2025 karta.png", "A 41927-2025")</f>
        <v/>
      </c>
      <c r="X83">
        <f>HYPERLINK("https://klasma.github.io/Logging_2034/kartor_geotiff/A 41927-2025 georefererad karta.tif", "A 41927-2025")</f>
        <v/>
      </c>
      <c r="Z83">
        <f>HYPERLINK("https://klasma.github.io/Logging_2034/klagomål/A 41927-2025 FSC-klagomål.docx", "A 41927-2025")</f>
        <v/>
      </c>
      <c r="AA83">
        <f>HYPERLINK("https://klasma.github.io/Logging_2034/klagomålsmail/A 41927-2025 FSC-klagomål mail.docx", "A 41927-2025")</f>
        <v/>
      </c>
      <c r="AB83">
        <f>HYPERLINK("https://klasma.github.io/Logging_2034/tillsyn/A 41927-2025 tillsynsbegäran.docx", "A 41927-2025")</f>
        <v/>
      </c>
      <c r="AC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46223</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s="2" t="inlineStr">
        <is>
          <t>Järnsparv</t>
        </is>
      </c>
      <c r="V84">
        <f>HYPERLINK("https://klasma.github.io/Logging_2034/artfynd/A 53573-2025 artfynd.xlsx", "A 53573-2025")</f>
        <v/>
      </c>
      <c r="W84">
        <f>HYPERLINK("https://klasma.github.io/Logging_2034/kartor/A 53573-2025 karta.png", "A 53573-2025")</f>
        <v/>
      </c>
      <c r="X84">
        <f>HYPERLINK("https://klasma.github.io/Logging_2034/kartor_geotiff/A 53573-2025 georefererad karta.tif", "A 53573-2025")</f>
        <v/>
      </c>
      <c r="Z84">
        <f>HYPERLINK("https://klasma.github.io/Logging_2034/klagomål/A 53573-2025 FSC-klagomål.docx", "A 53573-2025")</f>
        <v/>
      </c>
      <c r="AA84">
        <f>HYPERLINK("https://klasma.github.io/Logging_2034/klagomålsmail/A 53573-2025 FSC-klagomål mail.docx", "A 53573-2025")</f>
        <v/>
      </c>
      <c r="AB84">
        <f>HYPERLINK("https://klasma.github.io/Logging_2034/tillsyn/A 53573-2025 tillsynsbegäran.docx", "A 53573-2025")</f>
        <v/>
      </c>
      <c r="AC84">
        <f>HYPERLINK("https://klasma.github.io/Logging_2034/tillsynsmail/A 53573-2025 tillsynsbegäran mail.docx", "A 53573-2025")</f>
        <v/>
      </c>
      <c r="AD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46223</v>
      </c>
      <c r="F85" t="inlineStr">
        <is>
          <t>DALARNAS LÄN</t>
        </is>
      </c>
      <c r="G85" t="inlineStr">
        <is>
          <t>ORSA</t>
        </is>
      </c>
      <c r="I85" t="n">
        <v>3.6</v>
      </c>
      <c r="J85" t="n">
        <v>1</v>
      </c>
      <c r="K85" t="n">
        <v>0</v>
      </c>
      <c r="L85" t="n">
        <v>0</v>
      </c>
      <c r="M85" t="n">
        <v>0</v>
      </c>
      <c r="N85" t="n">
        <v>0</v>
      </c>
      <c r="O85" t="n">
        <v>0</v>
      </c>
      <c r="P85" t="n">
        <v>0</v>
      </c>
      <c r="Q85" t="n">
        <v>0</v>
      </c>
      <c r="R85" t="n">
        <v>0</v>
      </c>
      <c r="S85" t="n">
        <v>1</v>
      </c>
      <c r="T85" t="n">
        <v>1</v>
      </c>
      <c r="U85" s="2" t="inlineStr">
        <is>
          <t>Tjäder</t>
        </is>
      </c>
      <c r="V85">
        <f>HYPERLINK("https://klasma.github.io/Logging_2034/artfynd/A 54773-2025 artfynd.xlsx", "A 54773-2025")</f>
        <v/>
      </c>
      <c r="W85">
        <f>HYPERLINK("https://klasma.github.io/Logging_2034/kartor/A 54773-2025 karta.png", "A 54773-2025")</f>
        <v/>
      </c>
      <c r="X85">
        <f>HYPERLINK("https://klasma.github.io/Logging_2034/kartor_geotiff/A 54773-2025 georefererad karta.tif", "A 54773-2025")</f>
        <v/>
      </c>
      <c r="Z85">
        <f>HYPERLINK("https://klasma.github.io/Logging_2034/klagomål/A 54773-2025 FSC-klagomål.docx", "A 54773-2025")</f>
        <v/>
      </c>
      <c r="AA85">
        <f>HYPERLINK("https://klasma.github.io/Logging_2034/klagomålsmail/A 54773-2025 FSC-klagomål mail.docx", "A 54773-2025")</f>
        <v/>
      </c>
      <c r="AB85">
        <f>HYPERLINK("https://klasma.github.io/Logging_2034/tillsyn/A 54773-2025 tillsynsbegäran.docx", "A 54773-2025")</f>
        <v/>
      </c>
      <c r="AC85">
        <f>HYPERLINK("https://klasma.github.io/Logging_2034/tillsynsmail/A 54773-2025 tillsynsbegäran mail.docx", "A 54773-2025")</f>
        <v/>
      </c>
      <c r="AD85">
        <f>HYPERLINK("https://klasma.github.io/Logging_2034/fåglar/A 54773-2025 prioriterade fågelarter.docx", "A 54773-2025")</f>
        <v/>
      </c>
    </row>
    <row r="86" ht="15" customHeight="1">
      <c r="A86" t="inlineStr">
        <is>
          <t>A 384-2026</t>
        </is>
      </c>
      <c r="B86" t="inlineStr">
        <is>
          <t>avverkningsanmälan</t>
        </is>
      </c>
      <c r="C86" t="inlineStr">
        <is>
          <t>Föryngringsavverkning</t>
        </is>
      </c>
      <c r="D86" s="1" t="n">
        <v>46027</v>
      </c>
      <c r="E86" s="1" t="n">
        <v>46223</v>
      </c>
      <c r="F86" t="inlineStr">
        <is>
          <t>DALARNAS LÄN</t>
        </is>
      </c>
      <c r="G86" t="inlineStr">
        <is>
          <t>ORSA</t>
        </is>
      </c>
      <c r="I86" t="n">
        <v>1</v>
      </c>
      <c r="J86" t="n">
        <v>1</v>
      </c>
      <c r="K86" t="n">
        <v>0</v>
      </c>
      <c r="L86" t="n">
        <v>1</v>
      </c>
      <c r="M86" t="n">
        <v>0</v>
      </c>
      <c r="N86" t="n">
        <v>0</v>
      </c>
      <c r="O86" t="n">
        <v>0</v>
      </c>
      <c r="P86" t="n">
        <v>0</v>
      </c>
      <c r="Q86" t="n">
        <v>1</v>
      </c>
      <c r="R86" t="n">
        <v>0</v>
      </c>
      <c r="S86" t="n">
        <v>1</v>
      </c>
      <c r="T86" t="n">
        <v>1</v>
      </c>
      <c r="U86" s="2" t="inlineStr">
        <is>
          <t>Rosenfink</t>
        </is>
      </c>
      <c r="V86">
        <f>HYPERLINK("https://klasma.github.io/Logging_2034/artfynd/A 384-2026 artfynd.xlsx", "A 384-2026")</f>
        <v/>
      </c>
      <c r="W86">
        <f>HYPERLINK("https://klasma.github.io/Logging_2034/kartor/A 384-2026 karta.png", "A 384-2026")</f>
        <v/>
      </c>
      <c r="X86">
        <f>HYPERLINK("https://klasma.github.io/Logging_2034/kartor_geotiff/A 384-2026 georefererad karta.tif", "A 384-2026")</f>
        <v/>
      </c>
      <c r="Z86">
        <f>HYPERLINK("https://klasma.github.io/Logging_2034/klagomål/A 384-2026 FSC-klagomål.docx", "A 384-2026")</f>
        <v/>
      </c>
      <c r="AA86">
        <f>HYPERLINK("https://klasma.github.io/Logging_2034/klagomålsmail/A 384-2026 FSC-klagomål mail.docx", "A 384-2026")</f>
        <v/>
      </c>
      <c r="AB86">
        <f>HYPERLINK("https://klasma.github.io/Logging_2034/tillsyn/A 384-2026 tillsynsbegäran.docx", "A 384-2026")</f>
        <v/>
      </c>
      <c r="AC86">
        <f>HYPERLINK("https://klasma.github.io/Logging_2034/tillsynsmail/A 384-2026 tillsynsbegäran mail.docx", "A 384-2026")</f>
        <v/>
      </c>
      <c r="AD86">
        <f>HYPERLINK("https://klasma.github.io/Logging_2034/fåglar/A 384-2026 prioriterade fågelarter.docx", "A 384-2026")</f>
        <v/>
      </c>
    </row>
    <row r="87" ht="15" customHeight="1">
      <c r="A87" t="inlineStr">
        <is>
          <t>A 37887-2023</t>
        </is>
      </c>
      <c r="B87" t="inlineStr">
        <is>
          <t>avverkningsanmälan</t>
        </is>
      </c>
      <c r="C87" t="inlineStr">
        <is>
          <t>Föryngringsavverkning</t>
        </is>
      </c>
      <c r="D87" s="1" t="n">
        <v>45160</v>
      </c>
      <c r="E87" s="1" t="n">
        <v>46223</v>
      </c>
      <c r="F87" t="inlineStr">
        <is>
          <t>DALARNAS LÄN</t>
        </is>
      </c>
      <c r="G87" t="inlineStr">
        <is>
          <t>ORSA</t>
        </is>
      </c>
      <c r="H87" t="inlineStr">
        <is>
          <t>Allmännings- och besparingsskogar</t>
        </is>
      </c>
      <c r="I87" t="n">
        <v>20.5</v>
      </c>
      <c r="J87" t="n">
        <v>1</v>
      </c>
      <c r="K87" t="n">
        <v>0</v>
      </c>
      <c r="L87" t="n">
        <v>1</v>
      </c>
      <c r="M87" t="n">
        <v>0</v>
      </c>
      <c r="N87" t="n">
        <v>0</v>
      </c>
      <c r="O87" t="n">
        <v>0</v>
      </c>
      <c r="P87" t="n">
        <v>0</v>
      </c>
      <c r="Q87" t="n">
        <v>1</v>
      </c>
      <c r="R87" t="n">
        <v>0</v>
      </c>
      <c r="S87" t="n">
        <v>1</v>
      </c>
      <c r="T87" t="n">
        <v>1</v>
      </c>
      <c r="U87" s="2" t="inlineStr">
        <is>
          <t>Varglav</t>
        </is>
      </c>
      <c r="V87">
        <f>HYPERLINK("https://klasma.github.io/Logging_2034/artfynd/A 37887-2023 artfynd.xlsx", "A 37887-2023")</f>
        <v/>
      </c>
      <c r="W87">
        <f>HYPERLINK("https://klasma.github.io/Logging_2034/kartor/A 37887-2023 karta.png", "A 37887-2023")</f>
        <v/>
      </c>
      <c r="X87">
        <f>HYPERLINK("https://klasma.github.io/Logging_2034/kartor_geotiff/A 37887-2023 georefererad karta.tif", "A 37887-2023")</f>
        <v/>
      </c>
      <c r="Z87">
        <f>HYPERLINK("https://klasma.github.io/Logging_2034/klagomål/A 37887-2023 FSC-klagomål.docx", "A 37887-2023")</f>
        <v/>
      </c>
      <c r="AA87">
        <f>HYPERLINK("https://klasma.github.io/Logging_2034/klagomålsmail/A 37887-2023 FSC-klagomål mail.docx", "A 37887-2023")</f>
        <v/>
      </c>
      <c r="AB87">
        <f>HYPERLINK("https://klasma.github.io/Logging_2034/tillsyn/A 37887-2023 tillsynsbegäran.docx", "A 37887-2023")</f>
        <v/>
      </c>
      <c r="AC87">
        <f>HYPERLINK("https://klasma.github.io/Logging_2034/tillsynsmail/A 37887-2023 tillsynsbegäran mail.docx", "A 37887-2023")</f>
        <v/>
      </c>
    </row>
    <row r="88" ht="15" customHeight="1">
      <c r="A88" t="inlineStr">
        <is>
          <t>A 11812-2026</t>
        </is>
      </c>
      <c r="B88" t="inlineStr">
        <is>
          <t>avverkningsanmälan</t>
        </is>
      </c>
      <c r="C88" t="inlineStr">
        <is>
          <t>Föryngringsavverkning</t>
        </is>
      </c>
      <c r="D88" s="1" t="n">
        <v>46085</v>
      </c>
      <c r="E88" s="1" t="n">
        <v>46223</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s="2" t="inlineStr">
        <is>
          <t>Tjäder</t>
        </is>
      </c>
      <c r="V88">
        <f>HYPERLINK("https://klasma.github.io/Logging_2034/artfynd/A 11812-2026 artfynd.xlsx", "A 11812-2026")</f>
        <v/>
      </c>
      <c r="W88">
        <f>HYPERLINK("https://klasma.github.io/Logging_2034/kartor/A 11812-2026 karta.png", "A 11812-2026")</f>
        <v/>
      </c>
      <c r="X88">
        <f>HYPERLINK("https://klasma.github.io/Logging_2034/kartor_geotiff/A 11812-2026 georefererad karta.tif", "A 11812-2026")</f>
        <v/>
      </c>
      <c r="Z88">
        <f>HYPERLINK("https://klasma.github.io/Logging_2034/klagomål/A 11812-2026 FSC-klagomål.docx", "A 11812-2026")</f>
        <v/>
      </c>
      <c r="AA88">
        <f>HYPERLINK("https://klasma.github.io/Logging_2034/klagomålsmail/A 11812-2026 FSC-klagomål mail.docx", "A 11812-2026")</f>
        <v/>
      </c>
      <c r="AB88">
        <f>HYPERLINK("https://klasma.github.io/Logging_2034/tillsyn/A 11812-2026 tillsynsbegäran.docx", "A 11812-2026")</f>
        <v/>
      </c>
      <c r="AC88">
        <f>HYPERLINK("https://klasma.github.io/Logging_2034/tillsynsmail/A 11812-2026 tillsynsbegäran mail.docx", "A 11812-2026")</f>
        <v/>
      </c>
      <c r="AD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46223</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s="2" t="inlineStr">
        <is>
          <t>Garnlav</t>
        </is>
      </c>
      <c r="V89">
        <f>HYPERLINK("https://klasma.github.io/Logging_2034/artfynd/A 21477-2026 artfynd.xlsx", "A 21477-2026")</f>
        <v/>
      </c>
      <c r="W89">
        <f>HYPERLINK("https://klasma.github.io/Logging_2034/kartor/A 21477-2026 karta.png", "A 21477-2026")</f>
        <v/>
      </c>
      <c r="X89">
        <f>HYPERLINK("https://klasma.github.io/Logging_2034/kartor_geotiff/A 21477-2026 georefererad karta.tif", "A 21477-2026")</f>
        <v/>
      </c>
      <c r="Z89">
        <f>HYPERLINK("https://klasma.github.io/Logging_2034/klagomål/A 21477-2026 FSC-klagomål.docx", "A 21477-2026")</f>
        <v/>
      </c>
      <c r="AA89">
        <f>HYPERLINK("https://klasma.github.io/Logging_2034/klagomålsmail/A 21477-2026 FSC-klagomål mail.docx", "A 21477-2026")</f>
        <v/>
      </c>
      <c r="AB89">
        <f>HYPERLINK("https://klasma.github.io/Logging_2034/tillsyn/A 21477-2026 tillsynsbegäran.docx", "A 21477-2026")</f>
        <v/>
      </c>
      <c r="AC89">
        <f>HYPERLINK("https://klasma.github.io/Logging_2034/tillsynsmail/A 21477-2026 tillsynsbegäran mail.docx", "A 21477-2026")</f>
        <v/>
      </c>
    </row>
    <row r="90" ht="15" customHeight="1">
      <c r="A90" t="inlineStr">
        <is>
          <t>A 593-2024</t>
        </is>
      </c>
      <c r="B90" t="inlineStr">
        <is>
          <t>avverkningsanmälan</t>
        </is>
      </c>
      <c r="C90" t="inlineStr">
        <is>
          <t>Föryngringsavverkning</t>
        </is>
      </c>
      <c r="D90" s="1" t="n">
        <v>45299</v>
      </c>
      <c r="E90" s="1" t="n">
        <v>46223</v>
      </c>
      <c r="F90" t="inlineStr">
        <is>
          <t>DALARNAS LÄN</t>
        </is>
      </c>
      <c r="G90" t="inlineStr">
        <is>
          <t>ORSA</t>
        </is>
      </c>
      <c r="I90" t="n">
        <v>1.5</v>
      </c>
      <c r="J90" t="n">
        <v>1</v>
      </c>
      <c r="K90" t="n">
        <v>0</v>
      </c>
      <c r="L90" t="n">
        <v>0</v>
      </c>
      <c r="M90" t="n">
        <v>0</v>
      </c>
      <c r="N90" t="n">
        <v>0</v>
      </c>
      <c r="O90" t="n">
        <v>0</v>
      </c>
      <c r="P90" t="n">
        <v>0</v>
      </c>
      <c r="Q90" t="n">
        <v>0</v>
      </c>
      <c r="R90" t="n">
        <v>0</v>
      </c>
      <c r="S90" t="n">
        <v>1</v>
      </c>
      <c r="T90" t="n">
        <v>1</v>
      </c>
      <c r="U90" s="2" t="inlineStr">
        <is>
          <t>Järpe</t>
        </is>
      </c>
      <c r="V90">
        <f>HYPERLINK("https://klasma.github.io/Logging_2034/artfynd/A 593-2024 artfynd.xlsx", "A 593-2024")</f>
        <v/>
      </c>
      <c r="W90">
        <f>HYPERLINK("https://klasma.github.io/Logging_2034/kartor/A 593-2024 karta.png", "A 593-2024")</f>
        <v/>
      </c>
      <c r="X90">
        <f>HYPERLINK("https://klasma.github.io/Logging_2034/kartor_geotiff/A 593-2024 georefererad karta.tif", "A 593-2024")</f>
        <v/>
      </c>
      <c r="Z90">
        <f>HYPERLINK("https://klasma.github.io/Logging_2034/klagomål/A 593-2024 FSC-klagomål.docx", "A 593-2024")</f>
        <v/>
      </c>
      <c r="AA90">
        <f>HYPERLINK("https://klasma.github.io/Logging_2034/klagomålsmail/A 593-2024 FSC-klagomål mail.docx", "A 593-2024")</f>
        <v/>
      </c>
      <c r="AB90">
        <f>HYPERLINK("https://klasma.github.io/Logging_2034/tillsyn/A 593-2024 tillsynsbegäran.docx", "A 593-2024")</f>
        <v/>
      </c>
      <c r="AC90">
        <f>HYPERLINK("https://klasma.github.io/Logging_2034/tillsynsmail/A 593-2024 tillsynsbegäran mail.docx", "A 593-2024")</f>
        <v/>
      </c>
      <c r="AD90">
        <f>HYPERLINK("https://klasma.github.io/Logging_2034/fåglar/A 593-2024 prioriterade fågelarter.docx", "A 593-2024")</f>
        <v/>
      </c>
    </row>
    <row r="91" ht="15" customHeight="1">
      <c r="A91" t="inlineStr">
        <is>
          <t>A 30493-2024</t>
        </is>
      </c>
      <c r="B91" t="inlineStr">
        <is>
          <t>avverkningsanmälan</t>
        </is>
      </c>
      <c r="C91" t="inlineStr">
        <is>
          <t>Föryngringsavverkning</t>
        </is>
      </c>
      <c r="D91" s="1" t="n">
        <v>45492</v>
      </c>
      <c r="E91" s="1" t="n">
        <v>46223</v>
      </c>
      <c r="F91" t="inlineStr">
        <is>
          <t>DALARNAS LÄN</t>
        </is>
      </c>
      <c r="G91" t="inlineStr">
        <is>
          <t>ORSA</t>
        </is>
      </c>
      <c r="H91" t="inlineStr">
        <is>
          <t>Övriga statliga verk och myndigheter</t>
        </is>
      </c>
      <c r="I91" t="n">
        <v>2.2</v>
      </c>
      <c r="J91" t="n">
        <v>0</v>
      </c>
      <c r="K91" t="n">
        <v>0</v>
      </c>
      <c r="L91" t="n">
        <v>0</v>
      </c>
      <c r="M91" t="n">
        <v>1</v>
      </c>
      <c r="N91" t="n">
        <v>0</v>
      </c>
      <c r="O91" t="n">
        <v>0</v>
      </c>
      <c r="P91" t="n">
        <v>0</v>
      </c>
      <c r="Q91" t="n">
        <v>1</v>
      </c>
      <c r="R91" t="n">
        <v>1</v>
      </c>
      <c r="S91" t="n">
        <v>1</v>
      </c>
      <c r="T91" t="n">
        <v>1</v>
      </c>
      <c r="U91" s="2" t="inlineStr">
        <is>
          <t>Garnlav</t>
        </is>
      </c>
      <c r="V91">
        <f>HYPERLINK("https://klasma.github.io/Logging_2034/artfynd/A 30493-2024 artfynd.xlsx", "A 30493-2024")</f>
        <v/>
      </c>
      <c r="W91">
        <f>HYPERLINK("https://klasma.github.io/Logging_2034/kartor/A 30493-2024 karta.png", "A 30493-2024")</f>
        <v/>
      </c>
      <c r="X91">
        <f>HYPERLINK("https://klasma.github.io/Logging_2034/kartor_geotiff/A 30493-2024 georefererad karta.tif", "A 30493-2024")</f>
        <v/>
      </c>
      <c r="Z91">
        <f>HYPERLINK("https://klasma.github.io/Logging_2034/klagomål/A 30493-2024 FSC-klagomål.docx", "A 30493-2024")</f>
        <v/>
      </c>
      <c r="AA91">
        <f>HYPERLINK("https://klasma.github.io/Logging_2034/klagomålsmail/A 30493-2024 FSC-klagomål mail.docx", "A 30493-2024")</f>
        <v/>
      </c>
      <c r="AB91">
        <f>HYPERLINK("https://klasma.github.io/Logging_2034/tillsyn/A 30493-2024 tillsynsbegäran.docx", "A 30493-2024")</f>
        <v/>
      </c>
      <c r="AC91">
        <f>HYPERLINK("https://klasma.github.io/Logging_2034/tillsynsmail/A 30493-2024 tillsynsbegäran mail.docx", "A 30493-2024")</f>
        <v/>
      </c>
    </row>
    <row r="92" ht="15" customHeight="1">
      <c r="A92" t="inlineStr">
        <is>
          <t>A 28890-2026</t>
        </is>
      </c>
      <c r="B92" t="inlineStr">
        <is>
          <t>avverkningsanmälan</t>
        </is>
      </c>
      <c r="C92" t="inlineStr">
        <is>
          <t>Föryngringsavverkning</t>
        </is>
      </c>
      <c r="D92" s="1" t="n">
        <v>46199</v>
      </c>
      <c r="E92" s="1" t="n">
        <v>46223</v>
      </c>
      <c r="F92" t="inlineStr">
        <is>
          <t>DALARNAS LÄN</t>
        </is>
      </c>
      <c r="G92" t="inlineStr">
        <is>
          <t>ORSA</t>
        </is>
      </c>
      <c r="I92" t="n">
        <v>2.1</v>
      </c>
      <c r="J92" t="n">
        <v>1</v>
      </c>
      <c r="K92" t="n">
        <v>0</v>
      </c>
      <c r="L92" t="n">
        <v>0</v>
      </c>
      <c r="M92" t="n">
        <v>0</v>
      </c>
      <c r="N92" t="n">
        <v>0</v>
      </c>
      <c r="O92" t="n">
        <v>0</v>
      </c>
      <c r="P92" t="n">
        <v>0</v>
      </c>
      <c r="Q92" t="n">
        <v>0</v>
      </c>
      <c r="R92" t="n">
        <v>0</v>
      </c>
      <c r="S92" t="n">
        <v>1</v>
      </c>
      <c r="T92" t="n">
        <v>1</v>
      </c>
      <c r="U92" s="2" t="inlineStr">
        <is>
          <t>Tjäder</t>
        </is>
      </c>
      <c r="V92">
        <f>HYPERLINK("https://klasma.github.io/Logging_2034/artfynd/A 28890-2026 artfynd.xlsx", "A 28890-2026")</f>
        <v/>
      </c>
      <c r="W92">
        <f>HYPERLINK("https://klasma.github.io/Logging_2034/kartor/A 28890-2026 karta.png", "A 28890-2026")</f>
        <v/>
      </c>
      <c r="X92">
        <f>HYPERLINK("https://klasma.github.io/Logging_2034/kartor_geotiff/A 28890-2026 georefererad karta.tif", "A 28890-2026")</f>
        <v/>
      </c>
      <c r="Z92">
        <f>HYPERLINK("https://klasma.github.io/Logging_2034/klagomål/A 28890-2026 FSC-klagomål.docx", "A 28890-2026")</f>
        <v/>
      </c>
      <c r="AA92">
        <f>HYPERLINK("https://klasma.github.io/Logging_2034/klagomålsmail/A 28890-2026 FSC-klagomål mail.docx", "A 28890-2026")</f>
        <v/>
      </c>
      <c r="AB92">
        <f>HYPERLINK("https://klasma.github.io/Logging_2034/tillsyn/A 28890-2026 tillsynsbegäran.docx", "A 28890-2026")</f>
        <v/>
      </c>
      <c r="AC92">
        <f>HYPERLINK("https://klasma.github.io/Logging_2034/tillsynsmail/A 28890-2026 tillsynsbegäran mail.docx", "A 28890-2026")</f>
        <v/>
      </c>
      <c r="AD92">
        <f>HYPERLINK("https://klasma.github.io/Logging_2034/fåglar/A 28890-2026 prioriterade fågelarter.docx", "A 28890-2026")</f>
        <v/>
      </c>
    </row>
    <row r="93" ht="15" customHeight="1">
      <c r="A93" t="inlineStr">
        <is>
          <t>A 30316-2026</t>
        </is>
      </c>
      <c r="B93" t="inlineStr">
        <is>
          <t>avverkningsanmälan</t>
        </is>
      </c>
      <c r="C93" t="inlineStr">
        <is>
          <t>Avverkning för annat ändamål</t>
        </is>
      </c>
      <c r="D93" s="1" t="n">
        <v>46206</v>
      </c>
      <c r="E93" s="1" t="n">
        <v>46223</v>
      </c>
      <c r="F93" t="inlineStr">
        <is>
          <t>DALARNAS LÄN</t>
        </is>
      </c>
      <c r="G93" t="inlineStr">
        <is>
          <t>ORSA</t>
        </is>
      </c>
      <c r="I93" t="n">
        <v>1.9</v>
      </c>
      <c r="J93" t="n">
        <v>0</v>
      </c>
      <c r="K93" t="n">
        <v>0</v>
      </c>
      <c r="L93" t="n">
        <v>1</v>
      </c>
      <c r="M93" t="n">
        <v>0</v>
      </c>
      <c r="N93" t="n">
        <v>0</v>
      </c>
      <c r="O93" t="n">
        <v>0</v>
      </c>
      <c r="P93" t="n">
        <v>0</v>
      </c>
      <c r="Q93" t="n">
        <v>1</v>
      </c>
      <c r="R93" t="n">
        <v>0</v>
      </c>
      <c r="S93" t="n">
        <v>1</v>
      </c>
      <c r="T93" t="n">
        <v>1</v>
      </c>
      <c r="U93" s="2" t="inlineStr">
        <is>
          <t>Violettgrå tagellav</t>
        </is>
      </c>
      <c r="V93">
        <f>HYPERLINK("https://klasma.github.io/Logging_2034/artfynd/A 30316-2026 artfynd.xlsx", "A 30316-2026")</f>
        <v/>
      </c>
      <c r="W93">
        <f>HYPERLINK("https://klasma.github.io/Logging_2034/kartor/A 30316-2026 karta.png", "A 30316-2026")</f>
        <v/>
      </c>
      <c r="X93">
        <f>HYPERLINK("https://klasma.github.io/Logging_2034/kartor_geotiff/A 30316-2026 georefererad karta.tif", "A 30316-2026")</f>
        <v/>
      </c>
      <c r="Z93">
        <f>HYPERLINK("https://klasma.github.io/Logging_2034/klagomål/A 30316-2026 FSC-klagomål.docx", "A 30316-2026")</f>
        <v/>
      </c>
      <c r="AA93">
        <f>HYPERLINK("https://klasma.github.io/Logging_2034/klagomålsmail/A 30316-2026 FSC-klagomål mail.docx", "A 30316-2026")</f>
        <v/>
      </c>
      <c r="AB93">
        <f>HYPERLINK("https://klasma.github.io/Logging_2034/tillsyn/A 30316-2026 tillsynsbegäran.docx", "A 30316-2026")</f>
        <v/>
      </c>
      <c r="AC93">
        <f>HYPERLINK("https://klasma.github.io/Logging_2034/tillsynsmail/A 30316-2026 tillsynsbegäran mail.docx", "A 30316-2026")</f>
        <v/>
      </c>
    </row>
    <row r="94" ht="15" customHeight="1">
      <c r="A94" t="inlineStr">
        <is>
          <t>A 30682-2026</t>
        </is>
      </c>
      <c r="B94" t="inlineStr">
        <is>
          <t>avverkningsanmälan</t>
        </is>
      </c>
      <c r="C94" t="inlineStr">
        <is>
          <t>Föryngringsavverkning</t>
        </is>
      </c>
      <c r="D94" s="1" t="n">
        <v>46211</v>
      </c>
      <c r="E94" s="1" t="n">
        <v>46223</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s="2" t="inlineStr">
        <is>
          <t>Plattlummer</t>
        </is>
      </c>
      <c r="V94">
        <f>HYPERLINK("https://klasma.github.io/Logging_2034/artfynd/A 30682-2026 artfynd.xlsx", "A 30682-2026")</f>
        <v/>
      </c>
      <c r="W94">
        <f>HYPERLINK("https://klasma.github.io/Logging_2034/kartor/A 30682-2026 karta.png", "A 30682-2026")</f>
        <v/>
      </c>
      <c r="X94">
        <f>HYPERLINK("https://klasma.github.io/Logging_2034/kartor_geotiff/A 30682-2026 georefererad karta.tif", "A 30682-2026")</f>
        <v/>
      </c>
      <c r="Z94">
        <f>HYPERLINK("https://klasma.github.io/Logging_2034/klagomål/A 30682-2026 FSC-klagomål.docx", "A 30682-2026")</f>
        <v/>
      </c>
      <c r="AA94">
        <f>HYPERLINK("https://klasma.github.io/Logging_2034/klagomålsmail/A 30682-2026 FSC-klagomål mail.docx", "A 30682-2026")</f>
        <v/>
      </c>
      <c r="AB94">
        <f>HYPERLINK("https://klasma.github.io/Logging_2034/tillsyn/A 30682-2026 tillsynsbegäran.docx", "A 30682-2026")</f>
        <v/>
      </c>
      <c r="AC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46223</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s="2" t="inlineStr">
        <is>
          <t>Garnlav</t>
        </is>
      </c>
      <c r="V95">
        <f>HYPERLINK("https://klasma.github.io/Logging_2034/artfynd/A 30675-2026 artfynd.xlsx", "A 30675-2026")</f>
        <v/>
      </c>
      <c r="W95">
        <f>HYPERLINK("https://klasma.github.io/Logging_2034/kartor/A 30675-2026 karta.png", "A 30675-2026")</f>
        <v/>
      </c>
      <c r="X95">
        <f>HYPERLINK("https://klasma.github.io/Logging_2034/kartor_geotiff/A 30675-2026 georefererad karta.tif", "A 30675-2026")</f>
        <v/>
      </c>
      <c r="Z95">
        <f>HYPERLINK("https://klasma.github.io/Logging_2034/klagomål/A 30675-2026 FSC-klagomål.docx", "A 30675-2026")</f>
        <v/>
      </c>
      <c r="AA95">
        <f>HYPERLINK("https://klasma.github.io/Logging_2034/klagomålsmail/A 30675-2026 FSC-klagomål mail.docx", "A 30675-2026")</f>
        <v/>
      </c>
      <c r="AB95">
        <f>HYPERLINK("https://klasma.github.io/Logging_2034/tillsyn/A 30675-2026 tillsynsbegäran.docx", "A 30675-2026")</f>
        <v/>
      </c>
      <c r="AC95">
        <f>HYPERLINK("https://klasma.github.io/Logging_2034/tillsynsmail/A 30675-2026 tillsynsbegäran mail.docx", "A 30675-2026")</f>
        <v/>
      </c>
    </row>
    <row r="96" ht="15" customHeight="1">
      <c r="A96" t="inlineStr">
        <is>
          <t>A 9466-2023</t>
        </is>
      </c>
      <c r="B96" t="inlineStr">
        <is>
          <t>avverkningsanmälan</t>
        </is>
      </c>
      <c r="C96" t="inlineStr">
        <is>
          <t>Avverkning för annat ändamål</t>
        </is>
      </c>
      <c r="D96" s="1" t="n">
        <v>44981</v>
      </c>
      <c r="E96" s="1" t="n">
        <v>46223</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s="2" t="inlineStr">
        <is>
          <t>Tjäder</t>
        </is>
      </c>
      <c r="V96">
        <f>HYPERLINK("https://klasma.github.io/Logging_2034/artfynd/A 9466-2023 artfynd.xlsx", "A 9466-2023")</f>
        <v/>
      </c>
      <c r="W96">
        <f>HYPERLINK("https://klasma.github.io/Logging_2034/kartor/A 9466-2023 karta.png", "A 9466-2023")</f>
        <v/>
      </c>
      <c r="X96">
        <f>HYPERLINK("https://klasma.github.io/Logging_2034/kartor_geotiff/A 9466-2023 georefererad karta.tif", "A 9466-2023")</f>
        <v/>
      </c>
      <c r="Z96">
        <f>HYPERLINK("https://klasma.github.io/Logging_2034/klagomål/A 9466-2023 FSC-klagomål.docx", "A 9466-2023")</f>
        <v/>
      </c>
      <c r="AA96">
        <f>HYPERLINK("https://klasma.github.io/Logging_2034/klagomålsmail/A 9466-2023 FSC-klagomål mail.docx", "A 9466-2023")</f>
        <v/>
      </c>
      <c r="AB96">
        <f>HYPERLINK("https://klasma.github.io/Logging_2034/tillsyn/A 9466-2023 tillsynsbegäran.docx", "A 9466-2023")</f>
        <v/>
      </c>
      <c r="AC96">
        <f>HYPERLINK("https://klasma.github.io/Logging_2034/tillsynsmail/A 9466-2023 tillsynsbegäran mail.docx", "A 9466-2023")</f>
        <v/>
      </c>
      <c r="AD96">
        <f>HYPERLINK("https://klasma.github.io/Logging_2034/fåglar/A 9466-2023 prioriterade fågelarter.docx", "A 9466-2023")</f>
        <v/>
      </c>
    </row>
    <row r="97" ht="15" customHeight="1">
      <c r="A97" t="inlineStr">
        <is>
          <t>A 32931-2022</t>
        </is>
      </c>
      <c r="B97" t="inlineStr">
        <is>
          <t>avverkningsanmälan</t>
        </is>
      </c>
      <c r="C97" t="inlineStr">
        <is>
          <t>Föryngringsavverkning</t>
        </is>
      </c>
      <c r="D97" s="1" t="n">
        <v>44784</v>
      </c>
      <c r="E97" s="1" t="n">
        <v>46223</v>
      </c>
      <c r="F97" t="inlineStr">
        <is>
          <t>DALARNAS LÄN</t>
        </is>
      </c>
      <c r="G97" t="inlineStr">
        <is>
          <t>ORSA</t>
        </is>
      </c>
      <c r="H97" t="inlineStr">
        <is>
          <t>Bergvik skog öst AB</t>
        </is>
      </c>
      <c r="I97" t="n">
        <v>0.5</v>
      </c>
      <c r="J97" t="n">
        <v>0</v>
      </c>
      <c r="K97" t="n">
        <v>0</v>
      </c>
      <c r="L97" t="n">
        <v>0</v>
      </c>
      <c r="M97" t="n">
        <v>0</v>
      </c>
      <c r="N97" t="n">
        <v>0</v>
      </c>
      <c r="O97" t="n">
        <v>0</v>
      </c>
      <c r="P97" t="n">
        <v>0</v>
      </c>
      <c r="Q97" t="n">
        <v>0</v>
      </c>
      <c r="R97" t="n">
        <v>0</v>
      </c>
      <c r="S97" t="n">
        <v>0</v>
      </c>
      <c r="T97" t="n">
        <v>0</v>
      </c>
      <c r="U97" s="2" t="inlineStr"/>
    </row>
    <row r="98" ht="15" customHeight="1">
      <c r="A98" t="inlineStr">
        <is>
          <t>A 10405-2022</t>
        </is>
      </c>
      <c r="B98" t="inlineStr">
        <is>
          <t>avverkningsanmälan</t>
        </is>
      </c>
      <c r="C98" t="inlineStr">
        <is>
          <t>Föryngringsavverkning</t>
        </is>
      </c>
      <c r="D98" s="1" t="n">
        <v>44623</v>
      </c>
      <c r="E98" s="1" t="n">
        <v>46223</v>
      </c>
      <c r="F98" t="inlineStr">
        <is>
          <t>DALARNAS LÄN</t>
        </is>
      </c>
      <c r="G98" t="inlineStr">
        <is>
          <t>ORSA</t>
        </is>
      </c>
      <c r="I98" t="n">
        <v>1.4</v>
      </c>
      <c r="J98" t="n">
        <v>0</v>
      </c>
      <c r="K98" t="n">
        <v>0</v>
      </c>
      <c r="L98" t="n">
        <v>0</v>
      </c>
      <c r="M98" t="n">
        <v>0</v>
      </c>
      <c r="N98" t="n">
        <v>0</v>
      </c>
      <c r="O98" t="n">
        <v>0</v>
      </c>
      <c r="P98" t="n">
        <v>0</v>
      </c>
      <c r="Q98" t="n">
        <v>0</v>
      </c>
      <c r="R98" t="n">
        <v>0</v>
      </c>
      <c r="S98" t="n">
        <v>0</v>
      </c>
      <c r="T98" t="n">
        <v>0</v>
      </c>
      <c r="U98" s="2" t="inlineStr"/>
    </row>
    <row r="99" ht="15" customHeight="1">
      <c r="A99" t="inlineStr">
        <is>
          <t>A 49004-2021</t>
        </is>
      </c>
      <c r="B99" t="inlineStr">
        <is>
          <t>avverkningsanmälan</t>
        </is>
      </c>
      <c r="C99" t="inlineStr">
        <is>
          <t>Föryngringsavverkning</t>
        </is>
      </c>
      <c r="D99" s="1" t="n">
        <v>44453</v>
      </c>
      <c r="E99" s="1" t="n">
        <v>46223</v>
      </c>
      <c r="F99" t="inlineStr">
        <is>
          <t>DALARNAS LÄN</t>
        </is>
      </c>
      <c r="G99" t="inlineStr">
        <is>
          <t>ORSA</t>
        </is>
      </c>
      <c r="I99" t="n">
        <v>0.9</v>
      </c>
      <c r="J99" t="n">
        <v>0</v>
      </c>
      <c r="K99" t="n">
        <v>0</v>
      </c>
      <c r="L99" t="n">
        <v>0</v>
      </c>
      <c r="M99" t="n">
        <v>0</v>
      </c>
      <c r="N99" t="n">
        <v>0</v>
      </c>
      <c r="O99" t="n">
        <v>0</v>
      </c>
      <c r="P99" t="n">
        <v>0</v>
      </c>
      <c r="Q99" t="n">
        <v>0</v>
      </c>
      <c r="R99" t="n">
        <v>0</v>
      </c>
      <c r="S99" t="n">
        <v>0</v>
      </c>
      <c r="T99" t="n">
        <v>0</v>
      </c>
      <c r="U99" s="2" t="inlineStr"/>
    </row>
    <row r="100" ht="15" customHeight="1">
      <c r="A100" t="inlineStr">
        <is>
          <t>A 39920-2021</t>
        </is>
      </c>
      <c r="B100" t="inlineStr">
        <is>
          <t>avverkningsanmälan</t>
        </is>
      </c>
      <c r="C100" t="inlineStr">
        <is>
          <t>Föryngringsavverkning</t>
        </is>
      </c>
      <c r="D100" s="1" t="n">
        <v>44417</v>
      </c>
      <c r="E100" s="1" t="n">
        <v>46223</v>
      </c>
      <c r="F100" t="inlineStr">
        <is>
          <t>DALARNAS LÄN</t>
        </is>
      </c>
      <c r="G100" t="inlineStr">
        <is>
          <t>ORSA</t>
        </is>
      </c>
      <c r="H100" t="inlineStr">
        <is>
          <t>Kyrkan</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10262-2022</t>
        </is>
      </c>
      <c r="B101" t="inlineStr">
        <is>
          <t>avverkningsanmälan</t>
        </is>
      </c>
      <c r="C101" t="inlineStr">
        <is>
          <t>Föryngringsavverkning</t>
        </is>
      </c>
      <c r="D101" s="1" t="n">
        <v>44622</v>
      </c>
      <c r="E101" s="1" t="n">
        <v>46223</v>
      </c>
      <c r="F101" t="inlineStr">
        <is>
          <t>DALARNAS LÄN</t>
        </is>
      </c>
      <c r="G101" t="inlineStr">
        <is>
          <t>ORSA</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27498-2022</t>
        </is>
      </c>
      <c r="B102" t="inlineStr">
        <is>
          <t>avverkningsanmälan</t>
        </is>
      </c>
      <c r="C102" t="inlineStr">
        <is>
          <t>Föryngringsavverkning</t>
        </is>
      </c>
      <c r="D102" s="1" t="n">
        <v>44742</v>
      </c>
      <c r="E102" s="1" t="n">
        <v>46223</v>
      </c>
      <c r="F102" t="inlineStr">
        <is>
          <t>DALARNAS LÄN</t>
        </is>
      </c>
      <c r="G102" t="inlineStr">
        <is>
          <t>ORSA</t>
        </is>
      </c>
      <c r="I102" t="n">
        <v>5.7</v>
      </c>
      <c r="J102" t="n">
        <v>0</v>
      </c>
      <c r="K102" t="n">
        <v>0</v>
      </c>
      <c r="L102" t="n">
        <v>0</v>
      </c>
      <c r="M102" t="n">
        <v>0</v>
      </c>
      <c r="N102" t="n">
        <v>0</v>
      </c>
      <c r="O102" t="n">
        <v>0</v>
      </c>
      <c r="P102" t="n">
        <v>0</v>
      </c>
      <c r="Q102" t="n">
        <v>0</v>
      </c>
      <c r="R102" t="n">
        <v>0</v>
      </c>
      <c r="S102" t="n">
        <v>0</v>
      </c>
      <c r="T102" t="n">
        <v>0</v>
      </c>
      <c r="U102" s="2" t="inlineStr"/>
    </row>
    <row r="103" ht="15" customHeight="1">
      <c r="A103" t="inlineStr">
        <is>
          <t>A 50843-2021</t>
        </is>
      </c>
      <c r="B103" t="inlineStr">
        <is>
          <t>avverkningsanmälan</t>
        </is>
      </c>
      <c r="C103" t="inlineStr">
        <is>
          <t>Föryngringsavverkning</t>
        </is>
      </c>
      <c r="D103" s="1" t="n">
        <v>44460</v>
      </c>
      <c r="E103" s="1" t="n">
        <v>46223</v>
      </c>
      <c r="F103" t="inlineStr">
        <is>
          <t>DALARNAS LÄN</t>
        </is>
      </c>
      <c r="G103" t="inlineStr">
        <is>
          <t>ORSA</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11138-2022</t>
        </is>
      </c>
      <c r="B104" t="inlineStr">
        <is>
          <t>avverkningsanmälan</t>
        </is>
      </c>
      <c r="C104" t="inlineStr">
        <is>
          <t>Föryngringsavverkning</t>
        </is>
      </c>
      <c r="D104" s="1" t="n">
        <v>44629</v>
      </c>
      <c r="E104" s="1" t="n">
        <v>46223</v>
      </c>
      <c r="F104" t="inlineStr">
        <is>
          <t>DALARNAS LÄN</t>
        </is>
      </c>
      <c r="G104" t="inlineStr">
        <is>
          <t>ORSA</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54760-2021</t>
        </is>
      </c>
      <c r="B105" t="inlineStr">
        <is>
          <t>avverkningsanmälan</t>
        </is>
      </c>
      <c r="C105" t="inlineStr">
        <is>
          <t>Föryngringsavverkning</t>
        </is>
      </c>
      <c r="D105" s="1" t="n">
        <v>44473</v>
      </c>
      <c r="E105" s="1" t="n">
        <v>46223</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60391-2021</t>
        </is>
      </c>
      <c r="B106" t="inlineStr">
        <is>
          <t>avverkningsanmälan</t>
        </is>
      </c>
      <c r="C106" t="inlineStr">
        <is>
          <t>Föryngringsavverkning</t>
        </is>
      </c>
      <c r="D106" s="1" t="n">
        <v>44496</v>
      </c>
      <c r="E106" s="1" t="n">
        <v>46223</v>
      </c>
      <c r="F106" t="inlineStr">
        <is>
          <t>DALARNAS LÄN</t>
        </is>
      </c>
      <c r="G106" t="inlineStr">
        <is>
          <t>ORSA</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24651-2022</t>
        </is>
      </c>
      <c r="B107" t="inlineStr">
        <is>
          <t>avverkningsanmälan</t>
        </is>
      </c>
      <c r="C107" t="inlineStr">
        <is>
          <t>Föryngringsavverkning</t>
        </is>
      </c>
      <c r="D107" s="1" t="n">
        <v>44727</v>
      </c>
      <c r="E107" s="1" t="n">
        <v>46223</v>
      </c>
      <c r="F107" t="inlineStr">
        <is>
          <t>DALARNAS LÄN</t>
        </is>
      </c>
      <c r="G107" t="inlineStr">
        <is>
          <t>ORSA</t>
        </is>
      </c>
      <c r="H107" t="inlineStr">
        <is>
          <t>Allmännings- och besparingsskogar</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53745-2021</t>
        </is>
      </c>
      <c r="B108" t="inlineStr">
        <is>
          <t>avverkningsanmälan</t>
        </is>
      </c>
      <c r="C108" t="inlineStr">
        <is>
          <t>Föryngringsavverkning</t>
        </is>
      </c>
      <c r="D108" s="1" t="n">
        <v>44469</v>
      </c>
      <c r="E108" s="1" t="n">
        <v>46223</v>
      </c>
      <c r="F108" t="inlineStr">
        <is>
          <t>DALARNAS LÄN</t>
        </is>
      </c>
      <c r="G108" t="inlineStr">
        <is>
          <t>ORSA</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52542-2021</t>
        </is>
      </c>
      <c r="B109" t="inlineStr">
        <is>
          <t>avverkningsanmälan</t>
        </is>
      </c>
      <c r="C109" t="inlineStr">
        <is>
          <t>Föryngringsavverkning</t>
        </is>
      </c>
      <c r="D109" s="1" t="n">
        <v>44466</v>
      </c>
      <c r="E109" s="1" t="n">
        <v>46223</v>
      </c>
      <c r="F109" t="inlineStr">
        <is>
          <t>DALARNAS LÄN</t>
        </is>
      </c>
      <c r="G109" t="inlineStr">
        <is>
          <t>ORSA</t>
        </is>
      </c>
      <c r="I109" t="n">
        <v>0.3</v>
      </c>
      <c r="J109" t="n">
        <v>0</v>
      </c>
      <c r="K109" t="n">
        <v>0</v>
      </c>
      <c r="L109" t="n">
        <v>0</v>
      </c>
      <c r="M109" t="n">
        <v>0</v>
      </c>
      <c r="N109" t="n">
        <v>0</v>
      </c>
      <c r="O109" t="n">
        <v>0</v>
      </c>
      <c r="P109" t="n">
        <v>0</v>
      </c>
      <c r="Q109" t="n">
        <v>0</v>
      </c>
      <c r="R109" t="n">
        <v>0</v>
      </c>
      <c r="S109" t="n">
        <v>0</v>
      </c>
      <c r="T109" t="n">
        <v>0</v>
      </c>
      <c r="U109" s="2" t="inlineStr"/>
    </row>
    <row r="110" ht="15" customHeight="1">
      <c r="A110" t="inlineStr">
        <is>
          <t>A 71744-2021</t>
        </is>
      </c>
      <c r="B110" t="inlineStr">
        <is>
          <t>avverkningsanmälan</t>
        </is>
      </c>
      <c r="C110" t="inlineStr">
        <is>
          <t>Föryngringsavverkning</t>
        </is>
      </c>
      <c r="D110" s="1" t="n">
        <v>44543</v>
      </c>
      <c r="E110" s="1" t="n">
        <v>46223</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160-2022</t>
        </is>
      </c>
      <c r="B111" t="inlineStr">
        <is>
          <t>avverkningsanmälan</t>
        </is>
      </c>
      <c r="C111" t="inlineStr">
        <is>
          <t>Avverkning för annat ändamål</t>
        </is>
      </c>
      <c r="D111" s="1" t="n">
        <v>44564</v>
      </c>
      <c r="E111" s="1" t="n">
        <v>46223</v>
      </c>
      <c r="F111" t="inlineStr">
        <is>
          <t>DALARNAS LÄN</t>
        </is>
      </c>
      <c r="G111" t="inlineStr">
        <is>
          <t>ORSA</t>
        </is>
      </c>
      <c r="H111" t="inlineStr">
        <is>
          <t>Kommuner</t>
        </is>
      </c>
      <c r="I111" t="n">
        <v>0.1</v>
      </c>
      <c r="J111" t="n">
        <v>0</v>
      </c>
      <c r="K111" t="n">
        <v>0</v>
      </c>
      <c r="L111" t="n">
        <v>0</v>
      </c>
      <c r="M111" t="n">
        <v>0</v>
      </c>
      <c r="N111" t="n">
        <v>0</v>
      </c>
      <c r="O111" t="n">
        <v>0</v>
      </c>
      <c r="P111" t="n">
        <v>0</v>
      </c>
      <c r="Q111" t="n">
        <v>0</v>
      </c>
      <c r="R111" t="n">
        <v>0</v>
      </c>
      <c r="S111" t="n">
        <v>0</v>
      </c>
      <c r="T111" t="n">
        <v>0</v>
      </c>
      <c r="U111" s="2" t="inlineStr"/>
    </row>
    <row r="112" ht="15" customHeight="1">
      <c r="A112" t="inlineStr">
        <is>
          <t>A 56162-2021</t>
        </is>
      </c>
      <c r="B112" t="inlineStr">
        <is>
          <t>avverkningsanmälan</t>
        </is>
      </c>
      <c r="C112" t="inlineStr">
        <is>
          <t>Föryngringsavverkning</t>
        </is>
      </c>
      <c r="D112" s="1" t="n">
        <v>44477</v>
      </c>
      <c r="E112" s="1" t="n">
        <v>46223</v>
      </c>
      <c r="F112" t="inlineStr">
        <is>
          <t>DALARNAS LÄN</t>
        </is>
      </c>
      <c r="G112" t="inlineStr">
        <is>
          <t>ORSA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22813-2022</t>
        </is>
      </c>
      <c r="B113" t="inlineStr">
        <is>
          <t>avverkningsanmälan</t>
        </is>
      </c>
      <c r="C113" t="inlineStr">
        <is>
          <t>Föryngringsavverkning</t>
        </is>
      </c>
      <c r="D113" s="1" t="n">
        <v>44715</v>
      </c>
      <c r="E113" s="1" t="n">
        <v>46223</v>
      </c>
      <c r="F113" t="inlineStr">
        <is>
          <t>DALARNAS LÄN</t>
        </is>
      </c>
      <c r="G113" t="inlineStr">
        <is>
          <t>ORSA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52574-2021</t>
        </is>
      </c>
      <c r="B114" t="inlineStr">
        <is>
          <t>avverkningsanmälan</t>
        </is>
      </c>
      <c r="C114" t="inlineStr">
        <is>
          <t>Föryngringsavverkning</t>
        </is>
      </c>
      <c r="D114" s="1" t="n">
        <v>44466</v>
      </c>
      <c r="E114" s="1" t="n">
        <v>46223</v>
      </c>
      <c r="F114" t="inlineStr">
        <is>
          <t>DALARNAS LÄN</t>
        </is>
      </c>
      <c r="G114" t="inlineStr">
        <is>
          <t>ORSA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9561-2022</t>
        </is>
      </c>
      <c r="B115" t="inlineStr">
        <is>
          <t>avverkningsanmälan</t>
        </is>
      </c>
      <c r="C115" t="inlineStr">
        <is>
          <t>Föryngringsavverkning</t>
        </is>
      </c>
      <c r="D115" s="1" t="n">
        <v>44617</v>
      </c>
      <c r="E115" s="1" t="n">
        <v>46223</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41425-2021</t>
        </is>
      </c>
      <c r="B116" t="inlineStr">
        <is>
          <t>avverkningsanmälan</t>
        </is>
      </c>
      <c r="C116" t="inlineStr">
        <is>
          <t>Föryngringsavverkning</t>
        </is>
      </c>
      <c r="D116" s="1" t="n">
        <v>44424</v>
      </c>
      <c r="E116" s="1" t="n">
        <v>46223</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23344-2022</t>
        </is>
      </c>
      <c r="B117" t="inlineStr">
        <is>
          <t>avverkningsanmälan</t>
        </is>
      </c>
      <c r="C117" t="inlineStr">
        <is>
          <t>Föryngringsavverkning</t>
        </is>
      </c>
      <c r="D117" s="1" t="n">
        <v>44720</v>
      </c>
      <c r="E117" s="1" t="n">
        <v>46223</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51864-2022</t>
        </is>
      </c>
      <c r="B118" t="inlineStr">
        <is>
          <t>avverkningsanmälan</t>
        </is>
      </c>
      <c r="C118" t="inlineStr">
        <is>
          <t>Föryngringsavverkning</t>
        </is>
      </c>
      <c r="D118" s="1" t="n">
        <v>44872</v>
      </c>
      <c r="E118" s="1" t="n">
        <v>46223</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14535-2022</t>
        </is>
      </c>
      <c r="B119" t="inlineStr">
        <is>
          <t>avverkningsanmälan</t>
        </is>
      </c>
      <c r="C119" t="inlineStr">
        <is>
          <t>Föryngringsavverkning</t>
        </is>
      </c>
      <c r="D119" s="1" t="n">
        <v>44655</v>
      </c>
      <c r="E119" s="1" t="n">
        <v>46223</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s="2" t="inlineStr"/>
    </row>
    <row r="120" ht="15" customHeight="1">
      <c r="A120" t="inlineStr">
        <is>
          <t>A 44035-2022</t>
        </is>
      </c>
      <c r="B120" t="inlineStr">
        <is>
          <t>avverkningsanmälan</t>
        </is>
      </c>
      <c r="C120" t="inlineStr">
        <is>
          <t>Föryngringsavverkning</t>
        </is>
      </c>
      <c r="D120" s="1" t="n">
        <v>44838</v>
      </c>
      <c r="E120" s="1" t="n">
        <v>46223</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51277-2021</t>
        </is>
      </c>
      <c r="B121" t="inlineStr">
        <is>
          <t>avverkningsanmälan</t>
        </is>
      </c>
      <c r="C121" t="inlineStr">
        <is>
          <t>Föryngringsavverkning</t>
        </is>
      </c>
      <c r="D121" s="1" t="n">
        <v>44461</v>
      </c>
      <c r="E121" s="1" t="n">
        <v>46223</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51278-2021</t>
        </is>
      </c>
      <c r="B122" t="inlineStr">
        <is>
          <t>avverkningsanmälan</t>
        </is>
      </c>
      <c r="C122" t="inlineStr">
        <is>
          <t>Föryngringsavverkning</t>
        </is>
      </c>
      <c r="D122" s="1" t="n">
        <v>44461</v>
      </c>
      <c r="E122" s="1" t="n">
        <v>46223</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s="2" t="inlineStr"/>
    </row>
    <row r="123" ht="15" customHeight="1">
      <c r="A123" t="inlineStr">
        <is>
          <t>A 68230-2021</t>
        </is>
      </c>
      <c r="B123" t="inlineStr">
        <is>
          <t>avverkningsanmälan</t>
        </is>
      </c>
      <c r="C123" t="inlineStr">
        <is>
          <t>Föryngringsavverkning</t>
        </is>
      </c>
      <c r="D123" s="1" t="n">
        <v>44526</v>
      </c>
      <c r="E123" s="1" t="n">
        <v>46223</v>
      </c>
      <c r="F123" t="inlineStr">
        <is>
          <t>DALARNAS LÄN</t>
        </is>
      </c>
      <c r="G123" t="inlineStr">
        <is>
          <t>ORSA</t>
        </is>
      </c>
      <c r="H123" t="inlineStr">
        <is>
          <t>Kyrkan</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23725-2022</t>
        </is>
      </c>
      <c r="B124" t="inlineStr">
        <is>
          <t>avverkningsanmälan</t>
        </is>
      </c>
      <c r="C124" t="inlineStr">
        <is>
          <t>Föryngringsavverkning</t>
        </is>
      </c>
      <c r="D124" s="1" t="n">
        <v>44722</v>
      </c>
      <c r="E124" s="1" t="n">
        <v>46223</v>
      </c>
      <c r="F124" t="inlineStr">
        <is>
          <t>DALARNAS LÄN</t>
        </is>
      </c>
      <c r="G124" t="inlineStr">
        <is>
          <t>ORSA</t>
        </is>
      </c>
      <c r="H124" t="inlineStr">
        <is>
          <t>Bergvik skog öst AB</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26215-2022</t>
        </is>
      </c>
      <c r="B125" t="inlineStr">
        <is>
          <t>avverkningsanmälan</t>
        </is>
      </c>
      <c r="C125" t="inlineStr">
        <is>
          <t>Föryngringsavverkning</t>
        </is>
      </c>
      <c r="D125" s="1" t="n">
        <v>44735</v>
      </c>
      <c r="E125" s="1" t="n">
        <v>46223</v>
      </c>
      <c r="F125" t="inlineStr">
        <is>
          <t>DALARNAS LÄN</t>
        </is>
      </c>
      <c r="G125" t="inlineStr">
        <is>
          <t>ORSA</t>
        </is>
      </c>
      <c r="H125" t="inlineStr">
        <is>
          <t>Bergvik skog öst AB</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61000-2021</t>
        </is>
      </c>
      <c r="B126" t="inlineStr">
        <is>
          <t>avverkningsanmälan</t>
        </is>
      </c>
      <c r="C126" t="inlineStr">
        <is>
          <t>Föryngringsavverkning</t>
        </is>
      </c>
      <c r="D126" s="1" t="n">
        <v>44497</v>
      </c>
      <c r="E126" s="1" t="n">
        <v>46223</v>
      </c>
      <c r="F126" t="inlineStr">
        <is>
          <t>DALARNAS LÄN</t>
        </is>
      </c>
      <c r="G126" t="inlineStr">
        <is>
          <t>ORSA</t>
        </is>
      </c>
      <c r="I126" t="n">
        <v>4.4</v>
      </c>
      <c r="J126" t="n">
        <v>0</v>
      </c>
      <c r="K126" t="n">
        <v>0</v>
      </c>
      <c r="L126" t="n">
        <v>0</v>
      </c>
      <c r="M126" t="n">
        <v>0</v>
      </c>
      <c r="N126" t="n">
        <v>0</v>
      </c>
      <c r="O126" t="n">
        <v>0</v>
      </c>
      <c r="P126" t="n">
        <v>0</v>
      </c>
      <c r="Q126" t="n">
        <v>0</v>
      </c>
      <c r="R126" t="n">
        <v>0</v>
      </c>
      <c r="S126" t="n">
        <v>0</v>
      </c>
      <c r="T126" t="n">
        <v>0</v>
      </c>
      <c r="U126" s="2" t="inlineStr"/>
    </row>
    <row r="127" ht="15" customHeight="1">
      <c r="A127" t="inlineStr">
        <is>
          <t>A 61005-2021</t>
        </is>
      </c>
      <c r="B127" t="inlineStr">
        <is>
          <t>avverkningsanmälan</t>
        </is>
      </c>
      <c r="C127" t="inlineStr">
        <is>
          <t>Föryngringsavverkning</t>
        </is>
      </c>
      <c r="D127" s="1" t="n">
        <v>44497</v>
      </c>
      <c r="E127" s="1" t="n">
        <v>46223</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38611-2022</t>
        </is>
      </c>
      <c r="B128" t="inlineStr">
        <is>
          <t>avverkningsanmälan</t>
        </is>
      </c>
      <c r="C128" t="inlineStr">
        <is>
          <t>Föryngringsavverkning</t>
        </is>
      </c>
      <c r="D128" s="1" t="n">
        <v>44813</v>
      </c>
      <c r="E128" s="1" t="n">
        <v>46223</v>
      </c>
      <c r="F128" t="inlineStr">
        <is>
          <t>DALARNAS LÄN</t>
        </is>
      </c>
      <c r="G128" t="inlineStr">
        <is>
          <t>ORSA</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2948-2025</t>
        </is>
      </c>
      <c r="B129" t="inlineStr">
        <is>
          <t>avverkningsanmälan</t>
        </is>
      </c>
      <c r="C129" t="inlineStr">
        <is>
          <t>Föryngringsavverkning</t>
        </is>
      </c>
      <c r="D129" s="1" t="n">
        <v>45678</v>
      </c>
      <c r="E129" s="1" t="n">
        <v>46223</v>
      </c>
      <c r="F129" t="inlineStr">
        <is>
          <t>DALARNAS LÄN</t>
        </is>
      </c>
      <c r="G129" t="inlineStr">
        <is>
          <t>ORSA</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6171-2025</t>
        </is>
      </c>
      <c r="B130" t="inlineStr">
        <is>
          <t>avverkningsanmälan</t>
        </is>
      </c>
      <c r="C130" t="inlineStr">
        <is>
          <t>Föryngringsavverkning</t>
        </is>
      </c>
      <c r="D130" s="1" t="n">
        <v>45698</v>
      </c>
      <c r="E130" s="1" t="n">
        <v>46223</v>
      </c>
      <c r="F130" t="inlineStr">
        <is>
          <t>DALARNAS LÄN</t>
        </is>
      </c>
      <c r="G130" t="inlineStr">
        <is>
          <t>ORSA</t>
        </is>
      </c>
      <c r="I130" t="n">
        <v>11.1</v>
      </c>
      <c r="J130" t="n">
        <v>0</v>
      </c>
      <c r="K130" t="n">
        <v>0</v>
      </c>
      <c r="L130" t="n">
        <v>0</v>
      </c>
      <c r="M130" t="n">
        <v>0</v>
      </c>
      <c r="N130" t="n">
        <v>0</v>
      </c>
      <c r="O130" t="n">
        <v>0</v>
      </c>
      <c r="P130" t="n">
        <v>0</v>
      </c>
      <c r="Q130" t="n">
        <v>0</v>
      </c>
      <c r="R130" t="n">
        <v>0</v>
      </c>
      <c r="S130" t="n">
        <v>0</v>
      </c>
      <c r="T130" t="n">
        <v>0</v>
      </c>
      <c r="U130" s="2" t="inlineStr"/>
    </row>
    <row r="131" ht="15" customHeight="1">
      <c r="A131" t="inlineStr">
        <is>
          <t>A 48985-2023</t>
        </is>
      </c>
      <c r="B131" t="inlineStr">
        <is>
          <t>avverkningsanmälan</t>
        </is>
      </c>
      <c r="C131" t="inlineStr">
        <is>
          <t>Föryngringsavverkning</t>
        </is>
      </c>
      <c r="D131" s="1" t="n">
        <v>45209</v>
      </c>
      <c r="E131" s="1" t="n">
        <v>46223</v>
      </c>
      <c r="F131" t="inlineStr">
        <is>
          <t>DALARNAS LÄN</t>
        </is>
      </c>
      <c r="G131" t="inlineStr">
        <is>
          <t>ORSA</t>
        </is>
      </c>
      <c r="H131" t="inlineStr">
        <is>
          <t>Allmännings- och besparingsskogar</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52776-2022</t>
        </is>
      </c>
      <c r="B132" t="inlineStr">
        <is>
          <t>avverkningsanmälan</t>
        </is>
      </c>
      <c r="C132" t="inlineStr">
        <is>
          <t>Föryngringsavverkning</t>
        </is>
      </c>
      <c r="D132" s="1" t="n">
        <v>44875</v>
      </c>
      <c r="E132" s="1" t="n">
        <v>46223</v>
      </c>
      <c r="F132" t="inlineStr">
        <is>
          <t>DALARNAS LÄN</t>
        </is>
      </c>
      <c r="G132" t="inlineStr">
        <is>
          <t>ORSA</t>
        </is>
      </c>
      <c r="H132" t="inlineStr">
        <is>
          <t>Allmännings- och besparingsskogar</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16392-2024</t>
        </is>
      </c>
      <c r="B133" t="inlineStr">
        <is>
          <t>avverkningsanmälan</t>
        </is>
      </c>
      <c r="C133" t="inlineStr">
        <is>
          <t>Föryngringsavverkning</t>
        </is>
      </c>
      <c r="D133" s="1" t="n">
        <v>45407</v>
      </c>
      <c r="E133" s="1" t="n">
        <v>46223</v>
      </c>
      <c r="F133" t="inlineStr">
        <is>
          <t>DALARNAS LÄN</t>
        </is>
      </c>
      <c r="G133" t="inlineStr">
        <is>
          <t>ORSA</t>
        </is>
      </c>
      <c r="I133" t="n">
        <v>3.4</v>
      </c>
      <c r="J133" t="n">
        <v>0</v>
      </c>
      <c r="K133" t="n">
        <v>0</v>
      </c>
      <c r="L133" t="n">
        <v>0</v>
      </c>
      <c r="M133" t="n">
        <v>0</v>
      </c>
      <c r="N133" t="n">
        <v>0</v>
      </c>
      <c r="O133" t="n">
        <v>0</v>
      </c>
      <c r="P133" t="n">
        <v>0</v>
      </c>
      <c r="Q133" t="n">
        <v>0</v>
      </c>
      <c r="R133" t="n">
        <v>0</v>
      </c>
      <c r="S133" t="n">
        <v>0</v>
      </c>
      <c r="T133" t="n">
        <v>0</v>
      </c>
      <c r="U133" s="2" t="inlineStr"/>
    </row>
    <row r="134" ht="15" customHeight="1">
      <c r="A134" t="inlineStr">
        <is>
          <t>A 18312-2024</t>
        </is>
      </c>
      <c r="B134" t="inlineStr">
        <is>
          <t>avverkningsanmälan</t>
        </is>
      </c>
      <c r="C134" t="inlineStr">
        <is>
          <t>Föryngringsavverkning</t>
        </is>
      </c>
      <c r="D134" s="1" t="n">
        <v>45422</v>
      </c>
      <c r="E134" s="1" t="n">
        <v>46223</v>
      </c>
      <c r="F134" t="inlineStr">
        <is>
          <t>DALARNAS LÄN</t>
        </is>
      </c>
      <c r="G134" t="inlineStr">
        <is>
          <t>ORSA</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52044-2023</t>
        </is>
      </c>
      <c r="B135" t="inlineStr">
        <is>
          <t>avverkningsanmälan</t>
        </is>
      </c>
      <c r="C135" t="inlineStr">
        <is>
          <t>Föryngringsavverkning</t>
        </is>
      </c>
      <c r="D135" s="1" t="n">
        <v>45223</v>
      </c>
      <c r="E135" s="1" t="n">
        <v>46223</v>
      </c>
      <c r="F135" t="inlineStr">
        <is>
          <t>DALARNAS LÄN</t>
        </is>
      </c>
      <c r="G135" t="inlineStr">
        <is>
          <t>ORSA</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47126-2021</t>
        </is>
      </c>
      <c r="B136" t="inlineStr">
        <is>
          <t>avverkningsanmälan</t>
        </is>
      </c>
      <c r="C136" t="inlineStr">
        <is>
          <t>Föryngringsavverkning</t>
        </is>
      </c>
      <c r="D136" s="1" t="n">
        <v>44446</v>
      </c>
      <c r="E136" s="1" t="n">
        <v>46223</v>
      </c>
      <c r="F136" t="inlineStr">
        <is>
          <t>DALARNAS LÄN</t>
        </is>
      </c>
      <c r="G136" t="inlineStr">
        <is>
          <t>ORSA</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55338-2022</t>
        </is>
      </c>
      <c r="B137" t="inlineStr">
        <is>
          <t>avverkningsanmälan</t>
        </is>
      </c>
      <c r="C137" t="inlineStr">
        <is>
          <t>Föryngringsavverkning</t>
        </is>
      </c>
      <c r="D137" s="1" t="n">
        <v>44887</v>
      </c>
      <c r="E137" s="1" t="n">
        <v>46223</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36682-2024</t>
        </is>
      </c>
      <c r="B138" t="inlineStr">
        <is>
          <t>avverkningsanmälan</t>
        </is>
      </c>
      <c r="C138" t="inlineStr">
        <is>
          <t>Föryngringsavverkning</t>
        </is>
      </c>
      <c r="D138" s="1" t="n">
        <v>45537</v>
      </c>
      <c r="E138" s="1" t="n">
        <v>46223</v>
      </c>
      <c r="F138" t="inlineStr">
        <is>
          <t>DALARNAS LÄN</t>
        </is>
      </c>
      <c r="G138" t="inlineStr">
        <is>
          <t>ORSA</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21446-2024</t>
        </is>
      </c>
      <c r="B139" t="inlineStr">
        <is>
          <t>avverkningsanmälan</t>
        </is>
      </c>
      <c r="C139" t="inlineStr">
        <is>
          <t>Föryngringsavverkning</t>
        </is>
      </c>
      <c r="D139" s="1" t="n">
        <v>45441</v>
      </c>
      <c r="E139" s="1" t="n">
        <v>46223</v>
      </c>
      <c r="F139" t="inlineStr">
        <is>
          <t>DALARNAS LÄN</t>
        </is>
      </c>
      <c r="G139" t="inlineStr">
        <is>
          <t>ORSA</t>
        </is>
      </c>
      <c r="I139" t="n">
        <v>1.6</v>
      </c>
      <c r="J139" t="n">
        <v>0</v>
      </c>
      <c r="K139" t="n">
        <v>0</v>
      </c>
      <c r="L139" t="n">
        <v>0</v>
      </c>
      <c r="M139" t="n">
        <v>0</v>
      </c>
      <c r="N139" t="n">
        <v>0</v>
      </c>
      <c r="O139" t="n">
        <v>0</v>
      </c>
      <c r="P139" t="n">
        <v>0</v>
      </c>
      <c r="Q139" t="n">
        <v>0</v>
      </c>
      <c r="R139" t="n">
        <v>0</v>
      </c>
      <c r="S139" t="n">
        <v>0</v>
      </c>
      <c r="T139" t="n">
        <v>0</v>
      </c>
      <c r="U139" s="2" t="inlineStr"/>
    </row>
    <row r="140" ht="15" customHeight="1">
      <c r="A140" t="inlineStr">
        <is>
          <t>A 28974-2024</t>
        </is>
      </c>
      <c r="B140" t="inlineStr">
        <is>
          <t>avverkningsanmälan</t>
        </is>
      </c>
      <c r="C140" t="inlineStr">
        <is>
          <t>Föryngringsavverkning</t>
        </is>
      </c>
      <c r="D140" s="1" t="n">
        <v>45481</v>
      </c>
      <c r="E140" s="1" t="n">
        <v>46223</v>
      </c>
      <c r="F140" t="inlineStr">
        <is>
          <t>DALARNAS LÄN</t>
        </is>
      </c>
      <c r="G140" t="inlineStr">
        <is>
          <t>ORSA</t>
        </is>
      </c>
      <c r="H140" t="inlineStr">
        <is>
          <t>Bergvik skog öst AB</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37836-2024</t>
        </is>
      </c>
      <c r="B141" t="inlineStr">
        <is>
          <t>avverkningsanmälan</t>
        </is>
      </c>
      <c r="C141" t="inlineStr">
        <is>
          <t>Föryngringsavverkning</t>
        </is>
      </c>
      <c r="D141" s="1" t="n">
        <v>45544</v>
      </c>
      <c r="E141" s="1" t="n">
        <v>46223</v>
      </c>
      <c r="F141" t="inlineStr">
        <is>
          <t>DALARNAS LÄN</t>
        </is>
      </c>
      <c r="G141" t="inlineStr">
        <is>
          <t>ORSA</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41291-2021</t>
        </is>
      </c>
      <c r="B142" t="inlineStr">
        <is>
          <t>avverkningsanmälan</t>
        </is>
      </c>
      <c r="C142" t="inlineStr">
        <is>
          <t>Föryngringsavverkning</t>
        </is>
      </c>
      <c r="D142" s="1" t="n">
        <v>44424</v>
      </c>
      <c r="E142" s="1" t="n">
        <v>46223</v>
      </c>
      <c r="F142" t="inlineStr">
        <is>
          <t>DALARNAS LÄN</t>
        </is>
      </c>
      <c r="G142" t="inlineStr">
        <is>
          <t>ORSA</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50999-2021</t>
        </is>
      </c>
      <c r="B143" t="inlineStr">
        <is>
          <t>avverkningsanmälan</t>
        </is>
      </c>
      <c r="C143" t="inlineStr">
        <is>
          <t>Föryngringsavverkning</t>
        </is>
      </c>
      <c r="D143" s="1" t="n">
        <v>44460</v>
      </c>
      <c r="E143" s="1" t="n">
        <v>46223</v>
      </c>
      <c r="F143" t="inlineStr">
        <is>
          <t>DALARNAS LÄN</t>
        </is>
      </c>
      <c r="G143" t="inlineStr">
        <is>
          <t>ORSA</t>
        </is>
      </c>
      <c r="I143" t="n">
        <v>3</v>
      </c>
      <c r="J143" t="n">
        <v>0</v>
      </c>
      <c r="K143" t="n">
        <v>0</v>
      </c>
      <c r="L143" t="n">
        <v>0</v>
      </c>
      <c r="M143" t="n">
        <v>0</v>
      </c>
      <c r="N143" t="n">
        <v>0</v>
      </c>
      <c r="O143" t="n">
        <v>0</v>
      </c>
      <c r="P143" t="n">
        <v>0</v>
      </c>
      <c r="Q143" t="n">
        <v>0</v>
      </c>
      <c r="R143" t="n">
        <v>0</v>
      </c>
      <c r="S143" t="n">
        <v>0</v>
      </c>
      <c r="T143" t="n">
        <v>0</v>
      </c>
      <c r="U143" s="2" t="inlineStr"/>
    </row>
    <row r="144" ht="15" customHeight="1">
      <c r="A144" t="inlineStr">
        <is>
          <t>A 41295-2021</t>
        </is>
      </c>
      <c r="B144" t="inlineStr">
        <is>
          <t>avverkningsanmälan</t>
        </is>
      </c>
      <c r="C144" t="inlineStr">
        <is>
          <t>Föryngringsavverkning</t>
        </is>
      </c>
      <c r="D144" s="1" t="n">
        <v>44424</v>
      </c>
      <c r="E144" s="1" t="n">
        <v>46223</v>
      </c>
      <c r="F144" t="inlineStr">
        <is>
          <t>DALARNAS LÄN</t>
        </is>
      </c>
      <c r="G144" t="inlineStr">
        <is>
          <t>ORSA</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18817-2023</t>
        </is>
      </c>
      <c r="B145" t="inlineStr">
        <is>
          <t>avverkningsanmälan</t>
        </is>
      </c>
      <c r="C145" t="inlineStr">
        <is>
          <t>Föryngringsavverkning</t>
        </is>
      </c>
      <c r="D145" s="1" t="n">
        <v>45043</v>
      </c>
      <c r="E145" s="1" t="n">
        <v>46223</v>
      </c>
      <c r="F145" t="inlineStr">
        <is>
          <t>DALARNAS LÄN</t>
        </is>
      </c>
      <c r="G145" t="inlineStr">
        <is>
          <t>ORSA</t>
        </is>
      </c>
      <c r="I145" t="n">
        <v>4.4</v>
      </c>
      <c r="J145" t="n">
        <v>0</v>
      </c>
      <c r="K145" t="n">
        <v>0</v>
      </c>
      <c r="L145" t="n">
        <v>0</v>
      </c>
      <c r="M145" t="n">
        <v>0</v>
      </c>
      <c r="N145" t="n">
        <v>0</v>
      </c>
      <c r="O145" t="n">
        <v>0</v>
      </c>
      <c r="P145" t="n">
        <v>0</v>
      </c>
      <c r="Q145" t="n">
        <v>0</v>
      </c>
      <c r="R145" t="n">
        <v>0</v>
      </c>
      <c r="S145" t="n">
        <v>0</v>
      </c>
      <c r="T145" t="n">
        <v>0</v>
      </c>
      <c r="U145" s="2" t="inlineStr"/>
    </row>
    <row r="146" ht="15" customHeight="1">
      <c r="A146" t="inlineStr">
        <is>
          <t>A 34169-2023</t>
        </is>
      </c>
      <c r="B146" t="inlineStr">
        <is>
          <t>avverkningsanmälan</t>
        </is>
      </c>
      <c r="C146" t="inlineStr">
        <is>
          <t>Föryngringsavverkning</t>
        </is>
      </c>
      <c r="D146" s="1" t="n">
        <v>45138</v>
      </c>
      <c r="E146" s="1" t="n">
        <v>46223</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89-2026</t>
        </is>
      </c>
      <c r="B147" t="inlineStr">
        <is>
          <t>avverkningsanmälan</t>
        </is>
      </c>
      <c r="C147" t="inlineStr">
        <is>
          <t>Föryngringsavverkning</t>
        </is>
      </c>
      <c r="D147" s="1" t="n">
        <v>46016</v>
      </c>
      <c r="E147" s="1" t="n">
        <v>46223</v>
      </c>
      <c r="F147" t="inlineStr">
        <is>
          <t>DALARNAS LÄN</t>
        </is>
      </c>
      <c r="G147" t="inlineStr">
        <is>
          <t>ORSA</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61685-2024</t>
        </is>
      </c>
      <c r="B148" t="inlineStr">
        <is>
          <t>avverkningsanmälan</t>
        </is>
      </c>
      <c r="C148" t="inlineStr">
        <is>
          <t>Föryngringsavverkning</t>
        </is>
      </c>
      <c r="D148" s="1" t="n">
        <v>45647</v>
      </c>
      <c r="E148" s="1" t="n">
        <v>46223</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3364-2026</t>
        </is>
      </c>
      <c r="B149" t="inlineStr">
        <is>
          <t>avverkningsanmälan</t>
        </is>
      </c>
      <c r="C149" t="inlineStr">
        <is>
          <t>Föryngringsavverkning</t>
        </is>
      </c>
      <c r="D149" s="1" t="n">
        <v>46042</v>
      </c>
      <c r="E149" s="1" t="n">
        <v>46223</v>
      </c>
      <c r="F149" t="inlineStr">
        <is>
          <t>DALARNAS LÄN</t>
        </is>
      </c>
      <c r="G149" t="inlineStr">
        <is>
          <t>ORSA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33488-2024</t>
        </is>
      </c>
      <c r="B150" t="inlineStr">
        <is>
          <t>avverkningsanmälan</t>
        </is>
      </c>
      <c r="C150" t="inlineStr">
        <is>
          <t>Föryngringsavverkning</t>
        </is>
      </c>
      <c r="D150" s="1" t="n">
        <v>45519</v>
      </c>
      <c r="E150" s="1" t="n">
        <v>46223</v>
      </c>
      <c r="F150" t="inlineStr">
        <is>
          <t>DALARNAS LÄN</t>
        </is>
      </c>
      <c r="G150" t="inlineStr">
        <is>
          <t>ORSA</t>
        </is>
      </c>
      <c r="H150" t="inlineStr">
        <is>
          <t>Övriga statliga verk och myndigheter</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890-2024</t>
        </is>
      </c>
      <c r="B151" t="inlineStr">
        <is>
          <t>avverkningsanmälan</t>
        </is>
      </c>
      <c r="C151" t="inlineStr">
        <is>
          <t>Föryngringsavverkning</t>
        </is>
      </c>
      <c r="D151" s="1" t="n">
        <v>45301</v>
      </c>
      <c r="E151" s="1" t="n">
        <v>46223</v>
      </c>
      <c r="F151" t="inlineStr">
        <is>
          <t>DALARNAS LÄN</t>
        </is>
      </c>
      <c r="G151" t="inlineStr">
        <is>
          <t>ORSA</t>
        </is>
      </c>
      <c r="I151" t="n">
        <v>2.5</v>
      </c>
      <c r="J151" t="n">
        <v>0</v>
      </c>
      <c r="K151" t="n">
        <v>0</v>
      </c>
      <c r="L151" t="n">
        <v>0</v>
      </c>
      <c r="M151" t="n">
        <v>0</v>
      </c>
      <c r="N151" t="n">
        <v>0</v>
      </c>
      <c r="O151" t="n">
        <v>0</v>
      </c>
      <c r="P151" t="n">
        <v>0</v>
      </c>
      <c r="Q151" t="n">
        <v>0</v>
      </c>
      <c r="R151" t="n">
        <v>0</v>
      </c>
      <c r="S151" t="n">
        <v>0</v>
      </c>
      <c r="T151" t="n">
        <v>0</v>
      </c>
      <c r="U151" s="2" t="inlineStr"/>
    </row>
    <row r="152" ht="15" customHeight="1">
      <c r="A152" t="inlineStr">
        <is>
          <t>A 20302-2023</t>
        </is>
      </c>
      <c r="B152" t="inlineStr">
        <is>
          <t>avverkningsanmälan</t>
        </is>
      </c>
      <c r="C152" t="inlineStr">
        <is>
          <t>Föryngringsavverkning</t>
        </is>
      </c>
      <c r="D152" s="1" t="n">
        <v>45056</v>
      </c>
      <c r="E152" s="1" t="n">
        <v>46223</v>
      </c>
      <c r="F152" t="inlineStr">
        <is>
          <t>DALARNAS LÄN</t>
        </is>
      </c>
      <c r="G152" t="inlineStr">
        <is>
          <t>ORSA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3988-2026</t>
        </is>
      </c>
      <c r="B153" t="inlineStr">
        <is>
          <t>avverkningsanmälan</t>
        </is>
      </c>
      <c r="C153" t="inlineStr">
        <is>
          <t>Föryngringsavverkning</t>
        </is>
      </c>
      <c r="D153" s="1" t="n">
        <v>46044</v>
      </c>
      <c r="E153" s="1" t="n">
        <v>46223</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26741-2025</t>
        </is>
      </c>
      <c r="B154" t="inlineStr">
        <is>
          <t>avverkningsanmälan</t>
        </is>
      </c>
      <c r="C154" t="inlineStr">
        <is>
          <t>Föryngringsavverkning</t>
        </is>
      </c>
      <c r="D154" s="1" t="n">
        <v>45810</v>
      </c>
      <c r="E154" s="1" t="n">
        <v>46223</v>
      </c>
      <c r="F154" t="inlineStr">
        <is>
          <t>DALARNAS LÄN</t>
        </is>
      </c>
      <c r="G154" t="inlineStr">
        <is>
          <t>ORSA</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6490-2025</t>
        </is>
      </c>
      <c r="B155" t="inlineStr">
        <is>
          <t>avverkningsanmälan</t>
        </is>
      </c>
      <c r="C155" t="inlineStr">
        <is>
          <t>Föryngringsavverkning</t>
        </is>
      </c>
      <c r="D155" s="1" t="n">
        <v>45699</v>
      </c>
      <c r="E155" s="1" t="n">
        <v>46223</v>
      </c>
      <c r="F155" t="inlineStr">
        <is>
          <t>DALARNAS LÄN</t>
        </is>
      </c>
      <c r="G155" t="inlineStr">
        <is>
          <t>ORSA</t>
        </is>
      </c>
      <c r="I155" t="n">
        <v>7.5</v>
      </c>
      <c r="J155" t="n">
        <v>0</v>
      </c>
      <c r="K155" t="n">
        <v>0</v>
      </c>
      <c r="L155" t="n">
        <v>0</v>
      </c>
      <c r="M155" t="n">
        <v>0</v>
      </c>
      <c r="N155" t="n">
        <v>0</v>
      </c>
      <c r="O155" t="n">
        <v>0</v>
      </c>
      <c r="P155" t="n">
        <v>0</v>
      </c>
      <c r="Q155" t="n">
        <v>0</v>
      </c>
      <c r="R155" t="n">
        <v>0</v>
      </c>
      <c r="S155" t="n">
        <v>0</v>
      </c>
      <c r="T155" t="n">
        <v>0</v>
      </c>
      <c r="U155" s="2" t="inlineStr"/>
    </row>
    <row r="156" ht="15" customHeight="1">
      <c r="A156" t="inlineStr">
        <is>
          <t>A 27313-2025</t>
        </is>
      </c>
      <c r="B156" t="inlineStr">
        <is>
          <t>avverkningsanmälan</t>
        </is>
      </c>
      <c r="C156" t="inlineStr">
        <is>
          <t>Föryngringsavverkning</t>
        </is>
      </c>
      <c r="D156" s="1" t="n">
        <v>45812</v>
      </c>
      <c r="E156" s="1" t="n">
        <v>46223</v>
      </c>
      <c r="F156" t="inlineStr">
        <is>
          <t>DALARNAS LÄN</t>
        </is>
      </c>
      <c r="G156" t="inlineStr">
        <is>
          <t>ORSA</t>
        </is>
      </c>
      <c r="H156" t="inlineStr">
        <is>
          <t>Allmännings- och besparingsskogar</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4011-2026</t>
        </is>
      </c>
      <c r="B157" t="inlineStr">
        <is>
          <t>avverkningsanmälan</t>
        </is>
      </c>
      <c r="C157" t="inlineStr">
        <is>
          <t>Föryngringsavverkning</t>
        </is>
      </c>
      <c r="D157" s="1" t="n">
        <v>46044</v>
      </c>
      <c r="E157" s="1" t="n">
        <v>46223</v>
      </c>
      <c r="F157" t="inlineStr">
        <is>
          <t>DALARNAS LÄN</t>
        </is>
      </c>
      <c r="G157" t="inlineStr">
        <is>
          <t>ORSA</t>
        </is>
      </c>
      <c r="I157" t="n">
        <v>3.6</v>
      </c>
      <c r="J157" t="n">
        <v>0</v>
      </c>
      <c r="K157" t="n">
        <v>0</v>
      </c>
      <c r="L157" t="n">
        <v>0</v>
      </c>
      <c r="M157" t="n">
        <v>0</v>
      </c>
      <c r="N157" t="n">
        <v>0</v>
      </c>
      <c r="O157" t="n">
        <v>0</v>
      </c>
      <c r="P157" t="n">
        <v>0</v>
      </c>
      <c r="Q157" t="n">
        <v>0</v>
      </c>
      <c r="R157" t="n">
        <v>0</v>
      </c>
      <c r="S157" t="n">
        <v>0</v>
      </c>
      <c r="T157" t="n">
        <v>0</v>
      </c>
      <c r="U157" s="2" t="inlineStr"/>
    </row>
    <row r="158" ht="15" customHeight="1">
      <c r="A158" t="inlineStr">
        <is>
          <t>A 27987-2025</t>
        </is>
      </c>
      <c r="B158" t="inlineStr">
        <is>
          <t>avverkningsanmälan</t>
        </is>
      </c>
      <c r="C158" t="inlineStr">
        <is>
          <t>Föryngringsavverkning</t>
        </is>
      </c>
      <c r="D158" s="1" t="n">
        <v>45817</v>
      </c>
      <c r="E158" s="1" t="n">
        <v>46223</v>
      </c>
      <c r="F158" t="inlineStr">
        <is>
          <t>DALARNAS LÄN</t>
        </is>
      </c>
      <c r="G158" t="inlineStr">
        <is>
          <t>ORSA</t>
        </is>
      </c>
      <c r="H158" t="inlineStr">
        <is>
          <t>Allmännings- och besparingsskogar</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27885-2025</t>
        </is>
      </c>
      <c r="B159" t="inlineStr">
        <is>
          <t>avverkningsanmälan</t>
        </is>
      </c>
      <c r="C159" t="inlineStr">
        <is>
          <t>Föryngringsavverkning</t>
        </is>
      </c>
      <c r="D159" s="1" t="n">
        <v>45817</v>
      </c>
      <c r="E159" s="1" t="n">
        <v>46223</v>
      </c>
      <c r="F159" t="inlineStr">
        <is>
          <t>DALARNAS LÄN</t>
        </is>
      </c>
      <c r="G159" t="inlineStr">
        <is>
          <t>ORSA</t>
        </is>
      </c>
      <c r="H159" t="inlineStr">
        <is>
          <t>Allmännings- och besparingsskogar</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38844-2025</t>
        </is>
      </c>
      <c r="B160" t="inlineStr">
        <is>
          <t>avverkningsanmälan</t>
        </is>
      </c>
      <c r="C160" t="inlineStr">
        <is>
          <t>Föryngringsavverkning</t>
        </is>
      </c>
      <c r="D160" s="1" t="n">
        <v>45887</v>
      </c>
      <c r="E160" s="1" t="n">
        <v>46223</v>
      </c>
      <c r="F160" t="inlineStr">
        <is>
          <t>DALARNAS LÄN</t>
        </is>
      </c>
      <c r="G160" t="inlineStr">
        <is>
          <t>ORSA</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38840-2025</t>
        </is>
      </c>
      <c r="B161" t="inlineStr">
        <is>
          <t>avverkningsanmälan</t>
        </is>
      </c>
      <c r="C161" t="inlineStr">
        <is>
          <t>Föryngringsavverkning</t>
        </is>
      </c>
      <c r="D161" s="1" t="n">
        <v>45887</v>
      </c>
      <c r="E161" s="1" t="n">
        <v>46223</v>
      </c>
      <c r="F161" t="inlineStr">
        <is>
          <t>DALARNAS LÄN</t>
        </is>
      </c>
      <c r="G161" t="inlineStr">
        <is>
          <t>ORSA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51001-2021</t>
        </is>
      </c>
      <c r="B162" t="inlineStr">
        <is>
          <t>avverkningsanmälan</t>
        </is>
      </c>
      <c r="C162" t="inlineStr">
        <is>
          <t>Föryngringsavverkning</t>
        </is>
      </c>
      <c r="D162" s="1" t="n">
        <v>44460</v>
      </c>
      <c r="E162" s="1" t="n">
        <v>46223</v>
      </c>
      <c r="F162" t="inlineStr">
        <is>
          <t>DALARNAS LÄN</t>
        </is>
      </c>
      <c r="G162" t="inlineStr">
        <is>
          <t>ORSA</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40070-2025</t>
        </is>
      </c>
      <c r="B163" t="inlineStr">
        <is>
          <t>avverkningsanmälan</t>
        </is>
      </c>
      <c r="C163" t="inlineStr">
        <is>
          <t>Föryngringsavverkning</t>
        </is>
      </c>
      <c r="D163" s="1" t="n">
        <v>45894</v>
      </c>
      <c r="E163" s="1" t="n">
        <v>46223</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29984-2025</t>
        </is>
      </c>
      <c r="B164" t="inlineStr">
        <is>
          <t>avverkningsanmälan</t>
        </is>
      </c>
      <c r="C164" t="inlineStr">
        <is>
          <t>Avverkning för annat ändamål</t>
        </is>
      </c>
      <c r="D164" s="1" t="n">
        <v>45826</v>
      </c>
      <c r="E164" s="1" t="n">
        <v>46223</v>
      </c>
      <c r="F164" t="inlineStr">
        <is>
          <t>DALARNAS LÄN</t>
        </is>
      </c>
      <c r="G164" t="inlineStr">
        <is>
          <t>ORSA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61698-2022</t>
        </is>
      </c>
      <c r="B165" t="inlineStr">
        <is>
          <t>avverkningsanmälan</t>
        </is>
      </c>
      <c r="C165" t="inlineStr">
        <is>
          <t>Föryngringsavverkning</t>
        </is>
      </c>
      <c r="D165" s="1" t="n">
        <v>44917</v>
      </c>
      <c r="E165" s="1" t="n">
        <v>46223</v>
      </c>
      <c r="F165" t="inlineStr">
        <is>
          <t>DALARNAS LÄN</t>
        </is>
      </c>
      <c r="G165" t="inlineStr">
        <is>
          <t>ORSA</t>
        </is>
      </c>
      <c r="H165" t="inlineStr">
        <is>
          <t>Bergvik skog öst AB</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40091-2025</t>
        </is>
      </c>
      <c r="B166" t="inlineStr">
        <is>
          <t>avverkningsanmälan</t>
        </is>
      </c>
      <c r="C166" t="inlineStr">
        <is>
          <t>Föryngringsavverkning</t>
        </is>
      </c>
      <c r="D166" s="1" t="n">
        <v>45894</v>
      </c>
      <c r="E166" s="1" t="n">
        <v>46223</v>
      </c>
      <c r="F166" t="inlineStr">
        <is>
          <t>DALARNAS LÄN</t>
        </is>
      </c>
      <c r="G166" t="inlineStr">
        <is>
          <t>ORSA</t>
        </is>
      </c>
      <c r="H166" t="inlineStr">
        <is>
          <t>Allmännings- och besparingsskogar</t>
        </is>
      </c>
      <c r="I166" t="n">
        <v>20.4</v>
      </c>
      <c r="J166" t="n">
        <v>0</v>
      </c>
      <c r="K166" t="n">
        <v>0</v>
      </c>
      <c r="L166" t="n">
        <v>0</v>
      </c>
      <c r="M166" t="n">
        <v>0</v>
      </c>
      <c r="N166" t="n">
        <v>0</v>
      </c>
      <c r="O166" t="n">
        <v>0</v>
      </c>
      <c r="P166" t="n">
        <v>0</v>
      </c>
      <c r="Q166" t="n">
        <v>0</v>
      </c>
      <c r="R166" t="n">
        <v>0</v>
      </c>
      <c r="S166" t="n">
        <v>0</v>
      </c>
      <c r="T166" t="n">
        <v>0</v>
      </c>
      <c r="U166" s="2" t="inlineStr"/>
    </row>
    <row r="167" ht="15" customHeight="1">
      <c r="A167" t="inlineStr">
        <is>
          <t>A 56975-2023</t>
        </is>
      </c>
      <c r="B167" t="inlineStr">
        <is>
          <t>avverkningsanmälan</t>
        </is>
      </c>
      <c r="C167" t="inlineStr">
        <is>
          <t>Föryngringsavverkning</t>
        </is>
      </c>
      <c r="D167" s="1" t="n">
        <v>45244</v>
      </c>
      <c r="E167" s="1" t="n">
        <v>46223</v>
      </c>
      <c r="F167" t="inlineStr">
        <is>
          <t>DALARNAS LÄN</t>
        </is>
      </c>
      <c r="G167" t="inlineStr">
        <is>
          <t>ORSA</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29933-2025</t>
        </is>
      </c>
      <c r="B168" t="inlineStr">
        <is>
          <t>avverkningsanmälan</t>
        </is>
      </c>
      <c r="C168" t="inlineStr">
        <is>
          <t>Föryngringsavverkning</t>
        </is>
      </c>
      <c r="D168" s="1" t="n">
        <v>45826</v>
      </c>
      <c r="E168" s="1" t="n">
        <v>46223</v>
      </c>
      <c r="F168" t="inlineStr">
        <is>
          <t>DALARNAS LÄN</t>
        </is>
      </c>
      <c r="G168" t="inlineStr">
        <is>
          <t>ORSA</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40577-2025</t>
        </is>
      </c>
      <c r="B169" t="inlineStr">
        <is>
          <t>avverkningsanmälan</t>
        </is>
      </c>
      <c r="C169" t="inlineStr">
        <is>
          <t>Föryngringsavverkning</t>
        </is>
      </c>
      <c r="D169" s="1" t="n">
        <v>45896</v>
      </c>
      <c r="E169" s="1" t="n">
        <v>46223</v>
      </c>
      <c r="F169" t="inlineStr">
        <is>
          <t>DALARNAS LÄN</t>
        </is>
      </c>
      <c r="G169" t="inlineStr">
        <is>
          <t>ORSA</t>
        </is>
      </c>
      <c r="H169" t="inlineStr">
        <is>
          <t>Allmännings- och besparingsskogar</t>
        </is>
      </c>
      <c r="I169" t="n">
        <v>13.8</v>
      </c>
      <c r="J169" t="n">
        <v>0</v>
      </c>
      <c r="K169" t="n">
        <v>0</v>
      </c>
      <c r="L169" t="n">
        <v>0</v>
      </c>
      <c r="M169" t="n">
        <v>0</v>
      </c>
      <c r="N169" t="n">
        <v>0</v>
      </c>
      <c r="O169" t="n">
        <v>0</v>
      </c>
      <c r="P169" t="n">
        <v>0</v>
      </c>
      <c r="Q169" t="n">
        <v>0</v>
      </c>
      <c r="R169" t="n">
        <v>0</v>
      </c>
      <c r="S169" t="n">
        <v>0</v>
      </c>
      <c r="T169" t="n">
        <v>0</v>
      </c>
      <c r="U169" s="2" t="inlineStr"/>
    </row>
    <row r="170" ht="15" customHeight="1">
      <c r="A170" t="inlineStr">
        <is>
          <t>A 4690-2026</t>
        </is>
      </c>
      <c r="B170" t="inlineStr">
        <is>
          <t>avverkningsanmälan</t>
        </is>
      </c>
      <c r="C170" t="inlineStr">
        <is>
          <t>Föryngringsavverkning</t>
        </is>
      </c>
      <c r="D170" s="1" t="n">
        <v>46048</v>
      </c>
      <c r="E170" s="1" t="n">
        <v>46223</v>
      </c>
      <c r="F170" t="inlineStr">
        <is>
          <t>DALARNAS LÄN</t>
        </is>
      </c>
      <c r="G170" t="inlineStr">
        <is>
          <t>ORSA</t>
        </is>
      </c>
      <c r="I170" t="n">
        <v>14.2</v>
      </c>
      <c r="J170" t="n">
        <v>0</v>
      </c>
      <c r="K170" t="n">
        <v>0</v>
      </c>
      <c r="L170" t="n">
        <v>0</v>
      </c>
      <c r="M170" t="n">
        <v>0</v>
      </c>
      <c r="N170" t="n">
        <v>0</v>
      </c>
      <c r="O170" t="n">
        <v>0</v>
      </c>
      <c r="P170" t="n">
        <v>0</v>
      </c>
      <c r="Q170" t="n">
        <v>0</v>
      </c>
      <c r="R170" t="n">
        <v>0</v>
      </c>
      <c r="S170" t="n">
        <v>0</v>
      </c>
      <c r="T170" t="n">
        <v>0</v>
      </c>
      <c r="U170" s="2" t="inlineStr"/>
    </row>
    <row r="171" ht="15" customHeight="1">
      <c r="A171" t="inlineStr">
        <is>
          <t>A 3720-2023</t>
        </is>
      </c>
      <c r="B171" t="inlineStr">
        <is>
          <t>avverkningsanmälan</t>
        </is>
      </c>
      <c r="C171" t="inlineStr">
        <is>
          <t>Föryngringsavverkning</t>
        </is>
      </c>
      <c r="D171" s="1" t="n">
        <v>44951</v>
      </c>
      <c r="E171" s="1" t="n">
        <v>46223</v>
      </c>
      <c r="F171" t="inlineStr">
        <is>
          <t>DALARNAS LÄN</t>
        </is>
      </c>
      <c r="G171" t="inlineStr">
        <is>
          <t>ORSA</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41666-2025</t>
        </is>
      </c>
      <c r="B172" t="inlineStr">
        <is>
          <t>avverkningsanmälan</t>
        </is>
      </c>
      <c r="C172" t="inlineStr">
        <is>
          <t>Föryngringsavverkning</t>
        </is>
      </c>
      <c r="D172" s="1" t="n">
        <v>45902</v>
      </c>
      <c r="E172" s="1" t="n">
        <v>46223</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5395-2026</t>
        </is>
      </c>
      <c r="B173" t="inlineStr">
        <is>
          <t>avverkningsanmälan</t>
        </is>
      </c>
      <c r="C173" t="inlineStr">
        <is>
          <t>Föryngringsavverkning</t>
        </is>
      </c>
      <c r="D173" s="1" t="n">
        <v>46050</v>
      </c>
      <c r="E173" s="1" t="n">
        <v>46223</v>
      </c>
      <c r="F173" t="inlineStr">
        <is>
          <t>DALARNAS LÄN</t>
        </is>
      </c>
      <c r="G173" t="inlineStr">
        <is>
          <t>ORSA</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41919-2025</t>
        </is>
      </c>
      <c r="B174" t="inlineStr">
        <is>
          <t>avverkningsanmälan</t>
        </is>
      </c>
      <c r="C174" t="inlineStr">
        <is>
          <t>Föryngringsavverkning</t>
        </is>
      </c>
      <c r="D174" s="1" t="n">
        <v>45903</v>
      </c>
      <c r="E174" s="1" t="n">
        <v>46223</v>
      </c>
      <c r="F174" t="inlineStr">
        <is>
          <t>DALARNAS LÄN</t>
        </is>
      </c>
      <c r="G174" t="inlineStr">
        <is>
          <t>ORSA</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42226-2025</t>
        </is>
      </c>
      <c r="B175" t="inlineStr">
        <is>
          <t>avverkningsanmälan</t>
        </is>
      </c>
      <c r="C175" t="inlineStr">
        <is>
          <t>Föryngringsavverkning</t>
        </is>
      </c>
      <c r="D175" s="1" t="n">
        <v>45904</v>
      </c>
      <c r="E175" s="1" t="n">
        <v>46223</v>
      </c>
      <c r="F175" t="inlineStr">
        <is>
          <t>DALARNAS LÄN</t>
        </is>
      </c>
      <c r="G175" t="inlineStr">
        <is>
          <t>ORSA</t>
        </is>
      </c>
      <c r="H175" t="inlineStr">
        <is>
          <t>Allmännings- och besparingsskogar</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5377-2026</t>
        </is>
      </c>
      <c r="B176" t="inlineStr">
        <is>
          <t>avverkningsanmälan</t>
        </is>
      </c>
      <c r="C176" t="inlineStr">
        <is>
          <t>Föryngringsavverkning</t>
        </is>
      </c>
      <c r="D176" s="1" t="n">
        <v>46050</v>
      </c>
      <c r="E176" s="1" t="n">
        <v>46223</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37852-2024</t>
        </is>
      </c>
      <c r="B177" t="inlineStr">
        <is>
          <t>avverkningsanmälan</t>
        </is>
      </c>
      <c r="C177" t="inlineStr">
        <is>
          <t>Föryngringsavverkning</t>
        </is>
      </c>
      <c r="D177" s="1" t="n">
        <v>45544</v>
      </c>
      <c r="E177" s="1" t="n">
        <v>46223</v>
      </c>
      <c r="F177" t="inlineStr">
        <is>
          <t>DALARNAS LÄN</t>
        </is>
      </c>
      <c r="G177" t="inlineStr">
        <is>
          <t>ORSA</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31659-2025</t>
        </is>
      </c>
      <c r="B178" t="inlineStr">
        <is>
          <t>avverkningsanmälan</t>
        </is>
      </c>
      <c r="C178" t="inlineStr">
        <is>
          <t>Föryngringsavverkning</t>
        </is>
      </c>
      <c r="D178" s="1" t="n">
        <v>45834</v>
      </c>
      <c r="E178" s="1" t="n">
        <v>46223</v>
      </c>
      <c r="F178" t="inlineStr">
        <is>
          <t>DALARNAS LÄN</t>
        </is>
      </c>
      <c r="G178" t="inlineStr">
        <is>
          <t>ORSA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23875-2025</t>
        </is>
      </c>
      <c r="B179" t="inlineStr">
        <is>
          <t>avverkningsanmälan</t>
        </is>
      </c>
      <c r="C179" t="inlineStr">
        <is>
          <t>Föryngringsavverkning</t>
        </is>
      </c>
      <c r="D179" s="1" t="n">
        <v>45793</v>
      </c>
      <c r="E179" s="1" t="n">
        <v>46223</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32325-2025</t>
        </is>
      </c>
      <c r="B180" t="inlineStr">
        <is>
          <t>avverkningsanmälan</t>
        </is>
      </c>
      <c r="C180" t="inlineStr">
        <is>
          <t>Föryngringsavverkning</t>
        </is>
      </c>
      <c r="D180" s="1" t="n">
        <v>45836</v>
      </c>
      <c r="E180" s="1" t="n">
        <v>46223</v>
      </c>
      <c r="F180" t="inlineStr">
        <is>
          <t>DALARNAS LÄN</t>
        </is>
      </c>
      <c r="G180" t="inlineStr">
        <is>
          <t>ORSA</t>
        </is>
      </c>
      <c r="I180" t="n">
        <v>3.8</v>
      </c>
      <c r="J180" t="n">
        <v>0</v>
      </c>
      <c r="K180" t="n">
        <v>0</v>
      </c>
      <c r="L180" t="n">
        <v>0</v>
      </c>
      <c r="M180" t="n">
        <v>0</v>
      </c>
      <c r="N180" t="n">
        <v>0</v>
      </c>
      <c r="O180" t="n">
        <v>0</v>
      </c>
      <c r="P180" t="n">
        <v>0</v>
      </c>
      <c r="Q180" t="n">
        <v>0</v>
      </c>
      <c r="R180" t="n">
        <v>0</v>
      </c>
      <c r="S180" t="n">
        <v>0</v>
      </c>
      <c r="T180" t="n">
        <v>0</v>
      </c>
      <c r="U180" s="2" t="inlineStr"/>
    </row>
    <row r="181" ht="15" customHeight="1">
      <c r="A181" t="inlineStr">
        <is>
          <t>A 5393-2026</t>
        </is>
      </c>
      <c r="B181" t="inlineStr">
        <is>
          <t>avverkningsanmälan</t>
        </is>
      </c>
      <c r="C181" t="inlineStr">
        <is>
          <t>Föryngringsavverkning</t>
        </is>
      </c>
      <c r="D181" s="1" t="n">
        <v>46050</v>
      </c>
      <c r="E181" s="1" t="n">
        <v>46223</v>
      </c>
      <c r="F181" t="inlineStr">
        <is>
          <t>DALARNAS LÄN</t>
        </is>
      </c>
      <c r="G181" t="inlineStr">
        <is>
          <t>ORSA</t>
        </is>
      </c>
      <c r="I181" t="n">
        <v>4.2</v>
      </c>
      <c r="J181" t="n">
        <v>0</v>
      </c>
      <c r="K181" t="n">
        <v>0</v>
      </c>
      <c r="L181" t="n">
        <v>0</v>
      </c>
      <c r="M181" t="n">
        <v>0</v>
      </c>
      <c r="N181" t="n">
        <v>0</v>
      </c>
      <c r="O181" t="n">
        <v>0</v>
      </c>
      <c r="P181" t="n">
        <v>0</v>
      </c>
      <c r="Q181" t="n">
        <v>0</v>
      </c>
      <c r="R181" t="n">
        <v>0</v>
      </c>
      <c r="S181" t="n">
        <v>0</v>
      </c>
      <c r="T181" t="n">
        <v>0</v>
      </c>
      <c r="U181" s="2" t="inlineStr"/>
    </row>
    <row r="182" ht="15" customHeight="1">
      <c r="A182" t="inlineStr">
        <is>
          <t>A 54519-2023</t>
        </is>
      </c>
      <c r="B182" t="inlineStr">
        <is>
          <t>avverkningsanmälan</t>
        </is>
      </c>
      <c r="C182" t="inlineStr">
        <is>
          <t>Föryngringsavverkning</t>
        </is>
      </c>
      <c r="D182" s="1" t="n">
        <v>45233</v>
      </c>
      <c r="E182" s="1" t="n">
        <v>46223</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10261-2022</t>
        </is>
      </c>
      <c r="B183" t="inlineStr">
        <is>
          <t>avverkningsanmälan</t>
        </is>
      </c>
      <c r="C183" t="inlineStr">
        <is>
          <t>Föryngringsavverkning</t>
        </is>
      </c>
      <c r="D183" s="1" t="n">
        <v>44622</v>
      </c>
      <c r="E183" s="1" t="n">
        <v>46223</v>
      </c>
      <c r="F183" t="inlineStr">
        <is>
          <t>DALARNAS LÄN</t>
        </is>
      </c>
      <c r="G183" t="inlineStr">
        <is>
          <t>ORSA</t>
        </is>
      </c>
      <c r="I183" t="n">
        <v>3.1</v>
      </c>
      <c r="J183" t="n">
        <v>0</v>
      </c>
      <c r="K183" t="n">
        <v>0</v>
      </c>
      <c r="L183" t="n">
        <v>0</v>
      </c>
      <c r="M183" t="n">
        <v>0</v>
      </c>
      <c r="N183" t="n">
        <v>0</v>
      </c>
      <c r="O183" t="n">
        <v>0</v>
      </c>
      <c r="P183" t="n">
        <v>0</v>
      </c>
      <c r="Q183" t="n">
        <v>0</v>
      </c>
      <c r="R183" t="n">
        <v>0</v>
      </c>
      <c r="S183" t="n">
        <v>0</v>
      </c>
      <c r="T183" t="n">
        <v>0</v>
      </c>
      <c r="U183" s="2" t="inlineStr"/>
    </row>
    <row r="184" ht="15" customHeight="1">
      <c r="A184" t="inlineStr">
        <is>
          <t>A 32985-2025</t>
        </is>
      </c>
      <c r="B184" t="inlineStr">
        <is>
          <t>avverkningsanmälan</t>
        </is>
      </c>
      <c r="C184" t="inlineStr">
        <is>
          <t>Föryngringsavverkning</t>
        </is>
      </c>
      <c r="D184" s="1" t="n">
        <v>45839</v>
      </c>
      <c r="E184" s="1" t="n">
        <v>46223</v>
      </c>
      <c r="F184" t="inlineStr">
        <is>
          <t>DALARNAS LÄN</t>
        </is>
      </c>
      <c r="G184" t="inlineStr">
        <is>
          <t>ORSA</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5896-2026</t>
        </is>
      </c>
      <c r="B185" t="inlineStr">
        <is>
          <t>avverkningsanmälan</t>
        </is>
      </c>
      <c r="C185" t="inlineStr">
        <is>
          <t>Föryngringsavverkning</t>
        </is>
      </c>
      <c r="D185" s="1" t="n">
        <v>46052</v>
      </c>
      <c r="E185" s="1" t="n">
        <v>46223</v>
      </c>
      <c r="F185" t="inlineStr">
        <is>
          <t>DALARNAS LÄN</t>
        </is>
      </c>
      <c r="G185" t="inlineStr">
        <is>
          <t>ORSA</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44119-2025</t>
        </is>
      </c>
      <c r="B186" t="inlineStr">
        <is>
          <t>avverkningsanmälan</t>
        </is>
      </c>
      <c r="C186" t="inlineStr">
        <is>
          <t>Föryngringsavverkning</t>
        </is>
      </c>
      <c r="D186" s="1" t="n">
        <v>45915</v>
      </c>
      <c r="E186" s="1" t="n">
        <v>46223</v>
      </c>
      <c r="F186" t="inlineStr">
        <is>
          <t>DALARNAS LÄN</t>
        </is>
      </c>
      <c r="G186" t="inlineStr">
        <is>
          <t>ORSA</t>
        </is>
      </c>
      <c r="H186" t="inlineStr">
        <is>
          <t>Allmännings- och besparingsskogar</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44121-2025</t>
        </is>
      </c>
      <c r="B187" t="inlineStr">
        <is>
          <t>avverkningsanmälan</t>
        </is>
      </c>
      <c r="C187" t="inlineStr">
        <is>
          <t>Föryngringsavverkning</t>
        </is>
      </c>
      <c r="D187" s="1" t="n">
        <v>45915</v>
      </c>
      <c r="E187" s="1" t="n">
        <v>46223</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32984-2025</t>
        </is>
      </c>
      <c r="B188" t="inlineStr">
        <is>
          <t>avverkningsanmälan</t>
        </is>
      </c>
      <c r="C188" t="inlineStr">
        <is>
          <t>Föryngringsavverkning</t>
        </is>
      </c>
      <c r="D188" s="1" t="n">
        <v>45839</v>
      </c>
      <c r="E188" s="1" t="n">
        <v>46223</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43967-2025</t>
        </is>
      </c>
      <c r="B189" t="inlineStr">
        <is>
          <t>avverkningsanmälan</t>
        </is>
      </c>
      <c r="C189" t="inlineStr">
        <is>
          <t>Föryngringsavverkning</t>
        </is>
      </c>
      <c r="D189" s="1" t="n">
        <v>45915</v>
      </c>
      <c r="E189" s="1" t="n">
        <v>46223</v>
      </c>
      <c r="F189" t="inlineStr">
        <is>
          <t>DALARNAS LÄN</t>
        </is>
      </c>
      <c r="G189" t="inlineStr">
        <is>
          <t>ORSA</t>
        </is>
      </c>
      <c r="H189" t="inlineStr">
        <is>
          <t>Allmännings- och besparingsskogar</t>
        </is>
      </c>
      <c r="I189" t="n">
        <v>8.4</v>
      </c>
      <c r="J189" t="n">
        <v>0</v>
      </c>
      <c r="K189" t="n">
        <v>0</v>
      </c>
      <c r="L189" t="n">
        <v>0</v>
      </c>
      <c r="M189" t="n">
        <v>0</v>
      </c>
      <c r="N189" t="n">
        <v>0</v>
      </c>
      <c r="O189" t="n">
        <v>0</v>
      </c>
      <c r="P189" t="n">
        <v>0</v>
      </c>
      <c r="Q189" t="n">
        <v>0</v>
      </c>
      <c r="R189" t="n">
        <v>0</v>
      </c>
      <c r="S189" t="n">
        <v>0</v>
      </c>
      <c r="T189" t="n">
        <v>0</v>
      </c>
      <c r="U189" s="2" t="inlineStr"/>
    </row>
    <row r="190" ht="15" customHeight="1">
      <c r="A190" t="inlineStr">
        <is>
          <t>A 44117-2025</t>
        </is>
      </c>
      <c r="B190" t="inlineStr">
        <is>
          <t>avverkningsanmälan</t>
        </is>
      </c>
      <c r="C190" t="inlineStr">
        <is>
          <t>Föryngringsavverkning</t>
        </is>
      </c>
      <c r="D190" s="1" t="n">
        <v>45915</v>
      </c>
      <c r="E190" s="1" t="n">
        <v>46223</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43965-2025</t>
        </is>
      </c>
      <c r="B191" t="inlineStr">
        <is>
          <t>avverkningsanmälan</t>
        </is>
      </c>
      <c r="C191" t="inlineStr">
        <is>
          <t>Föryngringsavverkning</t>
        </is>
      </c>
      <c r="D191" s="1" t="n">
        <v>45915</v>
      </c>
      <c r="E191" s="1" t="n">
        <v>46223</v>
      </c>
      <c r="F191" t="inlineStr">
        <is>
          <t>DALARNAS LÄN</t>
        </is>
      </c>
      <c r="G191" t="inlineStr">
        <is>
          <t>ORSA</t>
        </is>
      </c>
      <c r="H191" t="inlineStr">
        <is>
          <t>Allmännings- och besparingsskogar</t>
        </is>
      </c>
      <c r="I191" t="n">
        <v>11.5</v>
      </c>
      <c r="J191" t="n">
        <v>0</v>
      </c>
      <c r="K191" t="n">
        <v>0</v>
      </c>
      <c r="L191" t="n">
        <v>0</v>
      </c>
      <c r="M191" t="n">
        <v>0</v>
      </c>
      <c r="N191" t="n">
        <v>0</v>
      </c>
      <c r="O191" t="n">
        <v>0</v>
      </c>
      <c r="P191" t="n">
        <v>0</v>
      </c>
      <c r="Q191" t="n">
        <v>0</v>
      </c>
      <c r="R191" t="n">
        <v>0</v>
      </c>
      <c r="S191" t="n">
        <v>0</v>
      </c>
      <c r="T191" t="n">
        <v>0</v>
      </c>
      <c r="U191" s="2" t="inlineStr"/>
    </row>
    <row r="192" ht="15" customHeight="1">
      <c r="A192" t="inlineStr">
        <is>
          <t>A 33374-2025</t>
        </is>
      </c>
      <c r="B192" t="inlineStr">
        <is>
          <t>avverkningsanmälan</t>
        </is>
      </c>
      <c r="C192" t="inlineStr">
        <is>
          <t>Föryngringsavverkning</t>
        </is>
      </c>
      <c r="D192" s="1" t="n">
        <v>45841</v>
      </c>
      <c r="E192" s="1" t="n">
        <v>46223</v>
      </c>
      <c r="F192" t="inlineStr">
        <is>
          <t>DALARNAS LÄN</t>
        </is>
      </c>
      <c r="G192" t="inlineStr">
        <is>
          <t>ORSA</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33951-2025</t>
        </is>
      </c>
      <c r="B193" t="inlineStr">
        <is>
          <t>avverkningsanmälan</t>
        </is>
      </c>
      <c r="C193" t="inlineStr">
        <is>
          <t>Föryngringsavverkning</t>
        </is>
      </c>
      <c r="D193" s="1" t="n">
        <v>45842</v>
      </c>
      <c r="E193" s="1" t="n">
        <v>46223</v>
      </c>
      <c r="F193" t="inlineStr">
        <is>
          <t>DALARNAS LÄN</t>
        </is>
      </c>
      <c r="G193" t="inlineStr">
        <is>
          <t>ORSA</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45803-2025</t>
        </is>
      </c>
      <c r="B194" t="inlineStr">
        <is>
          <t>avverkningsanmälan</t>
        </is>
      </c>
      <c r="C194" t="inlineStr">
        <is>
          <t>Föryngringsavverkning</t>
        </is>
      </c>
      <c r="D194" s="1" t="n">
        <v>45923</v>
      </c>
      <c r="E194" s="1" t="n">
        <v>46223</v>
      </c>
      <c r="F194" t="inlineStr">
        <is>
          <t>DALARNAS LÄN</t>
        </is>
      </c>
      <c r="G194" t="inlineStr">
        <is>
          <t>ORSA</t>
        </is>
      </c>
      <c r="H194" t="inlineStr">
        <is>
          <t>Allmännings- och besparingsskogar</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34779-2025</t>
        </is>
      </c>
      <c r="B195" t="inlineStr">
        <is>
          <t>avverkningsanmälan</t>
        </is>
      </c>
      <c r="C195" t="inlineStr">
        <is>
          <t>Föryngringsavverkning</t>
        </is>
      </c>
      <c r="D195" s="1" t="n">
        <v>45848</v>
      </c>
      <c r="E195" s="1" t="n">
        <v>46223</v>
      </c>
      <c r="F195" t="inlineStr">
        <is>
          <t>DALARNAS LÄN</t>
        </is>
      </c>
      <c r="G195" t="inlineStr">
        <is>
          <t>ORSA</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34753-2025</t>
        </is>
      </c>
      <c r="B196" t="inlineStr">
        <is>
          <t>avverkningsanmälan</t>
        </is>
      </c>
      <c r="C196" t="inlineStr">
        <is>
          <t>Föryngringsavverkning</t>
        </is>
      </c>
      <c r="D196" s="1" t="n">
        <v>45848</v>
      </c>
      <c r="E196" s="1" t="n">
        <v>46223</v>
      </c>
      <c r="F196" t="inlineStr">
        <is>
          <t>DALARNAS LÄN</t>
        </is>
      </c>
      <c r="G196" t="inlineStr">
        <is>
          <t>ORSA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34781-2025</t>
        </is>
      </c>
      <c r="B197" t="inlineStr">
        <is>
          <t>avverkningsanmälan</t>
        </is>
      </c>
      <c r="C197" t="inlineStr">
        <is>
          <t>Föryngringsavverkning</t>
        </is>
      </c>
      <c r="D197" s="1" t="n">
        <v>45848</v>
      </c>
      <c r="E197" s="1" t="n">
        <v>46223</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34769-2025</t>
        </is>
      </c>
      <c r="B198" t="inlineStr">
        <is>
          <t>avverkningsanmälan</t>
        </is>
      </c>
      <c r="C198" t="inlineStr">
        <is>
          <t>Föryngringsavverkning</t>
        </is>
      </c>
      <c r="D198" s="1" t="n">
        <v>45848</v>
      </c>
      <c r="E198" s="1" t="n">
        <v>46223</v>
      </c>
      <c r="F198" t="inlineStr">
        <is>
          <t>DALARNAS LÄN</t>
        </is>
      </c>
      <c r="G198" t="inlineStr">
        <is>
          <t>ORSA</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34777-2025</t>
        </is>
      </c>
      <c r="B199" t="inlineStr">
        <is>
          <t>avverkningsanmälan</t>
        </is>
      </c>
      <c r="C199" t="inlineStr">
        <is>
          <t>Föryngringsavverkning</t>
        </is>
      </c>
      <c r="D199" s="1" t="n">
        <v>45848</v>
      </c>
      <c r="E199" s="1" t="n">
        <v>46223</v>
      </c>
      <c r="F199" t="inlineStr">
        <is>
          <t>DALARNAS LÄN</t>
        </is>
      </c>
      <c r="G199" t="inlineStr">
        <is>
          <t>ORSA</t>
        </is>
      </c>
      <c r="I199" t="n">
        <v>0.4</v>
      </c>
      <c r="J199" t="n">
        <v>0</v>
      </c>
      <c r="K199" t="n">
        <v>0</v>
      </c>
      <c r="L199" t="n">
        <v>0</v>
      </c>
      <c r="M199" t="n">
        <v>0</v>
      </c>
      <c r="N199" t="n">
        <v>0</v>
      </c>
      <c r="O199" t="n">
        <v>0</v>
      </c>
      <c r="P199" t="n">
        <v>0</v>
      </c>
      <c r="Q199" t="n">
        <v>0</v>
      </c>
      <c r="R199" t="n">
        <v>0</v>
      </c>
      <c r="S199" t="n">
        <v>0</v>
      </c>
      <c r="T199" t="n">
        <v>0</v>
      </c>
      <c r="U199" s="2" t="inlineStr"/>
    </row>
    <row r="200" ht="15" customHeight="1">
      <c r="A200" t="inlineStr">
        <is>
          <t>A 34764-2025</t>
        </is>
      </c>
      <c r="B200" t="inlineStr">
        <is>
          <t>avverkningsanmälan</t>
        </is>
      </c>
      <c r="C200" t="inlineStr">
        <is>
          <t>Föryngringsavverkning</t>
        </is>
      </c>
      <c r="D200" s="1" t="n">
        <v>45848</v>
      </c>
      <c r="E200" s="1" t="n">
        <v>46223</v>
      </c>
      <c r="F200" t="inlineStr">
        <is>
          <t>DALARNAS LÄN</t>
        </is>
      </c>
      <c r="G200" t="inlineStr">
        <is>
          <t>ORSA</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52816-2024</t>
        </is>
      </c>
      <c r="B201" t="inlineStr">
        <is>
          <t>avverkningsanmälan</t>
        </is>
      </c>
      <c r="C201" t="inlineStr">
        <is>
          <t>Föryngringsavverkning</t>
        </is>
      </c>
      <c r="D201" s="1" t="n">
        <v>45610</v>
      </c>
      <c r="E201" s="1" t="n">
        <v>46223</v>
      </c>
      <c r="F201" t="inlineStr">
        <is>
          <t>DALARNAS LÄN</t>
        </is>
      </c>
      <c r="G201" t="inlineStr">
        <is>
          <t>ORSA</t>
        </is>
      </c>
      <c r="H201" t="inlineStr">
        <is>
          <t>Bergvik skog öst AB</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42517-2024</t>
        </is>
      </c>
      <c r="B202" t="inlineStr">
        <is>
          <t>avverkningsanmälan</t>
        </is>
      </c>
      <c r="C202" t="inlineStr">
        <is>
          <t>Föryngringsavverkning</t>
        </is>
      </c>
      <c r="D202" s="1" t="n">
        <v>45565</v>
      </c>
      <c r="E202" s="1" t="n">
        <v>46223</v>
      </c>
      <c r="F202" t="inlineStr">
        <is>
          <t>DALARNAS LÄN</t>
        </is>
      </c>
      <c r="G202" t="inlineStr">
        <is>
          <t>ORSA</t>
        </is>
      </c>
      <c r="I202" t="n">
        <v>3</v>
      </c>
      <c r="J202" t="n">
        <v>0</v>
      </c>
      <c r="K202" t="n">
        <v>0</v>
      </c>
      <c r="L202" t="n">
        <v>0</v>
      </c>
      <c r="M202" t="n">
        <v>0</v>
      </c>
      <c r="N202" t="n">
        <v>0</v>
      </c>
      <c r="O202" t="n">
        <v>0</v>
      </c>
      <c r="P202" t="n">
        <v>0</v>
      </c>
      <c r="Q202" t="n">
        <v>0</v>
      </c>
      <c r="R202" t="n">
        <v>0</v>
      </c>
      <c r="S202" t="n">
        <v>0</v>
      </c>
      <c r="T202" t="n">
        <v>0</v>
      </c>
      <c r="U202" s="2" t="inlineStr"/>
    </row>
    <row r="203" ht="15" customHeight="1">
      <c r="A203" t="inlineStr">
        <is>
          <t>A 28082-2023</t>
        </is>
      </c>
      <c r="B203" t="inlineStr">
        <is>
          <t>avverkningsanmälan</t>
        </is>
      </c>
      <c r="C203" t="inlineStr">
        <is>
          <t>Avverkning för annat ändamål</t>
        </is>
      </c>
      <c r="D203" s="1" t="n">
        <v>45099</v>
      </c>
      <c r="E203" s="1" t="n">
        <v>46223</v>
      </c>
      <c r="F203" t="inlineStr">
        <is>
          <t>DALARNAS LÄN</t>
        </is>
      </c>
      <c r="G203" t="inlineStr">
        <is>
          <t>ORSA</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6757-2026</t>
        </is>
      </c>
      <c r="B204" t="inlineStr">
        <is>
          <t>avverkningsanmälan</t>
        </is>
      </c>
      <c r="C204" t="inlineStr">
        <is>
          <t>Föryngringsavverkning</t>
        </is>
      </c>
      <c r="D204" s="1" t="n">
        <v>46056</v>
      </c>
      <c r="E204" s="1" t="n">
        <v>46223</v>
      </c>
      <c r="F204" t="inlineStr">
        <is>
          <t>DALARNAS LÄN</t>
        </is>
      </c>
      <c r="G204" t="inlineStr">
        <is>
          <t>ORSA</t>
        </is>
      </c>
      <c r="I204" t="n">
        <v>5.5</v>
      </c>
      <c r="J204" t="n">
        <v>0</v>
      </c>
      <c r="K204" t="n">
        <v>0</v>
      </c>
      <c r="L204" t="n">
        <v>0</v>
      </c>
      <c r="M204" t="n">
        <v>0</v>
      </c>
      <c r="N204" t="n">
        <v>0</v>
      </c>
      <c r="O204" t="n">
        <v>0</v>
      </c>
      <c r="P204" t="n">
        <v>0</v>
      </c>
      <c r="Q204" t="n">
        <v>0</v>
      </c>
      <c r="R204" t="n">
        <v>0</v>
      </c>
      <c r="S204" t="n">
        <v>0</v>
      </c>
      <c r="T204" t="n">
        <v>0</v>
      </c>
      <c r="U204" s="2" t="inlineStr"/>
    </row>
    <row r="205" ht="15" customHeight="1">
      <c r="A205" t="inlineStr">
        <is>
          <t>A 2717-2024</t>
        </is>
      </c>
      <c r="B205" t="inlineStr">
        <is>
          <t>avverkningsanmälan</t>
        </is>
      </c>
      <c r="C205" t="inlineStr">
        <is>
          <t>Avverkning för att bevara och utveckla /försöksver</t>
        </is>
      </c>
      <c r="D205" s="1" t="n">
        <v>45314</v>
      </c>
      <c r="E205" s="1" t="n">
        <v>46223</v>
      </c>
      <c r="F205" t="inlineStr">
        <is>
          <t>DALARNAS LÄN</t>
        </is>
      </c>
      <c r="G205" t="inlineStr">
        <is>
          <t>ORSA</t>
        </is>
      </c>
      <c r="H205" t="inlineStr">
        <is>
          <t>Bergvik skog öst AB</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56887-2024</t>
        </is>
      </c>
      <c r="B206" t="inlineStr">
        <is>
          <t>avverkningsanmälan</t>
        </is>
      </c>
      <c r="C206" t="inlineStr">
        <is>
          <t>Föryngringsavverkning</t>
        </is>
      </c>
      <c r="D206" s="1" t="n">
        <v>45628</v>
      </c>
      <c r="E206" s="1" t="n">
        <v>46223</v>
      </c>
      <c r="F206" t="inlineStr">
        <is>
          <t>DALARNAS LÄN</t>
        </is>
      </c>
      <c r="G206" t="inlineStr">
        <is>
          <t>ORSA</t>
        </is>
      </c>
      <c r="H206" t="inlineStr">
        <is>
          <t>Bergvik skog öst AB</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35619-2025</t>
        </is>
      </c>
      <c r="B207" t="inlineStr">
        <is>
          <t>avverkningsanmälan</t>
        </is>
      </c>
      <c r="C207" t="inlineStr">
        <is>
          <t>Föryngringsavverkning</t>
        </is>
      </c>
      <c r="D207" s="1" t="n">
        <v>45859</v>
      </c>
      <c r="E207" s="1" t="n">
        <v>46223</v>
      </c>
      <c r="F207" t="inlineStr">
        <is>
          <t>DALARNAS LÄN</t>
        </is>
      </c>
      <c r="G207" t="inlineStr">
        <is>
          <t>ORSA</t>
        </is>
      </c>
      <c r="H207" t="inlineStr">
        <is>
          <t>Bergvik skog öst AB</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47953-2025</t>
        </is>
      </c>
      <c r="B208" t="inlineStr">
        <is>
          <t>avverkningsanmälan</t>
        </is>
      </c>
      <c r="C208" t="inlineStr">
        <is>
          <t>Föryngringsavverkning</t>
        </is>
      </c>
      <c r="D208" s="1" t="n">
        <v>45932</v>
      </c>
      <c r="E208" s="1" t="n">
        <v>46223</v>
      </c>
      <c r="F208" t="inlineStr">
        <is>
          <t>DALARNAS LÄN</t>
        </is>
      </c>
      <c r="G208" t="inlineStr">
        <is>
          <t>ORSA</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42513-2024</t>
        </is>
      </c>
      <c r="B209" t="inlineStr">
        <is>
          <t>avverkningsanmälan</t>
        </is>
      </c>
      <c r="C209" t="inlineStr">
        <is>
          <t>Föryngringsavverkning</t>
        </is>
      </c>
      <c r="D209" s="1" t="n">
        <v>45565</v>
      </c>
      <c r="E209" s="1" t="n">
        <v>46223</v>
      </c>
      <c r="F209" t="inlineStr">
        <is>
          <t>DALARNAS LÄN</t>
        </is>
      </c>
      <c r="G209" t="inlineStr">
        <is>
          <t>ORSA</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35940-2025</t>
        </is>
      </c>
      <c r="B210" t="inlineStr">
        <is>
          <t>avverkningsanmälan</t>
        </is>
      </c>
      <c r="C210" t="inlineStr">
        <is>
          <t>Föryngringsavverkning</t>
        </is>
      </c>
      <c r="D210" s="1" t="n">
        <v>45862</v>
      </c>
      <c r="E210" s="1" t="n">
        <v>46223</v>
      </c>
      <c r="F210" t="inlineStr">
        <is>
          <t>DALARNAS LÄN</t>
        </is>
      </c>
      <c r="G210" t="inlineStr">
        <is>
          <t>ORSA</t>
        </is>
      </c>
      <c r="I210" t="n">
        <v>5.1</v>
      </c>
      <c r="J210" t="n">
        <v>0</v>
      </c>
      <c r="K210" t="n">
        <v>0</v>
      </c>
      <c r="L210" t="n">
        <v>0</v>
      </c>
      <c r="M210" t="n">
        <v>0</v>
      </c>
      <c r="N210" t="n">
        <v>0</v>
      </c>
      <c r="O210" t="n">
        <v>0</v>
      </c>
      <c r="P210" t="n">
        <v>0</v>
      </c>
      <c r="Q210" t="n">
        <v>0</v>
      </c>
      <c r="R210" t="n">
        <v>0</v>
      </c>
      <c r="S210" t="n">
        <v>0</v>
      </c>
      <c r="T210" t="n">
        <v>0</v>
      </c>
      <c r="U210" s="2" t="inlineStr"/>
    </row>
    <row r="211" ht="15" customHeight="1">
      <c r="A211" t="inlineStr">
        <is>
          <t>A 50714-2023</t>
        </is>
      </c>
      <c r="B211" t="inlineStr">
        <is>
          <t>avverkningsanmälan</t>
        </is>
      </c>
      <c r="C211" t="inlineStr">
        <is>
          <t>Föryngringsavverkning</t>
        </is>
      </c>
      <c r="D211" s="1" t="n">
        <v>45217</v>
      </c>
      <c r="E211" s="1" t="n">
        <v>46223</v>
      </c>
      <c r="F211" t="inlineStr">
        <is>
          <t>DALARNAS LÄN</t>
        </is>
      </c>
      <c r="G211" t="inlineStr">
        <is>
          <t>ORSA</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36570-2025</t>
        </is>
      </c>
      <c r="B212" t="inlineStr">
        <is>
          <t>avverkningsanmälan</t>
        </is>
      </c>
      <c r="C212" t="inlineStr">
        <is>
          <t>Föryngringsavverkning</t>
        </is>
      </c>
      <c r="D212" s="1" t="n">
        <v>45870</v>
      </c>
      <c r="E212" s="1" t="n">
        <v>46223</v>
      </c>
      <c r="F212" t="inlineStr">
        <is>
          <t>DALARNAS LÄN</t>
        </is>
      </c>
      <c r="G212" t="inlineStr">
        <is>
          <t>ORSA</t>
        </is>
      </c>
      <c r="H212" t="inlineStr">
        <is>
          <t>Bergvik skog öst AB</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7027-2026</t>
        </is>
      </c>
      <c r="B213" t="inlineStr">
        <is>
          <t>avverkningsanmälan</t>
        </is>
      </c>
      <c r="C213" t="inlineStr">
        <is>
          <t>Föryngringsavverkning</t>
        </is>
      </c>
      <c r="D213" s="1" t="n">
        <v>46057</v>
      </c>
      <c r="E213" s="1" t="n">
        <v>46223</v>
      </c>
      <c r="F213" t="inlineStr">
        <is>
          <t>DALARNAS LÄN</t>
        </is>
      </c>
      <c r="G213" t="inlineStr">
        <is>
          <t>ORSA</t>
        </is>
      </c>
      <c r="I213" t="n">
        <v>12.1</v>
      </c>
      <c r="J213" t="n">
        <v>0</v>
      </c>
      <c r="K213" t="n">
        <v>0</v>
      </c>
      <c r="L213" t="n">
        <v>0</v>
      </c>
      <c r="M213" t="n">
        <v>0</v>
      </c>
      <c r="N213" t="n">
        <v>0</v>
      </c>
      <c r="O213" t="n">
        <v>0</v>
      </c>
      <c r="P213" t="n">
        <v>0</v>
      </c>
      <c r="Q213" t="n">
        <v>0</v>
      </c>
      <c r="R213" t="n">
        <v>0</v>
      </c>
      <c r="S213" t="n">
        <v>0</v>
      </c>
      <c r="T213" t="n">
        <v>0</v>
      </c>
      <c r="U213" s="2" t="inlineStr"/>
    </row>
    <row r="214" ht="15" customHeight="1">
      <c r="A214" t="inlineStr">
        <is>
          <t>A 42346-2022</t>
        </is>
      </c>
      <c r="B214" t="inlineStr">
        <is>
          <t>avverkningsanmälan</t>
        </is>
      </c>
      <c r="C214" t="inlineStr">
        <is>
          <t>Föryngringsavverkning</t>
        </is>
      </c>
      <c r="D214" s="1" t="n">
        <v>44831</v>
      </c>
      <c r="E214" s="1" t="n">
        <v>46223</v>
      </c>
      <c r="F214" t="inlineStr">
        <is>
          <t>DALARNAS LÄN</t>
        </is>
      </c>
      <c r="G214" t="inlineStr">
        <is>
          <t>ORSA</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6945-2026</t>
        </is>
      </c>
      <c r="B215" t="inlineStr">
        <is>
          <t>avverkningsanmälan</t>
        </is>
      </c>
      <c r="C215" t="inlineStr">
        <is>
          <t>Föryngringsavverkning</t>
        </is>
      </c>
      <c r="D215" s="1" t="n">
        <v>46057</v>
      </c>
      <c r="E215" s="1" t="n">
        <v>46223</v>
      </c>
      <c r="F215" t="inlineStr">
        <is>
          <t>DALARNAS LÄN</t>
        </is>
      </c>
      <c r="G215" t="inlineStr">
        <is>
          <t>ORSA</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37181-2025</t>
        </is>
      </c>
      <c r="B216" t="inlineStr">
        <is>
          <t>avverkningsanmälan</t>
        </is>
      </c>
      <c r="C216" t="inlineStr">
        <is>
          <t>Föryngringsavverkning</t>
        </is>
      </c>
      <c r="D216" s="1" t="n">
        <v>45875</v>
      </c>
      <c r="E216" s="1" t="n">
        <v>46223</v>
      </c>
      <c r="F216" t="inlineStr">
        <is>
          <t>DALARNAS LÄN</t>
        </is>
      </c>
      <c r="G216" t="inlineStr">
        <is>
          <t>ORSA</t>
        </is>
      </c>
      <c r="H216" t="inlineStr">
        <is>
          <t>Bergvik skog öst AB</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52925-2024</t>
        </is>
      </c>
      <c r="B217" t="inlineStr">
        <is>
          <t>avverkningsanmälan</t>
        </is>
      </c>
      <c r="C217" t="inlineStr">
        <is>
          <t>Föryngringsavverkning</t>
        </is>
      </c>
      <c r="D217" s="1" t="n">
        <v>45610</v>
      </c>
      <c r="E217" s="1" t="n">
        <v>46223</v>
      </c>
      <c r="F217" t="inlineStr">
        <is>
          <t>DALARNAS LÄN</t>
        </is>
      </c>
      <c r="G217" t="inlineStr">
        <is>
          <t>ORSA</t>
        </is>
      </c>
      <c r="H217" t="inlineStr">
        <is>
          <t>Allmännings- och besparingsskogar</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37439-2025</t>
        </is>
      </c>
      <c r="B218" t="inlineStr">
        <is>
          <t>avverkningsanmälan</t>
        </is>
      </c>
      <c r="C218" t="inlineStr">
        <is>
          <t>Föryngringsavverkning</t>
        </is>
      </c>
      <c r="D218" s="1" t="n">
        <v>45877</v>
      </c>
      <c r="E218" s="1" t="n">
        <v>46223</v>
      </c>
      <c r="F218" t="inlineStr">
        <is>
          <t>DALARNAS LÄN</t>
        </is>
      </c>
      <c r="G218" t="inlineStr">
        <is>
          <t>ORSA</t>
        </is>
      </c>
      <c r="H218" t="inlineStr">
        <is>
          <t>Allmännings- och besparingsskogar</t>
        </is>
      </c>
      <c r="I218" t="n">
        <v>7.9</v>
      </c>
      <c r="J218" t="n">
        <v>0</v>
      </c>
      <c r="K218" t="n">
        <v>0</v>
      </c>
      <c r="L218" t="n">
        <v>0</v>
      </c>
      <c r="M218" t="n">
        <v>0</v>
      </c>
      <c r="N218" t="n">
        <v>0</v>
      </c>
      <c r="O218" t="n">
        <v>0</v>
      </c>
      <c r="P218" t="n">
        <v>0</v>
      </c>
      <c r="Q218" t="n">
        <v>0</v>
      </c>
      <c r="R218" t="n">
        <v>0</v>
      </c>
      <c r="S218" t="n">
        <v>0</v>
      </c>
      <c r="T218" t="n">
        <v>0</v>
      </c>
      <c r="U218" s="2" t="inlineStr"/>
    </row>
    <row r="219" ht="15" customHeight="1">
      <c r="A219" t="inlineStr">
        <is>
          <t>A 6097-2025</t>
        </is>
      </c>
      <c r="B219" t="inlineStr">
        <is>
          <t>avverkningsanmälan</t>
        </is>
      </c>
      <c r="C219" t="inlineStr">
        <is>
          <t>Föryngringsavverkning</t>
        </is>
      </c>
      <c r="D219" s="1" t="n">
        <v>45697</v>
      </c>
      <c r="E219" s="1" t="n">
        <v>46223</v>
      </c>
      <c r="F219" t="inlineStr">
        <is>
          <t>DALARNAS LÄN</t>
        </is>
      </c>
      <c r="G219" t="inlineStr">
        <is>
          <t>ORSA</t>
        </is>
      </c>
      <c r="I219" t="n">
        <v>11.1</v>
      </c>
      <c r="J219" t="n">
        <v>0</v>
      </c>
      <c r="K219" t="n">
        <v>0</v>
      </c>
      <c r="L219" t="n">
        <v>0</v>
      </c>
      <c r="M219" t="n">
        <v>0</v>
      </c>
      <c r="N219" t="n">
        <v>0</v>
      </c>
      <c r="O219" t="n">
        <v>0</v>
      </c>
      <c r="P219" t="n">
        <v>0</v>
      </c>
      <c r="Q219" t="n">
        <v>0</v>
      </c>
      <c r="R219" t="n">
        <v>0</v>
      </c>
      <c r="S219" t="n">
        <v>0</v>
      </c>
      <c r="T219" t="n">
        <v>0</v>
      </c>
      <c r="U219" s="2" t="inlineStr"/>
    </row>
    <row r="220" ht="15" customHeight="1">
      <c r="A220" t="inlineStr">
        <is>
          <t>A 37906-2025</t>
        </is>
      </c>
      <c r="B220" t="inlineStr">
        <is>
          <t>avverkningsanmälan</t>
        </is>
      </c>
      <c r="C220" t="inlineStr">
        <is>
          <t>Föryngringsavverkning</t>
        </is>
      </c>
      <c r="D220" s="1" t="n">
        <v>45881</v>
      </c>
      <c r="E220" s="1" t="n">
        <v>46223</v>
      </c>
      <c r="F220" t="inlineStr">
        <is>
          <t>DALARNAS LÄN</t>
        </is>
      </c>
      <c r="G220" t="inlineStr">
        <is>
          <t>ORSA</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40101-2024</t>
        </is>
      </c>
      <c r="B221" t="inlineStr">
        <is>
          <t>avverkningsanmälan</t>
        </is>
      </c>
      <c r="C221" t="inlineStr">
        <is>
          <t>Föryngringsavverkning</t>
        </is>
      </c>
      <c r="D221" s="1" t="n">
        <v>45554</v>
      </c>
      <c r="E221" s="1" t="n">
        <v>46223</v>
      </c>
      <c r="F221" t="inlineStr">
        <is>
          <t>DALARNAS LÄN</t>
        </is>
      </c>
      <c r="G221" t="inlineStr">
        <is>
          <t>ORSA</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51334-2025</t>
        </is>
      </c>
      <c r="B222" t="inlineStr">
        <is>
          <t>avverkningsanmälan</t>
        </is>
      </c>
      <c r="C222" t="inlineStr">
        <is>
          <t>Föryngringsavverkning</t>
        </is>
      </c>
      <c r="D222" s="1" t="n">
        <v>45950</v>
      </c>
      <c r="E222" s="1" t="n">
        <v>46223</v>
      </c>
      <c r="F222" t="inlineStr">
        <is>
          <t>DALARNAS LÄN</t>
        </is>
      </c>
      <c r="G222" t="inlineStr">
        <is>
          <t>ORSA</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51064-2025</t>
        </is>
      </c>
      <c r="B223" t="inlineStr">
        <is>
          <t>avverkningsanmälan</t>
        </is>
      </c>
      <c r="C223" t="inlineStr">
        <is>
          <t>Föryngringsavverkning</t>
        </is>
      </c>
      <c r="D223" s="1" t="n">
        <v>45947</v>
      </c>
      <c r="E223" s="1" t="n">
        <v>46223</v>
      </c>
      <c r="F223" t="inlineStr">
        <is>
          <t>DALARNAS LÄN</t>
        </is>
      </c>
      <c r="G223" t="inlineStr">
        <is>
          <t>ORSA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7970-2026</t>
        </is>
      </c>
      <c r="B224" t="inlineStr">
        <is>
          <t>avverkningsanmälan</t>
        </is>
      </c>
      <c r="C224" t="inlineStr">
        <is>
          <t>Föryngringsavverkning</t>
        </is>
      </c>
      <c r="D224" s="1" t="n">
        <v>46063</v>
      </c>
      <c r="E224" s="1" t="n">
        <v>46223</v>
      </c>
      <c r="F224" t="inlineStr">
        <is>
          <t>DALARNAS LÄN</t>
        </is>
      </c>
      <c r="G224" t="inlineStr">
        <is>
          <t>ORSA</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10048-2023</t>
        </is>
      </c>
      <c r="B225" t="inlineStr">
        <is>
          <t>avverkningsanmälan</t>
        </is>
      </c>
      <c r="C225" t="inlineStr">
        <is>
          <t>Föryngringsavverkning</t>
        </is>
      </c>
      <c r="D225" s="1" t="n">
        <v>44985</v>
      </c>
      <c r="E225" s="1" t="n">
        <v>46223</v>
      </c>
      <c r="F225" t="inlineStr">
        <is>
          <t>DALARNAS LÄN</t>
        </is>
      </c>
      <c r="G225" t="inlineStr">
        <is>
          <t>ORSA</t>
        </is>
      </c>
      <c r="I225" t="n">
        <v>4.8</v>
      </c>
      <c r="J225" t="n">
        <v>0</v>
      </c>
      <c r="K225" t="n">
        <v>0</v>
      </c>
      <c r="L225" t="n">
        <v>0</v>
      </c>
      <c r="M225" t="n">
        <v>0</v>
      </c>
      <c r="N225" t="n">
        <v>0</v>
      </c>
      <c r="O225" t="n">
        <v>0</v>
      </c>
      <c r="P225" t="n">
        <v>0</v>
      </c>
      <c r="Q225" t="n">
        <v>0</v>
      </c>
      <c r="R225" t="n">
        <v>0</v>
      </c>
      <c r="S225" t="n">
        <v>0</v>
      </c>
      <c r="T225" t="n">
        <v>0</v>
      </c>
      <c r="U225" s="2" t="inlineStr"/>
    </row>
    <row r="226" ht="15" customHeight="1">
      <c r="A226" t="inlineStr">
        <is>
          <t>A 52702-2025</t>
        </is>
      </c>
      <c r="B226" t="inlineStr">
        <is>
          <t>avverkningsanmälan</t>
        </is>
      </c>
      <c r="C226" t="inlineStr">
        <is>
          <t>Föryngringsavverkning</t>
        </is>
      </c>
      <c r="D226" s="1" t="n">
        <v>45956</v>
      </c>
      <c r="E226" s="1" t="n">
        <v>46223</v>
      </c>
      <c r="F226" t="inlineStr">
        <is>
          <t>DALARNAS LÄN</t>
        </is>
      </c>
      <c r="G226" t="inlineStr">
        <is>
          <t>ORSA</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52485-2025</t>
        </is>
      </c>
      <c r="B227" t="inlineStr">
        <is>
          <t>avverkningsanmälan</t>
        </is>
      </c>
      <c r="C227" t="inlineStr">
        <is>
          <t>Föryngringsavverkning</t>
        </is>
      </c>
      <c r="D227" s="1" t="n">
        <v>45954</v>
      </c>
      <c r="E227" s="1" t="n">
        <v>46223</v>
      </c>
      <c r="F227" t="inlineStr">
        <is>
          <t>DALARNAS LÄN</t>
        </is>
      </c>
      <c r="G227" t="inlineStr">
        <is>
          <t>ORSA</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31031-2023</t>
        </is>
      </c>
      <c r="B228" t="inlineStr">
        <is>
          <t>avverkningsanmälan</t>
        </is>
      </c>
      <c r="C228" t="inlineStr">
        <is>
          <t>Föryngringsavverkning</t>
        </is>
      </c>
      <c r="D228" s="1" t="n">
        <v>45113</v>
      </c>
      <c r="E228" s="1" t="n">
        <v>46223</v>
      </c>
      <c r="F228" t="inlineStr">
        <is>
          <t>DALARNAS LÄN</t>
        </is>
      </c>
      <c r="G228" t="inlineStr">
        <is>
          <t>ORSA</t>
        </is>
      </c>
      <c r="H228" t="inlineStr">
        <is>
          <t>Bergvik skog öst AB</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28388-2024</t>
        </is>
      </c>
      <c r="B229" t="inlineStr">
        <is>
          <t>avverkningsanmälan</t>
        </is>
      </c>
      <c r="C229" t="inlineStr">
        <is>
          <t>Föryngringsavverkning</t>
        </is>
      </c>
      <c r="D229" s="1" t="n">
        <v>45477</v>
      </c>
      <c r="E229" s="1" t="n">
        <v>46223</v>
      </c>
      <c r="F229" t="inlineStr">
        <is>
          <t>DALARNAS LÄN</t>
        </is>
      </c>
      <c r="G229" t="inlineStr">
        <is>
          <t>ORSA</t>
        </is>
      </c>
      <c r="H229" t="inlineStr">
        <is>
          <t>Bergvik skog öst AB</t>
        </is>
      </c>
      <c r="I229" t="n">
        <v>3.8</v>
      </c>
      <c r="J229" t="n">
        <v>0</v>
      </c>
      <c r="K229" t="n">
        <v>0</v>
      </c>
      <c r="L229" t="n">
        <v>0</v>
      </c>
      <c r="M229" t="n">
        <v>0</v>
      </c>
      <c r="N229" t="n">
        <v>0</v>
      </c>
      <c r="O229" t="n">
        <v>0</v>
      </c>
      <c r="P229" t="n">
        <v>0</v>
      </c>
      <c r="Q229" t="n">
        <v>0</v>
      </c>
      <c r="R229" t="n">
        <v>0</v>
      </c>
      <c r="S229" t="n">
        <v>0</v>
      </c>
      <c r="T229" t="n">
        <v>0</v>
      </c>
      <c r="U229" s="2" t="inlineStr"/>
    </row>
    <row r="230" ht="15" customHeight="1">
      <c r="A230" t="inlineStr">
        <is>
          <t>A 53572-2025</t>
        </is>
      </c>
      <c r="B230" t="inlineStr">
        <is>
          <t>avverkningsanmälan</t>
        </is>
      </c>
      <c r="C230" t="inlineStr">
        <is>
          <t>Föryngringsavverkning</t>
        </is>
      </c>
      <c r="D230" s="1" t="n">
        <v>45960</v>
      </c>
      <c r="E230" s="1" t="n">
        <v>46223</v>
      </c>
      <c r="F230" t="inlineStr">
        <is>
          <t>DALARNAS LÄN</t>
        </is>
      </c>
      <c r="G230" t="inlineStr">
        <is>
          <t>ORSA</t>
        </is>
      </c>
      <c r="H230" t="inlineStr">
        <is>
          <t>Bergvik skog öst AB</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9269-2026</t>
        </is>
      </c>
      <c r="B231" t="inlineStr">
        <is>
          <t>avverkningsanmälan</t>
        </is>
      </c>
      <c r="C231" t="inlineStr">
        <is>
          <t>Föryngringsavverkning</t>
        </is>
      </c>
      <c r="D231" s="1" t="n">
        <v>46070</v>
      </c>
      <c r="E231" s="1" t="n">
        <v>46223</v>
      </c>
      <c r="F231" t="inlineStr">
        <is>
          <t>DALARNAS LÄN</t>
        </is>
      </c>
      <c r="G231" t="inlineStr">
        <is>
          <t>ORSA</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37830-2024</t>
        </is>
      </c>
      <c r="B232" t="inlineStr">
        <is>
          <t>avverkningsanmälan</t>
        </is>
      </c>
      <c r="C232" t="inlineStr">
        <is>
          <t>Föryngringsavverkning</t>
        </is>
      </c>
      <c r="D232" s="1" t="n">
        <v>45544</v>
      </c>
      <c r="E232" s="1" t="n">
        <v>46223</v>
      </c>
      <c r="F232" t="inlineStr">
        <is>
          <t>DALARNAS LÄN</t>
        </is>
      </c>
      <c r="G232" t="inlineStr">
        <is>
          <t>ORSA</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54176-2025</t>
        </is>
      </c>
      <c r="B233" t="inlineStr">
        <is>
          <t>avverkningsanmälan</t>
        </is>
      </c>
      <c r="C233" t="inlineStr">
        <is>
          <t>Föryngringsavverkning</t>
        </is>
      </c>
      <c r="D233" s="1" t="n">
        <v>45964</v>
      </c>
      <c r="E233" s="1" t="n">
        <v>46223</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45272-2022</t>
        </is>
      </c>
      <c r="B234" t="inlineStr">
        <is>
          <t>avverkningsanmälan</t>
        </is>
      </c>
      <c r="C234" t="inlineStr">
        <is>
          <t>Föryngringsavverkning</t>
        </is>
      </c>
      <c r="D234" s="1" t="n">
        <v>44844</v>
      </c>
      <c r="E234" s="1" t="n">
        <v>46223</v>
      </c>
      <c r="F234" t="inlineStr">
        <is>
          <t>DALARNAS LÄN</t>
        </is>
      </c>
      <c r="G234" t="inlineStr">
        <is>
          <t>ORSA</t>
        </is>
      </c>
      <c r="I234" t="n">
        <v>0.3</v>
      </c>
      <c r="J234" t="n">
        <v>0</v>
      </c>
      <c r="K234" t="n">
        <v>0</v>
      </c>
      <c r="L234" t="n">
        <v>0</v>
      </c>
      <c r="M234" t="n">
        <v>0</v>
      </c>
      <c r="N234" t="n">
        <v>0</v>
      </c>
      <c r="O234" t="n">
        <v>0</v>
      </c>
      <c r="P234" t="n">
        <v>0</v>
      </c>
      <c r="Q234" t="n">
        <v>0</v>
      </c>
      <c r="R234" t="n">
        <v>0</v>
      </c>
      <c r="S234" t="n">
        <v>0</v>
      </c>
      <c r="T234" t="n">
        <v>0</v>
      </c>
      <c r="U234" s="2" t="inlineStr"/>
    </row>
    <row r="235" ht="15" customHeight="1">
      <c r="A235" t="inlineStr">
        <is>
          <t>A 4202-2025</t>
        </is>
      </c>
      <c r="B235" t="inlineStr">
        <is>
          <t>avverkningsanmälan</t>
        </is>
      </c>
      <c r="C235" t="inlineStr">
        <is>
          <t>Föryngringsavverkning</t>
        </is>
      </c>
      <c r="D235" s="1" t="n">
        <v>45685</v>
      </c>
      <c r="E235" s="1" t="n">
        <v>46223</v>
      </c>
      <c r="F235" t="inlineStr">
        <is>
          <t>DALARNAS LÄN</t>
        </is>
      </c>
      <c r="G235" t="inlineStr">
        <is>
          <t>ORSA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4204-2025</t>
        </is>
      </c>
      <c r="B236" t="inlineStr">
        <is>
          <t>avverkningsanmälan</t>
        </is>
      </c>
      <c r="C236" t="inlineStr">
        <is>
          <t>Föryngringsavverkning</t>
        </is>
      </c>
      <c r="D236" s="1" t="n">
        <v>45685</v>
      </c>
      <c r="E236" s="1" t="n">
        <v>46223</v>
      </c>
      <c r="F236" t="inlineStr">
        <is>
          <t>DALARNAS LÄN</t>
        </is>
      </c>
      <c r="G236" t="inlineStr">
        <is>
          <t>ORSA</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54676-2025</t>
        </is>
      </c>
      <c r="B237" t="inlineStr">
        <is>
          <t>avverkningsanmälan</t>
        </is>
      </c>
      <c r="C237" t="inlineStr">
        <is>
          <t>Föryngringsavverkning</t>
        </is>
      </c>
      <c r="D237" s="1" t="n">
        <v>45966</v>
      </c>
      <c r="E237" s="1" t="n">
        <v>46223</v>
      </c>
      <c r="F237" t="inlineStr">
        <is>
          <t>DALARNAS LÄN</t>
        </is>
      </c>
      <c r="G237" t="inlineStr">
        <is>
          <t>ORSA</t>
        </is>
      </c>
      <c r="H237" t="inlineStr">
        <is>
          <t>Allmännings- och besparingsskogar</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10195-2026</t>
        </is>
      </c>
      <c r="B238" t="inlineStr">
        <is>
          <t>avverkningsanmälan</t>
        </is>
      </c>
      <c r="C238" t="inlineStr">
        <is>
          <t>Föryngringsavverkning</t>
        </is>
      </c>
      <c r="D238" s="1" t="n">
        <v>46076</v>
      </c>
      <c r="E238" s="1" t="n">
        <v>46223</v>
      </c>
      <c r="F238" t="inlineStr">
        <is>
          <t>DALARNAS LÄN</t>
        </is>
      </c>
      <c r="G238" t="inlineStr">
        <is>
          <t>ORSA</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10205-2026</t>
        </is>
      </c>
      <c r="B239" t="inlineStr">
        <is>
          <t>avverkningsanmälan</t>
        </is>
      </c>
      <c r="C239" t="inlineStr">
        <is>
          <t>Föryngringsavverkning</t>
        </is>
      </c>
      <c r="D239" s="1" t="n">
        <v>46076</v>
      </c>
      <c r="E239" s="1" t="n">
        <v>46223</v>
      </c>
      <c r="F239" t="inlineStr">
        <is>
          <t>DALARNAS LÄN</t>
        </is>
      </c>
      <c r="G239" t="inlineStr">
        <is>
          <t>ORSA</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10210-2026</t>
        </is>
      </c>
      <c r="B240" t="inlineStr">
        <is>
          <t>avverkningsanmälan</t>
        </is>
      </c>
      <c r="C240" t="inlineStr">
        <is>
          <t>Föryngringsavverkning</t>
        </is>
      </c>
      <c r="D240" s="1" t="n">
        <v>46076</v>
      </c>
      <c r="E240" s="1" t="n">
        <v>46223</v>
      </c>
      <c r="F240" t="inlineStr">
        <is>
          <t>DALARNAS LÄN</t>
        </is>
      </c>
      <c r="G240" t="inlineStr">
        <is>
          <t>ORSA</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10442-2026</t>
        </is>
      </c>
      <c r="B241" t="inlineStr">
        <is>
          <t>avverkningsanmälan</t>
        </is>
      </c>
      <c r="C241" t="inlineStr">
        <is>
          <t>Föryngringsavverkning</t>
        </is>
      </c>
      <c r="D241" s="1" t="n">
        <v>46077</v>
      </c>
      <c r="E241" s="1" t="n">
        <v>46223</v>
      </c>
      <c r="F241" t="inlineStr">
        <is>
          <t>DALARNAS LÄN</t>
        </is>
      </c>
      <c r="G241" t="inlineStr">
        <is>
          <t>ORSA</t>
        </is>
      </c>
      <c r="I241" t="n">
        <v>3</v>
      </c>
      <c r="J241" t="n">
        <v>0</v>
      </c>
      <c r="K241" t="n">
        <v>0</v>
      </c>
      <c r="L241" t="n">
        <v>0</v>
      </c>
      <c r="M241" t="n">
        <v>0</v>
      </c>
      <c r="N241" t="n">
        <v>0</v>
      </c>
      <c r="O241" t="n">
        <v>0</v>
      </c>
      <c r="P241" t="n">
        <v>0</v>
      </c>
      <c r="Q241" t="n">
        <v>0</v>
      </c>
      <c r="R241" t="n">
        <v>0</v>
      </c>
      <c r="S241" t="n">
        <v>0</v>
      </c>
      <c r="T241" t="n">
        <v>0</v>
      </c>
      <c r="U241" s="2" t="inlineStr"/>
    </row>
    <row r="242" ht="15" customHeight="1">
      <c r="A242" t="inlineStr">
        <is>
          <t>A 7628-2025</t>
        </is>
      </c>
      <c r="B242" t="inlineStr">
        <is>
          <t>avverkningsanmälan</t>
        </is>
      </c>
      <c r="C242" t="inlineStr">
        <is>
          <t>Föryngringsavverkning</t>
        </is>
      </c>
      <c r="D242" s="1" t="n">
        <v>45705</v>
      </c>
      <c r="E242" s="1" t="n">
        <v>46223</v>
      </c>
      <c r="F242" t="inlineStr">
        <is>
          <t>DALARNAS LÄN</t>
        </is>
      </c>
      <c r="G242" t="inlineStr">
        <is>
          <t>ORSA</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54782-2025</t>
        </is>
      </c>
      <c r="B243" t="inlineStr">
        <is>
          <t>avverkningsanmälan</t>
        </is>
      </c>
      <c r="C243" t="inlineStr">
        <is>
          <t>Föryngringsavverkning</t>
        </is>
      </c>
      <c r="D243" s="1" t="n">
        <v>45966</v>
      </c>
      <c r="E243" s="1" t="n">
        <v>46223</v>
      </c>
      <c r="F243" t="inlineStr">
        <is>
          <t>DALARNAS LÄN</t>
        </is>
      </c>
      <c r="G243" t="inlineStr">
        <is>
          <t>ORSA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54776-2025</t>
        </is>
      </c>
      <c r="B244" t="inlineStr">
        <is>
          <t>avverkningsanmälan</t>
        </is>
      </c>
      <c r="C244" t="inlineStr">
        <is>
          <t>Föryngringsavverkning</t>
        </is>
      </c>
      <c r="D244" s="1" t="n">
        <v>45966</v>
      </c>
      <c r="E244" s="1" t="n">
        <v>46223</v>
      </c>
      <c r="F244" t="inlineStr">
        <is>
          <t>DALARNAS LÄN</t>
        </is>
      </c>
      <c r="G244" t="inlineStr">
        <is>
          <t>ORSA</t>
        </is>
      </c>
      <c r="I244" t="n">
        <v>4.8</v>
      </c>
      <c r="J244" t="n">
        <v>0</v>
      </c>
      <c r="K244" t="n">
        <v>0</v>
      </c>
      <c r="L244" t="n">
        <v>0</v>
      </c>
      <c r="M244" t="n">
        <v>0</v>
      </c>
      <c r="N244" t="n">
        <v>0</v>
      </c>
      <c r="O244" t="n">
        <v>0</v>
      </c>
      <c r="P244" t="n">
        <v>0</v>
      </c>
      <c r="Q244" t="n">
        <v>0</v>
      </c>
      <c r="R244" t="n">
        <v>0</v>
      </c>
      <c r="S244" t="n">
        <v>0</v>
      </c>
      <c r="T244" t="n">
        <v>0</v>
      </c>
      <c r="U244" s="2" t="inlineStr"/>
    </row>
    <row r="245" ht="15" customHeight="1">
      <c r="A245" t="inlineStr">
        <is>
          <t>A 10513-2026</t>
        </is>
      </c>
      <c r="B245" t="inlineStr">
        <is>
          <t>avverkningsanmälan</t>
        </is>
      </c>
      <c r="C245" t="inlineStr">
        <is>
          <t>Föryngringsavverkning</t>
        </is>
      </c>
      <c r="D245" s="1" t="n">
        <v>46077</v>
      </c>
      <c r="E245" s="1" t="n">
        <v>46223</v>
      </c>
      <c r="F245" t="inlineStr">
        <is>
          <t>DALARNAS LÄN</t>
        </is>
      </c>
      <c r="G245" t="inlineStr">
        <is>
          <t>ORSA</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10202-2026</t>
        </is>
      </c>
      <c r="B246" t="inlineStr">
        <is>
          <t>avverkningsanmälan</t>
        </is>
      </c>
      <c r="C246" t="inlineStr">
        <is>
          <t>Föryngringsavverkning</t>
        </is>
      </c>
      <c r="D246" s="1" t="n">
        <v>46076</v>
      </c>
      <c r="E246" s="1" t="n">
        <v>46223</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10564-2026</t>
        </is>
      </c>
      <c r="B247" t="inlineStr">
        <is>
          <t>avverkningsanmälan</t>
        </is>
      </c>
      <c r="C247" t="inlineStr">
        <is>
          <t>Föryngringsavverkning</t>
        </is>
      </c>
      <c r="D247" s="1" t="n">
        <v>46077</v>
      </c>
      <c r="E247" s="1" t="n">
        <v>46223</v>
      </c>
      <c r="F247" t="inlineStr">
        <is>
          <t>DALARNAS LÄN</t>
        </is>
      </c>
      <c r="G247" t="inlineStr">
        <is>
          <t>ORSA</t>
        </is>
      </c>
      <c r="H247" t="inlineStr">
        <is>
          <t>Övriga Aktiebolag</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10206-2026</t>
        </is>
      </c>
      <c r="B248" t="inlineStr">
        <is>
          <t>avverkningsanmälan</t>
        </is>
      </c>
      <c r="C248" t="inlineStr">
        <is>
          <t>Föryngringsavverkning</t>
        </is>
      </c>
      <c r="D248" s="1" t="n">
        <v>46076</v>
      </c>
      <c r="E248" s="1" t="n">
        <v>46223</v>
      </c>
      <c r="F248" t="inlineStr">
        <is>
          <t>DALARNAS LÄN</t>
        </is>
      </c>
      <c r="G248" t="inlineStr">
        <is>
          <t>ORSA</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10209-2026</t>
        </is>
      </c>
      <c r="B249" t="inlineStr">
        <is>
          <t>avverkningsanmälan</t>
        </is>
      </c>
      <c r="C249" t="inlineStr">
        <is>
          <t>Föryngringsavverkning</t>
        </is>
      </c>
      <c r="D249" s="1" t="n">
        <v>46076</v>
      </c>
      <c r="E249" s="1" t="n">
        <v>46223</v>
      </c>
      <c r="F249" t="inlineStr">
        <is>
          <t>DALARNAS LÄN</t>
        </is>
      </c>
      <c r="G249" t="inlineStr">
        <is>
          <t>ORSA</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10579-2026</t>
        </is>
      </c>
      <c r="B250" t="inlineStr">
        <is>
          <t>avverkningsanmälan</t>
        </is>
      </c>
      <c r="C250" t="inlineStr">
        <is>
          <t>Föryngringsavverkning</t>
        </is>
      </c>
      <c r="D250" s="1" t="n">
        <v>46077</v>
      </c>
      <c r="E250" s="1" t="n">
        <v>46223</v>
      </c>
      <c r="F250" t="inlineStr">
        <is>
          <t>DALARNAS LÄN</t>
        </is>
      </c>
      <c r="G250" t="inlineStr">
        <is>
          <t>ORSA</t>
        </is>
      </c>
      <c r="H250" t="inlineStr">
        <is>
          <t>Övriga Aktiebolag</t>
        </is>
      </c>
      <c r="I250" t="n">
        <v>3.9</v>
      </c>
      <c r="J250" t="n">
        <v>0</v>
      </c>
      <c r="K250" t="n">
        <v>0</v>
      </c>
      <c r="L250" t="n">
        <v>0</v>
      </c>
      <c r="M250" t="n">
        <v>0</v>
      </c>
      <c r="N250" t="n">
        <v>0</v>
      </c>
      <c r="O250" t="n">
        <v>0</v>
      </c>
      <c r="P250" t="n">
        <v>0</v>
      </c>
      <c r="Q250" t="n">
        <v>0</v>
      </c>
      <c r="R250" t="n">
        <v>0</v>
      </c>
      <c r="S250" t="n">
        <v>0</v>
      </c>
      <c r="T250" t="n">
        <v>0</v>
      </c>
      <c r="U250" s="2" t="inlineStr"/>
    </row>
    <row r="251" ht="15" customHeight="1">
      <c r="A251" t="inlineStr">
        <is>
          <t>A 26301-2023</t>
        </is>
      </c>
      <c r="B251" t="inlineStr">
        <is>
          <t>avverkningsanmälan</t>
        </is>
      </c>
      <c r="C251" t="inlineStr">
        <is>
          <t>Föryngringsavverkning</t>
        </is>
      </c>
      <c r="D251" s="1" t="n">
        <v>45091</v>
      </c>
      <c r="E251" s="1" t="n">
        <v>46223</v>
      </c>
      <c r="F251" t="inlineStr">
        <is>
          <t>DALARNAS LÄN</t>
        </is>
      </c>
      <c r="G251" t="inlineStr">
        <is>
          <t>ORSA</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52033-2023</t>
        </is>
      </c>
      <c r="B252" t="inlineStr">
        <is>
          <t>avverkningsanmälan</t>
        </is>
      </c>
      <c r="C252" t="inlineStr">
        <is>
          <t>Föryngringsavverkning</t>
        </is>
      </c>
      <c r="D252" s="1" t="n">
        <v>45223</v>
      </c>
      <c r="E252" s="1" t="n">
        <v>46223</v>
      </c>
      <c r="F252" t="inlineStr">
        <is>
          <t>DALARNAS LÄN</t>
        </is>
      </c>
      <c r="G252" t="inlineStr">
        <is>
          <t>ORSA</t>
        </is>
      </c>
      <c r="I252" t="n">
        <v>11.5</v>
      </c>
      <c r="J252" t="n">
        <v>0</v>
      </c>
      <c r="K252" t="n">
        <v>0</v>
      </c>
      <c r="L252" t="n">
        <v>0</v>
      </c>
      <c r="M252" t="n">
        <v>0</v>
      </c>
      <c r="N252" t="n">
        <v>0</v>
      </c>
      <c r="O252" t="n">
        <v>0</v>
      </c>
      <c r="P252" t="n">
        <v>0</v>
      </c>
      <c r="Q252" t="n">
        <v>0</v>
      </c>
      <c r="R252" t="n">
        <v>0</v>
      </c>
      <c r="S252" t="n">
        <v>0</v>
      </c>
      <c r="T252" t="n">
        <v>0</v>
      </c>
      <c r="U252" s="2" t="inlineStr"/>
    </row>
    <row r="253" ht="15" customHeight="1">
      <c r="A253" t="inlineStr">
        <is>
          <t>A 55105-2025</t>
        </is>
      </c>
      <c r="B253" t="inlineStr">
        <is>
          <t>avverkningsanmälan</t>
        </is>
      </c>
      <c r="C253" t="inlineStr">
        <is>
          <t>Föryngringsavverkning</t>
        </is>
      </c>
      <c r="D253" s="1" t="n">
        <v>45968</v>
      </c>
      <c r="E253" s="1" t="n">
        <v>46223</v>
      </c>
      <c r="F253" t="inlineStr">
        <is>
          <t>DALARNAS LÄN</t>
        </is>
      </c>
      <c r="G253" t="inlineStr">
        <is>
          <t>ORSA</t>
        </is>
      </c>
      <c r="H253" t="inlineStr">
        <is>
          <t>Allmännings- och besparingsskogar</t>
        </is>
      </c>
      <c r="I253" t="n">
        <v>31.5</v>
      </c>
      <c r="J253" t="n">
        <v>0</v>
      </c>
      <c r="K253" t="n">
        <v>0</v>
      </c>
      <c r="L253" t="n">
        <v>0</v>
      </c>
      <c r="M253" t="n">
        <v>0</v>
      </c>
      <c r="N253" t="n">
        <v>0</v>
      </c>
      <c r="O253" t="n">
        <v>0</v>
      </c>
      <c r="P253" t="n">
        <v>0</v>
      </c>
      <c r="Q253" t="n">
        <v>0</v>
      </c>
      <c r="R253" t="n">
        <v>0</v>
      </c>
      <c r="S253" t="n">
        <v>0</v>
      </c>
      <c r="T253" t="n">
        <v>0</v>
      </c>
      <c r="U253" s="2" t="inlineStr"/>
    </row>
    <row r="254" ht="15" customHeight="1">
      <c r="A254" t="inlineStr">
        <is>
          <t>A 55405-2025</t>
        </is>
      </c>
      <c r="B254" t="inlineStr">
        <is>
          <t>avverkningsanmälan</t>
        </is>
      </c>
      <c r="C254" t="inlineStr">
        <is>
          <t>Föryngringsavverkning</t>
        </is>
      </c>
      <c r="D254" s="1" t="n">
        <v>45971</v>
      </c>
      <c r="E254" s="1" t="n">
        <v>46223</v>
      </c>
      <c r="F254" t="inlineStr">
        <is>
          <t>DALARNAS LÄN</t>
        </is>
      </c>
      <c r="G254" t="inlineStr">
        <is>
          <t>ORSA</t>
        </is>
      </c>
      <c r="H254" t="inlineStr">
        <is>
          <t>Bergvik skog öst AB</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49781-2023</t>
        </is>
      </c>
      <c r="B255" t="inlineStr">
        <is>
          <t>avverkningsanmälan</t>
        </is>
      </c>
      <c r="C255" t="inlineStr">
        <is>
          <t>Föryngringsavverkning</t>
        </is>
      </c>
      <c r="D255" s="1" t="n">
        <v>45212</v>
      </c>
      <c r="E255" s="1" t="n">
        <v>46223</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49814-2023</t>
        </is>
      </c>
      <c r="B256" t="inlineStr">
        <is>
          <t>avverkningsanmälan</t>
        </is>
      </c>
      <c r="C256" t="inlineStr">
        <is>
          <t>Föryngringsavverkning</t>
        </is>
      </c>
      <c r="D256" s="1" t="n">
        <v>45212</v>
      </c>
      <c r="E256" s="1" t="n">
        <v>46223</v>
      </c>
      <c r="F256" t="inlineStr">
        <is>
          <t>DALARNAS LÄN</t>
        </is>
      </c>
      <c r="G256" t="inlineStr">
        <is>
          <t>ORSA</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10035-2026</t>
        </is>
      </c>
      <c r="B257" t="inlineStr">
        <is>
          <t>avverkningsanmälan</t>
        </is>
      </c>
      <c r="C257" t="inlineStr">
        <is>
          <t>Föryngringsavverkning</t>
        </is>
      </c>
      <c r="D257" s="1" t="n">
        <v>46073</v>
      </c>
      <c r="E257" s="1" t="n">
        <v>46223</v>
      </c>
      <c r="F257" t="inlineStr">
        <is>
          <t>DALARNAS LÄN</t>
        </is>
      </c>
      <c r="G257" t="inlineStr">
        <is>
          <t>ORSA</t>
        </is>
      </c>
      <c r="H257" t="inlineStr">
        <is>
          <t>Bergvik skog öst AB</t>
        </is>
      </c>
      <c r="I257" t="n">
        <v>19.6</v>
      </c>
      <c r="J257" t="n">
        <v>0</v>
      </c>
      <c r="K257" t="n">
        <v>0</v>
      </c>
      <c r="L257" t="n">
        <v>0</v>
      </c>
      <c r="M257" t="n">
        <v>0</v>
      </c>
      <c r="N257" t="n">
        <v>0</v>
      </c>
      <c r="O257" t="n">
        <v>0</v>
      </c>
      <c r="P257" t="n">
        <v>0</v>
      </c>
      <c r="Q257" t="n">
        <v>0</v>
      </c>
      <c r="R257" t="n">
        <v>0</v>
      </c>
      <c r="S257" t="n">
        <v>0</v>
      </c>
      <c r="T257" t="n">
        <v>0</v>
      </c>
      <c r="U257" s="2" t="inlineStr"/>
    </row>
    <row r="258" ht="15" customHeight="1">
      <c r="A258" t="inlineStr">
        <is>
          <t>A 55369-2025</t>
        </is>
      </c>
      <c r="B258" t="inlineStr">
        <is>
          <t>avverkningsanmälan</t>
        </is>
      </c>
      <c r="C258" t="inlineStr">
        <is>
          <t>Föryngringsavverkning</t>
        </is>
      </c>
      <c r="D258" s="1" t="n">
        <v>45971</v>
      </c>
      <c r="E258" s="1" t="n">
        <v>46223</v>
      </c>
      <c r="F258" t="inlineStr">
        <is>
          <t>DALARNAS LÄN</t>
        </is>
      </c>
      <c r="G258" t="inlineStr">
        <is>
          <t>ORSA</t>
        </is>
      </c>
      <c r="H258" t="inlineStr">
        <is>
          <t>Bergvik skog öst AB</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56295-2025</t>
        </is>
      </c>
      <c r="B259" t="inlineStr">
        <is>
          <t>avverkningsanmälan</t>
        </is>
      </c>
      <c r="C259" t="inlineStr">
        <is>
          <t>Föryngringsavverkning</t>
        </is>
      </c>
      <c r="D259" s="1" t="n">
        <v>45974</v>
      </c>
      <c r="E259" s="1" t="n">
        <v>46223</v>
      </c>
      <c r="F259" t="inlineStr">
        <is>
          <t>DALARNAS LÄN</t>
        </is>
      </c>
      <c r="G259" t="inlineStr">
        <is>
          <t>ORSA</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10784-2026</t>
        </is>
      </c>
      <c r="B260" t="inlineStr">
        <is>
          <t>avverkningsanmälan</t>
        </is>
      </c>
      <c r="C260" t="inlineStr">
        <is>
          <t>Föryngringsavverkning</t>
        </is>
      </c>
      <c r="D260" s="1" t="n">
        <v>46078</v>
      </c>
      <c r="E260" s="1" t="n">
        <v>46223</v>
      </c>
      <c r="F260" t="inlineStr">
        <is>
          <t>DALARNAS LÄN</t>
        </is>
      </c>
      <c r="G260" t="inlineStr">
        <is>
          <t>ORSA</t>
        </is>
      </c>
      <c r="H260" t="inlineStr">
        <is>
          <t>Bergvik skog öst AB</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56288-2025</t>
        </is>
      </c>
      <c r="B261" t="inlineStr">
        <is>
          <t>avverkningsanmälan</t>
        </is>
      </c>
      <c r="C261" t="inlineStr">
        <is>
          <t>Föryngringsavverkning</t>
        </is>
      </c>
      <c r="D261" s="1" t="n">
        <v>45974</v>
      </c>
      <c r="E261" s="1" t="n">
        <v>46223</v>
      </c>
      <c r="F261" t="inlineStr">
        <is>
          <t>DALARNAS LÄN</t>
        </is>
      </c>
      <c r="G261" t="inlineStr">
        <is>
          <t>ORSA</t>
        </is>
      </c>
      <c r="I261" t="n">
        <v>7.2</v>
      </c>
      <c r="J261" t="n">
        <v>0</v>
      </c>
      <c r="K261" t="n">
        <v>0</v>
      </c>
      <c r="L261" t="n">
        <v>0</v>
      </c>
      <c r="M261" t="n">
        <v>0</v>
      </c>
      <c r="N261" t="n">
        <v>0</v>
      </c>
      <c r="O261" t="n">
        <v>0</v>
      </c>
      <c r="P261" t="n">
        <v>0</v>
      </c>
      <c r="Q261" t="n">
        <v>0</v>
      </c>
      <c r="R261" t="n">
        <v>0</v>
      </c>
      <c r="S261" t="n">
        <v>0</v>
      </c>
      <c r="T261" t="n">
        <v>0</v>
      </c>
      <c r="U261" s="2" t="inlineStr"/>
    </row>
    <row r="262" ht="15" customHeight="1">
      <c r="A262" t="inlineStr">
        <is>
          <t>A 56297-2025</t>
        </is>
      </c>
      <c r="B262" t="inlineStr">
        <is>
          <t>avverkningsanmälan</t>
        </is>
      </c>
      <c r="C262" t="inlineStr">
        <is>
          <t>Föryngringsavverkning</t>
        </is>
      </c>
      <c r="D262" s="1" t="n">
        <v>45974</v>
      </c>
      <c r="E262" s="1" t="n">
        <v>46223</v>
      </c>
      <c r="F262" t="inlineStr">
        <is>
          <t>DALARNAS LÄN</t>
        </is>
      </c>
      <c r="G262" t="inlineStr">
        <is>
          <t>ORSA</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56471-2025</t>
        </is>
      </c>
      <c r="B263" t="inlineStr">
        <is>
          <t>avverkningsanmälan</t>
        </is>
      </c>
      <c r="C263" t="inlineStr">
        <is>
          <t>Föryngringsavverkning</t>
        </is>
      </c>
      <c r="D263" s="1" t="n">
        <v>45975</v>
      </c>
      <c r="E263" s="1" t="n">
        <v>46223</v>
      </c>
      <c r="F263" t="inlineStr">
        <is>
          <t>DALARNAS LÄN</t>
        </is>
      </c>
      <c r="G263" t="inlineStr">
        <is>
          <t>ORSA</t>
        </is>
      </c>
      <c r="I263" t="n">
        <v>5.2</v>
      </c>
      <c r="J263" t="n">
        <v>0</v>
      </c>
      <c r="K263" t="n">
        <v>0</v>
      </c>
      <c r="L263" t="n">
        <v>0</v>
      </c>
      <c r="M263" t="n">
        <v>0</v>
      </c>
      <c r="N263" t="n">
        <v>0</v>
      </c>
      <c r="O263" t="n">
        <v>0</v>
      </c>
      <c r="P263" t="n">
        <v>0</v>
      </c>
      <c r="Q263" t="n">
        <v>0</v>
      </c>
      <c r="R263" t="n">
        <v>0</v>
      </c>
      <c r="S263" t="n">
        <v>0</v>
      </c>
      <c r="T263" t="n">
        <v>0</v>
      </c>
      <c r="U263" s="2" t="inlineStr"/>
    </row>
    <row r="264" ht="15" customHeight="1">
      <c r="A264" t="inlineStr">
        <is>
          <t>A 56459-2025</t>
        </is>
      </c>
      <c r="B264" t="inlineStr">
        <is>
          <t>avverkningsanmälan</t>
        </is>
      </c>
      <c r="C264" t="inlineStr">
        <is>
          <t>Föryngringsavverkning</t>
        </is>
      </c>
      <c r="D264" s="1" t="n">
        <v>45975</v>
      </c>
      <c r="E264" s="1" t="n">
        <v>46223</v>
      </c>
      <c r="F264" t="inlineStr">
        <is>
          <t>DALARNAS LÄN</t>
        </is>
      </c>
      <c r="G264" t="inlineStr">
        <is>
          <t>ORSA</t>
        </is>
      </c>
      <c r="I264" t="n">
        <v>3.8</v>
      </c>
      <c r="J264" t="n">
        <v>0</v>
      </c>
      <c r="K264" t="n">
        <v>0</v>
      </c>
      <c r="L264" t="n">
        <v>0</v>
      </c>
      <c r="M264" t="n">
        <v>0</v>
      </c>
      <c r="N264" t="n">
        <v>0</v>
      </c>
      <c r="O264" t="n">
        <v>0</v>
      </c>
      <c r="P264" t="n">
        <v>0</v>
      </c>
      <c r="Q264" t="n">
        <v>0</v>
      </c>
      <c r="R264" t="n">
        <v>0</v>
      </c>
      <c r="S264" t="n">
        <v>0</v>
      </c>
      <c r="T264" t="n">
        <v>0</v>
      </c>
      <c r="U264" s="2" t="inlineStr"/>
    </row>
    <row r="265" ht="15" customHeight="1">
      <c r="A265" t="inlineStr">
        <is>
          <t>A 56473-2025</t>
        </is>
      </c>
      <c r="B265" t="inlineStr">
        <is>
          <t>avverkningsanmälan</t>
        </is>
      </c>
      <c r="C265" t="inlineStr">
        <is>
          <t>Föryngringsavverkning</t>
        </is>
      </c>
      <c r="D265" s="1" t="n">
        <v>45975</v>
      </c>
      <c r="E265" s="1" t="n">
        <v>46223</v>
      </c>
      <c r="F265" t="inlineStr">
        <is>
          <t>DALARNAS LÄN</t>
        </is>
      </c>
      <c r="G265" t="inlineStr">
        <is>
          <t>ORSA</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57383-2025</t>
        </is>
      </c>
      <c r="B266" t="inlineStr">
        <is>
          <t>avverkningsanmälan</t>
        </is>
      </c>
      <c r="C266" t="inlineStr">
        <is>
          <t>Föryngringsavverkning</t>
        </is>
      </c>
      <c r="D266" s="1" t="n">
        <v>45980</v>
      </c>
      <c r="E266" s="1" t="n">
        <v>46223</v>
      </c>
      <c r="F266" t="inlineStr">
        <is>
          <t>DALARNAS LÄN</t>
        </is>
      </c>
      <c r="G266" t="inlineStr">
        <is>
          <t>ORSA</t>
        </is>
      </c>
      <c r="H266" t="inlineStr">
        <is>
          <t>Kyrkan</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47732-2021</t>
        </is>
      </c>
      <c r="B267" t="inlineStr">
        <is>
          <t>avverkningsanmälan</t>
        </is>
      </c>
      <c r="C267" t="inlineStr">
        <is>
          <t>Föryngringsavverkning</t>
        </is>
      </c>
      <c r="D267" s="1" t="n">
        <v>44448</v>
      </c>
      <c r="E267" s="1" t="n">
        <v>46223</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58647-2025</t>
        </is>
      </c>
      <c r="B268" t="inlineStr">
        <is>
          <t>avverkningsanmälan</t>
        </is>
      </c>
      <c r="C268" t="inlineStr">
        <is>
          <t>Föryngringsavverkning</t>
        </is>
      </c>
      <c r="D268" s="1" t="n">
        <v>45986</v>
      </c>
      <c r="E268" s="1" t="n">
        <v>46223</v>
      </c>
      <c r="F268" t="inlineStr">
        <is>
          <t>DALARNAS LÄN</t>
        </is>
      </c>
      <c r="G268" t="inlineStr">
        <is>
          <t>ORSA</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58657-2025</t>
        </is>
      </c>
      <c r="B269" t="inlineStr">
        <is>
          <t>avverkningsanmälan</t>
        </is>
      </c>
      <c r="C269" t="inlineStr">
        <is>
          <t>Föryngringsavverkning</t>
        </is>
      </c>
      <c r="D269" s="1" t="n">
        <v>45986</v>
      </c>
      <c r="E269" s="1" t="n">
        <v>46223</v>
      </c>
      <c r="F269" t="inlineStr">
        <is>
          <t>DALARNAS LÄN</t>
        </is>
      </c>
      <c r="G269" t="inlineStr">
        <is>
          <t>ORSA</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60189-2022</t>
        </is>
      </c>
      <c r="B270" t="inlineStr">
        <is>
          <t>avverkningsanmälan</t>
        </is>
      </c>
      <c r="C270" t="inlineStr">
        <is>
          <t>Föryngringsavverkning</t>
        </is>
      </c>
      <c r="D270" s="1" t="n">
        <v>44910</v>
      </c>
      <c r="E270" s="1" t="n">
        <v>46223</v>
      </c>
      <c r="F270" t="inlineStr">
        <is>
          <t>DALARNAS LÄN</t>
        </is>
      </c>
      <c r="G270" t="inlineStr">
        <is>
          <t>ORSA</t>
        </is>
      </c>
      <c r="H270" t="inlineStr">
        <is>
          <t>Bergvik skog öst AB</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58683-2025</t>
        </is>
      </c>
      <c r="B271" t="inlineStr">
        <is>
          <t>avverkningsanmälan</t>
        </is>
      </c>
      <c r="C271" t="inlineStr">
        <is>
          <t>Föryngringsavverkning</t>
        </is>
      </c>
      <c r="D271" s="1" t="n">
        <v>45986</v>
      </c>
      <c r="E271" s="1" t="n">
        <v>46223</v>
      </c>
      <c r="F271" t="inlineStr">
        <is>
          <t>DALARNAS LÄN</t>
        </is>
      </c>
      <c r="G271" t="inlineStr">
        <is>
          <t>ORSA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58691-2025</t>
        </is>
      </c>
      <c r="B272" t="inlineStr">
        <is>
          <t>avverkningsanmälan</t>
        </is>
      </c>
      <c r="C272" t="inlineStr">
        <is>
          <t>Föryngringsavverkning</t>
        </is>
      </c>
      <c r="D272" s="1" t="n">
        <v>45986</v>
      </c>
      <c r="E272" s="1" t="n">
        <v>46223</v>
      </c>
      <c r="F272" t="inlineStr">
        <is>
          <t>DALARNAS LÄN</t>
        </is>
      </c>
      <c r="G272" t="inlineStr">
        <is>
          <t>ORSA</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58681-2025</t>
        </is>
      </c>
      <c r="B273" t="inlineStr">
        <is>
          <t>avverkningsanmälan</t>
        </is>
      </c>
      <c r="C273" t="inlineStr">
        <is>
          <t>Föryngringsavverkning</t>
        </is>
      </c>
      <c r="D273" s="1" t="n">
        <v>45986</v>
      </c>
      <c r="E273" s="1" t="n">
        <v>46223</v>
      </c>
      <c r="F273" t="inlineStr">
        <is>
          <t>DALARNAS LÄN</t>
        </is>
      </c>
      <c r="G273" t="inlineStr">
        <is>
          <t>ORSA</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55534-2023</t>
        </is>
      </c>
      <c r="B274" t="inlineStr">
        <is>
          <t>avverkningsanmälan</t>
        </is>
      </c>
      <c r="C274" t="inlineStr">
        <is>
          <t>Föryngringsavverkning</t>
        </is>
      </c>
      <c r="D274" s="1" t="n">
        <v>45238</v>
      </c>
      <c r="E274" s="1" t="n">
        <v>46223</v>
      </c>
      <c r="F274" t="inlineStr">
        <is>
          <t>DALARNAS LÄN</t>
        </is>
      </c>
      <c r="G274" t="inlineStr">
        <is>
          <t>ORSA</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58886-2025</t>
        </is>
      </c>
      <c r="B275" t="inlineStr">
        <is>
          <t>avverkningsanmälan</t>
        </is>
      </c>
      <c r="C275" t="inlineStr">
        <is>
          <t>Föryngringsavverkning</t>
        </is>
      </c>
      <c r="D275" s="1" t="n">
        <v>45987</v>
      </c>
      <c r="E275" s="1" t="n">
        <v>46223</v>
      </c>
      <c r="F275" t="inlineStr">
        <is>
          <t>DALARNAS LÄN</t>
        </is>
      </c>
      <c r="G275" t="inlineStr">
        <is>
          <t>ORSA</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13575-2025</t>
        </is>
      </c>
      <c r="B276" t="inlineStr">
        <is>
          <t>avverkningsanmälan</t>
        </is>
      </c>
      <c r="C276" t="inlineStr">
        <is>
          <t>Föryngringsavverkning</t>
        </is>
      </c>
      <c r="D276" s="1" t="n">
        <v>45736</v>
      </c>
      <c r="E276" s="1" t="n">
        <v>46223</v>
      </c>
      <c r="F276" t="inlineStr">
        <is>
          <t>DALARNAS LÄN</t>
        </is>
      </c>
      <c r="G276" t="inlineStr">
        <is>
          <t>ORSA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59124-2025</t>
        </is>
      </c>
      <c r="B277" t="inlineStr">
        <is>
          <t>avverkningsanmälan</t>
        </is>
      </c>
      <c r="C277" t="inlineStr">
        <is>
          <t>Föryngringsavverkning</t>
        </is>
      </c>
      <c r="D277" s="1" t="n">
        <v>45988</v>
      </c>
      <c r="E277" s="1" t="n">
        <v>46223</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30382-2023</t>
        </is>
      </c>
      <c r="B278" t="inlineStr">
        <is>
          <t>avverkningsanmälan</t>
        </is>
      </c>
      <c r="C278" t="inlineStr">
        <is>
          <t>Föryngringsavverkning</t>
        </is>
      </c>
      <c r="D278" s="1" t="n">
        <v>45111</v>
      </c>
      <c r="E278" s="1" t="n">
        <v>46223</v>
      </c>
      <c r="F278" t="inlineStr">
        <is>
          <t>DALARNAS LÄN</t>
        </is>
      </c>
      <c r="G278" t="inlineStr">
        <is>
          <t>ORSA</t>
        </is>
      </c>
      <c r="H278" t="inlineStr">
        <is>
          <t>Bergvik skog öst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59114-2025</t>
        </is>
      </c>
      <c r="B279" t="inlineStr">
        <is>
          <t>avverkningsanmälan</t>
        </is>
      </c>
      <c r="C279" t="inlineStr">
        <is>
          <t>Föryngringsavverkning</t>
        </is>
      </c>
      <c r="D279" s="1" t="n">
        <v>45988</v>
      </c>
      <c r="E279" s="1" t="n">
        <v>46223</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58834-2025</t>
        </is>
      </c>
      <c r="B280" t="inlineStr">
        <is>
          <t>avverkningsanmälan</t>
        </is>
      </c>
      <c r="C280" t="inlineStr">
        <is>
          <t>Föryngringsavverkning</t>
        </is>
      </c>
      <c r="D280" s="1" t="n">
        <v>45987</v>
      </c>
      <c r="E280" s="1" t="n">
        <v>46223</v>
      </c>
      <c r="F280" t="inlineStr">
        <is>
          <t>DALARNAS LÄN</t>
        </is>
      </c>
      <c r="G280" t="inlineStr">
        <is>
          <t>ORSA</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58904-2025</t>
        </is>
      </c>
      <c r="B281" t="inlineStr">
        <is>
          <t>avverkningsanmälan</t>
        </is>
      </c>
      <c r="C281" t="inlineStr">
        <is>
          <t>Föryngringsavverkning</t>
        </is>
      </c>
      <c r="D281" s="1" t="n">
        <v>45987</v>
      </c>
      <c r="E281" s="1" t="n">
        <v>46223</v>
      </c>
      <c r="F281" t="inlineStr">
        <is>
          <t>DALARNAS LÄN</t>
        </is>
      </c>
      <c r="G281" t="inlineStr">
        <is>
          <t>ORSA</t>
        </is>
      </c>
      <c r="I281" t="n">
        <v>5.5</v>
      </c>
      <c r="J281" t="n">
        <v>0</v>
      </c>
      <c r="K281" t="n">
        <v>0</v>
      </c>
      <c r="L281" t="n">
        <v>0</v>
      </c>
      <c r="M281" t="n">
        <v>0</v>
      </c>
      <c r="N281" t="n">
        <v>0</v>
      </c>
      <c r="O281" t="n">
        <v>0</v>
      </c>
      <c r="P281" t="n">
        <v>0</v>
      </c>
      <c r="Q281" t="n">
        <v>0</v>
      </c>
      <c r="R281" t="n">
        <v>0</v>
      </c>
      <c r="S281" t="n">
        <v>0</v>
      </c>
      <c r="T281" t="n">
        <v>0</v>
      </c>
      <c r="U281" s="2" t="inlineStr"/>
    </row>
    <row r="282" ht="15" customHeight="1">
      <c r="A282" t="inlineStr">
        <is>
          <t>A 12678-2026</t>
        </is>
      </c>
      <c r="B282" t="inlineStr">
        <is>
          <t>avverkningsanmälan</t>
        </is>
      </c>
      <c r="C282" t="inlineStr">
        <is>
          <t>Föryngringsavverkning</t>
        </is>
      </c>
      <c r="D282" s="1" t="n">
        <v>46091</v>
      </c>
      <c r="E282" s="1" t="n">
        <v>46223</v>
      </c>
      <c r="F282" t="inlineStr">
        <is>
          <t>DALARNAS LÄN</t>
        </is>
      </c>
      <c r="G282" t="inlineStr">
        <is>
          <t>ORSA</t>
        </is>
      </c>
      <c r="H282" t="inlineStr">
        <is>
          <t>Allmännings- och besparingsskogar</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59149-2025</t>
        </is>
      </c>
      <c r="B283" t="inlineStr">
        <is>
          <t>avverkningsanmälan</t>
        </is>
      </c>
      <c r="C283" t="inlineStr">
        <is>
          <t>Föryngringsavverkning</t>
        </is>
      </c>
      <c r="D283" s="1" t="n">
        <v>45988</v>
      </c>
      <c r="E283" s="1" t="n">
        <v>46223</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12404-2026</t>
        </is>
      </c>
      <c r="B284" t="inlineStr">
        <is>
          <t>avverkningsanmälan</t>
        </is>
      </c>
      <c r="C284" t="inlineStr">
        <is>
          <t>Föryngringsavverkning</t>
        </is>
      </c>
      <c r="D284" s="1" t="n">
        <v>46090</v>
      </c>
      <c r="E284" s="1" t="n">
        <v>46223</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17503-2025</t>
        </is>
      </c>
      <c r="B285" t="inlineStr">
        <is>
          <t>avverkningsanmälan</t>
        </is>
      </c>
      <c r="C285" t="inlineStr">
        <is>
          <t>Föryngringsavverkning</t>
        </is>
      </c>
      <c r="D285" s="1" t="n">
        <v>45757</v>
      </c>
      <c r="E285" s="1" t="n">
        <v>46223</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12805-2026</t>
        </is>
      </c>
      <c r="B286" t="inlineStr">
        <is>
          <t>avverkningsanmälan</t>
        </is>
      </c>
      <c r="C286" t="inlineStr">
        <is>
          <t>Föryngringsavverkning</t>
        </is>
      </c>
      <c r="D286" s="1" t="n">
        <v>46092</v>
      </c>
      <c r="E286" s="1" t="n">
        <v>46223</v>
      </c>
      <c r="F286" t="inlineStr">
        <is>
          <t>DALARNAS LÄN</t>
        </is>
      </c>
      <c r="G286" t="inlineStr">
        <is>
          <t>ORSA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10045-2026</t>
        </is>
      </c>
      <c r="B287" t="inlineStr">
        <is>
          <t>avverkningsanmälan</t>
        </is>
      </c>
      <c r="C287" t="inlineStr">
        <is>
          <t>Föryngringsavverkning</t>
        </is>
      </c>
      <c r="D287" s="1" t="n">
        <v>46073</v>
      </c>
      <c r="E287" s="1" t="n">
        <v>46223</v>
      </c>
      <c r="F287" t="inlineStr">
        <is>
          <t>DALARNAS LÄN</t>
        </is>
      </c>
      <c r="G287" t="inlineStr">
        <is>
          <t>ORSA</t>
        </is>
      </c>
      <c r="H287" t="inlineStr">
        <is>
          <t>Bergvik skog öst AB</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60162-2025</t>
        </is>
      </c>
      <c r="B288" t="inlineStr">
        <is>
          <t>avverkningsanmälan</t>
        </is>
      </c>
      <c r="C288" t="inlineStr">
        <is>
          <t>Föryngringsavverkning</t>
        </is>
      </c>
      <c r="D288" s="1" t="n">
        <v>45994</v>
      </c>
      <c r="E288" s="1" t="n">
        <v>46223</v>
      </c>
      <c r="F288" t="inlineStr">
        <is>
          <t>DALARNAS LÄN</t>
        </is>
      </c>
      <c r="G288" t="inlineStr">
        <is>
          <t>ORSA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60803-2022</t>
        </is>
      </c>
      <c r="B289" t="inlineStr">
        <is>
          <t>avverkningsanmälan</t>
        </is>
      </c>
      <c r="C289" t="inlineStr">
        <is>
          <t>Föryngringsavverkning</t>
        </is>
      </c>
      <c r="D289" s="1" t="n">
        <v>44914</v>
      </c>
      <c r="E289" s="1" t="n">
        <v>46223</v>
      </c>
      <c r="F289" t="inlineStr">
        <is>
          <t>DALARNAS LÄN</t>
        </is>
      </c>
      <c r="G289" t="inlineStr">
        <is>
          <t>ORSA</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9963-2026</t>
        </is>
      </c>
      <c r="B290" t="inlineStr">
        <is>
          <t>avverkningsanmälan</t>
        </is>
      </c>
      <c r="C290" t="inlineStr">
        <is>
          <t>Föryngringsavverkning</t>
        </is>
      </c>
      <c r="D290" s="1" t="n">
        <v>46073</v>
      </c>
      <c r="E290" s="1" t="n">
        <v>46223</v>
      </c>
      <c r="F290" t="inlineStr">
        <is>
          <t>DALARNAS LÄN</t>
        </is>
      </c>
      <c r="G290" t="inlineStr">
        <is>
          <t>ORSA</t>
        </is>
      </c>
      <c r="H290" t="inlineStr">
        <is>
          <t>Bergvik skog öst AB</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51915-2022</t>
        </is>
      </c>
      <c r="B291" t="inlineStr">
        <is>
          <t>avverkningsanmälan</t>
        </is>
      </c>
      <c r="C291" t="inlineStr">
        <is>
          <t>Föryngringsavverkning</t>
        </is>
      </c>
      <c r="D291" s="1" t="n">
        <v>44872</v>
      </c>
      <c r="E291" s="1" t="n">
        <v>46223</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13242-2026</t>
        </is>
      </c>
      <c r="B292" t="inlineStr">
        <is>
          <t>avverkningsanmälan</t>
        </is>
      </c>
      <c r="C292" t="inlineStr">
        <is>
          <t>Föryngringsavverkning</t>
        </is>
      </c>
      <c r="D292" s="1" t="n">
        <v>46093</v>
      </c>
      <c r="E292" s="1" t="n">
        <v>46223</v>
      </c>
      <c r="F292" t="inlineStr">
        <is>
          <t>DALARNAS LÄN</t>
        </is>
      </c>
      <c r="G292" t="inlineStr">
        <is>
          <t>ORSA</t>
        </is>
      </c>
      <c r="H292" t="inlineStr">
        <is>
          <t>Bergvik skog öst AB</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34125-2023</t>
        </is>
      </c>
      <c r="B293" t="inlineStr">
        <is>
          <t>avverkningsanmälan</t>
        </is>
      </c>
      <c r="C293" t="inlineStr">
        <is>
          <t>Föryngringsavverkning</t>
        </is>
      </c>
      <c r="D293" s="1" t="n">
        <v>45135</v>
      </c>
      <c r="E293" s="1" t="n">
        <v>46223</v>
      </c>
      <c r="F293" t="inlineStr">
        <is>
          <t>DALARNAS LÄN</t>
        </is>
      </c>
      <c r="G293" t="inlineStr">
        <is>
          <t>ORSA</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31170-2023</t>
        </is>
      </c>
      <c r="B294" t="inlineStr">
        <is>
          <t>avverkningsanmälan</t>
        </is>
      </c>
      <c r="C294" t="inlineStr">
        <is>
          <t>Föryngringsavverkning</t>
        </is>
      </c>
      <c r="D294" s="1" t="n">
        <v>45113</v>
      </c>
      <c r="E294" s="1" t="n">
        <v>46223</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31172-2023</t>
        </is>
      </c>
      <c r="B295" t="inlineStr">
        <is>
          <t>avverkningsanmälan</t>
        </is>
      </c>
      <c r="C295" t="inlineStr">
        <is>
          <t>Föryngringsavverkning</t>
        </is>
      </c>
      <c r="D295" s="1" t="n">
        <v>45113</v>
      </c>
      <c r="E295" s="1" t="n">
        <v>46223</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47134-2024</t>
        </is>
      </c>
      <c r="B296" t="inlineStr">
        <is>
          <t>avverkningsanmälan</t>
        </is>
      </c>
      <c r="C296" t="inlineStr">
        <is>
          <t>Föryngringsavverkning</t>
        </is>
      </c>
      <c r="D296" s="1" t="n">
        <v>45586</v>
      </c>
      <c r="E296" s="1" t="n">
        <v>46223</v>
      </c>
      <c r="F296" t="inlineStr">
        <is>
          <t>DALARNAS LÄN</t>
        </is>
      </c>
      <c r="G296" t="inlineStr">
        <is>
          <t>ORSA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51551-2025</t>
        </is>
      </c>
      <c r="B297" t="inlineStr">
        <is>
          <t>avverkningsanmälan</t>
        </is>
      </c>
      <c r="C297" t="inlineStr">
        <is>
          <t>Avverkning för att bevara och utveckla /försöksver</t>
        </is>
      </c>
      <c r="D297" s="1" t="n">
        <v>45950</v>
      </c>
      <c r="E297" s="1" t="n">
        <v>46223</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58793-2023</t>
        </is>
      </c>
      <c r="B298" t="inlineStr">
        <is>
          <t>avverkningsanmälan</t>
        </is>
      </c>
      <c r="C298" t="inlineStr">
        <is>
          <t>Föryngringsavverkning</t>
        </is>
      </c>
      <c r="D298" s="1" t="n">
        <v>45252</v>
      </c>
      <c r="E298" s="1" t="n">
        <v>46223</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29485-2022</t>
        </is>
      </c>
      <c r="B299" t="inlineStr">
        <is>
          <t>avverkningsanmälan</t>
        </is>
      </c>
      <c r="C299" t="inlineStr">
        <is>
          <t>Föryngringsavverkning</t>
        </is>
      </c>
      <c r="D299" s="1" t="n">
        <v>44753</v>
      </c>
      <c r="E299" s="1" t="n">
        <v>46223</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60837-2025</t>
        </is>
      </c>
      <c r="B300" t="inlineStr">
        <is>
          <t>avverkningsanmälan</t>
        </is>
      </c>
      <c r="C300" t="inlineStr">
        <is>
          <t>Föryngringsavverkning</t>
        </is>
      </c>
      <c r="D300" s="1" t="n">
        <v>45999</v>
      </c>
      <c r="E300" s="1" t="n">
        <v>46223</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55701-2023</t>
        </is>
      </c>
      <c r="B301" t="inlineStr">
        <is>
          <t>avverkningsanmälan</t>
        </is>
      </c>
      <c r="C301" t="inlineStr">
        <is>
          <t>Föryngringsavverkning</t>
        </is>
      </c>
      <c r="D301" s="1" t="n">
        <v>45239</v>
      </c>
      <c r="E301" s="1" t="n">
        <v>46223</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13236-2022</t>
        </is>
      </c>
      <c r="B302" t="inlineStr">
        <is>
          <t>avverkningsanmälan</t>
        </is>
      </c>
      <c r="C302" t="inlineStr">
        <is>
          <t>Föryngringsavverkning</t>
        </is>
      </c>
      <c r="D302" s="1" t="n">
        <v>44644</v>
      </c>
      <c r="E302" s="1" t="n">
        <v>46223</v>
      </c>
      <c r="F302" t="inlineStr">
        <is>
          <t>DALARNAS LÄN</t>
        </is>
      </c>
      <c r="G302" t="inlineStr">
        <is>
          <t>ORSA</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31171-2023</t>
        </is>
      </c>
      <c r="B303" t="inlineStr">
        <is>
          <t>avverkningsanmälan</t>
        </is>
      </c>
      <c r="C303" t="inlineStr">
        <is>
          <t>Föryngringsavverkning</t>
        </is>
      </c>
      <c r="D303" s="1" t="n">
        <v>45113</v>
      </c>
      <c r="E303" s="1" t="n">
        <v>46223</v>
      </c>
      <c r="F303" t="inlineStr">
        <is>
          <t>DALARNAS LÄN</t>
        </is>
      </c>
      <c r="G303" t="inlineStr">
        <is>
          <t>ORSA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2563-2025</t>
        </is>
      </c>
      <c r="B304" t="inlineStr">
        <is>
          <t>avverkningsanmälan</t>
        </is>
      </c>
      <c r="C304" t="inlineStr">
        <is>
          <t>Föryngringsavverkning</t>
        </is>
      </c>
      <c r="D304" s="1" t="n">
        <v>45674</v>
      </c>
      <c r="E304" s="1" t="n">
        <v>46223</v>
      </c>
      <c r="F304" t="inlineStr">
        <is>
          <t>DALARNAS LÄN</t>
        </is>
      </c>
      <c r="G304" t="inlineStr">
        <is>
          <t>ORSA</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11784-2024</t>
        </is>
      </c>
      <c r="B305" t="inlineStr">
        <is>
          <t>avverkningsanmälan</t>
        </is>
      </c>
      <c r="C305" t="inlineStr">
        <is>
          <t>Föryngringsavverkning</t>
        </is>
      </c>
      <c r="D305" s="1" t="n">
        <v>45374</v>
      </c>
      <c r="E305" s="1" t="n">
        <v>46223</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48819-2024</t>
        </is>
      </c>
      <c r="B306" t="inlineStr">
        <is>
          <t>avverkningsanmälan</t>
        </is>
      </c>
      <c r="C306" t="inlineStr">
        <is>
          <t>Föryngringsavverkning</t>
        </is>
      </c>
      <c r="D306" s="1" t="n">
        <v>45593</v>
      </c>
      <c r="E306" s="1" t="n">
        <v>46223</v>
      </c>
      <c r="F306" t="inlineStr">
        <is>
          <t>DALARNAS LÄN</t>
        </is>
      </c>
      <c r="G306" t="inlineStr">
        <is>
          <t>ORSA</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48525-2024</t>
        </is>
      </c>
      <c r="B307" t="inlineStr">
        <is>
          <t>avverkningsanmälan</t>
        </is>
      </c>
      <c r="C307" t="inlineStr">
        <is>
          <t>Föryngringsavverkning</t>
        </is>
      </c>
      <c r="D307" s="1" t="n">
        <v>45593</v>
      </c>
      <c r="E307" s="1" t="n">
        <v>46223</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22911-2023</t>
        </is>
      </c>
      <c r="B308" t="inlineStr">
        <is>
          <t>avverkningsanmälan</t>
        </is>
      </c>
      <c r="C308" t="inlineStr">
        <is>
          <t>Avverkning för annat ändamål</t>
        </is>
      </c>
      <c r="D308" s="1" t="n">
        <v>45072</v>
      </c>
      <c r="E308" s="1" t="n">
        <v>46223</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47579-2023</t>
        </is>
      </c>
      <c r="B309" t="inlineStr">
        <is>
          <t>avverkningsanmälan</t>
        </is>
      </c>
      <c r="C309" t="inlineStr">
        <is>
          <t>Föryngringsavverkning</t>
        </is>
      </c>
      <c r="D309" s="1" t="n">
        <v>45203</v>
      </c>
      <c r="E309" s="1" t="n">
        <v>46223</v>
      </c>
      <c r="F309" t="inlineStr">
        <is>
          <t>DALARNAS LÄN</t>
        </is>
      </c>
      <c r="G309" t="inlineStr">
        <is>
          <t>ORSA</t>
        </is>
      </c>
      <c r="I309" t="n">
        <v>2.9</v>
      </c>
      <c r="J309" t="n">
        <v>0</v>
      </c>
      <c r="K309" t="n">
        <v>0</v>
      </c>
      <c r="L309" t="n">
        <v>0</v>
      </c>
      <c r="M309" t="n">
        <v>0</v>
      </c>
      <c r="N309" t="n">
        <v>0</v>
      </c>
      <c r="O309" t="n">
        <v>0</v>
      </c>
      <c r="P309" t="n">
        <v>0</v>
      </c>
      <c r="Q309" t="n">
        <v>0</v>
      </c>
      <c r="R309" t="n">
        <v>0</v>
      </c>
      <c r="S309" t="n">
        <v>0</v>
      </c>
      <c r="T309" t="n">
        <v>0</v>
      </c>
      <c r="U309" s="2" t="inlineStr"/>
    </row>
    <row r="310" ht="15" customHeight="1">
      <c r="A310" t="inlineStr">
        <is>
          <t>A 48447-2023</t>
        </is>
      </c>
      <c r="B310" t="inlineStr">
        <is>
          <t>avverkningsanmälan</t>
        </is>
      </c>
      <c r="C310" t="inlineStr">
        <is>
          <t>Föryngringsavverkning</t>
        </is>
      </c>
      <c r="D310" s="1" t="n">
        <v>45206</v>
      </c>
      <c r="E310" s="1" t="n">
        <v>46223</v>
      </c>
      <c r="F310" t="inlineStr">
        <is>
          <t>DALARNAS LÄN</t>
        </is>
      </c>
      <c r="G310" t="inlineStr">
        <is>
          <t>ORSA</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35477-2023</t>
        </is>
      </c>
      <c r="B311" t="inlineStr">
        <is>
          <t>avverkningsanmälan</t>
        </is>
      </c>
      <c r="C311" t="inlineStr">
        <is>
          <t>Föryngringsavverkning</t>
        </is>
      </c>
      <c r="D311" s="1" t="n">
        <v>45146</v>
      </c>
      <c r="E311" s="1" t="n">
        <v>46223</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s="2" t="inlineStr"/>
    </row>
    <row r="312" ht="15" customHeight="1">
      <c r="A312" t="inlineStr">
        <is>
          <t>A 60844-2025</t>
        </is>
      </c>
      <c r="B312" t="inlineStr">
        <is>
          <t>avverkningsanmälan</t>
        </is>
      </c>
      <c r="C312" t="inlineStr">
        <is>
          <t>Föryngringsavverkning</t>
        </is>
      </c>
      <c r="D312" s="1" t="n">
        <v>45999</v>
      </c>
      <c r="E312" s="1" t="n">
        <v>46223</v>
      </c>
      <c r="F312" t="inlineStr">
        <is>
          <t>DALARNAS LÄN</t>
        </is>
      </c>
      <c r="G312" t="inlineStr">
        <is>
          <t>ORSA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60945-2025</t>
        </is>
      </c>
      <c r="B313" t="inlineStr">
        <is>
          <t>avverkningsanmälan</t>
        </is>
      </c>
      <c r="C313" t="inlineStr">
        <is>
          <t>Föryngringsavverkning</t>
        </is>
      </c>
      <c r="D313" s="1" t="n">
        <v>45999</v>
      </c>
      <c r="E313" s="1" t="n">
        <v>46223</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31634-2025</t>
        </is>
      </c>
      <c r="B314" t="inlineStr">
        <is>
          <t>avverkningsanmälan</t>
        </is>
      </c>
      <c r="C314" t="inlineStr">
        <is>
          <t>Föryngringsavverkning</t>
        </is>
      </c>
      <c r="D314" s="1" t="n">
        <v>45834</v>
      </c>
      <c r="E314" s="1" t="n">
        <v>46223</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23350-2024</t>
        </is>
      </c>
      <c r="B315" t="inlineStr">
        <is>
          <t>avverkningsanmälan</t>
        </is>
      </c>
      <c r="C315" t="inlineStr">
        <is>
          <t>Föryngringsavverkning</t>
        </is>
      </c>
      <c r="D315" s="1" t="n">
        <v>45453</v>
      </c>
      <c r="E315" s="1" t="n">
        <v>46223</v>
      </c>
      <c r="F315" t="inlineStr">
        <is>
          <t>DALARNAS LÄN</t>
        </is>
      </c>
      <c r="G315" t="inlineStr">
        <is>
          <t>ORSA</t>
        </is>
      </c>
      <c r="I315" t="n">
        <v>18.7</v>
      </c>
      <c r="J315" t="n">
        <v>0</v>
      </c>
      <c r="K315" t="n">
        <v>0</v>
      </c>
      <c r="L315" t="n">
        <v>0</v>
      </c>
      <c r="M315" t="n">
        <v>0</v>
      </c>
      <c r="N315" t="n">
        <v>0</v>
      </c>
      <c r="O315" t="n">
        <v>0</v>
      </c>
      <c r="P315" t="n">
        <v>0</v>
      </c>
      <c r="Q315" t="n">
        <v>0</v>
      </c>
      <c r="R315" t="n">
        <v>0</v>
      </c>
      <c r="S315" t="n">
        <v>0</v>
      </c>
      <c r="T315" t="n">
        <v>0</v>
      </c>
      <c r="U315" s="2" t="inlineStr"/>
    </row>
    <row r="316" ht="15" customHeight="1">
      <c r="A316" t="inlineStr">
        <is>
          <t>A 55843-2023</t>
        </is>
      </c>
      <c r="B316" t="inlineStr">
        <is>
          <t>avverkningsanmälan</t>
        </is>
      </c>
      <c r="C316" t="inlineStr">
        <is>
          <t>Föryngringsavverkning</t>
        </is>
      </c>
      <c r="D316" s="1" t="n">
        <v>45239</v>
      </c>
      <c r="E316" s="1" t="n">
        <v>46223</v>
      </c>
      <c r="F316" t="inlineStr">
        <is>
          <t>DALARNAS LÄN</t>
        </is>
      </c>
      <c r="G316" t="inlineStr">
        <is>
          <t>ORSA</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48518-2024</t>
        </is>
      </c>
      <c r="B317" t="inlineStr">
        <is>
          <t>avverkningsanmälan</t>
        </is>
      </c>
      <c r="C317" t="inlineStr">
        <is>
          <t>Föryngringsavverkning</t>
        </is>
      </c>
      <c r="D317" s="1" t="n">
        <v>45593</v>
      </c>
      <c r="E317" s="1" t="n">
        <v>46223</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29025-2023</t>
        </is>
      </c>
      <c r="B318" t="inlineStr">
        <is>
          <t>avverkningsanmälan</t>
        </is>
      </c>
      <c r="C318" t="inlineStr">
        <is>
          <t>Föryngringsavverkning</t>
        </is>
      </c>
      <c r="D318" s="1" t="n">
        <v>45104</v>
      </c>
      <c r="E318" s="1" t="n">
        <v>46223</v>
      </c>
      <c r="F318" t="inlineStr">
        <is>
          <t>DALARNAS LÄN</t>
        </is>
      </c>
      <c r="G318" t="inlineStr">
        <is>
          <t>ORSA</t>
        </is>
      </c>
      <c r="I318" t="n">
        <v>6.6</v>
      </c>
      <c r="J318" t="n">
        <v>0</v>
      </c>
      <c r="K318" t="n">
        <v>0</v>
      </c>
      <c r="L318" t="n">
        <v>0</v>
      </c>
      <c r="M318" t="n">
        <v>0</v>
      </c>
      <c r="N318" t="n">
        <v>0</v>
      </c>
      <c r="O318" t="n">
        <v>0</v>
      </c>
      <c r="P318" t="n">
        <v>0</v>
      </c>
      <c r="Q318" t="n">
        <v>0</v>
      </c>
      <c r="R318" t="n">
        <v>0</v>
      </c>
      <c r="S318" t="n">
        <v>0</v>
      </c>
      <c r="T318" t="n">
        <v>0</v>
      </c>
      <c r="U318" s="2" t="inlineStr"/>
    </row>
    <row r="319" ht="15" customHeight="1">
      <c r="A319" t="inlineStr">
        <is>
          <t>A 17500-2025</t>
        </is>
      </c>
      <c r="B319" t="inlineStr">
        <is>
          <t>avverkningsanmälan</t>
        </is>
      </c>
      <c r="C319" t="inlineStr">
        <is>
          <t>Föryngringsavverkning</t>
        </is>
      </c>
      <c r="D319" s="1" t="n">
        <v>45757</v>
      </c>
      <c r="E319" s="1" t="n">
        <v>46223</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28451-2023</t>
        </is>
      </c>
      <c r="B320" t="inlineStr">
        <is>
          <t>avverkningsanmälan</t>
        </is>
      </c>
      <c r="C320" t="inlineStr">
        <is>
          <t>Föryngringsavverkning</t>
        </is>
      </c>
      <c r="D320" s="1" t="n">
        <v>45103</v>
      </c>
      <c r="E320" s="1" t="n">
        <v>46223</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8429-2024</t>
        </is>
      </c>
      <c r="B321" t="inlineStr">
        <is>
          <t>avverkningsanmälan</t>
        </is>
      </c>
      <c r="C321" t="inlineStr">
        <is>
          <t>Avverkning för annat ändamål</t>
        </is>
      </c>
      <c r="D321" s="1" t="n">
        <v>45353</v>
      </c>
      <c r="E321" s="1" t="n">
        <v>46223</v>
      </c>
      <c r="F321" t="inlineStr">
        <is>
          <t>DALARNAS LÄN</t>
        </is>
      </c>
      <c r="G321" t="inlineStr">
        <is>
          <t>ORSA</t>
        </is>
      </c>
      <c r="I321" t="n">
        <v>0.3</v>
      </c>
      <c r="J321" t="n">
        <v>0</v>
      </c>
      <c r="K321" t="n">
        <v>0</v>
      </c>
      <c r="L321" t="n">
        <v>0</v>
      </c>
      <c r="M321" t="n">
        <v>0</v>
      </c>
      <c r="N321" t="n">
        <v>0</v>
      </c>
      <c r="O321" t="n">
        <v>0</v>
      </c>
      <c r="P321" t="n">
        <v>0</v>
      </c>
      <c r="Q321" t="n">
        <v>0</v>
      </c>
      <c r="R321" t="n">
        <v>0</v>
      </c>
      <c r="S321" t="n">
        <v>0</v>
      </c>
      <c r="T321" t="n">
        <v>0</v>
      </c>
      <c r="U321" s="2" t="inlineStr"/>
    </row>
    <row r="322" ht="15" customHeight="1">
      <c r="A322" t="inlineStr">
        <is>
          <t>A 13995-2026</t>
        </is>
      </c>
      <c r="B322" t="inlineStr">
        <is>
          <t>avverkningsanmälan</t>
        </is>
      </c>
      <c r="C322" t="inlineStr">
        <is>
          <t>Föryngringsavverkning</t>
        </is>
      </c>
      <c r="D322" s="1" t="n">
        <v>46098</v>
      </c>
      <c r="E322" s="1" t="n">
        <v>46223</v>
      </c>
      <c r="F322" t="inlineStr">
        <is>
          <t>DALARNAS LÄN</t>
        </is>
      </c>
      <c r="G322" t="inlineStr">
        <is>
          <t>ORSA</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14509-2026</t>
        </is>
      </c>
      <c r="B323" t="inlineStr">
        <is>
          <t>avverkningsanmälan</t>
        </is>
      </c>
      <c r="C323" t="inlineStr">
        <is>
          <t>Föryngringsavverkning</t>
        </is>
      </c>
      <c r="D323" s="1" t="n">
        <v>46100</v>
      </c>
      <c r="E323" s="1" t="n">
        <v>46223</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28155-2023</t>
        </is>
      </c>
      <c r="B324" t="inlineStr">
        <is>
          <t>avverkningsanmälan</t>
        </is>
      </c>
      <c r="C324" t="inlineStr">
        <is>
          <t>Föryngringsavverkning</t>
        </is>
      </c>
      <c r="D324" s="1" t="n">
        <v>45099</v>
      </c>
      <c r="E324" s="1" t="n">
        <v>46223</v>
      </c>
      <c r="F324" t="inlineStr">
        <is>
          <t>DALARNAS LÄN</t>
        </is>
      </c>
      <c r="G324" t="inlineStr">
        <is>
          <t>ORSA</t>
        </is>
      </c>
      <c r="H324" t="inlineStr">
        <is>
          <t>Bergvik skog öst AB</t>
        </is>
      </c>
      <c r="I324" t="n">
        <v>7.8</v>
      </c>
      <c r="J324" t="n">
        <v>0</v>
      </c>
      <c r="K324" t="n">
        <v>0</v>
      </c>
      <c r="L324" t="n">
        <v>0</v>
      </c>
      <c r="M324" t="n">
        <v>0</v>
      </c>
      <c r="N324" t="n">
        <v>0</v>
      </c>
      <c r="O324" t="n">
        <v>0</v>
      </c>
      <c r="P324" t="n">
        <v>0</v>
      </c>
      <c r="Q324" t="n">
        <v>0</v>
      </c>
      <c r="R324" t="n">
        <v>0</v>
      </c>
      <c r="S324" t="n">
        <v>0</v>
      </c>
      <c r="T324" t="n">
        <v>0</v>
      </c>
      <c r="U324" s="2" t="inlineStr"/>
    </row>
    <row r="325" ht="15" customHeight="1">
      <c r="A325" t="inlineStr">
        <is>
          <t>A 51567-2023</t>
        </is>
      </c>
      <c r="B325" t="inlineStr">
        <is>
          <t>avverkningsanmälan</t>
        </is>
      </c>
      <c r="C325" t="inlineStr">
        <is>
          <t>Föryngringsavverkning</t>
        </is>
      </c>
      <c r="D325" s="1" t="n">
        <v>45222</v>
      </c>
      <c r="E325" s="1" t="n">
        <v>46223</v>
      </c>
      <c r="F325" t="inlineStr">
        <is>
          <t>DALARNAS LÄN</t>
        </is>
      </c>
      <c r="G325" t="inlineStr">
        <is>
          <t>ORSA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62830-2025</t>
        </is>
      </c>
      <c r="B326" t="inlineStr">
        <is>
          <t>avverkningsanmälan</t>
        </is>
      </c>
      <c r="C326" t="inlineStr">
        <is>
          <t>Föryngringsavverkning</t>
        </is>
      </c>
      <c r="D326" s="1" t="n">
        <v>46008</v>
      </c>
      <c r="E326" s="1" t="n">
        <v>46223</v>
      </c>
      <c r="F326" t="inlineStr">
        <is>
          <t>DALARNAS LÄN</t>
        </is>
      </c>
      <c r="G326" t="inlineStr">
        <is>
          <t>ORSA</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62832-2025</t>
        </is>
      </c>
      <c r="B327" t="inlineStr">
        <is>
          <t>avverkningsanmälan</t>
        </is>
      </c>
      <c r="C327" t="inlineStr">
        <is>
          <t>Föryngringsavverkning</t>
        </is>
      </c>
      <c r="D327" s="1" t="n">
        <v>46008</v>
      </c>
      <c r="E327" s="1" t="n">
        <v>46223</v>
      </c>
      <c r="F327" t="inlineStr">
        <is>
          <t>DALARNAS LÄN</t>
        </is>
      </c>
      <c r="G327" t="inlineStr">
        <is>
          <t>ORSA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62810-2025</t>
        </is>
      </c>
      <c r="B328" t="inlineStr">
        <is>
          <t>avverkningsanmälan</t>
        </is>
      </c>
      <c r="C328" t="inlineStr">
        <is>
          <t>Föryngringsavverkning</t>
        </is>
      </c>
      <c r="D328" s="1" t="n">
        <v>46008</v>
      </c>
      <c r="E328" s="1" t="n">
        <v>46223</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62858-2025</t>
        </is>
      </c>
      <c r="B329" t="inlineStr">
        <is>
          <t>avverkningsanmälan</t>
        </is>
      </c>
      <c r="C329" t="inlineStr">
        <is>
          <t>Föryngringsavverkning</t>
        </is>
      </c>
      <c r="D329" s="1" t="n">
        <v>46008</v>
      </c>
      <c r="E329" s="1" t="n">
        <v>46223</v>
      </c>
      <c r="F329" t="inlineStr">
        <is>
          <t>DALARNAS LÄN</t>
        </is>
      </c>
      <c r="G329" t="inlineStr">
        <is>
          <t>ORSA</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6047-2023</t>
        </is>
      </c>
      <c r="B330" t="inlineStr">
        <is>
          <t>avverkningsanmälan</t>
        </is>
      </c>
      <c r="C330" t="inlineStr">
        <is>
          <t>Avverkning för annat ändamål</t>
        </is>
      </c>
      <c r="D330" s="1" t="n">
        <v>44964</v>
      </c>
      <c r="E330" s="1" t="n">
        <v>46223</v>
      </c>
      <c r="F330" t="inlineStr">
        <is>
          <t>DALARNAS LÄN</t>
        </is>
      </c>
      <c r="G330" t="inlineStr">
        <is>
          <t>ORSA</t>
        </is>
      </c>
      <c r="H330" t="inlineStr">
        <is>
          <t>Bergvik skog öst AB</t>
        </is>
      </c>
      <c r="I330" t="n">
        <v>0.2</v>
      </c>
      <c r="J330" t="n">
        <v>0</v>
      </c>
      <c r="K330" t="n">
        <v>0</v>
      </c>
      <c r="L330" t="n">
        <v>0</v>
      </c>
      <c r="M330" t="n">
        <v>0</v>
      </c>
      <c r="N330" t="n">
        <v>0</v>
      </c>
      <c r="O330" t="n">
        <v>0</v>
      </c>
      <c r="P330" t="n">
        <v>0</v>
      </c>
      <c r="Q330" t="n">
        <v>0</v>
      </c>
      <c r="R330" t="n">
        <v>0</v>
      </c>
      <c r="S330" t="n">
        <v>0</v>
      </c>
      <c r="T330" t="n">
        <v>0</v>
      </c>
      <c r="U330" s="2" t="inlineStr"/>
    </row>
    <row r="331" ht="15" customHeight="1">
      <c r="A331" t="inlineStr">
        <is>
          <t>A 33384-2022</t>
        </is>
      </c>
      <c r="B331" t="inlineStr">
        <is>
          <t>avverkningsanmälan</t>
        </is>
      </c>
      <c r="C331" t="inlineStr">
        <is>
          <t>Föryngringsavverkning</t>
        </is>
      </c>
      <c r="D331" s="1" t="n">
        <v>44788</v>
      </c>
      <c r="E331" s="1" t="n">
        <v>46223</v>
      </c>
      <c r="F331" t="inlineStr">
        <is>
          <t>DALARNAS LÄN</t>
        </is>
      </c>
      <c r="G331" t="inlineStr">
        <is>
          <t>ORSA</t>
        </is>
      </c>
      <c r="H331" t="inlineStr">
        <is>
          <t>Bergvik skog öst AB</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62971-2025</t>
        </is>
      </c>
      <c r="B332" t="inlineStr">
        <is>
          <t>avverkningsanmälan</t>
        </is>
      </c>
      <c r="C332" t="inlineStr">
        <is>
          <t>Föryngringsavverkning</t>
        </is>
      </c>
      <c r="D332" s="1" t="n">
        <v>46009</v>
      </c>
      <c r="E332" s="1" t="n">
        <v>46223</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63231-2025</t>
        </is>
      </c>
      <c r="B333" t="inlineStr">
        <is>
          <t>avverkningsanmälan</t>
        </is>
      </c>
      <c r="C333" t="inlineStr">
        <is>
          <t>Föryngringsavverkning</t>
        </is>
      </c>
      <c r="D333" s="1" t="n">
        <v>46010</v>
      </c>
      <c r="E333" s="1" t="n">
        <v>46223</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14680-2023</t>
        </is>
      </c>
      <c r="B334" t="inlineStr">
        <is>
          <t>avverkningsanmälan</t>
        </is>
      </c>
      <c r="C334" t="inlineStr">
        <is>
          <t>Föryngringsavverkning</t>
        </is>
      </c>
      <c r="D334" s="1" t="n">
        <v>45014</v>
      </c>
      <c r="E334" s="1" t="n">
        <v>46223</v>
      </c>
      <c r="F334" t="inlineStr">
        <is>
          <t>DALARNAS LÄN</t>
        </is>
      </c>
      <c r="G334" t="inlineStr">
        <is>
          <t>ORSA</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63118-2025</t>
        </is>
      </c>
      <c r="B335" t="inlineStr">
        <is>
          <t>avverkningsanmälan</t>
        </is>
      </c>
      <c r="C335" t="inlineStr">
        <is>
          <t>Föryngringsavverkning</t>
        </is>
      </c>
      <c r="D335" s="1" t="n">
        <v>46009</v>
      </c>
      <c r="E335" s="1" t="n">
        <v>46223</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63467-2025</t>
        </is>
      </c>
      <c r="B336" t="inlineStr">
        <is>
          <t>avverkningsanmälan</t>
        </is>
      </c>
      <c r="C336" t="inlineStr">
        <is>
          <t>Föryngringsavverkning</t>
        </is>
      </c>
      <c r="D336" s="1" t="n">
        <v>46013</v>
      </c>
      <c r="E336" s="1" t="n">
        <v>46223</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10522-2026</t>
        </is>
      </c>
      <c r="B337" t="inlineStr">
        <is>
          <t>avverkningsanmälan</t>
        </is>
      </c>
      <c r="C337" t="inlineStr">
        <is>
          <t>Föryngringsavverkning</t>
        </is>
      </c>
      <c r="D337" s="1" t="n">
        <v>46077</v>
      </c>
      <c r="E337" s="1" t="n">
        <v>46223</v>
      </c>
      <c r="F337" t="inlineStr">
        <is>
          <t>DALARNAS LÄN</t>
        </is>
      </c>
      <c r="G337" t="inlineStr">
        <is>
          <t>ORSA</t>
        </is>
      </c>
      <c r="H337" t="inlineStr">
        <is>
          <t>Bergvik skog öst AB</t>
        </is>
      </c>
      <c r="I337" t="n">
        <v>13.7</v>
      </c>
      <c r="J337" t="n">
        <v>0</v>
      </c>
      <c r="K337" t="n">
        <v>0</v>
      </c>
      <c r="L337" t="n">
        <v>0</v>
      </c>
      <c r="M337" t="n">
        <v>0</v>
      </c>
      <c r="N337" t="n">
        <v>0</v>
      </c>
      <c r="O337" t="n">
        <v>0</v>
      </c>
      <c r="P337" t="n">
        <v>0</v>
      </c>
      <c r="Q337" t="n">
        <v>0</v>
      </c>
      <c r="R337" t="n">
        <v>0</v>
      </c>
      <c r="S337" t="n">
        <v>0</v>
      </c>
      <c r="T337" t="n">
        <v>0</v>
      </c>
      <c r="U337" s="2" t="inlineStr"/>
    </row>
    <row r="338" ht="15" customHeight="1">
      <c r="A338" t="inlineStr">
        <is>
          <t>A 144-2026</t>
        </is>
      </c>
      <c r="B338" t="inlineStr">
        <is>
          <t>avverkningsanmälan</t>
        </is>
      </c>
      <c r="C338" t="inlineStr">
        <is>
          <t>Föryngringsavverkning</t>
        </is>
      </c>
      <c r="D338" s="1" t="n">
        <v>46024</v>
      </c>
      <c r="E338" s="1" t="n">
        <v>46223</v>
      </c>
      <c r="F338" t="inlineStr">
        <is>
          <t>DALARNAS LÄN</t>
        </is>
      </c>
      <c r="G338" t="inlineStr">
        <is>
          <t>ORSA</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51-2026</t>
        </is>
      </c>
      <c r="B339" t="inlineStr">
        <is>
          <t>avverkningsanmälan</t>
        </is>
      </c>
      <c r="C339" t="inlineStr">
        <is>
          <t>Föryngringsavverkning</t>
        </is>
      </c>
      <c r="D339" s="1" t="n">
        <v>46024</v>
      </c>
      <c r="E339" s="1" t="n">
        <v>46223</v>
      </c>
      <c r="F339" t="inlineStr">
        <is>
          <t>DALARNAS LÄN</t>
        </is>
      </c>
      <c r="G339" t="inlineStr">
        <is>
          <t>ORSA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101-2026</t>
        </is>
      </c>
      <c r="B340" t="inlineStr">
        <is>
          <t>avverkningsanmälan</t>
        </is>
      </c>
      <c r="C340" t="inlineStr">
        <is>
          <t>Föryngringsavverkning</t>
        </is>
      </c>
      <c r="D340" s="1" t="n">
        <v>46024</v>
      </c>
      <c r="E340" s="1" t="n">
        <v>46223</v>
      </c>
      <c r="F340" t="inlineStr">
        <is>
          <t>DALARNAS LÄN</t>
        </is>
      </c>
      <c r="G340" t="inlineStr">
        <is>
          <t>ORSA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57533-2022</t>
        </is>
      </c>
      <c r="B341" t="inlineStr">
        <is>
          <t>avverkningsanmälan</t>
        </is>
      </c>
      <c r="C341" t="inlineStr">
        <is>
          <t>Föryngringsavverkning</t>
        </is>
      </c>
      <c r="D341" s="1" t="n">
        <v>44896</v>
      </c>
      <c r="E341" s="1" t="n">
        <v>46223</v>
      </c>
      <c r="F341" t="inlineStr">
        <is>
          <t>DALARNAS LÄN</t>
        </is>
      </c>
      <c r="G341" t="inlineStr">
        <is>
          <t>ORSA</t>
        </is>
      </c>
      <c r="H341" t="inlineStr">
        <is>
          <t>Bergvik skog öst AB</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11510-2026</t>
        </is>
      </c>
      <c r="B342" t="inlineStr">
        <is>
          <t>avverkningsanmälan</t>
        </is>
      </c>
      <c r="C342" t="inlineStr">
        <is>
          <t>Föryngringsavverkning</t>
        </is>
      </c>
      <c r="D342" s="1" t="n">
        <v>46083</v>
      </c>
      <c r="E342" s="1" t="n">
        <v>46223</v>
      </c>
      <c r="F342" t="inlineStr">
        <is>
          <t>DALARNAS LÄN</t>
        </is>
      </c>
      <c r="G342" t="inlineStr">
        <is>
          <t>ORSA</t>
        </is>
      </c>
      <c r="H342" t="inlineStr">
        <is>
          <t>Bergvik skog öst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8430-2024</t>
        </is>
      </c>
      <c r="B343" t="inlineStr">
        <is>
          <t>avverkningsanmälan</t>
        </is>
      </c>
      <c r="C343" t="inlineStr">
        <is>
          <t>Föryngringsavverkning</t>
        </is>
      </c>
      <c r="D343" s="1" t="n">
        <v>45353</v>
      </c>
      <c r="E343" s="1" t="n">
        <v>46223</v>
      </c>
      <c r="F343" t="inlineStr">
        <is>
          <t>DALARNAS LÄN</t>
        </is>
      </c>
      <c r="G343" t="inlineStr">
        <is>
          <t>ORSA</t>
        </is>
      </c>
      <c r="I343" t="n">
        <v>14.4</v>
      </c>
      <c r="J343" t="n">
        <v>0</v>
      </c>
      <c r="K343" t="n">
        <v>0</v>
      </c>
      <c r="L343" t="n">
        <v>0</v>
      </c>
      <c r="M343" t="n">
        <v>0</v>
      </c>
      <c r="N343" t="n">
        <v>0</v>
      </c>
      <c r="O343" t="n">
        <v>0</v>
      </c>
      <c r="P343" t="n">
        <v>0</v>
      </c>
      <c r="Q343" t="n">
        <v>0</v>
      </c>
      <c r="R343" t="n">
        <v>0</v>
      </c>
      <c r="S343" t="n">
        <v>0</v>
      </c>
      <c r="T343" t="n">
        <v>0</v>
      </c>
      <c r="U343" s="2" t="inlineStr"/>
    </row>
    <row r="344" ht="15" customHeight="1">
      <c r="A344" t="inlineStr">
        <is>
          <t>A 41832-2024</t>
        </is>
      </c>
      <c r="B344" t="inlineStr">
        <is>
          <t>avverkningsanmälan</t>
        </is>
      </c>
      <c r="C344" t="inlineStr">
        <is>
          <t>Föryngringsavverkning</t>
        </is>
      </c>
      <c r="D344" s="1" t="n">
        <v>45561</v>
      </c>
      <c r="E344" s="1" t="n">
        <v>46223</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36427-2023</t>
        </is>
      </c>
      <c r="B345" t="inlineStr">
        <is>
          <t>avverkningsanmälan</t>
        </is>
      </c>
      <c r="C345" t="inlineStr">
        <is>
          <t>Föryngringsavverkning</t>
        </is>
      </c>
      <c r="D345" s="1" t="n">
        <v>45152</v>
      </c>
      <c r="E345" s="1" t="n">
        <v>46223</v>
      </c>
      <c r="F345" t="inlineStr">
        <is>
          <t>DALARNAS LÄN</t>
        </is>
      </c>
      <c r="G345" t="inlineStr">
        <is>
          <t>ORSA</t>
        </is>
      </c>
      <c r="H345" t="inlineStr">
        <is>
          <t>Bergvik skog öst AB</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2090-2026</t>
        </is>
      </c>
      <c r="B346" t="inlineStr">
        <is>
          <t>avverkningsanmälan</t>
        </is>
      </c>
      <c r="C346" t="inlineStr">
        <is>
          <t>Föryngringsavverkning</t>
        </is>
      </c>
      <c r="D346" s="1" t="n">
        <v>46036</v>
      </c>
      <c r="E346" s="1" t="n">
        <v>46223</v>
      </c>
      <c r="F346" t="inlineStr">
        <is>
          <t>DALARNAS LÄN</t>
        </is>
      </c>
      <c r="G346" t="inlineStr">
        <is>
          <t>ORSA</t>
        </is>
      </c>
      <c r="I346" t="n">
        <v>5.7</v>
      </c>
      <c r="J346" t="n">
        <v>0</v>
      </c>
      <c r="K346" t="n">
        <v>0</v>
      </c>
      <c r="L346" t="n">
        <v>0</v>
      </c>
      <c r="M346" t="n">
        <v>0</v>
      </c>
      <c r="N346" t="n">
        <v>0</v>
      </c>
      <c r="O346" t="n">
        <v>0</v>
      </c>
      <c r="P346" t="n">
        <v>0</v>
      </c>
      <c r="Q346" t="n">
        <v>0</v>
      </c>
      <c r="R346" t="n">
        <v>0</v>
      </c>
      <c r="S346" t="n">
        <v>0</v>
      </c>
      <c r="T346" t="n">
        <v>0</v>
      </c>
      <c r="U346" s="2" t="inlineStr"/>
    </row>
    <row r="347" ht="15" customHeight="1">
      <c r="A347" t="inlineStr">
        <is>
          <t>A 5100-2026</t>
        </is>
      </c>
      <c r="B347" t="inlineStr">
        <is>
          <t>avverkningsanmälan</t>
        </is>
      </c>
      <c r="C347" t="inlineStr">
        <is>
          <t>Föryngringsavverkning</t>
        </is>
      </c>
      <c r="D347" s="1" t="n">
        <v>46049</v>
      </c>
      <c r="E347" s="1" t="n">
        <v>46223</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33945-2022</t>
        </is>
      </c>
      <c r="B348" t="inlineStr">
        <is>
          <t>avverkningsanmälan</t>
        </is>
      </c>
      <c r="C348" t="inlineStr">
        <is>
          <t>Föryngringsavverkning</t>
        </is>
      </c>
      <c r="D348" s="1" t="n">
        <v>44790</v>
      </c>
      <c r="E348" s="1" t="n">
        <v>46223</v>
      </c>
      <c r="F348" t="inlineStr">
        <is>
          <t>DALARNAS LÄN</t>
        </is>
      </c>
      <c r="G348" t="inlineStr">
        <is>
          <t>ORSA</t>
        </is>
      </c>
      <c r="H348" t="inlineStr">
        <is>
          <t>Bergvik skog öst AB</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15414-2026</t>
        </is>
      </c>
      <c r="B349" t="inlineStr">
        <is>
          <t>avverkningsanmälan</t>
        </is>
      </c>
      <c r="C349" t="inlineStr">
        <is>
          <t>Föryngringsavverkning</t>
        </is>
      </c>
      <c r="D349" s="1" t="n">
        <v>46106</v>
      </c>
      <c r="E349" s="1" t="n">
        <v>46223</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16585-2023</t>
        </is>
      </c>
      <c r="B350" t="inlineStr">
        <is>
          <t>avverkningsanmälan</t>
        </is>
      </c>
      <c r="C350" t="inlineStr">
        <is>
          <t>Föryngringsavverkning</t>
        </is>
      </c>
      <c r="D350" s="1" t="n">
        <v>45030</v>
      </c>
      <c r="E350" s="1" t="n">
        <v>46223</v>
      </c>
      <c r="F350" t="inlineStr">
        <is>
          <t>DALARNAS LÄN</t>
        </is>
      </c>
      <c r="G350" t="inlineStr">
        <is>
          <t>ORSA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10151-2026</t>
        </is>
      </c>
      <c r="B351" t="inlineStr">
        <is>
          <t>avverkningsanmälan</t>
        </is>
      </c>
      <c r="C351" t="inlineStr">
        <is>
          <t>Föryngringsavverkning</t>
        </is>
      </c>
      <c r="D351" s="1" t="n">
        <v>46076</v>
      </c>
      <c r="E351" s="1" t="n">
        <v>46223</v>
      </c>
      <c r="F351" t="inlineStr">
        <is>
          <t>DALARNAS LÄN</t>
        </is>
      </c>
      <c r="G351" t="inlineStr">
        <is>
          <t>ORSA</t>
        </is>
      </c>
      <c r="H351" t="inlineStr">
        <is>
          <t>Bergvik skog öst AB</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9962-2026</t>
        </is>
      </c>
      <c r="B352" t="inlineStr">
        <is>
          <t>avverkningsanmälan</t>
        </is>
      </c>
      <c r="C352" t="inlineStr">
        <is>
          <t>Föryngringsavverkning</t>
        </is>
      </c>
      <c r="D352" s="1" t="n">
        <v>46073</v>
      </c>
      <c r="E352" s="1" t="n">
        <v>46223</v>
      </c>
      <c r="F352" t="inlineStr">
        <is>
          <t>DALARNAS LÄN</t>
        </is>
      </c>
      <c r="G352" t="inlineStr">
        <is>
          <t>ORSA</t>
        </is>
      </c>
      <c r="H352" t="inlineStr">
        <is>
          <t>Bergvik skog öst AB</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16285-2026</t>
        </is>
      </c>
      <c r="B353" t="inlineStr">
        <is>
          <t>avverkningsanmälan</t>
        </is>
      </c>
      <c r="C353" t="inlineStr">
        <is>
          <t>Föryngringsavverkning</t>
        </is>
      </c>
      <c r="D353" s="1" t="n">
        <v>46111</v>
      </c>
      <c r="E353" s="1" t="n">
        <v>46223</v>
      </c>
      <c r="F353" t="inlineStr">
        <is>
          <t>DALARNAS LÄN</t>
        </is>
      </c>
      <c r="G353" t="inlineStr">
        <is>
          <t>ORSA</t>
        </is>
      </c>
      <c r="H353" t="inlineStr">
        <is>
          <t>Bergvik skog öst AB</t>
        </is>
      </c>
      <c r="I353" t="n">
        <v>6.2</v>
      </c>
      <c r="J353" t="n">
        <v>0</v>
      </c>
      <c r="K353" t="n">
        <v>0</v>
      </c>
      <c r="L353" t="n">
        <v>0</v>
      </c>
      <c r="M353" t="n">
        <v>0</v>
      </c>
      <c r="N353" t="n">
        <v>0</v>
      </c>
      <c r="O353" t="n">
        <v>0</v>
      </c>
      <c r="P353" t="n">
        <v>0</v>
      </c>
      <c r="Q353" t="n">
        <v>0</v>
      </c>
      <c r="R353" t="n">
        <v>0</v>
      </c>
      <c r="S353" t="n">
        <v>0</v>
      </c>
      <c r="T353" t="n">
        <v>0</v>
      </c>
      <c r="U353" s="2" t="inlineStr"/>
    </row>
    <row r="354" ht="15" customHeight="1">
      <c r="A354" t="inlineStr">
        <is>
          <t>A 16302-2026</t>
        </is>
      </c>
      <c r="B354" t="inlineStr">
        <is>
          <t>avverkningsanmälan</t>
        </is>
      </c>
      <c r="C354" t="inlineStr">
        <is>
          <t>Föryngringsavverkning</t>
        </is>
      </c>
      <c r="D354" s="1" t="n">
        <v>46111</v>
      </c>
      <c r="E354" s="1" t="n">
        <v>46223</v>
      </c>
      <c r="F354" t="inlineStr">
        <is>
          <t>DALARNAS LÄN</t>
        </is>
      </c>
      <c r="G354" t="inlineStr">
        <is>
          <t>ORSA</t>
        </is>
      </c>
      <c r="H354" t="inlineStr">
        <is>
          <t>Bergvik skog öst AB</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12440-2026</t>
        </is>
      </c>
      <c r="B355" t="inlineStr">
        <is>
          <t>avverkningsanmälan</t>
        </is>
      </c>
      <c r="C355" t="inlineStr">
        <is>
          <t>Föryngringsavverkning</t>
        </is>
      </c>
      <c r="D355" s="1" t="n">
        <v>46090</v>
      </c>
      <c r="E355" s="1" t="n">
        <v>46223</v>
      </c>
      <c r="F355" t="inlineStr">
        <is>
          <t>DALARNAS LÄN</t>
        </is>
      </c>
      <c r="G355" t="inlineStr">
        <is>
          <t>ORSA</t>
        </is>
      </c>
      <c r="H355" t="inlineStr">
        <is>
          <t>Bergvik skog öst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13316-2026</t>
        </is>
      </c>
      <c r="B356" t="inlineStr">
        <is>
          <t>avverkningsanmälan</t>
        </is>
      </c>
      <c r="C356" t="inlineStr">
        <is>
          <t>Föryngringsavverkning</t>
        </is>
      </c>
      <c r="D356" s="1" t="n">
        <v>46094</v>
      </c>
      <c r="E356" s="1" t="n">
        <v>46223</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37838-2024</t>
        </is>
      </c>
      <c r="B357" t="inlineStr">
        <is>
          <t>avverkningsanmälan</t>
        </is>
      </c>
      <c r="C357" t="inlineStr">
        <is>
          <t>Föryngringsavverkning</t>
        </is>
      </c>
      <c r="D357" s="1" t="n">
        <v>45544</v>
      </c>
      <c r="E357" s="1" t="n">
        <v>46223</v>
      </c>
      <c r="F357" t="inlineStr">
        <is>
          <t>DALARNAS LÄN</t>
        </is>
      </c>
      <c r="G357" t="inlineStr">
        <is>
          <t>ORSA</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16900-2026</t>
        </is>
      </c>
      <c r="B358" t="inlineStr">
        <is>
          <t>avverkningsanmälan</t>
        </is>
      </c>
      <c r="C358" t="inlineStr">
        <is>
          <t>Föryngringsavverkning</t>
        </is>
      </c>
      <c r="D358" s="1" t="n">
        <v>46113</v>
      </c>
      <c r="E358" s="1" t="n">
        <v>46223</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17094-2026</t>
        </is>
      </c>
      <c r="B359" t="inlineStr">
        <is>
          <t>avverkningsanmälan</t>
        </is>
      </c>
      <c r="C359" t="inlineStr">
        <is>
          <t>Föryngringsavverkning</t>
        </is>
      </c>
      <c r="D359" s="1" t="n">
        <v>46114</v>
      </c>
      <c r="E359" s="1" t="n">
        <v>46223</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36089-2023</t>
        </is>
      </c>
      <c r="B360" t="inlineStr">
        <is>
          <t>avverkningsanmälan</t>
        </is>
      </c>
      <c r="C360" t="inlineStr">
        <is>
          <t>Föryngringsavverkning</t>
        </is>
      </c>
      <c r="D360" s="1" t="n">
        <v>45149</v>
      </c>
      <c r="E360" s="1" t="n">
        <v>46223</v>
      </c>
      <c r="F360" t="inlineStr">
        <is>
          <t>DALARNAS LÄN</t>
        </is>
      </c>
      <c r="G360" t="inlineStr">
        <is>
          <t>ORSA</t>
        </is>
      </c>
      <c r="H360" t="inlineStr">
        <is>
          <t>Allmännings- och besparingsskogar</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62342-2023</t>
        </is>
      </c>
      <c r="B361" t="inlineStr">
        <is>
          <t>avverkningsanmälan</t>
        </is>
      </c>
      <c r="C361" t="inlineStr">
        <is>
          <t>Föryngringsavverkning</t>
        </is>
      </c>
      <c r="D361" s="1" t="n">
        <v>45267</v>
      </c>
      <c r="E361" s="1" t="n">
        <v>46223</v>
      </c>
      <c r="F361" t="inlineStr">
        <is>
          <t>DALARNAS LÄN</t>
        </is>
      </c>
      <c r="G361" t="inlineStr">
        <is>
          <t>ORSA</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18013-2026</t>
        </is>
      </c>
      <c r="B362" t="inlineStr">
        <is>
          <t>avverkningsanmälan</t>
        </is>
      </c>
      <c r="C362" t="inlineStr">
        <is>
          <t>Föryngringsavverkning</t>
        </is>
      </c>
      <c r="D362" s="1" t="n">
        <v>46125</v>
      </c>
      <c r="E362" s="1" t="n">
        <v>46223</v>
      </c>
      <c r="F362" t="inlineStr">
        <is>
          <t>DALARNAS LÄN</t>
        </is>
      </c>
      <c r="G362" t="inlineStr">
        <is>
          <t>ORSA</t>
        </is>
      </c>
      <c r="H362" t="inlineStr">
        <is>
          <t>Allmännings- och besparingsskogar</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52903-2024</t>
        </is>
      </c>
      <c r="B363" t="inlineStr">
        <is>
          <t>avverkningsanmälan</t>
        </is>
      </c>
      <c r="C363" t="inlineStr">
        <is>
          <t>Föryngringsavverkning</t>
        </is>
      </c>
      <c r="D363" s="1" t="n">
        <v>45610</v>
      </c>
      <c r="E363" s="1" t="n">
        <v>46223</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18348-2026</t>
        </is>
      </c>
      <c r="B364" t="inlineStr">
        <is>
          <t>avverkningsanmälan</t>
        </is>
      </c>
      <c r="C364" t="inlineStr">
        <is>
          <t>Föryngringsavverkning</t>
        </is>
      </c>
      <c r="D364" s="1" t="n">
        <v>46126</v>
      </c>
      <c r="E364" s="1" t="n">
        <v>46223</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56706-2021</t>
        </is>
      </c>
      <c r="B365" t="inlineStr">
        <is>
          <t>avverkningsanmälan</t>
        </is>
      </c>
      <c r="C365" t="inlineStr">
        <is>
          <t>Föryngringsavverkning</t>
        </is>
      </c>
      <c r="D365" s="1" t="n">
        <v>44481</v>
      </c>
      <c r="E365" s="1" t="n">
        <v>46223</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59411-2024</t>
        </is>
      </c>
      <c r="B366" t="inlineStr">
        <is>
          <t>avverkningsanmälan</t>
        </is>
      </c>
      <c r="C366" t="inlineStr">
        <is>
          <t>Föryngringsavverkning</t>
        </is>
      </c>
      <c r="D366" s="1" t="n">
        <v>45638</v>
      </c>
      <c r="E366" s="1" t="n">
        <v>46223</v>
      </c>
      <c r="F366" t="inlineStr">
        <is>
          <t>DALARNAS LÄN</t>
        </is>
      </c>
      <c r="G366" t="inlineStr">
        <is>
          <t>ORSA</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59414-2024</t>
        </is>
      </c>
      <c r="B367" t="inlineStr">
        <is>
          <t>avverkningsanmälan</t>
        </is>
      </c>
      <c r="C367" t="inlineStr">
        <is>
          <t>Föryngringsavverkning</t>
        </is>
      </c>
      <c r="D367" s="1" t="n">
        <v>45638</v>
      </c>
      <c r="E367" s="1" t="n">
        <v>46223</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19024-2026</t>
        </is>
      </c>
      <c r="B368" t="inlineStr">
        <is>
          <t>avverkningsanmälan</t>
        </is>
      </c>
      <c r="C368" t="inlineStr">
        <is>
          <t>Avverkning för annat ändamål</t>
        </is>
      </c>
      <c r="D368" s="1" t="n">
        <v>46131</v>
      </c>
      <c r="E368" s="1" t="n">
        <v>46223</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18694-2026</t>
        </is>
      </c>
      <c r="B369" t="inlineStr">
        <is>
          <t>avverkningsanmälan</t>
        </is>
      </c>
      <c r="C369" t="inlineStr">
        <is>
          <t>Föryngringsavverkning</t>
        </is>
      </c>
      <c r="D369" s="1" t="n">
        <v>46128</v>
      </c>
      <c r="E369" s="1" t="n">
        <v>46223</v>
      </c>
      <c r="F369" t="inlineStr">
        <is>
          <t>DALARNAS LÄN</t>
        </is>
      </c>
      <c r="G369" t="inlineStr">
        <is>
          <t>ORSA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19089-2026</t>
        </is>
      </c>
      <c r="B370" t="inlineStr">
        <is>
          <t>avverkningsanmälan</t>
        </is>
      </c>
      <c r="C370" t="inlineStr">
        <is>
          <t>Föryngringsavverkning</t>
        </is>
      </c>
      <c r="D370" s="1" t="n">
        <v>46132</v>
      </c>
      <c r="E370" s="1" t="n">
        <v>46223</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16220-2026</t>
        </is>
      </c>
      <c r="B371" t="inlineStr">
        <is>
          <t>avverkningsanmälan</t>
        </is>
      </c>
      <c r="C371" t="inlineStr">
        <is>
          <t>Föryngringsavverkning</t>
        </is>
      </c>
      <c r="D371" s="1" t="n">
        <v>46111</v>
      </c>
      <c r="E371" s="1" t="n">
        <v>46223</v>
      </c>
      <c r="F371" t="inlineStr">
        <is>
          <t>DALARNAS LÄN</t>
        </is>
      </c>
      <c r="G371" t="inlineStr">
        <is>
          <t>ORSA</t>
        </is>
      </c>
      <c r="H371" t="inlineStr">
        <is>
          <t>Bergvik skog öst AB</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9836-2022</t>
        </is>
      </c>
      <c r="B372" t="inlineStr">
        <is>
          <t>avverkningsanmälan</t>
        </is>
      </c>
      <c r="C372" t="inlineStr">
        <is>
          <t>Föryngringsavverkning</t>
        </is>
      </c>
      <c r="D372" s="1" t="n">
        <v>44620</v>
      </c>
      <c r="E372" s="1" t="n">
        <v>46223</v>
      </c>
      <c r="F372" t="inlineStr">
        <is>
          <t>DALARNAS LÄN</t>
        </is>
      </c>
      <c r="G372" t="inlineStr">
        <is>
          <t>ORSA</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19026-2026</t>
        </is>
      </c>
      <c r="B373" t="inlineStr">
        <is>
          <t>avverkningsanmälan</t>
        </is>
      </c>
      <c r="C373" t="inlineStr">
        <is>
          <t>Avverkning för annat ändamål</t>
        </is>
      </c>
      <c r="D373" s="1" t="n">
        <v>46131</v>
      </c>
      <c r="E373" s="1" t="n">
        <v>46223</v>
      </c>
      <c r="F373" t="inlineStr">
        <is>
          <t>DALARNAS LÄN</t>
        </is>
      </c>
      <c r="G373" t="inlineStr">
        <is>
          <t>ORSA</t>
        </is>
      </c>
      <c r="I373" t="n">
        <v>3.9</v>
      </c>
      <c r="J373" t="n">
        <v>0</v>
      </c>
      <c r="K373" t="n">
        <v>0</v>
      </c>
      <c r="L373" t="n">
        <v>0</v>
      </c>
      <c r="M373" t="n">
        <v>0</v>
      </c>
      <c r="N373" t="n">
        <v>0</v>
      </c>
      <c r="O373" t="n">
        <v>0</v>
      </c>
      <c r="P373" t="n">
        <v>0</v>
      </c>
      <c r="Q373" t="n">
        <v>0</v>
      </c>
      <c r="R373" t="n">
        <v>0</v>
      </c>
      <c r="S373" t="n">
        <v>0</v>
      </c>
      <c r="T373" t="n">
        <v>0</v>
      </c>
      <c r="U373" s="2" t="inlineStr"/>
    </row>
    <row r="374" ht="15" customHeight="1">
      <c r="A374" t="inlineStr">
        <is>
          <t>A 8526-2026</t>
        </is>
      </c>
      <c r="B374" t="inlineStr">
        <is>
          <t>avverkningsanmälan</t>
        </is>
      </c>
      <c r="C374" t="inlineStr">
        <is>
          <t>Föryngringsavverkning</t>
        </is>
      </c>
      <c r="D374" s="1" t="n">
        <v>46065</v>
      </c>
      <c r="E374" s="1" t="n">
        <v>46223</v>
      </c>
      <c r="F374" t="inlineStr">
        <is>
          <t>DALARNAS LÄN</t>
        </is>
      </c>
      <c r="G374" t="inlineStr">
        <is>
          <t>ORSA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17850-2025</t>
        </is>
      </c>
      <c r="B375" t="inlineStr">
        <is>
          <t>avverkningsanmälan</t>
        </is>
      </c>
      <c r="C375" t="inlineStr">
        <is>
          <t>Föryngringsavverkning</t>
        </is>
      </c>
      <c r="D375" s="1" t="n">
        <v>45758</v>
      </c>
      <c r="E375" s="1" t="n">
        <v>46223</v>
      </c>
      <c r="F375" t="inlineStr">
        <is>
          <t>DALARNAS LÄN</t>
        </is>
      </c>
      <c r="G375" t="inlineStr">
        <is>
          <t>ORSA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51994-2023</t>
        </is>
      </c>
      <c r="B376" t="inlineStr">
        <is>
          <t>avverkningsanmälan</t>
        </is>
      </c>
      <c r="C376" t="inlineStr">
        <is>
          <t>Föryngringsavverkning</t>
        </is>
      </c>
      <c r="D376" s="1" t="n">
        <v>45223</v>
      </c>
      <c r="E376" s="1" t="n">
        <v>46223</v>
      </c>
      <c r="F376" t="inlineStr">
        <is>
          <t>DALARNAS LÄN</t>
        </is>
      </c>
      <c r="G376" t="inlineStr">
        <is>
          <t>ORSA</t>
        </is>
      </c>
      <c r="I376" t="n">
        <v>10.7</v>
      </c>
      <c r="J376" t="n">
        <v>0</v>
      </c>
      <c r="K376" t="n">
        <v>0</v>
      </c>
      <c r="L376" t="n">
        <v>0</v>
      </c>
      <c r="M376" t="n">
        <v>0</v>
      </c>
      <c r="N376" t="n">
        <v>0</v>
      </c>
      <c r="O376" t="n">
        <v>0</v>
      </c>
      <c r="P376" t="n">
        <v>0</v>
      </c>
      <c r="Q376" t="n">
        <v>0</v>
      </c>
      <c r="R376" t="n">
        <v>0</v>
      </c>
      <c r="S376" t="n">
        <v>0</v>
      </c>
      <c r="T376" t="n">
        <v>0</v>
      </c>
      <c r="U376" s="2" t="inlineStr"/>
    </row>
    <row r="377" ht="15" customHeight="1">
      <c r="A377" t="inlineStr">
        <is>
          <t>A 72284-2021</t>
        </is>
      </c>
      <c r="B377" t="inlineStr">
        <is>
          <t>avverkningsanmälan</t>
        </is>
      </c>
      <c r="C377" t="inlineStr">
        <is>
          <t>Avverkning för annat ändamål</t>
        </is>
      </c>
      <c r="D377" s="1" t="n">
        <v>44545</v>
      </c>
      <c r="E377" s="1" t="n">
        <v>46223</v>
      </c>
      <c r="F377" t="inlineStr">
        <is>
          <t>DALARNAS LÄN</t>
        </is>
      </c>
      <c r="G377" t="inlineStr">
        <is>
          <t>ORSA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13185-2022</t>
        </is>
      </c>
      <c r="B378" t="inlineStr">
        <is>
          <t>avverkningsanmälan</t>
        </is>
      </c>
      <c r="C378" t="inlineStr">
        <is>
          <t>Föryngringsavverkning</t>
        </is>
      </c>
      <c r="D378" s="1" t="n">
        <v>44644</v>
      </c>
      <c r="E378" s="1" t="n">
        <v>46223</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46454-2024</t>
        </is>
      </c>
      <c r="B379" t="inlineStr">
        <is>
          <t>avverkningsanmälan</t>
        </is>
      </c>
      <c r="C379" t="inlineStr">
        <is>
          <t>Föryngringsavverkning</t>
        </is>
      </c>
      <c r="D379" s="1" t="n">
        <v>45582</v>
      </c>
      <c r="E379" s="1" t="n">
        <v>46223</v>
      </c>
      <c r="F379" t="inlineStr">
        <is>
          <t>DALARNAS LÄN</t>
        </is>
      </c>
      <c r="G379" t="inlineStr">
        <is>
          <t>ORSA</t>
        </is>
      </c>
      <c r="H379" t="inlineStr">
        <is>
          <t>Övriga statliga verk och myndigheter</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9116-2026</t>
        </is>
      </c>
      <c r="B380" t="inlineStr">
        <is>
          <t>avverkningsanmälan</t>
        </is>
      </c>
      <c r="C380" t="inlineStr">
        <is>
          <t>Föryngringsavverkning</t>
        </is>
      </c>
      <c r="D380" s="1" t="n">
        <v>46069</v>
      </c>
      <c r="E380" s="1" t="n">
        <v>46223</v>
      </c>
      <c r="F380" t="inlineStr">
        <is>
          <t>DALARNAS LÄN</t>
        </is>
      </c>
      <c r="G380" t="inlineStr">
        <is>
          <t>ORSA</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52649-2024</t>
        </is>
      </c>
      <c r="B381" t="inlineStr">
        <is>
          <t>avverkningsanmälan</t>
        </is>
      </c>
      <c r="C381" t="inlineStr">
        <is>
          <t>Föryngringsavverkning</t>
        </is>
      </c>
      <c r="D381" s="1" t="n">
        <v>45610</v>
      </c>
      <c r="E381" s="1" t="n">
        <v>46223</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16224-2026</t>
        </is>
      </c>
      <c r="B382" t="inlineStr">
        <is>
          <t>avverkningsanmälan</t>
        </is>
      </c>
      <c r="C382" t="inlineStr">
        <is>
          <t>Föryngringsavverkning</t>
        </is>
      </c>
      <c r="D382" s="1" t="n">
        <v>46111</v>
      </c>
      <c r="E382" s="1" t="n">
        <v>46223</v>
      </c>
      <c r="F382" t="inlineStr">
        <is>
          <t>DALARNAS LÄN</t>
        </is>
      </c>
      <c r="G382" t="inlineStr">
        <is>
          <t>ORSA</t>
        </is>
      </c>
      <c r="H382" t="inlineStr">
        <is>
          <t>Bergvik skog öst AB</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19891-2026</t>
        </is>
      </c>
      <c r="B383" t="inlineStr">
        <is>
          <t>avverkningsanmälan</t>
        </is>
      </c>
      <c r="C383" t="inlineStr">
        <is>
          <t>Föryngringsavverkning</t>
        </is>
      </c>
      <c r="D383" s="1" t="n">
        <v>46135</v>
      </c>
      <c r="E383" s="1" t="n">
        <v>46223</v>
      </c>
      <c r="F383" t="inlineStr">
        <is>
          <t>DALARNAS LÄN</t>
        </is>
      </c>
      <c r="G383" t="inlineStr">
        <is>
          <t>ORSA</t>
        </is>
      </c>
      <c r="H383" t="inlineStr">
        <is>
          <t>Bergvik skog öst AB</t>
        </is>
      </c>
      <c r="I383" t="n">
        <v>10</v>
      </c>
      <c r="J383" t="n">
        <v>0</v>
      </c>
      <c r="K383" t="n">
        <v>0</v>
      </c>
      <c r="L383" t="n">
        <v>0</v>
      </c>
      <c r="M383" t="n">
        <v>0</v>
      </c>
      <c r="N383" t="n">
        <v>0</v>
      </c>
      <c r="O383" t="n">
        <v>0</v>
      </c>
      <c r="P383" t="n">
        <v>0</v>
      </c>
      <c r="Q383" t="n">
        <v>0</v>
      </c>
      <c r="R383" t="n">
        <v>0</v>
      </c>
      <c r="S383" t="n">
        <v>0</v>
      </c>
      <c r="T383" t="n">
        <v>0</v>
      </c>
      <c r="U383" s="2" t="inlineStr"/>
    </row>
    <row r="384" ht="15" customHeight="1">
      <c r="A384" t="inlineStr">
        <is>
          <t>A 612-2025</t>
        </is>
      </c>
      <c r="B384" t="inlineStr">
        <is>
          <t>avverkningsanmälan</t>
        </is>
      </c>
      <c r="C384" t="inlineStr">
        <is>
          <t>Föryngringsavverkning</t>
        </is>
      </c>
      <c r="D384" s="1" t="n">
        <v>45660</v>
      </c>
      <c r="E384" s="1" t="n">
        <v>46223</v>
      </c>
      <c r="F384" t="inlineStr">
        <is>
          <t>DALARNAS LÄN</t>
        </is>
      </c>
      <c r="G384" t="inlineStr">
        <is>
          <t>ORSA</t>
        </is>
      </c>
      <c r="H384" t="inlineStr">
        <is>
          <t>Allmännings- och besparingsskogar</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13209-2022</t>
        </is>
      </c>
      <c r="B385" t="inlineStr">
        <is>
          <t>avverkningsanmälan</t>
        </is>
      </c>
      <c r="C385" t="inlineStr">
        <is>
          <t>Föryngringsavverkning</t>
        </is>
      </c>
      <c r="D385" s="1" t="n">
        <v>44644</v>
      </c>
      <c r="E385" s="1" t="n">
        <v>46223</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12704-2022</t>
        </is>
      </c>
      <c r="B386" t="inlineStr">
        <is>
          <t>avverkningsanmälan</t>
        </is>
      </c>
      <c r="C386" t="inlineStr">
        <is>
          <t>Föryngringsavverkning</t>
        </is>
      </c>
      <c r="D386" s="1" t="n">
        <v>44641</v>
      </c>
      <c r="E386" s="1" t="n">
        <v>46223</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61034-2024</t>
        </is>
      </c>
      <c r="B387" t="inlineStr">
        <is>
          <t>avverkningsanmälan</t>
        </is>
      </c>
      <c r="C387" t="inlineStr">
        <is>
          <t>Föryngringsavverkning</t>
        </is>
      </c>
      <c r="D387" s="1" t="n">
        <v>45645</v>
      </c>
      <c r="E387" s="1" t="n">
        <v>46223</v>
      </c>
      <c r="F387" t="inlineStr">
        <is>
          <t>DALARNAS LÄN</t>
        </is>
      </c>
      <c r="G387" t="inlineStr">
        <is>
          <t>ORSA</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19108-2025</t>
        </is>
      </c>
      <c r="B388" t="inlineStr">
        <is>
          <t>avverkningsanmälan</t>
        </is>
      </c>
      <c r="C388" t="inlineStr">
        <is>
          <t>Föryngringsavverkning</t>
        </is>
      </c>
      <c r="D388" s="1" t="n">
        <v>45768</v>
      </c>
      <c r="E388" s="1" t="n">
        <v>46223</v>
      </c>
      <c r="F388" t="inlineStr">
        <is>
          <t>DALARNAS LÄN</t>
        </is>
      </c>
      <c r="G388" t="inlineStr">
        <is>
          <t>ORSA</t>
        </is>
      </c>
      <c r="H388" t="inlineStr">
        <is>
          <t>Bergvik skog väst AB</t>
        </is>
      </c>
      <c r="I388" t="n">
        <v>14.3</v>
      </c>
      <c r="J388" t="n">
        <v>0</v>
      </c>
      <c r="K388" t="n">
        <v>0</v>
      </c>
      <c r="L388" t="n">
        <v>0</v>
      </c>
      <c r="M388" t="n">
        <v>0</v>
      </c>
      <c r="N388" t="n">
        <v>0</v>
      </c>
      <c r="O388" t="n">
        <v>0</v>
      </c>
      <c r="P388" t="n">
        <v>0</v>
      </c>
      <c r="Q388" t="n">
        <v>0</v>
      </c>
      <c r="R388" t="n">
        <v>0</v>
      </c>
      <c r="S388" t="n">
        <v>0</v>
      </c>
      <c r="T388" t="n">
        <v>0</v>
      </c>
      <c r="U388" s="2" t="inlineStr"/>
    </row>
    <row r="389" ht="15" customHeight="1">
      <c r="A389" t="inlineStr">
        <is>
          <t>A 17848-2025</t>
        </is>
      </c>
      <c r="B389" t="inlineStr">
        <is>
          <t>avverkningsanmälan</t>
        </is>
      </c>
      <c r="C389" t="inlineStr">
        <is>
          <t>Föryngringsavverkning</t>
        </is>
      </c>
      <c r="D389" s="1" t="n">
        <v>45758</v>
      </c>
      <c r="E389" s="1" t="n">
        <v>46223</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37770-2023</t>
        </is>
      </c>
      <c r="B390" t="inlineStr">
        <is>
          <t>avverkningsanmälan</t>
        </is>
      </c>
      <c r="C390" t="inlineStr">
        <is>
          <t>Föryngringsavverkning</t>
        </is>
      </c>
      <c r="D390" s="1" t="n">
        <v>45159</v>
      </c>
      <c r="E390" s="1" t="n">
        <v>46223</v>
      </c>
      <c r="F390" t="inlineStr">
        <is>
          <t>DALARNAS LÄN</t>
        </is>
      </c>
      <c r="G390" t="inlineStr">
        <is>
          <t>ORSA</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20589-2025</t>
        </is>
      </c>
      <c r="B391" t="inlineStr">
        <is>
          <t>avverkningsanmälan</t>
        </is>
      </c>
      <c r="C391" t="inlineStr">
        <is>
          <t>Föryngringsavverkning</t>
        </is>
      </c>
      <c r="D391" s="1" t="n">
        <v>45775</v>
      </c>
      <c r="E391" s="1" t="n">
        <v>46223</v>
      </c>
      <c r="F391" t="inlineStr">
        <is>
          <t>DALARNAS LÄN</t>
        </is>
      </c>
      <c r="G391" t="inlineStr">
        <is>
          <t>ORSA</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20165-2026</t>
        </is>
      </c>
      <c r="B392" t="inlineStr">
        <is>
          <t>avverkningsanmälan</t>
        </is>
      </c>
      <c r="C392" t="inlineStr">
        <is>
          <t>Föryngringsavverkning</t>
        </is>
      </c>
      <c r="D392" s="1" t="n">
        <v>46139</v>
      </c>
      <c r="E392" s="1" t="n">
        <v>46223</v>
      </c>
      <c r="F392" t="inlineStr">
        <is>
          <t>DALARNAS LÄN</t>
        </is>
      </c>
      <c r="G392" t="inlineStr">
        <is>
          <t>ORSA</t>
        </is>
      </c>
      <c r="H392" t="inlineStr">
        <is>
          <t>Bergvik skog öst AB</t>
        </is>
      </c>
      <c r="I392" t="n">
        <v>10.3</v>
      </c>
      <c r="J392" t="n">
        <v>0</v>
      </c>
      <c r="K392" t="n">
        <v>0</v>
      </c>
      <c r="L392" t="n">
        <v>0</v>
      </c>
      <c r="M392" t="n">
        <v>0</v>
      </c>
      <c r="N392" t="n">
        <v>0</v>
      </c>
      <c r="O392" t="n">
        <v>0</v>
      </c>
      <c r="P392" t="n">
        <v>0</v>
      </c>
      <c r="Q392" t="n">
        <v>0</v>
      </c>
      <c r="R392" t="n">
        <v>0</v>
      </c>
      <c r="S392" t="n">
        <v>0</v>
      </c>
      <c r="T392" t="n">
        <v>0</v>
      </c>
      <c r="U392" s="2" t="inlineStr"/>
    </row>
    <row r="393" ht="15" customHeight="1">
      <c r="A393" t="inlineStr">
        <is>
          <t>A 23339-2024</t>
        </is>
      </c>
      <c r="B393" t="inlineStr">
        <is>
          <t>avverkningsanmälan</t>
        </is>
      </c>
      <c r="C393" t="inlineStr">
        <is>
          <t>Föryngringsavverkning</t>
        </is>
      </c>
      <c r="D393" s="1" t="n">
        <v>45453</v>
      </c>
      <c r="E393" s="1" t="n">
        <v>46223</v>
      </c>
      <c r="F393" t="inlineStr">
        <is>
          <t>DALARNAS LÄN</t>
        </is>
      </c>
      <c r="G393" t="inlineStr">
        <is>
          <t>ORSA</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20615-2026</t>
        </is>
      </c>
      <c r="B394" t="inlineStr">
        <is>
          <t>avverkningsanmälan</t>
        </is>
      </c>
      <c r="C394" t="inlineStr">
        <is>
          <t>Föryngringsavverkning</t>
        </is>
      </c>
      <c r="D394" s="1" t="n">
        <v>46140</v>
      </c>
      <c r="E394" s="1" t="n">
        <v>46223</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21335-2025</t>
        </is>
      </c>
      <c r="B395" t="inlineStr">
        <is>
          <t>avverkningsanmälan</t>
        </is>
      </c>
      <c r="C395" t="inlineStr">
        <is>
          <t>Föryngringsavverkning</t>
        </is>
      </c>
      <c r="D395" s="1" t="n">
        <v>45782</v>
      </c>
      <c r="E395" s="1" t="n">
        <v>46223</v>
      </c>
      <c r="F395" t="inlineStr">
        <is>
          <t>DALARNAS LÄN</t>
        </is>
      </c>
      <c r="G395" t="inlineStr">
        <is>
          <t>ORSA</t>
        </is>
      </c>
      <c r="H395" t="inlineStr">
        <is>
          <t>Bergvik skog väst AB</t>
        </is>
      </c>
      <c r="I395" t="n">
        <v>14.3</v>
      </c>
      <c r="J395" t="n">
        <v>0</v>
      </c>
      <c r="K395" t="n">
        <v>0</v>
      </c>
      <c r="L395" t="n">
        <v>0</v>
      </c>
      <c r="M395" t="n">
        <v>0</v>
      </c>
      <c r="N395" t="n">
        <v>0</v>
      </c>
      <c r="O395" t="n">
        <v>0</v>
      </c>
      <c r="P395" t="n">
        <v>0</v>
      </c>
      <c r="Q395" t="n">
        <v>0</v>
      </c>
      <c r="R395" t="n">
        <v>0</v>
      </c>
      <c r="S395" t="n">
        <v>0</v>
      </c>
      <c r="T395" t="n">
        <v>0</v>
      </c>
      <c r="U395" s="2" t="inlineStr"/>
    </row>
    <row r="396" ht="15" customHeight="1">
      <c r="A396" t="inlineStr">
        <is>
          <t>A 14814-2026</t>
        </is>
      </c>
      <c r="B396" t="inlineStr">
        <is>
          <t>avverkningsanmälan</t>
        </is>
      </c>
      <c r="C396" t="inlineStr">
        <is>
          <t>Föryngringsavverkning</t>
        </is>
      </c>
      <c r="D396" s="1" t="n">
        <v>46104</v>
      </c>
      <c r="E396" s="1" t="n">
        <v>46223</v>
      </c>
      <c r="F396" t="inlineStr">
        <is>
          <t>DALARNAS LÄN</t>
        </is>
      </c>
      <c r="G396" t="inlineStr">
        <is>
          <t>ORSA</t>
        </is>
      </c>
      <c r="I396" t="n">
        <v>14.2</v>
      </c>
      <c r="J396" t="n">
        <v>0</v>
      </c>
      <c r="K396" t="n">
        <v>0</v>
      </c>
      <c r="L396" t="n">
        <v>0</v>
      </c>
      <c r="M396" t="n">
        <v>0</v>
      </c>
      <c r="N396" t="n">
        <v>0</v>
      </c>
      <c r="O396" t="n">
        <v>0</v>
      </c>
      <c r="P396" t="n">
        <v>0</v>
      </c>
      <c r="Q396" t="n">
        <v>0</v>
      </c>
      <c r="R396" t="n">
        <v>0</v>
      </c>
      <c r="S396" t="n">
        <v>0</v>
      </c>
      <c r="T396" t="n">
        <v>0</v>
      </c>
      <c r="U396" s="2" t="inlineStr"/>
    </row>
    <row r="397" ht="15" customHeight="1">
      <c r="A397" t="inlineStr">
        <is>
          <t>A 26201-2026</t>
        </is>
      </c>
      <c r="B397" t="inlineStr">
        <is>
          <t>avverkningsanmälan</t>
        </is>
      </c>
      <c r="C397" t="inlineStr">
        <is>
          <t>Föryngringsavverkning</t>
        </is>
      </c>
      <c r="D397" s="1" t="n">
        <v>46182</v>
      </c>
      <c r="E397" s="1" t="n">
        <v>46223</v>
      </c>
      <c r="F397" t="inlineStr">
        <is>
          <t>DALARNAS LÄN</t>
        </is>
      </c>
      <c r="G397" t="inlineStr">
        <is>
          <t>ORSA</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37931-2023</t>
        </is>
      </c>
      <c r="B398" t="inlineStr">
        <is>
          <t>avverkningsanmälan</t>
        </is>
      </c>
      <c r="C398" t="inlineStr">
        <is>
          <t>Föryngringsavverkning</t>
        </is>
      </c>
      <c r="D398" s="1" t="n">
        <v>45160</v>
      </c>
      <c r="E398" s="1" t="n">
        <v>46223</v>
      </c>
      <c r="F398" t="inlineStr">
        <is>
          <t>DALARNAS LÄN</t>
        </is>
      </c>
      <c r="G398" t="inlineStr">
        <is>
          <t>ORSA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20254-2026</t>
        </is>
      </c>
      <c r="B399" t="inlineStr">
        <is>
          <t>avverkningsanmälan</t>
        </is>
      </c>
      <c r="C399" t="inlineStr">
        <is>
          <t>Föryngringsavverkning</t>
        </is>
      </c>
      <c r="D399" s="1" t="n">
        <v>46139</v>
      </c>
      <c r="E399" s="1" t="n">
        <v>46223</v>
      </c>
      <c r="F399" t="inlineStr">
        <is>
          <t>DALARNAS LÄN</t>
        </is>
      </c>
      <c r="G399" t="inlineStr">
        <is>
          <t>ORSA</t>
        </is>
      </c>
      <c r="H399" t="inlineStr">
        <is>
          <t>Bergvik skog öst AB</t>
        </is>
      </c>
      <c r="I399" t="n">
        <v>18.5</v>
      </c>
      <c r="J399" t="n">
        <v>0</v>
      </c>
      <c r="K399" t="n">
        <v>0</v>
      </c>
      <c r="L399" t="n">
        <v>0</v>
      </c>
      <c r="M399" t="n">
        <v>0</v>
      </c>
      <c r="N399" t="n">
        <v>0</v>
      </c>
      <c r="O399" t="n">
        <v>0</v>
      </c>
      <c r="P399" t="n">
        <v>0</v>
      </c>
      <c r="Q399" t="n">
        <v>0</v>
      </c>
      <c r="R399" t="n">
        <v>0</v>
      </c>
      <c r="S399" t="n">
        <v>0</v>
      </c>
      <c r="T399" t="n">
        <v>0</v>
      </c>
      <c r="U399" s="2" t="inlineStr"/>
    </row>
    <row r="400" ht="15" customHeight="1">
      <c r="A400" t="inlineStr">
        <is>
          <t>A 33209-2025</t>
        </is>
      </c>
      <c r="B400" t="inlineStr">
        <is>
          <t>avverkningsanmälan</t>
        </is>
      </c>
      <c r="C400" t="inlineStr">
        <is>
          <t>Föryngringsavverkning</t>
        </is>
      </c>
      <c r="D400" s="1" t="n">
        <v>45840</v>
      </c>
      <c r="E400" s="1" t="n">
        <v>46223</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37897-2025</t>
        </is>
      </c>
      <c r="B401" t="inlineStr">
        <is>
          <t>avverkningsanmälan</t>
        </is>
      </c>
      <c r="C401" t="inlineStr">
        <is>
          <t>Föryngringsavverkning</t>
        </is>
      </c>
      <c r="D401" s="1" t="n">
        <v>45881</v>
      </c>
      <c r="E401" s="1" t="n">
        <v>46223</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56803-2024</t>
        </is>
      </c>
      <c r="B402" t="inlineStr">
        <is>
          <t>avverkningsanmälan</t>
        </is>
      </c>
      <c r="C402" t="inlineStr">
        <is>
          <t>Föryngringsavverkning</t>
        </is>
      </c>
      <c r="D402" s="1" t="n">
        <v>45628</v>
      </c>
      <c r="E402" s="1" t="n">
        <v>46223</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12800-2026</t>
        </is>
      </c>
      <c r="B403" t="inlineStr">
        <is>
          <t>avverkningsanmälan</t>
        </is>
      </c>
      <c r="C403" t="inlineStr">
        <is>
          <t>Föryngringsavverkning</t>
        </is>
      </c>
      <c r="D403" s="1" t="n">
        <v>46092</v>
      </c>
      <c r="E403" s="1" t="n">
        <v>46223</v>
      </c>
      <c r="F403" t="inlineStr">
        <is>
          <t>DALARNAS LÄN</t>
        </is>
      </c>
      <c r="G403" t="inlineStr">
        <is>
          <t>ORSA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24235-2025</t>
        </is>
      </c>
      <c r="B404" t="inlineStr">
        <is>
          <t>avverkningsanmälan</t>
        </is>
      </c>
      <c r="C404" t="inlineStr">
        <is>
          <t>Föryngringsavverkning</t>
        </is>
      </c>
      <c r="D404" s="1" t="n">
        <v>45797</v>
      </c>
      <c r="E404" s="1" t="n">
        <v>46223</v>
      </c>
      <c r="F404" t="inlineStr">
        <is>
          <t>DALARNAS LÄN</t>
        </is>
      </c>
      <c r="G404" t="inlineStr">
        <is>
          <t>ORSA</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7775-2026</t>
        </is>
      </c>
      <c r="B405" t="inlineStr">
        <is>
          <t>avverkningsanmälan</t>
        </is>
      </c>
      <c r="C405" t="inlineStr">
        <is>
          <t>Föryngringsavverkning</t>
        </is>
      </c>
      <c r="D405" s="1" t="n">
        <v>46062</v>
      </c>
      <c r="E405" s="1" t="n">
        <v>46223</v>
      </c>
      <c r="F405" t="inlineStr">
        <is>
          <t>DALARNAS LÄN</t>
        </is>
      </c>
      <c r="G405" t="inlineStr">
        <is>
          <t>ORSA</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53717-2024</t>
        </is>
      </c>
      <c r="B406" t="inlineStr">
        <is>
          <t>avverkningsanmälan</t>
        </is>
      </c>
      <c r="C406" t="inlineStr">
        <is>
          <t>Föryngringsavverkning</t>
        </is>
      </c>
      <c r="D406" s="1" t="n">
        <v>45615</v>
      </c>
      <c r="E406" s="1" t="n">
        <v>46223</v>
      </c>
      <c r="F406" t="inlineStr">
        <is>
          <t>DALARNAS LÄN</t>
        </is>
      </c>
      <c r="G406" t="inlineStr">
        <is>
          <t>ORSA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25172-2022</t>
        </is>
      </c>
      <c r="B407" t="inlineStr">
        <is>
          <t>avverkningsanmälan</t>
        </is>
      </c>
      <c r="C407" t="inlineStr">
        <is>
          <t>Föryngringsavverkning</t>
        </is>
      </c>
      <c r="D407" s="1" t="n">
        <v>44729</v>
      </c>
      <c r="E407" s="1" t="n">
        <v>46223</v>
      </c>
      <c r="F407" t="inlineStr">
        <is>
          <t>DALARNAS LÄN</t>
        </is>
      </c>
      <c r="G407" t="inlineStr">
        <is>
          <t>ORSA</t>
        </is>
      </c>
      <c r="H407" t="inlineStr">
        <is>
          <t>Bergvik skog öst AB</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48516-2024</t>
        </is>
      </c>
      <c r="B408" t="inlineStr">
        <is>
          <t>avverkningsanmälan</t>
        </is>
      </c>
      <c r="C408" t="inlineStr">
        <is>
          <t>Föryngringsavverkning</t>
        </is>
      </c>
      <c r="D408" s="1" t="n">
        <v>45593</v>
      </c>
      <c r="E408" s="1" t="n">
        <v>46223</v>
      </c>
      <c r="F408" t="inlineStr">
        <is>
          <t>DALARNAS LÄN</t>
        </is>
      </c>
      <c r="G408" t="inlineStr">
        <is>
          <t>ORSA</t>
        </is>
      </c>
      <c r="I408" t="n">
        <v>3.3</v>
      </c>
      <c r="J408" t="n">
        <v>0</v>
      </c>
      <c r="K408" t="n">
        <v>0</v>
      </c>
      <c r="L408" t="n">
        <v>0</v>
      </c>
      <c r="M408" t="n">
        <v>0</v>
      </c>
      <c r="N408" t="n">
        <v>0</v>
      </c>
      <c r="O408" t="n">
        <v>0</v>
      </c>
      <c r="P408" t="n">
        <v>0</v>
      </c>
      <c r="Q408" t="n">
        <v>0</v>
      </c>
      <c r="R408" t="n">
        <v>0</v>
      </c>
      <c r="S408" t="n">
        <v>0</v>
      </c>
      <c r="T408" t="n">
        <v>0</v>
      </c>
      <c r="U408" s="2" t="inlineStr"/>
    </row>
    <row r="409" ht="15" customHeight="1">
      <c r="A409" t="inlineStr">
        <is>
          <t>A 4040-2026</t>
        </is>
      </c>
      <c r="B409" t="inlineStr">
        <is>
          <t>avverkningsanmälan</t>
        </is>
      </c>
      <c r="C409" t="inlineStr">
        <is>
          <t>Föryngringsavverkning</t>
        </is>
      </c>
      <c r="D409" s="1" t="n">
        <v>46044</v>
      </c>
      <c r="E409" s="1" t="n">
        <v>46223</v>
      </c>
      <c r="F409" t="inlineStr">
        <is>
          <t>DALARNAS LÄN</t>
        </is>
      </c>
      <c r="G409" t="inlineStr">
        <is>
          <t>ORSA</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986-2025</t>
        </is>
      </c>
      <c r="B410" t="inlineStr">
        <is>
          <t>avverkningsanmälan</t>
        </is>
      </c>
      <c r="C410" t="inlineStr">
        <is>
          <t>Föryngringsavverkning</t>
        </is>
      </c>
      <c r="D410" s="1" t="n">
        <v>45666</v>
      </c>
      <c r="E410" s="1" t="n">
        <v>46223</v>
      </c>
      <c r="F410" t="inlineStr">
        <is>
          <t>DALARNAS LÄN</t>
        </is>
      </c>
      <c r="G410" t="inlineStr">
        <is>
          <t>ORSA</t>
        </is>
      </c>
      <c r="I410" t="n">
        <v>5.7</v>
      </c>
      <c r="J410" t="n">
        <v>0</v>
      </c>
      <c r="K410" t="n">
        <v>0</v>
      </c>
      <c r="L410" t="n">
        <v>0</v>
      </c>
      <c r="M410" t="n">
        <v>0</v>
      </c>
      <c r="N410" t="n">
        <v>0</v>
      </c>
      <c r="O410" t="n">
        <v>0</v>
      </c>
      <c r="P410" t="n">
        <v>0</v>
      </c>
      <c r="Q410" t="n">
        <v>0</v>
      </c>
      <c r="R410" t="n">
        <v>0</v>
      </c>
      <c r="S410" t="n">
        <v>0</v>
      </c>
      <c r="T410" t="n">
        <v>0</v>
      </c>
      <c r="U410" s="2" t="inlineStr"/>
    </row>
    <row r="411" ht="15" customHeight="1">
      <c r="A411" t="inlineStr">
        <is>
          <t>A 34744-2025</t>
        </is>
      </c>
      <c r="B411" t="inlineStr">
        <is>
          <t>avverkningsanmälan</t>
        </is>
      </c>
      <c r="C411" t="inlineStr">
        <is>
          <t>Föryngringsavverkning</t>
        </is>
      </c>
      <c r="D411" s="1" t="n">
        <v>45848</v>
      </c>
      <c r="E411" s="1" t="n">
        <v>46223</v>
      </c>
      <c r="F411" t="inlineStr">
        <is>
          <t>DALARNAS LÄN</t>
        </is>
      </c>
      <c r="G411" t="inlineStr">
        <is>
          <t>ORSA</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30458-2023</t>
        </is>
      </c>
      <c r="B412" t="inlineStr">
        <is>
          <t>avverkningsanmälan</t>
        </is>
      </c>
      <c r="C412" t="inlineStr">
        <is>
          <t>Föryngringsavverkning</t>
        </is>
      </c>
      <c r="D412" s="1" t="n">
        <v>45111</v>
      </c>
      <c r="E412" s="1" t="n">
        <v>46223</v>
      </c>
      <c r="F412" t="inlineStr">
        <is>
          <t>DALARNAS LÄN</t>
        </is>
      </c>
      <c r="G412" t="inlineStr">
        <is>
          <t>ORSA</t>
        </is>
      </c>
      <c r="H412" t="inlineStr">
        <is>
          <t>Bergvik skog öst AB</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42238-2023</t>
        </is>
      </c>
      <c r="B413" t="inlineStr">
        <is>
          <t>avverkningsanmälan</t>
        </is>
      </c>
      <c r="C413" t="inlineStr">
        <is>
          <t>Föryngringsavverkning</t>
        </is>
      </c>
      <c r="D413" s="1" t="n">
        <v>45180</v>
      </c>
      <c r="E413" s="1" t="n">
        <v>46223</v>
      </c>
      <c r="F413" t="inlineStr">
        <is>
          <t>DALARNAS LÄN</t>
        </is>
      </c>
      <c r="G413" t="inlineStr">
        <is>
          <t>ORSA</t>
        </is>
      </c>
      <c r="H413" t="inlineStr">
        <is>
          <t>Allmännings- och besparingsskogar</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35939-2025</t>
        </is>
      </c>
      <c r="B414" t="inlineStr">
        <is>
          <t>avverkningsanmälan</t>
        </is>
      </c>
      <c r="C414" t="inlineStr">
        <is>
          <t>Föryngringsavverkning</t>
        </is>
      </c>
      <c r="D414" s="1" t="n">
        <v>45862</v>
      </c>
      <c r="E414" s="1" t="n">
        <v>46223</v>
      </c>
      <c r="F414" t="inlineStr">
        <is>
          <t>DALARNAS LÄN</t>
        </is>
      </c>
      <c r="G414" t="inlineStr">
        <is>
          <t>ORSA</t>
        </is>
      </c>
      <c r="I414" t="n">
        <v>5.6</v>
      </c>
      <c r="J414" t="n">
        <v>0</v>
      </c>
      <c r="K414" t="n">
        <v>0</v>
      </c>
      <c r="L414" t="n">
        <v>0</v>
      </c>
      <c r="M414" t="n">
        <v>0</v>
      </c>
      <c r="N414" t="n">
        <v>0</v>
      </c>
      <c r="O414" t="n">
        <v>0</v>
      </c>
      <c r="P414" t="n">
        <v>0</v>
      </c>
      <c r="Q414" t="n">
        <v>0</v>
      </c>
      <c r="R414" t="n">
        <v>0</v>
      </c>
      <c r="S414" t="n">
        <v>0</v>
      </c>
      <c r="T414" t="n">
        <v>0</v>
      </c>
      <c r="U414" s="2" t="inlineStr"/>
    </row>
    <row r="415" ht="15" customHeight="1">
      <c r="A415" t="inlineStr">
        <is>
          <t>A 1967-2026</t>
        </is>
      </c>
      <c r="B415" t="inlineStr">
        <is>
          <t>avverkningsanmälan</t>
        </is>
      </c>
      <c r="C415" t="inlineStr">
        <is>
          <t>Föryngringsavverkning</t>
        </is>
      </c>
      <c r="D415" s="1" t="n">
        <v>46035</v>
      </c>
      <c r="E415" s="1" t="n">
        <v>46223</v>
      </c>
      <c r="F415" t="inlineStr">
        <is>
          <t>DALARNAS LÄN</t>
        </is>
      </c>
      <c r="G415" t="inlineStr">
        <is>
          <t>ORSA</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4738-2025</t>
        </is>
      </c>
      <c r="B416" t="inlineStr">
        <is>
          <t>avverkningsanmälan</t>
        </is>
      </c>
      <c r="C416" t="inlineStr">
        <is>
          <t>Avverkning för annat ändamål</t>
        </is>
      </c>
      <c r="D416" s="1" t="n">
        <v>45688</v>
      </c>
      <c r="E416" s="1" t="n">
        <v>46223</v>
      </c>
      <c r="F416" t="inlineStr">
        <is>
          <t>DALARNAS LÄN</t>
        </is>
      </c>
      <c r="G416" t="inlineStr">
        <is>
          <t>ORSA</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7534-2025</t>
        </is>
      </c>
      <c r="B417" t="inlineStr">
        <is>
          <t>avverkningsanmälan</t>
        </is>
      </c>
      <c r="C417" t="inlineStr">
        <is>
          <t>Föryngringsavverkning</t>
        </is>
      </c>
      <c r="D417" s="1" t="n">
        <v>45705</v>
      </c>
      <c r="E417" s="1" t="n">
        <v>46223</v>
      </c>
      <c r="F417" t="inlineStr">
        <is>
          <t>DALARNAS LÄN</t>
        </is>
      </c>
      <c r="G417" t="inlineStr">
        <is>
          <t>ORSA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31026-2023</t>
        </is>
      </c>
      <c r="B418" t="inlineStr">
        <is>
          <t>avverkningsanmälan</t>
        </is>
      </c>
      <c r="C418" t="inlineStr">
        <is>
          <t>Föryngringsavverkning</t>
        </is>
      </c>
      <c r="D418" s="1" t="n">
        <v>45113</v>
      </c>
      <c r="E418" s="1" t="n">
        <v>46223</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3226-2026</t>
        </is>
      </c>
      <c r="B419" t="inlineStr">
        <is>
          <t>avverkningsanmälan</t>
        </is>
      </c>
      <c r="C419" t="inlineStr">
        <is>
          <t>Föryngringsavverkning</t>
        </is>
      </c>
      <c r="D419" s="1" t="n">
        <v>46041</v>
      </c>
      <c r="E419" s="1" t="n">
        <v>46223</v>
      </c>
      <c r="F419" t="inlineStr">
        <is>
          <t>DALARNAS LÄN</t>
        </is>
      </c>
      <c r="G419" t="inlineStr">
        <is>
          <t>ORSA</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8807-2026</t>
        </is>
      </c>
      <c r="B420" t="inlineStr">
        <is>
          <t>avverkningsanmälan</t>
        </is>
      </c>
      <c r="C420" t="inlineStr">
        <is>
          <t>Föryngringsavverkning</t>
        </is>
      </c>
      <c r="D420" s="1" t="n">
        <v>46066</v>
      </c>
      <c r="E420" s="1" t="n">
        <v>46223</v>
      </c>
      <c r="F420" t="inlineStr">
        <is>
          <t>DALARNAS LÄN</t>
        </is>
      </c>
      <c r="G420" t="inlineStr">
        <is>
          <t>ORSA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57055-2025</t>
        </is>
      </c>
      <c r="B421" t="inlineStr">
        <is>
          <t>avverkningsanmälan</t>
        </is>
      </c>
      <c r="C421" t="inlineStr">
        <is>
          <t>Föryngringsavverkning</t>
        </is>
      </c>
      <c r="D421" s="1" t="n">
        <v>45979</v>
      </c>
      <c r="E421" s="1" t="n">
        <v>46223</v>
      </c>
      <c r="F421" t="inlineStr">
        <is>
          <t>DALARNAS LÄN</t>
        </is>
      </c>
      <c r="G421" t="inlineStr">
        <is>
          <t>ORSA</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63371-2023</t>
        </is>
      </c>
      <c r="B422" t="inlineStr">
        <is>
          <t>avverkningsanmälan</t>
        </is>
      </c>
      <c r="C422" t="inlineStr">
        <is>
          <t>Föryngringsavverkning</t>
        </is>
      </c>
      <c r="D422" s="1" t="n">
        <v>45274</v>
      </c>
      <c r="E422" s="1" t="n">
        <v>46223</v>
      </c>
      <c r="F422" t="inlineStr">
        <is>
          <t>DALARNAS LÄN</t>
        </is>
      </c>
      <c r="G422" t="inlineStr">
        <is>
          <t>ORSA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22022-2022</t>
        </is>
      </c>
      <c r="B423" t="inlineStr">
        <is>
          <t>avverkningsanmälan</t>
        </is>
      </c>
      <c r="C423" t="inlineStr">
        <is>
          <t>Föryngringsavverkning</t>
        </is>
      </c>
      <c r="D423" s="1" t="n">
        <v>44711</v>
      </c>
      <c r="E423" s="1" t="n">
        <v>46223</v>
      </c>
      <c r="F423" t="inlineStr">
        <is>
          <t>DALARNAS LÄN</t>
        </is>
      </c>
      <c r="G423" t="inlineStr">
        <is>
          <t>ORSA</t>
        </is>
      </c>
      <c r="H423" t="inlineStr">
        <is>
          <t>Bergvik skog öst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57685-2021</t>
        </is>
      </c>
      <c r="B424" t="inlineStr">
        <is>
          <t>avverkningsanmälan</t>
        </is>
      </c>
      <c r="C424" t="inlineStr">
        <is>
          <t>Föryngringsavverkning</t>
        </is>
      </c>
      <c r="D424" s="1" t="n">
        <v>44484</v>
      </c>
      <c r="E424" s="1" t="n">
        <v>46223</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51563-2023</t>
        </is>
      </c>
      <c r="B425" t="inlineStr">
        <is>
          <t>avverkningsanmälan</t>
        </is>
      </c>
      <c r="C425" t="inlineStr">
        <is>
          <t>Föryngringsavverkning</t>
        </is>
      </c>
      <c r="D425" s="1" t="n">
        <v>45222</v>
      </c>
      <c r="E425" s="1" t="n">
        <v>46223</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5045-2026</t>
        </is>
      </c>
      <c r="B426" t="inlineStr">
        <is>
          <t>avverkningsanmälan</t>
        </is>
      </c>
      <c r="C426" t="inlineStr">
        <is>
          <t>Föryngringsavverkning</t>
        </is>
      </c>
      <c r="D426" s="1" t="n">
        <v>46049</v>
      </c>
      <c r="E426" s="1" t="n">
        <v>46223</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41971-2025</t>
        </is>
      </c>
      <c r="B427" t="inlineStr">
        <is>
          <t>avverkningsanmälan</t>
        </is>
      </c>
      <c r="C427" t="inlineStr">
        <is>
          <t>Föryngringsavverkning</t>
        </is>
      </c>
      <c r="D427" s="1" t="n">
        <v>45903</v>
      </c>
      <c r="E427" s="1" t="n">
        <v>46223</v>
      </c>
      <c r="F427" t="inlineStr">
        <is>
          <t>DALARNAS LÄN</t>
        </is>
      </c>
      <c r="G427" t="inlineStr">
        <is>
          <t>ORSA</t>
        </is>
      </c>
      <c r="I427" t="n">
        <v>15.8</v>
      </c>
      <c r="J427" t="n">
        <v>0</v>
      </c>
      <c r="K427" t="n">
        <v>0</v>
      </c>
      <c r="L427" t="n">
        <v>0</v>
      </c>
      <c r="M427" t="n">
        <v>0</v>
      </c>
      <c r="N427" t="n">
        <v>0</v>
      </c>
      <c r="O427" t="n">
        <v>0</v>
      </c>
      <c r="P427" t="n">
        <v>0</v>
      </c>
      <c r="Q427" t="n">
        <v>0</v>
      </c>
      <c r="R427" t="n">
        <v>0</v>
      </c>
      <c r="S427" t="n">
        <v>0</v>
      </c>
      <c r="T427" t="n">
        <v>0</v>
      </c>
      <c r="U427" s="2" t="inlineStr"/>
    </row>
    <row r="428" ht="15" customHeight="1">
      <c r="A428" t="inlineStr">
        <is>
          <t>A 47778-2021</t>
        </is>
      </c>
      <c r="B428" t="inlineStr">
        <is>
          <t>avverkningsanmälan</t>
        </is>
      </c>
      <c r="C428" t="inlineStr">
        <is>
          <t>Föryngringsavverkning</t>
        </is>
      </c>
      <c r="D428" s="1" t="n">
        <v>44448</v>
      </c>
      <c r="E428" s="1" t="n">
        <v>46223</v>
      </c>
      <c r="F428" t="inlineStr">
        <is>
          <t>DALARNAS LÄN</t>
        </is>
      </c>
      <c r="G428" t="inlineStr">
        <is>
          <t>ORSA</t>
        </is>
      </c>
      <c r="H428" t="inlineStr">
        <is>
          <t>Bergvik skog öst AB</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47564-2023</t>
        </is>
      </c>
      <c r="B429" t="inlineStr">
        <is>
          <t>avverkningsanmälan</t>
        </is>
      </c>
      <c r="C429" t="inlineStr">
        <is>
          <t>Föryngringsavverkning</t>
        </is>
      </c>
      <c r="D429" s="1" t="n">
        <v>45203</v>
      </c>
      <c r="E429" s="1" t="n">
        <v>46223</v>
      </c>
      <c r="F429" t="inlineStr">
        <is>
          <t>DALARNAS LÄN</t>
        </is>
      </c>
      <c r="G429" t="inlineStr">
        <is>
          <t>ORSA</t>
        </is>
      </c>
      <c r="H429" t="inlineStr">
        <is>
          <t>Allmännings- och besparingsskogar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597-2024</t>
        </is>
      </c>
      <c r="B430" t="inlineStr">
        <is>
          <t>avverkningsanmälan</t>
        </is>
      </c>
      <c r="C430" t="inlineStr">
        <is>
          <t>Föryngringsavverkning</t>
        </is>
      </c>
      <c r="D430" s="1" t="n">
        <v>45299</v>
      </c>
      <c r="E430" s="1" t="n">
        <v>46223</v>
      </c>
      <c r="F430" t="inlineStr">
        <is>
          <t>DALARNAS LÄN</t>
        </is>
      </c>
      <c r="G430" t="inlineStr">
        <is>
          <t>ORSA</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21511-2026</t>
        </is>
      </c>
      <c r="B431" t="inlineStr">
        <is>
          <t>avverkningsanmälan</t>
        </is>
      </c>
      <c r="C431" t="inlineStr">
        <is>
          <t>Föryngringsavverkning</t>
        </is>
      </c>
      <c r="D431" s="1" t="n">
        <v>46146</v>
      </c>
      <c r="E431" s="1" t="n">
        <v>46223</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53229-2023</t>
        </is>
      </c>
      <c r="B432" t="inlineStr">
        <is>
          <t>avverkningsanmälan</t>
        </is>
      </c>
      <c r="C432" t="inlineStr">
        <is>
          <t>Föryngringsavverkning</t>
        </is>
      </c>
      <c r="D432" s="1" t="n">
        <v>45229</v>
      </c>
      <c r="E432" s="1" t="n">
        <v>46223</v>
      </c>
      <c r="F432" t="inlineStr">
        <is>
          <t>DALARNAS LÄN</t>
        </is>
      </c>
      <c r="G432" t="inlineStr">
        <is>
          <t>ORSA</t>
        </is>
      </c>
      <c r="H432" t="inlineStr">
        <is>
          <t>Allmännings- och besparingsskogar</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55538-2023</t>
        </is>
      </c>
      <c r="B433" t="inlineStr">
        <is>
          <t>avverkningsanmälan</t>
        </is>
      </c>
      <c r="C433" t="inlineStr">
        <is>
          <t>Föryngringsavverkning</t>
        </is>
      </c>
      <c r="D433" s="1" t="n">
        <v>45238</v>
      </c>
      <c r="E433" s="1" t="n">
        <v>46223</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27141-2026</t>
        </is>
      </c>
      <c r="B434" t="inlineStr">
        <is>
          <t>avverkningsanmälan</t>
        </is>
      </c>
      <c r="C434" t="inlineStr">
        <is>
          <t>Föryngringsavverkning</t>
        </is>
      </c>
      <c r="D434" s="1" t="n">
        <v>46188</v>
      </c>
      <c r="E434" s="1" t="n">
        <v>46223</v>
      </c>
      <c r="F434" t="inlineStr">
        <is>
          <t>DALARNAS LÄN</t>
        </is>
      </c>
      <c r="G434" t="inlineStr">
        <is>
          <t>ORSA</t>
        </is>
      </c>
      <c r="H434" t="inlineStr">
        <is>
          <t>Bergvik skog öst AB</t>
        </is>
      </c>
      <c r="I434" t="n">
        <v>9</v>
      </c>
      <c r="J434" t="n">
        <v>0</v>
      </c>
      <c r="K434" t="n">
        <v>0</v>
      </c>
      <c r="L434" t="n">
        <v>0</v>
      </c>
      <c r="M434" t="n">
        <v>0</v>
      </c>
      <c r="N434" t="n">
        <v>0</v>
      </c>
      <c r="O434" t="n">
        <v>0</v>
      </c>
      <c r="P434" t="n">
        <v>0</v>
      </c>
      <c r="Q434" t="n">
        <v>0</v>
      </c>
      <c r="R434" t="n">
        <v>0</v>
      </c>
      <c r="S434" t="n">
        <v>0</v>
      </c>
      <c r="T434" t="n">
        <v>0</v>
      </c>
      <c r="U434" s="2" t="inlineStr"/>
    </row>
    <row r="435" ht="15" customHeight="1">
      <c r="A435" t="inlineStr">
        <is>
          <t>A 21225-2026</t>
        </is>
      </c>
      <c r="B435" t="inlineStr">
        <is>
          <t>avverkningsanmälan</t>
        </is>
      </c>
      <c r="C435" t="inlineStr">
        <is>
          <t>Föryngringsavverkning</t>
        </is>
      </c>
      <c r="D435" s="1" t="n">
        <v>46146</v>
      </c>
      <c r="E435" s="1" t="n">
        <v>46223</v>
      </c>
      <c r="F435" t="inlineStr">
        <is>
          <t>DALARNAS LÄN</t>
        </is>
      </c>
      <c r="G435" t="inlineStr">
        <is>
          <t>ORSA</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15113-2025</t>
        </is>
      </c>
      <c r="B436" t="inlineStr">
        <is>
          <t>avverkningsanmälan</t>
        </is>
      </c>
      <c r="C436" t="inlineStr">
        <is>
          <t>Föryngringsavverkning</t>
        </is>
      </c>
      <c r="D436" s="1" t="n">
        <v>45744</v>
      </c>
      <c r="E436" s="1" t="n">
        <v>46223</v>
      </c>
      <c r="F436" t="inlineStr">
        <is>
          <t>DALARNAS LÄN</t>
        </is>
      </c>
      <c r="G436" t="inlineStr">
        <is>
          <t>ORSA</t>
        </is>
      </c>
      <c r="H436" t="inlineStr">
        <is>
          <t>Allmännings- och besparingsskogar</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1624-2024</t>
        </is>
      </c>
      <c r="B437" t="inlineStr">
        <is>
          <t>avverkningsanmälan</t>
        </is>
      </c>
      <c r="C437" t="inlineStr">
        <is>
          <t>Föryngringsavverkning</t>
        </is>
      </c>
      <c r="D437" s="1" t="n">
        <v>45306</v>
      </c>
      <c r="E437" s="1" t="n">
        <v>46223</v>
      </c>
      <c r="F437" t="inlineStr">
        <is>
          <t>DALARNAS LÄN</t>
        </is>
      </c>
      <c r="G437" t="inlineStr">
        <is>
          <t>ORSA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19505-2022</t>
        </is>
      </c>
      <c r="B438" t="inlineStr">
        <is>
          <t>avverkningsanmälan</t>
        </is>
      </c>
      <c r="C438" t="inlineStr">
        <is>
          <t>Föryngringsavverkning</t>
        </is>
      </c>
      <c r="D438" s="1" t="n">
        <v>44693</v>
      </c>
      <c r="E438" s="1" t="n">
        <v>46223</v>
      </c>
      <c r="F438" t="inlineStr">
        <is>
          <t>DALARNAS LÄN</t>
        </is>
      </c>
      <c r="G438" t="inlineStr">
        <is>
          <t>ORSA</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21379-2026</t>
        </is>
      </c>
      <c r="B439" t="inlineStr">
        <is>
          <t>avverkningsanmälan</t>
        </is>
      </c>
      <c r="C439" t="inlineStr">
        <is>
          <t>Föryngringsavverkning</t>
        </is>
      </c>
      <c r="D439" s="1" t="n">
        <v>46147</v>
      </c>
      <c r="E439" s="1" t="n">
        <v>46223</v>
      </c>
      <c r="F439" t="inlineStr">
        <is>
          <t>DALARNAS LÄN</t>
        </is>
      </c>
      <c r="G439" t="inlineStr">
        <is>
          <t>ORSA</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27644-2026</t>
        </is>
      </c>
      <c r="B440" t="inlineStr">
        <is>
          <t>avverkningsanmälan</t>
        </is>
      </c>
      <c r="C440" t="inlineStr">
        <is>
          <t>Föryngringsavverkning</t>
        </is>
      </c>
      <c r="D440" s="1" t="n">
        <v>46190</v>
      </c>
      <c r="E440" s="1" t="n">
        <v>46223</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21530-2026</t>
        </is>
      </c>
      <c r="B441" t="inlineStr">
        <is>
          <t>avverkningsanmälan</t>
        </is>
      </c>
      <c r="C441" t="inlineStr">
        <is>
          <t>Föryngringsavverkning</t>
        </is>
      </c>
      <c r="D441" s="1" t="n">
        <v>46148</v>
      </c>
      <c r="E441" s="1" t="n">
        <v>46223</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21900-2026</t>
        </is>
      </c>
      <c r="B442" t="inlineStr">
        <is>
          <t>avverkningsanmälan</t>
        </is>
      </c>
      <c r="C442" t="inlineStr">
        <is>
          <t>Föryngringsavverkning</t>
        </is>
      </c>
      <c r="D442" s="1" t="n">
        <v>46150</v>
      </c>
      <c r="E442" s="1" t="n">
        <v>46223</v>
      </c>
      <c r="F442" t="inlineStr">
        <is>
          <t>DALARNAS LÄN</t>
        </is>
      </c>
      <c r="G442" t="inlineStr">
        <is>
          <t>ORSA</t>
        </is>
      </c>
      <c r="H442" t="inlineStr">
        <is>
          <t>Allmännings- och besparingsskogar</t>
        </is>
      </c>
      <c r="I442" t="n">
        <v>11.8</v>
      </c>
      <c r="J442" t="n">
        <v>0</v>
      </c>
      <c r="K442" t="n">
        <v>0</v>
      </c>
      <c r="L442" t="n">
        <v>0</v>
      </c>
      <c r="M442" t="n">
        <v>0</v>
      </c>
      <c r="N442" t="n">
        <v>0</v>
      </c>
      <c r="O442" t="n">
        <v>0</v>
      </c>
      <c r="P442" t="n">
        <v>0</v>
      </c>
      <c r="Q442" t="n">
        <v>0</v>
      </c>
      <c r="R442" t="n">
        <v>0</v>
      </c>
      <c r="S442" t="n">
        <v>0</v>
      </c>
      <c r="T442" t="n">
        <v>0</v>
      </c>
      <c r="U442" s="2" t="inlineStr"/>
    </row>
    <row r="443" ht="15" customHeight="1">
      <c r="A443" t="inlineStr">
        <is>
          <t>A 47732-2022</t>
        </is>
      </c>
      <c r="B443" t="inlineStr">
        <is>
          <t>avverkningsanmälan</t>
        </is>
      </c>
      <c r="C443" t="inlineStr">
        <is>
          <t>Föryngringsavverkning</t>
        </is>
      </c>
      <c r="D443" s="1" t="n">
        <v>44854</v>
      </c>
      <c r="E443" s="1" t="n">
        <v>46223</v>
      </c>
      <c r="F443" t="inlineStr">
        <is>
          <t>DALARNAS LÄN</t>
        </is>
      </c>
      <c r="G443" t="inlineStr">
        <is>
          <t>ORSA</t>
        </is>
      </c>
      <c r="H443" t="inlineStr">
        <is>
          <t>Bergvik skog öst AB</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61279-2023</t>
        </is>
      </c>
      <c r="B444" t="inlineStr">
        <is>
          <t>avverkningsanmälan</t>
        </is>
      </c>
      <c r="C444" t="inlineStr">
        <is>
          <t>Föryngringsavverkning</t>
        </is>
      </c>
      <c r="D444" s="1" t="n">
        <v>45264</v>
      </c>
      <c r="E444" s="1" t="n">
        <v>46223</v>
      </c>
      <c r="F444" t="inlineStr">
        <is>
          <t>DALARNAS LÄN</t>
        </is>
      </c>
      <c r="G444" t="inlineStr">
        <is>
          <t>ORSA</t>
        </is>
      </c>
      <c r="I444" t="n">
        <v>0.2</v>
      </c>
      <c r="J444" t="n">
        <v>0</v>
      </c>
      <c r="K444" t="n">
        <v>0</v>
      </c>
      <c r="L444" t="n">
        <v>0</v>
      </c>
      <c r="M444" t="n">
        <v>0</v>
      </c>
      <c r="N444" t="n">
        <v>0</v>
      </c>
      <c r="O444" t="n">
        <v>0</v>
      </c>
      <c r="P444" t="n">
        <v>0</v>
      </c>
      <c r="Q444" t="n">
        <v>0</v>
      </c>
      <c r="R444" t="n">
        <v>0</v>
      </c>
      <c r="S444" t="n">
        <v>0</v>
      </c>
      <c r="T444" t="n">
        <v>0</v>
      </c>
      <c r="U444" s="2" t="inlineStr"/>
    </row>
    <row r="445" ht="15" customHeight="1">
      <c r="A445" t="inlineStr">
        <is>
          <t>A 23461-2023</t>
        </is>
      </c>
      <c r="B445" t="inlineStr">
        <is>
          <t>avverkningsanmälan</t>
        </is>
      </c>
      <c r="C445" t="inlineStr">
        <is>
          <t>Föryngringsavverkning</t>
        </is>
      </c>
      <c r="D445" s="1" t="n">
        <v>45076</v>
      </c>
      <c r="E445" s="1" t="n">
        <v>46223</v>
      </c>
      <c r="F445" t="inlineStr">
        <is>
          <t>DALARNAS LÄN</t>
        </is>
      </c>
      <c r="G445" t="inlineStr">
        <is>
          <t>ORSA</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18037-2023</t>
        </is>
      </c>
      <c r="B446" t="inlineStr">
        <is>
          <t>avverkningsanmälan</t>
        </is>
      </c>
      <c r="C446" t="inlineStr">
        <is>
          <t>Föryngringsavverkning</t>
        </is>
      </c>
      <c r="D446" s="1" t="n">
        <v>45040</v>
      </c>
      <c r="E446" s="1" t="n">
        <v>46223</v>
      </c>
      <c r="F446" t="inlineStr">
        <is>
          <t>DALARNAS LÄN</t>
        </is>
      </c>
      <c r="G446" t="inlineStr">
        <is>
          <t>ORSA</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27803-2026</t>
        </is>
      </c>
      <c r="B447" t="inlineStr">
        <is>
          <t>avverkningsanmälan</t>
        </is>
      </c>
      <c r="C447" t="inlineStr">
        <is>
          <t>Föryngringsavverkning</t>
        </is>
      </c>
      <c r="D447" s="1" t="n">
        <v>46189</v>
      </c>
      <c r="E447" s="1" t="n">
        <v>46223</v>
      </c>
      <c r="F447" t="inlineStr">
        <is>
          <t>DALARNAS LÄN</t>
        </is>
      </c>
      <c r="G447" t="inlineStr">
        <is>
          <t>ORSA</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15114-2025</t>
        </is>
      </c>
      <c r="B448" t="inlineStr">
        <is>
          <t>avverkningsanmälan</t>
        </is>
      </c>
      <c r="C448" t="inlineStr">
        <is>
          <t>Föryngringsavverkning</t>
        </is>
      </c>
      <c r="D448" s="1" t="n">
        <v>45744</v>
      </c>
      <c r="E448" s="1" t="n">
        <v>46223</v>
      </c>
      <c r="F448" t="inlineStr">
        <is>
          <t>DALARNAS LÄN</t>
        </is>
      </c>
      <c r="G448" t="inlineStr">
        <is>
          <t>ORSA</t>
        </is>
      </c>
      <c r="H448" t="inlineStr">
        <is>
          <t>Allmännings- och besparingsskogar</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28342-2026</t>
        </is>
      </c>
      <c r="B449" t="inlineStr">
        <is>
          <t>avverkningsanmälan</t>
        </is>
      </c>
      <c r="C449" t="inlineStr">
        <is>
          <t>Föryngringsavverkning</t>
        </is>
      </c>
      <c r="D449" s="1" t="n">
        <v>46196</v>
      </c>
      <c r="E449" s="1" t="n">
        <v>46223</v>
      </c>
      <c r="F449" t="inlineStr">
        <is>
          <t>DALARNAS LÄN</t>
        </is>
      </c>
      <c r="G449" t="inlineStr">
        <is>
          <t>ORSA</t>
        </is>
      </c>
      <c r="H449" t="inlineStr">
        <is>
          <t>Allmännings- och besparingsskogar</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28343-2026</t>
        </is>
      </c>
      <c r="B450" t="inlineStr">
        <is>
          <t>avverkningsanmälan</t>
        </is>
      </c>
      <c r="C450" t="inlineStr">
        <is>
          <t>Föryngringsavverkning</t>
        </is>
      </c>
      <c r="D450" s="1" t="n">
        <v>46196</v>
      </c>
      <c r="E450" s="1" t="n">
        <v>46223</v>
      </c>
      <c r="F450" t="inlineStr">
        <is>
          <t>DALARNAS LÄN</t>
        </is>
      </c>
      <c r="G450" t="inlineStr">
        <is>
          <t>ORSA</t>
        </is>
      </c>
      <c r="H450" t="inlineStr">
        <is>
          <t>Allmännings- och besparingsskogar</t>
        </is>
      </c>
      <c r="I450" t="n">
        <v>10.4</v>
      </c>
      <c r="J450" t="n">
        <v>0</v>
      </c>
      <c r="K450" t="n">
        <v>0</v>
      </c>
      <c r="L450" t="n">
        <v>0</v>
      </c>
      <c r="M450" t="n">
        <v>0</v>
      </c>
      <c r="N450" t="n">
        <v>0</v>
      </c>
      <c r="O450" t="n">
        <v>0</v>
      </c>
      <c r="P450" t="n">
        <v>0</v>
      </c>
      <c r="Q450" t="n">
        <v>0</v>
      </c>
      <c r="R450" t="n">
        <v>0</v>
      </c>
      <c r="S450" t="n">
        <v>0</v>
      </c>
      <c r="T450" t="n">
        <v>0</v>
      </c>
      <c r="U450" s="2" t="inlineStr"/>
    </row>
    <row r="451" ht="15" customHeight="1">
      <c r="A451" t="inlineStr">
        <is>
          <t>A 58686-2025</t>
        </is>
      </c>
      <c r="B451" t="inlineStr">
        <is>
          <t>avverkningsanmälan</t>
        </is>
      </c>
      <c r="C451" t="inlineStr">
        <is>
          <t>Föryngringsavverkning</t>
        </is>
      </c>
      <c r="D451" s="1" t="n">
        <v>45986</v>
      </c>
      <c r="E451" s="1" t="n">
        <v>46223</v>
      </c>
      <c r="F451" t="inlineStr">
        <is>
          <t>DALARNAS LÄN</t>
        </is>
      </c>
      <c r="G451" t="inlineStr">
        <is>
          <t>ORSA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15657-2026</t>
        </is>
      </c>
      <c r="B452" t="inlineStr">
        <is>
          <t>avverkningsanmälan</t>
        </is>
      </c>
      <c r="C452" t="inlineStr">
        <is>
          <t>Föryngringsavverkning</t>
        </is>
      </c>
      <c r="D452" s="1" t="n">
        <v>46106</v>
      </c>
      <c r="E452" s="1" t="n">
        <v>46223</v>
      </c>
      <c r="F452" t="inlineStr">
        <is>
          <t>DALARNAS LÄN</t>
        </is>
      </c>
      <c r="G452" t="inlineStr">
        <is>
          <t>ORSA</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63917-2023</t>
        </is>
      </c>
      <c r="B453" t="inlineStr">
        <is>
          <t>avverkningsanmälan</t>
        </is>
      </c>
      <c r="C453" t="inlineStr">
        <is>
          <t>Föryngringsavverkning</t>
        </is>
      </c>
      <c r="D453" s="1" t="n">
        <v>45278</v>
      </c>
      <c r="E453" s="1" t="n">
        <v>46223</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52912-2023</t>
        </is>
      </c>
      <c r="B454" t="inlineStr">
        <is>
          <t>avverkningsanmälan</t>
        </is>
      </c>
      <c r="C454" t="inlineStr">
        <is>
          <t>Föryngringsavverkning</t>
        </is>
      </c>
      <c r="D454" s="1" t="n">
        <v>45226</v>
      </c>
      <c r="E454" s="1" t="n">
        <v>46223</v>
      </c>
      <c r="F454" t="inlineStr">
        <is>
          <t>DALARNAS LÄN</t>
        </is>
      </c>
      <c r="G454" t="inlineStr">
        <is>
          <t>ORSA</t>
        </is>
      </c>
      <c r="I454" t="n">
        <v>10.9</v>
      </c>
      <c r="J454" t="n">
        <v>0</v>
      </c>
      <c r="K454" t="n">
        <v>0</v>
      </c>
      <c r="L454" t="n">
        <v>0</v>
      </c>
      <c r="M454" t="n">
        <v>0</v>
      </c>
      <c r="N454" t="n">
        <v>0</v>
      </c>
      <c r="O454" t="n">
        <v>0</v>
      </c>
      <c r="P454" t="n">
        <v>0</v>
      </c>
      <c r="Q454" t="n">
        <v>0</v>
      </c>
      <c r="R454" t="n">
        <v>0</v>
      </c>
      <c r="S454" t="n">
        <v>0</v>
      </c>
      <c r="T454" t="n">
        <v>0</v>
      </c>
      <c r="U454" s="2" t="inlineStr"/>
    </row>
    <row r="455" ht="15" customHeight="1">
      <c r="A455" t="inlineStr">
        <is>
          <t>A 37981-2024</t>
        </is>
      </c>
      <c r="B455" t="inlineStr">
        <is>
          <t>avverkningsanmälan</t>
        </is>
      </c>
      <c r="C455" t="inlineStr">
        <is>
          <t>Avverkning för annat ändamål</t>
        </is>
      </c>
      <c r="D455" s="1" t="n">
        <v>45544</v>
      </c>
      <c r="E455" s="1" t="n">
        <v>46223</v>
      </c>
      <c r="F455" t="inlineStr">
        <is>
          <t>DALARNAS LÄN</t>
        </is>
      </c>
      <c r="G455" t="inlineStr">
        <is>
          <t>ORSA</t>
        </is>
      </c>
      <c r="H455" t="inlineStr">
        <is>
          <t>Allmännings- och besparingsskogar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10832-2022</t>
        </is>
      </c>
      <c r="B456" t="inlineStr">
        <is>
          <t>avverkningsanmälan</t>
        </is>
      </c>
      <c r="C456" t="inlineStr">
        <is>
          <t>Föryngringsavverkning</t>
        </is>
      </c>
      <c r="D456" s="1" t="n">
        <v>44627</v>
      </c>
      <c r="E456" s="1" t="n">
        <v>46223</v>
      </c>
      <c r="F456" t="inlineStr">
        <is>
          <t>DALARNAS LÄN</t>
        </is>
      </c>
      <c r="G456" t="inlineStr">
        <is>
          <t>ORSA</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22497-2026</t>
        </is>
      </c>
      <c r="B457" t="inlineStr">
        <is>
          <t>avverkningsanmälan</t>
        </is>
      </c>
      <c r="C457" t="inlineStr">
        <is>
          <t>Föryngringsavverkning</t>
        </is>
      </c>
      <c r="D457" s="1" t="n">
        <v>46154</v>
      </c>
      <c r="E457" s="1" t="n">
        <v>46223</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10359-2023</t>
        </is>
      </c>
      <c r="B458" t="inlineStr">
        <is>
          <t>avverkningsanmälan</t>
        </is>
      </c>
      <c r="C458" t="inlineStr">
        <is>
          <t>Föryngringsavverkning</t>
        </is>
      </c>
      <c r="D458" s="1" t="n">
        <v>44987</v>
      </c>
      <c r="E458" s="1" t="n">
        <v>46223</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22039-2026</t>
        </is>
      </c>
      <c r="B459" t="inlineStr">
        <is>
          <t>avverkningsanmälan</t>
        </is>
      </c>
      <c r="C459" t="inlineStr">
        <is>
          <t>Föryngringsavverkning</t>
        </is>
      </c>
      <c r="D459" s="1" t="n">
        <v>46153</v>
      </c>
      <c r="E459" s="1" t="n">
        <v>46223</v>
      </c>
      <c r="F459" t="inlineStr">
        <is>
          <t>DALARNAS LÄN</t>
        </is>
      </c>
      <c r="G459" t="inlineStr">
        <is>
          <t>ORSA</t>
        </is>
      </c>
      <c r="H459" t="inlineStr">
        <is>
          <t>Bergvik skog öst AB</t>
        </is>
      </c>
      <c r="I459" t="n">
        <v>13.1</v>
      </c>
      <c r="J459" t="n">
        <v>0</v>
      </c>
      <c r="K459" t="n">
        <v>0</v>
      </c>
      <c r="L459" t="n">
        <v>0</v>
      </c>
      <c r="M459" t="n">
        <v>0</v>
      </c>
      <c r="N459" t="n">
        <v>0</v>
      </c>
      <c r="O459" t="n">
        <v>0</v>
      </c>
      <c r="P459" t="n">
        <v>0</v>
      </c>
      <c r="Q459" t="n">
        <v>0</v>
      </c>
      <c r="R459" t="n">
        <v>0</v>
      </c>
      <c r="S459" t="n">
        <v>0</v>
      </c>
      <c r="T459" t="n">
        <v>0</v>
      </c>
      <c r="U459" s="2" t="inlineStr"/>
    </row>
    <row r="460" ht="15" customHeight="1">
      <c r="A460" t="inlineStr">
        <is>
          <t>A 49270-2024</t>
        </is>
      </c>
      <c r="B460" t="inlineStr">
        <is>
          <t>avverkningsanmälan</t>
        </is>
      </c>
      <c r="C460" t="inlineStr">
        <is>
          <t>Föryngringsavverkning</t>
        </is>
      </c>
      <c r="D460" s="1" t="n">
        <v>45595</v>
      </c>
      <c r="E460" s="1" t="n">
        <v>46223</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22228-2026</t>
        </is>
      </c>
      <c r="B461" t="inlineStr">
        <is>
          <t>avverkningsanmälan</t>
        </is>
      </c>
      <c r="C461" t="inlineStr">
        <is>
          <t>Föryngringsavverkning</t>
        </is>
      </c>
      <c r="D461" s="1" t="n">
        <v>46153</v>
      </c>
      <c r="E461" s="1" t="n">
        <v>46223</v>
      </c>
      <c r="F461" t="inlineStr">
        <is>
          <t>DALARNAS LÄN</t>
        </is>
      </c>
      <c r="G461" t="inlineStr">
        <is>
          <t>ORSA</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28807-2026</t>
        </is>
      </c>
      <c r="B462" t="inlineStr">
        <is>
          <t>avverkningsanmälan</t>
        </is>
      </c>
      <c r="C462" t="inlineStr">
        <is>
          <t>Föryngringsavverkning</t>
        </is>
      </c>
      <c r="D462" s="1" t="n">
        <v>46198</v>
      </c>
      <c r="E462" s="1" t="n">
        <v>46223</v>
      </c>
      <c r="F462" t="inlineStr">
        <is>
          <t>DALARNAS LÄN</t>
        </is>
      </c>
      <c r="G462" t="inlineStr">
        <is>
          <t>ORSA</t>
        </is>
      </c>
      <c r="H462" t="inlineStr">
        <is>
          <t>Allmännings- och besparingsskogar</t>
        </is>
      </c>
      <c r="I462" t="n">
        <v>13.9</v>
      </c>
      <c r="J462" t="n">
        <v>0</v>
      </c>
      <c r="K462" t="n">
        <v>0</v>
      </c>
      <c r="L462" t="n">
        <v>0</v>
      </c>
      <c r="M462" t="n">
        <v>0</v>
      </c>
      <c r="N462" t="n">
        <v>0</v>
      </c>
      <c r="O462" t="n">
        <v>0</v>
      </c>
      <c r="P462" t="n">
        <v>0</v>
      </c>
      <c r="Q462" t="n">
        <v>0</v>
      </c>
      <c r="R462" t="n">
        <v>0</v>
      </c>
      <c r="S462" t="n">
        <v>0</v>
      </c>
      <c r="T462" t="n">
        <v>0</v>
      </c>
      <c r="U462" s="2" t="inlineStr"/>
    </row>
    <row r="463" ht="15" customHeight="1">
      <c r="A463" t="inlineStr">
        <is>
          <t>A 56810-2024</t>
        </is>
      </c>
      <c r="B463" t="inlineStr">
        <is>
          <t>avverkningsanmälan</t>
        </is>
      </c>
      <c r="C463" t="inlineStr">
        <is>
          <t>Föryngringsavverkning</t>
        </is>
      </c>
      <c r="D463" s="1" t="n">
        <v>45628</v>
      </c>
      <c r="E463" s="1" t="n">
        <v>46223</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56811-2024</t>
        </is>
      </c>
      <c r="B464" t="inlineStr">
        <is>
          <t>avverkningsanmälan</t>
        </is>
      </c>
      <c r="C464" t="inlineStr">
        <is>
          <t>Föryngringsavverkning</t>
        </is>
      </c>
      <c r="D464" s="1" t="n">
        <v>45628</v>
      </c>
      <c r="E464" s="1" t="n">
        <v>46223</v>
      </c>
      <c r="F464" t="inlineStr">
        <is>
          <t>DALARNAS LÄN</t>
        </is>
      </c>
      <c r="G464" t="inlineStr">
        <is>
          <t>ORSA</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3168-2024</t>
        </is>
      </c>
      <c r="B465" t="inlineStr">
        <is>
          <t>avverkningsanmälan</t>
        </is>
      </c>
      <c r="C465" t="inlineStr">
        <is>
          <t>Föryngringsavverkning</t>
        </is>
      </c>
      <c r="D465" s="1" t="n">
        <v>45316</v>
      </c>
      <c r="E465" s="1" t="n">
        <v>46223</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22615-2026</t>
        </is>
      </c>
      <c r="B466" t="inlineStr">
        <is>
          <t>avverkningsanmälan</t>
        </is>
      </c>
      <c r="C466" t="inlineStr">
        <is>
          <t>Föryngringsavverkning</t>
        </is>
      </c>
      <c r="D466" s="1" t="n">
        <v>46155</v>
      </c>
      <c r="E466" s="1" t="n">
        <v>46223</v>
      </c>
      <c r="F466" t="inlineStr">
        <is>
          <t>DALARNAS LÄN</t>
        </is>
      </c>
      <c r="G466" t="inlineStr">
        <is>
          <t>ORSA</t>
        </is>
      </c>
      <c r="H466" t="inlineStr">
        <is>
          <t>Bergvik skog öst AB</t>
        </is>
      </c>
      <c r="I466" t="n">
        <v>5.5</v>
      </c>
      <c r="J466" t="n">
        <v>0</v>
      </c>
      <c r="K466" t="n">
        <v>0</v>
      </c>
      <c r="L466" t="n">
        <v>0</v>
      </c>
      <c r="M466" t="n">
        <v>0</v>
      </c>
      <c r="N466" t="n">
        <v>0</v>
      </c>
      <c r="O466" t="n">
        <v>0</v>
      </c>
      <c r="P466" t="n">
        <v>0</v>
      </c>
      <c r="Q466" t="n">
        <v>0</v>
      </c>
      <c r="R466" t="n">
        <v>0</v>
      </c>
      <c r="S466" t="n">
        <v>0</v>
      </c>
      <c r="T466" t="n">
        <v>0</v>
      </c>
      <c r="U466" s="2" t="inlineStr"/>
    </row>
    <row r="467" ht="15" customHeight="1">
      <c r="A467" t="inlineStr">
        <is>
          <t>A 50905-2021</t>
        </is>
      </c>
      <c r="B467" t="inlineStr">
        <is>
          <t>avverkningsanmälan</t>
        </is>
      </c>
      <c r="C467" t="inlineStr">
        <is>
          <t>Föryngringsavverkning</t>
        </is>
      </c>
      <c r="D467" s="1" t="n">
        <v>44460</v>
      </c>
      <c r="E467" s="1" t="n">
        <v>46223</v>
      </c>
      <c r="F467" t="inlineStr">
        <is>
          <t>DALARNAS LÄN</t>
        </is>
      </c>
      <c r="G467" t="inlineStr">
        <is>
          <t>ORSA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72310-2021</t>
        </is>
      </c>
      <c r="B468" t="inlineStr">
        <is>
          <t>avverkningsanmälan</t>
        </is>
      </c>
      <c r="C468" t="inlineStr">
        <is>
          <t>Föryngringsavverkning</t>
        </is>
      </c>
      <c r="D468" s="1" t="n">
        <v>44545</v>
      </c>
      <c r="E468" s="1" t="n">
        <v>46223</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22515-2026</t>
        </is>
      </c>
      <c r="B469" t="inlineStr">
        <is>
          <t>avverkningsanmälan</t>
        </is>
      </c>
      <c r="C469" t="inlineStr">
        <is>
          <t>Föryngringsavverkning</t>
        </is>
      </c>
      <c r="D469" s="1" t="n">
        <v>46155</v>
      </c>
      <c r="E469" s="1" t="n">
        <v>46223</v>
      </c>
      <c r="F469" t="inlineStr">
        <is>
          <t>DALARNAS LÄN</t>
        </is>
      </c>
      <c r="G469" t="inlineStr">
        <is>
          <t>ORSA</t>
        </is>
      </c>
      <c r="H469" t="inlineStr">
        <is>
          <t>Bergvik skog öst AB</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34374-2024</t>
        </is>
      </c>
      <c r="B470" t="inlineStr">
        <is>
          <t>avverkningsanmälan</t>
        </is>
      </c>
      <c r="C470" t="inlineStr">
        <is>
          <t>Föryngringsavverkning</t>
        </is>
      </c>
      <c r="D470" s="1" t="n">
        <v>45525</v>
      </c>
      <c r="E470" s="1" t="n">
        <v>46223</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22590-2026</t>
        </is>
      </c>
      <c r="B471" t="inlineStr">
        <is>
          <t>avverkningsanmälan</t>
        </is>
      </c>
      <c r="C471" t="inlineStr">
        <is>
          <t>Föryngringsavverkning</t>
        </is>
      </c>
      <c r="D471" s="1" t="n">
        <v>46155</v>
      </c>
      <c r="E471" s="1" t="n">
        <v>46223</v>
      </c>
      <c r="F471" t="inlineStr">
        <is>
          <t>DALARNAS LÄN</t>
        </is>
      </c>
      <c r="G471" t="inlineStr">
        <is>
          <t>ORSA</t>
        </is>
      </c>
      <c r="H471" t="inlineStr">
        <is>
          <t>Bergvik skog öst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22728-2026</t>
        </is>
      </c>
      <c r="B472" t="inlineStr">
        <is>
          <t>avverkningsanmälan</t>
        </is>
      </c>
      <c r="C472" t="inlineStr">
        <is>
          <t>Föryngringsavverkning</t>
        </is>
      </c>
      <c r="D472" s="1" t="n">
        <v>46157</v>
      </c>
      <c r="E472" s="1" t="n">
        <v>46223</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22829-2026</t>
        </is>
      </c>
      <c r="B473" t="inlineStr">
        <is>
          <t>avverkningsanmälan</t>
        </is>
      </c>
      <c r="C473" t="inlineStr">
        <is>
          <t>Föryngringsavverkning</t>
        </is>
      </c>
      <c r="D473" s="1" t="n">
        <v>46160</v>
      </c>
      <c r="E473" s="1" t="n">
        <v>46223</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21216-2023</t>
        </is>
      </c>
      <c r="B474" t="inlineStr">
        <is>
          <t>avverkningsanmälan</t>
        </is>
      </c>
      <c r="C474" t="inlineStr">
        <is>
          <t>Föryngringsavverkning</t>
        </is>
      </c>
      <c r="D474" s="1" t="n">
        <v>45062</v>
      </c>
      <c r="E474" s="1" t="n">
        <v>46223</v>
      </c>
      <c r="F474" t="inlineStr">
        <is>
          <t>DALARNAS LÄN</t>
        </is>
      </c>
      <c r="G474" t="inlineStr">
        <is>
          <t>ORSA</t>
        </is>
      </c>
      <c r="H474" t="inlineStr">
        <is>
          <t>Bergvik skog öst AB</t>
        </is>
      </c>
      <c r="I474" t="n">
        <v>3.8</v>
      </c>
      <c r="J474" t="n">
        <v>0</v>
      </c>
      <c r="K474" t="n">
        <v>0</v>
      </c>
      <c r="L474" t="n">
        <v>0</v>
      </c>
      <c r="M474" t="n">
        <v>0</v>
      </c>
      <c r="N474" t="n">
        <v>0</v>
      </c>
      <c r="O474" t="n">
        <v>0</v>
      </c>
      <c r="P474" t="n">
        <v>0</v>
      </c>
      <c r="Q474" t="n">
        <v>0</v>
      </c>
      <c r="R474" t="n">
        <v>0</v>
      </c>
      <c r="S474" t="n">
        <v>0</v>
      </c>
      <c r="T474" t="n">
        <v>0</v>
      </c>
      <c r="U474" s="2" t="inlineStr"/>
    </row>
    <row r="475" ht="15" customHeight="1">
      <c r="A475" t="inlineStr">
        <is>
          <t>A 10374-2023</t>
        </is>
      </c>
      <c r="B475" t="inlineStr">
        <is>
          <t>avverkningsanmälan</t>
        </is>
      </c>
      <c r="C475" t="inlineStr">
        <is>
          <t>Föryngringsavverkning</t>
        </is>
      </c>
      <c r="D475" s="1" t="n">
        <v>44987</v>
      </c>
      <c r="E475" s="1" t="n">
        <v>46223</v>
      </c>
      <c r="F475" t="inlineStr">
        <is>
          <t>DALARNAS LÄN</t>
        </is>
      </c>
      <c r="G475" t="inlineStr">
        <is>
          <t>ORSA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27603-2026</t>
        </is>
      </c>
      <c r="B476" t="inlineStr">
        <is>
          <t>avverkningsanmälan</t>
        </is>
      </c>
      <c r="C476" t="inlineStr">
        <is>
          <t>Föryngringsavverkning</t>
        </is>
      </c>
      <c r="D476" s="1" t="n">
        <v>46190</v>
      </c>
      <c r="E476" s="1" t="n">
        <v>46223</v>
      </c>
      <c r="F476" t="inlineStr">
        <is>
          <t>DALARNAS LÄN</t>
        </is>
      </c>
      <c r="G476" t="inlineStr">
        <is>
          <t>ORSA</t>
        </is>
      </c>
      <c r="H476" t="inlineStr">
        <is>
          <t>Allmännings- och besparingsskogar</t>
        </is>
      </c>
      <c r="I476" t="n">
        <v>5.3</v>
      </c>
      <c r="J476" t="n">
        <v>0</v>
      </c>
      <c r="K476" t="n">
        <v>0</v>
      </c>
      <c r="L476" t="n">
        <v>0</v>
      </c>
      <c r="M476" t="n">
        <v>0</v>
      </c>
      <c r="N476" t="n">
        <v>0</v>
      </c>
      <c r="O476" t="n">
        <v>0</v>
      </c>
      <c r="P476" t="n">
        <v>0</v>
      </c>
      <c r="Q476" t="n">
        <v>0</v>
      </c>
      <c r="R476" t="n">
        <v>0</v>
      </c>
      <c r="S476" t="n">
        <v>0</v>
      </c>
      <c r="T476" t="n">
        <v>0</v>
      </c>
      <c r="U476" s="2" t="inlineStr"/>
    </row>
    <row r="477" ht="15" customHeight="1">
      <c r="A477" t="inlineStr">
        <is>
          <t>A 28954-2026</t>
        </is>
      </c>
      <c r="B477" t="inlineStr">
        <is>
          <t>avverkningsanmälan</t>
        </is>
      </c>
      <c r="C477" t="inlineStr">
        <is>
          <t>Föryngringsavverkning</t>
        </is>
      </c>
      <c r="D477" s="1" t="n">
        <v>46199</v>
      </c>
      <c r="E477" s="1" t="n">
        <v>46223</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s="2" t="inlineStr"/>
    </row>
    <row r="478" ht="15" customHeight="1">
      <c r="A478" t="inlineStr">
        <is>
          <t>A 27531-2026</t>
        </is>
      </c>
      <c r="B478" t="inlineStr">
        <is>
          <t>avverkningsanmälan</t>
        </is>
      </c>
      <c r="C478" t="inlineStr">
        <is>
          <t>Föryngringsavverkning</t>
        </is>
      </c>
      <c r="D478" s="1" t="n">
        <v>46189</v>
      </c>
      <c r="E478" s="1" t="n">
        <v>46223</v>
      </c>
      <c r="F478" t="inlineStr">
        <is>
          <t>DALARNAS LÄN</t>
        </is>
      </c>
      <c r="G478" t="inlineStr">
        <is>
          <t>ORSA</t>
        </is>
      </c>
      <c r="H478" t="inlineStr">
        <is>
          <t>Allmännings- och besparingsskogar</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55691-2022</t>
        </is>
      </c>
      <c r="B479" t="inlineStr">
        <is>
          <t>avverkningsanmälan</t>
        </is>
      </c>
      <c r="C479" t="inlineStr">
        <is>
          <t>Föryngringsavverkning</t>
        </is>
      </c>
      <c r="D479" s="1" t="n">
        <v>44888</v>
      </c>
      <c r="E479" s="1" t="n">
        <v>46223</v>
      </c>
      <c r="F479" t="inlineStr">
        <is>
          <t>DALARNAS LÄN</t>
        </is>
      </c>
      <c r="G479" t="inlineStr">
        <is>
          <t>ORSA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29470-2026</t>
        </is>
      </c>
      <c r="B480" t="inlineStr">
        <is>
          <t>avverkningsanmälan</t>
        </is>
      </c>
      <c r="C480" t="inlineStr">
        <is>
          <t>Föryngringsavverkning</t>
        </is>
      </c>
      <c r="D480" s="1" t="n">
        <v>46203</v>
      </c>
      <c r="E480" s="1" t="n">
        <v>46223</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3166-2024</t>
        </is>
      </c>
      <c r="B481" t="inlineStr">
        <is>
          <t>avverkningsanmälan</t>
        </is>
      </c>
      <c r="C481" t="inlineStr">
        <is>
          <t>Föryngringsavverkning</t>
        </is>
      </c>
      <c r="D481" s="1" t="n">
        <v>45316</v>
      </c>
      <c r="E481" s="1" t="n">
        <v>46223</v>
      </c>
      <c r="F481" t="inlineStr">
        <is>
          <t>DALARNAS LÄN</t>
        </is>
      </c>
      <c r="G481" t="inlineStr">
        <is>
          <t>ORSA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29711-2026</t>
        </is>
      </c>
      <c r="B482" t="inlineStr">
        <is>
          <t>avverkningsanmälan</t>
        </is>
      </c>
      <c r="C482" t="inlineStr">
        <is>
          <t>Föryngringsavverkning</t>
        </is>
      </c>
      <c r="D482" s="1" t="n">
        <v>46204</v>
      </c>
      <c r="E482" s="1" t="n">
        <v>46223</v>
      </c>
      <c r="F482" t="inlineStr">
        <is>
          <t>DALARNAS LÄN</t>
        </is>
      </c>
      <c r="G482" t="inlineStr">
        <is>
          <t>ORSA</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29603-2026</t>
        </is>
      </c>
      <c r="B483" t="inlineStr">
        <is>
          <t>avverkningsanmälan</t>
        </is>
      </c>
      <c r="C483" t="inlineStr">
        <is>
          <t>Föryngringsavverkning</t>
        </is>
      </c>
      <c r="D483" s="1" t="n">
        <v>46204</v>
      </c>
      <c r="E483" s="1" t="n">
        <v>46223</v>
      </c>
      <c r="F483" t="inlineStr">
        <is>
          <t>DALARNAS LÄN</t>
        </is>
      </c>
      <c r="G483" t="inlineStr">
        <is>
          <t>ORSA</t>
        </is>
      </c>
      <c r="I483" t="n">
        <v>16.6</v>
      </c>
      <c r="J483" t="n">
        <v>0</v>
      </c>
      <c r="K483" t="n">
        <v>0</v>
      </c>
      <c r="L483" t="n">
        <v>0</v>
      </c>
      <c r="M483" t="n">
        <v>0</v>
      </c>
      <c r="N483" t="n">
        <v>0</v>
      </c>
      <c r="O483" t="n">
        <v>0</v>
      </c>
      <c r="P483" t="n">
        <v>0</v>
      </c>
      <c r="Q483" t="n">
        <v>0</v>
      </c>
      <c r="R483" t="n">
        <v>0</v>
      </c>
      <c r="S483" t="n">
        <v>0</v>
      </c>
      <c r="T483" t="n">
        <v>0</v>
      </c>
      <c r="U483" s="2" t="inlineStr"/>
    </row>
    <row r="484" ht="15" customHeight="1">
      <c r="A484" t="inlineStr">
        <is>
          <t>A 25591-2022</t>
        </is>
      </c>
      <c r="B484" t="inlineStr">
        <is>
          <t>avverkningsanmälan</t>
        </is>
      </c>
      <c r="C484" t="inlineStr">
        <is>
          <t>Föryngringsavverkning</t>
        </is>
      </c>
      <c r="D484" s="1" t="n">
        <v>44732</v>
      </c>
      <c r="E484" s="1" t="n">
        <v>46223</v>
      </c>
      <c r="F484" t="inlineStr">
        <is>
          <t>DALARNAS LÄN</t>
        </is>
      </c>
      <c r="G484" t="inlineStr">
        <is>
          <t>ORSA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23058-2026</t>
        </is>
      </c>
      <c r="B485" t="inlineStr">
        <is>
          <t>avverkningsanmälan</t>
        </is>
      </c>
      <c r="C485" t="inlineStr">
        <is>
          <t>Föryngringsavverkning</t>
        </is>
      </c>
      <c r="D485" s="1" t="n">
        <v>46161</v>
      </c>
      <c r="E485" s="1" t="n">
        <v>46223</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29466-2026</t>
        </is>
      </c>
      <c r="B486" t="inlineStr">
        <is>
          <t>avverkningsanmälan</t>
        </is>
      </c>
      <c r="C486" t="inlineStr">
        <is>
          <t>Föryngringsavverkning</t>
        </is>
      </c>
      <c r="D486" s="1" t="n">
        <v>46203</v>
      </c>
      <c r="E486" s="1" t="n">
        <v>46223</v>
      </c>
      <c r="F486" t="inlineStr">
        <is>
          <t>DALARNAS LÄN</t>
        </is>
      </c>
      <c r="G486" t="inlineStr">
        <is>
          <t>ORSA</t>
        </is>
      </c>
      <c r="H486" t="inlineStr">
        <is>
          <t>Bergvik skog öst AB</t>
        </is>
      </c>
      <c r="I486" t="n">
        <v>4.9</v>
      </c>
      <c r="J486" t="n">
        <v>0</v>
      </c>
      <c r="K486" t="n">
        <v>0</v>
      </c>
      <c r="L486" t="n">
        <v>0</v>
      </c>
      <c r="M486" t="n">
        <v>0</v>
      </c>
      <c r="N486" t="n">
        <v>0</v>
      </c>
      <c r="O486" t="n">
        <v>0</v>
      </c>
      <c r="P486" t="n">
        <v>0</v>
      </c>
      <c r="Q486" t="n">
        <v>0</v>
      </c>
      <c r="R486" t="n">
        <v>0</v>
      </c>
      <c r="S486" t="n">
        <v>0</v>
      </c>
      <c r="T486" t="n">
        <v>0</v>
      </c>
      <c r="U486" s="2" t="inlineStr"/>
    </row>
    <row r="487" ht="15" customHeight="1">
      <c r="A487" t="inlineStr">
        <is>
          <t>A 3951-2023</t>
        </is>
      </c>
      <c r="B487" t="inlineStr">
        <is>
          <t>avverkningsanmälan</t>
        </is>
      </c>
      <c r="C487" t="inlineStr">
        <is>
          <t>Föryngringsavverkning</t>
        </is>
      </c>
      <c r="D487" s="1" t="n">
        <v>44952</v>
      </c>
      <c r="E487" s="1" t="n">
        <v>46223</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30177-2026</t>
        </is>
      </c>
      <c r="B488" t="inlineStr">
        <is>
          <t>avverkningsanmälan</t>
        </is>
      </c>
      <c r="C488" t="inlineStr">
        <is>
          <t>Föryngringsavverkning</t>
        </is>
      </c>
      <c r="D488" s="1" t="n">
        <v>46206</v>
      </c>
      <c r="E488" s="1" t="n">
        <v>46223</v>
      </c>
      <c r="F488" t="inlineStr">
        <is>
          <t>DALARNAS LÄN</t>
        </is>
      </c>
      <c r="G488" t="inlineStr">
        <is>
          <t>ORSA</t>
        </is>
      </c>
      <c r="H488" t="inlineStr">
        <is>
          <t>Bergvik skog öst AB</t>
        </is>
      </c>
      <c r="I488" t="n">
        <v>18.5</v>
      </c>
      <c r="J488" t="n">
        <v>0</v>
      </c>
      <c r="K488" t="n">
        <v>0</v>
      </c>
      <c r="L488" t="n">
        <v>0</v>
      </c>
      <c r="M488" t="n">
        <v>0</v>
      </c>
      <c r="N488" t="n">
        <v>0</v>
      </c>
      <c r="O488" t="n">
        <v>0</v>
      </c>
      <c r="P488" t="n">
        <v>0</v>
      </c>
      <c r="Q488" t="n">
        <v>0</v>
      </c>
      <c r="R488" t="n">
        <v>0</v>
      </c>
      <c r="S488" t="n">
        <v>0</v>
      </c>
      <c r="T488" t="n">
        <v>0</v>
      </c>
      <c r="U488" s="2" t="inlineStr"/>
    </row>
    <row r="489" ht="15" customHeight="1">
      <c r="A489" t="inlineStr">
        <is>
          <t>A 56942-2024</t>
        </is>
      </c>
      <c r="B489" t="inlineStr">
        <is>
          <t>avverkningsanmälan</t>
        </is>
      </c>
      <c r="C489" t="inlineStr">
        <is>
          <t>Föryngringsavverkning</t>
        </is>
      </c>
      <c r="D489" s="1" t="n">
        <v>45628</v>
      </c>
      <c r="E489" s="1" t="n">
        <v>46223</v>
      </c>
      <c r="F489" t="inlineStr">
        <is>
          <t>DALARNAS LÄN</t>
        </is>
      </c>
      <c r="G489" t="inlineStr">
        <is>
          <t>ORSA</t>
        </is>
      </c>
      <c r="H489" t="inlineStr">
        <is>
          <t>Bergvik skog öst AB</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23582-2026</t>
        </is>
      </c>
      <c r="B490" t="inlineStr">
        <is>
          <t>avverkningsanmälan</t>
        </is>
      </c>
      <c r="C490" t="inlineStr">
        <is>
          <t>Föryngringsavverkning</t>
        </is>
      </c>
      <c r="D490" s="1" t="n">
        <v>46163</v>
      </c>
      <c r="E490" s="1" t="n">
        <v>46223</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30264-2026</t>
        </is>
      </c>
      <c r="B491" t="inlineStr">
        <is>
          <t>avverkningsanmälan</t>
        </is>
      </c>
      <c r="C491" t="inlineStr">
        <is>
          <t>Föryngringsavverkning</t>
        </is>
      </c>
      <c r="D491" s="1" t="n">
        <v>46206</v>
      </c>
      <c r="E491" s="1" t="n">
        <v>46223</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3107-2025</t>
        </is>
      </c>
      <c r="B492" t="inlineStr">
        <is>
          <t>avverkningsanmälan</t>
        </is>
      </c>
      <c r="C492" t="inlineStr">
        <is>
          <t>Föryngringsavverkning</t>
        </is>
      </c>
      <c r="D492" s="1" t="n">
        <v>45678</v>
      </c>
      <c r="E492" s="1" t="n">
        <v>46223</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29944-2026</t>
        </is>
      </c>
      <c r="B493" t="inlineStr">
        <is>
          <t>avverkningsanmälan</t>
        </is>
      </c>
      <c r="C493" t="inlineStr">
        <is>
          <t>Föryngringsavverkning</t>
        </is>
      </c>
      <c r="D493" s="1" t="n">
        <v>46205</v>
      </c>
      <c r="E493" s="1" t="n">
        <v>46223</v>
      </c>
      <c r="F493" t="inlineStr">
        <is>
          <t>DALARNAS LÄN</t>
        </is>
      </c>
      <c r="G493" t="inlineStr">
        <is>
          <t>ORSA</t>
        </is>
      </c>
      <c r="H493" t="inlineStr">
        <is>
          <t>Bergvik skog öst AB</t>
        </is>
      </c>
      <c r="I493" t="n">
        <v>7.2</v>
      </c>
      <c r="J493" t="n">
        <v>0</v>
      </c>
      <c r="K493" t="n">
        <v>0</v>
      </c>
      <c r="L493" t="n">
        <v>0</v>
      </c>
      <c r="M493" t="n">
        <v>0</v>
      </c>
      <c r="N493" t="n">
        <v>0</v>
      </c>
      <c r="O493" t="n">
        <v>0</v>
      </c>
      <c r="P493" t="n">
        <v>0</v>
      </c>
      <c r="Q493" t="n">
        <v>0</v>
      </c>
      <c r="R493" t="n">
        <v>0</v>
      </c>
      <c r="S493" t="n">
        <v>0</v>
      </c>
      <c r="T493" t="n">
        <v>0</v>
      </c>
      <c r="U493" s="2" t="inlineStr"/>
    </row>
    <row r="494" ht="15" customHeight="1">
      <c r="A494" t="inlineStr">
        <is>
          <t>A 30070-2026</t>
        </is>
      </c>
      <c r="B494" t="inlineStr">
        <is>
          <t>avverkningsanmälan</t>
        </is>
      </c>
      <c r="C494" t="inlineStr">
        <is>
          <t>Föryngringsavverkning</t>
        </is>
      </c>
      <c r="D494" s="1" t="n">
        <v>46206</v>
      </c>
      <c r="E494" s="1" t="n">
        <v>46223</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21905-2022</t>
        </is>
      </c>
      <c r="B495" t="inlineStr">
        <is>
          <t>avverkningsanmälan</t>
        </is>
      </c>
      <c r="C495" t="inlineStr">
        <is>
          <t>Föryngringsavverkning</t>
        </is>
      </c>
      <c r="D495" s="1" t="n">
        <v>44711</v>
      </c>
      <c r="E495" s="1" t="n">
        <v>46223</v>
      </c>
      <c r="F495" t="inlineStr">
        <is>
          <t>DALARNAS LÄN</t>
        </is>
      </c>
      <c r="G495" t="inlineStr">
        <is>
          <t>ORSA</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50742-2023</t>
        </is>
      </c>
      <c r="B496" t="inlineStr">
        <is>
          <t>avverkningsanmälan</t>
        </is>
      </c>
      <c r="C496" t="inlineStr">
        <is>
          <t>Föryngringsavverkning</t>
        </is>
      </c>
      <c r="D496" s="1" t="n">
        <v>45217</v>
      </c>
      <c r="E496" s="1" t="n">
        <v>46223</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27163-2023</t>
        </is>
      </c>
      <c r="B497" t="inlineStr">
        <is>
          <t>avverkningsanmälan</t>
        </is>
      </c>
      <c r="C497" t="inlineStr">
        <is>
          <t>Föryngringsavverkning</t>
        </is>
      </c>
      <c r="D497" s="1" t="n">
        <v>45096</v>
      </c>
      <c r="E497" s="1" t="n">
        <v>46223</v>
      </c>
      <c r="F497" t="inlineStr">
        <is>
          <t>DALARNAS LÄN</t>
        </is>
      </c>
      <c r="G497" t="inlineStr">
        <is>
          <t>ORSA</t>
        </is>
      </c>
      <c r="H497" t="inlineStr">
        <is>
          <t>Bergvik skog öst AB</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30065-2026</t>
        </is>
      </c>
      <c r="B498" t="inlineStr">
        <is>
          <t>avverkningsanmälan</t>
        </is>
      </c>
      <c r="C498" t="inlineStr">
        <is>
          <t>Föryngringsavverkning</t>
        </is>
      </c>
      <c r="D498" s="1" t="n">
        <v>46206</v>
      </c>
      <c r="E498" s="1" t="n">
        <v>46223</v>
      </c>
      <c r="F498" t="inlineStr">
        <is>
          <t>DALARNAS LÄN</t>
        </is>
      </c>
      <c r="G498" t="inlineStr">
        <is>
          <t>ORSA</t>
        </is>
      </c>
      <c r="H498" t="inlineStr">
        <is>
          <t>Bergvik skog öst AB</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23709-2026</t>
        </is>
      </c>
      <c r="B499" t="inlineStr">
        <is>
          <t>avverkningsanmälan</t>
        </is>
      </c>
      <c r="C499" t="inlineStr">
        <is>
          <t>Föryngringsavverkning</t>
        </is>
      </c>
      <c r="D499" s="1" t="n">
        <v>46164</v>
      </c>
      <c r="E499" s="1" t="n">
        <v>46223</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23712-2026</t>
        </is>
      </c>
      <c r="B500" t="inlineStr">
        <is>
          <t>avverkningsanmälan</t>
        </is>
      </c>
      <c r="C500" t="inlineStr">
        <is>
          <t>Föryngringsavverkning</t>
        </is>
      </c>
      <c r="D500" s="1" t="n">
        <v>46164</v>
      </c>
      <c r="E500" s="1" t="n">
        <v>46223</v>
      </c>
      <c r="F500" t="inlineStr">
        <is>
          <t>DALARNAS LÄN</t>
        </is>
      </c>
      <c r="G500" t="inlineStr">
        <is>
          <t>ORSA</t>
        </is>
      </c>
      <c r="H500" t="inlineStr">
        <is>
          <t>Bergvik skog öst AB</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30138-2026</t>
        </is>
      </c>
      <c r="B501" t="inlineStr">
        <is>
          <t>avverkningsanmälan</t>
        </is>
      </c>
      <c r="C501" t="inlineStr">
        <is>
          <t>Avverkning för annat ändamål</t>
        </is>
      </c>
      <c r="D501" s="1" t="n">
        <v>46206</v>
      </c>
      <c r="E501" s="1" t="n">
        <v>46223</v>
      </c>
      <c r="F501" t="inlineStr">
        <is>
          <t>DALARNAS LÄN</t>
        </is>
      </c>
      <c r="G501" t="inlineStr">
        <is>
          <t>ORSA</t>
        </is>
      </c>
      <c r="H501" t="inlineStr">
        <is>
          <t>Allmännings- och besparingsskogar</t>
        </is>
      </c>
      <c r="I501" t="n">
        <v>6.2</v>
      </c>
      <c r="J501" t="n">
        <v>0</v>
      </c>
      <c r="K501" t="n">
        <v>0</v>
      </c>
      <c r="L501" t="n">
        <v>0</v>
      </c>
      <c r="M501" t="n">
        <v>0</v>
      </c>
      <c r="N501" t="n">
        <v>0</v>
      </c>
      <c r="O501" t="n">
        <v>0</v>
      </c>
      <c r="P501" t="n">
        <v>0</v>
      </c>
      <c r="Q501" t="n">
        <v>0</v>
      </c>
      <c r="R501" t="n">
        <v>0</v>
      </c>
      <c r="S501" t="n">
        <v>0</v>
      </c>
      <c r="T501" t="n">
        <v>0</v>
      </c>
      <c r="U501" s="2" t="inlineStr"/>
    </row>
    <row r="502" ht="15" customHeight="1">
      <c r="A502" t="inlineStr">
        <is>
          <t>A 23746-2026</t>
        </is>
      </c>
      <c r="B502" t="inlineStr">
        <is>
          <t>avverkningsanmälan</t>
        </is>
      </c>
      <c r="C502" t="inlineStr">
        <is>
          <t>Föryngringsavverkning</t>
        </is>
      </c>
      <c r="D502" s="1" t="n">
        <v>46164</v>
      </c>
      <c r="E502" s="1" t="n">
        <v>46223</v>
      </c>
      <c r="F502" t="inlineStr">
        <is>
          <t>DALARNAS LÄN</t>
        </is>
      </c>
      <c r="G502" t="inlineStr">
        <is>
          <t>ORSA</t>
        </is>
      </c>
      <c r="H502" t="inlineStr">
        <is>
          <t>Bergvik skog öst AB</t>
        </is>
      </c>
      <c r="I502" t="n">
        <v>4.3</v>
      </c>
      <c r="J502" t="n">
        <v>0</v>
      </c>
      <c r="K502" t="n">
        <v>0</v>
      </c>
      <c r="L502" t="n">
        <v>0</v>
      </c>
      <c r="M502" t="n">
        <v>0</v>
      </c>
      <c r="N502" t="n">
        <v>0</v>
      </c>
      <c r="O502" t="n">
        <v>0</v>
      </c>
      <c r="P502" t="n">
        <v>0</v>
      </c>
      <c r="Q502" t="n">
        <v>0</v>
      </c>
      <c r="R502" t="n">
        <v>0</v>
      </c>
      <c r="S502" t="n">
        <v>0</v>
      </c>
      <c r="T502" t="n">
        <v>0</v>
      </c>
      <c r="U502" s="2" t="inlineStr"/>
    </row>
    <row r="503" ht="15" customHeight="1">
      <c r="A503" t="inlineStr">
        <is>
          <t>A 23583-2026</t>
        </is>
      </c>
      <c r="B503" t="inlineStr">
        <is>
          <t>avverkningsanmälan</t>
        </is>
      </c>
      <c r="C503" t="inlineStr">
        <is>
          <t>Föryngringsavverkning</t>
        </is>
      </c>
      <c r="D503" s="1" t="n">
        <v>46163</v>
      </c>
      <c r="E503" s="1" t="n">
        <v>46223</v>
      </c>
      <c r="F503" t="inlineStr">
        <is>
          <t>DALARNAS LÄN</t>
        </is>
      </c>
      <c r="G503" t="inlineStr">
        <is>
          <t>ORSA</t>
        </is>
      </c>
      <c r="H503" t="inlineStr">
        <is>
          <t>Bergvik skog öst AB</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31688-2024</t>
        </is>
      </c>
      <c r="B504" t="inlineStr">
        <is>
          <t>avverkningsanmälan</t>
        </is>
      </c>
      <c r="C504" t="inlineStr">
        <is>
          <t>Föryngringsavverkning</t>
        </is>
      </c>
      <c r="D504" s="1" t="n">
        <v>45507</v>
      </c>
      <c r="E504" s="1" t="n">
        <v>46223</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23985-2026</t>
        </is>
      </c>
      <c r="B505" t="inlineStr">
        <is>
          <t>avverkningsanmälan</t>
        </is>
      </c>
      <c r="C505" t="inlineStr">
        <is>
          <t>Föryngringsavverkning</t>
        </is>
      </c>
      <c r="D505" s="1" t="n">
        <v>46167</v>
      </c>
      <c r="E505" s="1" t="n">
        <v>46223</v>
      </c>
      <c r="F505" t="inlineStr">
        <is>
          <t>DALARNAS LÄN</t>
        </is>
      </c>
      <c r="G505" t="inlineStr">
        <is>
          <t>ORSA</t>
        </is>
      </c>
      <c r="H505" t="inlineStr">
        <is>
          <t>Bergvik skog öst AB</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23940-2026</t>
        </is>
      </c>
      <c r="B506" t="inlineStr">
        <is>
          <t>avverkningsanmälan</t>
        </is>
      </c>
      <c r="C506" t="inlineStr">
        <is>
          <t>Föryngringsavverkning</t>
        </is>
      </c>
      <c r="D506" s="1" t="n">
        <v>46167</v>
      </c>
      <c r="E506" s="1" t="n">
        <v>46223</v>
      </c>
      <c r="F506" t="inlineStr">
        <is>
          <t>DALARNAS LÄN</t>
        </is>
      </c>
      <c r="G506" t="inlineStr">
        <is>
          <t>ORSA</t>
        </is>
      </c>
      <c r="H506" t="inlineStr">
        <is>
          <t>Bergvik skog öst AB</t>
        </is>
      </c>
      <c r="I506" t="n">
        <v>12.8</v>
      </c>
      <c r="J506" t="n">
        <v>0</v>
      </c>
      <c r="K506" t="n">
        <v>0</v>
      </c>
      <c r="L506" t="n">
        <v>0</v>
      </c>
      <c r="M506" t="n">
        <v>0</v>
      </c>
      <c r="N506" t="n">
        <v>0</v>
      </c>
      <c r="O506" t="n">
        <v>0</v>
      </c>
      <c r="P506" t="n">
        <v>0</v>
      </c>
      <c r="Q506" t="n">
        <v>0</v>
      </c>
      <c r="R506" t="n">
        <v>0</v>
      </c>
      <c r="S506" t="n">
        <v>0</v>
      </c>
      <c r="T506" t="n">
        <v>0</v>
      </c>
      <c r="U506" s="2" t="inlineStr"/>
    </row>
    <row r="507" ht="15" customHeight="1">
      <c r="A507" t="inlineStr">
        <is>
          <t>A 23235-2026</t>
        </is>
      </c>
      <c r="B507" t="inlineStr">
        <is>
          <t>avverkningsanmälan</t>
        </is>
      </c>
      <c r="C507" t="inlineStr">
        <is>
          <t>Avverkning för annat ändamål</t>
        </is>
      </c>
      <c r="D507" s="1" t="n">
        <v>46162</v>
      </c>
      <c r="E507" s="1" t="n">
        <v>46223</v>
      </c>
      <c r="F507" t="inlineStr">
        <is>
          <t>DALARNAS LÄN</t>
        </is>
      </c>
      <c r="G507" t="inlineStr">
        <is>
          <t>ORSA</t>
        </is>
      </c>
      <c r="H507" t="inlineStr">
        <is>
          <t>Allmännings- och besparingsskogar</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37647-2023</t>
        </is>
      </c>
      <c r="B508" t="inlineStr">
        <is>
          <t>avverkningsanmälan</t>
        </is>
      </c>
      <c r="C508" t="inlineStr">
        <is>
          <t>Föryngringsavverkning</t>
        </is>
      </c>
      <c r="D508" s="1" t="n">
        <v>45159</v>
      </c>
      <c r="E508" s="1" t="n">
        <v>46223</v>
      </c>
      <c r="F508" t="inlineStr">
        <is>
          <t>DALARNAS LÄN</t>
        </is>
      </c>
      <c r="G508" t="inlineStr">
        <is>
          <t>ORSA</t>
        </is>
      </c>
      <c r="H508" t="inlineStr">
        <is>
          <t>Allmännings- och besparingsskogar</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33673-2023</t>
        </is>
      </c>
      <c r="B509" t="inlineStr">
        <is>
          <t>avverkningsanmälan</t>
        </is>
      </c>
      <c r="C509" t="inlineStr">
        <is>
          <t>Föryngringsavverkning</t>
        </is>
      </c>
      <c r="D509" s="1" t="n">
        <v>45132</v>
      </c>
      <c r="E509" s="1" t="n">
        <v>46223</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23981-2026</t>
        </is>
      </c>
      <c r="B510" t="inlineStr">
        <is>
          <t>avverkningsanmälan</t>
        </is>
      </c>
      <c r="C510" t="inlineStr">
        <is>
          <t>Föryngringsavverkning</t>
        </is>
      </c>
      <c r="D510" s="1" t="n">
        <v>46167</v>
      </c>
      <c r="E510" s="1" t="n">
        <v>46223</v>
      </c>
      <c r="F510" t="inlineStr">
        <is>
          <t>DALARNAS LÄN</t>
        </is>
      </c>
      <c r="G510" t="inlineStr">
        <is>
          <t>ORSA</t>
        </is>
      </c>
      <c r="H510" t="inlineStr">
        <is>
          <t>Bergvik skog öst AB</t>
        </is>
      </c>
      <c r="I510" t="n">
        <v>4.6</v>
      </c>
      <c r="J510" t="n">
        <v>0</v>
      </c>
      <c r="K510" t="n">
        <v>0</v>
      </c>
      <c r="L510" t="n">
        <v>0</v>
      </c>
      <c r="M510" t="n">
        <v>0</v>
      </c>
      <c r="N510" t="n">
        <v>0</v>
      </c>
      <c r="O510" t="n">
        <v>0</v>
      </c>
      <c r="P510" t="n">
        <v>0</v>
      </c>
      <c r="Q510" t="n">
        <v>0</v>
      </c>
      <c r="R510" t="n">
        <v>0</v>
      </c>
      <c r="S510" t="n">
        <v>0</v>
      </c>
      <c r="T510" t="n">
        <v>0</v>
      </c>
      <c r="U510" s="2" t="inlineStr"/>
    </row>
    <row r="511" ht="15" customHeight="1">
      <c r="A511" t="inlineStr">
        <is>
          <t>A 58853-2022</t>
        </is>
      </c>
      <c r="B511" t="inlineStr">
        <is>
          <t>avverkningsanmälan</t>
        </is>
      </c>
      <c r="C511" t="inlineStr">
        <is>
          <t>Föryngringsavverkning</t>
        </is>
      </c>
      <c r="D511" s="1" t="n">
        <v>44903</v>
      </c>
      <c r="E511" s="1" t="n">
        <v>46223</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53758-2024</t>
        </is>
      </c>
      <c r="B512" t="inlineStr">
        <is>
          <t>avverkningsanmälan</t>
        </is>
      </c>
      <c r="C512" t="inlineStr">
        <is>
          <t>Föryngringsavverkning</t>
        </is>
      </c>
      <c r="D512" s="1" t="n">
        <v>45615</v>
      </c>
      <c r="E512" s="1" t="n">
        <v>46223</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53102-2021</t>
        </is>
      </c>
      <c r="B513" t="inlineStr">
        <is>
          <t>avverkningsanmälan</t>
        </is>
      </c>
      <c r="C513" t="inlineStr">
        <is>
          <t>Föryngringsavverkning</t>
        </is>
      </c>
      <c r="D513" s="1" t="n">
        <v>44467</v>
      </c>
      <c r="E513" s="1" t="n">
        <v>46223</v>
      </c>
      <c r="F513" t="inlineStr">
        <is>
          <t>DALARNAS LÄN</t>
        </is>
      </c>
      <c r="G513" t="inlineStr">
        <is>
          <t>ORSA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30688-2026</t>
        </is>
      </c>
      <c r="B514" t="inlineStr">
        <is>
          <t>avverkningsanmälan</t>
        </is>
      </c>
      <c r="C514" t="inlineStr">
        <is>
          <t>Föryngringsavverkning</t>
        </is>
      </c>
      <c r="D514" s="1" t="n">
        <v>46211</v>
      </c>
      <c r="E514" s="1" t="n">
        <v>46223</v>
      </c>
      <c r="F514" t="inlineStr">
        <is>
          <t>DALARNAS LÄN</t>
        </is>
      </c>
      <c r="G514" t="inlineStr">
        <is>
          <t>ORSA</t>
        </is>
      </c>
      <c r="H514" t="inlineStr">
        <is>
          <t>Bergvik skog öst AB</t>
        </is>
      </c>
      <c r="I514" t="n">
        <v>0.3</v>
      </c>
      <c r="J514" t="n">
        <v>0</v>
      </c>
      <c r="K514" t="n">
        <v>0</v>
      </c>
      <c r="L514" t="n">
        <v>0</v>
      </c>
      <c r="M514" t="n">
        <v>0</v>
      </c>
      <c r="N514" t="n">
        <v>0</v>
      </c>
      <c r="O514" t="n">
        <v>0</v>
      </c>
      <c r="P514" t="n">
        <v>0</v>
      </c>
      <c r="Q514" t="n">
        <v>0</v>
      </c>
      <c r="R514" t="n">
        <v>0</v>
      </c>
      <c r="S514" t="n">
        <v>0</v>
      </c>
      <c r="T514" t="n">
        <v>0</v>
      </c>
      <c r="U514" s="2" t="inlineStr"/>
    </row>
    <row r="515" ht="15" customHeight="1">
      <c r="A515" t="inlineStr">
        <is>
          <t>A 30677-2026</t>
        </is>
      </c>
      <c r="B515" t="inlineStr">
        <is>
          <t>avverkningsanmälan</t>
        </is>
      </c>
      <c r="C515" t="inlineStr">
        <is>
          <t>Föryngringsavverkning</t>
        </is>
      </c>
      <c r="D515" s="1" t="n">
        <v>46211</v>
      </c>
      <c r="E515" s="1" t="n">
        <v>46223</v>
      </c>
      <c r="F515" t="inlineStr">
        <is>
          <t>DALARNAS LÄN</t>
        </is>
      </c>
      <c r="G515" t="inlineStr">
        <is>
          <t>ORSA</t>
        </is>
      </c>
      <c r="H515" t="inlineStr">
        <is>
          <t>Bergvik skog öst AB</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1304-2024</t>
        </is>
      </c>
      <c r="B516" t="inlineStr">
        <is>
          <t>avverkningsanmälan</t>
        </is>
      </c>
      <c r="C516" t="inlineStr">
        <is>
          <t>Föryngringsavverkning</t>
        </is>
      </c>
      <c r="D516" s="1" t="n">
        <v>45303</v>
      </c>
      <c r="E516" s="1" t="n">
        <v>46223</v>
      </c>
      <c r="F516" t="inlineStr">
        <is>
          <t>DALARNAS LÄN</t>
        </is>
      </c>
      <c r="G516" t="inlineStr">
        <is>
          <t>ORSA</t>
        </is>
      </c>
      <c r="I516" t="n">
        <v>3.8</v>
      </c>
      <c r="J516" t="n">
        <v>0</v>
      </c>
      <c r="K516" t="n">
        <v>0</v>
      </c>
      <c r="L516" t="n">
        <v>0</v>
      </c>
      <c r="M516" t="n">
        <v>0</v>
      </c>
      <c r="N516" t="n">
        <v>0</v>
      </c>
      <c r="O516" t="n">
        <v>0</v>
      </c>
      <c r="P516" t="n">
        <v>0</v>
      </c>
      <c r="Q516" t="n">
        <v>0</v>
      </c>
      <c r="R516" t="n">
        <v>0</v>
      </c>
      <c r="S516" t="n">
        <v>0</v>
      </c>
      <c r="T516" t="n">
        <v>0</v>
      </c>
      <c r="U516" s="2" t="inlineStr"/>
    </row>
    <row r="517" ht="15" customHeight="1">
      <c r="A517" t="inlineStr">
        <is>
          <t>A 30998-2026</t>
        </is>
      </c>
      <c r="B517" t="inlineStr">
        <is>
          <t>avverkningsanmälan</t>
        </is>
      </c>
      <c r="C517" t="inlineStr">
        <is>
          <t>Föryngringsavverkning</t>
        </is>
      </c>
      <c r="D517" s="1" t="n">
        <v>46213</v>
      </c>
      <c r="E517" s="1" t="n">
        <v>46223</v>
      </c>
      <c r="F517" t="inlineStr">
        <is>
          <t>DALARNAS LÄN</t>
        </is>
      </c>
      <c r="G517" t="inlineStr">
        <is>
          <t>ORSA</t>
        </is>
      </c>
      <c r="H517" t="inlineStr">
        <is>
          <t>Allmännings- och besparingsskogar</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24722-2026</t>
        </is>
      </c>
      <c r="B518" t="inlineStr">
        <is>
          <t>avverkningsanmälan</t>
        </is>
      </c>
      <c r="C518" t="inlineStr">
        <is>
          <t>Föryngringsavverkning</t>
        </is>
      </c>
      <c r="D518" s="1" t="n">
        <v>46171</v>
      </c>
      <c r="E518" s="1" t="n">
        <v>46223</v>
      </c>
      <c r="F518" t="inlineStr">
        <is>
          <t>DALARNAS LÄN</t>
        </is>
      </c>
      <c r="G518" t="inlineStr">
        <is>
          <t>ORSA</t>
        </is>
      </c>
      <c r="H518" t="inlineStr">
        <is>
          <t>Allmännings- och besparingsskogar</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30957-2026</t>
        </is>
      </c>
      <c r="B519" t="inlineStr">
        <is>
          <t>avverkningsanmälan</t>
        </is>
      </c>
      <c r="C519" t="inlineStr">
        <is>
          <t>Föryngringsavverkning</t>
        </is>
      </c>
      <c r="D519" s="1" t="n">
        <v>46213</v>
      </c>
      <c r="E519" s="1" t="n">
        <v>46223</v>
      </c>
      <c r="F519" t="inlineStr">
        <is>
          <t>DALARNAS LÄN</t>
        </is>
      </c>
      <c r="G519" t="inlineStr">
        <is>
          <t>ORSA</t>
        </is>
      </c>
      <c r="H519" t="inlineStr">
        <is>
          <t>Bergvik skog öst AB</t>
        </is>
      </c>
      <c r="I519" t="n">
        <v>3.6</v>
      </c>
      <c r="J519" t="n">
        <v>0</v>
      </c>
      <c r="K519" t="n">
        <v>0</v>
      </c>
      <c r="L519" t="n">
        <v>0</v>
      </c>
      <c r="M519" t="n">
        <v>0</v>
      </c>
      <c r="N519" t="n">
        <v>0</v>
      </c>
      <c r="O519" t="n">
        <v>0</v>
      </c>
      <c r="P519" t="n">
        <v>0</v>
      </c>
      <c r="Q519" t="n">
        <v>0</v>
      </c>
      <c r="R519" t="n">
        <v>0</v>
      </c>
      <c r="S519" t="n">
        <v>0</v>
      </c>
      <c r="T519" t="n">
        <v>0</v>
      </c>
      <c r="U519" s="2" t="inlineStr"/>
    </row>
    <row r="520" ht="15" customHeight="1">
      <c r="A520" t="inlineStr">
        <is>
          <t>A 892-2024</t>
        </is>
      </c>
      <c r="B520" t="inlineStr">
        <is>
          <t>avverkningsanmälan</t>
        </is>
      </c>
      <c r="C520" t="inlineStr">
        <is>
          <t>Föryngringsavverkning</t>
        </is>
      </c>
      <c r="D520" s="1" t="n">
        <v>45301</v>
      </c>
      <c r="E520" s="1" t="n">
        <v>46223</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30960-2026</t>
        </is>
      </c>
      <c r="B521" t="inlineStr">
        <is>
          <t>avverkningsanmälan</t>
        </is>
      </c>
      <c r="C521" t="inlineStr">
        <is>
          <t>Föryngringsavverkning</t>
        </is>
      </c>
      <c r="D521" s="1" t="n">
        <v>46213</v>
      </c>
      <c r="E521" s="1" t="n">
        <v>46223</v>
      </c>
      <c r="F521" t="inlineStr">
        <is>
          <t>DALARNAS LÄN</t>
        </is>
      </c>
      <c r="G521" t="inlineStr">
        <is>
          <t>ORSA</t>
        </is>
      </c>
      <c r="H521" t="inlineStr">
        <is>
          <t>Bergvik skog öst AB</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16777-2024</t>
        </is>
      </c>
      <c r="B522" t="inlineStr">
        <is>
          <t>avverkningsanmälan</t>
        </is>
      </c>
      <c r="C522" t="inlineStr">
        <is>
          <t>Föryngringsavverkning</t>
        </is>
      </c>
      <c r="D522" s="1" t="n">
        <v>45411</v>
      </c>
      <c r="E522" s="1" t="n">
        <v>46223</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48521-2024</t>
        </is>
      </c>
      <c r="B523" t="inlineStr">
        <is>
          <t>avverkningsanmälan</t>
        </is>
      </c>
      <c r="C523" t="inlineStr">
        <is>
          <t>Föryngringsavverkning</t>
        </is>
      </c>
      <c r="D523" s="1" t="n">
        <v>45593</v>
      </c>
      <c r="E523" s="1" t="n">
        <v>46223</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24994-2026</t>
        </is>
      </c>
      <c r="B524" t="inlineStr">
        <is>
          <t>avverkningsanmälan</t>
        </is>
      </c>
      <c r="C524" t="inlineStr">
        <is>
          <t>Föryngringsavverkning</t>
        </is>
      </c>
      <c r="D524" s="1" t="n">
        <v>46174</v>
      </c>
      <c r="E524" s="1" t="n">
        <v>46223</v>
      </c>
      <c r="F524" t="inlineStr">
        <is>
          <t>DALARNAS LÄN</t>
        </is>
      </c>
      <c r="G524" t="inlineStr">
        <is>
          <t>ORSA</t>
        </is>
      </c>
      <c r="I524" t="n">
        <v>2.8</v>
      </c>
      <c r="J524" t="n">
        <v>0</v>
      </c>
      <c r="K524" t="n">
        <v>0</v>
      </c>
      <c r="L524" t="n">
        <v>0</v>
      </c>
      <c r="M524" t="n">
        <v>0</v>
      </c>
      <c r="N524" t="n">
        <v>0</v>
      </c>
      <c r="O524" t="n">
        <v>0</v>
      </c>
      <c r="P524" t="n">
        <v>0</v>
      </c>
      <c r="Q524" t="n">
        <v>0</v>
      </c>
      <c r="R524" t="n">
        <v>0</v>
      </c>
      <c r="S524" t="n">
        <v>0</v>
      </c>
      <c r="T524" t="n">
        <v>0</v>
      </c>
      <c r="U524" s="2" t="inlineStr"/>
    </row>
    <row r="525" ht="15" customHeight="1">
      <c r="A525" t="inlineStr">
        <is>
          <t>A 24858-2026</t>
        </is>
      </c>
      <c r="B525" t="inlineStr">
        <is>
          <t>avverkningsanmälan</t>
        </is>
      </c>
      <c r="C525" t="inlineStr">
        <is>
          <t>Föryngringsavverkning</t>
        </is>
      </c>
      <c r="D525" s="1" t="n">
        <v>46174</v>
      </c>
      <c r="E525" s="1" t="n">
        <v>46223</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52643-2024</t>
        </is>
      </c>
      <c r="B526" t="inlineStr">
        <is>
          <t>avverkningsanmälan</t>
        </is>
      </c>
      <c r="C526" t="inlineStr">
        <is>
          <t>Föryngringsavverkning</t>
        </is>
      </c>
      <c r="D526" s="1" t="n">
        <v>45610</v>
      </c>
      <c r="E526" s="1" t="n">
        <v>46223</v>
      </c>
      <c r="F526" t="inlineStr">
        <is>
          <t>DALARNAS LÄN</t>
        </is>
      </c>
      <c r="G526" t="inlineStr">
        <is>
          <t>ORSA</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27511-2026</t>
        </is>
      </c>
      <c r="B527" t="inlineStr">
        <is>
          <t>avverkningsanmälan</t>
        </is>
      </c>
      <c r="C527" t="inlineStr">
        <is>
          <t>Föryngringsavverkning</t>
        </is>
      </c>
      <c r="D527" s="1" t="n">
        <v>46189</v>
      </c>
      <c r="E527" s="1" t="n">
        <v>46223</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27602-2026</t>
        </is>
      </c>
      <c r="B528" t="inlineStr">
        <is>
          <t>avverkningsanmälan</t>
        </is>
      </c>
      <c r="C528" t="inlineStr">
        <is>
          <t>Föryngringsavverkning</t>
        </is>
      </c>
      <c r="D528" s="1" t="n">
        <v>46190</v>
      </c>
      <c r="E528" s="1" t="n">
        <v>46223</v>
      </c>
      <c r="F528" t="inlineStr">
        <is>
          <t>DALARNAS LÄN</t>
        </is>
      </c>
      <c r="G528" t="inlineStr">
        <is>
          <t>ORSA</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21301-2023</t>
        </is>
      </c>
      <c r="B529" t="inlineStr">
        <is>
          <t>avverkningsanmälan</t>
        </is>
      </c>
      <c r="C529" t="inlineStr">
        <is>
          <t>Föryngringsavverkning</t>
        </is>
      </c>
      <c r="D529" s="1" t="n">
        <v>45062</v>
      </c>
      <c r="E529" s="1" t="n">
        <v>46223</v>
      </c>
      <c r="F529" t="inlineStr">
        <is>
          <t>DALARNAS LÄN</t>
        </is>
      </c>
      <c r="G529" t="inlineStr">
        <is>
          <t>ORSA</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24895-2026</t>
        </is>
      </c>
      <c r="B530" t="inlineStr">
        <is>
          <t>avverkningsanmälan</t>
        </is>
      </c>
      <c r="C530" t="inlineStr">
        <is>
          <t>Föryngringsavverkning</t>
        </is>
      </c>
      <c r="D530" s="1" t="n">
        <v>46174</v>
      </c>
      <c r="E530" s="1" t="n">
        <v>46223</v>
      </c>
      <c r="F530" t="inlineStr">
        <is>
          <t>DALARNAS LÄN</t>
        </is>
      </c>
      <c r="G530" t="inlineStr">
        <is>
          <t>ORSA</t>
        </is>
      </c>
      <c r="H530" t="inlineStr">
        <is>
          <t>Allmännings- och besparingsskogar</t>
        </is>
      </c>
      <c r="I530" t="n">
        <v>14.7</v>
      </c>
      <c r="J530" t="n">
        <v>0</v>
      </c>
      <c r="K530" t="n">
        <v>0</v>
      </c>
      <c r="L530" t="n">
        <v>0</v>
      </c>
      <c r="M530" t="n">
        <v>0</v>
      </c>
      <c r="N530" t="n">
        <v>0</v>
      </c>
      <c r="O530" t="n">
        <v>0</v>
      </c>
      <c r="P530" t="n">
        <v>0</v>
      </c>
      <c r="Q530" t="n">
        <v>0</v>
      </c>
      <c r="R530" t="n">
        <v>0</v>
      </c>
      <c r="S530" t="n">
        <v>0</v>
      </c>
      <c r="T530" t="n">
        <v>0</v>
      </c>
      <c r="U530" s="2" t="inlineStr"/>
    </row>
    <row r="531" ht="15" customHeight="1">
      <c r="A531" t="inlineStr">
        <is>
          <t>A 56711-2021</t>
        </is>
      </c>
      <c r="B531" t="inlineStr">
        <is>
          <t>avverkningsanmälan</t>
        </is>
      </c>
      <c r="C531" t="inlineStr">
        <is>
          <t>Föryngringsavverkning</t>
        </is>
      </c>
      <c r="D531" s="1" t="n">
        <v>44481</v>
      </c>
      <c r="E531" s="1" t="n">
        <v>46223</v>
      </c>
      <c r="F531" t="inlineStr">
        <is>
          <t>DALARNAS LÄN</t>
        </is>
      </c>
      <c r="G531" t="inlineStr">
        <is>
          <t>ORSA</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25576-2026</t>
        </is>
      </c>
      <c r="B532" t="inlineStr">
        <is>
          <t>avverkningsanmälan</t>
        </is>
      </c>
      <c r="C532" t="inlineStr">
        <is>
          <t>Föryngringsavverkning</t>
        </is>
      </c>
      <c r="D532" s="1" t="n">
        <v>46177</v>
      </c>
      <c r="E532" s="1" t="n">
        <v>46223</v>
      </c>
      <c r="F532" t="inlineStr">
        <is>
          <t>DALARNAS LÄN</t>
        </is>
      </c>
      <c r="G532" t="inlineStr">
        <is>
          <t>ORSA</t>
        </is>
      </c>
      <c r="H532" t="inlineStr">
        <is>
          <t>Bergvik skog öst AB</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48990-2023</t>
        </is>
      </c>
      <c r="B533" t="inlineStr">
        <is>
          <t>avverkningsanmälan</t>
        </is>
      </c>
      <c r="C533" t="inlineStr">
        <is>
          <t>Föryngringsavverkning</t>
        </is>
      </c>
      <c r="D533" s="1" t="n">
        <v>45209</v>
      </c>
      <c r="E533" s="1" t="n">
        <v>46223</v>
      </c>
      <c r="F533" t="inlineStr">
        <is>
          <t>DALARNAS LÄN</t>
        </is>
      </c>
      <c r="G533" t="inlineStr">
        <is>
          <t>ORSA</t>
        </is>
      </c>
      <c r="H533" t="inlineStr">
        <is>
          <t>Allmännings- och besparingsskogar</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25712-2026</t>
        </is>
      </c>
      <c r="B534" t="inlineStr">
        <is>
          <t>avverkningsanmälan</t>
        </is>
      </c>
      <c r="C534" t="inlineStr">
        <is>
          <t>Avverkning för annat ändamål</t>
        </is>
      </c>
      <c r="D534" s="1" t="n">
        <v>46178</v>
      </c>
      <c r="E534" s="1" t="n">
        <v>46223</v>
      </c>
      <c r="F534" t="inlineStr">
        <is>
          <t>DALARNAS LÄN</t>
        </is>
      </c>
      <c r="G534" t="inlineStr">
        <is>
          <t>ORSA</t>
        </is>
      </c>
      <c r="H534" t="inlineStr">
        <is>
          <t>Allmännings- och besparingsskogar</t>
        </is>
      </c>
      <c r="I534" t="n">
        <v>4</v>
      </c>
      <c r="J534" t="n">
        <v>0</v>
      </c>
      <c r="K534" t="n">
        <v>0</v>
      </c>
      <c r="L534" t="n">
        <v>0</v>
      </c>
      <c r="M534" t="n">
        <v>0</v>
      </c>
      <c r="N534" t="n">
        <v>0</v>
      </c>
      <c r="O534" t="n">
        <v>0</v>
      </c>
      <c r="P534" t="n">
        <v>0</v>
      </c>
      <c r="Q534" t="n">
        <v>0</v>
      </c>
      <c r="R534" t="n">
        <v>0</v>
      </c>
      <c r="S534" t="n">
        <v>0</v>
      </c>
      <c r="T534" t="n">
        <v>0</v>
      </c>
      <c r="U534" s="2" t="inlineStr"/>
    </row>
    <row r="535" ht="15" customHeight="1">
      <c r="A535" t="inlineStr">
        <is>
          <t>A 6492-2025</t>
        </is>
      </c>
      <c r="B535" t="inlineStr">
        <is>
          <t>avverkningsanmälan</t>
        </is>
      </c>
      <c r="C535" t="inlineStr">
        <is>
          <t>Föryngringsavverkning</t>
        </is>
      </c>
      <c r="D535" s="1" t="n">
        <v>45699</v>
      </c>
      <c r="E535" s="1" t="n">
        <v>46223</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13580-2025</t>
        </is>
      </c>
      <c r="B536" t="inlineStr">
        <is>
          <t>avverkningsanmälan</t>
        </is>
      </c>
      <c r="C536" t="inlineStr">
        <is>
          <t>Föryngringsavverkning</t>
        </is>
      </c>
      <c r="D536" s="1" t="n">
        <v>45736</v>
      </c>
      <c r="E536" s="1" t="n">
        <v>46223</v>
      </c>
      <c r="F536" t="inlineStr">
        <is>
          <t>DALARNAS LÄN</t>
        </is>
      </c>
      <c r="G536" t="inlineStr">
        <is>
          <t>ORSA</t>
        </is>
      </c>
      <c r="H536" t="inlineStr">
        <is>
          <t>Bergvik skog öst AB</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51574-2023</t>
        </is>
      </c>
      <c r="B537" t="inlineStr">
        <is>
          <t>avverkningsanmälan</t>
        </is>
      </c>
      <c r="C537" t="inlineStr">
        <is>
          <t>Föryngringsavverkning</t>
        </is>
      </c>
      <c r="D537" s="1" t="n">
        <v>45222</v>
      </c>
      <c r="E537" s="1" t="n">
        <v>46223</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54546-2024</t>
        </is>
      </c>
      <c r="B538" t="inlineStr">
        <is>
          <t>avverkningsanmälan</t>
        </is>
      </c>
      <c r="C538" t="inlineStr">
        <is>
          <t>Föryngringsavverkning</t>
        </is>
      </c>
      <c r="D538" s="1" t="n">
        <v>45617</v>
      </c>
      <c r="E538" s="1" t="n">
        <v>46223</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6476-2025</t>
        </is>
      </c>
      <c r="B539" t="inlineStr">
        <is>
          <t>avverkningsanmälan</t>
        </is>
      </c>
      <c r="C539" t="inlineStr">
        <is>
          <t>Föryngringsavverkning</t>
        </is>
      </c>
      <c r="D539" s="1" t="n">
        <v>45699</v>
      </c>
      <c r="E539" s="1" t="n">
        <v>46223</v>
      </c>
      <c r="F539" t="inlineStr">
        <is>
          <t>DALARNAS LÄN</t>
        </is>
      </c>
      <c r="G539" t="inlineStr">
        <is>
          <t>ORSA</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6479-2025</t>
        </is>
      </c>
      <c r="B540" t="inlineStr">
        <is>
          <t>avverkningsanmälan</t>
        </is>
      </c>
      <c r="C540" t="inlineStr">
        <is>
          <t>Föryngringsavverkning</t>
        </is>
      </c>
      <c r="D540" s="1" t="n">
        <v>45699</v>
      </c>
      <c r="E540" s="1" t="n">
        <v>46223</v>
      </c>
      <c r="F540" t="inlineStr">
        <is>
          <t>DALARNAS LÄN</t>
        </is>
      </c>
      <c r="G540" t="inlineStr">
        <is>
          <t>ORSA</t>
        </is>
      </c>
      <c r="I540" t="n">
        <v>3.2</v>
      </c>
      <c r="J540" t="n">
        <v>0</v>
      </c>
      <c r="K540" t="n">
        <v>0</v>
      </c>
      <c r="L540" t="n">
        <v>0</v>
      </c>
      <c r="M540" t="n">
        <v>0</v>
      </c>
      <c r="N540" t="n">
        <v>0</v>
      </c>
      <c r="O540" t="n">
        <v>0</v>
      </c>
      <c r="P540" t="n">
        <v>0</v>
      </c>
      <c r="Q540" t="n">
        <v>0</v>
      </c>
      <c r="R540" t="n">
        <v>0</v>
      </c>
      <c r="S540" t="n">
        <v>0</v>
      </c>
      <c r="T540" t="n">
        <v>0</v>
      </c>
      <c r="U540" s="2" t="inlineStr"/>
    </row>
    <row r="541" ht="15" customHeight="1">
      <c r="A541" t="inlineStr">
        <is>
          <t>A 20588-2025</t>
        </is>
      </c>
      <c r="B541" t="inlineStr">
        <is>
          <t>avverkningsanmälan</t>
        </is>
      </c>
      <c r="C541" t="inlineStr">
        <is>
          <t>Föryngringsavverkning</t>
        </is>
      </c>
      <c r="D541" s="1" t="n">
        <v>45775</v>
      </c>
      <c r="E541" s="1" t="n">
        <v>46223</v>
      </c>
      <c r="F541" t="inlineStr">
        <is>
          <t>DALARNAS LÄN</t>
        </is>
      </c>
      <c r="G541" t="inlineStr">
        <is>
          <t>ORSA</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29499-2024</t>
        </is>
      </c>
      <c r="B542" t="inlineStr">
        <is>
          <t>avverkningsanmälan</t>
        </is>
      </c>
      <c r="C542" t="inlineStr">
        <is>
          <t>Föryngringsavverkning</t>
        </is>
      </c>
      <c r="D542" s="1" t="n">
        <v>45484</v>
      </c>
      <c r="E542" s="1" t="n">
        <v>46223</v>
      </c>
      <c r="F542" t="inlineStr">
        <is>
          <t>DALARNAS LÄN</t>
        </is>
      </c>
      <c r="G542" t="inlineStr">
        <is>
          <t>ORSA</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5921-2025</t>
        </is>
      </c>
      <c r="B543" t="inlineStr">
        <is>
          <t>avverkningsanmälan</t>
        </is>
      </c>
      <c r="C543" t="inlineStr">
        <is>
          <t>Avverkning för annat ändamål</t>
        </is>
      </c>
      <c r="D543" s="1" t="n">
        <v>45695</v>
      </c>
      <c r="E543" s="1" t="n">
        <v>46223</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50392-2024</t>
        </is>
      </c>
      <c r="B544" t="inlineStr">
        <is>
          <t>avverkningsanmälan</t>
        </is>
      </c>
      <c r="C544" t="inlineStr">
        <is>
          <t>Föryngringsavverkning</t>
        </is>
      </c>
      <c r="D544" s="1" t="n">
        <v>45601</v>
      </c>
      <c r="E544" s="1" t="n">
        <v>46223</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61277-2023</t>
        </is>
      </c>
      <c r="B545" t="inlineStr">
        <is>
          <t>avverkningsanmälan</t>
        </is>
      </c>
      <c r="C545" t="inlineStr">
        <is>
          <t>Föryngringsavverkning</t>
        </is>
      </c>
      <c r="D545" s="1" t="n">
        <v>45264</v>
      </c>
      <c r="E545" s="1" t="n">
        <v>46223</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21376-2025</t>
        </is>
      </c>
      <c r="B546" t="inlineStr">
        <is>
          <t>avverkningsanmälan</t>
        </is>
      </c>
      <c r="C546" t="inlineStr">
        <is>
          <t>Föryngringsavverkning</t>
        </is>
      </c>
      <c r="D546" s="1" t="n">
        <v>45782</v>
      </c>
      <c r="E546" s="1" t="n">
        <v>46223</v>
      </c>
      <c r="F546" t="inlineStr">
        <is>
          <t>DALARNAS LÄN</t>
        </is>
      </c>
      <c r="G546" t="inlineStr">
        <is>
          <t>ORSA</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879-2024</t>
        </is>
      </c>
      <c r="B547" t="inlineStr">
        <is>
          <t>avverkningsanmälan</t>
        </is>
      </c>
      <c r="C547" t="inlineStr">
        <is>
          <t>Föryngringsavverkning</t>
        </is>
      </c>
      <c r="D547" s="1" t="n">
        <v>45301</v>
      </c>
      <c r="E547" s="1" t="n">
        <v>46223</v>
      </c>
      <c r="F547" t="inlineStr">
        <is>
          <t>DALARNAS LÄN</t>
        </is>
      </c>
      <c r="G547" t="inlineStr">
        <is>
          <t>ORSA</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21165-2024</t>
        </is>
      </c>
      <c r="B548" t="inlineStr">
        <is>
          <t>avverkningsanmälan</t>
        </is>
      </c>
      <c r="C548" t="inlineStr">
        <is>
          <t>Föryngringsavverkning</t>
        </is>
      </c>
      <c r="D548" s="1" t="n">
        <v>45440</v>
      </c>
      <c r="E548" s="1" t="n">
        <v>46223</v>
      </c>
      <c r="F548" t="inlineStr">
        <is>
          <t>DALARNAS LÄN</t>
        </is>
      </c>
      <c r="G548" t="inlineStr">
        <is>
          <t>ORSA</t>
        </is>
      </c>
      <c r="H548" t="inlineStr">
        <is>
          <t>Bergvik skog öst AB</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41835-2024</t>
        </is>
      </c>
      <c r="B549" t="inlineStr">
        <is>
          <t>avverkningsanmälan</t>
        </is>
      </c>
      <c r="C549" t="inlineStr">
        <is>
          <t>Föryngringsavverkning</t>
        </is>
      </c>
      <c r="D549" s="1" t="n">
        <v>45561</v>
      </c>
      <c r="E549" s="1" t="n">
        <v>46223</v>
      </c>
      <c r="F549" t="inlineStr">
        <is>
          <t>DALARNAS LÄN</t>
        </is>
      </c>
      <c r="G549" t="inlineStr">
        <is>
          <t>ORSA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10004-2023</t>
        </is>
      </c>
      <c r="B550" t="inlineStr">
        <is>
          <t>avverkningsanmälan</t>
        </is>
      </c>
      <c r="C550" t="inlineStr">
        <is>
          <t>Föryngringsavverkning</t>
        </is>
      </c>
      <c r="D550" s="1" t="n">
        <v>44985</v>
      </c>
      <c r="E550" s="1" t="n">
        <v>46223</v>
      </c>
      <c r="F550" t="inlineStr">
        <is>
          <t>DALARNAS LÄN</t>
        </is>
      </c>
      <c r="G550" t="inlineStr">
        <is>
          <t>ORSA</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4566-2025</t>
        </is>
      </c>
      <c r="B551" t="inlineStr">
        <is>
          <t>avverkningsanmälan</t>
        </is>
      </c>
      <c r="C551" t="inlineStr">
        <is>
          <t>Föryngringsavverkning</t>
        </is>
      </c>
      <c r="D551" s="1" t="n">
        <v>45687</v>
      </c>
      <c r="E551" s="1" t="n">
        <v>46223</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44904-2024</t>
        </is>
      </c>
      <c r="B552" t="inlineStr">
        <is>
          <t>avverkningsanmälan</t>
        </is>
      </c>
      <c r="C552" t="inlineStr">
        <is>
          <t>Föryngringsavverkning</t>
        </is>
      </c>
      <c r="D552" s="1" t="n">
        <v>45575</v>
      </c>
      <c r="E552" s="1" t="n">
        <v>46223</v>
      </c>
      <c r="F552" t="inlineStr">
        <is>
          <t>DALARNAS LÄN</t>
        </is>
      </c>
      <c r="G552" t="inlineStr">
        <is>
          <t>ORSA</t>
        </is>
      </c>
      <c r="H552" t="inlineStr">
        <is>
          <t>Bergvik skog öst AB</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23056-2025</t>
        </is>
      </c>
      <c r="B553" t="inlineStr">
        <is>
          <t>avverkningsanmälan</t>
        </is>
      </c>
      <c r="C553" t="inlineStr">
        <is>
          <t>Föryngringsavverkning</t>
        </is>
      </c>
      <c r="D553" s="1" t="n">
        <v>45790</v>
      </c>
      <c r="E553" s="1" t="n">
        <v>46223</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23055-2025</t>
        </is>
      </c>
      <c r="B554" t="inlineStr">
        <is>
          <t>avverkningsanmälan</t>
        </is>
      </c>
      <c r="C554" t="inlineStr">
        <is>
          <t>Föryngringsavverkning</t>
        </is>
      </c>
      <c r="D554" s="1" t="n">
        <v>45790</v>
      </c>
      <c r="E554" s="1" t="n">
        <v>46223</v>
      </c>
      <c r="F554" t="inlineStr">
        <is>
          <t>DALARNAS LÄN</t>
        </is>
      </c>
      <c r="G554" t="inlineStr">
        <is>
          <t>ORSA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23015-2025</t>
        </is>
      </c>
      <c r="B555" t="inlineStr">
        <is>
          <t>avverkningsanmälan</t>
        </is>
      </c>
      <c r="C555" t="inlineStr">
        <is>
          <t>Föryngringsavverkning</t>
        </is>
      </c>
      <c r="D555" s="1" t="n">
        <v>45790</v>
      </c>
      <c r="E555" s="1" t="n">
        <v>46223</v>
      </c>
      <c r="F555" t="inlineStr">
        <is>
          <t>DALARNAS LÄN</t>
        </is>
      </c>
      <c r="G555" t="inlineStr">
        <is>
          <t>ORSA</t>
        </is>
      </c>
      <c r="H555" t="inlineStr">
        <is>
          <t>Bergvik skog öst AB</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62289-2023</t>
        </is>
      </c>
      <c r="B556" t="inlineStr">
        <is>
          <t>avverkningsanmälan</t>
        </is>
      </c>
      <c r="C556" t="inlineStr">
        <is>
          <t>Föryngringsavverkning</t>
        </is>
      </c>
      <c r="D556" s="1" t="n">
        <v>45266</v>
      </c>
      <c r="E556" s="1" t="n">
        <v>46223</v>
      </c>
      <c r="F556" t="inlineStr">
        <is>
          <t>DALARNAS LÄN</t>
        </is>
      </c>
      <c r="G556" t="inlineStr">
        <is>
          <t>ORSA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58549-2023</t>
        </is>
      </c>
      <c r="B557" t="inlineStr">
        <is>
          <t>avverkningsanmälan</t>
        </is>
      </c>
      <c r="C557" t="inlineStr">
        <is>
          <t>Föryngringsavverkning</t>
        </is>
      </c>
      <c r="D557" s="1" t="n">
        <v>45251</v>
      </c>
      <c r="E557" s="1" t="n">
        <v>46223</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5302-2024</t>
        </is>
      </c>
      <c r="B558" t="inlineStr">
        <is>
          <t>avverkningsanmälan</t>
        </is>
      </c>
      <c r="C558" t="inlineStr">
        <is>
          <t>Föryngringsavverkning</t>
        </is>
      </c>
      <c r="D558" s="1" t="n">
        <v>45331</v>
      </c>
      <c r="E558" s="1" t="n">
        <v>46223</v>
      </c>
      <c r="F558" t="inlineStr">
        <is>
          <t>DALARNAS LÄN</t>
        </is>
      </c>
      <c r="G558" t="inlineStr">
        <is>
          <t>ORSA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1785-2024</t>
        </is>
      </c>
      <c r="B559" t="inlineStr">
        <is>
          <t>avverkningsanmälan</t>
        </is>
      </c>
      <c r="C559" t="inlineStr">
        <is>
          <t>Föryngringsavverkning</t>
        </is>
      </c>
      <c r="D559" s="1" t="n">
        <v>45307</v>
      </c>
      <c r="E559" s="1" t="n">
        <v>46223</v>
      </c>
      <c r="F559" t="inlineStr">
        <is>
          <t>DALARNAS LÄN</t>
        </is>
      </c>
      <c r="G559" t="inlineStr">
        <is>
          <t>ORSA</t>
        </is>
      </c>
      <c r="I559" t="n">
        <v>42.8</v>
      </c>
      <c r="J559" t="n">
        <v>0</v>
      </c>
      <c r="K559" t="n">
        <v>0</v>
      </c>
      <c r="L559" t="n">
        <v>0</v>
      </c>
      <c r="M559" t="n">
        <v>0</v>
      </c>
      <c r="N559" t="n">
        <v>0</v>
      </c>
      <c r="O559" t="n">
        <v>0</v>
      </c>
      <c r="P559" t="n">
        <v>0</v>
      </c>
      <c r="Q559" t="n">
        <v>0</v>
      </c>
      <c r="R559" t="n">
        <v>0</v>
      </c>
      <c r="S559" t="n">
        <v>0</v>
      </c>
      <c r="T559" t="n">
        <v>0</v>
      </c>
      <c r="U559" s="2" t="inlineStr"/>
    </row>
    <row r="560" ht="15" customHeight="1">
      <c r="A560" t="inlineStr">
        <is>
          <t>A 53703-2024</t>
        </is>
      </c>
      <c r="B560" t="inlineStr">
        <is>
          <t>avverkningsanmälan</t>
        </is>
      </c>
      <c r="C560" t="inlineStr">
        <is>
          <t>Föryngringsavverkning</t>
        </is>
      </c>
      <c r="D560" s="1" t="n">
        <v>45615</v>
      </c>
      <c r="E560" s="1" t="n">
        <v>46223</v>
      </c>
      <c r="F560" t="inlineStr">
        <is>
          <t>DALARNAS LÄN</t>
        </is>
      </c>
      <c r="G560" t="inlineStr">
        <is>
          <t>ORSA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24969-2025</t>
        </is>
      </c>
      <c r="B561" t="inlineStr">
        <is>
          <t>avverkningsanmälan</t>
        </is>
      </c>
      <c r="C561" t="inlineStr">
        <is>
          <t>Avverkning för annat ändamål</t>
        </is>
      </c>
      <c r="D561" s="1" t="n">
        <v>45799</v>
      </c>
      <c r="E561" s="1" t="n">
        <v>46223</v>
      </c>
      <c r="F561" t="inlineStr">
        <is>
          <t>DALARNAS LÄN</t>
        </is>
      </c>
      <c r="G561" t="inlineStr">
        <is>
          <t>ORSA</t>
        </is>
      </c>
      <c r="H561" t="inlineStr">
        <is>
          <t>Allmännings- och besparingsskogar</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25211-2025</t>
        </is>
      </c>
      <c r="B562" t="inlineStr">
        <is>
          <t>avverkningsanmälan</t>
        </is>
      </c>
      <c r="C562" t="inlineStr">
        <is>
          <t>Föryngringsavverkning</t>
        </is>
      </c>
      <c r="D562" s="1" t="n">
        <v>45800</v>
      </c>
      <c r="E562" s="1" t="n">
        <v>46223</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S 1499-2022</t>
        </is>
      </c>
      <c r="B563" t="inlineStr">
        <is>
          <t>samrådsanmälan</t>
        </is>
      </c>
      <c r="C563" t="inlineStr">
        <is>
          <t>Skogsgödsling</t>
        </is>
      </c>
      <c r="D563" s="1" t="n">
        <v>44637</v>
      </c>
      <c r="E563" s="1" t="n">
        <v>46223</v>
      </c>
      <c r="F563" t="inlineStr">
        <is>
          <t>DALARNAS LÄN</t>
        </is>
      </c>
      <c r="G563" t="inlineStr">
        <is>
          <t>ORSA</t>
        </is>
      </c>
      <c r="H563" t="inlineStr">
        <is>
          <t>Bergvik skog öst AB</t>
        </is>
      </c>
      <c r="I563" t="n">
        <v>177.2</v>
      </c>
      <c r="J563" t="n">
        <v>0</v>
      </c>
      <c r="K563" t="n">
        <v>0</v>
      </c>
      <c r="L563" t="n">
        <v>0</v>
      </c>
      <c r="M563" t="n">
        <v>0</v>
      </c>
      <c r="N563" t="n">
        <v>0</v>
      </c>
      <c r="O563" t="n">
        <v>0</v>
      </c>
      <c r="P563" t="n">
        <v>0</v>
      </c>
      <c r="Q563" t="n">
        <v>0</v>
      </c>
      <c r="R563" t="n">
        <v>0</v>
      </c>
      <c r="S563" t="n">
        <v>0</v>
      </c>
      <c r="T563" t="n">
        <v>0</v>
      </c>
      <c r="U563" s="2" t="inlineStr"/>
    </row>
    <row r="564" ht="15" customHeight="1">
      <c r="A564" t="inlineStr">
        <is>
          <t>S 568-2022</t>
        </is>
      </c>
      <c r="B564" t="inlineStr">
        <is>
          <t>samrådsanmälan</t>
        </is>
      </c>
      <c r="C564" t="inlineStr">
        <is>
          <t>Skogsgödsling</t>
        </is>
      </c>
      <c r="D564" s="1" t="n">
        <v>44589</v>
      </c>
      <c r="E564" s="1" t="n">
        <v>46223</v>
      </c>
      <c r="F564" t="inlineStr">
        <is>
          <t>DALARNAS LÄN</t>
        </is>
      </c>
      <c r="G564" t="inlineStr">
        <is>
          <t>ORSA</t>
        </is>
      </c>
      <c r="H564" t="inlineStr">
        <is>
          <t>Bergvik skog öst AB</t>
        </is>
      </c>
      <c r="I564" t="n">
        <v>98.2</v>
      </c>
      <c r="J564" t="n">
        <v>0</v>
      </c>
      <c r="K564" t="n">
        <v>0</v>
      </c>
      <c r="L564" t="n">
        <v>0</v>
      </c>
      <c r="M564" t="n">
        <v>0</v>
      </c>
      <c r="N564" t="n">
        <v>0</v>
      </c>
      <c r="O564" t="n">
        <v>0</v>
      </c>
      <c r="P564" t="n">
        <v>0</v>
      </c>
      <c r="Q564" t="n">
        <v>0</v>
      </c>
      <c r="R564" t="n">
        <v>0</v>
      </c>
      <c r="S564" t="n">
        <v>0</v>
      </c>
      <c r="T564" t="n">
        <v>0</v>
      </c>
      <c r="U564" s="2" t="inlineStr"/>
    </row>
    <row r="565" ht="15" customHeight="1">
      <c r="A565" t="inlineStr">
        <is>
          <t>S 882-2024</t>
        </is>
      </c>
      <c r="B565" t="inlineStr">
        <is>
          <t>samrådsanmälan</t>
        </is>
      </c>
      <c r="C565" t="inlineStr">
        <is>
          <t>Skogsgödsling</t>
        </is>
      </c>
      <c r="D565" s="1" t="n">
        <v>45376</v>
      </c>
      <c r="E565" s="1" t="n">
        <v>46223</v>
      </c>
      <c r="F565" t="inlineStr">
        <is>
          <t>DALARNAS LÄN</t>
        </is>
      </c>
      <c r="G565" t="inlineStr">
        <is>
          <t>ORSA</t>
        </is>
      </c>
      <c r="H565" t="inlineStr">
        <is>
          <t>Allmännings- och besparingsskogar</t>
        </is>
      </c>
      <c r="I565" t="n">
        <v>28.8</v>
      </c>
      <c r="J565" t="n">
        <v>0</v>
      </c>
      <c r="K565" t="n">
        <v>0</v>
      </c>
      <c r="L565" t="n">
        <v>0</v>
      </c>
      <c r="M565" t="n">
        <v>0</v>
      </c>
      <c r="N565" t="n">
        <v>0</v>
      </c>
      <c r="O565" t="n">
        <v>0</v>
      </c>
      <c r="P565" t="n">
        <v>0</v>
      </c>
      <c r="Q565" t="n">
        <v>0</v>
      </c>
      <c r="R565" t="n">
        <v>0</v>
      </c>
      <c r="S565" t="n">
        <v>0</v>
      </c>
      <c r="T565" t="n">
        <v>0</v>
      </c>
      <c r="U565" s="2" t="inlineStr"/>
    </row>
    <row r="566" ht="15" customHeight="1">
      <c r="A566" t="inlineStr">
        <is>
          <t>S 348-2023</t>
        </is>
      </c>
      <c r="B566" t="inlineStr">
        <is>
          <t>samrådsanmälan</t>
        </is>
      </c>
      <c r="C566" t="inlineStr">
        <is>
          <t>Annan skogsbruksåtgärd</t>
        </is>
      </c>
      <c r="D566" s="1" t="n">
        <v>44960</v>
      </c>
      <c r="E566" s="1" t="n">
        <v>46223</v>
      </c>
      <c r="F566" t="inlineStr">
        <is>
          <t>DALARNAS LÄN</t>
        </is>
      </c>
      <c r="G566" t="inlineStr">
        <is>
          <t>ORSA</t>
        </is>
      </c>
      <c r="I566" t="n">
        <v>5.1</v>
      </c>
      <c r="J566" t="n">
        <v>0</v>
      </c>
      <c r="K566" t="n">
        <v>0</v>
      </c>
      <c r="L566" t="n">
        <v>0</v>
      </c>
      <c r="M566" t="n">
        <v>0</v>
      </c>
      <c r="N566" t="n">
        <v>0</v>
      </c>
      <c r="O566" t="n">
        <v>0</v>
      </c>
      <c r="P566" t="n">
        <v>0</v>
      </c>
      <c r="Q566" t="n">
        <v>0</v>
      </c>
      <c r="R566" t="n">
        <v>0</v>
      </c>
      <c r="S566" t="n">
        <v>0</v>
      </c>
      <c r="T566" t="n">
        <v>0</v>
      </c>
      <c r="U566" s="2" t="inlineStr"/>
    </row>
    <row r="567" ht="15" customHeight="1">
      <c r="A567" t="inlineStr">
        <is>
          <t>S 350-2023</t>
        </is>
      </c>
      <c r="B567" t="inlineStr">
        <is>
          <t>samrådsanmälan</t>
        </is>
      </c>
      <c r="C567" t="inlineStr">
        <is>
          <t>Annan skogsbruksåtgärd</t>
        </is>
      </c>
      <c r="D567" s="1" t="n">
        <v>44960</v>
      </c>
      <c r="E567" s="1" t="n">
        <v>46223</v>
      </c>
      <c r="F567" t="inlineStr">
        <is>
          <t>DALARNAS LÄN</t>
        </is>
      </c>
      <c r="G567" t="inlineStr">
        <is>
          <t>ORSA</t>
        </is>
      </c>
      <c r="I567" t="n">
        <v>5.3</v>
      </c>
      <c r="J567" t="n">
        <v>0</v>
      </c>
      <c r="K567" t="n">
        <v>0</v>
      </c>
      <c r="L567" t="n">
        <v>0</v>
      </c>
      <c r="M567" t="n">
        <v>0</v>
      </c>
      <c r="N567" t="n">
        <v>0</v>
      </c>
      <c r="O567" t="n">
        <v>0</v>
      </c>
      <c r="P567" t="n">
        <v>0</v>
      </c>
      <c r="Q567" t="n">
        <v>0</v>
      </c>
      <c r="R567" t="n">
        <v>0</v>
      </c>
      <c r="S567" t="n">
        <v>0</v>
      </c>
      <c r="T567" t="n">
        <v>0</v>
      </c>
      <c r="U567" s="2" t="inlineStr"/>
    </row>
    <row r="568" ht="15" customHeight="1">
      <c r="A568" t="inlineStr">
        <is>
          <t>S 7072-2022</t>
        </is>
      </c>
      <c r="B568" t="inlineStr">
        <is>
          <t>samrådsanmälan</t>
        </is>
      </c>
      <c r="C568" t="inlineStr">
        <is>
          <t>Annan skogsbruksåtgärd</t>
        </is>
      </c>
      <c r="D568" s="1" t="n">
        <v>44907</v>
      </c>
      <c r="E568" s="1" t="n">
        <v>46223</v>
      </c>
      <c r="F568" t="inlineStr">
        <is>
          <t>DALARNAS LÄN</t>
        </is>
      </c>
      <c r="G568" t="inlineStr">
        <is>
          <t>ORSA</t>
        </is>
      </c>
      <c r="H568" t="inlineStr">
        <is>
          <t>Bergvik skog öst AB</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S 8669-2021</t>
        </is>
      </c>
      <c r="B569" t="inlineStr">
        <is>
          <t>samrådsanmälan</t>
        </is>
      </c>
      <c r="C569" t="inlineStr">
        <is>
          <t>Skogsgödsling</t>
        </is>
      </c>
      <c r="D569" s="1" t="n">
        <v>44498</v>
      </c>
      <c r="E569" s="1" t="n">
        <v>46223</v>
      </c>
      <c r="F569" t="inlineStr">
        <is>
          <t>DALARNAS LÄN</t>
        </is>
      </c>
      <c r="G569" t="inlineStr">
        <is>
          <t>ORSA</t>
        </is>
      </c>
      <c r="H569" t="inlineStr">
        <is>
          <t>Allmännings- och besparingsskogar</t>
        </is>
      </c>
      <c r="I569" t="n">
        <v>106</v>
      </c>
      <c r="J569" t="n">
        <v>0</v>
      </c>
      <c r="K569" t="n">
        <v>0</v>
      </c>
      <c r="L569" t="n">
        <v>0</v>
      </c>
      <c r="M569" t="n">
        <v>0</v>
      </c>
      <c r="N569" t="n">
        <v>0</v>
      </c>
      <c r="O569" t="n">
        <v>0</v>
      </c>
      <c r="P569" t="n">
        <v>0</v>
      </c>
      <c r="Q569" t="n">
        <v>0</v>
      </c>
      <c r="R569" t="n">
        <v>0</v>
      </c>
      <c r="S569" t="n">
        <v>0</v>
      </c>
      <c r="T569" t="n">
        <v>0</v>
      </c>
      <c r="U569" s="2" t="inlineStr"/>
    </row>
    <row r="570" ht="15" customHeight="1">
      <c r="A570" t="inlineStr">
        <is>
          <t>S 913-2024</t>
        </is>
      </c>
      <c r="B570" t="inlineStr">
        <is>
          <t>samrådsanmälan</t>
        </is>
      </c>
      <c r="C570" t="inlineStr">
        <is>
          <t>Skogsgödsling</t>
        </is>
      </c>
      <c r="D570" s="1" t="n">
        <v>45377</v>
      </c>
      <c r="E570" s="1" t="n">
        <v>46223</v>
      </c>
      <c r="F570" t="inlineStr">
        <is>
          <t>DALARNAS LÄN</t>
        </is>
      </c>
      <c r="G570" t="inlineStr">
        <is>
          <t>ORSA</t>
        </is>
      </c>
      <c r="H570" t="inlineStr">
        <is>
          <t>Allmännings- och besparingsskogar</t>
        </is>
      </c>
      <c r="I570" t="n">
        <v>72.2</v>
      </c>
      <c r="J570" t="n">
        <v>0</v>
      </c>
      <c r="K570" t="n">
        <v>0</v>
      </c>
      <c r="L570" t="n">
        <v>0</v>
      </c>
      <c r="M570" t="n">
        <v>0</v>
      </c>
      <c r="N570" t="n">
        <v>0</v>
      </c>
      <c r="O570" t="n">
        <v>0</v>
      </c>
      <c r="P570" t="n">
        <v>0</v>
      </c>
      <c r="Q570" t="n">
        <v>0</v>
      </c>
      <c r="R570" t="n">
        <v>0</v>
      </c>
      <c r="S570" t="n">
        <v>0</v>
      </c>
      <c r="T570" t="n">
        <v>0</v>
      </c>
      <c r="U570" s="2" t="inlineStr"/>
    </row>
    <row r="571" ht="15" customHeight="1">
      <c r="A571" t="inlineStr">
        <is>
          <t>S 3964-2024</t>
        </is>
      </c>
      <c r="B571" t="inlineStr">
        <is>
          <t>samrådsanmälan</t>
        </is>
      </c>
      <c r="C571" t="inlineStr">
        <is>
          <t>Annan skogsbruksåtgärd</t>
        </is>
      </c>
      <c r="D571" s="1" t="n">
        <v>45567</v>
      </c>
      <c r="E571" s="1" t="n">
        <v>46223</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S 881-2024</t>
        </is>
      </c>
      <c r="B572" t="inlineStr">
        <is>
          <t>samrådsanmälan</t>
        </is>
      </c>
      <c r="C572" t="inlineStr">
        <is>
          <t>Skogsgödsling</t>
        </is>
      </c>
      <c r="D572" s="1" t="n">
        <v>45377</v>
      </c>
      <c r="E572" s="1" t="n">
        <v>46223</v>
      </c>
      <c r="F572" t="inlineStr">
        <is>
          <t>DALARNAS LÄN</t>
        </is>
      </c>
      <c r="G572" t="inlineStr">
        <is>
          <t>ORSA</t>
        </is>
      </c>
      <c r="H572" t="inlineStr">
        <is>
          <t>Allmännings- och besparingsskogar</t>
        </is>
      </c>
      <c r="I572" t="n">
        <v>47.1</v>
      </c>
      <c r="J572" t="n">
        <v>0</v>
      </c>
      <c r="K572" t="n">
        <v>0</v>
      </c>
      <c r="L572" t="n">
        <v>0</v>
      </c>
      <c r="M572" t="n">
        <v>0</v>
      </c>
      <c r="N572" t="n">
        <v>0</v>
      </c>
      <c r="O572" t="n">
        <v>0</v>
      </c>
      <c r="P572" t="n">
        <v>0</v>
      </c>
      <c r="Q572" t="n">
        <v>0</v>
      </c>
      <c r="R572" t="n">
        <v>0</v>
      </c>
      <c r="S572" t="n">
        <v>0</v>
      </c>
      <c r="T572" t="n">
        <v>0</v>
      </c>
      <c r="U572" s="2" t="inlineStr"/>
    </row>
    <row r="573" ht="15" customHeight="1">
      <c r="A573" t="inlineStr">
        <is>
          <t>S 8670-2021</t>
        </is>
      </c>
      <c r="B573" t="inlineStr">
        <is>
          <t>samrådsanmälan</t>
        </is>
      </c>
      <c r="C573" t="inlineStr">
        <is>
          <t>Skogsgödsling</t>
        </is>
      </c>
      <c r="D573" s="1" t="n">
        <v>44498</v>
      </c>
      <c r="E573" s="1" t="n">
        <v>46223</v>
      </c>
      <c r="F573" t="inlineStr">
        <is>
          <t>DALARNAS LÄN</t>
        </is>
      </c>
      <c r="G573" t="inlineStr">
        <is>
          <t>ORSA</t>
        </is>
      </c>
      <c r="H573" t="inlineStr">
        <is>
          <t>Allmännings- och besparingsskogar</t>
        </is>
      </c>
      <c r="I573" t="n">
        <v>57.4</v>
      </c>
      <c r="J573" t="n">
        <v>0</v>
      </c>
      <c r="K573" t="n">
        <v>0</v>
      </c>
      <c r="L573" t="n">
        <v>0</v>
      </c>
      <c r="M573" t="n">
        <v>0</v>
      </c>
      <c r="N573" t="n">
        <v>0</v>
      </c>
      <c r="O573" t="n">
        <v>0</v>
      </c>
      <c r="P573" t="n">
        <v>0</v>
      </c>
      <c r="Q573" t="n">
        <v>0</v>
      </c>
      <c r="R573" t="n">
        <v>0</v>
      </c>
      <c r="S573" t="n">
        <v>0</v>
      </c>
      <c r="T573" t="n">
        <v>0</v>
      </c>
      <c r="U573" s="2" t="inlineStr"/>
    </row>
    <row r="574" ht="15" customHeight="1">
      <c r="A574" t="inlineStr">
        <is>
          <t>S 2739-2023</t>
        </is>
      </c>
      <c r="B574" t="inlineStr">
        <is>
          <t>samrådsanmälan</t>
        </is>
      </c>
      <c r="C574" t="inlineStr">
        <is>
          <t>Annan skogsbruksåtgärd</t>
        </is>
      </c>
      <c r="D574" s="1" t="n">
        <v>45159</v>
      </c>
      <c r="E574" s="1" t="n">
        <v>46223</v>
      </c>
      <c r="F574" t="inlineStr">
        <is>
          <t>DALARNAS LÄN</t>
        </is>
      </c>
      <c r="G574" t="inlineStr">
        <is>
          <t>ORSA</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S 199-2024</t>
        </is>
      </c>
      <c r="B575" t="inlineStr">
        <is>
          <t>samrådsanmälan</t>
        </is>
      </c>
      <c r="C575" t="inlineStr">
        <is>
          <t>Skogsgödsling</t>
        </is>
      </c>
      <c r="D575" s="1" t="n">
        <v>45315</v>
      </c>
      <c r="E575" s="1" t="n">
        <v>46223</v>
      </c>
      <c r="F575" t="inlineStr">
        <is>
          <t>DALARNAS LÄN</t>
        </is>
      </c>
      <c r="G575" t="inlineStr">
        <is>
          <t>ORSA</t>
        </is>
      </c>
      <c r="H575" t="inlineStr">
        <is>
          <t>Bergvik skog öst AB</t>
        </is>
      </c>
      <c r="I575" t="n">
        <v>36</v>
      </c>
      <c r="J575" t="n">
        <v>0</v>
      </c>
      <c r="K575" t="n">
        <v>0</v>
      </c>
      <c r="L575" t="n">
        <v>0</v>
      </c>
      <c r="M575" t="n">
        <v>0</v>
      </c>
      <c r="N575" t="n">
        <v>0</v>
      </c>
      <c r="O575" t="n">
        <v>0</v>
      </c>
      <c r="P575" t="n">
        <v>0</v>
      </c>
      <c r="Q575" t="n">
        <v>0</v>
      </c>
      <c r="R575" t="n">
        <v>0</v>
      </c>
      <c r="S575" t="n">
        <v>0</v>
      </c>
      <c r="T575" t="n">
        <v>0</v>
      </c>
      <c r="U575" s="2" t="inlineStr"/>
    </row>
    <row r="576" ht="15" customHeight="1">
      <c r="A576" t="inlineStr">
        <is>
          <t>S 404-2025</t>
        </is>
      </c>
      <c r="B576" t="inlineStr">
        <is>
          <t>samrådsanmälan</t>
        </is>
      </c>
      <c r="C576" t="inlineStr">
        <is>
          <t>Skogsgödsling</t>
        </is>
      </c>
      <c r="D576" s="1" t="n">
        <v>45699</v>
      </c>
      <c r="E576" s="1" t="n">
        <v>46223</v>
      </c>
      <c r="F576" t="inlineStr">
        <is>
          <t>DALARNAS LÄN</t>
        </is>
      </c>
      <c r="G576" t="inlineStr">
        <is>
          <t>ORSA</t>
        </is>
      </c>
      <c r="H576" t="inlineStr">
        <is>
          <t>Bergvik skog öst AB</t>
        </is>
      </c>
      <c r="I576" t="n">
        <v>223.8</v>
      </c>
      <c r="J576" t="n">
        <v>0</v>
      </c>
      <c r="K576" t="n">
        <v>0</v>
      </c>
      <c r="L576" t="n">
        <v>0</v>
      </c>
      <c r="M576" t="n">
        <v>0</v>
      </c>
      <c r="N576" t="n">
        <v>0</v>
      </c>
      <c r="O576" t="n">
        <v>0</v>
      </c>
      <c r="P576" t="n">
        <v>0</v>
      </c>
      <c r="Q576" t="n">
        <v>0</v>
      </c>
      <c r="R576" t="n">
        <v>0</v>
      </c>
      <c r="S576" t="n">
        <v>0</v>
      </c>
      <c r="T576" t="n">
        <v>0</v>
      </c>
      <c r="U576" s="2" t="inlineStr"/>
    </row>
    <row r="577" ht="15" customHeight="1">
      <c r="A577" t="inlineStr">
        <is>
          <t>S 2808-2025</t>
        </is>
      </c>
      <c r="B577" t="inlineStr">
        <is>
          <t>samrådsanmälan</t>
        </is>
      </c>
      <c r="C577" t="inlineStr">
        <is>
          <t>Skogsgödsling</t>
        </is>
      </c>
      <c r="D577" s="1" t="n">
        <v>45938</v>
      </c>
      <c r="E577" s="1" t="n">
        <v>46223</v>
      </c>
      <c r="F577" t="inlineStr">
        <is>
          <t>DALARNAS LÄN</t>
        </is>
      </c>
      <c r="G577" t="inlineStr">
        <is>
          <t>ORSA</t>
        </is>
      </c>
      <c r="H577" t="inlineStr">
        <is>
          <t>Allmännings- och besparingsskogar</t>
        </is>
      </c>
      <c r="I577" t="n">
        <v>18.6</v>
      </c>
      <c r="J577" t="n">
        <v>0</v>
      </c>
      <c r="K577" t="n">
        <v>0</v>
      </c>
      <c r="L577" t="n">
        <v>0</v>
      </c>
      <c r="M577" t="n">
        <v>0</v>
      </c>
      <c r="N577" t="n">
        <v>0</v>
      </c>
      <c r="O577" t="n">
        <v>0</v>
      </c>
      <c r="P577" t="n">
        <v>0</v>
      </c>
      <c r="Q577" t="n">
        <v>0</v>
      </c>
      <c r="R577" t="n">
        <v>0</v>
      </c>
      <c r="S577" t="n">
        <v>0</v>
      </c>
      <c r="T577" t="n">
        <v>0</v>
      </c>
      <c r="U577" s="2" t="inlineStr"/>
    </row>
    <row r="578" ht="15" customHeight="1">
      <c r="A578" t="inlineStr">
        <is>
          <t>S 2817-2025</t>
        </is>
      </c>
      <c r="B578" t="inlineStr">
        <is>
          <t>samrådsanmälan</t>
        </is>
      </c>
      <c r="C578" t="inlineStr">
        <is>
          <t>Skogsgödsling</t>
        </is>
      </c>
      <c r="D578" s="1" t="n">
        <v>45938</v>
      </c>
      <c r="E578" s="1" t="n">
        <v>46223</v>
      </c>
      <c r="F578" t="inlineStr">
        <is>
          <t>DALARNAS LÄN</t>
        </is>
      </c>
      <c r="G578" t="inlineStr">
        <is>
          <t>ORSA</t>
        </is>
      </c>
      <c r="H578" t="inlineStr">
        <is>
          <t>Allmännings- och besparingsskogar</t>
        </is>
      </c>
      <c r="I578" t="n">
        <v>5.9</v>
      </c>
      <c r="J578" t="n">
        <v>0</v>
      </c>
      <c r="K578" t="n">
        <v>0</v>
      </c>
      <c r="L578" t="n">
        <v>0</v>
      </c>
      <c r="M578" t="n">
        <v>0</v>
      </c>
      <c r="N578" t="n">
        <v>0</v>
      </c>
      <c r="O578" t="n">
        <v>0</v>
      </c>
      <c r="P578" t="n">
        <v>0</v>
      </c>
      <c r="Q578" t="n">
        <v>0</v>
      </c>
      <c r="R578" t="n">
        <v>0</v>
      </c>
      <c r="S578" t="n">
        <v>0</v>
      </c>
      <c r="T578" t="n">
        <v>0</v>
      </c>
      <c r="U578" s="2" t="inlineStr"/>
    </row>
    <row r="579" ht="15" customHeight="1">
      <c r="A579" t="inlineStr">
        <is>
          <t>S 2807-2025</t>
        </is>
      </c>
      <c r="B579" t="inlineStr">
        <is>
          <t>samrådsanmälan</t>
        </is>
      </c>
      <c r="C579" t="inlineStr">
        <is>
          <t>Skogsgödsling</t>
        </is>
      </c>
      <c r="D579" s="1" t="n">
        <v>45938</v>
      </c>
      <c r="E579" s="1" t="n">
        <v>46223</v>
      </c>
      <c r="F579" t="inlineStr">
        <is>
          <t>DALARNAS LÄN</t>
        </is>
      </c>
      <c r="G579" t="inlineStr">
        <is>
          <t>ORSA</t>
        </is>
      </c>
      <c r="H579" t="inlineStr">
        <is>
          <t>Allmännings- och besparingsskogar</t>
        </is>
      </c>
      <c r="I579" t="n">
        <v>33.8</v>
      </c>
      <c r="J579" t="n">
        <v>0</v>
      </c>
      <c r="K579" t="n">
        <v>0</v>
      </c>
      <c r="L579" t="n">
        <v>0</v>
      </c>
      <c r="M579" t="n">
        <v>0</v>
      </c>
      <c r="N579" t="n">
        <v>0</v>
      </c>
      <c r="O579" t="n">
        <v>0</v>
      </c>
      <c r="P579" t="n">
        <v>0</v>
      </c>
      <c r="Q579" t="n">
        <v>0</v>
      </c>
      <c r="R579" t="n">
        <v>0</v>
      </c>
      <c r="S579" t="n">
        <v>0</v>
      </c>
      <c r="T579" t="n">
        <v>0</v>
      </c>
      <c r="U579" s="2" t="inlineStr"/>
    </row>
    <row r="580" ht="15" customHeight="1">
      <c r="A580" t="inlineStr">
        <is>
          <t>S 2806-2025</t>
        </is>
      </c>
      <c r="B580" t="inlineStr">
        <is>
          <t>samrådsanmälan</t>
        </is>
      </c>
      <c r="C580" t="inlineStr">
        <is>
          <t>Skogsgödsling</t>
        </is>
      </c>
      <c r="D580" s="1" t="n">
        <v>45938</v>
      </c>
      <c r="E580" s="1" t="n">
        <v>46223</v>
      </c>
      <c r="F580" t="inlineStr">
        <is>
          <t>DALARNAS LÄN</t>
        </is>
      </c>
      <c r="G580" t="inlineStr">
        <is>
          <t>ORSA</t>
        </is>
      </c>
      <c r="H580" t="inlineStr">
        <is>
          <t>Allmännings- och besparingsskogar</t>
        </is>
      </c>
      <c r="I580" t="n">
        <v>4.2</v>
      </c>
      <c r="J580" t="n">
        <v>0</v>
      </c>
      <c r="K580" t="n">
        <v>0</v>
      </c>
      <c r="L580" t="n">
        <v>0</v>
      </c>
      <c r="M580" t="n">
        <v>0</v>
      </c>
      <c r="N580" t="n">
        <v>0</v>
      </c>
      <c r="O580" t="n">
        <v>0</v>
      </c>
      <c r="P580" t="n">
        <v>0</v>
      </c>
      <c r="Q580" t="n">
        <v>0</v>
      </c>
      <c r="R580" t="n">
        <v>0</v>
      </c>
      <c r="S580" t="n">
        <v>0</v>
      </c>
      <c r="T580" t="n">
        <v>0</v>
      </c>
      <c r="U580" s="2" t="inlineStr"/>
    </row>
    <row r="581" ht="15" customHeight="1">
      <c r="A581" t="inlineStr">
        <is>
          <t>S 2805-2025</t>
        </is>
      </c>
      <c r="B581" t="inlineStr">
        <is>
          <t>samrådsanmälan</t>
        </is>
      </c>
      <c r="C581" t="inlineStr">
        <is>
          <t>Skogsgödsling</t>
        </is>
      </c>
      <c r="D581" s="1" t="n">
        <v>45938</v>
      </c>
      <c r="E581" s="1" t="n">
        <v>46223</v>
      </c>
      <c r="F581" t="inlineStr">
        <is>
          <t>DALARNAS LÄN</t>
        </is>
      </c>
      <c r="G581" t="inlineStr">
        <is>
          <t>ORSA</t>
        </is>
      </c>
      <c r="H581" t="inlineStr">
        <is>
          <t>Allmännings- och besparingsskogar</t>
        </is>
      </c>
      <c r="I581" t="n">
        <v>71.90000000000001</v>
      </c>
      <c r="J581" t="n">
        <v>0</v>
      </c>
      <c r="K581" t="n">
        <v>0</v>
      </c>
      <c r="L581" t="n">
        <v>0</v>
      </c>
      <c r="M581" t="n">
        <v>0</v>
      </c>
      <c r="N581" t="n">
        <v>0</v>
      </c>
      <c r="O581" t="n">
        <v>0</v>
      </c>
      <c r="P581" t="n">
        <v>0</v>
      </c>
      <c r="Q581" t="n">
        <v>0</v>
      </c>
      <c r="R581" t="n">
        <v>0</v>
      </c>
      <c r="S581" t="n">
        <v>0</v>
      </c>
      <c r="T581" t="n">
        <v>0</v>
      </c>
      <c r="U581" s="2" t="inlineStr"/>
    </row>
    <row r="582" ht="15" customHeight="1">
      <c r="A582" t="inlineStr">
        <is>
          <t>S 3005-2025</t>
        </is>
      </c>
      <c r="B582" t="inlineStr">
        <is>
          <t>samrådsanmälan</t>
        </is>
      </c>
      <c r="C582" t="inlineStr">
        <is>
          <t>Annan skogsbruksåtgärd</t>
        </is>
      </c>
      <c r="D582" s="1" t="n">
        <v>45957</v>
      </c>
      <c r="E582" s="1" t="n">
        <v>46223</v>
      </c>
      <c r="F582" t="inlineStr">
        <is>
          <t>DALARNAS LÄN</t>
        </is>
      </c>
      <c r="G582" t="inlineStr">
        <is>
          <t>ORSA</t>
        </is>
      </c>
      <c r="I582" t="n">
        <v>4.8</v>
      </c>
      <c r="J582" t="n">
        <v>0</v>
      </c>
      <c r="K582" t="n">
        <v>0</v>
      </c>
      <c r="L582" t="n">
        <v>0</v>
      </c>
      <c r="M582" t="n">
        <v>0</v>
      </c>
      <c r="N582" t="n">
        <v>0</v>
      </c>
      <c r="O582" t="n">
        <v>0</v>
      </c>
      <c r="P582" t="n">
        <v>0</v>
      </c>
      <c r="Q582" t="n">
        <v>0</v>
      </c>
      <c r="R582" t="n">
        <v>0</v>
      </c>
      <c r="S582" t="n">
        <v>0</v>
      </c>
      <c r="T582" t="n">
        <v>0</v>
      </c>
      <c r="U582" s="2" t="inlineStr"/>
    </row>
    <row r="583">
      <c r="A583" t="inlineStr">
        <is>
          <t>S 1132-2026</t>
        </is>
      </c>
      <c r="B583" t="inlineStr">
        <is>
          <t>samrådsanmälan</t>
        </is>
      </c>
      <c r="C583" t="inlineStr">
        <is>
          <t>Annan skogsbruksåtgärd</t>
        </is>
      </c>
      <c r="D583" s="1" t="n">
        <v>46133</v>
      </c>
      <c r="E583" s="1" t="n">
        <v>46223</v>
      </c>
      <c r="F583" t="inlineStr">
        <is>
          <t>DALARNAS LÄN</t>
        </is>
      </c>
      <c r="G583" t="inlineStr">
        <is>
          <t>ORSA</t>
        </is>
      </c>
      <c r="I583" t="n">
        <v>0.2</v>
      </c>
      <c r="J583" t="n">
        <v>0</v>
      </c>
      <c r="K583" t="n">
        <v>0</v>
      </c>
      <c r="L583" t="n">
        <v>0</v>
      </c>
      <c r="M583" t="n">
        <v>0</v>
      </c>
      <c r="N583" t="n">
        <v>0</v>
      </c>
      <c r="O583" t="n">
        <v>0</v>
      </c>
      <c r="P583" t="n">
        <v>0</v>
      </c>
      <c r="Q583" t="n">
        <v>0</v>
      </c>
      <c r="R583" t="n">
        <v>0</v>
      </c>
      <c r="S583" t="n">
        <v>0</v>
      </c>
      <c r="T583" t="n">
        <v>0</v>
      </c>
      <c r="U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2026-07-20T01:49:30Z</dcterms:created>
  <dcterms:modified xmlns:dcterms="http://purl.org/dc/terms/" xmlns:xsi="http://www.w3.org/2001/XMLSchema-instance" xsi:type="dcterms:W3CDTF">2026-07-20T01:49:31Z</dcterms:modified>
</cp:coreProperties>
</file>