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46003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46003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46003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46003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46003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46003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46003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46003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46003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46003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46003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46003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46003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46003</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46003</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46003</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46003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46003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46003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46003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46003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46003</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46003</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46003</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46003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46003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46003</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50728-2022</t>
        </is>
      </c>
      <c r="B29" s="1" t="n">
        <v>44867</v>
      </c>
      <c r="C29" s="1" t="n">
        <v>46003</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33841-2023</t>
        </is>
      </c>
      <c r="B30" s="1" t="n">
        <v>45133.66758101852</v>
      </c>
      <c r="C30" s="1" t="n">
        <v>46003</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46003</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46003</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45785.6050925926</v>
      </c>
      <c r="C33" s="1" t="n">
        <v>46003</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35570-2024</t>
        </is>
      </c>
      <c r="B34" s="1" t="n">
        <v>45531</v>
      </c>
      <c r="C34" s="1" t="n">
        <v>46003</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3421-2021</t>
        </is>
      </c>
      <c r="B35" s="1" t="n">
        <v>44218</v>
      </c>
      <c r="C35" s="1" t="n">
        <v>46003</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46003</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46003</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46003</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46003</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48985-2025</t>
        </is>
      </c>
      <c r="B40" s="1" t="n">
        <v>45937.57505787037</v>
      </c>
      <c r="C40" s="1" t="n">
        <v>46003</v>
      </c>
      <c r="D40" t="inlineStr">
        <is>
          <t>DALARNAS LÄN</t>
        </is>
      </c>
      <c r="E40" t="inlineStr">
        <is>
          <t>ORSA</t>
        </is>
      </c>
      <c r="F40" t="inlineStr">
        <is>
          <t>Bergvik skog öst AB</t>
        </is>
      </c>
      <c r="G40" t="n">
        <v>7.1</v>
      </c>
      <c r="H40" t="n">
        <v>1</v>
      </c>
      <c r="I40" t="n">
        <v>1</v>
      </c>
      <c r="J40" t="n">
        <v>2</v>
      </c>
      <c r="K40" t="n">
        <v>0</v>
      </c>
      <c r="L40" t="n">
        <v>0</v>
      </c>
      <c r="M40" t="n">
        <v>0</v>
      </c>
      <c r="N40" t="n">
        <v>0</v>
      </c>
      <c r="O40" t="n">
        <v>2</v>
      </c>
      <c r="P40" t="n">
        <v>0</v>
      </c>
      <c r="Q40" t="n">
        <v>3</v>
      </c>
      <c r="R40" s="2" t="inlineStr">
        <is>
          <t>Skrovellav
Talltita
Norrlandslav</t>
        </is>
      </c>
      <c r="S40">
        <f>HYPERLINK("https://klasma.github.io/Logging_2034/artfynd/A 48985-2025 artfynd.xlsx", "A 48985-2025")</f>
        <v/>
      </c>
      <c r="T40">
        <f>HYPERLINK("https://klasma.github.io/Logging_2034/kartor/A 48985-2025 karta.png", "A 48985-2025")</f>
        <v/>
      </c>
      <c r="V40">
        <f>HYPERLINK("https://klasma.github.io/Logging_2034/klagomål/A 48985-2025 FSC-klagomål.docx", "A 48985-2025")</f>
        <v/>
      </c>
      <c r="W40">
        <f>HYPERLINK("https://klasma.github.io/Logging_2034/klagomålsmail/A 48985-2025 FSC-klagomål mail.docx", "A 48985-2025")</f>
        <v/>
      </c>
      <c r="X40">
        <f>HYPERLINK("https://klasma.github.io/Logging_2034/tillsyn/A 48985-2025 tillsynsbegäran.docx", "A 48985-2025")</f>
        <v/>
      </c>
      <c r="Y40">
        <f>HYPERLINK("https://klasma.github.io/Logging_2034/tillsynsmail/A 48985-2025 tillsynsbegäran mail.docx", "A 48985-2025")</f>
        <v/>
      </c>
      <c r="Z40">
        <f>HYPERLINK("https://klasma.github.io/Logging_2034/fåglar/A 48985-2025 prioriterade fågelarter.docx", "A 48985-2025")</f>
        <v/>
      </c>
    </row>
    <row r="41" ht="15" customHeight="1">
      <c r="A41" t="inlineStr">
        <is>
          <t>A 31336-2025</t>
        </is>
      </c>
      <c r="B41" s="1" t="n">
        <v>45833</v>
      </c>
      <c r="C41" s="1" t="n">
        <v>46003</v>
      </c>
      <c r="D41" t="inlineStr">
        <is>
          <t>DALARNAS LÄN</t>
        </is>
      </c>
      <c r="E41" t="inlineStr">
        <is>
          <t>ORSA</t>
        </is>
      </c>
      <c r="G41" t="n">
        <v>12.8</v>
      </c>
      <c r="H41" t="n">
        <v>1</v>
      </c>
      <c r="I41" t="n">
        <v>0</v>
      </c>
      <c r="J41" t="n">
        <v>3</v>
      </c>
      <c r="K41" t="n">
        <v>0</v>
      </c>
      <c r="L41" t="n">
        <v>0</v>
      </c>
      <c r="M41" t="n">
        <v>0</v>
      </c>
      <c r="N41" t="n">
        <v>0</v>
      </c>
      <c r="O41" t="n">
        <v>3</v>
      </c>
      <c r="P41" t="n">
        <v>0</v>
      </c>
      <c r="Q41" t="n">
        <v>3</v>
      </c>
      <c r="R41" s="2" t="inlineStr">
        <is>
          <t>Garnlav
Granticka
Spillkråka</t>
        </is>
      </c>
      <c r="S41">
        <f>HYPERLINK("https://klasma.github.io/Logging_2034/artfynd/A 31336-2025 artfynd.xlsx", "A 31336-2025")</f>
        <v/>
      </c>
      <c r="T41">
        <f>HYPERLINK("https://klasma.github.io/Logging_2034/kartor/A 31336-2025 karta.png", "A 31336-2025")</f>
        <v/>
      </c>
      <c r="V41">
        <f>HYPERLINK("https://klasma.github.io/Logging_2034/klagomål/A 31336-2025 FSC-klagomål.docx", "A 31336-2025")</f>
        <v/>
      </c>
      <c r="W41">
        <f>HYPERLINK("https://klasma.github.io/Logging_2034/klagomålsmail/A 31336-2025 FSC-klagomål mail.docx", "A 31336-2025")</f>
        <v/>
      </c>
      <c r="X41">
        <f>HYPERLINK("https://klasma.github.io/Logging_2034/tillsyn/A 31336-2025 tillsynsbegäran.docx", "A 31336-2025")</f>
        <v/>
      </c>
      <c r="Y41">
        <f>HYPERLINK("https://klasma.github.io/Logging_2034/tillsynsmail/A 31336-2025 tillsynsbegäran mail.docx", "A 31336-2025")</f>
        <v/>
      </c>
      <c r="Z41">
        <f>HYPERLINK("https://klasma.github.io/Logging_2034/fåglar/A 31336-2025 prioriterade fågelarter.docx", "A 31336-2025")</f>
        <v/>
      </c>
    </row>
    <row r="42" ht="15" customHeight="1">
      <c r="A42" t="inlineStr">
        <is>
          <t>A 51070-2025</t>
        </is>
      </c>
      <c r="B42" s="1" t="n">
        <v>45947.45513888889</v>
      </c>
      <c r="C42" s="1" t="n">
        <v>46003</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31161-2025</t>
        </is>
      </c>
      <c r="B43" s="1" t="n">
        <v>45832</v>
      </c>
      <c r="C43" s="1" t="n">
        <v>46003</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63810-2021</t>
        </is>
      </c>
      <c r="B44" s="1" t="n">
        <v>44509</v>
      </c>
      <c r="C44" s="1" t="n">
        <v>46003</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6029-2024</t>
        </is>
      </c>
      <c r="B45" s="1" t="n">
        <v>45336</v>
      </c>
      <c r="C45" s="1" t="n">
        <v>46003</v>
      </c>
      <c r="D45" t="inlineStr">
        <is>
          <t>DALARNAS LÄN</t>
        </is>
      </c>
      <c r="E45" t="inlineStr">
        <is>
          <t>ORSA</t>
        </is>
      </c>
      <c r="F45" t="inlineStr">
        <is>
          <t>Kommuner</t>
        </is>
      </c>
      <c r="G45" t="n">
        <v>0.8</v>
      </c>
      <c r="H45" t="n">
        <v>0</v>
      </c>
      <c r="I45" t="n">
        <v>2</v>
      </c>
      <c r="J45" t="n">
        <v>0</v>
      </c>
      <c r="K45" t="n">
        <v>0</v>
      </c>
      <c r="L45" t="n">
        <v>0</v>
      </c>
      <c r="M45" t="n">
        <v>0</v>
      </c>
      <c r="N45" t="n">
        <v>0</v>
      </c>
      <c r="O45" t="n">
        <v>0</v>
      </c>
      <c r="P45" t="n">
        <v>0</v>
      </c>
      <c r="Q45" t="n">
        <v>2</v>
      </c>
      <c r="R45" s="2" t="inlineStr">
        <is>
          <t>Svart trolldruva
Svavelriska</t>
        </is>
      </c>
      <c r="S45">
        <f>HYPERLINK("https://klasma.github.io/Logging_2034/artfynd/A 6029-2024 artfynd.xlsx", "A 6029-2024")</f>
        <v/>
      </c>
      <c r="T45">
        <f>HYPERLINK("https://klasma.github.io/Logging_2034/kartor/A 6029-2024 karta.png", "A 6029-2024")</f>
        <v/>
      </c>
      <c r="V45">
        <f>HYPERLINK("https://klasma.github.io/Logging_2034/klagomål/A 6029-2024 FSC-klagomål.docx", "A 6029-2024")</f>
        <v/>
      </c>
      <c r="W45">
        <f>HYPERLINK("https://klasma.github.io/Logging_2034/klagomålsmail/A 6029-2024 FSC-klagomål mail.docx", "A 6029-2024")</f>
        <v/>
      </c>
      <c r="X45">
        <f>HYPERLINK("https://klasma.github.io/Logging_2034/tillsyn/A 6029-2024 tillsynsbegäran.docx", "A 6029-2024")</f>
        <v/>
      </c>
      <c r="Y45">
        <f>HYPERLINK("https://klasma.github.io/Logging_2034/tillsynsmail/A 6029-2024 tillsynsbegäran mail.docx", "A 6029-2024")</f>
        <v/>
      </c>
    </row>
    <row r="46" ht="15" customHeight="1">
      <c r="A46" t="inlineStr">
        <is>
          <t>A 48343-2022</t>
        </is>
      </c>
      <c r="B46" s="1" t="n">
        <v>44858</v>
      </c>
      <c r="C46" s="1" t="n">
        <v>46003</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31164-2025</t>
        </is>
      </c>
      <c r="B47" s="1" t="n">
        <v>45832</v>
      </c>
      <c r="C47" s="1" t="n">
        <v>46003</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37887-2023</t>
        </is>
      </c>
      <c r="B48" s="1" t="n">
        <v>45160</v>
      </c>
      <c r="C48" s="1" t="n">
        <v>46003</v>
      </c>
      <c r="D48" t="inlineStr">
        <is>
          <t>DALARNAS LÄN</t>
        </is>
      </c>
      <c r="E48" t="inlineStr">
        <is>
          <t>ORSA</t>
        </is>
      </c>
      <c r="F48" t="inlineStr">
        <is>
          <t>Allmännings- och besparingsskogar</t>
        </is>
      </c>
      <c r="G48" t="n">
        <v>20.5</v>
      </c>
      <c r="H48" t="n">
        <v>1</v>
      </c>
      <c r="I48" t="n">
        <v>0</v>
      </c>
      <c r="J48" t="n">
        <v>1</v>
      </c>
      <c r="K48" t="n">
        <v>0</v>
      </c>
      <c r="L48" t="n">
        <v>0</v>
      </c>
      <c r="M48" t="n">
        <v>0</v>
      </c>
      <c r="N48" t="n">
        <v>0</v>
      </c>
      <c r="O48" t="n">
        <v>1</v>
      </c>
      <c r="P48" t="n">
        <v>0</v>
      </c>
      <c r="Q48" t="n">
        <v>1</v>
      </c>
      <c r="R48" s="2" t="inlineStr">
        <is>
          <t>Varglav</t>
        </is>
      </c>
      <c r="S48">
        <f>HYPERLINK("https://klasma.github.io/Logging_2034/artfynd/A 37887-2023 artfynd.xlsx", "A 37887-2023")</f>
        <v/>
      </c>
      <c r="T48">
        <f>HYPERLINK("https://klasma.github.io/Logging_2034/kartor/A 37887-2023 karta.png", "A 37887-2023")</f>
        <v/>
      </c>
      <c r="V48">
        <f>HYPERLINK("https://klasma.github.io/Logging_2034/klagomål/A 37887-2023 FSC-klagomål.docx", "A 37887-2023")</f>
        <v/>
      </c>
      <c r="W48">
        <f>HYPERLINK("https://klasma.github.io/Logging_2034/klagomålsmail/A 37887-2023 FSC-klagomål mail.docx", "A 37887-2023")</f>
        <v/>
      </c>
      <c r="X48">
        <f>HYPERLINK("https://klasma.github.io/Logging_2034/tillsyn/A 37887-2023 tillsynsbegäran.docx", "A 37887-2023")</f>
        <v/>
      </c>
      <c r="Y48">
        <f>HYPERLINK("https://klasma.github.io/Logging_2034/tillsynsmail/A 37887-2023 tillsynsbegäran mail.docx", "A 37887-2023")</f>
        <v/>
      </c>
    </row>
    <row r="49" ht="15" customHeight="1">
      <c r="A49" t="inlineStr">
        <is>
          <t>A 30493-2024</t>
        </is>
      </c>
      <c r="B49" s="1" t="n">
        <v>45492.34811342593</v>
      </c>
      <c r="C49" s="1" t="n">
        <v>46003</v>
      </c>
      <c r="D49" t="inlineStr">
        <is>
          <t>DALARNAS LÄN</t>
        </is>
      </c>
      <c r="E49" t="inlineStr">
        <is>
          <t>ORSA</t>
        </is>
      </c>
      <c r="F49" t="inlineStr">
        <is>
          <t>Övriga statliga verk och myndigheter</t>
        </is>
      </c>
      <c r="G49" t="n">
        <v>2.2</v>
      </c>
      <c r="H49" t="n">
        <v>0</v>
      </c>
      <c r="I49" t="n">
        <v>0</v>
      </c>
      <c r="J49" t="n">
        <v>1</v>
      </c>
      <c r="K49" t="n">
        <v>0</v>
      </c>
      <c r="L49" t="n">
        <v>0</v>
      </c>
      <c r="M49" t="n">
        <v>0</v>
      </c>
      <c r="N49" t="n">
        <v>0</v>
      </c>
      <c r="O49" t="n">
        <v>1</v>
      </c>
      <c r="P49" t="n">
        <v>0</v>
      </c>
      <c r="Q49" t="n">
        <v>1</v>
      </c>
      <c r="R49" s="2" t="inlineStr">
        <is>
          <t>Garnlav</t>
        </is>
      </c>
      <c r="S49">
        <f>HYPERLINK("https://klasma.github.io/Logging_2034/artfynd/A 30493-2024 artfynd.xlsx", "A 30493-2024")</f>
        <v/>
      </c>
      <c r="T49">
        <f>HYPERLINK("https://klasma.github.io/Logging_2034/kartor/A 30493-2024 karta.png", "A 30493-2024")</f>
        <v/>
      </c>
      <c r="V49">
        <f>HYPERLINK("https://klasma.github.io/Logging_2034/klagomål/A 30493-2024 FSC-klagomål.docx", "A 30493-2024")</f>
        <v/>
      </c>
      <c r="W49">
        <f>HYPERLINK("https://klasma.github.io/Logging_2034/klagomålsmail/A 30493-2024 FSC-klagomål mail.docx", "A 30493-2024")</f>
        <v/>
      </c>
      <c r="X49">
        <f>HYPERLINK("https://klasma.github.io/Logging_2034/tillsyn/A 30493-2024 tillsynsbegäran.docx", "A 30493-2024")</f>
        <v/>
      </c>
      <c r="Y49">
        <f>HYPERLINK("https://klasma.github.io/Logging_2034/tillsynsmail/A 30493-2024 tillsynsbegäran mail.docx", "A 30493-2024")</f>
        <v/>
      </c>
    </row>
    <row r="50" ht="15" customHeight="1">
      <c r="A50" t="inlineStr">
        <is>
          <t>A 41799-2025</t>
        </is>
      </c>
      <c r="B50" s="1" t="n">
        <v>45902.6065162037</v>
      </c>
      <c r="C50" s="1" t="n">
        <v>46003</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41553-2025</t>
        </is>
      </c>
      <c r="B51" s="1" t="n">
        <v>45901.59108796297</v>
      </c>
      <c r="C51" s="1" t="n">
        <v>46003</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42327-2025</t>
        </is>
      </c>
      <c r="B52" s="1" t="n">
        <v>45904.68600694444</v>
      </c>
      <c r="C52" s="1" t="n">
        <v>46003</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45029-2025</t>
        </is>
      </c>
      <c r="B53" s="1" t="n">
        <v>45918.69835648148</v>
      </c>
      <c r="C53" s="1" t="n">
        <v>46003</v>
      </c>
      <c r="D53" t="inlineStr">
        <is>
          <t>DALARNAS LÄN</t>
        </is>
      </c>
      <c r="E53" t="inlineStr">
        <is>
          <t>ORSA</t>
        </is>
      </c>
      <c r="G53" t="n">
        <v>1.4</v>
      </c>
      <c r="H53" t="n">
        <v>1</v>
      </c>
      <c r="I53" t="n">
        <v>0</v>
      </c>
      <c r="J53" t="n">
        <v>1</v>
      </c>
      <c r="K53" t="n">
        <v>0</v>
      </c>
      <c r="L53" t="n">
        <v>0</v>
      </c>
      <c r="M53" t="n">
        <v>0</v>
      </c>
      <c r="N53" t="n">
        <v>0</v>
      </c>
      <c r="O53" t="n">
        <v>1</v>
      </c>
      <c r="P53" t="n">
        <v>0</v>
      </c>
      <c r="Q53" t="n">
        <v>1</v>
      </c>
      <c r="R53" s="2" t="inlineStr">
        <is>
          <t>Spillkråka</t>
        </is>
      </c>
      <c r="S53">
        <f>HYPERLINK("https://klasma.github.io/Logging_2034/artfynd/A 45029-2025 artfynd.xlsx", "A 45029-2025")</f>
        <v/>
      </c>
      <c r="T53">
        <f>HYPERLINK("https://klasma.github.io/Logging_2034/kartor/A 45029-2025 karta.png", "A 45029-2025")</f>
        <v/>
      </c>
      <c r="V53">
        <f>HYPERLINK("https://klasma.github.io/Logging_2034/klagomål/A 45029-2025 FSC-klagomål.docx", "A 45029-2025")</f>
        <v/>
      </c>
      <c r="W53">
        <f>HYPERLINK("https://klasma.github.io/Logging_2034/klagomålsmail/A 45029-2025 FSC-klagomål mail.docx", "A 45029-2025")</f>
        <v/>
      </c>
      <c r="X53">
        <f>HYPERLINK("https://klasma.github.io/Logging_2034/tillsyn/A 45029-2025 tillsynsbegäran.docx", "A 45029-2025")</f>
        <v/>
      </c>
      <c r="Y53">
        <f>HYPERLINK("https://klasma.github.io/Logging_2034/tillsynsmail/A 45029-2025 tillsynsbegäran mail.docx", "A 45029-2025")</f>
        <v/>
      </c>
      <c r="Z53">
        <f>HYPERLINK("https://klasma.github.io/Logging_2034/fåglar/A 45029-2025 prioriterade fågelarter.docx", "A 45029-2025")</f>
        <v/>
      </c>
    </row>
    <row r="54" ht="15" customHeight="1">
      <c r="A54" t="inlineStr">
        <is>
          <t>A 54687-2025</t>
        </is>
      </c>
      <c r="B54" s="1" t="n">
        <v>45966.45024305556</v>
      </c>
      <c r="C54" s="1" t="n">
        <v>46003</v>
      </c>
      <c r="D54" t="inlineStr">
        <is>
          <t>DALARNAS LÄN</t>
        </is>
      </c>
      <c r="E54" t="inlineStr">
        <is>
          <t>ORSA</t>
        </is>
      </c>
      <c r="F54" t="inlineStr">
        <is>
          <t>Allmännings- och besparingsskogar</t>
        </is>
      </c>
      <c r="G54" t="n">
        <v>2</v>
      </c>
      <c r="H54" t="n">
        <v>0</v>
      </c>
      <c r="I54" t="n">
        <v>0</v>
      </c>
      <c r="J54" t="n">
        <v>1</v>
      </c>
      <c r="K54" t="n">
        <v>0</v>
      </c>
      <c r="L54" t="n">
        <v>0</v>
      </c>
      <c r="M54" t="n">
        <v>0</v>
      </c>
      <c r="N54" t="n">
        <v>0</v>
      </c>
      <c r="O54" t="n">
        <v>1</v>
      </c>
      <c r="P54" t="n">
        <v>0</v>
      </c>
      <c r="Q54" t="n">
        <v>1</v>
      </c>
      <c r="R54" s="2" t="inlineStr">
        <is>
          <t>Garnlav</t>
        </is>
      </c>
      <c r="S54">
        <f>HYPERLINK("https://klasma.github.io/Logging_2034/artfynd/A 54687-2025 artfynd.xlsx", "A 54687-2025")</f>
        <v/>
      </c>
      <c r="T54">
        <f>HYPERLINK("https://klasma.github.io/Logging_2034/kartor/A 54687-2025 karta.png", "A 54687-2025")</f>
        <v/>
      </c>
      <c r="V54">
        <f>HYPERLINK("https://klasma.github.io/Logging_2034/klagomål/A 54687-2025 FSC-klagomål.docx", "A 54687-2025")</f>
        <v/>
      </c>
      <c r="W54">
        <f>HYPERLINK("https://klasma.github.io/Logging_2034/klagomålsmail/A 54687-2025 FSC-klagomål mail.docx", "A 54687-2025")</f>
        <v/>
      </c>
      <c r="X54">
        <f>HYPERLINK("https://klasma.github.io/Logging_2034/tillsyn/A 54687-2025 tillsynsbegäran.docx", "A 54687-2025")</f>
        <v/>
      </c>
      <c r="Y54">
        <f>HYPERLINK("https://klasma.github.io/Logging_2034/tillsynsmail/A 54687-2025 tillsynsbegäran mail.docx", "A 54687-2025")</f>
        <v/>
      </c>
    </row>
    <row r="55" ht="15" customHeight="1">
      <c r="A55" t="inlineStr">
        <is>
          <t>A 48973-2025</t>
        </is>
      </c>
      <c r="B55" s="1" t="n">
        <v>45937.5655787037</v>
      </c>
      <c r="C55" s="1" t="n">
        <v>46003</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53707-2025</t>
        </is>
      </c>
      <c r="B56" s="1" t="n">
        <v>45960.60822916667</v>
      </c>
      <c r="C56" s="1" t="n">
        <v>46003</v>
      </c>
      <c r="D56" t="inlineStr">
        <is>
          <t>DALARNAS LÄN</t>
        </is>
      </c>
      <c r="E56" t="inlineStr">
        <is>
          <t>ORSA</t>
        </is>
      </c>
      <c r="G56" t="n">
        <v>2.1</v>
      </c>
      <c r="H56" t="n">
        <v>0</v>
      </c>
      <c r="I56" t="n">
        <v>1</v>
      </c>
      <c r="J56" t="n">
        <v>0</v>
      </c>
      <c r="K56" t="n">
        <v>0</v>
      </c>
      <c r="L56" t="n">
        <v>0</v>
      </c>
      <c r="M56" t="n">
        <v>0</v>
      </c>
      <c r="N56" t="n">
        <v>0</v>
      </c>
      <c r="O56" t="n">
        <v>0</v>
      </c>
      <c r="P56" t="n">
        <v>0</v>
      </c>
      <c r="Q56" t="n">
        <v>1</v>
      </c>
      <c r="R56" s="2" t="inlineStr">
        <is>
          <t>Björksplintborre</t>
        </is>
      </c>
      <c r="S56">
        <f>HYPERLINK("https://klasma.github.io/Logging_2034/artfynd/A 53707-2025 artfynd.xlsx", "A 53707-2025")</f>
        <v/>
      </c>
      <c r="T56">
        <f>HYPERLINK("https://klasma.github.io/Logging_2034/kartor/A 53707-2025 karta.png", "A 53707-2025")</f>
        <v/>
      </c>
      <c r="V56">
        <f>HYPERLINK("https://klasma.github.io/Logging_2034/klagomål/A 53707-2025 FSC-klagomål.docx", "A 53707-2025")</f>
        <v/>
      </c>
      <c r="W56">
        <f>HYPERLINK("https://klasma.github.io/Logging_2034/klagomålsmail/A 53707-2025 FSC-klagomål mail.docx", "A 53707-2025")</f>
        <v/>
      </c>
      <c r="X56">
        <f>HYPERLINK("https://klasma.github.io/Logging_2034/tillsyn/A 53707-2025 tillsynsbegäran.docx", "A 53707-2025")</f>
        <v/>
      </c>
      <c r="Y56">
        <f>HYPERLINK("https://klasma.github.io/Logging_2034/tillsynsmail/A 53707-2025 tillsynsbegäran mail.docx", "A 53707-2025")</f>
        <v/>
      </c>
    </row>
    <row r="57" ht="15" customHeight="1">
      <c r="A57" t="inlineStr">
        <is>
          <t>A 34713-2021</t>
        </is>
      </c>
      <c r="B57" s="1" t="n">
        <v>44382</v>
      </c>
      <c r="C57" s="1" t="n">
        <v>46003</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46003</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46003</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46003</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46003</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46003</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46003</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46003</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46003</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46003</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46003</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46003</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46003</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46003</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46003</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46003</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54760-2021</t>
        </is>
      </c>
      <c r="B73" s="1" t="n">
        <v>44473.93685185185</v>
      </c>
      <c r="C73" s="1" t="n">
        <v>46003</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60391-2021</t>
        </is>
      </c>
      <c r="B74" s="1" t="n">
        <v>44496</v>
      </c>
      <c r="C74" s="1" t="n">
        <v>46003</v>
      </c>
      <c r="D74" t="inlineStr">
        <is>
          <t>DALARNAS LÄN</t>
        </is>
      </c>
      <c r="E74" t="inlineStr">
        <is>
          <t>ORSA</t>
        </is>
      </c>
      <c r="G74" t="n">
        <v>1.3</v>
      </c>
      <c r="H74" t="n">
        <v>0</v>
      </c>
      <c r="I74" t="n">
        <v>0</v>
      </c>
      <c r="J74" t="n">
        <v>0</v>
      </c>
      <c r="K74" t="n">
        <v>0</v>
      </c>
      <c r="L74" t="n">
        <v>0</v>
      </c>
      <c r="M74" t="n">
        <v>0</v>
      </c>
      <c r="N74" t="n">
        <v>0</v>
      </c>
      <c r="O74" t="n">
        <v>0</v>
      </c>
      <c r="P74" t="n">
        <v>0</v>
      </c>
      <c r="Q74" t="n">
        <v>0</v>
      </c>
      <c r="R74" s="2" t="inlineStr"/>
    </row>
    <row r="75" ht="15" customHeight="1">
      <c r="A75" t="inlineStr">
        <is>
          <t>A 66593-2020</t>
        </is>
      </c>
      <c r="B75" s="1" t="n">
        <v>44179</v>
      </c>
      <c r="C75" s="1" t="n">
        <v>46003</v>
      </c>
      <c r="D75" t="inlineStr">
        <is>
          <t>DALARNAS LÄN</t>
        </is>
      </c>
      <c r="E75" t="inlineStr">
        <is>
          <t>ORSA</t>
        </is>
      </c>
      <c r="G75" t="n">
        <v>1.5</v>
      </c>
      <c r="H75" t="n">
        <v>0</v>
      </c>
      <c r="I75" t="n">
        <v>0</v>
      </c>
      <c r="J75" t="n">
        <v>0</v>
      </c>
      <c r="K75" t="n">
        <v>0</v>
      </c>
      <c r="L75" t="n">
        <v>0</v>
      </c>
      <c r="M75" t="n">
        <v>0</v>
      </c>
      <c r="N75" t="n">
        <v>0</v>
      </c>
      <c r="O75" t="n">
        <v>0</v>
      </c>
      <c r="P75" t="n">
        <v>0</v>
      </c>
      <c r="Q75" t="n">
        <v>0</v>
      </c>
      <c r="R75" s="2" t="inlineStr"/>
    </row>
    <row r="76" ht="15" customHeight="1">
      <c r="A76" t="inlineStr">
        <is>
          <t>A 17718-2021</t>
        </is>
      </c>
      <c r="B76" s="1" t="n">
        <v>44300</v>
      </c>
      <c r="C76" s="1" t="n">
        <v>46003</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46003</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46003</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46003</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29366-2021</t>
        </is>
      </c>
      <c r="B80" s="1" t="n">
        <v>44361.46637731481</v>
      </c>
      <c r="C80" s="1" t="n">
        <v>46003</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4454-2021</t>
        </is>
      </c>
      <c r="B81" s="1" t="n">
        <v>44224</v>
      </c>
      <c r="C81" s="1" t="n">
        <v>46003</v>
      </c>
      <c r="D81" t="inlineStr">
        <is>
          <t>DALARNAS LÄN</t>
        </is>
      </c>
      <c r="E81" t="inlineStr">
        <is>
          <t>ORSA</t>
        </is>
      </c>
      <c r="G81" t="n">
        <v>1.2</v>
      </c>
      <c r="H81" t="n">
        <v>0</v>
      </c>
      <c r="I81" t="n">
        <v>0</v>
      </c>
      <c r="J81" t="n">
        <v>0</v>
      </c>
      <c r="K81" t="n">
        <v>0</v>
      </c>
      <c r="L81" t="n">
        <v>0</v>
      </c>
      <c r="M81" t="n">
        <v>0</v>
      </c>
      <c r="N81" t="n">
        <v>0</v>
      </c>
      <c r="O81" t="n">
        <v>0</v>
      </c>
      <c r="P81" t="n">
        <v>0</v>
      </c>
      <c r="Q81" t="n">
        <v>0</v>
      </c>
      <c r="R81" s="2" t="inlineStr"/>
    </row>
    <row r="82" ht="15" customHeight="1">
      <c r="A82" t="inlineStr">
        <is>
          <t>A 51864-2022</t>
        </is>
      </c>
      <c r="B82" s="1" t="n">
        <v>44872</v>
      </c>
      <c r="C82" s="1" t="n">
        <v>46003</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14535-2022</t>
        </is>
      </c>
      <c r="B83" s="1" t="n">
        <v>44655.44512731482</v>
      </c>
      <c r="C83" s="1" t="n">
        <v>46003</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41425-2021</t>
        </is>
      </c>
      <c r="B84" s="1" t="n">
        <v>44424.71729166667</v>
      </c>
      <c r="C84" s="1" t="n">
        <v>46003</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44035-2022</t>
        </is>
      </c>
      <c r="B85" s="1" t="n">
        <v>44838.94439814815</v>
      </c>
      <c r="C85" s="1" t="n">
        <v>46003</v>
      </c>
      <c r="D85" t="inlineStr">
        <is>
          <t>DALARNAS LÄN</t>
        </is>
      </c>
      <c r="E85" t="inlineStr">
        <is>
          <t>ORSA</t>
        </is>
      </c>
      <c r="G85" t="n">
        <v>5.8</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46003</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23344-2022</t>
        </is>
      </c>
      <c r="B87" s="1" t="n">
        <v>44720.54599537037</v>
      </c>
      <c r="C87" s="1" t="n">
        <v>46003</v>
      </c>
      <c r="D87" t="inlineStr">
        <is>
          <t>DALARNAS LÄN</t>
        </is>
      </c>
      <c r="E87" t="inlineStr">
        <is>
          <t>ORSA</t>
        </is>
      </c>
      <c r="G87" t="n">
        <v>0.2</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46003</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46003</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46244-2022</t>
        </is>
      </c>
      <c r="B90" s="1" t="n">
        <v>44847.62055555556</v>
      </c>
      <c r="C90" s="1" t="n">
        <v>46003</v>
      </c>
      <c r="D90" t="inlineStr">
        <is>
          <t>DALARNAS LÄN</t>
        </is>
      </c>
      <c r="E90" t="inlineStr">
        <is>
          <t>ORSA</t>
        </is>
      </c>
      <c r="F90" t="inlineStr">
        <is>
          <t>Bergvik skog öst AB</t>
        </is>
      </c>
      <c r="G90" t="n">
        <v>2.6</v>
      </c>
      <c r="H90" t="n">
        <v>0</v>
      </c>
      <c r="I90" t="n">
        <v>0</v>
      </c>
      <c r="J90" t="n">
        <v>0</v>
      </c>
      <c r="K90" t="n">
        <v>0</v>
      </c>
      <c r="L90" t="n">
        <v>0</v>
      </c>
      <c r="M90" t="n">
        <v>0</v>
      </c>
      <c r="N90" t="n">
        <v>0</v>
      </c>
      <c r="O90" t="n">
        <v>0</v>
      </c>
      <c r="P90" t="n">
        <v>0</v>
      </c>
      <c r="Q90" t="n">
        <v>0</v>
      </c>
      <c r="R90" s="2" t="inlineStr"/>
    </row>
    <row r="91" ht="15" customHeight="1">
      <c r="A91" t="inlineStr">
        <is>
          <t>A 3452-2021</t>
        </is>
      </c>
      <c r="B91" s="1" t="n">
        <v>44218</v>
      </c>
      <c r="C91" s="1" t="n">
        <v>46003</v>
      </c>
      <c r="D91" t="inlineStr">
        <is>
          <t>DALARNAS LÄN</t>
        </is>
      </c>
      <c r="E91" t="inlineStr">
        <is>
          <t>ORSA</t>
        </is>
      </c>
      <c r="G91" t="n">
        <v>12.5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46003</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21678-2021</t>
        </is>
      </c>
      <c r="B93" s="1" t="n">
        <v>44322</v>
      </c>
      <c r="C93" s="1" t="n">
        <v>46003</v>
      </c>
      <c r="D93" t="inlineStr">
        <is>
          <t>DALARNAS LÄN</t>
        </is>
      </c>
      <c r="E93" t="inlineStr">
        <is>
          <t>ORSA</t>
        </is>
      </c>
      <c r="G93" t="n">
        <v>11.4</v>
      </c>
      <c r="H93" t="n">
        <v>0</v>
      </c>
      <c r="I93" t="n">
        <v>0</v>
      </c>
      <c r="J93" t="n">
        <v>0</v>
      </c>
      <c r="K93" t="n">
        <v>0</v>
      </c>
      <c r="L93" t="n">
        <v>0</v>
      </c>
      <c r="M93" t="n">
        <v>0</v>
      </c>
      <c r="N93" t="n">
        <v>0</v>
      </c>
      <c r="O93" t="n">
        <v>0</v>
      </c>
      <c r="P93" t="n">
        <v>0</v>
      </c>
      <c r="Q93" t="n">
        <v>0</v>
      </c>
      <c r="R93" s="2" t="inlineStr"/>
    </row>
    <row r="94" ht="15" customHeight="1">
      <c r="A94" t="inlineStr">
        <is>
          <t>A 51278-2021</t>
        </is>
      </c>
      <c r="B94" s="1" t="n">
        <v>44461</v>
      </c>
      <c r="C94" s="1" t="n">
        <v>46003</v>
      </c>
      <c r="D94" t="inlineStr">
        <is>
          <t>DALARNAS LÄN</t>
        </is>
      </c>
      <c r="E94" t="inlineStr">
        <is>
          <t>ORSA</t>
        </is>
      </c>
      <c r="F94" t="inlineStr">
        <is>
          <t>Allmännings- och besparingsskogar</t>
        </is>
      </c>
      <c r="G94" t="n">
        <v>0.2</v>
      </c>
      <c r="H94" t="n">
        <v>0</v>
      </c>
      <c r="I94" t="n">
        <v>0</v>
      </c>
      <c r="J94" t="n">
        <v>0</v>
      </c>
      <c r="K94" t="n">
        <v>0</v>
      </c>
      <c r="L94" t="n">
        <v>0</v>
      </c>
      <c r="M94" t="n">
        <v>0</v>
      </c>
      <c r="N94" t="n">
        <v>0</v>
      </c>
      <c r="O94" t="n">
        <v>0</v>
      </c>
      <c r="P94" t="n">
        <v>0</v>
      </c>
      <c r="Q94" t="n">
        <v>0</v>
      </c>
      <c r="R94" s="2" t="inlineStr"/>
    </row>
    <row r="95" ht="15" customHeight="1">
      <c r="A95" t="inlineStr">
        <is>
          <t>A 56162-2021</t>
        </is>
      </c>
      <c r="B95" s="1" t="n">
        <v>44477</v>
      </c>
      <c r="C95" s="1" t="n">
        <v>46003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22813-2022</t>
        </is>
      </c>
      <c r="B96" s="1" t="n">
        <v>44715</v>
      </c>
      <c r="C96" s="1" t="n">
        <v>46003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31647-2021</t>
        </is>
      </c>
      <c r="B97" s="1" t="n">
        <v>44369.63069444444</v>
      </c>
      <c r="C97" s="1" t="n">
        <v>46003</v>
      </c>
      <c r="D97" t="inlineStr">
        <is>
          <t>DALARNAS LÄN</t>
        </is>
      </c>
      <c r="E97" t="inlineStr">
        <is>
          <t>ORSA</t>
        </is>
      </c>
      <c r="G97" t="n">
        <v>1.4</v>
      </c>
      <c r="H97" t="n">
        <v>0</v>
      </c>
      <c r="I97" t="n">
        <v>0</v>
      </c>
      <c r="J97" t="n">
        <v>0</v>
      </c>
      <c r="K97" t="n">
        <v>0</v>
      </c>
      <c r="L97" t="n">
        <v>0</v>
      </c>
      <c r="M97" t="n">
        <v>0</v>
      </c>
      <c r="N97" t="n">
        <v>0</v>
      </c>
      <c r="O97" t="n">
        <v>0</v>
      </c>
      <c r="P97" t="n">
        <v>0</v>
      </c>
      <c r="Q97" t="n">
        <v>0</v>
      </c>
      <c r="R97" s="2" t="inlineStr"/>
    </row>
    <row r="98" ht="15" customHeight="1">
      <c r="A98" t="inlineStr">
        <is>
          <t>A 66533-2020</t>
        </is>
      </c>
      <c r="B98" s="1" t="n">
        <v>44179</v>
      </c>
      <c r="C98" s="1" t="n">
        <v>46003</v>
      </c>
      <c r="D98" t="inlineStr">
        <is>
          <t>DALARNAS LÄN</t>
        </is>
      </c>
      <c r="E98" t="inlineStr">
        <is>
          <t>ORSA</t>
        </is>
      </c>
      <c r="G98" t="n">
        <v>2.3</v>
      </c>
      <c r="H98" t="n">
        <v>0</v>
      </c>
      <c r="I98" t="n">
        <v>0</v>
      </c>
      <c r="J98" t="n">
        <v>0</v>
      </c>
      <c r="K98" t="n">
        <v>0</v>
      </c>
      <c r="L98" t="n">
        <v>0</v>
      </c>
      <c r="M98" t="n">
        <v>0</v>
      </c>
      <c r="N98" t="n">
        <v>0</v>
      </c>
      <c r="O98" t="n">
        <v>0</v>
      </c>
      <c r="P98" t="n">
        <v>0</v>
      </c>
      <c r="Q98" t="n">
        <v>0</v>
      </c>
      <c r="R98" s="2" t="inlineStr"/>
    </row>
    <row r="99" ht="15" customHeight="1">
      <c r="A99" t="inlineStr">
        <is>
          <t>A 68230-2021</t>
        </is>
      </c>
      <c r="B99" s="1" t="n">
        <v>44526</v>
      </c>
      <c r="C99" s="1" t="n">
        <v>46003</v>
      </c>
      <c r="D99" t="inlineStr">
        <is>
          <t>DALARNAS LÄN</t>
        </is>
      </c>
      <c r="E99" t="inlineStr">
        <is>
          <t>ORSA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46003</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44033-2022</t>
        </is>
      </c>
      <c r="B101" s="1" t="n">
        <v>44838</v>
      </c>
      <c r="C101" s="1" t="n">
        <v>46003</v>
      </c>
      <c r="D101" t="inlineStr">
        <is>
          <t>DALARNAS LÄN</t>
        </is>
      </c>
      <c r="E101" t="inlineStr">
        <is>
          <t>ORSA</t>
        </is>
      </c>
      <c r="G101" t="n">
        <v>5.3</v>
      </c>
      <c r="H101" t="n">
        <v>0</v>
      </c>
      <c r="I101" t="n">
        <v>0</v>
      </c>
      <c r="J101" t="n">
        <v>0</v>
      </c>
      <c r="K101" t="n">
        <v>0</v>
      </c>
      <c r="L101" t="n">
        <v>0</v>
      </c>
      <c r="M101" t="n">
        <v>0</v>
      </c>
      <c r="N101" t="n">
        <v>0</v>
      </c>
      <c r="O101" t="n">
        <v>0</v>
      </c>
      <c r="P101" t="n">
        <v>0</v>
      </c>
      <c r="Q101" t="n">
        <v>0</v>
      </c>
      <c r="R101" s="2" t="inlineStr"/>
    </row>
    <row r="102" ht="15" customHeight="1">
      <c r="A102" t="inlineStr">
        <is>
          <t>A 26215-2022</t>
        </is>
      </c>
      <c r="B102" s="1" t="n">
        <v>44735.4421412037</v>
      </c>
      <c r="C102" s="1" t="n">
        <v>46003</v>
      </c>
      <c r="D102" t="inlineStr">
        <is>
          <t>DALARNAS LÄN</t>
        </is>
      </c>
      <c r="E102" t="inlineStr">
        <is>
          <t>ORSA</t>
        </is>
      </c>
      <c r="F102" t="inlineStr">
        <is>
          <t>Bergvik skog öst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46003</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46003</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169-2022</t>
        </is>
      </c>
      <c r="B105" s="1" t="n">
        <v>44564</v>
      </c>
      <c r="C105" s="1" t="n">
        <v>46003</v>
      </c>
      <c r="D105" t="inlineStr">
        <is>
          <t>DALARNAS LÄN</t>
        </is>
      </c>
      <c r="E105" t="inlineStr">
        <is>
          <t>ORSA</t>
        </is>
      </c>
      <c r="F105" t="inlineStr">
        <is>
          <t>Kommuner</t>
        </is>
      </c>
      <c r="G105" t="n">
        <v>0.7</v>
      </c>
      <c r="H105" t="n">
        <v>0</v>
      </c>
      <c r="I105" t="n">
        <v>0</v>
      </c>
      <c r="J105" t="n">
        <v>0</v>
      </c>
      <c r="K105" t="n">
        <v>0</v>
      </c>
      <c r="L105" t="n">
        <v>0</v>
      </c>
      <c r="M105" t="n">
        <v>0</v>
      </c>
      <c r="N105" t="n">
        <v>0</v>
      </c>
      <c r="O105" t="n">
        <v>0</v>
      </c>
      <c r="P105" t="n">
        <v>0</v>
      </c>
      <c r="Q105" t="n">
        <v>0</v>
      </c>
      <c r="R105" s="2" t="inlineStr"/>
    </row>
    <row r="106" ht="15" customHeight="1">
      <c r="A106" t="inlineStr">
        <is>
          <t>A 61000-2021</t>
        </is>
      </c>
      <c r="B106" s="1" t="n">
        <v>44497</v>
      </c>
      <c r="C106" s="1" t="n">
        <v>46003</v>
      </c>
      <c r="D106" t="inlineStr">
        <is>
          <t>DALARNAS LÄN</t>
        </is>
      </c>
      <c r="E106" t="inlineStr">
        <is>
          <t>ORSA</t>
        </is>
      </c>
      <c r="G106" t="n">
        <v>4.4</v>
      </c>
      <c r="H106" t="n">
        <v>0</v>
      </c>
      <c r="I106" t="n">
        <v>0</v>
      </c>
      <c r="J106" t="n">
        <v>0</v>
      </c>
      <c r="K106" t="n">
        <v>0</v>
      </c>
      <c r="L106" t="n">
        <v>0</v>
      </c>
      <c r="M106" t="n">
        <v>0</v>
      </c>
      <c r="N106" t="n">
        <v>0</v>
      </c>
      <c r="O106" t="n">
        <v>0</v>
      </c>
      <c r="P106" t="n">
        <v>0</v>
      </c>
      <c r="Q106" t="n">
        <v>0</v>
      </c>
      <c r="R106" s="2" t="inlineStr"/>
    </row>
    <row r="107" ht="15" customHeight="1">
      <c r="A107" t="inlineStr">
        <is>
          <t>A 61005-2021</t>
        </is>
      </c>
      <c r="B107" s="1" t="n">
        <v>44497</v>
      </c>
      <c r="C107" s="1" t="n">
        <v>46003</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46003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56975-2023</t>
        </is>
      </c>
      <c r="B109" s="1" t="n">
        <v>45244</v>
      </c>
      <c r="C109" s="1" t="n">
        <v>46003</v>
      </c>
      <c r="D109" t="inlineStr">
        <is>
          <t>DALARNAS LÄN</t>
        </is>
      </c>
      <c r="E109" t="inlineStr">
        <is>
          <t>ORSA</t>
        </is>
      </c>
      <c r="G109" t="n">
        <v>1.6</v>
      </c>
      <c r="H109" t="n">
        <v>0</v>
      </c>
      <c r="I109" t="n">
        <v>0</v>
      </c>
      <c r="J109" t="n">
        <v>0</v>
      </c>
      <c r="K109" t="n">
        <v>0</v>
      </c>
      <c r="L109" t="n">
        <v>0</v>
      </c>
      <c r="M109" t="n">
        <v>0</v>
      </c>
      <c r="N109" t="n">
        <v>0</v>
      </c>
      <c r="O109" t="n">
        <v>0</v>
      </c>
      <c r="P109" t="n">
        <v>0</v>
      </c>
      <c r="Q109" t="n">
        <v>0</v>
      </c>
      <c r="R109" s="2" t="inlineStr"/>
    </row>
    <row r="110" ht="15" customHeight="1">
      <c r="A110" t="inlineStr">
        <is>
          <t>A 13185-2022</t>
        </is>
      </c>
      <c r="B110" s="1" t="n">
        <v>44644.48491898148</v>
      </c>
      <c r="C110" s="1" t="n">
        <v>46003</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56807-2024</t>
        </is>
      </c>
      <c r="B111" s="1" t="n">
        <v>45628.47519675926</v>
      </c>
      <c r="C111" s="1" t="n">
        <v>46003</v>
      </c>
      <c r="D111" t="inlineStr">
        <is>
          <t>DALARNAS LÄN</t>
        </is>
      </c>
      <c r="E111" t="inlineStr">
        <is>
          <t>ORSA</t>
        </is>
      </c>
      <c r="G111" t="n">
        <v>1.9</v>
      </c>
      <c r="H111" t="n">
        <v>0</v>
      </c>
      <c r="I111" t="n">
        <v>0</v>
      </c>
      <c r="J111" t="n">
        <v>0</v>
      </c>
      <c r="K111" t="n">
        <v>0</v>
      </c>
      <c r="L111" t="n">
        <v>0</v>
      </c>
      <c r="M111" t="n">
        <v>0</v>
      </c>
      <c r="N111" t="n">
        <v>0</v>
      </c>
      <c r="O111" t="n">
        <v>0</v>
      </c>
      <c r="P111" t="n">
        <v>0</v>
      </c>
      <c r="Q111" t="n">
        <v>0</v>
      </c>
      <c r="R111" s="2" t="inlineStr"/>
    </row>
    <row r="112" ht="15" customHeight="1">
      <c r="A112" t="inlineStr">
        <is>
          <t>A 46454-2024</t>
        </is>
      </c>
      <c r="B112" s="1" t="n">
        <v>45582</v>
      </c>
      <c r="C112" s="1" t="n">
        <v>46003</v>
      </c>
      <c r="D112" t="inlineStr">
        <is>
          <t>DALARNAS LÄN</t>
        </is>
      </c>
      <c r="E112" t="inlineStr">
        <is>
          <t>ORSA</t>
        </is>
      </c>
      <c r="F112" t="inlineStr">
        <is>
          <t>Övriga statliga verk och myndigheter</t>
        </is>
      </c>
      <c r="G112" t="n">
        <v>1</v>
      </c>
      <c r="H112" t="n">
        <v>0</v>
      </c>
      <c r="I112" t="n">
        <v>0</v>
      </c>
      <c r="J112" t="n">
        <v>0</v>
      </c>
      <c r="K112" t="n">
        <v>0</v>
      </c>
      <c r="L112" t="n">
        <v>0</v>
      </c>
      <c r="M112" t="n">
        <v>0</v>
      </c>
      <c r="N112" t="n">
        <v>0</v>
      </c>
      <c r="O112" t="n">
        <v>0</v>
      </c>
      <c r="P112" t="n">
        <v>0</v>
      </c>
      <c r="Q112" t="n">
        <v>0</v>
      </c>
      <c r="R112" s="2" t="inlineStr"/>
    </row>
    <row r="113" ht="15" customHeight="1">
      <c r="A113" t="inlineStr">
        <is>
          <t>A 38611-2022</t>
        </is>
      </c>
      <c r="B113" s="1" t="n">
        <v>44813.60177083333</v>
      </c>
      <c r="C113" s="1" t="n">
        <v>46003</v>
      </c>
      <c r="D113" t="inlineStr">
        <is>
          <t>DALARNAS LÄN</t>
        </is>
      </c>
      <c r="E113" t="inlineStr">
        <is>
          <t>ORSA</t>
        </is>
      </c>
      <c r="G113" t="n">
        <v>3.6</v>
      </c>
      <c r="H113" t="n">
        <v>0</v>
      </c>
      <c r="I113" t="n">
        <v>0</v>
      </c>
      <c r="J113" t="n">
        <v>0</v>
      </c>
      <c r="K113" t="n">
        <v>0</v>
      </c>
      <c r="L113" t="n">
        <v>0</v>
      </c>
      <c r="M113" t="n">
        <v>0</v>
      </c>
      <c r="N113" t="n">
        <v>0</v>
      </c>
      <c r="O113" t="n">
        <v>0</v>
      </c>
      <c r="P113" t="n">
        <v>0</v>
      </c>
      <c r="Q113" t="n">
        <v>0</v>
      </c>
      <c r="R113" s="2" t="inlineStr"/>
    </row>
    <row r="114" ht="15" customHeight="1">
      <c r="A114" t="inlineStr">
        <is>
          <t>A 52649-2024</t>
        </is>
      </c>
      <c r="B114" s="1" t="n">
        <v>45610.3468287037</v>
      </c>
      <c r="C114" s="1" t="n">
        <v>46003</v>
      </c>
      <c r="D114" t="inlineStr">
        <is>
          <t>DALARNAS LÄN</t>
        </is>
      </c>
      <c r="E114" t="inlineStr">
        <is>
          <t>ORSA</t>
        </is>
      </c>
      <c r="G114" t="n">
        <v>1.3</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46003</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3720-2023</t>
        </is>
      </c>
      <c r="B116" s="1" t="n">
        <v>44951.36688657408</v>
      </c>
      <c r="C116" s="1" t="n">
        <v>46003</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58842-2024</t>
        </is>
      </c>
      <c r="B117" s="1" t="n">
        <v>45636.3859837963</v>
      </c>
      <c r="C117" s="1" t="n">
        <v>46003</v>
      </c>
      <c r="D117" t="inlineStr">
        <is>
          <t>DALARNAS LÄN</t>
        </is>
      </c>
      <c r="E117" t="inlineStr">
        <is>
          <t>ORSA</t>
        </is>
      </c>
      <c r="G117" t="n">
        <v>2.8</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46003</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19932-2021</t>
        </is>
      </c>
      <c r="B119" s="1" t="n">
        <v>44313.60207175926</v>
      </c>
      <c r="C119" s="1" t="n">
        <v>46003</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55701-2023</t>
        </is>
      </c>
      <c r="B120" s="1" t="n">
        <v>45239.37113425926</v>
      </c>
      <c r="C120" s="1" t="n">
        <v>46003</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13209-2022</t>
        </is>
      </c>
      <c r="B121" s="1" t="n">
        <v>44644.56325231482</v>
      </c>
      <c r="C121" s="1" t="n">
        <v>46003</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37852-2024</t>
        </is>
      </c>
      <c r="B122" s="1" t="n">
        <v>45544.3786574074</v>
      </c>
      <c r="C122" s="1" t="n">
        <v>46003</v>
      </c>
      <c r="D122" t="inlineStr">
        <is>
          <t>DALARNAS LÄN</t>
        </is>
      </c>
      <c r="E122" t="inlineStr">
        <is>
          <t>ORSA</t>
        </is>
      </c>
      <c r="G122" t="n">
        <v>0.7</v>
      </c>
      <c r="H122" t="n">
        <v>0</v>
      </c>
      <c r="I122" t="n">
        <v>0</v>
      </c>
      <c r="J122" t="n">
        <v>0</v>
      </c>
      <c r="K122" t="n">
        <v>0</v>
      </c>
      <c r="L122" t="n">
        <v>0</v>
      </c>
      <c r="M122" t="n">
        <v>0</v>
      </c>
      <c r="N122" t="n">
        <v>0</v>
      </c>
      <c r="O122" t="n">
        <v>0</v>
      </c>
      <c r="P122" t="n">
        <v>0</v>
      </c>
      <c r="Q122" t="n">
        <v>0</v>
      </c>
      <c r="R122" s="2" t="inlineStr"/>
    </row>
    <row r="123" ht="15" customHeight="1">
      <c r="A123" t="inlineStr">
        <is>
          <t>A 23350-2024</t>
        </is>
      </c>
      <c r="B123" s="1" t="n">
        <v>45453</v>
      </c>
      <c r="C123" s="1" t="n">
        <v>46003</v>
      </c>
      <c r="D123" t="inlineStr">
        <is>
          <t>DALARNAS LÄN</t>
        </is>
      </c>
      <c r="E123" t="inlineStr">
        <is>
          <t>ORSA</t>
        </is>
      </c>
      <c r="G123" t="n">
        <v>18.7</v>
      </c>
      <c r="H123" t="n">
        <v>0</v>
      </c>
      <c r="I123" t="n">
        <v>0</v>
      </c>
      <c r="J123" t="n">
        <v>0</v>
      </c>
      <c r="K123" t="n">
        <v>0</v>
      </c>
      <c r="L123" t="n">
        <v>0</v>
      </c>
      <c r="M123" t="n">
        <v>0</v>
      </c>
      <c r="N123" t="n">
        <v>0</v>
      </c>
      <c r="O123" t="n">
        <v>0</v>
      </c>
      <c r="P123" t="n">
        <v>0</v>
      </c>
      <c r="Q123" t="n">
        <v>0</v>
      </c>
      <c r="R123" s="2" t="inlineStr"/>
    </row>
    <row r="124" ht="15" customHeight="1">
      <c r="A124" t="inlineStr">
        <is>
          <t>A 12704-2022</t>
        </is>
      </c>
      <c r="B124" s="1" t="n">
        <v>44641</v>
      </c>
      <c r="C124" s="1" t="n">
        <v>46003</v>
      </c>
      <c r="D124" t="inlineStr">
        <is>
          <t>DALARNAS LÄN</t>
        </is>
      </c>
      <c r="E124" t="inlineStr">
        <is>
          <t>ORSA</t>
        </is>
      </c>
      <c r="G124" t="n">
        <v>2.4</v>
      </c>
      <c r="H124" t="n">
        <v>0</v>
      </c>
      <c r="I124" t="n">
        <v>0</v>
      </c>
      <c r="J124" t="n">
        <v>0</v>
      </c>
      <c r="K124" t="n">
        <v>0</v>
      </c>
      <c r="L124" t="n">
        <v>0</v>
      </c>
      <c r="M124" t="n">
        <v>0</v>
      </c>
      <c r="N124" t="n">
        <v>0</v>
      </c>
      <c r="O124" t="n">
        <v>0</v>
      </c>
      <c r="P124" t="n">
        <v>0</v>
      </c>
      <c r="Q124" t="n">
        <v>0</v>
      </c>
      <c r="R124" s="2" t="inlineStr"/>
    </row>
    <row r="125" ht="15" customHeight="1">
      <c r="A125" t="inlineStr">
        <is>
          <t>A 11784-2024</t>
        </is>
      </c>
      <c r="B125" s="1" t="n">
        <v>45374.67886574074</v>
      </c>
      <c r="C125" s="1" t="n">
        <v>46003</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9561-2022</t>
        </is>
      </c>
      <c r="B126" s="1" t="n">
        <v>44617</v>
      </c>
      <c r="C126" s="1" t="n">
        <v>46003</v>
      </c>
      <c r="D126" t="inlineStr">
        <is>
          <t>DALARNAS LÄN</t>
        </is>
      </c>
      <c r="E126" t="inlineStr">
        <is>
          <t>ORSA</t>
        </is>
      </c>
      <c r="F126" t="inlineStr">
        <is>
          <t>Kyrkan</t>
        </is>
      </c>
      <c r="G126" t="n">
        <v>0.6</v>
      </c>
      <c r="H126" t="n">
        <v>0</v>
      </c>
      <c r="I126" t="n">
        <v>0</v>
      </c>
      <c r="J126" t="n">
        <v>0</v>
      </c>
      <c r="K126" t="n">
        <v>0</v>
      </c>
      <c r="L126" t="n">
        <v>0</v>
      </c>
      <c r="M126" t="n">
        <v>0</v>
      </c>
      <c r="N126" t="n">
        <v>0</v>
      </c>
      <c r="O126" t="n">
        <v>0</v>
      </c>
      <c r="P126" t="n">
        <v>0</v>
      </c>
      <c r="Q126" t="n">
        <v>0</v>
      </c>
      <c r="R126" s="2" t="inlineStr"/>
    </row>
    <row r="127" ht="15" customHeight="1">
      <c r="A127" t="inlineStr">
        <is>
          <t>A 54519-2023</t>
        </is>
      </c>
      <c r="B127" s="1" t="n">
        <v>45233.58359953704</v>
      </c>
      <c r="C127" s="1" t="n">
        <v>46003</v>
      </c>
      <c r="D127" t="inlineStr">
        <is>
          <t>DALARNAS LÄN</t>
        </is>
      </c>
      <c r="E127" t="inlineStr">
        <is>
          <t>ORSA</t>
        </is>
      </c>
      <c r="F127" t="inlineStr">
        <is>
          <t>Allmännings- och besparingsskogar</t>
        </is>
      </c>
      <c r="G127" t="n">
        <v>0.5</v>
      </c>
      <c r="H127" t="n">
        <v>0</v>
      </c>
      <c r="I127" t="n">
        <v>0</v>
      </c>
      <c r="J127" t="n">
        <v>0</v>
      </c>
      <c r="K127" t="n">
        <v>0</v>
      </c>
      <c r="L127" t="n">
        <v>0</v>
      </c>
      <c r="M127" t="n">
        <v>0</v>
      </c>
      <c r="N127" t="n">
        <v>0</v>
      </c>
      <c r="O127" t="n">
        <v>0</v>
      </c>
      <c r="P127" t="n">
        <v>0</v>
      </c>
      <c r="Q127" t="n">
        <v>0</v>
      </c>
      <c r="R127" s="2" t="inlineStr"/>
    </row>
    <row r="128" ht="15" customHeight="1">
      <c r="A128" t="inlineStr">
        <is>
          <t>A 27542-2021</t>
        </is>
      </c>
      <c r="B128" s="1" t="n">
        <v>44351</v>
      </c>
      <c r="C128" s="1" t="n">
        <v>46003</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22911-2023</t>
        </is>
      </c>
      <c r="B129" s="1" t="n">
        <v>45072</v>
      </c>
      <c r="C129" s="1" t="n">
        <v>46003</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37770-2023</t>
        </is>
      </c>
      <c r="B130" s="1" t="n">
        <v>45159</v>
      </c>
      <c r="C130" s="1" t="n">
        <v>46003</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48985-2023</t>
        </is>
      </c>
      <c r="B131" s="1" t="n">
        <v>45209.64077546296</v>
      </c>
      <c r="C131" s="1" t="n">
        <v>46003</v>
      </c>
      <c r="D131" t="inlineStr">
        <is>
          <t>DALARNAS LÄN</t>
        </is>
      </c>
      <c r="E131" t="inlineStr">
        <is>
          <t>ORSA</t>
        </is>
      </c>
      <c r="F131" t="inlineStr">
        <is>
          <t>Allmännings- och besparingsskogar</t>
        </is>
      </c>
      <c r="G131" t="n">
        <v>2.1</v>
      </c>
      <c r="H131" t="n">
        <v>0</v>
      </c>
      <c r="I131" t="n">
        <v>0</v>
      </c>
      <c r="J131" t="n">
        <v>0</v>
      </c>
      <c r="K131" t="n">
        <v>0</v>
      </c>
      <c r="L131" t="n">
        <v>0</v>
      </c>
      <c r="M131" t="n">
        <v>0</v>
      </c>
      <c r="N131" t="n">
        <v>0</v>
      </c>
      <c r="O131" t="n">
        <v>0</v>
      </c>
      <c r="P131" t="n">
        <v>0</v>
      </c>
      <c r="Q131" t="n">
        <v>0</v>
      </c>
      <c r="R131" s="2" t="inlineStr"/>
    </row>
    <row r="132" ht="15" customHeight="1">
      <c r="A132" t="inlineStr">
        <is>
          <t>A 10261-2022</t>
        </is>
      </c>
      <c r="B132" s="1" t="n">
        <v>44622.6445949074</v>
      </c>
      <c r="C132" s="1" t="n">
        <v>46003</v>
      </c>
      <c r="D132" t="inlineStr">
        <is>
          <t>DALARNAS LÄN</t>
        </is>
      </c>
      <c r="E132" t="inlineStr">
        <is>
          <t>ORSA</t>
        </is>
      </c>
      <c r="G132" t="n">
        <v>3.1</v>
      </c>
      <c r="H132" t="n">
        <v>0</v>
      </c>
      <c r="I132" t="n">
        <v>0</v>
      </c>
      <c r="J132" t="n">
        <v>0</v>
      </c>
      <c r="K132" t="n">
        <v>0</v>
      </c>
      <c r="L132" t="n">
        <v>0</v>
      </c>
      <c r="M132" t="n">
        <v>0</v>
      </c>
      <c r="N132" t="n">
        <v>0</v>
      </c>
      <c r="O132" t="n">
        <v>0</v>
      </c>
      <c r="P132" t="n">
        <v>0</v>
      </c>
      <c r="Q132" t="n">
        <v>0</v>
      </c>
      <c r="R132" s="2" t="inlineStr"/>
    </row>
    <row r="133" ht="15" customHeight="1">
      <c r="A133" t="inlineStr">
        <is>
          <t>A 52574-2021</t>
        </is>
      </c>
      <c r="B133" s="1" t="n">
        <v>44466.55795138889</v>
      </c>
      <c r="C133" s="1" t="n">
        <v>46003</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23339-2024</t>
        </is>
      </c>
      <c r="B134" s="1" t="n">
        <v>45453.48988425926</v>
      </c>
      <c r="C134" s="1" t="n">
        <v>46003</v>
      </c>
      <c r="D134" t="inlineStr">
        <is>
          <t>DALARNAS LÄN</t>
        </is>
      </c>
      <c r="E134" t="inlineStr">
        <is>
          <t>ORSA</t>
        </is>
      </c>
      <c r="G134" t="n">
        <v>3.8</v>
      </c>
      <c r="H134" t="n">
        <v>0</v>
      </c>
      <c r="I134" t="n">
        <v>0</v>
      </c>
      <c r="J134" t="n">
        <v>0</v>
      </c>
      <c r="K134" t="n">
        <v>0</v>
      </c>
      <c r="L134" t="n">
        <v>0</v>
      </c>
      <c r="M134" t="n">
        <v>0</v>
      </c>
      <c r="N134" t="n">
        <v>0</v>
      </c>
      <c r="O134" t="n">
        <v>0</v>
      </c>
      <c r="P134" t="n">
        <v>0</v>
      </c>
      <c r="Q134" t="n">
        <v>0</v>
      </c>
      <c r="R134" s="2" t="inlineStr"/>
    </row>
    <row r="135" ht="15" customHeight="1">
      <c r="A135" t="inlineStr">
        <is>
          <t>A 52776-2022</t>
        </is>
      </c>
      <c r="B135" s="1" t="n">
        <v>44875.36341435185</v>
      </c>
      <c r="C135" s="1" t="n">
        <v>46003</v>
      </c>
      <c r="D135" t="inlineStr">
        <is>
          <t>DALARNAS LÄN</t>
        </is>
      </c>
      <c r="E135" t="inlineStr">
        <is>
          <t>ORSA</t>
        </is>
      </c>
      <c r="F135" t="inlineStr">
        <is>
          <t>Allmännings- och besparingsskogar</t>
        </is>
      </c>
      <c r="G135" t="n">
        <v>4.4</v>
      </c>
      <c r="H135" t="n">
        <v>0</v>
      </c>
      <c r="I135" t="n">
        <v>0</v>
      </c>
      <c r="J135" t="n">
        <v>0</v>
      </c>
      <c r="K135" t="n">
        <v>0</v>
      </c>
      <c r="L135" t="n">
        <v>0</v>
      </c>
      <c r="M135" t="n">
        <v>0</v>
      </c>
      <c r="N135" t="n">
        <v>0</v>
      </c>
      <c r="O135" t="n">
        <v>0</v>
      </c>
      <c r="P135" t="n">
        <v>0</v>
      </c>
      <c r="Q135" t="n">
        <v>0</v>
      </c>
      <c r="R135" s="2" t="inlineStr"/>
    </row>
    <row r="136" ht="15" customHeight="1">
      <c r="A136" t="inlineStr">
        <is>
          <t>A 55280-2024</t>
        </is>
      </c>
      <c r="B136" s="1" t="n">
        <v>45621.62524305555</v>
      </c>
      <c r="C136" s="1" t="n">
        <v>46003</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55580-2024</t>
        </is>
      </c>
      <c r="B137" s="1" t="n">
        <v>45622.56038194444</v>
      </c>
      <c r="C137" s="1" t="n">
        <v>46003</v>
      </c>
      <c r="D137" t="inlineStr">
        <is>
          <t>DALARNAS LÄN</t>
        </is>
      </c>
      <c r="E137" t="inlineStr">
        <is>
          <t>ORSA</t>
        </is>
      </c>
      <c r="G137" t="n">
        <v>2</v>
      </c>
      <c r="H137" t="n">
        <v>0</v>
      </c>
      <c r="I137" t="n">
        <v>0</v>
      </c>
      <c r="J137" t="n">
        <v>0</v>
      </c>
      <c r="K137" t="n">
        <v>0</v>
      </c>
      <c r="L137" t="n">
        <v>0</v>
      </c>
      <c r="M137" t="n">
        <v>0</v>
      </c>
      <c r="N137" t="n">
        <v>0</v>
      </c>
      <c r="O137" t="n">
        <v>0</v>
      </c>
      <c r="P137" t="n">
        <v>0</v>
      </c>
      <c r="Q137" t="n">
        <v>0</v>
      </c>
      <c r="R137" s="2" t="inlineStr"/>
    </row>
    <row r="138" ht="15" customHeight="1">
      <c r="A138" t="inlineStr">
        <is>
          <t>A 16392-2024</t>
        </is>
      </c>
      <c r="B138" s="1" t="n">
        <v>45407.62380787037</v>
      </c>
      <c r="C138" s="1" t="n">
        <v>46003</v>
      </c>
      <c r="D138" t="inlineStr">
        <is>
          <t>DALARNAS LÄN</t>
        </is>
      </c>
      <c r="E138" t="inlineStr">
        <is>
          <t>ORSA</t>
        </is>
      </c>
      <c r="G138" t="n">
        <v>3.4</v>
      </c>
      <c r="H138" t="n">
        <v>0</v>
      </c>
      <c r="I138" t="n">
        <v>0</v>
      </c>
      <c r="J138" t="n">
        <v>0</v>
      </c>
      <c r="K138" t="n">
        <v>0</v>
      </c>
      <c r="L138" t="n">
        <v>0</v>
      </c>
      <c r="M138" t="n">
        <v>0</v>
      </c>
      <c r="N138" t="n">
        <v>0</v>
      </c>
      <c r="O138" t="n">
        <v>0</v>
      </c>
      <c r="P138" t="n">
        <v>0</v>
      </c>
      <c r="Q138" t="n">
        <v>0</v>
      </c>
      <c r="R138" s="2" t="inlineStr"/>
    </row>
    <row r="139" ht="15" customHeight="1">
      <c r="A139" t="inlineStr">
        <is>
          <t>A 18312-2024</t>
        </is>
      </c>
      <c r="B139" s="1" t="n">
        <v>45422.48225694444</v>
      </c>
      <c r="C139" s="1" t="n">
        <v>46003</v>
      </c>
      <c r="D139" t="inlineStr">
        <is>
          <t>DALARNAS LÄN</t>
        </is>
      </c>
      <c r="E139" t="inlineStr">
        <is>
          <t>ORSA</t>
        </is>
      </c>
      <c r="G139" t="n">
        <v>1.4</v>
      </c>
      <c r="H139" t="n">
        <v>0</v>
      </c>
      <c r="I139" t="n">
        <v>0</v>
      </c>
      <c r="J139" t="n">
        <v>0</v>
      </c>
      <c r="K139" t="n">
        <v>0</v>
      </c>
      <c r="L139" t="n">
        <v>0</v>
      </c>
      <c r="M139" t="n">
        <v>0</v>
      </c>
      <c r="N139" t="n">
        <v>0</v>
      </c>
      <c r="O139" t="n">
        <v>0</v>
      </c>
      <c r="P139" t="n">
        <v>0</v>
      </c>
      <c r="Q139" t="n">
        <v>0</v>
      </c>
      <c r="R139" s="2" t="inlineStr"/>
    </row>
    <row r="140" ht="15" customHeight="1">
      <c r="A140" t="inlineStr">
        <is>
          <t>A 56711-2021</t>
        </is>
      </c>
      <c r="B140" s="1" t="n">
        <v>44481.41222222222</v>
      </c>
      <c r="C140" s="1" t="n">
        <v>46003</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56803-2024</t>
        </is>
      </c>
      <c r="B141" s="1" t="n">
        <v>45628.47212962963</v>
      </c>
      <c r="C141" s="1" t="n">
        <v>46003</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52044-2023</t>
        </is>
      </c>
      <c r="B142" s="1" t="n">
        <v>45223.6365625</v>
      </c>
      <c r="C142" s="1" t="n">
        <v>46003</v>
      </c>
      <c r="D142" t="inlineStr">
        <is>
          <t>DALARNAS LÄN</t>
        </is>
      </c>
      <c r="E142" t="inlineStr">
        <is>
          <t>ORSA</t>
        </is>
      </c>
      <c r="G142" t="n">
        <v>2.6</v>
      </c>
      <c r="H142" t="n">
        <v>0</v>
      </c>
      <c r="I142" t="n">
        <v>0</v>
      </c>
      <c r="J142" t="n">
        <v>0</v>
      </c>
      <c r="K142" t="n">
        <v>0</v>
      </c>
      <c r="L142" t="n">
        <v>0</v>
      </c>
      <c r="M142" t="n">
        <v>0</v>
      </c>
      <c r="N142" t="n">
        <v>0</v>
      </c>
      <c r="O142" t="n">
        <v>0</v>
      </c>
      <c r="P142" t="n">
        <v>0</v>
      </c>
      <c r="Q142" t="n">
        <v>0</v>
      </c>
      <c r="R142" s="2" t="inlineStr"/>
    </row>
    <row r="143" ht="15" customHeight="1">
      <c r="A143" t="inlineStr">
        <is>
          <t>A 52816-2024</t>
        </is>
      </c>
      <c r="B143" s="1" t="n">
        <v>45610.58322916667</v>
      </c>
      <c r="C143" s="1" t="n">
        <v>46003</v>
      </c>
      <c r="D143" t="inlineStr">
        <is>
          <t>DALARNAS LÄN</t>
        </is>
      </c>
      <c r="E143" t="inlineStr">
        <is>
          <t>ORSA</t>
        </is>
      </c>
      <c r="F143" t="inlineStr">
        <is>
          <t>Bergvik skog öst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42517-2024</t>
        </is>
      </c>
      <c r="B144" s="1" t="n">
        <v>45565.54078703704</v>
      </c>
      <c r="C144" s="1" t="n">
        <v>46003</v>
      </c>
      <c r="D144" t="inlineStr">
        <is>
          <t>DALARNAS LÄN</t>
        </is>
      </c>
      <c r="E144" t="inlineStr">
        <is>
          <t>ORSA</t>
        </is>
      </c>
      <c r="G144" t="n">
        <v>3</v>
      </c>
      <c r="H144" t="n">
        <v>0</v>
      </c>
      <c r="I144" t="n">
        <v>0</v>
      </c>
      <c r="J144" t="n">
        <v>0</v>
      </c>
      <c r="K144" t="n">
        <v>0</v>
      </c>
      <c r="L144" t="n">
        <v>0</v>
      </c>
      <c r="M144" t="n">
        <v>0</v>
      </c>
      <c r="N144" t="n">
        <v>0</v>
      </c>
      <c r="O144" t="n">
        <v>0</v>
      </c>
      <c r="P144" t="n">
        <v>0</v>
      </c>
      <c r="Q144" t="n">
        <v>0</v>
      </c>
      <c r="R144" s="2" t="inlineStr"/>
    </row>
    <row r="145" ht="15" customHeight="1">
      <c r="A145" t="inlineStr">
        <is>
          <t>A 53717-2024</t>
        </is>
      </c>
      <c r="B145" s="1" t="n">
        <v>45615.43141203704</v>
      </c>
      <c r="C145" s="1" t="n">
        <v>46003</v>
      </c>
      <c r="D145" t="inlineStr">
        <is>
          <t>DALARNAS LÄN</t>
        </is>
      </c>
      <c r="E145" t="inlineStr">
        <is>
          <t>ORSA</t>
        </is>
      </c>
      <c r="G145" t="n">
        <v>1.5</v>
      </c>
      <c r="H145" t="n">
        <v>0</v>
      </c>
      <c r="I145" t="n">
        <v>0</v>
      </c>
      <c r="J145" t="n">
        <v>0</v>
      </c>
      <c r="K145" t="n">
        <v>0</v>
      </c>
      <c r="L145" t="n">
        <v>0</v>
      </c>
      <c r="M145" t="n">
        <v>0</v>
      </c>
      <c r="N145" t="n">
        <v>0</v>
      </c>
      <c r="O145" t="n">
        <v>0</v>
      </c>
      <c r="P145" t="n">
        <v>0</v>
      </c>
      <c r="Q145" t="n">
        <v>0</v>
      </c>
      <c r="R145" s="2" t="inlineStr"/>
    </row>
    <row r="146" ht="15" customHeight="1">
      <c r="A146" t="inlineStr">
        <is>
          <t>A 612-2025</t>
        </is>
      </c>
      <c r="B146" s="1" t="n">
        <v>45660</v>
      </c>
      <c r="C146" s="1" t="n">
        <v>46003</v>
      </c>
      <c r="D146" t="inlineStr">
        <is>
          <t>DALARNAS LÄN</t>
        </is>
      </c>
      <c r="E146" t="inlineStr">
        <is>
          <t>ORSA</t>
        </is>
      </c>
      <c r="F146" t="inlineStr">
        <is>
          <t>Allmännings- och besparingsskogar</t>
        </is>
      </c>
      <c r="G146" t="n">
        <v>0.8</v>
      </c>
      <c r="H146" t="n">
        <v>0</v>
      </c>
      <c r="I146" t="n">
        <v>0</v>
      </c>
      <c r="J146" t="n">
        <v>0</v>
      </c>
      <c r="K146" t="n">
        <v>0</v>
      </c>
      <c r="L146" t="n">
        <v>0</v>
      </c>
      <c r="M146" t="n">
        <v>0</v>
      </c>
      <c r="N146" t="n">
        <v>0</v>
      </c>
      <c r="O146" t="n">
        <v>0</v>
      </c>
      <c r="P146" t="n">
        <v>0</v>
      </c>
      <c r="Q146" t="n">
        <v>0</v>
      </c>
      <c r="R146" s="2" t="inlineStr"/>
    </row>
    <row r="147" ht="15" customHeight="1">
      <c r="A147" t="inlineStr">
        <is>
          <t>A 28082-2023</t>
        </is>
      </c>
      <c r="B147" s="1" t="n">
        <v>45099</v>
      </c>
      <c r="C147" s="1" t="n">
        <v>46003</v>
      </c>
      <c r="D147" t="inlineStr">
        <is>
          <t>DALARNAS LÄN</t>
        </is>
      </c>
      <c r="E147" t="inlineStr">
        <is>
          <t>ORSA</t>
        </is>
      </c>
      <c r="G147" t="n">
        <v>0.4</v>
      </c>
      <c r="H147" t="n">
        <v>0</v>
      </c>
      <c r="I147" t="n">
        <v>0</v>
      </c>
      <c r="J147" t="n">
        <v>0</v>
      </c>
      <c r="K147" t="n">
        <v>0</v>
      </c>
      <c r="L147" t="n">
        <v>0</v>
      </c>
      <c r="M147" t="n">
        <v>0</v>
      </c>
      <c r="N147" t="n">
        <v>0</v>
      </c>
      <c r="O147" t="n">
        <v>0</v>
      </c>
      <c r="P147" t="n">
        <v>0</v>
      </c>
      <c r="Q147" t="n">
        <v>0</v>
      </c>
      <c r="R147" s="2" t="inlineStr"/>
    </row>
    <row r="148" ht="15" customHeight="1">
      <c r="A148" t="inlineStr">
        <is>
          <t>A 2717-2024</t>
        </is>
      </c>
      <c r="B148" s="1" t="n">
        <v>45314.49222222222</v>
      </c>
      <c r="C148" s="1" t="n">
        <v>46003</v>
      </c>
      <c r="D148" t="inlineStr">
        <is>
          <t>DALARNAS LÄN</t>
        </is>
      </c>
      <c r="E148" t="inlineStr">
        <is>
          <t>ORSA</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25172-2022</t>
        </is>
      </c>
      <c r="B149" s="1" t="n">
        <v>44729.58356481481</v>
      </c>
      <c r="C149" s="1" t="n">
        <v>46003</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56887-2024</t>
        </is>
      </c>
      <c r="B150" s="1" t="n">
        <v>45628.57388888889</v>
      </c>
      <c r="C150" s="1" t="n">
        <v>46003</v>
      </c>
      <c r="D150" t="inlineStr">
        <is>
          <t>DALARNAS LÄN</t>
        </is>
      </c>
      <c r="E150" t="inlineStr">
        <is>
          <t>ORSA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986-2025</t>
        </is>
      </c>
      <c r="B151" s="1" t="n">
        <v>45666.42952546296</v>
      </c>
      <c r="C151" s="1" t="n">
        <v>46003</v>
      </c>
      <c r="D151" t="inlineStr">
        <is>
          <t>DALARNAS LÄN</t>
        </is>
      </c>
      <c r="E151" t="inlineStr">
        <is>
          <t>ORSA</t>
        </is>
      </c>
      <c r="G151" t="n">
        <v>5.7</v>
      </c>
      <c r="H151" t="n">
        <v>0</v>
      </c>
      <c r="I151" t="n">
        <v>0</v>
      </c>
      <c r="J151" t="n">
        <v>0</v>
      </c>
      <c r="K151" t="n">
        <v>0</v>
      </c>
      <c r="L151" t="n">
        <v>0</v>
      </c>
      <c r="M151" t="n">
        <v>0</v>
      </c>
      <c r="N151" t="n">
        <v>0</v>
      </c>
      <c r="O151" t="n">
        <v>0</v>
      </c>
      <c r="P151" t="n">
        <v>0</v>
      </c>
      <c r="Q151" t="n">
        <v>0</v>
      </c>
      <c r="R151" s="2" t="inlineStr"/>
    </row>
    <row r="152" ht="15" customHeight="1">
      <c r="A152" t="inlineStr">
        <is>
          <t>A 42513-2024</t>
        </is>
      </c>
      <c r="B152" s="1" t="n">
        <v>45565.53810185185</v>
      </c>
      <c r="C152" s="1" t="n">
        <v>46003</v>
      </c>
      <c r="D152" t="inlineStr">
        <is>
          <t>DALARNAS LÄN</t>
        </is>
      </c>
      <c r="E152" t="inlineStr">
        <is>
          <t>ORSA</t>
        </is>
      </c>
      <c r="G152" t="n">
        <v>1.6</v>
      </c>
      <c r="H152" t="n">
        <v>0</v>
      </c>
      <c r="I152" t="n">
        <v>0</v>
      </c>
      <c r="J152" t="n">
        <v>0</v>
      </c>
      <c r="K152" t="n">
        <v>0</v>
      </c>
      <c r="L152" t="n">
        <v>0</v>
      </c>
      <c r="M152" t="n">
        <v>0</v>
      </c>
      <c r="N152" t="n">
        <v>0</v>
      </c>
      <c r="O152" t="n">
        <v>0</v>
      </c>
      <c r="P152" t="n">
        <v>0</v>
      </c>
      <c r="Q152" t="n">
        <v>0</v>
      </c>
      <c r="R152" s="2" t="inlineStr"/>
    </row>
    <row r="153" ht="15" customHeight="1">
      <c r="A153" t="inlineStr">
        <is>
          <t>A 30458-2023</t>
        </is>
      </c>
      <c r="B153" s="1" t="n">
        <v>45111</v>
      </c>
      <c r="C153" s="1" t="n">
        <v>46003</v>
      </c>
      <c r="D153" t="inlineStr">
        <is>
          <t>DALARNAS LÄN</t>
        </is>
      </c>
      <c r="E153" t="inlineStr">
        <is>
          <t>ORSA</t>
        </is>
      </c>
      <c r="F153" t="inlineStr">
        <is>
          <t>Bergvik skog öst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42238-2023</t>
        </is>
      </c>
      <c r="B154" s="1" t="n">
        <v>45180.34207175926</v>
      </c>
      <c r="C154" s="1" t="n">
        <v>46003</v>
      </c>
      <c r="D154" t="inlineStr">
        <is>
          <t>DALARNAS LÄN</t>
        </is>
      </c>
      <c r="E154" t="inlineStr">
        <is>
          <t>ORSA</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47126-2021</t>
        </is>
      </c>
      <c r="B155" s="1" t="n">
        <v>44446.78168981482</v>
      </c>
      <c r="C155" s="1" t="n">
        <v>46003</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4738-2025</t>
        </is>
      </c>
      <c r="B156" s="1" t="n">
        <v>45688</v>
      </c>
      <c r="C156" s="1" t="n">
        <v>46003</v>
      </c>
      <c r="D156" t="inlineStr">
        <is>
          <t>DALARNAS LÄN</t>
        </is>
      </c>
      <c r="E156" t="inlineStr">
        <is>
          <t>ORSA</t>
        </is>
      </c>
      <c r="G156" t="n">
        <v>3.7</v>
      </c>
      <c r="H156" t="n">
        <v>0</v>
      </c>
      <c r="I156" t="n">
        <v>0</v>
      </c>
      <c r="J156" t="n">
        <v>0</v>
      </c>
      <c r="K156" t="n">
        <v>0</v>
      </c>
      <c r="L156" t="n">
        <v>0</v>
      </c>
      <c r="M156" t="n">
        <v>0</v>
      </c>
      <c r="N156" t="n">
        <v>0</v>
      </c>
      <c r="O156" t="n">
        <v>0</v>
      </c>
      <c r="P156" t="n">
        <v>0</v>
      </c>
      <c r="Q156" t="n">
        <v>0</v>
      </c>
      <c r="R156" s="2" t="inlineStr"/>
    </row>
    <row r="157" ht="15" customHeight="1">
      <c r="A157" t="inlineStr">
        <is>
          <t>A 7534-2025</t>
        </is>
      </c>
      <c r="B157" s="1" t="n">
        <v>45705.56287037037</v>
      </c>
      <c r="C157" s="1" t="n">
        <v>46003</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30290-2024</t>
        </is>
      </c>
      <c r="B158" s="1" t="n">
        <v>45490.64681712963</v>
      </c>
      <c r="C158" s="1" t="n">
        <v>46003</v>
      </c>
      <c r="D158" t="inlineStr">
        <is>
          <t>DALARNAS LÄN</t>
        </is>
      </c>
      <c r="E158" t="inlineStr">
        <is>
          <t>ORSA</t>
        </is>
      </c>
      <c r="F158" t="inlineStr">
        <is>
          <t>Bergvik skog öst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31026-2023</t>
        </is>
      </c>
      <c r="B159" s="1" t="n">
        <v>45113.5812962963</v>
      </c>
      <c r="C159" s="1" t="n">
        <v>46003</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55338-2022</t>
        </is>
      </c>
      <c r="B160" s="1" t="n">
        <v>44887.45185185185</v>
      </c>
      <c r="C160" s="1" t="n">
        <v>46003</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61034-2024</t>
        </is>
      </c>
      <c r="B161" s="1" t="n">
        <v>45645.46608796297</v>
      </c>
      <c r="C161" s="1" t="n">
        <v>46003</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15914-2021</t>
        </is>
      </c>
      <c r="B162" s="1" t="n">
        <v>44287</v>
      </c>
      <c r="C162" s="1" t="n">
        <v>46003</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51289-2023</t>
        </is>
      </c>
      <c r="B163" s="1" t="n">
        <v>45219.54077546296</v>
      </c>
      <c r="C163" s="1" t="n">
        <v>46003</v>
      </c>
      <c r="D163" t="inlineStr">
        <is>
          <t>DALARNAS LÄN</t>
        </is>
      </c>
      <c r="E163" t="inlineStr">
        <is>
          <t>ORSA</t>
        </is>
      </c>
      <c r="G163" t="n">
        <v>1.5</v>
      </c>
      <c r="H163" t="n">
        <v>0</v>
      </c>
      <c r="I163" t="n">
        <v>0</v>
      </c>
      <c r="J163" t="n">
        <v>0</v>
      </c>
      <c r="K163" t="n">
        <v>0</v>
      </c>
      <c r="L163" t="n">
        <v>0</v>
      </c>
      <c r="M163" t="n">
        <v>0</v>
      </c>
      <c r="N163" t="n">
        <v>0</v>
      </c>
      <c r="O163" t="n">
        <v>0</v>
      </c>
      <c r="P163" t="n">
        <v>0</v>
      </c>
      <c r="Q163" t="n">
        <v>0</v>
      </c>
      <c r="R163" s="2" t="inlineStr"/>
    </row>
    <row r="164" ht="15" customHeight="1">
      <c r="A164" t="inlineStr">
        <is>
          <t>A 36682-2024</t>
        </is>
      </c>
      <c r="B164" s="1" t="n">
        <v>45537.65519675926</v>
      </c>
      <c r="C164" s="1" t="n">
        <v>46003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32125-2024</t>
        </is>
      </c>
      <c r="B165" s="1" t="n">
        <v>45511</v>
      </c>
      <c r="C165" s="1" t="n">
        <v>46003</v>
      </c>
      <c r="D165" t="inlineStr">
        <is>
          <t>DALARNAS LÄN</t>
        </is>
      </c>
      <c r="E165" t="inlineStr">
        <is>
          <t>ORSA</t>
        </is>
      </c>
      <c r="F165" t="inlineStr">
        <is>
          <t>Allmännings- och besparingsskogar</t>
        </is>
      </c>
      <c r="G165" t="n">
        <v>5.2</v>
      </c>
      <c r="H165" t="n">
        <v>0</v>
      </c>
      <c r="I165" t="n">
        <v>0</v>
      </c>
      <c r="J165" t="n">
        <v>0</v>
      </c>
      <c r="K165" t="n">
        <v>0</v>
      </c>
      <c r="L165" t="n">
        <v>0</v>
      </c>
      <c r="M165" t="n">
        <v>0</v>
      </c>
      <c r="N165" t="n">
        <v>0</v>
      </c>
      <c r="O165" t="n">
        <v>0</v>
      </c>
      <c r="P165" t="n">
        <v>0</v>
      </c>
      <c r="Q165" t="n">
        <v>0</v>
      </c>
      <c r="R165" s="2" t="inlineStr"/>
    </row>
    <row r="166" ht="15" customHeight="1">
      <c r="A166" t="inlineStr">
        <is>
          <t>A 42346-2022</t>
        </is>
      </c>
      <c r="B166" s="1" t="n">
        <v>44831.35561342593</v>
      </c>
      <c r="C166" s="1" t="n">
        <v>46003</v>
      </c>
      <c r="D166" t="inlineStr">
        <is>
          <t>DALARNAS LÄN</t>
        </is>
      </c>
      <c r="E166" t="inlineStr">
        <is>
          <t>ORSA</t>
        </is>
      </c>
      <c r="G166" t="n">
        <v>2.4</v>
      </c>
      <c r="H166" t="n">
        <v>0</v>
      </c>
      <c r="I166" t="n">
        <v>0</v>
      </c>
      <c r="J166" t="n">
        <v>0</v>
      </c>
      <c r="K166" t="n">
        <v>0</v>
      </c>
      <c r="L166" t="n">
        <v>0</v>
      </c>
      <c r="M166" t="n">
        <v>0</v>
      </c>
      <c r="N166" t="n">
        <v>0</v>
      </c>
      <c r="O166" t="n">
        <v>0</v>
      </c>
      <c r="P166" t="n">
        <v>0</v>
      </c>
      <c r="Q166" t="n">
        <v>0</v>
      </c>
      <c r="R166" s="2" t="inlineStr"/>
    </row>
    <row r="167" ht="15" customHeight="1">
      <c r="A167" t="inlineStr">
        <is>
          <t>A 52925-2024</t>
        </is>
      </c>
      <c r="B167" s="1" t="n">
        <v>45610.73276620371</v>
      </c>
      <c r="C167" s="1" t="n">
        <v>46003</v>
      </c>
      <c r="D167" t="inlineStr">
        <is>
          <t>DALARNAS LÄN</t>
        </is>
      </c>
      <c r="E167" t="inlineStr">
        <is>
          <t>ORSA</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51303-2023</t>
        </is>
      </c>
      <c r="B168" s="1" t="n">
        <v>45219.55793981482</v>
      </c>
      <c r="C168" s="1" t="n">
        <v>46003</v>
      </c>
      <c r="D168" t="inlineStr">
        <is>
          <t>DALARNAS LÄN</t>
        </is>
      </c>
      <c r="E168" t="inlineStr">
        <is>
          <t>ORSA</t>
        </is>
      </c>
      <c r="G168" t="n">
        <v>1.8</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46003</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63371-2023</t>
        </is>
      </c>
      <c r="B170" s="1" t="n">
        <v>45274.47642361111</v>
      </c>
      <c r="C170" s="1" t="n">
        <v>46003</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22022-2022</t>
        </is>
      </c>
      <c r="B171" s="1" t="n">
        <v>44711.60145833333</v>
      </c>
      <c r="C171" s="1" t="n">
        <v>46003</v>
      </c>
      <c r="D171" t="inlineStr">
        <is>
          <t>DALARNAS LÄN</t>
        </is>
      </c>
      <c r="E171" t="inlineStr">
        <is>
          <t>ORSA</t>
        </is>
      </c>
      <c r="F171" t="inlineStr">
        <is>
          <t>Bergvik skog öst AB</t>
        </is>
      </c>
      <c r="G171" t="n">
        <v>1.9</v>
      </c>
      <c r="H171" t="n">
        <v>0</v>
      </c>
      <c r="I171" t="n">
        <v>0</v>
      </c>
      <c r="J171" t="n">
        <v>0</v>
      </c>
      <c r="K171" t="n">
        <v>0</v>
      </c>
      <c r="L171" t="n">
        <v>0</v>
      </c>
      <c r="M171" t="n">
        <v>0</v>
      </c>
      <c r="N171" t="n">
        <v>0</v>
      </c>
      <c r="O171" t="n">
        <v>0</v>
      </c>
      <c r="P171" t="n">
        <v>0</v>
      </c>
      <c r="Q171" t="n">
        <v>0</v>
      </c>
      <c r="R171" s="2" t="inlineStr"/>
    </row>
    <row r="172" ht="15" customHeight="1">
      <c r="A172" t="inlineStr">
        <is>
          <t>A 67842-2020</t>
        </is>
      </c>
      <c r="B172" s="1" t="n">
        <v>44182</v>
      </c>
      <c r="C172" s="1" t="n">
        <v>46003</v>
      </c>
      <c r="D172" t="inlineStr">
        <is>
          <t>DALARNAS LÄN</t>
        </is>
      </c>
      <c r="E172" t="inlineStr">
        <is>
          <t>ORSA</t>
        </is>
      </c>
      <c r="G172" t="n">
        <v>10.6</v>
      </c>
      <c r="H172" t="n">
        <v>0</v>
      </c>
      <c r="I172" t="n">
        <v>0</v>
      </c>
      <c r="J172" t="n">
        <v>0</v>
      </c>
      <c r="K172" t="n">
        <v>0</v>
      </c>
      <c r="L172" t="n">
        <v>0</v>
      </c>
      <c r="M172" t="n">
        <v>0</v>
      </c>
      <c r="N172" t="n">
        <v>0</v>
      </c>
      <c r="O172" t="n">
        <v>0</v>
      </c>
      <c r="P172" t="n">
        <v>0</v>
      </c>
      <c r="Q172" t="n">
        <v>0</v>
      </c>
      <c r="R172" s="2" t="inlineStr"/>
    </row>
    <row r="173" ht="15" customHeight="1">
      <c r="A173" t="inlineStr">
        <is>
          <t>A 37836-2024</t>
        </is>
      </c>
      <c r="B173" s="1" t="n">
        <v>45544.35747685185</v>
      </c>
      <c r="C173" s="1" t="n">
        <v>46003</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6097-2025</t>
        </is>
      </c>
      <c r="B174" s="1" t="n">
        <v>45697</v>
      </c>
      <c r="C174" s="1" t="n">
        <v>46003</v>
      </c>
      <c r="D174" t="inlineStr">
        <is>
          <t>DALARNAS LÄN</t>
        </is>
      </c>
      <c r="E174" t="inlineStr">
        <is>
          <t>ORSA</t>
        </is>
      </c>
      <c r="G174" t="n">
        <v>11.1</v>
      </c>
      <c r="H174" t="n">
        <v>0</v>
      </c>
      <c r="I174" t="n">
        <v>0</v>
      </c>
      <c r="J174" t="n">
        <v>0</v>
      </c>
      <c r="K174" t="n">
        <v>0</v>
      </c>
      <c r="L174" t="n">
        <v>0</v>
      </c>
      <c r="M174" t="n">
        <v>0</v>
      </c>
      <c r="N174" t="n">
        <v>0</v>
      </c>
      <c r="O174" t="n">
        <v>0</v>
      </c>
      <c r="P174" t="n">
        <v>0</v>
      </c>
      <c r="Q174" t="n">
        <v>0</v>
      </c>
      <c r="R174" s="2" t="inlineStr"/>
    </row>
    <row r="175" ht="15" customHeight="1">
      <c r="A175" t="inlineStr">
        <is>
          <t>A 28974-2024</t>
        </is>
      </c>
      <c r="B175" s="1" t="n">
        <v>45481.45445601852</v>
      </c>
      <c r="C175" s="1" t="n">
        <v>46003</v>
      </c>
      <c r="D175" t="inlineStr">
        <is>
          <t>DALARNAS LÄN</t>
        </is>
      </c>
      <c r="E175" t="inlineStr">
        <is>
          <t>ORSA</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40101-2024</t>
        </is>
      </c>
      <c r="B176" s="1" t="n">
        <v>45554.42622685185</v>
      </c>
      <c r="C176" s="1" t="n">
        <v>46003</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61053-2024</t>
        </is>
      </c>
      <c r="B177" s="1" t="n">
        <v>45645.48501157408</v>
      </c>
      <c r="C177" s="1" t="n">
        <v>46003</v>
      </c>
      <c r="D177" t="inlineStr">
        <is>
          <t>DALARNAS LÄN</t>
        </is>
      </c>
      <c r="E177" t="inlineStr">
        <is>
          <t>ORSA</t>
        </is>
      </c>
      <c r="G177" t="n">
        <v>2.6</v>
      </c>
      <c r="H177" t="n">
        <v>0</v>
      </c>
      <c r="I177" t="n">
        <v>0</v>
      </c>
      <c r="J177" t="n">
        <v>0</v>
      </c>
      <c r="K177" t="n">
        <v>0</v>
      </c>
      <c r="L177" t="n">
        <v>0</v>
      </c>
      <c r="M177" t="n">
        <v>0</v>
      </c>
      <c r="N177" t="n">
        <v>0</v>
      </c>
      <c r="O177" t="n">
        <v>0</v>
      </c>
      <c r="P177" t="n">
        <v>0</v>
      </c>
      <c r="Q177" t="n">
        <v>0</v>
      </c>
      <c r="R177" s="2" t="inlineStr"/>
    </row>
    <row r="178" ht="15" customHeight="1">
      <c r="A178" t="inlineStr">
        <is>
          <t>A 51563-2023</t>
        </is>
      </c>
      <c r="B178" s="1" t="n">
        <v>45222</v>
      </c>
      <c r="C178" s="1" t="n">
        <v>46003</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21446-2024</t>
        </is>
      </c>
      <c r="B179" s="1" t="n">
        <v>45441.45840277777</v>
      </c>
      <c r="C179" s="1" t="n">
        <v>46003</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20349-2021</t>
        </is>
      </c>
      <c r="B180" s="1" t="n">
        <v>44315.41582175926</v>
      </c>
      <c r="C180" s="1" t="n">
        <v>46003</v>
      </c>
      <c r="D180" t="inlineStr">
        <is>
          <t>DALARNAS LÄN</t>
        </is>
      </c>
      <c r="E180" t="inlineStr">
        <is>
          <t>ORSA</t>
        </is>
      </c>
      <c r="G180" t="n">
        <v>2.3</v>
      </c>
      <c r="H180" t="n">
        <v>0</v>
      </c>
      <c r="I180" t="n">
        <v>0</v>
      </c>
      <c r="J180" t="n">
        <v>0</v>
      </c>
      <c r="K180" t="n">
        <v>0</v>
      </c>
      <c r="L180" t="n">
        <v>0</v>
      </c>
      <c r="M180" t="n">
        <v>0</v>
      </c>
      <c r="N180" t="n">
        <v>0</v>
      </c>
      <c r="O180" t="n">
        <v>0</v>
      </c>
      <c r="P180" t="n">
        <v>0</v>
      </c>
      <c r="Q180" t="n">
        <v>0</v>
      </c>
      <c r="R180" s="2" t="inlineStr"/>
    </row>
    <row r="181" ht="15" customHeight="1">
      <c r="A181" t="inlineStr">
        <is>
          <t>A 48990-2023</t>
        </is>
      </c>
      <c r="B181" s="1" t="n">
        <v>45209.64740740741</v>
      </c>
      <c r="C181" s="1" t="n">
        <v>46003</v>
      </c>
      <c r="D181" t="inlineStr">
        <is>
          <t>DALARNAS LÄN</t>
        </is>
      </c>
      <c r="E181" t="inlineStr">
        <is>
          <t>ORSA</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61684-2024</t>
        </is>
      </c>
      <c r="B182" s="1" t="n">
        <v>45647.56491898148</v>
      </c>
      <c r="C182" s="1" t="n">
        <v>46003</v>
      </c>
      <c r="D182" t="inlineStr">
        <is>
          <t>DALARNAS LÄN</t>
        </is>
      </c>
      <c r="E182" t="inlineStr">
        <is>
          <t>ORSA</t>
        </is>
      </c>
      <c r="G182" t="n">
        <v>5.8</v>
      </c>
      <c r="H182" t="n">
        <v>0</v>
      </c>
      <c r="I182" t="n">
        <v>0</v>
      </c>
      <c r="J182" t="n">
        <v>0</v>
      </c>
      <c r="K182" t="n">
        <v>0</v>
      </c>
      <c r="L182" t="n">
        <v>0</v>
      </c>
      <c r="M182" t="n">
        <v>0</v>
      </c>
      <c r="N182" t="n">
        <v>0</v>
      </c>
      <c r="O182" t="n">
        <v>0</v>
      </c>
      <c r="P182" t="n">
        <v>0</v>
      </c>
      <c r="Q182" t="n">
        <v>0</v>
      </c>
      <c r="R182" s="2" t="inlineStr"/>
    </row>
    <row r="183" ht="15" customHeight="1">
      <c r="A183" t="inlineStr">
        <is>
          <t>A 58793-2023</t>
        </is>
      </c>
      <c r="B183" s="1" t="n">
        <v>45252.34607638889</v>
      </c>
      <c r="C183" s="1" t="n">
        <v>46003</v>
      </c>
      <c r="D183" t="inlineStr">
        <is>
          <t>DALARNAS LÄN</t>
        </is>
      </c>
      <c r="E183" t="inlineStr">
        <is>
          <t>ORSA</t>
        </is>
      </c>
      <c r="G183" t="n">
        <v>2.2</v>
      </c>
      <c r="H183" t="n">
        <v>0</v>
      </c>
      <c r="I183" t="n">
        <v>0</v>
      </c>
      <c r="J183" t="n">
        <v>0</v>
      </c>
      <c r="K183" t="n">
        <v>0</v>
      </c>
      <c r="L183" t="n">
        <v>0</v>
      </c>
      <c r="M183" t="n">
        <v>0</v>
      </c>
      <c r="N183" t="n">
        <v>0</v>
      </c>
      <c r="O183" t="n">
        <v>0</v>
      </c>
      <c r="P183" t="n">
        <v>0</v>
      </c>
      <c r="Q183" t="n">
        <v>0</v>
      </c>
      <c r="R183" s="2" t="inlineStr"/>
    </row>
    <row r="184" ht="15" customHeight="1">
      <c r="A184" t="inlineStr">
        <is>
          <t>A 41291-2021</t>
        </is>
      </c>
      <c r="B184" s="1" t="n">
        <v>44424</v>
      </c>
      <c r="C184" s="1" t="n">
        <v>46003</v>
      </c>
      <c r="D184" t="inlineStr">
        <is>
          <t>DALARNAS LÄN</t>
        </is>
      </c>
      <c r="E184" t="inlineStr">
        <is>
          <t>ORSA</t>
        </is>
      </c>
      <c r="G184" t="n">
        <v>2</v>
      </c>
      <c r="H184" t="n">
        <v>0</v>
      </c>
      <c r="I184" t="n">
        <v>0</v>
      </c>
      <c r="J184" t="n">
        <v>0</v>
      </c>
      <c r="K184" t="n">
        <v>0</v>
      </c>
      <c r="L184" t="n">
        <v>0</v>
      </c>
      <c r="M184" t="n">
        <v>0</v>
      </c>
      <c r="N184" t="n">
        <v>0</v>
      </c>
      <c r="O184" t="n">
        <v>0</v>
      </c>
      <c r="P184" t="n">
        <v>0</v>
      </c>
      <c r="Q184" t="n">
        <v>0</v>
      </c>
      <c r="R184" s="2" t="inlineStr"/>
    </row>
    <row r="185" ht="15" customHeight="1">
      <c r="A185" t="inlineStr">
        <is>
          <t>A 50999-2021</t>
        </is>
      </c>
      <c r="B185" s="1" t="n">
        <v>44460.85565972222</v>
      </c>
      <c r="C185" s="1" t="n">
        <v>46003</v>
      </c>
      <c r="D185" t="inlineStr">
        <is>
          <t>DALARNAS LÄN</t>
        </is>
      </c>
      <c r="E185" t="inlineStr">
        <is>
          <t>ORSA</t>
        </is>
      </c>
      <c r="G185" t="n">
        <v>3</v>
      </c>
      <c r="H185" t="n">
        <v>0</v>
      </c>
      <c r="I185" t="n">
        <v>0</v>
      </c>
      <c r="J185" t="n">
        <v>0</v>
      </c>
      <c r="K185" t="n">
        <v>0</v>
      </c>
      <c r="L185" t="n">
        <v>0</v>
      </c>
      <c r="M185" t="n">
        <v>0</v>
      </c>
      <c r="N185" t="n">
        <v>0</v>
      </c>
      <c r="O185" t="n">
        <v>0</v>
      </c>
      <c r="P185" t="n">
        <v>0</v>
      </c>
      <c r="Q185" t="n">
        <v>0</v>
      </c>
      <c r="R185" s="2" t="inlineStr"/>
    </row>
    <row r="186" ht="15" customHeight="1">
      <c r="A186" t="inlineStr">
        <is>
          <t>A 47778-2021</t>
        </is>
      </c>
      <c r="B186" s="1" t="n">
        <v>44448</v>
      </c>
      <c r="C186" s="1" t="n">
        <v>46003</v>
      </c>
      <c r="D186" t="inlineStr">
        <is>
          <t>DALARNAS LÄN</t>
        </is>
      </c>
      <c r="E186" t="inlineStr">
        <is>
          <t>ORSA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31170-2023</t>
        </is>
      </c>
      <c r="B187" s="1" t="n">
        <v>45113.84923611111</v>
      </c>
      <c r="C187" s="1" t="n">
        <v>46003</v>
      </c>
      <c r="D187" t="inlineStr">
        <is>
          <t>DALARNAS LÄN</t>
        </is>
      </c>
      <c r="E187" t="inlineStr">
        <is>
          <t>ORSA</t>
        </is>
      </c>
      <c r="G187" t="n">
        <v>2.1</v>
      </c>
      <c r="H187" t="n">
        <v>0</v>
      </c>
      <c r="I187" t="n">
        <v>0</v>
      </c>
      <c r="J187" t="n">
        <v>0</v>
      </c>
      <c r="K187" t="n">
        <v>0</v>
      </c>
      <c r="L187" t="n">
        <v>0</v>
      </c>
      <c r="M187" t="n">
        <v>0</v>
      </c>
      <c r="N187" t="n">
        <v>0</v>
      </c>
      <c r="O187" t="n">
        <v>0</v>
      </c>
      <c r="P187" t="n">
        <v>0</v>
      </c>
      <c r="Q187" t="n">
        <v>0</v>
      </c>
      <c r="R187" s="2" t="inlineStr"/>
    </row>
    <row r="188" ht="15" customHeight="1">
      <c r="A188" t="inlineStr">
        <is>
          <t>A 31171-2023</t>
        </is>
      </c>
      <c r="B188" s="1" t="n">
        <v>45113.85704861111</v>
      </c>
      <c r="C188" s="1" t="n">
        <v>46003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47564-2023</t>
        </is>
      </c>
      <c r="B189" s="1" t="n">
        <v>45203.40004629629</v>
      </c>
      <c r="C189" s="1" t="n">
        <v>46003</v>
      </c>
      <c r="D189" t="inlineStr">
        <is>
          <t>DALARNAS LÄN</t>
        </is>
      </c>
      <c r="E189" t="inlineStr">
        <is>
          <t>ORSA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46003</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10048-2023</t>
        </is>
      </c>
      <c r="B191" s="1" t="n">
        <v>44985.67237268519</v>
      </c>
      <c r="C191" s="1" t="n">
        <v>46003</v>
      </c>
      <c r="D191" t="inlineStr">
        <is>
          <t>DALARNAS LÄN</t>
        </is>
      </c>
      <c r="E191" t="inlineStr">
        <is>
          <t>ORSA</t>
        </is>
      </c>
      <c r="G191" t="n">
        <v>4.8</v>
      </c>
      <c r="H191" t="n">
        <v>0</v>
      </c>
      <c r="I191" t="n">
        <v>0</v>
      </c>
      <c r="J191" t="n">
        <v>0</v>
      </c>
      <c r="K191" t="n">
        <v>0</v>
      </c>
      <c r="L191" t="n">
        <v>0</v>
      </c>
      <c r="M191" t="n">
        <v>0</v>
      </c>
      <c r="N191" t="n">
        <v>0</v>
      </c>
      <c r="O191" t="n">
        <v>0</v>
      </c>
      <c r="P191" t="n">
        <v>0</v>
      </c>
      <c r="Q191" t="n">
        <v>0</v>
      </c>
      <c r="R191" s="2" t="inlineStr"/>
    </row>
    <row r="192" ht="15" customHeight="1">
      <c r="A192" t="inlineStr">
        <is>
          <t>A 31031-2023</t>
        </is>
      </c>
      <c r="B192" s="1" t="n">
        <v>45113</v>
      </c>
      <c r="C192" s="1" t="n">
        <v>46003</v>
      </c>
      <c r="D192" t="inlineStr">
        <is>
          <t>DALARNAS LÄN</t>
        </is>
      </c>
      <c r="E192" t="inlineStr">
        <is>
          <t>ORSA</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46003</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28388-2024</t>
        </is>
      </c>
      <c r="B194" s="1" t="n">
        <v>45477.59960648148</v>
      </c>
      <c r="C194" s="1" t="n">
        <v>46003</v>
      </c>
      <c r="D194" t="inlineStr">
        <is>
          <t>DALARNAS LÄN</t>
        </is>
      </c>
      <c r="E194" t="inlineStr">
        <is>
          <t>ORSA</t>
        </is>
      </c>
      <c r="F194" t="inlineStr">
        <is>
          <t>Bergvik skog öst AB</t>
        </is>
      </c>
      <c r="G194" t="n">
        <v>3.8</v>
      </c>
      <c r="H194" t="n">
        <v>0</v>
      </c>
      <c r="I194" t="n">
        <v>0</v>
      </c>
      <c r="J194" t="n">
        <v>0</v>
      </c>
      <c r="K194" t="n">
        <v>0</v>
      </c>
      <c r="L194" t="n">
        <v>0</v>
      </c>
      <c r="M194" t="n">
        <v>0</v>
      </c>
      <c r="N194" t="n">
        <v>0</v>
      </c>
      <c r="O194" t="n">
        <v>0</v>
      </c>
      <c r="P194" t="n">
        <v>0</v>
      </c>
      <c r="Q194" t="n">
        <v>0</v>
      </c>
      <c r="R194" s="2" t="inlineStr"/>
    </row>
    <row r="195" ht="15" customHeight="1">
      <c r="A195" t="inlineStr">
        <is>
          <t>A 597-2024</t>
        </is>
      </c>
      <c r="B195" s="1" t="n">
        <v>45299.63410879629</v>
      </c>
      <c r="C195" s="1" t="n">
        <v>46003</v>
      </c>
      <c r="D195" t="inlineStr">
        <is>
          <t>DALARNAS LÄN</t>
        </is>
      </c>
      <c r="E195" t="inlineStr">
        <is>
          <t>ORSA</t>
        </is>
      </c>
      <c r="G195" t="n">
        <v>4.4</v>
      </c>
      <c r="H195" t="n">
        <v>0</v>
      </c>
      <c r="I195" t="n">
        <v>0</v>
      </c>
      <c r="J195" t="n">
        <v>0</v>
      </c>
      <c r="K195" t="n">
        <v>0</v>
      </c>
      <c r="L195" t="n">
        <v>0</v>
      </c>
      <c r="M195" t="n">
        <v>0</v>
      </c>
      <c r="N195" t="n">
        <v>0</v>
      </c>
      <c r="O195" t="n">
        <v>0</v>
      </c>
      <c r="P195" t="n">
        <v>0</v>
      </c>
      <c r="Q195" t="n">
        <v>0</v>
      </c>
      <c r="R195" s="2" t="inlineStr"/>
    </row>
    <row r="196" ht="15" customHeight="1">
      <c r="A196" t="inlineStr">
        <is>
          <t>A 15772-2025</t>
        </is>
      </c>
      <c r="B196" s="1" t="n">
        <v>45748.59069444444</v>
      </c>
      <c r="C196" s="1" t="n">
        <v>46003</v>
      </c>
      <c r="D196" t="inlineStr">
        <is>
          <t>DALARNAS LÄN</t>
        </is>
      </c>
      <c r="E196" t="inlineStr">
        <is>
          <t>ORSA</t>
        </is>
      </c>
      <c r="F196" t="inlineStr">
        <is>
          <t>Bergvik skog öst AB</t>
        </is>
      </c>
      <c r="G196" t="n">
        <v>3.8</v>
      </c>
      <c r="H196" t="n">
        <v>0</v>
      </c>
      <c r="I196" t="n">
        <v>0</v>
      </c>
      <c r="J196" t="n">
        <v>0</v>
      </c>
      <c r="K196" t="n">
        <v>0</v>
      </c>
      <c r="L196" t="n">
        <v>0</v>
      </c>
      <c r="M196" t="n">
        <v>0</v>
      </c>
      <c r="N196" t="n">
        <v>0</v>
      </c>
      <c r="O196" t="n">
        <v>0</v>
      </c>
      <c r="P196" t="n">
        <v>0</v>
      </c>
      <c r="Q196" t="n">
        <v>0</v>
      </c>
      <c r="R196" s="2" t="inlineStr"/>
    </row>
    <row r="197" ht="15" customHeight="1">
      <c r="A197" t="inlineStr">
        <is>
          <t>A 53229-2023</t>
        </is>
      </c>
      <c r="B197" s="1" t="n">
        <v>45229.48306712963</v>
      </c>
      <c r="C197" s="1" t="n">
        <v>46003</v>
      </c>
      <c r="D197" t="inlineStr">
        <is>
          <t>DALARNAS LÄN</t>
        </is>
      </c>
      <c r="E197" t="inlineStr">
        <is>
          <t>ORSA</t>
        </is>
      </c>
      <c r="F197" t="inlineStr">
        <is>
          <t>Allmännings- och besparingsskogar</t>
        </is>
      </c>
      <c r="G197" t="n">
        <v>0.5</v>
      </c>
      <c r="H197" t="n">
        <v>0</v>
      </c>
      <c r="I197" t="n">
        <v>0</v>
      </c>
      <c r="J197" t="n">
        <v>0</v>
      </c>
      <c r="K197" t="n">
        <v>0</v>
      </c>
      <c r="L197" t="n">
        <v>0</v>
      </c>
      <c r="M197" t="n">
        <v>0</v>
      </c>
      <c r="N197" t="n">
        <v>0</v>
      </c>
      <c r="O197" t="n">
        <v>0</v>
      </c>
      <c r="P197" t="n">
        <v>0</v>
      </c>
      <c r="Q197" t="n">
        <v>0</v>
      </c>
      <c r="R197" s="2" t="inlineStr"/>
    </row>
    <row r="198" ht="15" customHeight="1">
      <c r="A198" t="inlineStr">
        <is>
          <t>A 55538-2023</t>
        </is>
      </c>
      <c r="B198" s="1" t="n">
        <v>45238.5996875</v>
      </c>
      <c r="C198" s="1" t="n">
        <v>46003</v>
      </c>
      <c r="D198" t="inlineStr">
        <is>
          <t>DALARNAS LÄN</t>
        </is>
      </c>
      <c r="E198" t="inlineStr">
        <is>
          <t>ORSA</t>
        </is>
      </c>
      <c r="G198" t="n">
        <v>0.5</v>
      </c>
      <c r="H198" t="n">
        <v>0</v>
      </c>
      <c r="I198" t="n">
        <v>0</v>
      </c>
      <c r="J198" t="n">
        <v>0</v>
      </c>
      <c r="K198" t="n">
        <v>0</v>
      </c>
      <c r="L198" t="n">
        <v>0</v>
      </c>
      <c r="M198" t="n">
        <v>0</v>
      </c>
      <c r="N198" t="n">
        <v>0</v>
      </c>
      <c r="O198" t="n">
        <v>0</v>
      </c>
      <c r="P198" t="n">
        <v>0</v>
      </c>
      <c r="Q198" t="n">
        <v>0</v>
      </c>
      <c r="R198" s="2" t="inlineStr"/>
    </row>
    <row r="199" ht="15" customHeight="1">
      <c r="A199" t="inlineStr">
        <is>
          <t>A 6492-2025</t>
        </is>
      </c>
      <c r="B199" s="1" t="n">
        <v>45699</v>
      </c>
      <c r="C199" s="1" t="n">
        <v>46003</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34169-2023</t>
        </is>
      </c>
      <c r="B200" s="1" t="n">
        <v>45138.3071412037</v>
      </c>
      <c r="C200" s="1" t="n">
        <v>46003</v>
      </c>
      <c r="D200" t="inlineStr">
        <is>
          <t>DALARNAS LÄN</t>
        </is>
      </c>
      <c r="E200" t="inlineStr">
        <is>
          <t>ORSA</t>
        </is>
      </c>
      <c r="F200" t="inlineStr">
        <is>
          <t>Allmännings- och besparingsskogar</t>
        </is>
      </c>
      <c r="G200" t="n">
        <v>0.7</v>
      </c>
      <c r="H200" t="n">
        <v>0</v>
      </c>
      <c r="I200" t="n">
        <v>0</v>
      </c>
      <c r="J200" t="n">
        <v>0</v>
      </c>
      <c r="K200" t="n">
        <v>0</v>
      </c>
      <c r="L200" t="n">
        <v>0</v>
      </c>
      <c r="M200" t="n">
        <v>0</v>
      </c>
      <c r="N200" t="n">
        <v>0</v>
      </c>
      <c r="O200" t="n">
        <v>0</v>
      </c>
      <c r="P200" t="n">
        <v>0</v>
      </c>
      <c r="Q200" t="n">
        <v>0</v>
      </c>
      <c r="R200" s="2" t="inlineStr"/>
    </row>
    <row r="201" ht="15" customHeight="1">
      <c r="A201" t="inlineStr">
        <is>
          <t>A 15113-2025</t>
        </is>
      </c>
      <c r="B201" s="1" t="n">
        <v>45744.36179398148</v>
      </c>
      <c r="C201" s="1" t="n">
        <v>46003</v>
      </c>
      <c r="D201" t="inlineStr">
        <is>
          <t>DALARNAS LÄN</t>
        </is>
      </c>
      <c r="E201" t="inlineStr">
        <is>
          <t>ORSA</t>
        </is>
      </c>
      <c r="F201" t="inlineStr">
        <is>
          <t>Allmännings- och besparingsskogar</t>
        </is>
      </c>
      <c r="G201" t="n">
        <v>3.3</v>
      </c>
      <c r="H201" t="n">
        <v>0</v>
      </c>
      <c r="I201" t="n">
        <v>0</v>
      </c>
      <c r="J201" t="n">
        <v>0</v>
      </c>
      <c r="K201" t="n">
        <v>0</v>
      </c>
      <c r="L201" t="n">
        <v>0</v>
      </c>
      <c r="M201" t="n">
        <v>0</v>
      </c>
      <c r="N201" t="n">
        <v>0</v>
      </c>
      <c r="O201" t="n">
        <v>0</v>
      </c>
      <c r="P201" t="n">
        <v>0</v>
      </c>
      <c r="Q201" t="n">
        <v>0</v>
      </c>
      <c r="R201" s="2" t="inlineStr"/>
    </row>
    <row r="202" ht="15" customHeight="1">
      <c r="A202" t="inlineStr">
        <is>
          <t>A 34708-2021</t>
        </is>
      </c>
      <c r="B202" s="1" t="n">
        <v>44382</v>
      </c>
      <c r="C202" s="1" t="n">
        <v>46003</v>
      </c>
      <c r="D202" t="inlineStr">
        <is>
          <t>DALARNAS LÄN</t>
        </is>
      </c>
      <c r="E202" t="inlineStr">
        <is>
          <t>ORSA</t>
        </is>
      </c>
      <c r="G202" t="n">
        <v>4.3</v>
      </c>
      <c r="H202" t="n">
        <v>0</v>
      </c>
      <c r="I202" t="n">
        <v>0</v>
      </c>
      <c r="J202" t="n">
        <v>0</v>
      </c>
      <c r="K202" t="n">
        <v>0</v>
      </c>
      <c r="L202" t="n">
        <v>0</v>
      </c>
      <c r="M202" t="n">
        <v>0</v>
      </c>
      <c r="N202" t="n">
        <v>0</v>
      </c>
      <c r="O202" t="n">
        <v>0</v>
      </c>
      <c r="P202" t="n">
        <v>0</v>
      </c>
      <c r="Q202" t="n">
        <v>0</v>
      </c>
      <c r="R202" s="2" t="inlineStr"/>
    </row>
    <row r="203" ht="15" customHeight="1">
      <c r="A203" t="inlineStr">
        <is>
          <t>A 13580-2025</t>
        </is>
      </c>
      <c r="B203" s="1" t="n">
        <v>45736.58362268518</v>
      </c>
      <c r="C203" s="1" t="n">
        <v>46003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61685-2024</t>
        </is>
      </c>
      <c r="B204" s="1" t="n">
        <v>45647.56972222222</v>
      </c>
      <c r="C204" s="1" t="n">
        <v>46003</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51305-2023</t>
        </is>
      </c>
      <c r="B205" s="1" t="n">
        <v>45219</v>
      </c>
      <c r="C205" s="1" t="n">
        <v>46003</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37981-2024</t>
        </is>
      </c>
      <c r="B206" s="1" t="n">
        <v>45544</v>
      </c>
      <c r="C206" s="1" t="n">
        <v>46003</v>
      </c>
      <c r="D206" t="inlineStr">
        <is>
          <t>DALARNAS LÄN</t>
        </is>
      </c>
      <c r="E206" t="inlineStr">
        <is>
          <t>ORSA</t>
        </is>
      </c>
      <c r="F206" t="inlineStr">
        <is>
          <t>Allmännings- och besparingsskogar</t>
        </is>
      </c>
      <c r="G206" t="n">
        <v>1.2</v>
      </c>
      <c r="H206" t="n">
        <v>0</v>
      </c>
      <c r="I206" t="n">
        <v>0</v>
      </c>
      <c r="J206" t="n">
        <v>0</v>
      </c>
      <c r="K206" t="n">
        <v>0</v>
      </c>
      <c r="L206" t="n">
        <v>0</v>
      </c>
      <c r="M206" t="n">
        <v>0</v>
      </c>
      <c r="N206" t="n">
        <v>0</v>
      </c>
      <c r="O206" t="n">
        <v>0</v>
      </c>
      <c r="P206" t="n">
        <v>0</v>
      </c>
      <c r="Q206" t="n">
        <v>0</v>
      </c>
      <c r="R206" s="2" t="inlineStr"/>
    </row>
    <row r="207" ht="15" customHeight="1">
      <c r="A207" t="inlineStr">
        <is>
          <t>A 37830-2024</t>
        </is>
      </c>
      <c r="B207" s="1" t="n">
        <v>45544.34504629629</v>
      </c>
      <c r="C207" s="1" t="n">
        <v>46003</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51574-2023</t>
        </is>
      </c>
      <c r="B208" s="1" t="n">
        <v>45222.45090277777</v>
      </c>
      <c r="C208" s="1" t="n">
        <v>46003</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2563-2025</t>
        </is>
      </c>
      <c r="B209" s="1" t="n">
        <v>45674.65692129629</v>
      </c>
      <c r="C209" s="1" t="n">
        <v>46003</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33488-2024</t>
        </is>
      </c>
      <c r="B210" s="1" t="n">
        <v>45519.61466435185</v>
      </c>
      <c r="C210" s="1" t="n">
        <v>46003</v>
      </c>
      <c r="D210" t="inlineStr">
        <is>
          <t>DALARNAS LÄN</t>
        </is>
      </c>
      <c r="E210" t="inlineStr">
        <is>
          <t>ORSA</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1624-2024</t>
        </is>
      </c>
      <c r="B211" s="1" t="n">
        <v>45306</v>
      </c>
      <c r="C211" s="1" t="n">
        <v>46003</v>
      </c>
      <c r="D211" t="inlineStr">
        <is>
          <t>DALARNAS LÄN</t>
        </is>
      </c>
      <c r="E211" t="inlineStr">
        <is>
          <t>ORSA</t>
        </is>
      </c>
      <c r="G211" t="n">
        <v>1.9</v>
      </c>
      <c r="H211" t="n">
        <v>0</v>
      </c>
      <c r="I211" t="n">
        <v>0</v>
      </c>
      <c r="J211" t="n">
        <v>0</v>
      </c>
      <c r="K211" t="n">
        <v>0</v>
      </c>
      <c r="L211" t="n">
        <v>0</v>
      </c>
      <c r="M211" t="n">
        <v>0</v>
      </c>
      <c r="N211" t="n">
        <v>0</v>
      </c>
      <c r="O211" t="n">
        <v>0</v>
      </c>
      <c r="P211" t="n">
        <v>0</v>
      </c>
      <c r="Q211" t="n">
        <v>0</v>
      </c>
      <c r="R211" s="2" t="inlineStr"/>
    </row>
    <row r="212" ht="15" customHeight="1">
      <c r="A212" t="inlineStr">
        <is>
          <t>A 45272-2022</t>
        </is>
      </c>
      <c r="B212" s="1" t="n">
        <v>44844</v>
      </c>
      <c r="C212" s="1" t="n">
        <v>46003</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4202-2025</t>
        </is>
      </c>
      <c r="B213" s="1" t="n">
        <v>45685.46236111111</v>
      </c>
      <c r="C213" s="1" t="n">
        <v>46003</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4204-2025</t>
        </is>
      </c>
      <c r="B214" s="1" t="n">
        <v>45685.46390046296</v>
      </c>
      <c r="C214" s="1" t="n">
        <v>46003</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19505-2022</t>
        </is>
      </c>
      <c r="B215" s="1" t="n">
        <v>44693</v>
      </c>
      <c r="C215" s="1" t="n">
        <v>46003</v>
      </c>
      <c r="D215" t="inlineStr">
        <is>
          <t>DALARNAS LÄN</t>
        </is>
      </c>
      <c r="E215" t="inlineStr">
        <is>
          <t>ORSA</t>
        </is>
      </c>
      <c r="G215" t="n">
        <v>2.7</v>
      </c>
      <c r="H215" t="n">
        <v>0</v>
      </c>
      <c r="I215" t="n">
        <v>0</v>
      </c>
      <c r="J215" t="n">
        <v>0</v>
      </c>
      <c r="K215" t="n">
        <v>0</v>
      </c>
      <c r="L215" t="n">
        <v>0</v>
      </c>
      <c r="M215" t="n">
        <v>0</v>
      </c>
      <c r="N215" t="n">
        <v>0</v>
      </c>
      <c r="O215" t="n">
        <v>0</v>
      </c>
      <c r="P215" t="n">
        <v>0</v>
      </c>
      <c r="Q215" t="n">
        <v>0</v>
      </c>
      <c r="R215" s="2" t="inlineStr"/>
    </row>
    <row r="216" ht="15" customHeight="1">
      <c r="A216" t="inlineStr">
        <is>
          <t>A 54546-2024</t>
        </is>
      </c>
      <c r="B216" s="1" t="n">
        <v>45617.61476851852</v>
      </c>
      <c r="C216" s="1" t="n">
        <v>46003</v>
      </c>
      <c r="D216" t="inlineStr">
        <is>
          <t>DALARNAS LÄN</t>
        </is>
      </c>
      <c r="E216" t="inlineStr">
        <is>
          <t>ORSA</t>
        </is>
      </c>
      <c r="G216" t="n">
        <v>0.7</v>
      </c>
      <c r="H216" t="n">
        <v>0</v>
      </c>
      <c r="I216" t="n">
        <v>0</v>
      </c>
      <c r="J216" t="n">
        <v>0</v>
      </c>
      <c r="K216" t="n">
        <v>0</v>
      </c>
      <c r="L216" t="n">
        <v>0</v>
      </c>
      <c r="M216" t="n">
        <v>0</v>
      </c>
      <c r="N216" t="n">
        <v>0</v>
      </c>
      <c r="O216" t="n">
        <v>0</v>
      </c>
      <c r="P216" t="n">
        <v>0</v>
      </c>
      <c r="Q216" t="n">
        <v>0</v>
      </c>
      <c r="R216" s="2" t="inlineStr"/>
    </row>
    <row r="217" ht="15" customHeight="1">
      <c r="A217" t="inlineStr">
        <is>
          <t>A 890-2024</t>
        </is>
      </c>
      <c r="B217" s="1" t="n">
        <v>45301.40552083333</v>
      </c>
      <c r="C217" s="1" t="n">
        <v>46003</v>
      </c>
      <c r="D217" t="inlineStr">
        <is>
          <t>DALARNAS LÄN</t>
        </is>
      </c>
      <c r="E217" t="inlineStr">
        <is>
          <t>ORSA</t>
        </is>
      </c>
      <c r="G217" t="n">
        <v>2.5</v>
      </c>
      <c r="H217" t="n">
        <v>0</v>
      </c>
      <c r="I217" t="n">
        <v>0</v>
      </c>
      <c r="J217" t="n">
        <v>0</v>
      </c>
      <c r="K217" t="n">
        <v>0</v>
      </c>
      <c r="L217" t="n">
        <v>0</v>
      </c>
      <c r="M217" t="n">
        <v>0</v>
      </c>
      <c r="N217" t="n">
        <v>0</v>
      </c>
      <c r="O217" t="n">
        <v>0</v>
      </c>
      <c r="P217" t="n">
        <v>0</v>
      </c>
      <c r="Q217" t="n">
        <v>0</v>
      </c>
      <c r="R217" s="2" t="inlineStr"/>
    </row>
    <row r="218" ht="15" customHeight="1">
      <c r="A218" t="inlineStr">
        <is>
          <t>A 15769-2025</t>
        </is>
      </c>
      <c r="B218" s="1" t="n">
        <v>45748.58792824074</v>
      </c>
      <c r="C218" s="1" t="n">
        <v>46003</v>
      </c>
      <c r="D218" t="inlineStr">
        <is>
          <t>DALARNAS LÄN</t>
        </is>
      </c>
      <c r="E218" t="inlineStr">
        <is>
          <t>ORSA</t>
        </is>
      </c>
      <c r="F218" t="inlineStr">
        <is>
          <t>Bergvik skog öst AB</t>
        </is>
      </c>
      <c r="G218" t="n">
        <v>4.7</v>
      </c>
      <c r="H218" t="n">
        <v>0</v>
      </c>
      <c r="I218" t="n">
        <v>0</v>
      </c>
      <c r="J218" t="n">
        <v>0</v>
      </c>
      <c r="K218" t="n">
        <v>0</v>
      </c>
      <c r="L218" t="n">
        <v>0</v>
      </c>
      <c r="M218" t="n">
        <v>0</v>
      </c>
      <c r="N218" t="n">
        <v>0</v>
      </c>
      <c r="O218" t="n">
        <v>0</v>
      </c>
      <c r="P218" t="n">
        <v>0</v>
      </c>
      <c r="Q218" t="n">
        <v>0</v>
      </c>
      <c r="R218" s="2" t="inlineStr"/>
    </row>
    <row r="219" ht="15" customHeight="1">
      <c r="A219" t="inlineStr">
        <is>
          <t>A 37931-2023</t>
        </is>
      </c>
      <c r="B219" s="1" t="n">
        <v>45160.51721064815</v>
      </c>
      <c r="C219" s="1" t="n">
        <v>46003</v>
      </c>
      <c r="D219" t="inlineStr">
        <is>
          <t>DALARNAS LÄN</t>
        </is>
      </c>
      <c r="E219" t="inlineStr">
        <is>
          <t>ORSA</t>
        </is>
      </c>
      <c r="G219" t="n">
        <v>2.6</v>
      </c>
      <c r="H219" t="n">
        <v>0</v>
      </c>
      <c r="I219" t="n">
        <v>0</v>
      </c>
      <c r="J219" t="n">
        <v>0</v>
      </c>
      <c r="K219" t="n">
        <v>0</v>
      </c>
      <c r="L219" t="n">
        <v>0</v>
      </c>
      <c r="M219" t="n">
        <v>0</v>
      </c>
      <c r="N219" t="n">
        <v>0</v>
      </c>
      <c r="O219" t="n">
        <v>0</v>
      </c>
      <c r="P219" t="n">
        <v>0</v>
      </c>
      <c r="Q219" t="n">
        <v>0</v>
      </c>
      <c r="R219" s="2" t="inlineStr"/>
    </row>
    <row r="220" ht="15" customHeight="1">
      <c r="A220" t="inlineStr">
        <is>
          <t>A 7628-2025</t>
        </is>
      </c>
      <c r="B220" s="1" t="n">
        <v>45705.73394675926</v>
      </c>
      <c r="C220" s="1" t="n">
        <v>46003</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15766-2025</t>
        </is>
      </c>
      <c r="B221" s="1" t="n">
        <v>45748.58409722222</v>
      </c>
      <c r="C221" s="1" t="n">
        <v>46003</v>
      </c>
      <c r="D221" t="inlineStr">
        <is>
          <t>DALARNAS LÄN</t>
        </is>
      </c>
      <c r="E221" t="inlineStr">
        <is>
          <t>ORSA</t>
        </is>
      </c>
      <c r="F221" t="inlineStr">
        <is>
          <t>Bergvik skog öst AB</t>
        </is>
      </c>
      <c r="G221" t="n">
        <v>9</v>
      </c>
      <c r="H221" t="n">
        <v>0</v>
      </c>
      <c r="I221" t="n">
        <v>0</v>
      </c>
      <c r="J221" t="n">
        <v>0</v>
      </c>
      <c r="K221" t="n">
        <v>0</v>
      </c>
      <c r="L221" t="n">
        <v>0</v>
      </c>
      <c r="M221" t="n">
        <v>0</v>
      </c>
      <c r="N221" t="n">
        <v>0</v>
      </c>
      <c r="O221" t="n">
        <v>0</v>
      </c>
      <c r="P221" t="n">
        <v>0</v>
      </c>
      <c r="Q221" t="n">
        <v>0</v>
      </c>
      <c r="R221" s="2" t="inlineStr"/>
    </row>
    <row r="222" ht="15" customHeight="1">
      <c r="A222" t="inlineStr">
        <is>
          <t>A 8579-2025</t>
        </is>
      </c>
      <c r="B222" s="1" t="n">
        <v>45709</v>
      </c>
      <c r="C222" s="1" t="n">
        <v>46003</v>
      </c>
      <c r="D222" t="inlineStr">
        <is>
          <t>DALARNAS LÄN</t>
        </is>
      </c>
      <c r="E222" t="inlineStr">
        <is>
          <t>ORSA</t>
        </is>
      </c>
      <c r="G222" t="n">
        <v>1.2</v>
      </c>
      <c r="H222" t="n">
        <v>0</v>
      </c>
      <c r="I222" t="n">
        <v>0</v>
      </c>
      <c r="J222" t="n">
        <v>0</v>
      </c>
      <c r="K222" t="n">
        <v>0</v>
      </c>
      <c r="L222" t="n">
        <v>0</v>
      </c>
      <c r="M222" t="n">
        <v>0</v>
      </c>
      <c r="N222" t="n">
        <v>0</v>
      </c>
      <c r="O222" t="n">
        <v>0</v>
      </c>
      <c r="P222" t="n">
        <v>0</v>
      </c>
      <c r="Q222" t="n">
        <v>0</v>
      </c>
      <c r="R222" s="2" t="inlineStr"/>
    </row>
    <row r="223" ht="15" customHeight="1">
      <c r="A223" t="inlineStr">
        <is>
          <t>A 6476-2025</t>
        </is>
      </c>
      <c r="B223" s="1" t="n">
        <v>45699</v>
      </c>
      <c r="C223" s="1" t="n">
        <v>46003</v>
      </c>
      <c r="D223" t="inlineStr">
        <is>
          <t>DALARNAS LÄN</t>
        </is>
      </c>
      <c r="E223" t="inlineStr">
        <is>
          <t>ORSA</t>
        </is>
      </c>
      <c r="G223" t="n">
        <v>1.2</v>
      </c>
      <c r="H223" t="n">
        <v>0</v>
      </c>
      <c r="I223" t="n">
        <v>0</v>
      </c>
      <c r="J223" t="n">
        <v>0</v>
      </c>
      <c r="K223" t="n">
        <v>0</v>
      </c>
      <c r="L223" t="n">
        <v>0</v>
      </c>
      <c r="M223" t="n">
        <v>0</v>
      </c>
      <c r="N223" t="n">
        <v>0</v>
      </c>
      <c r="O223" t="n">
        <v>0</v>
      </c>
      <c r="P223" t="n">
        <v>0</v>
      </c>
      <c r="Q223" t="n">
        <v>0</v>
      </c>
      <c r="R223" s="2" t="inlineStr"/>
    </row>
    <row r="224" ht="15" customHeight="1">
      <c r="A224" t="inlineStr">
        <is>
          <t>A 6479-2025</t>
        </is>
      </c>
      <c r="B224" s="1" t="n">
        <v>45699</v>
      </c>
      <c r="C224" s="1" t="n">
        <v>46003</v>
      </c>
      <c r="D224" t="inlineStr">
        <is>
          <t>DALARNAS LÄN</t>
        </is>
      </c>
      <c r="E224" t="inlineStr">
        <is>
          <t>ORSA</t>
        </is>
      </c>
      <c r="G224" t="n">
        <v>3.2</v>
      </c>
      <c r="H224" t="n">
        <v>0</v>
      </c>
      <c r="I224" t="n">
        <v>0</v>
      </c>
      <c r="J224" t="n">
        <v>0</v>
      </c>
      <c r="K224" t="n">
        <v>0</v>
      </c>
      <c r="L224" t="n">
        <v>0</v>
      </c>
      <c r="M224" t="n">
        <v>0</v>
      </c>
      <c r="N224" t="n">
        <v>0</v>
      </c>
      <c r="O224" t="n">
        <v>0</v>
      </c>
      <c r="P224" t="n">
        <v>0</v>
      </c>
      <c r="Q224" t="n">
        <v>0</v>
      </c>
      <c r="R224" s="2" t="inlineStr"/>
    </row>
    <row r="225" ht="15" customHeight="1">
      <c r="A225" t="inlineStr">
        <is>
          <t>A 20588-2025</t>
        </is>
      </c>
      <c r="B225" s="1" t="n">
        <v>45775</v>
      </c>
      <c r="C225" s="1" t="n">
        <v>46003</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12101-2025</t>
        </is>
      </c>
      <c r="B226" s="1" t="n">
        <v>45729.33743055556</v>
      </c>
      <c r="C226" s="1" t="n">
        <v>46003</v>
      </c>
      <c r="D226" t="inlineStr">
        <is>
          <t>DALARNAS LÄN</t>
        </is>
      </c>
      <c r="E226" t="inlineStr">
        <is>
          <t>ORSA</t>
        </is>
      </c>
      <c r="G226" t="n">
        <v>1</v>
      </c>
      <c r="H226" t="n">
        <v>0</v>
      </c>
      <c r="I226" t="n">
        <v>0</v>
      </c>
      <c r="J226" t="n">
        <v>0</v>
      </c>
      <c r="K226" t="n">
        <v>0</v>
      </c>
      <c r="L226" t="n">
        <v>0</v>
      </c>
      <c r="M226" t="n">
        <v>0</v>
      </c>
      <c r="N226" t="n">
        <v>0</v>
      </c>
      <c r="O226" t="n">
        <v>0</v>
      </c>
      <c r="P226" t="n">
        <v>0</v>
      </c>
      <c r="Q226" t="n">
        <v>0</v>
      </c>
      <c r="R226" s="2" t="inlineStr"/>
    </row>
    <row r="227" ht="15" customHeight="1">
      <c r="A227" t="inlineStr">
        <is>
          <t>A 29499-2024</t>
        </is>
      </c>
      <c r="B227" s="1" t="n">
        <v>45484</v>
      </c>
      <c r="C227" s="1" t="n">
        <v>46003</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5921-2025</t>
        </is>
      </c>
      <c r="B228" s="1" t="n">
        <v>45695</v>
      </c>
      <c r="C228" s="1" t="n">
        <v>46003</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7626-2025</t>
        </is>
      </c>
      <c r="B229" s="1" t="n">
        <v>45705.72799768519</v>
      </c>
      <c r="C229" s="1" t="n">
        <v>46003</v>
      </c>
      <c r="D229" t="inlineStr">
        <is>
          <t>DALARNAS LÄN</t>
        </is>
      </c>
      <c r="E229" t="inlineStr">
        <is>
          <t>ORSA</t>
        </is>
      </c>
      <c r="G229" t="n">
        <v>15.5</v>
      </c>
      <c r="H229" t="n">
        <v>0</v>
      </c>
      <c r="I229" t="n">
        <v>0</v>
      </c>
      <c r="J229" t="n">
        <v>0</v>
      </c>
      <c r="K229" t="n">
        <v>0</v>
      </c>
      <c r="L229" t="n">
        <v>0</v>
      </c>
      <c r="M229" t="n">
        <v>0</v>
      </c>
      <c r="N229" t="n">
        <v>0</v>
      </c>
      <c r="O229" t="n">
        <v>0</v>
      </c>
      <c r="P229" t="n">
        <v>0</v>
      </c>
      <c r="Q229" t="n">
        <v>0</v>
      </c>
      <c r="R229" s="2" t="inlineStr"/>
    </row>
    <row r="230" ht="15" customHeight="1">
      <c r="A230" t="inlineStr">
        <is>
          <t>A 50392-2024</t>
        </is>
      </c>
      <c r="B230" s="1" t="n">
        <v>45601.33789351852</v>
      </c>
      <c r="C230" s="1" t="n">
        <v>46003</v>
      </c>
      <c r="D230" t="inlineStr">
        <is>
          <t>DALARNAS LÄN</t>
        </is>
      </c>
      <c r="E230" t="inlineStr">
        <is>
          <t>ORSA</t>
        </is>
      </c>
      <c r="G230" t="n">
        <v>0.5</v>
      </c>
      <c r="H230" t="n">
        <v>0</v>
      </c>
      <c r="I230" t="n">
        <v>0</v>
      </c>
      <c r="J230" t="n">
        <v>0</v>
      </c>
      <c r="K230" t="n">
        <v>0</v>
      </c>
      <c r="L230" t="n">
        <v>0</v>
      </c>
      <c r="M230" t="n">
        <v>0</v>
      </c>
      <c r="N230" t="n">
        <v>0</v>
      </c>
      <c r="O230" t="n">
        <v>0</v>
      </c>
      <c r="P230" t="n">
        <v>0</v>
      </c>
      <c r="Q230" t="n">
        <v>0</v>
      </c>
      <c r="R230" s="2" t="inlineStr"/>
    </row>
    <row r="231" ht="15" customHeight="1">
      <c r="A231" t="inlineStr">
        <is>
          <t>A 61277-2023</t>
        </is>
      </c>
      <c r="B231" s="1" t="n">
        <v>45264.52465277778</v>
      </c>
      <c r="C231" s="1" t="n">
        <v>46003</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20808-2025</t>
        </is>
      </c>
      <c r="B232" s="1" t="n">
        <v>45776</v>
      </c>
      <c r="C232" s="1" t="n">
        <v>46003</v>
      </c>
      <c r="D232" t="inlineStr">
        <is>
          <t>DALARNAS LÄN</t>
        </is>
      </c>
      <c r="E232" t="inlineStr">
        <is>
          <t>ORSA</t>
        </is>
      </c>
      <c r="F232" t="inlineStr">
        <is>
          <t>Bergvik skog väst AB</t>
        </is>
      </c>
      <c r="G232" t="n">
        <v>14.3</v>
      </c>
      <c r="H232" t="n">
        <v>0</v>
      </c>
      <c r="I232" t="n">
        <v>0</v>
      </c>
      <c r="J232" t="n">
        <v>0</v>
      </c>
      <c r="K232" t="n">
        <v>0</v>
      </c>
      <c r="L232" t="n">
        <v>0</v>
      </c>
      <c r="M232" t="n">
        <v>0</v>
      </c>
      <c r="N232" t="n">
        <v>0</v>
      </c>
      <c r="O232" t="n">
        <v>0</v>
      </c>
      <c r="P232" t="n">
        <v>0</v>
      </c>
      <c r="Q232" t="n">
        <v>0</v>
      </c>
      <c r="R232" s="2" t="inlineStr"/>
    </row>
    <row r="233" ht="15" customHeight="1">
      <c r="A233" t="inlineStr">
        <is>
          <t>A 26301-2023</t>
        </is>
      </c>
      <c r="B233" s="1" t="n">
        <v>45091</v>
      </c>
      <c r="C233" s="1" t="n">
        <v>46003</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19108-2025</t>
        </is>
      </c>
      <c r="B234" s="1" t="n">
        <v>45768</v>
      </c>
      <c r="C234" s="1" t="n">
        <v>46003</v>
      </c>
      <c r="D234" t="inlineStr">
        <is>
          <t>DALARNAS LÄN</t>
        </is>
      </c>
      <c r="E234" t="inlineStr">
        <is>
          <t>ORSA</t>
        </is>
      </c>
      <c r="F234" t="inlineStr">
        <is>
          <t>Bergvik skog väst AB</t>
        </is>
      </c>
      <c r="G234" t="n">
        <v>14.3</v>
      </c>
      <c r="H234" t="n">
        <v>0</v>
      </c>
      <c r="I234" t="n">
        <v>0</v>
      </c>
      <c r="J234" t="n">
        <v>0</v>
      </c>
      <c r="K234" t="n">
        <v>0</v>
      </c>
      <c r="L234" t="n">
        <v>0</v>
      </c>
      <c r="M234" t="n">
        <v>0</v>
      </c>
      <c r="N234" t="n">
        <v>0</v>
      </c>
      <c r="O234" t="n">
        <v>0</v>
      </c>
      <c r="P234" t="n">
        <v>0</v>
      </c>
      <c r="Q234" t="n">
        <v>0</v>
      </c>
      <c r="R234" s="2" t="inlineStr"/>
    </row>
    <row r="235" ht="15" customHeight="1">
      <c r="A235" t="inlineStr">
        <is>
          <t>A 33265-2021</t>
        </is>
      </c>
      <c r="B235" s="1" t="n">
        <v>44377</v>
      </c>
      <c r="C235" s="1" t="n">
        <v>46003</v>
      </c>
      <c r="D235" t="inlineStr">
        <is>
          <t>DALARNAS LÄN</t>
        </is>
      </c>
      <c r="E235" t="inlineStr">
        <is>
          <t>ORSA</t>
        </is>
      </c>
      <c r="G235" t="n">
        <v>1.9</v>
      </c>
      <c r="H235" t="n">
        <v>0</v>
      </c>
      <c r="I235" t="n">
        <v>0</v>
      </c>
      <c r="J235" t="n">
        <v>0</v>
      </c>
      <c r="K235" t="n">
        <v>0</v>
      </c>
      <c r="L235" t="n">
        <v>0</v>
      </c>
      <c r="M235" t="n">
        <v>0</v>
      </c>
      <c r="N235" t="n">
        <v>0</v>
      </c>
      <c r="O235" t="n">
        <v>0</v>
      </c>
      <c r="P235" t="n">
        <v>0</v>
      </c>
      <c r="Q235" t="n">
        <v>0</v>
      </c>
      <c r="R235" s="2" t="inlineStr"/>
    </row>
    <row r="236" ht="15" customHeight="1">
      <c r="A236" t="inlineStr">
        <is>
          <t>A 17518-2025</t>
        </is>
      </c>
      <c r="B236" s="1" t="n">
        <v>45757.57597222222</v>
      </c>
      <c r="C236" s="1" t="n">
        <v>46003</v>
      </c>
      <c r="D236" t="inlineStr">
        <is>
          <t>DALARNAS LÄN</t>
        </is>
      </c>
      <c r="E236" t="inlineStr">
        <is>
          <t>ORSA</t>
        </is>
      </c>
      <c r="F236" t="inlineStr">
        <is>
          <t>Bergvik skog öst AB</t>
        </is>
      </c>
      <c r="G236" t="n">
        <v>7.3</v>
      </c>
      <c r="H236" t="n">
        <v>0</v>
      </c>
      <c r="I236" t="n">
        <v>0</v>
      </c>
      <c r="J236" t="n">
        <v>0</v>
      </c>
      <c r="K236" t="n">
        <v>0</v>
      </c>
      <c r="L236" t="n">
        <v>0</v>
      </c>
      <c r="M236" t="n">
        <v>0</v>
      </c>
      <c r="N236" t="n">
        <v>0</v>
      </c>
      <c r="O236" t="n">
        <v>0</v>
      </c>
      <c r="P236" t="n">
        <v>0</v>
      </c>
      <c r="Q236" t="n">
        <v>0</v>
      </c>
      <c r="R236" s="2" t="inlineStr"/>
    </row>
    <row r="237" ht="15" customHeight="1">
      <c r="A237" t="inlineStr">
        <is>
          <t>A 49781-2023</t>
        </is>
      </c>
      <c r="B237" s="1" t="n">
        <v>45212.60275462963</v>
      </c>
      <c r="C237" s="1" t="n">
        <v>46003</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49814-2023</t>
        </is>
      </c>
      <c r="B238" s="1" t="n">
        <v>45212.67149305555</v>
      </c>
      <c r="C238" s="1" t="n">
        <v>46003</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593-2024</t>
        </is>
      </c>
      <c r="B239" s="1" t="n">
        <v>45299.63049768518</v>
      </c>
      <c r="C239" s="1" t="n">
        <v>46003</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5435-2025</t>
        </is>
      </c>
      <c r="B240" s="1" t="n">
        <v>45692</v>
      </c>
      <c r="C240" s="1" t="n">
        <v>46003</v>
      </c>
      <c r="D240" t="inlineStr">
        <is>
          <t>DALARNAS LÄN</t>
        </is>
      </c>
      <c r="E240" t="inlineStr">
        <is>
          <t>ORSA</t>
        </is>
      </c>
      <c r="G240" t="n">
        <v>7.8</v>
      </c>
      <c r="H240" t="n">
        <v>0</v>
      </c>
      <c r="I240" t="n">
        <v>0</v>
      </c>
      <c r="J240" t="n">
        <v>0</v>
      </c>
      <c r="K240" t="n">
        <v>0</v>
      </c>
      <c r="L240" t="n">
        <v>0</v>
      </c>
      <c r="M240" t="n">
        <v>0</v>
      </c>
      <c r="N240" t="n">
        <v>0</v>
      </c>
      <c r="O240" t="n">
        <v>0</v>
      </c>
      <c r="P240" t="n">
        <v>0</v>
      </c>
      <c r="Q240" t="n">
        <v>0</v>
      </c>
      <c r="R240" s="2" t="inlineStr"/>
    </row>
    <row r="241" ht="15" customHeight="1">
      <c r="A241" t="inlineStr">
        <is>
          <t>A 47579-2023</t>
        </is>
      </c>
      <c r="B241" s="1" t="n">
        <v>45203.42181712963</v>
      </c>
      <c r="C241" s="1" t="n">
        <v>46003</v>
      </c>
      <c r="D241" t="inlineStr">
        <is>
          <t>DALARNAS LÄN</t>
        </is>
      </c>
      <c r="E241" t="inlineStr">
        <is>
          <t>ORSA</t>
        </is>
      </c>
      <c r="G241" t="n">
        <v>2.9</v>
      </c>
      <c r="H241" t="n">
        <v>0</v>
      </c>
      <c r="I241" t="n">
        <v>0</v>
      </c>
      <c r="J241" t="n">
        <v>0</v>
      </c>
      <c r="K241" t="n">
        <v>0</v>
      </c>
      <c r="L241" t="n">
        <v>0</v>
      </c>
      <c r="M241" t="n">
        <v>0</v>
      </c>
      <c r="N241" t="n">
        <v>0</v>
      </c>
      <c r="O241" t="n">
        <v>0</v>
      </c>
      <c r="P241" t="n">
        <v>0</v>
      </c>
      <c r="Q241" t="n">
        <v>0</v>
      </c>
      <c r="R241" s="2" t="inlineStr"/>
    </row>
    <row r="242" ht="15" customHeight="1">
      <c r="A242" t="inlineStr">
        <is>
          <t>A 4553-2025</t>
        </is>
      </c>
      <c r="B242" s="1" t="n">
        <v>45687.42143518518</v>
      </c>
      <c r="C242" s="1" t="n">
        <v>46003</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67755-2020</t>
        </is>
      </c>
      <c r="B243" s="1" t="n">
        <v>44182</v>
      </c>
      <c r="C243" s="1" t="n">
        <v>46003</v>
      </c>
      <c r="D243" t="inlineStr">
        <is>
          <t>DALARNAS LÄN</t>
        </is>
      </c>
      <c r="E243" t="inlineStr">
        <is>
          <t>ORSA</t>
        </is>
      </c>
      <c r="G243" t="n">
        <v>7.5</v>
      </c>
      <c r="H243" t="n">
        <v>0</v>
      </c>
      <c r="I243" t="n">
        <v>0</v>
      </c>
      <c r="J243" t="n">
        <v>0</v>
      </c>
      <c r="K243" t="n">
        <v>0</v>
      </c>
      <c r="L243" t="n">
        <v>0</v>
      </c>
      <c r="M243" t="n">
        <v>0</v>
      </c>
      <c r="N243" t="n">
        <v>0</v>
      </c>
      <c r="O243" t="n">
        <v>0</v>
      </c>
      <c r="P243" t="n">
        <v>0</v>
      </c>
      <c r="Q243" t="n">
        <v>0</v>
      </c>
      <c r="R243" s="2" t="inlineStr"/>
    </row>
    <row r="244" ht="15" customHeight="1">
      <c r="A244" t="inlineStr">
        <is>
          <t>A 67834-2020</t>
        </is>
      </c>
      <c r="B244" s="1" t="n">
        <v>44182</v>
      </c>
      <c r="C244" s="1" t="n">
        <v>46003</v>
      </c>
      <c r="D244" t="inlineStr">
        <is>
          <t>DALARNAS LÄN</t>
        </is>
      </c>
      <c r="E244" t="inlineStr">
        <is>
          <t>ORSA</t>
        </is>
      </c>
      <c r="G244" t="n">
        <v>4</v>
      </c>
      <c r="H244" t="n">
        <v>0</v>
      </c>
      <c r="I244" t="n">
        <v>0</v>
      </c>
      <c r="J244" t="n">
        <v>0</v>
      </c>
      <c r="K244" t="n">
        <v>0</v>
      </c>
      <c r="L244" t="n">
        <v>0</v>
      </c>
      <c r="M244" t="n">
        <v>0</v>
      </c>
      <c r="N244" t="n">
        <v>0</v>
      </c>
      <c r="O244" t="n">
        <v>0</v>
      </c>
      <c r="P244" t="n">
        <v>0</v>
      </c>
      <c r="Q244" t="n">
        <v>0</v>
      </c>
      <c r="R244" s="2" t="inlineStr"/>
    </row>
    <row r="245" ht="15" customHeight="1">
      <c r="A245" t="inlineStr">
        <is>
          <t>A 29025-2023</t>
        </is>
      </c>
      <c r="B245" s="1" t="n">
        <v>45104.70399305555</v>
      </c>
      <c r="C245" s="1" t="n">
        <v>46003</v>
      </c>
      <c r="D245" t="inlineStr">
        <is>
          <t>DALARNAS LÄN</t>
        </is>
      </c>
      <c r="E245" t="inlineStr">
        <is>
          <t>ORSA</t>
        </is>
      </c>
      <c r="G245" t="n">
        <v>6.6</v>
      </c>
      <c r="H245" t="n">
        <v>0</v>
      </c>
      <c r="I245" t="n">
        <v>0</v>
      </c>
      <c r="J245" t="n">
        <v>0</v>
      </c>
      <c r="K245" t="n">
        <v>0</v>
      </c>
      <c r="L245" t="n">
        <v>0</v>
      </c>
      <c r="M245" t="n">
        <v>0</v>
      </c>
      <c r="N245" t="n">
        <v>0</v>
      </c>
      <c r="O245" t="n">
        <v>0</v>
      </c>
      <c r="P245" t="n">
        <v>0</v>
      </c>
      <c r="Q245" t="n">
        <v>0</v>
      </c>
      <c r="R245" s="2" t="inlineStr"/>
    </row>
    <row r="246" ht="15" customHeight="1">
      <c r="A246" t="inlineStr">
        <is>
          <t>A 112-2021</t>
        </is>
      </c>
      <c r="B246" s="1" t="n">
        <v>44200</v>
      </c>
      <c r="C246" s="1" t="n">
        <v>46003</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6939-2021</t>
        </is>
      </c>
      <c r="B247" s="1" t="n">
        <v>44237</v>
      </c>
      <c r="C247" s="1" t="n">
        <v>46003</v>
      </c>
      <c r="D247" t="inlineStr">
        <is>
          <t>DALARNAS LÄN</t>
        </is>
      </c>
      <c r="E247" t="inlineStr">
        <is>
          <t>ORSA</t>
        </is>
      </c>
      <c r="F247" t="inlineStr">
        <is>
          <t>Övriga statliga verk och myndigheter</t>
        </is>
      </c>
      <c r="G247" t="n">
        <v>1.5</v>
      </c>
      <c r="H247" t="n">
        <v>0</v>
      </c>
      <c r="I247" t="n">
        <v>0</v>
      </c>
      <c r="J247" t="n">
        <v>0</v>
      </c>
      <c r="K247" t="n">
        <v>0</v>
      </c>
      <c r="L247" t="n">
        <v>0</v>
      </c>
      <c r="M247" t="n">
        <v>0</v>
      </c>
      <c r="N247" t="n">
        <v>0</v>
      </c>
      <c r="O247" t="n">
        <v>0</v>
      </c>
      <c r="P247" t="n">
        <v>0</v>
      </c>
      <c r="Q247" t="n">
        <v>0</v>
      </c>
      <c r="R247" s="2" t="inlineStr"/>
    </row>
    <row r="248" ht="15" customHeight="1">
      <c r="A248" t="inlineStr">
        <is>
          <t>A 47732-2022</t>
        </is>
      </c>
      <c r="B248" s="1" t="n">
        <v>44854.63668981481</v>
      </c>
      <c r="C248" s="1" t="n">
        <v>46003</v>
      </c>
      <c r="D248" t="inlineStr">
        <is>
          <t>DALARNAS LÄN</t>
        </is>
      </c>
      <c r="E248" t="inlineStr">
        <is>
          <t>ORSA</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52033-2023</t>
        </is>
      </c>
      <c r="B249" s="1" t="n">
        <v>45223.62680555556</v>
      </c>
      <c r="C249" s="1" t="n">
        <v>46003</v>
      </c>
      <c r="D249" t="inlineStr">
        <is>
          <t>DALARNAS LÄN</t>
        </is>
      </c>
      <c r="E249" t="inlineStr">
        <is>
          <t>ORSA</t>
        </is>
      </c>
      <c r="G249" t="n">
        <v>11.5</v>
      </c>
      <c r="H249" t="n">
        <v>0</v>
      </c>
      <c r="I249" t="n">
        <v>0</v>
      </c>
      <c r="J249" t="n">
        <v>0</v>
      </c>
      <c r="K249" t="n">
        <v>0</v>
      </c>
      <c r="L249" t="n">
        <v>0</v>
      </c>
      <c r="M249" t="n">
        <v>0</v>
      </c>
      <c r="N249" t="n">
        <v>0</v>
      </c>
      <c r="O249" t="n">
        <v>0</v>
      </c>
      <c r="P249" t="n">
        <v>0</v>
      </c>
      <c r="Q249" t="n">
        <v>0</v>
      </c>
      <c r="R249" s="2" t="inlineStr"/>
    </row>
    <row r="250" ht="15" customHeight="1">
      <c r="A250" t="inlineStr">
        <is>
          <t>A 61279-2023</t>
        </is>
      </c>
      <c r="B250" s="1" t="n">
        <v>45264.5270949074</v>
      </c>
      <c r="C250" s="1" t="n">
        <v>46003</v>
      </c>
      <c r="D250" t="inlineStr">
        <is>
          <t>DALARNAS LÄN</t>
        </is>
      </c>
      <c r="E250" t="inlineStr">
        <is>
          <t>ORSA</t>
        </is>
      </c>
      <c r="G250" t="n">
        <v>0.2</v>
      </c>
      <c r="H250" t="n">
        <v>0</v>
      </c>
      <c r="I250" t="n">
        <v>0</v>
      </c>
      <c r="J250" t="n">
        <v>0</v>
      </c>
      <c r="K250" t="n">
        <v>0</v>
      </c>
      <c r="L250" t="n">
        <v>0</v>
      </c>
      <c r="M250" t="n">
        <v>0</v>
      </c>
      <c r="N250" t="n">
        <v>0</v>
      </c>
      <c r="O250" t="n">
        <v>0</v>
      </c>
      <c r="P250" t="n">
        <v>0</v>
      </c>
      <c r="Q250" t="n">
        <v>0</v>
      </c>
      <c r="R250" s="2" t="inlineStr"/>
    </row>
    <row r="251" ht="15" customHeight="1">
      <c r="A251" t="inlineStr">
        <is>
          <t>A 23461-2023</t>
        </is>
      </c>
      <c r="B251" s="1" t="n">
        <v>45076</v>
      </c>
      <c r="C251" s="1" t="n">
        <v>46003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18037-2023</t>
        </is>
      </c>
      <c r="B252" s="1" t="n">
        <v>45040</v>
      </c>
      <c r="C252" s="1" t="n">
        <v>46003</v>
      </c>
      <c r="D252" t="inlineStr">
        <is>
          <t>DALARNAS LÄN</t>
        </is>
      </c>
      <c r="E252" t="inlineStr">
        <is>
          <t>ORSA</t>
        </is>
      </c>
      <c r="G252" t="n">
        <v>6.6</v>
      </c>
      <c r="H252" t="n">
        <v>0</v>
      </c>
      <c r="I252" t="n">
        <v>0</v>
      </c>
      <c r="J252" t="n">
        <v>0</v>
      </c>
      <c r="K252" t="n">
        <v>0</v>
      </c>
      <c r="L252" t="n">
        <v>0</v>
      </c>
      <c r="M252" t="n">
        <v>0</v>
      </c>
      <c r="N252" t="n">
        <v>0</v>
      </c>
      <c r="O252" t="n">
        <v>0</v>
      </c>
      <c r="P252" t="n">
        <v>0</v>
      </c>
      <c r="Q252" t="n">
        <v>0</v>
      </c>
      <c r="R252" s="2" t="inlineStr"/>
    </row>
    <row r="253" ht="15" customHeight="1">
      <c r="A253" t="inlineStr">
        <is>
          <t>A 51001-2021</t>
        </is>
      </c>
      <c r="B253" s="1" t="n">
        <v>44460.86221064815</v>
      </c>
      <c r="C253" s="1" t="n">
        <v>46003</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25761-2021</t>
        </is>
      </c>
      <c r="B254" s="1" t="n">
        <v>44343</v>
      </c>
      <c r="C254" s="1" t="n">
        <v>46003</v>
      </c>
      <c r="D254" t="inlineStr">
        <is>
          <t>DALARNAS LÄN</t>
        </is>
      </c>
      <c r="E254" t="inlineStr">
        <is>
          <t>ORSA</t>
        </is>
      </c>
      <c r="G254" t="n">
        <v>3.4</v>
      </c>
      <c r="H254" t="n">
        <v>0</v>
      </c>
      <c r="I254" t="n">
        <v>0</v>
      </c>
      <c r="J254" t="n">
        <v>0</v>
      </c>
      <c r="K254" t="n">
        <v>0</v>
      </c>
      <c r="L254" t="n">
        <v>0</v>
      </c>
      <c r="M254" t="n">
        <v>0</v>
      </c>
      <c r="N254" t="n">
        <v>0</v>
      </c>
      <c r="O254" t="n">
        <v>0</v>
      </c>
      <c r="P254" t="n">
        <v>0</v>
      </c>
      <c r="Q254" t="n">
        <v>0</v>
      </c>
      <c r="R254" s="2" t="inlineStr"/>
    </row>
    <row r="255" ht="15" customHeight="1">
      <c r="A255" t="inlineStr">
        <is>
          <t>A 47732-2021</t>
        </is>
      </c>
      <c r="B255" s="1" t="n">
        <v>44448.52815972222</v>
      </c>
      <c r="C255" s="1" t="n">
        <v>46003</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15114-2025</t>
        </is>
      </c>
      <c r="B256" s="1" t="n">
        <v>45744.36232638889</v>
      </c>
      <c r="C256" s="1" t="n">
        <v>46003</v>
      </c>
      <c r="D256" t="inlineStr">
        <is>
          <t>DALARNAS LÄN</t>
        </is>
      </c>
      <c r="E256" t="inlineStr">
        <is>
          <t>ORSA</t>
        </is>
      </c>
      <c r="F256" t="inlineStr">
        <is>
          <t>Allmännings- och besparingsskogar</t>
        </is>
      </c>
      <c r="G256" t="n">
        <v>1.9</v>
      </c>
      <c r="H256" t="n">
        <v>0</v>
      </c>
      <c r="I256" t="n">
        <v>0</v>
      </c>
      <c r="J256" t="n">
        <v>0</v>
      </c>
      <c r="K256" t="n">
        <v>0</v>
      </c>
      <c r="L256" t="n">
        <v>0</v>
      </c>
      <c r="M256" t="n">
        <v>0</v>
      </c>
      <c r="N256" t="n">
        <v>0</v>
      </c>
      <c r="O256" t="n">
        <v>0</v>
      </c>
      <c r="P256" t="n">
        <v>0</v>
      </c>
      <c r="Q256" t="n">
        <v>0</v>
      </c>
      <c r="R256" s="2" t="inlineStr"/>
    </row>
    <row r="257" ht="15" customHeight="1">
      <c r="A257" t="inlineStr">
        <is>
          <t>A 67189-2020</t>
        </is>
      </c>
      <c r="B257" s="1" t="n">
        <v>44180</v>
      </c>
      <c r="C257" s="1" t="n">
        <v>46003</v>
      </c>
      <c r="D257" t="inlineStr">
        <is>
          <t>DALARNAS LÄN</t>
        </is>
      </c>
      <c r="E257" t="inlineStr">
        <is>
          <t>ORSA</t>
        </is>
      </c>
      <c r="F257" t="inlineStr">
        <is>
          <t>Allmännings- och besparingsskogar</t>
        </is>
      </c>
      <c r="G257" t="n">
        <v>5</v>
      </c>
      <c r="H257" t="n">
        <v>0</v>
      </c>
      <c r="I257" t="n">
        <v>0</v>
      </c>
      <c r="J257" t="n">
        <v>0</v>
      </c>
      <c r="K257" t="n">
        <v>0</v>
      </c>
      <c r="L257" t="n">
        <v>0</v>
      </c>
      <c r="M257" t="n">
        <v>0</v>
      </c>
      <c r="N257" t="n">
        <v>0</v>
      </c>
      <c r="O257" t="n">
        <v>0</v>
      </c>
      <c r="P257" t="n">
        <v>0</v>
      </c>
      <c r="Q257" t="n">
        <v>0</v>
      </c>
      <c r="R257" s="2" t="inlineStr"/>
    </row>
    <row r="258" ht="15" customHeight="1">
      <c r="A258" t="inlineStr">
        <is>
          <t>A 61698-2022</t>
        </is>
      </c>
      <c r="B258" s="1" t="n">
        <v>44917.40038194445</v>
      </c>
      <c r="C258" s="1" t="n">
        <v>46003</v>
      </c>
      <c r="D258" t="inlineStr">
        <is>
          <t>DALARNAS LÄN</t>
        </is>
      </c>
      <c r="E258" t="inlineStr">
        <is>
          <t>ORSA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37893-2025</t>
        </is>
      </c>
      <c r="B259" s="1" t="n">
        <v>45881.54469907407</v>
      </c>
      <c r="C259" s="1" t="n">
        <v>46003</v>
      </c>
      <c r="D259" t="inlineStr">
        <is>
          <t>DALARNAS LÄN</t>
        </is>
      </c>
      <c r="E259" t="inlineStr">
        <is>
          <t>ORSA</t>
        </is>
      </c>
      <c r="G259" t="n">
        <v>4.4</v>
      </c>
      <c r="H259" t="n">
        <v>0</v>
      </c>
      <c r="I259" t="n">
        <v>0</v>
      </c>
      <c r="J259" t="n">
        <v>0</v>
      </c>
      <c r="K259" t="n">
        <v>0</v>
      </c>
      <c r="L259" t="n">
        <v>0</v>
      </c>
      <c r="M259" t="n">
        <v>0</v>
      </c>
      <c r="N259" t="n">
        <v>0</v>
      </c>
      <c r="O259" t="n">
        <v>0</v>
      </c>
      <c r="P259" t="n">
        <v>0</v>
      </c>
      <c r="Q259" t="n">
        <v>0</v>
      </c>
      <c r="R259" s="2" t="inlineStr"/>
    </row>
    <row r="260" ht="15" customHeight="1">
      <c r="A260" t="inlineStr">
        <is>
          <t>A 37906-2025</t>
        </is>
      </c>
      <c r="B260" s="1" t="n">
        <v>45881.56803240741</v>
      </c>
      <c r="C260" s="1" t="n">
        <v>46003</v>
      </c>
      <c r="D260" t="inlineStr">
        <is>
          <t>DALARNAS LÄN</t>
        </is>
      </c>
      <c r="E260" t="inlineStr">
        <is>
          <t>ORSA</t>
        </is>
      </c>
      <c r="G260" t="n">
        <v>1</v>
      </c>
      <c r="H260" t="n">
        <v>0</v>
      </c>
      <c r="I260" t="n">
        <v>0</v>
      </c>
      <c r="J260" t="n">
        <v>0</v>
      </c>
      <c r="K260" t="n">
        <v>0</v>
      </c>
      <c r="L260" t="n">
        <v>0</v>
      </c>
      <c r="M260" t="n">
        <v>0</v>
      </c>
      <c r="N260" t="n">
        <v>0</v>
      </c>
      <c r="O260" t="n">
        <v>0</v>
      </c>
      <c r="P260" t="n">
        <v>0</v>
      </c>
      <c r="Q260" t="n">
        <v>0</v>
      </c>
      <c r="R260" s="2" t="inlineStr"/>
    </row>
    <row r="261" ht="15" customHeight="1">
      <c r="A261" t="inlineStr">
        <is>
          <t>A 60189-2022</t>
        </is>
      </c>
      <c r="B261" s="1" t="n">
        <v>44910.36798611111</v>
      </c>
      <c r="C261" s="1" t="n">
        <v>46003</v>
      </c>
      <c r="D261" t="inlineStr">
        <is>
          <t>DALARNAS LÄN</t>
        </is>
      </c>
      <c r="E261" t="inlineStr">
        <is>
          <t>ORSA</t>
        </is>
      </c>
      <c r="F261" t="inlineStr">
        <is>
          <t>Bergvik skog öst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17508-2025</t>
        </is>
      </c>
      <c r="B262" s="1" t="n">
        <v>45757.55929398148</v>
      </c>
      <c r="C262" s="1" t="n">
        <v>46003</v>
      </c>
      <c r="D262" t="inlineStr">
        <is>
          <t>DALARNAS LÄN</t>
        </is>
      </c>
      <c r="E262" t="inlineStr">
        <is>
          <t>ORSA</t>
        </is>
      </c>
      <c r="F262" t="inlineStr">
        <is>
          <t>Bergvik skog öst AB</t>
        </is>
      </c>
      <c r="G262" t="n">
        <v>9.4</v>
      </c>
      <c r="H262" t="n">
        <v>0</v>
      </c>
      <c r="I262" t="n">
        <v>0</v>
      </c>
      <c r="J262" t="n">
        <v>0</v>
      </c>
      <c r="K262" t="n">
        <v>0</v>
      </c>
      <c r="L262" t="n">
        <v>0</v>
      </c>
      <c r="M262" t="n">
        <v>0</v>
      </c>
      <c r="N262" t="n">
        <v>0</v>
      </c>
      <c r="O262" t="n">
        <v>0</v>
      </c>
      <c r="P262" t="n">
        <v>0</v>
      </c>
      <c r="Q262" t="n">
        <v>0</v>
      </c>
      <c r="R262" s="2" t="inlineStr"/>
    </row>
    <row r="263" ht="15" customHeight="1">
      <c r="A263" t="inlineStr">
        <is>
          <t>A 63917-2023</t>
        </is>
      </c>
      <c r="B263" s="1" t="n">
        <v>45278</v>
      </c>
      <c r="C263" s="1" t="n">
        <v>46003</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55534-2023</t>
        </is>
      </c>
      <c r="B264" s="1" t="n">
        <v>45238</v>
      </c>
      <c r="C264" s="1" t="n">
        <v>46003</v>
      </c>
      <c r="D264" t="inlineStr">
        <is>
          <t>DALARNAS LÄN</t>
        </is>
      </c>
      <c r="E264" t="inlineStr">
        <is>
          <t>ORSA</t>
        </is>
      </c>
      <c r="G264" t="n">
        <v>0.8</v>
      </c>
      <c r="H264" t="n">
        <v>0</v>
      </c>
      <c r="I264" t="n">
        <v>0</v>
      </c>
      <c r="J264" t="n">
        <v>0</v>
      </c>
      <c r="K264" t="n">
        <v>0</v>
      </c>
      <c r="L264" t="n">
        <v>0</v>
      </c>
      <c r="M264" t="n">
        <v>0</v>
      </c>
      <c r="N264" t="n">
        <v>0</v>
      </c>
      <c r="O264" t="n">
        <v>0</v>
      </c>
      <c r="P264" t="n">
        <v>0</v>
      </c>
      <c r="Q264" t="n">
        <v>0</v>
      </c>
      <c r="R264" s="2" t="inlineStr"/>
    </row>
    <row r="265" ht="15" customHeight="1">
      <c r="A265" t="inlineStr">
        <is>
          <t>A 52912-2023</t>
        </is>
      </c>
      <c r="B265" s="1" t="n">
        <v>45226.51766203704</v>
      </c>
      <c r="C265" s="1" t="n">
        <v>46003</v>
      </c>
      <c r="D265" t="inlineStr">
        <is>
          <t>DALARNAS LÄN</t>
        </is>
      </c>
      <c r="E265" t="inlineStr">
        <is>
          <t>ORSA</t>
        </is>
      </c>
      <c r="G265" t="n">
        <v>10.9</v>
      </c>
      <c r="H265" t="n">
        <v>0</v>
      </c>
      <c r="I265" t="n">
        <v>0</v>
      </c>
      <c r="J265" t="n">
        <v>0</v>
      </c>
      <c r="K265" t="n">
        <v>0</v>
      </c>
      <c r="L265" t="n">
        <v>0</v>
      </c>
      <c r="M265" t="n">
        <v>0</v>
      </c>
      <c r="N265" t="n">
        <v>0</v>
      </c>
      <c r="O265" t="n">
        <v>0</v>
      </c>
      <c r="P265" t="n">
        <v>0</v>
      </c>
      <c r="Q265" t="n">
        <v>0</v>
      </c>
      <c r="R265" s="2" t="inlineStr"/>
    </row>
    <row r="266" ht="15" customHeight="1">
      <c r="A266" t="inlineStr">
        <is>
          <t>A 13575-2025</t>
        </is>
      </c>
      <c r="B266" s="1" t="n">
        <v>45736.57871527778</v>
      </c>
      <c r="C266" s="1" t="n">
        <v>46003</v>
      </c>
      <c r="D266" t="inlineStr">
        <is>
          <t>DALARNAS LÄN</t>
        </is>
      </c>
      <c r="E266" t="inlineStr">
        <is>
          <t>ORSA</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16992-2025</t>
        </is>
      </c>
      <c r="B267" s="1" t="n">
        <v>45755.50215277778</v>
      </c>
      <c r="C267" s="1" t="n">
        <v>46003</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30382-2023</t>
        </is>
      </c>
      <c r="B268" s="1" t="n">
        <v>45111</v>
      </c>
      <c r="C268" s="1" t="n">
        <v>46003</v>
      </c>
      <c r="D268" t="inlineStr">
        <is>
          <t>DALARNAS LÄN</t>
        </is>
      </c>
      <c r="E268" t="inlineStr">
        <is>
          <t>ORSA</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10832-2022</t>
        </is>
      </c>
      <c r="B269" s="1" t="n">
        <v>44627</v>
      </c>
      <c r="C269" s="1" t="n">
        <v>46003</v>
      </c>
      <c r="D269" t="inlineStr">
        <is>
          <t>DALARNAS LÄN</t>
        </is>
      </c>
      <c r="E269" t="inlineStr">
        <is>
          <t>ORSA</t>
        </is>
      </c>
      <c r="G269" t="n">
        <v>1.4</v>
      </c>
      <c r="H269" t="n">
        <v>0</v>
      </c>
      <c r="I269" t="n">
        <v>0</v>
      </c>
      <c r="J269" t="n">
        <v>0</v>
      </c>
      <c r="K269" t="n">
        <v>0</v>
      </c>
      <c r="L269" t="n">
        <v>0</v>
      </c>
      <c r="M269" t="n">
        <v>0</v>
      </c>
      <c r="N269" t="n">
        <v>0</v>
      </c>
      <c r="O269" t="n">
        <v>0</v>
      </c>
      <c r="P269" t="n">
        <v>0</v>
      </c>
      <c r="Q269" t="n">
        <v>0</v>
      </c>
      <c r="R269" s="2" t="inlineStr"/>
    </row>
    <row r="270" ht="15" customHeight="1">
      <c r="A270" t="inlineStr">
        <is>
          <t>A 20589-2025</t>
        </is>
      </c>
      <c r="B270" s="1" t="n">
        <v>45775</v>
      </c>
      <c r="C270" s="1" t="n">
        <v>46003</v>
      </c>
      <c r="D270" t="inlineStr">
        <is>
          <t>DALARNAS LÄN</t>
        </is>
      </c>
      <c r="E270" t="inlineStr">
        <is>
          <t>ORSA</t>
        </is>
      </c>
      <c r="G270" t="n">
        <v>2</v>
      </c>
      <c r="H270" t="n">
        <v>0</v>
      </c>
      <c r="I270" t="n">
        <v>0</v>
      </c>
      <c r="J270" t="n">
        <v>0</v>
      </c>
      <c r="K270" t="n">
        <v>0</v>
      </c>
      <c r="L270" t="n">
        <v>0</v>
      </c>
      <c r="M270" t="n">
        <v>0</v>
      </c>
      <c r="N270" t="n">
        <v>0</v>
      </c>
      <c r="O270" t="n">
        <v>0</v>
      </c>
      <c r="P270" t="n">
        <v>0</v>
      </c>
      <c r="Q270" t="n">
        <v>0</v>
      </c>
      <c r="R270" s="2" t="inlineStr"/>
    </row>
    <row r="271" ht="15" customHeight="1">
      <c r="A271" t="inlineStr">
        <is>
          <t>A 17503-2025</t>
        </is>
      </c>
      <c r="B271" s="1" t="n">
        <v>45757.55321759259</v>
      </c>
      <c r="C271" s="1" t="n">
        <v>46003</v>
      </c>
      <c r="D271" t="inlineStr">
        <is>
          <t>DALARNAS LÄN</t>
        </is>
      </c>
      <c r="E271" t="inlineStr">
        <is>
          <t>ORSA</t>
        </is>
      </c>
      <c r="G271" t="n">
        <v>0.8</v>
      </c>
      <c r="H271" t="n">
        <v>0</v>
      </c>
      <c r="I271" t="n">
        <v>0</v>
      </c>
      <c r="J271" t="n">
        <v>0</v>
      </c>
      <c r="K271" t="n">
        <v>0</v>
      </c>
      <c r="L271" t="n">
        <v>0</v>
      </c>
      <c r="M271" t="n">
        <v>0</v>
      </c>
      <c r="N271" t="n">
        <v>0</v>
      </c>
      <c r="O271" t="n">
        <v>0</v>
      </c>
      <c r="P271" t="n">
        <v>0</v>
      </c>
      <c r="Q271" t="n">
        <v>0</v>
      </c>
      <c r="R271" s="2" t="inlineStr"/>
    </row>
    <row r="272" ht="15" customHeight="1">
      <c r="A272" t="inlineStr">
        <is>
          <t>A 38672-2025</t>
        </is>
      </c>
      <c r="B272" s="1" t="n">
        <v>45884.63340277778</v>
      </c>
      <c r="C272" s="1" t="n">
        <v>46003</v>
      </c>
      <c r="D272" t="inlineStr">
        <is>
          <t>DALARNAS LÄN</t>
        </is>
      </c>
      <c r="E272" t="inlineStr">
        <is>
          <t>ORSA</t>
        </is>
      </c>
      <c r="G272" t="n">
        <v>4.6</v>
      </c>
      <c r="H272" t="n">
        <v>0</v>
      </c>
      <c r="I272" t="n">
        <v>0</v>
      </c>
      <c r="J272" t="n">
        <v>0</v>
      </c>
      <c r="K272" t="n">
        <v>0</v>
      </c>
      <c r="L272" t="n">
        <v>0</v>
      </c>
      <c r="M272" t="n">
        <v>0</v>
      </c>
      <c r="N272" t="n">
        <v>0</v>
      </c>
      <c r="O272" t="n">
        <v>0</v>
      </c>
      <c r="P272" t="n">
        <v>0</v>
      </c>
      <c r="Q272" t="n">
        <v>0</v>
      </c>
      <c r="R272" s="2" t="inlineStr"/>
    </row>
    <row r="273" ht="15" customHeight="1">
      <c r="A273" t="inlineStr">
        <is>
          <t>A 21376-2025</t>
        </is>
      </c>
      <c r="B273" s="1" t="n">
        <v>45782.45069444444</v>
      </c>
      <c r="C273" s="1" t="n">
        <v>46003</v>
      </c>
      <c r="D273" t="inlineStr">
        <is>
          <t>DALARNAS LÄN</t>
        </is>
      </c>
      <c r="E273" t="inlineStr">
        <is>
          <t>ORSA</t>
        </is>
      </c>
      <c r="G273" t="n">
        <v>4.6</v>
      </c>
      <c r="H273" t="n">
        <v>0</v>
      </c>
      <c r="I273" t="n">
        <v>0</v>
      </c>
      <c r="J273" t="n">
        <v>0</v>
      </c>
      <c r="K273" t="n">
        <v>0</v>
      </c>
      <c r="L273" t="n">
        <v>0</v>
      </c>
      <c r="M273" t="n">
        <v>0</v>
      </c>
      <c r="N273" t="n">
        <v>0</v>
      </c>
      <c r="O273" t="n">
        <v>0</v>
      </c>
      <c r="P273" t="n">
        <v>0</v>
      </c>
      <c r="Q273" t="n">
        <v>0</v>
      </c>
      <c r="R273" s="2" t="inlineStr"/>
    </row>
    <row r="274" ht="15" customHeight="1">
      <c r="A274" t="inlineStr">
        <is>
          <t>A 10359-2023</t>
        </is>
      </c>
      <c r="B274" s="1" t="n">
        <v>44987.37292824074</v>
      </c>
      <c r="C274" s="1" t="n">
        <v>46003</v>
      </c>
      <c r="D274" t="inlineStr">
        <is>
          <t>DALARNAS LÄN</t>
        </is>
      </c>
      <c r="E274" t="inlineStr">
        <is>
          <t>ORSA</t>
        </is>
      </c>
      <c r="G274" t="n">
        <v>2.5</v>
      </c>
      <c r="H274" t="n">
        <v>0</v>
      </c>
      <c r="I274" t="n">
        <v>0</v>
      </c>
      <c r="J274" t="n">
        <v>0</v>
      </c>
      <c r="K274" t="n">
        <v>0</v>
      </c>
      <c r="L274" t="n">
        <v>0</v>
      </c>
      <c r="M274" t="n">
        <v>0</v>
      </c>
      <c r="N274" t="n">
        <v>0</v>
      </c>
      <c r="O274" t="n">
        <v>0</v>
      </c>
      <c r="P274" t="n">
        <v>0</v>
      </c>
      <c r="Q274" t="n">
        <v>0</v>
      </c>
      <c r="R274" s="2" t="inlineStr"/>
    </row>
    <row r="275" ht="15" customHeight="1">
      <c r="A275" t="inlineStr">
        <is>
          <t>A 60803-2022</t>
        </is>
      </c>
      <c r="B275" s="1" t="n">
        <v>44914</v>
      </c>
      <c r="C275" s="1" t="n">
        <v>46003</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21335-2025</t>
        </is>
      </c>
      <c r="B276" s="1" t="n">
        <v>45782.37519675926</v>
      </c>
      <c r="C276" s="1" t="n">
        <v>46003</v>
      </c>
      <c r="D276" t="inlineStr">
        <is>
          <t>DALARNAS LÄN</t>
        </is>
      </c>
      <c r="E276" t="inlineStr">
        <is>
          <t>ORSA</t>
        </is>
      </c>
      <c r="F276" t="inlineStr">
        <is>
          <t>Bergvik skog väst AB</t>
        </is>
      </c>
      <c r="G276" t="n">
        <v>14.3</v>
      </c>
      <c r="H276" t="n">
        <v>0</v>
      </c>
      <c r="I276" t="n">
        <v>0</v>
      </c>
      <c r="J276" t="n">
        <v>0</v>
      </c>
      <c r="K276" t="n">
        <v>0</v>
      </c>
      <c r="L276" t="n">
        <v>0</v>
      </c>
      <c r="M276" t="n">
        <v>0</v>
      </c>
      <c r="N276" t="n">
        <v>0</v>
      </c>
      <c r="O276" t="n">
        <v>0</v>
      </c>
      <c r="P276" t="n">
        <v>0</v>
      </c>
      <c r="Q276" t="n">
        <v>0</v>
      </c>
      <c r="R276" s="2" t="inlineStr"/>
    </row>
    <row r="277" ht="15" customHeight="1">
      <c r="A277" t="inlineStr">
        <is>
          <t>A 51915-2022</t>
        </is>
      </c>
      <c r="B277" s="1" t="n">
        <v>44872.62795138889</v>
      </c>
      <c r="C277" s="1" t="n">
        <v>46003</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49270-2024</t>
        </is>
      </c>
      <c r="B278" s="1" t="n">
        <v>45595.49896990741</v>
      </c>
      <c r="C278" s="1" t="n">
        <v>46003</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34125-2023</t>
        </is>
      </c>
      <c r="B279" s="1" t="n">
        <v>45135</v>
      </c>
      <c r="C279" s="1" t="n">
        <v>46003</v>
      </c>
      <c r="D279" t="inlineStr">
        <is>
          <t>DALARNAS LÄN</t>
        </is>
      </c>
      <c r="E279" t="inlineStr">
        <is>
          <t>ORSA</t>
        </is>
      </c>
      <c r="G279" t="n">
        <v>2.7</v>
      </c>
      <c r="H279" t="n">
        <v>0</v>
      </c>
      <c r="I279" t="n">
        <v>0</v>
      </c>
      <c r="J279" t="n">
        <v>0</v>
      </c>
      <c r="K279" t="n">
        <v>0</v>
      </c>
      <c r="L279" t="n">
        <v>0</v>
      </c>
      <c r="M279" t="n">
        <v>0</v>
      </c>
      <c r="N279" t="n">
        <v>0</v>
      </c>
      <c r="O279" t="n">
        <v>0</v>
      </c>
      <c r="P279" t="n">
        <v>0</v>
      </c>
      <c r="Q279" t="n">
        <v>0</v>
      </c>
      <c r="R279" s="2" t="inlineStr"/>
    </row>
    <row r="280" ht="15" customHeight="1">
      <c r="A280" t="inlineStr">
        <is>
          <t>A 50061-2024</t>
        </is>
      </c>
      <c r="B280" s="1" t="n">
        <v>45600.34721064815</v>
      </c>
      <c r="C280" s="1" t="n">
        <v>46003</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21747-2025</t>
        </is>
      </c>
      <c r="B281" s="1" t="n">
        <v>45783.60923611111</v>
      </c>
      <c r="C281" s="1" t="n">
        <v>46003</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46003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13236-2022</t>
        </is>
      </c>
      <c r="B283" s="1" t="n">
        <v>44644.61106481482</v>
      </c>
      <c r="C283" s="1" t="n">
        <v>46003</v>
      </c>
      <c r="D283" t="inlineStr">
        <is>
          <t>DALARNAS LÄN</t>
        </is>
      </c>
      <c r="E283" t="inlineStr">
        <is>
          <t>ORSA</t>
        </is>
      </c>
      <c r="G283" t="n">
        <v>0.5</v>
      </c>
      <c r="H283" t="n">
        <v>0</v>
      </c>
      <c r="I283" t="n">
        <v>0</v>
      </c>
      <c r="J283" t="n">
        <v>0</v>
      </c>
      <c r="K283" t="n">
        <v>0</v>
      </c>
      <c r="L283" t="n">
        <v>0</v>
      </c>
      <c r="M283" t="n">
        <v>0</v>
      </c>
      <c r="N283" t="n">
        <v>0</v>
      </c>
      <c r="O283" t="n">
        <v>0</v>
      </c>
      <c r="P283" t="n">
        <v>0</v>
      </c>
      <c r="Q283" t="n">
        <v>0</v>
      </c>
      <c r="R283" s="2" t="inlineStr"/>
    </row>
    <row r="284" ht="15" customHeight="1">
      <c r="A284" t="inlineStr">
        <is>
          <t>A 56810-2024</t>
        </is>
      </c>
      <c r="B284" s="1" t="n">
        <v>45628</v>
      </c>
      <c r="C284" s="1" t="n">
        <v>46003</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29984-2025</t>
        </is>
      </c>
      <c r="B285" s="1" t="n">
        <v>45826.49581018519</v>
      </c>
      <c r="C285" s="1" t="n">
        <v>46003</v>
      </c>
      <c r="D285" t="inlineStr">
        <is>
          <t>DALARNAS LÄN</t>
        </is>
      </c>
      <c r="E285" t="inlineStr">
        <is>
          <t>ORSA</t>
        </is>
      </c>
      <c r="G285" t="n">
        <v>0.7</v>
      </c>
      <c r="H285" t="n">
        <v>0</v>
      </c>
      <c r="I285" t="n">
        <v>0</v>
      </c>
      <c r="J285" t="n">
        <v>0</v>
      </c>
      <c r="K285" t="n">
        <v>0</v>
      </c>
      <c r="L285" t="n">
        <v>0</v>
      </c>
      <c r="M285" t="n">
        <v>0</v>
      </c>
      <c r="N285" t="n">
        <v>0</v>
      </c>
      <c r="O285" t="n">
        <v>0</v>
      </c>
      <c r="P285" t="n">
        <v>0</v>
      </c>
      <c r="Q285" t="n">
        <v>0</v>
      </c>
      <c r="R285" s="2" t="inlineStr"/>
    </row>
    <row r="286" ht="15" customHeight="1">
      <c r="A286" t="inlineStr">
        <is>
          <t>A 56811-2024</t>
        </is>
      </c>
      <c r="B286" s="1" t="n">
        <v>45628</v>
      </c>
      <c r="C286" s="1" t="n">
        <v>46003</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879-2024</t>
        </is>
      </c>
      <c r="B287" s="1" t="n">
        <v>45301.36821759259</v>
      </c>
      <c r="C287" s="1" t="n">
        <v>46003</v>
      </c>
      <c r="D287" t="inlineStr">
        <is>
          <t>DALARNAS LÄN</t>
        </is>
      </c>
      <c r="E287" t="inlineStr">
        <is>
          <t>ORSA</t>
        </is>
      </c>
      <c r="G287" t="n">
        <v>2.1</v>
      </c>
      <c r="H287" t="n">
        <v>0</v>
      </c>
      <c r="I287" t="n">
        <v>0</v>
      </c>
      <c r="J287" t="n">
        <v>0</v>
      </c>
      <c r="K287" t="n">
        <v>0</v>
      </c>
      <c r="L287" t="n">
        <v>0</v>
      </c>
      <c r="M287" t="n">
        <v>0</v>
      </c>
      <c r="N287" t="n">
        <v>0</v>
      </c>
      <c r="O287" t="n">
        <v>0</v>
      </c>
      <c r="P287" t="n">
        <v>0</v>
      </c>
      <c r="Q287" t="n">
        <v>0</v>
      </c>
      <c r="R287" s="2" t="inlineStr"/>
    </row>
    <row r="288" ht="15" customHeight="1">
      <c r="A288" t="inlineStr">
        <is>
          <t>A 3168-2024</t>
        </is>
      </c>
      <c r="B288" s="1" t="n">
        <v>45316.62863425926</v>
      </c>
      <c r="C288" s="1" t="n">
        <v>46003</v>
      </c>
      <c r="D288" t="inlineStr">
        <is>
          <t>DALARNAS LÄN</t>
        </is>
      </c>
      <c r="E288" t="inlineStr">
        <is>
          <t>ORSA</t>
        </is>
      </c>
      <c r="G288" t="n">
        <v>0.7</v>
      </c>
      <c r="H288" t="n">
        <v>0</v>
      </c>
      <c r="I288" t="n">
        <v>0</v>
      </c>
      <c r="J288" t="n">
        <v>0</v>
      </c>
      <c r="K288" t="n">
        <v>0</v>
      </c>
      <c r="L288" t="n">
        <v>0</v>
      </c>
      <c r="M288" t="n">
        <v>0</v>
      </c>
      <c r="N288" t="n">
        <v>0</v>
      </c>
      <c r="O288" t="n">
        <v>0</v>
      </c>
      <c r="P288" t="n">
        <v>0</v>
      </c>
      <c r="Q288" t="n">
        <v>0</v>
      </c>
      <c r="R288" s="2" t="inlineStr"/>
    </row>
    <row r="289" ht="15" customHeight="1">
      <c r="A289" t="inlineStr">
        <is>
          <t>A 17500-2025</t>
        </is>
      </c>
      <c r="B289" s="1" t="n">
        <v>45757.54954861111</v>
      </c>
      <c r="C289" s="1" t="n">
        <v>46003</v>
      </c>
      <c r="D289" t="inlineStr">
        <is>
          <t>DALARNAS LÄN</t>
        </is>
      </c>
      <c r="E289" t="inlineStr">
        <is>
          <t>ORSA</t>
        </is>
      </c>
      <c r="G289" t="n">
        <v>1.9</v>
      </c>
      <c r="H289" t="n">
        <v>0</v>
      </c>
      <c r="I289" t="n">
        <v>0</v>
      </c>
      <c r="J289" t="n">
        <v>0</v>
      </c>
      <c r="K289" t="n">
        <v>0</v>
      </c>
      <c r="L289" t="n">
        <v>0</v>
      </c>
      <c r="M289" t="n">
        <v>0</v>
      </c>
      <c r="N289" t="n">
        <v>0</v>
      </c>
      <c r="O289" t="n">
        <v>0</v>
      </c>
      <c r="P289" t="n">
        <v>0</v>
      </c>
      <c r="Q289" t="n">
        <v>0</v>
      </c>
      <c r="R289" s="2" t="inlineStr"/>
    </row>
    <row r="290" ht="15" customHeight="1">
      <c r="A290" t="inlineStr">
        <is>
          <t>A 17521-2025</t>
        </is>
      </c>
      <c r="B290" s="1" t="n">
        <v>45757.57952546296</v>
      </c>
      <c r="C290" s="1" t="n">
        <v>46003</v>
      </c>
      <c r="D290" t="inlineStr">
        <is>
          <t>DALARNAS LÄN</t>
        </is>
      </c>
      <c r="E290" t="inlineStr">
        <is>
          <t>ORSA</t>
        </is>
      </c>
      <c r="F290" t="inlineStr">
        <is>
          <t>Bergvik skog öst AB</t>
        </is>
      </c>
      <c r="G290" t="n">
        <v>3.6</v>
      </c>
      <c r="H290" t="n">
        <v>0</v>
      </c>
      <c r="I290" t="n">
        <v>0</v>
      </c>
      <c r="J290" t="n">
        <v>0</v>
      </c>
      <c r="K290" t="n">
        <v>0</v>
      </c>
      <c r="L290" t="n">
        <v>0</v>
      </c>
      <c r="M290" t="n">
        <v>0</v>
      </c>
      <c r="N290" t="n">
        <v>0</v>
      </c>
      <c r="O290" t="n">
        <v>0</v>
      </c>
      <c r="P290" t="n">
        <v>0</v>
      </c>
      <c r="Q290" t="n">
        <v>0</v>
      </c>
      <c r="R290" s="2" t="inlineStr"/>
    </row>
    <row r="291" ht="15" customHeight="1">
      <c r="A291" t="inlineStr">
        <is>
          <t>A 38688-2025</t>
        </is>
      </c>
      <c r="B291" s="1" t="n">
        <v>45884.66097222222</v>
      </c>
      <c r="C291" s="1" t="n">
        <v>46003</v>
      </c>
      <c r="D291" t="inlineStr">
        <is>
          <t>DALARNAS LÄN</t>
        </is>
      </c>
      <c r="E291" t="inlineStr">
        <is>
          <t>ORSA</t>
        </is>
      </c>
      <c r="F291" t="inlineStr">
        <is>
          <t>Allmännings- och besparingsskogar</t>
        </is>
      </c>
      <c r="G291" t="n">
        <v>10.2</v>
      </c>
      <c r="H291" t="n">
        <v>0</v>
      </c>
      <c r="I291" t="n">
        <v>0</v>
      </c>
      <c r="J291" t="n">
        <v>0</v>
      </c>
      <c r="K291" t="n">
        <v>0</v>
      </c>
      <c r="L291" t="n">
        <v>0</v>
      </c>
      <c r="M291" t="n">
        <v>0</v>
      </c>
      <c r="N291" t="n">
        <v>0</v>
      </c>
      <c r="O291" t="n">
        <v>0</v>
      </c>
      <c r="P291" t="n">
        <v>0</v>
      </c>
      <c r="Q291" t="n">
        <v>0</v>
      </c>
      <c r="R291" s="2" t="inlineStr"/>
    </row>
    <row r="292" ht="15" customHeight="1">
      <c r="A292" t="inlineStr">
        <is>
          <t>A 21949-2025</t>
        </is>
      </c>
      <c r="B292" s="1" t="n">
        <v>45784.59369212963</v>
      </c>
      <c r="C292" s="1" t="n">
        <v>46003</v>
      </c>
      <c r="D292" t="inlineStr">
        <is>
          <t>DALARNAS LÄN</t>
        </is>
      </c>
      <c r="E292" t="inlineStr">
        <is>
          <t>ORSA</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17421-2025</t>
        </is>
      </c>
      <c r="B293" s="1" t="n">
        <v>45757.38532407407</v>
      </c>
      <c r="C293" s="1" t="n">
        <v>46003</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28451-2023</t>
        </is>
      </c>
      <c r="B294" s="1" t="n">
        <v>45103.33896990741</v>
      </c>
      <c r="C294" s="1" t="n">
        <v>46003</v>
      </c>
      <c r="D294" t="inlineStr">
        <is>
          <t>DALARNAS LÄN</t>
        </is>
      </c>
      <c r="E294" t="inlineStr">
        <is>
          <t>ORSA</t>
        </is>
      </c>
      <c r="G294" t="n">
        <v>0.5</v>
      </c>
      <c r="H294" t="n">
        <v>0</v>
      </c>
      <c r="I294" t="n">
        <v>0</v>
      </c>
      <c r="J294" t="n">
        <v>0</v>
      </c>
      <c r="K294" t="n">
        <v>0</v>
      </c>
      <c r="L294" t="n">
        <v>0</v>
      </c>
      <c r="M294" t="n">
        <v>0</v>
      </c>
      <c r="N294" t="n">
        <v>0</v>
      </c>
      <c r="O294" t="n">
        <v>0</v>
      </c>
      <c r="P294" t="n">
        <v>0</v>
      </c>
      <c r="Q294" t="n">
        <v>0</v>
      </c>
      <c r="R294" s="2" t="inlineStr"/>
    </row>
    <row r="295" ht="15" customHeight="1">
      <c r="A295" t="inlineStr">
        <is>
          <t>A 21165-2024</t>
        </is>
      </c>
      <c r="B295" s="1" t="n">
        <v>45440.45225694445</v>
      </c>
      <c r="C295" s="1" t="n">
        <v>46003</v>
      </c>
      <c r="D295" t="inlineStr">
        <is>
          <t>DALARNAS LÄN</t>
        </is>
      </c>
      <c r="E295" t="inlineStr">
        <is>
          <t>ORSA</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41835-2024</t>
        </is>
      </c>
      <c r="B296" s="1" t="n">
        <v>45561.40888888889</v>
      </c>
      <c r="C296" s="1" t="n">
        <v>46003</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8429-2024</t>
        </is>
      </c>
      <c r="B297" s="1" t="n">
        <v>45353.38880787037</v>
      </c>
      <c r="C297" s="1" t="n">
        <v>46003</v>
      </c>
      <c r="D297" t="inlineStr">
        <is>
          <t>DALARNAS LÄN</t>
        </is>
      </c>
      <c r="E297" t="inlineStr">
        <is>
          <t>ORSA</t>
        </is>
      </c>
      <c r="G297" t="n">
        <v>0.3</v>
      </c>
      <c r="H297" t="n">
        <v>0</v>
      </c>
      <c r="I297" t="n">
        <v>0</v>
      </c>
      <c r="J297" t="n">
        <v>0</v>
      </c>
      <c r="K297" t="n">
        <v>0</v>
      </c>
      <c r="L297" t="n">
        <v>0</v>
      </c>
      <c r="M297" t="n">
        <v>0</v>
      </c>
      <c r="N297" t="n">
        <v>0</v>
      </c>
      <c r="O297" t="n">
        <v>0</v>
      </c>
      <c r="P297" t="n">
        <v>0</v>
      </c>
      <c r="Q297" t="n">
        <v>0</v>
      </c>
      <c r="R297" s="2" t="inlineStr"/>
    </row>
    <row r="298" ht="15" customHeight="1">
      <c r="A298" t="inlineStr">
        <is>
          <t>A 10004-2023</t>
        </is>
      </c>
      <c r="B298" s="1" t="n">
        <v>44985.60604166667</v>
      </c>
      <c r="C298" s="1" t="n">
        <v>46003</v>
      </c>
      <c r="D298" t="inlineStr">
        <is>
          <t>DALARNAS LÄN</t>
        </is>
      </c>
      <c r="E298" t="inlineStr">
        <is>
          <t>ORSA</t>
        </is>
      </c>
      <c r="G298" t="n">
        <v>2.1</v>
      </c>
      <c r="H298" t="n">
        <v>0</v>
      </c>
      <c r="I298" t="n">
        <v>0</v>
      </c>
      <c r="J298" t="n">
        <v>0</v>
      </c>
      <c r="K298" t="n">
        <v>0</v>
      </c>
      <c r="L298" t="n">
        <v>0</v>
      </c>
      <c r="M298" t="n">
        <v>0</v>
      </c>
      <c r="N298" t="n">
        <v>0</v>
      </c>
      <c r="O298" t="n">
        <v>0</v>
      </c>
      <c r="P298" t="n">
        <v>0</v>
      </c>
      <c r="Q298" t="n">
        <v>0</v>
      </c>
      <c r="R298" s="2" t="inlineStr"/>
    </row>
    <row r="299" ht="15" customHeight="1">
      <c r="A299" t="inlineStr">
        <is>
          <t>A 50905-2021</t>
        </is>
      </c>
      <c r="B299" s="1" t="n">
        <v>44460</v>
      </c>
      <c r="C299" s="1" t="n">
        <v>46003</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28155-2023</t>
        </is>
      </c>
      <c r="B300" s="1" t="n">
        <v>45099</v>
      </c>
      <c r="C300" s="1" t="n">
        <v>46003</v>
      </c>
      <c r="D300" t="inlineStr">
        <is>
          <t>DALARNAS LÄN</t>
        </is>
      </c>
      <c r="E300" t="inlineStr">
        <is>
          <t>ORSA</t>
        </is>
      </c>
      <c r="F300" t="inlineStr">
        <is>
          <t>Bergvik skog öst AB</t>
        </is>
      </c>
      <c r="G300" t="n">
        <v>7.8</v>
      </c>
      <c r="H300" t="n">
        <v>0</v>
      </c>
      <c r="I300" t="n">
        <v>0</v>
      </c>
      <c r="J300" t="n">
        <v>0</v>
      </c>
      <c r="K300" t="n">
        <v>0</v>
      </c>
      <c r="L300" t="n">
        <v>0</v>
      </c>
      <c r="M300" t="n">
        <v>0</v>
      </c>
      <c r="N300" t="n">
        <v>0</v>
      </c>
      <c r="O300" t="n">
        <v>0</v>
      </c>
      <c r="P300" t="n">
        <v>0</v>
      </c>
      <c r="Q300" t="n">
        <v>0</v>
      </c>
      <c r="R300" s="2" t="inlineStr"/>
    </row>
    <row r="301" ht="15" customHeight="1">
      <c r="A301" t="inlineStr">
        <is>
          <t>A 38588-2025</t>
        </is>
      </c>
      <c r="B301" s="1" t="n">
        <v>45884.47355324074</v>
      </c>
      <c r="C301" s="1" t="n">
        <v>46003</v>
      </c>
      <c r="D301" t="inlineStr">
        <is>
          <t>DALARNAS LÄN</t>
        </is>
      </c>
      <c r="E301" t="inlineStr">
        <is>
          <t>ORSA</t>
        </is>
      </c>
      <c r="F301" t="inlineStr">
        <is>
          <t>Bergvik skog öst AB</t>
        </is>
      </c>
      <c r="G301" t="n">
        <v>9.5</v>
      </c>
      <c r="H301" t="n">
        <v>0</v>
      </c>
      <c r="I301" t="n">
        <v>0</v>
      </c>
      <c r="J301" t="n">
        <v>0</v>
      </c>
      <c r="K301" t="n">
        <v>0</v>
      </c>
      <c r="L301" t="n">
        <v>0</v>
      </c>
      <c r="M301" t="n">
        <v>0</v>
      </c>
      <c r="N301" t="n">
        <v>0</v>
      </c>
      <c r="O301" t="n">
        <v>0</v>
      </c>
      <c r="P301" t="n">
        <v>0</v>
      </c>
      <c r="Q301" t="n">
        <v>0</v>
      </c>
      <c r="R301" s="2" t="inlineStr"/>
    </row>
    <row r="302" ht="15" customHeight="1">
      <c r="A302" t="inlineStr">
        <is>
          <t>A 51567-2023</t>
        </is>
      </c>
      <c r="B302" s="1" t="n">
        <v>45222.44800925926</v>
      </c>
      <c r="C302" s="1" t="n">
        <v>46003</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72310-2021</t>
        </is>
      </c>
      <c r="B303" s="1" t="n">
        <v>44545</v>
      </c>
      <c r="C303" s="1" t="n">
        <v>46003</v>
      </c>
      <c r="D303" t="inlineStr">
        <is>
          <t>DALARNAS LÄN</t>
        </is>
      </c>
      <c r="E303" t="inlineStr">
        <is>
          <t>ORSA</t>
        </is>
      </c>
      <c r="G303" t="n">
        <v>0.5</v>
      </c>
      <c r="H303" t="n">
        <v>0</v>
      </c>
      <c r="I303" t="n">
        <v>0</v>
      </c>
      <c r="J303" t="n">
        <v>0</v>
      </c>
      <c r="K303" t="n">
        <v>0</v>
      </c>
      <c r="L303" t="n">
        <v>0</v>
      </c>
      <c r="M303" t="n">
        <v>0</v>
      </c>
      <c r="N303" t="n">
        <v>0</v>
      </c>
      <c r="O303" t="n">
        <v>0</v>
      </c>
      <c r="P303" t="n">
        <v>0</v>
      </c>
      <c r="Q303" t="n">
        <v>0</v>
      </c>
      <c r="R303" s="2" t="inlineStr"/>
    </row>
    <row r="304" ht="15" customHeight="1">
      <c r="A304" t="inlineStr">
        <is>
          <t>A 15870-2025</t>
        </is>
      </c>
      <c r="B304" s="1" t="n">
        <v>45749.37135416667</v>
      </c>
      <c r="C304" s="1" t="n">
        <v>46003</v>
      </c>
      <c r="D304" t="inlineStr">
        <is>
          <t>DALARNAS LÄN</t>
        </is>
      </c>
      <c r="E304" t="inlineStr">
        <is>
          <t>ORSA</t>
        </is>
      </c>
      <c r="F304" t="inlineStr">
        <is>
          <t>Bergvik skog öst AB</t>
        </is>
      </c>
      <c r="G304" t="n">
        <v>2.7</v>
      </c>
      <c r="H304" t="n">
        <v>0</v>
      </c>
      <c r="I304" t="n">
        <v>0</v>
      </c>
      <c r="J304" t="n">
        <v>0</v>
      </c>
      <c r="K304" t="n">
        <v>0</v>
      </c>
      <c r="L304" t="n">
        <v>0</v>
      </c>
      <c r="M304" t="n">
        <v>0</v>
      </c>
      <c r="N304" t="n">
        <v>0</v>
      </c>
      <c r="O304" t="n">
        <v>0</v>
      </c>
      <c r="P304" t="n">
        <v>0</v>
      </c>
      <c r="Q304" t="n">
        <v>0</v>
      </c>
      <c r="R304" s="2" t="inlineStr"/>
    </row>
    <row r="305" ht="15" customHeight="1">
      <c r="A305" t="inlineStr">
        <is>
          <t>A 4566-2025</t>
        </is>
      </c>
      <c r="B305" s="1" t="n">
        <v>45687.46100694445</v>
      </c>
      <c r="C305" s="1" t="n">
        <v>46003</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44904-2024</t>
        </is>
      </c>
      <c r="B306" s="1" t="n">
        <v>45575.38193287037</v>
      </c>
      <c r="C306" s="1" t="n">
        <v>46003</v>
      </c>
      <c r="D306" t="inlineStr">
        <is>
          <t>DALARNAS LÄN</t>
        </is>
      </c>
      <c r="E306" t="inlineStr">
        <is>
          <t>ORSA</t>
        </is>
      </c>
      <c r="F306" t="inlineStr">
        <is>
          <t>Bergvik skog öst AB</t>
        </is>
      </c>
      <c r="G306" t="n">
        <v>1.2</v>
      </c>
      <c r="H306" t="n">
        <v>0</v>
      </c>
      <c r="I306" t="n">
        <v>0</v>
      </c>
      <c r="J306" t="n">
        <v>0</v>
      </c>
      <c r="K306" t="n">
        <v>0</v>
      </c>
      <c r="L306" t="n">
        <v>0</v>
      </c>
      <c r="M306" t="n">
        <v>0</v>
      </c>
      <c r="N306" t="n">
        <v>0</v>
      </c>
      <c r="O306" t="n">
        <v>0</v>
      </c>
      <c r="P306" t="n">
        <v>0</v>
      </c>
      <c r="Q306" t="n">
        <v>0</v>
      </c>
      <c r="R306" s="2" t="inlineStr"/>
    </row>
    <row r="307" ht="15" customHeight="1">
      <c r="A307" t="inlineStr">
        <is>
          <t>A 6047-2023</t>
        </is>
      </c>
      <c r="B307" s="1" t="n">
        <v>44964</v>
      </c>
      <c r="C307" s="1" t="n">
        <v>46003</v>
      </c>
      <c r="D307" t="inlineStr">
        <is>
          <t>DALARNAS LÄN</t>
        </is>
      </c>
      <c r="E307" t="inlineStr">
        <is>
          <t>ORSA</t>
        </is>
      </c>
      <c r="F307" t="inlineStr">
        <is>
          <t>Bergvik skog öst AB</t>
        </is>
      </c>
      <c r="G307" t="n">
        <v>0.2</v>
      </c>
      <c r="H307" t="n">
        <v>0</v>
      </c>
      <c r="I307" t="n">
        <v>0</v>
      </c>
      <c r="J307" t="n">
        <v>0</v>
      </c>
      <c r="K307" t="n">
        <v>0</v>
      </c>
      <c r="L307" t="n">
        <v>0</v>
      </c>
      <c r="M307" t="n">
        <v>0</v>
      </c>
      <c r="N307" t="n">
        <v>0</v>
      </c>
      <c r="O307" t="n">
        <v>0</v>
      </c>
      <c r="P307" t="n">
        <v>0</v>
      </c>
      <c r="Q307" t="n">
        <v>0</v>
      </c>
      <c r="R307" s="2" t="inlineStr"/>
    </row>
    <row r="308" ht="15" customHeight="1">
      <c r="A308" t="inlineStr">
        <is>
          <t>A 33384-2022</t>
        </is>
      </c>
      <c r="B308" s="1" t="n">
        <v>44788</v>
      </c>
      <c r="C308" s="1" t="n">
        <v>46003</v>
      </c>
      <c r="D308" t="inlineStr">
        <is>
          <t>DALARNAS LÄN</t>
        </is>
      </c>
      <c r="E308" t="inlineStr">
        <is>
          <t>ORSA</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34374-2024</t>
        </is>
      </c>
      <c r="B309" s="1" t="n">
        <v>45525.40091435185</v>
      </c>
      <c r="C309" s="1" t="n">
        <v>46003</v>
      </c>
      <c r="D309" t="inlineStr">
        <is>
          <t>DALARNAS LÄN</t>
        </is>
      </c>
      <c r="E309" t="inlineStr">
        <is>
          <t>ORSA</t>
        </is>
      </c>
      <c r="G309" t="n">
        <v>0.5</v>
      </c>
      <c r="H309" t="n">
        <v>0</v>
      </c>
      <c r="I309" t="n">
        <v>0</v>
      </c>
      <c r="J309" t="n">
        <v>0</v>
      </c>
      <c r="K309" t="n">
        <v>0</v>
      </c>
      <c r="L309" t="n">
        <v>0</v>
      </c>
      <c r="M309" t="n">
        <v>0</v>
      </c>
      <c r="N309" t="n">
        <v>0</v>
      </c>
      <c r="O309" t="n">
        <v>0</v>
      </c>
      <c r="P309" t="n">
        <v>0</v>
      </c>
      <c r="Q309" t="n">
        <v>0</v>
      </c>
      <c r="R309" s="2" t="inlineStr"/>
    </row>
    <row r="310" ht="15" customHeight="1">
      <c r="A310" t="inlineStr">
        <is>
          <t>A 14680-2023</t>
        </is>
      </c>
      <c r="B310" s="1" t="n">
        <v>45014.30054398148</v>
      </c>
      <c r="C310" s="1" t="n">
        <v>46003</v>
      </c>
      <c r="D310" t="inlineStr">
        <is>
          <t>DALARNAS LÄN</t>
        </is>
      </c>
      <c r="E310" t="inlineStr">
        <is>
          <t>ORSA</t>
        </is>
      </c>
      <c r="G310" t="n">
        <v>4.2</v>
      </c>
      <c r="H310" t="n">
        <v>0</v>
      </c>
      <c r="I310" t="n">
        <v>0</v>
      </c>
      <c r="J310" t="n">
        <v>0</v>
      </c>
      <c r="K310" t="n">
        <v>0</v>
      </c>
      <c r="L310" t="n">
        <v>0</v>
      </c>
      <c r="M310" t="n">
        <v>0</v>
      </c>
      <c r="N310" t="n">
        <v>0</v>
      </c>
      <c r="O310" t="n">
        <v>0</v>
      </c>
      <c r="P310" t="n">
        <v>0</v>
      </c>
      <c r="Q310" t="n">
        <v>0</v>
      </c>
      <c r="R310" s="2" t="inlineStr"/>
    </row>
    <row r="311" ht="15" customHeight="1">
      <c r="A311" t="inlineStr">
        <is>
          <t>A 38844-2025</t>
        </is>
      </c>
      <c r="B311" s="1" t="n">
        <v>45887.54075231482</v>
      </c>
      <c r="C311" s="1" t="n">
        <v>46003</v>
      </c>
      <c r="D311" t="inlineStr">
        <is>
          <t>DALARNAS LÄN</t>
        </is>
      </c>
      <c r="E311" t="inlineStr">
        <is>
          <t>ORSA</t>
        </is>
      </c>
      <c r="G311" t="n">
        <v>1.6</v>
      </c>
      <c r="H311" t="n">
        <v>0</v>
      </c>
      <c r="I311" t="n">
        <v>0</v>
      </c>
      <c r="J311" t="n">
        <v>0</v>
      </c>
      <c r="K311" t="n">
        <v>0</v>
      </c>
      <c r="L311" t="n">
        <v>0</v>
      </c>
      <c r="M311" t="n">
        <v>0</v>
      </c>
      <c r="N311" t="n">
        <v>0</v>
      </c>
      <c r="O311" t="n">
        <v>0</v>
      </c>
      <c r="P311" t="n">
        <v>0</v>
      </c>
      <c r="Q311" t="n">
        <v>0</v>
      </c>
      <c r="R311" s="2" t="inlineStr"/>
    </row>
    <row r="312" ht="15" customHeight="1">
      <c r="A312" t="inlineStr">
        <is>
          <t>A 38840-2025</t>
        </is>
      </c>
      <c r="B312" s="1" t="n">
        <v>45887.5375</v>
      </c>
      <c r="C312" s="1" t="n">
        <v>46003</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31172-2023</t>
        </is>
      </c>
      <c r="B313" s="1" t="n">
        <v>45113.8637037037</v>
      </c>
      <c r="C313" s="1" t="n">
        <v>46003</v>
      </c>
      <c r="D313" t="inlineStr">
        <is>
          <t>DALARNAS LÄN</t>
        </is>
      </c>
      <c r="E313" t="inlineStr">
        <is>
          <t>ORSA</t>
        </is>
      </c>
      <c r="G313" t="n">
        <v>2.9</v>
      </c>
      <c r="H313" t="n">
        <v>0</v>
      </c>
      <c r="I313" t="n">
        <v>0</v>
      </c>
      <c r="J313" t="n">
        <v>0</v>
      </c>
      <c r="K313" t="n">
        <v>0</v>
      </c>
      <c r="L313" t="n">
        <v>0</v>
      </c>
      <c r="M313" t="n">
        <v>0</v>
      </c>
      <c r="N313" t="n">
        <v>0</v>
      </c>
      <c r="O313" t="n">
        <v>0</v>
      </c>
      <c r="P313" t="n">
        <v>0</v>
      </c>
      <c r="Q313" t="n">
        <v>0</v>
      </c>
      <c r="R313" s="2" t="inlineStr"/>
    </row>
    <row r="314" ht="15" customHeight="1">
      <c r="A314" t="inlineStr">
        <is>
          <t>A 27146-2021</t>
        </is>
      </c>
      <c r="B314" s="1" t="n">
        <v>44350</v>
      </c>
      <c r="C314" s="1" t="n">
        <v>46003</v>
      </c>
      <c r="D314" t="inlineStr">
        <is>
          <t>DALARNAS LÄN</t>
        </is>
      </c>
      <c r="E314" t="inlineStr">
        <is>
          <t>ORSA</t>
        </is>
      </c>
      <c r="G314" t="n">
        <v>1</v>
      </c>
      <c r="H314" t="n">
        <v>0</v>
      </c>
      <c r="I314" t="n">
        <v>0</v>
      </c>
      <c r="J314" t="n">
        <v>0</v>
      </c>
      <c r="K314" t="n">
        <v>0</v>
      </c>
      <c r="L314" t="n">
        <v>0</v>
      </c>
      <c r="M314" t="n">
        <v>0</v>
      </c>
      <c r="N314" t="n">
        <v>0</v>
      </c>
      <c r="O314" t="n">
        <v>0</v>
      </c>
      <c r="P314" t="n">
        <v>0</v>
      </c>
      <c r="Q314" t="n">
        <v>0</v>
      </c>
      <c r="R314" s="2" t="inlineStr"/>
    </row>
    <row r="315" ht="15" customHeight="1">
      <c r="A315" t="inlineStr">
        <is>
          <t>A 55843-2023</t>
        </is>
      </c>
      <c r="B315" s="1" t="n">
        <v>45239</v>
      </c>
      <c r="C315" s="1" t="n">
        <v>46003</v>
      </c>
      <c r="D315" t="inlineStr">
        <is>
          <t>DALARNAS LÄN</t>
        </is>
      </c>
      <c r="E315" t="inlineStr">
        <is>
          <t>ORSA</t>
        </is>
      </c>
      <c r="G315" t="n">
        <v>2.4</v>
      </c>
      <c r="H315" t="n">
        <v>0</v>
      </c>
      <c r="I315" t="n">
        <v>0</v>
      </c>
      <c r="J315" t="n">
        <v>0</v>
      </c>
      <c r="K315" t="n">
        <v>0</v>
      </c>
      <c r="L315" t="n">
        <v>0</v>
      </c>
      <c r="M315" t="n">
        <v>0</v>
      </c>
      <c r="N315" t="n">
        <v>0</v>
      </c>
      <c r="O315" t="n">
        <v>0</v>
      </c>
      <c r="P315" t="n">
        <v>0</v>
      </c>
      <c r="Q315" t="n">
        <v>0</v>
      </c>
      <c r="R315" s="2" t="inlineStr"/>
    </row>
    <row r="316" ht="15" customHeight="1">
      <c r="A316" t="inlineStr">
        <is>
          <t>A 21216-2023</t>
        </is>
      </c>
      <c r="B316" s="1" t="n">
        <v>45062</v>
      </c>
      <c r="C316" s="1" t="n">
        <v>46003</v>
      </c>
      <c r="D316" t="inlineStr">
        <is>
          <t>DALARNAS LÄN</t>
        </is>
      </c>
      <c r="E316" t="inlineStr">
        <is>
          <t>ORSA</t>
        </is>
      </c>
      <c r="F316" t="inlineStr">
        <is>
          <t>Bergvik skog öst AB</t>
        </is>
      </c>
      <c r="G316" t="n">
        <v>3.8</v>
      </c>
      <c r="H316" t="n">
        <v>0</v>
      </c>
      <c r="I316" t="n">
        <v>0</v>
      </c>
      <c r="J316" t="n">
        <v>0</v>
      </c>
      <c r="K316" t="n">
        <v>0</v>
      </c>
      <c r="L316" t="n">
        <v>0</v>
      </c>
      <c r="M316" t="n">
        <v>0</v>
      </c>
      <c r="N316" t="n">
        <v>0</v>
      </c>
      <c r="O316" t="n">
        <v>0</v>
      </c>
      <c r="P316" t="n">
        <v>0</v>
      </c>
      <c r="Q316" t="n">
        <v>0</v>
      </c>
      <c r="R316" s="2" t="inlineStr"/>
    </row>
    <row r="317" ht="15" customHeight="1">
      <c r="A317" t="inlineStr">
        <is>
          <t>A 57533-2022</t>
        </is>
      </c>
      <c r="B317" s="1" t="n">
        <v>44896.68393518519</v>
      </c>
      <c r="C317" s="1" t="n">
        <v>46003</v>
      </c>
      <c r="D317" t="inlineStr">
        <is>
          <t>DALARNAS LÄN</t>
        </is>
      </c>
      <c r="E317" t="inlineStr">
        <is>
          <t>ORSA</t>
        </is>
      </c>
      <c r="F317" t="inlineStr">
        <is>
          <t>Bergvik skog öst AB</t>
        </is>
      </c>
      <c r="G317" t="n">
        <v>2.2</v>
      </c>
      <c r="H317" t="n">
        <v>0</v>
      </c>
      <c r="I317" t="n">
        <v>0</v>
      </c>
      <c r="J317" t="n">
        <v>0</v>
      </c>
      <c r="K317" t="n">
        <v>0</v>
      </c>
      <c r="L317" t="n">
        <v>0</v>
      </c>
      <c r="M317" t="n">
        <v>0</v>
      </c>
      <c r="N317" t="n">
        <v>0</v>
      </c>
      <c r="O317" t="n">
        <v>0</v>
      </c>
      <c r="P317" t="n">
        <v>0</v>
      </c>
      <c r="Q317" t="n">
        <v>0</v>
      </c>
      <c r="R317" s="2" t="inlineStr"/>
    </row>
    <row r="318" ht="15" customHeight="1">
      <c r="A318" t="inlineStr">
        <is>
          <t>A 10374-2023</t>
        </is>
      </c>
      <c r="B318" s="1" t="n">
        <v>44987.41359953704</v>
      </c>
      <c r="C318" s="1" t="n">
        <v>46003</v>
      </c>
      <c r="D318" t="inlineStr">
        <is>
          <t>DALARNAS LÄN</t>
        </is>
      </c>
      <c r="E318" t="inlineStr">
        <is>
          <t>ORSA</t>
        </is>
      </c>
      <c r="G318" t="n">
        <v>1.8</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46003</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40111-2025</t>
        </is>
      </c>
      <c r="B320" s="1" t="n">
        <v>45894.49417824074</v>
      </c>
      <c r="C320" s="1" t="n">
        <v>46003</v>
      </c>
      <c r="D320" t="inlineStr">
        <is>
          <t>DALARNAS LÄN</t>
        </is>
      </c>
      <c r="E320" t="inlineStr">
        <is>
          <t>ORSA</t>
        </is>
      </c>
      <c r="F320" t="inlineStr">
        <is>
          <t>Allmännings- och besparingsskogar</t>
        </is>
      </c>
      <c r="G320" t="n">
        <v>18.6</v>
      </c>
      <c r="H320" t="n">
        <v>0</v>
      </c>
      <c r="I320" t="n">
        <v>0</v>
      </c>
      <c r="J320" t="n">
        <v>0</v>
      </c>
      <c r="K320" t="n">
        <v>0</v>
      </c>
      <c r="L320" t="n">
        <v>0</v>
      </c>
      <c r="M320" t="n">
        <v>0</v>
      </c>
      <c r="N320" t="n">
        <v>0</v>
      </c>
      <c r="O320" t="n">
        <v>0</v>
      </c>
      <c r="P320" t="n">
        <v>0</v>
      </c>
      <c r="Q320" t="n">
        <v>0</v>
      </c>
      <c r="R320" s="2" t="inlineStr"/>
    </row>
    <row r="321" ht="15" customHeight="1">
      <c r="A321" t="inlineStr">
        <is>
          <t>A 8430-2024</t>
        </is>
      </c>
      <c r="B321" s="1" t="n">
        <v>45353.41157407407</v>
      </c>
      <c r="C321" s="1" t="n">
        <v>46003</v>
      </c>
      <c r="D321" t="inlineStr">
        <is>
          <t>DALARNAS LÄN</t>
        </is>
      </c>
      <c r="E321" t="inlineStr">
        <is>
          <t>ORSA</t>
        </is>
      </c>
      <c r="G321" t="n">
        <v>14.4</v>
      </c>
      <c r="H321" t="n">
        <v>0</v>
      </c>
      <c r="I321" t="n">
        <v>0</v>
      </c>
      <c r="J321" t="n">
        <v>0</v>
      </c>
      <c r="K321" t="n">
        <v>0</v>
      </c>
      <c r="L321" t="n">
        <v>0</v>
      </c>
      <c r="M321" t="n">
        <v>0</v>
      </c>
      <c r="N321" t="n">
        <v>0</v>
      </c>
      <c r="O321" t="n">
        <v>0</v>
      </c>
      <c r="P321" t="n">
        <v>0</v>
      </c>
      <c r="Q321" t="n">
        <v>0</v>
      </c>
      <c r="R321" s="2" t="inlineStr"/>
    </row>
    <row r="322" ht="15" customHeight="1">
      <c r="A322" t="inlineStr">
        <is>
          <t>A 41832-2024</t>
        </is>
      </c>
      <c r="B322" s="1" t="n">
        <v>45561.40730324074</v>
      </c>
      <c r="C322" s="1" t="n">
        <v>46003</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40070-2025</t>
        </is>
      </c>
      <c r="B323" s="1" t="n">
        <v>45894.44197916667</v>
      </c>
      <c r="C323" s="1" t="n">
        <v>46003</v>
      </c>
      <c r="D323" t="inlineStr">
        <is>
          <t>DALARNAS LÄN</t>
        </is>
      </c>
      <c r="E323" t="inlineStr">
        <is>
          <t>ORSA</t>
        </is>
      </c>
      <c r="F323" t="inlineStr">
        <is>
          <t>Allmännings- och besparingsskogar</t>
        </is>
      </c>
      <c r="G323" t="n">
        <v>22</v>
      </c>
      <c r="H323" t="n">
        <v>0</v>
      </c>
      <c r="I323" t="n">
        <v>0</v>
      </c>
      <c r="J323" t="n">
        <v>0</v>
      </c>
      <c r="K323" t="n">
        <v>0</v>
      </c>
      <c r="L323" t="n">
        <v>0</v>
      </c>
      <c r="M323" t="n">
        <v>0</v>
      </c>
      <c r="N323" t="n">
        <v>0</v>
      </c>
      <c r="O323" t="n">
        <v>0</v>
      </c>
      <c r="P323" t="n">
        <v>0</v>
      </c>
      <c r="Q323" t="n">
        <v>0</v>
      </c>
      <c r="R323" s="2" t="inlineStr"/>
    </row>
    <row r="324" ht="15" customHeight="1">
      <c r="A324" t="inlineStr">
        <is>
          <t>A 3166-2024</t>
        </is>
      </c>
      <c r="B324" s="1" t="n">
        <v>45316.62592592592</v>
      </c>
      <c r="C324" s="1" t="n">
        <v>46003</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30751-2025</t>
        </is>
      </c>
      <c r="B325" s="1" t="n">
        <v>45831.58921296296</v>
      </c>
      <c r="C325" s="1" t="n">
        <v>46003</v>
      </c>
      <c r="D325" t="inlineStr">
        <is>
          <t>DALARNAS LÄN</t>
        </is>
      </c>
      <c r="E325" t="inlineStr">
        <is>
          <t>ORSA</t>
        </is>
      </c>
      <c r="G325" t="n">
        <v>5.2</v>
      </c>
      <c r="H325" t="n">
        <v>0</v>
      </c>
      <c r="I325" t="n">
        <v>0</v>
      </c>
      <c r="J325" t="n">
        <v>0</v>
      </c>
      <c r="K325" t="n">
        <v>0</v>
      </c>
      <c r="L325" t="n">
        <v>0</v>
      </c>
      <c r="M325" t="n">
        <v>0</v>
      </c>
      <c r="N325" t="n">
        <v>0</v>
      </c>
      <c r="O325" t="n">
        <v>0</v>
      </c>
      <c r="P325" t="n">
        <v>0</v>
      </c>
      <c r="Q325" t="n">
        <v>0</v>
      </c>
      <c r="R325" s="2" t="inlineStr"/>
    </row>
    <row r="326" ht="15" customHeight="1">
      <c r="A326" t="inlineStr">
        <is>
          <t>A 24083-2021</t>
        </is>
      </c>
      <c r="B326" s="1" t="n">
        <v>44336</v>
      </c>
      <c r="C326" s="1" t="n">
        <v>46003</v>
      </c>
      <c r="D326" t="inlineStr">
        <is>
          <t>DALARNAS LÄN</t>
        </is>
      </c>
      <c r="E326" t="inlineStr">
        <is>
          <t>ORSA</t>
        </is>
      </c>
      <c r="G326" t="n">
        <v>2.3</v>
      </c>
      <c r="H326" t="n">
        <v>0</v>
      </c>
      <c r="I326" t="n">
        <v>0</v>
      </c>
      <c r="J326" t="n">
        <v>0</v>
      </c>
      <c r="K326" t="n">
        <v>0</v>
      </c>
      <c r="L326" t="n">
        <v>0</v>
      </c>
      <c r="M326" t="n">
        <v>0</v>
      </c>
      <c r="N326" t="n">
        <v>0</v>
      </c>
      <c r="O326" t="n">
        <v>0</v>
      </c>
      <c r="P326" t="n">
        <v>0</v>
      </c>
      <c r="Q326" t="n">
        <v>0</v>
      </c>
      <c r="R326" s="2" t="inlineStr"/>
    </row>
    <row r="327" ht="15" customHeight="1">
      <c r="A327" t="inlineStr">
        <is>
          <t>A 40091-2025</t>
        </is>
      </c>
      <c r="B327" s="1" t="n">
        <v>45894.47822916666</v>
      </c>
      <c r="C327" s="1" t="n">
        <v>46003</v>
      </c>
      <c r="D327" t="inlineStr">
        <is>
          <t>DALARNAS LÄN</t>
        </is>
      </c>
      <c r="E327" t="inlineStr">
        <is>
          <t>ORSA</t>
        </is>
      </c>
      <c r="F327" t="inlineStr">
        <is>
          <t>Allmännings- och besparingsskogar</t>
        </is>
      </c>
      <c r="G327" t="n">
        <v>20.4</v>
      </c>
      <c r="H327" t="n">
        <v>0</v>
      </c>
      <c r="I327" t="n">
        <v>0</v>
      </c>
      <c r="J327" t="n">
        <v>0</v>
      </c>
      <c r="K327" t="n">
        <v>0</v>
      </c>
      <c r="L327" t="n">
        <v>0</v>
      </c>
      <c r="M327" t="n">
        <v>0</v>
      </c>
      <c r="N327" t="n">
        <v>0</v>
      </c>
      <c r="O327" t="n">
        <v>0</v>
      </c>
      <c r="P327" t="n">
        <v>0</v>
      </c>
      <c r="Q327" t="n">
        <v>0</v>
      </c>
      <c r="R327" s="2" t="inlineStr"/>
    </row>
    <row r="328" ht="15" customHeight="1">
      <c r="A328" t="inlineStr">
        <is>
          <t>A 36427-2023</t>
        </is>
      </c>
      <c r="B328" s="1" t="n">
        <v>45152.60333333333</v>
      </c>
      <c r="C328" s="1" t="n">
        <v>46003</v>
      </c>
      <c r="D328" t="inlineStr">
        <is>
          <t>DALARNAS LÄN</t>
        </is>
      </c>
      <c r="E328" t="inlineStr">
        <is>
          <t>ORSA</t>
        </is>
      </c>
      <c r="F328" t="inlineStr">
        <is>
          <t>Bergvik skog öst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40127-2025</t>
        </is>
      </c>
      <c r="B329" s="1" t="n">
        <v>45894.53300925926</v>
      </c>
      <c r="C329" s="1" t="n">
        <v>46003</v>
      </c>
      <c r="D329" t="inlineStr">
        <is>
          <t>DALARNAS LÄN</t>
        </is>
      </c>
      <c r="E329" t="inlineStr">
        <is>
          <t>ORSA</t>
        </is>
      </c>
      <c r="F329" t="inlineStr">
        <is>
          <t>Allmännings- och besparingsskogar</t>
        </is>
      </c>
      <c r="G329" t="n">
        <v>17.4</v>
      </c>
      <c r="H329" t="n">
        <v>0</v>
      </c>
      <c r="I329" t="n">
        <v>0</v>
      </c>
      <c r="J329" t="n">
        <v>0</v>
      </c>
      <c r="K329" t="n">
        <v>0</v>
      </c>
      <c r="L329" t="n">
        <v>0</v>
      </c>
      <c r="M329" t="n">
        <v>0</v>
      </c>
      <c r="N329" t="n">
        <v>0</v>
      </c>
      <c r="O329" t="n">
        <v>0</v>
      </c>
      <c r="P329" t="n">
        <v>0</v>
      </c>
      <c r="Q329" t="n">
        <v>0</v>
      </c>
      <c r="R329" s="2" t="inlineStr"/>
    </row>
    <row r="330" ht="15" customHeight="1">
      <c r="A330" t="inlineStr">
        <is>
          <t>A 33945-2022</t>
        </is>
      </c>
      <c r="B330" s="1" t="n">
        <v>44790.66212962963</v>
      </c>
      <c r="C330" s="1" t="n">
        <v>46003</v>
      </c>
      <c r="D330" t="inlineStr">
        <is>
          <t>DALARNAS LÄN</t>
        </is>
      </c>
      <c r="E330" t="inlineStr">
        <is>
          <t>ORSA</t>
        </is>
      </c>
      <c r="F330" t="inlineStr">
        <is>
          <t>Bergvik skog öst AB</t>
        </is>
      </c>
      <c r="G330" t="n">
        <v>1.9</v>
      </c>
      <c r="H330" t="n">
        <v>0</v>
      </c>
      <c r="I330" t="n">
        <v>0</v>
      </c>
      <c r="J330" t="n">
        <v>0</v>
      </c>
      <c r="K330" t="n">
        <v>0</v>
      </c>
      <c r="L330" t="n">
        <v>0</v>
      </c>
      <c r="M330" t="n">
        <v>0</v>
      </c>
      <c r="N330" t="n">
        <v>0</v>
      </c>
      <c r="O330" t="n">
        <v>0</v>
      </c>
      <c r="P330" t="n">
        <v>0</v>
      </c>
      <c r="Q330" t="n">
        <v>0</v>
      </c>
      <c r="R330" s="2" t="inlineStr"/>
    </row>
    <row r="331" ht="15" customHeight="1">
      <c r="A331" t="inlineStr">
        <is>
          <t>A 16585-2023</t>
        </is>
      </c>
      <c r="B331" s="1" t="n">
        <v>45030</v>
      </c>
      <c r="C331" s="1" t="n">
        <v>46003</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25591-2022</t>
        </is>
      </c>
      <c r="B332" s="1" t="n">
        <v>44732.67958333333</v>
      </c>
      <c r="C332" s="1" t="n">
        <v>46003</v>
      </c>
      <c r="D332" t="inlineStr">
        <is>
          <t>DALARNAS LÄN</t>
        </is>
      </c>
      <c r="E332" t="inlineStr">
        <is>
          <t>ORSA</t>
        </is>
      </c>
      <c r="G332" t="n">
        <v>6</v>
      </c>
      <c r="H332" t="n">
        <v>0</v>
      </c>
      <c r="I332" t="n">
        <v>0</v>
      </c>
      <c r="J332" t="n">
        <v>0</v>
      </c>
      <c r="K332" t="n">
        <v>0</v>
      </c>
      <c r="L332" t="n">
        <v>0</v>
      </c>
      <c r="M332" t="n">
        <v>0</v>
      </c>
      <c r="N332" t="n">
        <v>0</v>
      </c>
      <c r="O332" t="n">
        <v>0</v>
      </c>
      <c r="P332" t="n">
        <v>0</v>
      </c>
      <c r="Q332" t="n">
        <v>0</v>
      </c>
      <c r="R332" s="2" t="inlineStr"/>
    </row>
    <row r="333" ht="15" customHeight="1">
      <c r="A333" t="inlineStr">
        <is>
          <t>A 40577-2025</t>
        </is>
      </c>
      <c r="B333" s="1" t="n">
        <v>45896.51028935185</v>
      </c>
      <c r="C333" s="1" t="n">
        <v>46003</v>
      </c>
      <c r="D333" t="inlineStr">
        <is>
          <t>DALARNAS LÄN</t>
        </is>
      </c>
      <c r="E333" t="inlineStr">
        <is>
          <t>ORSA</t>
        </is>
      </c>
      <c r="F333" t="inlineStr">
        <is>
          <t>Allmännings- och besparingsskogar</t>
        </is>
      </c>
      <c r="G333" t="n">
        <v>13.8</v>
      </c>
      <c r="H333" t="n">
        <v>0</v>
      </c>
      <c r="I333" t="n">
        <v>0</v>
      </c>
      <c r="J333" t="n">
        <v>0</v>
      </c>
      <c r="K333" t="n">
        <v>0</v>
      </c>
      <c r="L333" t="n">
        <v>0</v>
      </c>
      <c r="M333" t="n">
        <v>0</v>
      </c>
      <c r="N333" t="n">
        <v>0</v>
      </c>
      <c r="O333" t="n">
        <v>0</v>
      </c>
      <c r="P333" t="n">
        <v>0</v>
      </c>
      <c r="Q333" t="n">
        <v>0</v>
      </c>
      <c r="R333" s="2" t="inlineStr"/>
    </row>
    <row r="334" ht="15" customHeight="1">
      <c r="A334" t="inlineStr">
        <is>
          <t>A 3951-2023</t>
        </is>
      </c>
      <c r="B334" s="1" t="n">
        <v>44952.38577546296</v>
      </c>
      <c r="C334" s="1" t="n">
        <v>46003</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37838-2024</t>
        </is>
      </c>
      <c r="B335" s="1" t="n">
        <v>45544.36310185185</v>
      </c>
      <c r="C335" s="1" t="n">
        <v>46003</v>
      </c>
      <c r="D335" t="inlineStr">
        <is>
          <t>DALARNAS LÄN</t>
        </is>
      </c>
      <c r="E335" t="inlineStr">
        <is>
          <t>ORSA</t>
        </is>
      </c>
      <c r="G335" t="n">
        <v>2.9</v>
      </c>
      <c r="H335" t="n">
        <v>0</v>
      </c>
      <c r="I335" t="n">
        <v>0</v>
      </c>
      <c r="J335" t="n">
        <v>0</v>
      </c>
      <c r="K335" t="n">
        <v>0</v>
      </c>
      <c r="L335" t="n">
        <v>0</v>
      </c>
      <c r="M335" t="n">
        <v>0</v>
      </c>
      <c r="N335" t="n">
        <v>0</v>
      </c>
      <c r="O335" t="n">
        <v>0</v>
      </c>
      <c r="P335" t="n">
        <v>0</v>
      </c>
      <c r="Q335" t="n">
        <v>0</v>
      </c>
      <c r="R335" s="2" t="inlineStr"/>
    </row>
    <row r="336" ht="15" customHeight="1">
      <c r="A336" t="inlineStr">
        <is>
          <t>A 22491-2025</t>
        </is>
      </c>
      <c r="B336" s="1" t="n">
        <v>45786.65040509259</v>
      </c>
      <c r="C336" s="1" t="n">
        <v>46003</v>
      </c>
      <c r="D336" t="inlineStr">
        <is>
          <t>DALARNAS LÄN</t>
        </is>
      </c>
      <c r="E336" t="inlineStr">
        <is>
          <t>ORSA</t>
        </is>
      </c>
      <c r="F336" t="inlineStr">
        <is>
          <t>Bergvik skog öst AB</t>
        </is>
      </c>
      <c r="G336" t="n">
        <v>5.7</v>
      </c>
      <c r="H336" t="n">
        <v>0</v>
      </c>
      <c r="I336" t="n">
        <v>0</v>
      </c>
      <c r="J336" t="n">
        <v>0</v>
      </c>
      <c r="K336" t="n">
        <v>0</v>
      </c>
      <c r="L336" t="n">
        <v>0</v>
      </c>
      <c r="M336" t="n">
        <v>0</v>
      </c>
      <c r="N336" t="n">
        <v>0</v>
      </c>
      <c r="O336" t="n">
        <v>0</v>
      </c>
      <c r="P336" t="n">
        <v>0</v>
      </c>
      <c r="Q336" t="n">
        <v>0</v>
      </c>
      <c r="R336" s="2" t="inlineStr"/>
    </row>
    <row r="337" ht="15" customHeight="1">
      <c r="A337" t="inlineStr">
        <is>
          <t>A 56942-2024</t>
        </is>
      </c>
      <c r="B337" s="1" t="n">
        <v>45628.62292824074</v>
      </c>
      <c r="C337" s="1" t="n">
        <v>46003</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41666-2025</t>
        </is>
      </c>
      <c r="B338" s="1" t="n">
        <v>45902.35822916667</v>
      </c>
      <c r="C338" s="1" t="n">
        <v>46003</v>
      </c>
      <c r="D338" t="inlineStr">
        <is>
          <t>DALARNAS LÄN</t>
        </is>
      </c>
      <c r="E338" t="inlineStr">
        <is>
          <t>ORSA</t>
        </is>
      </c>
      <c r="G338" t="n">
        <v>1.4</v>
      </c>
      <c r="H338" t="n">
        <v>0</v>
      </c>
      <c r="I338" t="n">
        <v>0</v>
      </c>
      <c r="J338" t="n">
        <v>0</v>
      </c>
      <c r="K338" t="n">
        <v>0</v>
      </c>
      <c r="L338" t="n">
        <v>0</v>
      </c>
      <c r="M338" t="n">
        <v>0</v>
      </c>
      <c r="N338" t="n">
        <v>0</v>
      </c>
      <c r="O338" t="n">
        <v>0</v>
      </c>
      <c r="P338" t="n">
        <v>0</v>
      </c>
      <c r="Q338" t="n">
        <v>0</v>
      </c>
      <c r="R338" s="2" t="inlineStr"/>
    </row>
    <row r="339" ht="15" customHeight="1">
      <c r="A339" t="inlineStr">
        <is>
          <t>A 3107-2025</t>
        </is>
      </c>
      <c r="B339" s="1" t="n">
        <v>45678.68400462963</v>
      </c>
      <c r="C339" s="1" t="n">
        <v>46003</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41919-2025</t>
        </is>
      </c>
      <c r="B340" s="1" t="n">
        <v>45903.42372685186</v>
      </c>
      <c r="C340" s="1" t="n">
        <v>46003</v>
      </c>
      <c r="D340" t="inlineStr">
        <is>
          <t>DALARNAS LÄN</t>
        </is>
      </c>
      <c r="E340" t="inlineStr">
        <is>
          <t>ORSA</t>
        </is>
      </c>
      <c r="G340" t="n">
        <v>0.5</v>
      </c>
      <c r="H340" t="n">
        <v>0</v>
      </c>
      <c r="I340" t="n">
        <v>0</v>
      </c>
      <c r="J340" t="n">
        <v>0</v>
      </c>
      <c r="K340" t="n">
        <v>0</v>
      </c>
      <c r="L340" t="n">
        <v>0</v>
      </c>
      <c r="M340" t="n">
        <v>0</v>
      </c>
      <c r="N340" t="n">
        <v>0</v>
      </c>
      <c r="O340" t="n">
        <v>0</v>
      </c>
      <c r="P340" t="n">
        <v>0</v>
      </c>
      <c r="Q340" t="n">
        <v>0</v>
      </c>
      <c r="R340" s="2" t="inlineStr"/>
    </row>
    <row r="341" ht="15" customHeight="1">
      <c r="A341" t="inlineStr">
        <is>
          <t>A 41927-2025</t>
        </is>
      </c>
      <c r="B341" s="1" t="n">
        <v>45903.4290625</v>
      </c>
      <c r="C341" s="1" t="n">
        <v>46003</v>
      </c>
      <c r="D341" t="inlineStr">
        <is>
          <t>DALARNAS LÄN</t>
        </is>
      </c>
      <c r="E341" t="inlineStr">
        <is>
          <t>ORSA</t>
        </is>
      </c>
      <c r="G341" t="n">
        <v>2.4</v>
      </c>
      <c r="H341" t="n">
        <v>0</v>
      </c>
      <c r="I341" t="n">
        <v>0</v>
      </c>
      <c r="J341" t="n">
        <v>0</v>
      </c>
      <c r="K341" t="n">
        <v>0</v>
      </c>
      <c r="L341" t="n">
        <v>0</v>
      </c>
      <c r="M341" t="n">
        <v>0</v>
      </c>
      <c r="N341" t="n">
        <v>0</v>
      </c>
      <c r="O341" t="n">
        <v>0</v>
      </c>
      <c r="P341" t="n">
        <v>0</v>
      </c>
      <c r="Q341" t="n">
        <v>0</v>
      </c>
      <c r="R341" s="2" t="inlineStr"/>
    </row>
    <row r="342" ht="15" customHeight="1">
      <c r="A342" t="inlineStr">
        <is>
          <t>A 48819-2024</t>
        </is>
      </c>
      <c r="B342" s="1" t="n">
        <v>45593.67824074074</v>
      </c>
      <c r="C342" s="1" t="n">
        <v>46003</v>
      </c>
      <c r="D342" t="inlineStr">
        <is>
          <t>DALARNAS LÄN</t>
        </is>
      </c>
      <c r="E342" t="inlineStr">
        <is>
          <t>ORSA</t>
        </is>
      </c>
      <c r="G342" t="n">
        <v>5</v>
      </c>
      <c r="H342" t="n">
        <v>0</v>
      </c>
      <c r="I342" t="n">
        <v>0</v>
      </c>
      <c r="J342" t="n">
        <v>0</v>
      </c>
      <c r="K342" t="n">
        <v>0</v>
      </c>
      <c r="L342" t="n">
        <v>0</v>
      </c>
      <c r="M342" t="n">
        <v>0</v>
      </c>
      <c r="N342" t="n">
        <v>0</v>
      </c>
      <c r="O342" t="n">
        <v>0</v>
      </c>
      <c r="P342" t="n">
        <v>0</v>
      </c>
      <c r="Q342" t="n">
        <v>0</v>
      </c>
      <c r="R342" s="2" t="inlineStr"/>
    </row>
    <row r="343" ht="15" customHeight="1">
      <c r="A343" t="inlineStr">
        <is>
          <t>A 36089-2023</t>
        </is>
      </c>
      <c r="B343" s="1" t="n">
        <v>45149.51068287037</v>
      </c>
      <c r="C343" s="1" t="n">
        <v>46003</v>
      </c>
      <c r="D343" t="inlineStr">
        <is>
          <t>DALARNAS LÄN</t>
        </is>
      </c>
      <c r="E343" t="inlineStr">
        <is>
          <t>ORSA</t>
        </is>
      </c>
      <c r="F343" t="inlineStr">
        <is>
          <t>Allmännings- och besparingsskogar</t>
        </is>
      </c>
      <c r="G343" t="n">
        <v>1.2</v>
      </c>
      <c r="H343" t="n">
        <v>0</v>
      </c>
      <c r="I343" t="n">
        <v>0</v>
      </c>
      <c r="J343" t="n">
        <v>0</v>
      </c>
      <c r="K343" t="n">
        <v>0</v>
      </c>
      <c r="L343" t="n">
        <v>0</v>
      </c>
      <c r="M343" t="n">
        <v>0</v>
      </c>
      <c r="N343" t="n">
        <v>0</v>
      </c>
      <c r="O343" t="n">
        <v>0</v>
      </c>
      <c r="P343" t="n">
        <v>0</v>
      </c>
      <c r="Q343" t="n">
        <v>0</v>
      </c>
      <c r="R343" s="2" t="inlineStr"/>
    </row>
    <row r="344" ht="15" customHeight="1">
      <c r="A344" t="inlineStr">
        <is>
          <t>A 21905-2022</t>
        </is>
      </c>
      <c r="B344" s="1" t="n">
        <v>44711</v>
      </c>
      <c r="C344" s="1" t="n">
        <v>46003</v>
      </c>
      <c r="D344" t="inlineStr">
        <is>
          <t>DALARNAS LÄN</t>
        </is>
      </c>
      <c r="E344" t="inlineStr">
        <is>
          <t>ORSA</t>
        </is>
      </c>
      <c r="F344" t="inlineStr">
        <is>
          <t>Allmännings- och besparingsskogar</t>
        </is>
      </c>
      <c r="G344" t="n">
        <v>3.1</v>
      </c>
      <c r="H344" t="n">
        <v>0</v>
      </c>
      <c r="I344" t="n">
        <v>0</v>
      </c>
      <c r="J344" t="n">
        <v>0</v>
      </c>
      <c r="K344" t="n">
        <v>0</v>
      </c>
      <c r="L344" t="n">
        <v>0</v>
      </c>
      <c r="M344" t="n">
        <v>0</v>
      </c>
      <c r="N344" t="n">
        <v>0</v>
      </c>
      <c r="O344" t="n">
        <v>0</v>
      </c>
      <c r="P344" t="n">
        <v>0</v>
      </c>
      <c r="Q344" t="n">
        <v>0</v>
      </c>
      <c r="R344" s="2" t="inlineStr"/>
    </row>
    <row r="345" ht="15" customHeight="1">
      <c r="A345" t="inlineStr">
        <is>
          <t>A 23056-2025</t>
        </is>
      </c>
      <c r="B345" s="1" t="n">
        <v>45790.73627314815</v>
      </c>
      <c r="C345" s="1" t="n">
        <v>46003</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23055-2025</t>
        </is>
      </c>
      <c r="B346" s="1" t="n">
        <v>45790.73469907408</v>
      </c>
      <c r="C346" s="1" t="n">
        <v>46003</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62342-2023</t>
        </is>
      </c>
      <c r="B347" s="1" t="n">
        <v>45267.9268287037</v>
      </c>
      <c r="C347" s="1" t="n">
        <v>46003</v>
      </c>
      <c r="D347" t="inlineStr">
        <is>
          <t>DALARNAS LÄN</t>
        </is>
      </c>
      <c r="E347" t="inlineStr">
        <is>
          <t>ORSA</t>
        </is>
      </c>
      <c r="G347" t="n">
        <v>2.5</v>
      </c>
      <c r="H347" t="n">
        <v>0</v>
      </c>
      <c r="I347" t="n">
        <v>0</v>
      </c>
      <c r="J347" t="n">
        <v>0</v>
      </c>
      <c r="K347" t="n">
        <v>0</v>
      </c>
      <c r="L347" t="n">
        <v>0</v>
      </c>
      <c r="M347" t="n">
        <v>0</v>
      </c>
      <c r="N347" t="n">
        <v>0</v>
      </c>
      <c r="O347" t="n">
        <v>0</v>
      </c>
      <c r="P347" t="n">
        <v>0</v>
      </c>
      <c r="Q347" t="n">
        <v>0</v>
      </c>
      <c r="R347" s="2" t="inlineStr"/>
    </row>
    <row r="348" ht="15" customHeight="1">
      <c r="A348" t="inlineStr">
        <is>
          <t>A 41991-2025</t>
        </is>
      </c>
      <c r="B348" s="1" t="n">
        <v>45903.54532407408</v>
      </c>
      <c r="C348" s="1" t="n">
        <v>46003</v>
      </c>
      <c r="D348" t="inlineStr">
        <is>
          <t>DALARNAS LÄN</t>
        </is>
      </c>
      <c r="E348" t="inlineStr">
        <is>
          <t>ORSA</t>
        </is>
      </c>
      <c r="G348" t="n">
        <v>1.4</v>
      </c>
      <c r="H348" t="n">
        <v>0</v>
      </c>
      <c r="I348" t="n">
        <v>0</v>
      </c>
      <c r="J348" t="n">
        <v>0</v>
      </c>
      <c r="K348" t="n">
        <v>0</v>
      </c>
      <c r="L348" t="n">
        <v>0</v>
      </c>
      <c r="M348" t="n">
        <v>0</v>
      </c>
      <c r="N348" t="n">
        <v>0</v>
      </c>
      <c r="O348" t="n">
        <v>0</v>
      </c>
      <c r="P348" t="n">
        <v>0</v>
      </c>
      <c r="Q348" t="n">
        <v>0</v>
      </c>
      <c r="R348" s="2" t="inlineStr"/>
    </row>
    <row r="349" ht="15" customHeight="1">
      <c r="A349" t="inlineStr">
        <is>
          <t>A 42226-2025</t>
        </is>
      </c>
      <c r="B349" s="1" t="n">
        <v>45904.53831018518</v>
      </c>
      <c r="C349" s="1" t="n">
        <v>46003</v>
      </c>
      <c r="D349" t="inlineStr">
        <is>
          <t>DALARNAS LÄN</t>
        </is>
      </c>
      <c r="E349" t="inlineStr">
        <is>
          <t>ORSA</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50742-2023</t>
        </is>
      </c>
      <c r="B350" s="1" t="n">
        <v>45217.58891203703</v>
      </c>
      <c r="C350" s="1" t="n">
        <v>46003</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27163-2023</t>
        </is>
      </c>
      <c r="B351" s="1" t="n">
        <v>45096.4878125</v>
      </c>
      <c r="C351" s="1" t="n">
        <v>46003</v>
      </c>
      <c r="D351" t="inlineStr">
        <is>
          <t>DALARNAS LÄN</t>
        </is>
      </c>
      <c r="E351" t="inlineStr">
        <is>
          <t>ORSA</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41971-2025</t>
        </is>
      </c>
      <c r="B352" s="1" t="n">
        <v>45903.48930555556</v>
      </c>
      <c r="C352" s="1" t="n">
        <v>46003</v>
      </c>
      <c r="D352" t="inlineStr">
        <is>
          <t>DALARNAS LÄN</t>
        </is>
      </c>
      <c r="E352" t="inlineStr">
        <is>
          <t>ORSA</t>
        </is>
      </c>
      <c r="G352" t="n">
        <v>15.8</v>
      </c>
      <c r="H352" t="n">
        <v>0</v>
      </c>
      <c r="I352" t="n">
        <v>0</v>
      </c>
      <c r="J352" t="n">
        <v>0</v>
      </c>
      <c r="K352" t="n">
        <v>0</v>
      </c>
      <c r="L352" t="n">
        <v>0</v>
      </c>
      <c r="M352" t="n">
        <v>0</v>
      </c>
      <c r="N352" t="n">
        <v>0</v>
      </c>
      <c r="O352" t="n">
        <v>0</v>
      </c>
      <c r="P352" t="n">
        <v>0</v>
      </c>
      <c r="Q352" t="n">
        <v>0</v>
      </c>
      <c r="R352" s="2" t="inlineStr"/>
    </row>
    <row r="353" ht="15" customHeight="1">
      <c r="A353" t="inlineStr">
        <is>
          <t>A 52903-2024</t>
        </is>
      </c>
      <c r="B353" s="1" t="n">
        <v>45610.6875462963</v>
      </c>
      <c r="C353" s="1" t="n">
        <v>46003</v>
      </c>
      <c r="D353" t="inlineStr">
        <is>
          <t>DALARNAS LÄN</t>
        </is>
      </c>
      <c r="E353" t="inlineStr">
        <is>
          <t>ORSA</t>
        </is>
      </c>
      <c r="G353" t="n">
        <v>1.3</v>
      </c>
      <c r="H353" t="n">
        <v>0</v>
      </c>
      <c r="I353" t="n">
        <v>0</v>
      </c>
      <c r="J353" t="n">
        <v>0</v>
      </c>
      <c r="K353" t="n">
        <v>0</v>
      </c>
      <c r="L353" t="n">
        <v>0</v>
      </c>
      <c r="M353" t="n">
        <v>0</v>
      </c>
      <c r="N353" t="n">
        <v>0</v>
      </c>
      <c r="O353" t="n">
        <v>0</v>
      </c>
      <c r="P353" t="n">
        <v>0</v>
      </c>
      <c r="Q353" t="n">
        <v>0</v>
      </c>
      <c r="R353" s="2" t="inlineStr"/>
    </row>
    <row r="354" ht="15" customHeight="1">
      <c r="A354" t="inlineStr">
        <is>
          <t>A 18009-2023</t>
        </is>
      </c>
      <c r="B354" s="1" t="n">
        <v>45040.56190972222</v>
      </c>
      <c r="C354" s="1" t="n">
        <v>46003</v>
      </c>
      <c r="D354" t="inlineStr">
        <is>
          <t>DALARNAS LÄN</t>
        </is>
      </c>
      <c r="E354" t="inlineStr">
        <is>
          <t>ORSA</t>
        </is>
      </c>
      <c r="G354" t="n">
        <v>5.8</v>
      </c>
      <c r="H354" t="n">
        <v>0</v>
      </c>
      <c r="I354" t="n">
        <v>0</v>
      </c>
      <c r="J354" t="n">
        <v>0</v>
      </c>
      <c r="K354" t="n">
        <v>0</v>
      </c>
      <c r="L354" t="n">
        <v>0</v>
      </c>
      <c r="M354" t="n">
        <v>0</v>
      </c>
      <c r="N354" t="n">
        <v>0</v>
      </c>
      <c r="O354" t="n">
        <v>0</v>
      </c>
      <c r="P354" t="n">
        <v>0</v>
      </c>
      <c r="Q354" t="n">
        <v>0</v>
      </c>
      <c r="R354" s="2" t="inlineStr"/>
    </row>
    <row r="355" ht="15" customHeight="1">
      <c r="A355" t="inlineStr">
        <is>
          <t>A 23015-2025</t>
        </is>
      </c>
      <c r="B355" s="1" t="n">
        <v>45790.6377662037</v>
      </c>
      <c r="C355" s="1" t="n">
        <v>46003</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23875-2025</t>
        </is>
      </c>
      <c r="B356" s="1" t="n">
        <v>45793.68313657407</v>
      </c>
      <c r="C356" s="1" t="n">
        <v>46003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48518-2024</t>
        </is>
      </c>
      <c r="B357" s="1" t="n">
        <v>45593.31915509259</v>
      </c>
      <c r="C357" s="1" t="n">
        <v>46003</v>
      </c>
      <c r="D357" t="inlineStr">
        <is>
          <t>DALARNAS LÄN</t>
        </is>
      </c>
      <c r="E357" t="inlineStr">
        <is>
          <t>ORSA</t>
        </is>
      </c>
      <c r="G357" t="n">
        <v>1.9</v>
      </c>
      <c r="H357" t="n">
        <v>0</v>
      </c>
      <c r="I357" t="n">
        <v>0</v>
      </c>
      <c r="J357" t="n">
        <v>0</v>
      </c>
      <c r="K357" t="n">
        <v>0</v>
      </c>
      <c r="L357" t="n">
        <v>0</v>
      </c>
      <c r="M357" t="n">
        <v>0</v>
      </c>
      <c r="N357" t="n">
        <v>0</v>
      </c>
      <c r="O357" t="n">
        <v>0</v>
      </c>
      <c r="P357" t="n">
        <v>0</v>
      </c>
      <c r="Q357" t="n">
        <v>0</v>
      </c>
      <c r="R357" s="2" t="inlineStr"/>
    </row>
    <row r="358" ht="15" customHeight="1">
      <c r="A358" t="inlineStr">
        <is>
          <t>A 56706-2021</t>
        </is>
      </c>
      <c r="B358" s="1" t="n">
        <v>44481.4037962963</v>
      </c>
      <c r="C358" s="1" t="n">
        <v>46003</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31688-2024</t>
        </is>
      </c>
      <c r="B359" s="1" t="n">
        <v>45507.46103009259</v>
      </c>
      <c r="C359" s="1" t="n">
        <v>46003</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59411-2024</t>
        </is>
      </c>
      <c r="B360" s="1" t="n">
        <v>45638.39675925926</v>
      </c>
      <c r="C360" s="1" t="n">
        <v>46003</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59414-2024</t>
        </is>
      </c>
      <c r="B361" s="1" t="n">
        <v>45638.39965277778</v>
      </c>
      <c r="C361" s="1" t="n">
        <v>46003</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27240-2025</t>
        </is>
      </c>
      <c r="B362" s="1" t="n">
        <v>45812.45170138889</v>
      </c>
      <c r="C362" s="1" t="n">
        <v>46003</v>
      </c>
      <c r="D362" t="inlineStr">
        <is>
          <t>DALARNAS LÄN</t>
        </is>
      </c>
      <c r="E362" t="inlineStr">
        <is>
          <t>ORSA</t>
        </is>
      </c>
      <c r="F362" t="inlineStr">
        <is>
          <t>Bergvik skog öst AB</t>
        </is>
      </c>
      <c r="G362" t="n">
        <v>6.8</v>
      </c>
      <c r="H362" t="n">
        <v>0</v>
      </c>
      <c r="I362" t="n">
        <v>0</v>
      </c>
      <c r="J362" t="n">
        <v>0</v>
      </c>
      <c r="K362" t="n">
        <v>0</v>
      </c>
      <c r="L362" t="n">
        <v>0</v>
      </c>
      <c r="M362" t="n">
        <v>0</v>
      </c>
      <c r="N362" t="n">
        <v>0</v>
      </c>
      <c r="O362" t="n">
        <v>0</v>
      </c>
      <c r="P362" t="n">
        <v>0</v>
      </c>
      <c r="Q362" t="n">
        <v>0</v>
      </c>
      <c r="R362" s="2" t="inlineStr"/>
    </row>
    <row r="363" ht="15" customHeight="1">
      <c r="A363" t="inlineStr">
        <is>
          <t>A 48447-2023</t>
        </is>
      </c>
      <c r="B363" s="1" t="n">
        <v>45206.39274305556</v>
      </c>
      <c r="C363" s="1" t="n">
        <v>46003</v>
      </c>
      <c r="D363" t="inlineStr">
        <is>
          <t>DALARNAS LÄN</t>
        </is>
      </c>
      <c r="E363" t="inlineStr">
        <is>
          <t>ORSA</t>
        </is>
      </c>
      <c r="G363" t="n">
        <v>0.6</v>
      </c>
      <c r="H363" t="n">
        <v>0</v>
      </c>
      <c r="I363" t="n">
        <v>0</v>
      </c>
      <c r="J363" t="n">
        <v>0</v>
      </c>
      <c r="K363" t="n">
        <v>0</v>
      </c>
      <c r="L363" t="n">
        <v>0</v>
      </c>
      <c r="M363" t="n">
        <v>0</v>
      </c>
      <c r="N363" t="n">
        <v>0</v>
      </c>
      <c r="O363" t="n">
        <v>0</v>
      </c>
      <c r="P363" t="n">
        <v>0</v>
      </c>
      <c r="Q363" t="n">
        <v>0</v>
      </c>
      <c r="R363" s="2" t="inlineStr"/>
    </row>
    <row r="364" ht="15" customHeight="1">
      <c r="A364" t="inlineStr">
        <is>
          <t>A 9836-2022</t>
        </is>
      </c>
      <c r="B364" s="1" t="n">
        <v>44620</v>
      </c>
      <c r="C364" s="1" t="n">
        <v>46003</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23053-2025</t>
        </is>
      </c>
      <c r="B365" s="1" t="n">
        <v>45790.73072916667</v>
      </c>
      <c r="C365" s="1" t="n">
        <v>46003</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35477-2023</t>
        </is>
      </c>
      <c r="B366" s="1" t="n">
        <v>45146</v>
      </c>
      <c r="C366" s="1" t="n">
        <v>46003</v>
      </c>
      <c r="D366" t="inlineStr">
        <is>
          <t>DALARNAS LÄN</t>
        </is>
      </c>
      <c r="E366" t="inlineStr">
        <is>
          <t>ORSA</t>
        </is>
      </c>
      <c r="G366" t="n">
        <v>7.7</v>
      </c>
      <c r="H366" t="n">
        <v>0</v>
      </c>
      <c r="I366" t="n">
        <v>0</v>
      </c>
      <c r="J366" t="n">
        <v>0</v>
      </c>
      <c r="K366" t="n">
        <v>0</v>
      </c>
      <c r="L366" t="n">
        <v>0</v>
      </c>
      <c r="M366" t="n">
        <v>0</v>
      </c>
      <c r="N366" t="n">
        <v>0</v>
      </c>
      <c r="O366" t="n">
        <v>0</v>
      </c>
      <c r="P366" t="n">
        <v>0</v>
      </c>
      <c r="Q366" t="n">
        <v>0</v>
      </c>
      <c r="R366" s="2" t="inlineStr"/>
    </row>
    <row r="367" ht="15" customHeight="1">
      <c r="A367" t="inlineStr">
        <is>
          <t>A 37647-2023</t>
        </is>
      </c>
      <c r="B367" s="1" t="n">
        <v>45159</v>
      </c>
      <c r="C367" s="1" t="n">
        <v>46003</v>
      </c>
      <c r="D367" t="inlineStr">
        <is>
          <t>DALARNAS LÄN</t>
        </is>
      </c>
      <c r="E367" t="inlineStr">
        <is>
          <t>ORSA</t>
        </is>
      </c>
      <c r="F367" t="inlineStr">
        <is>
          <t>Allmännings- och besparingsskogar</t>
        </is>
      </c>
      <c r="G367" t="n">
        <v>2.1</v>
      </c>
      <c r="H367" t="n">
        <v>0</v>
      </c>
      <c r="I367" t="n">
        <v>0</v>
      </c>
      <c r="J367" t="n">
        <v>0</v>
      </c>
      <c r="K367" t="n">
        <v>0</v>
      </c>
      <c r="L367" t="n">
        <v>0</v>
      </c>
      <c r="M367" t="n">
        <v>0</v>
      </c>
      <c r="N367" t="n">
        <v>0</v>
      </c>
      <c r="O367" t="n">
        <v>0</v>
      </c>
      <c r="P367" t="n">
        <v>0</v>
      </c>
      <c r="Q367" t="n">
        <v>0</v>
      </c>
      <c r="R367" s="2" t="inlineStr"/>
    </row>
    <row r="368" ht="15" customHeight="1">
      <c r="A368" t="inlineStr">
        <is>
          <t>A 62289-2023</t>
        </is>
      </c>
      <c r="B368" s="1" t="n">
        <v>45266</v>
      </c>
      <c r="C368" s="1" t="n">
        <v>46003</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28923-2024</t>
        </is>
      </c>
      <c r="B369" s="1" t="n">
        <v>45481</v>
      </c>
      <c r="C369" s="1" t="n">
        <v>46003</v>
      </c>
      <c r="D369" t="inlineStr">
        <is>
          <t>DALARNAS LÄN</t>
        </is>
      </c>
      <c r="E369" t="inlineStr">
        <is>
          <t>ORSA</t>
        </is>
      </c>
      <c r="F369" t="inlineStr">
        <is>
          <t>Allmännings- och besparingsskogar</t>
        </is>
      </c>
      <c r="G369" t="n">
        <v>13.9</v>
      </c>
      <c r="H369" t="n">
        <v>0</v>
      </c>
      <c r="I369" t="n">
        <v>0</v>
      </c>
      <c r="J369" t="n">
        <v>0</v>
      </c>
      <c r="K369" t="n">
        <v>0</v>
      </c>
      <c r="L369" t="n">
        <v>0</v>
      </c>
      <c r="M369" t="n">
        <v>0</v>
      </c>
      <c r="N369" t="n">
        <v>0</v>
      </c>
      <c r="O369" t="n">
        <v>0</v>
      </c>
      <c r="P369" t="n">
        <v>0</v>
      </c>
      <c r="Q369" t="n">
        <v>0</v>
      </c>
      <c r="R369" s="2" t="inlineStr"/>
    </row>
    <row r="370" ht="15" customHeight="1">
      <c r="A370" t="inlineStr">
        <is>
          <t>A 17850-2025</t>
        </is>
      </c>
      <c r="B370" s="1" t="n">
        <v>45758.60162037037</v>
      </c>
      <c r="C370" s="1" t="n">
        <v>46003</v>
      </c>
      <c r="D370" t="inlineStr">
        <is>
          <t>DALARNAS LÄN</t>
        </is>
      </c>
      <c r="E370" t="inlineStr">
        <is>
          <t>ORSA</t>
        </is>
      </c>
      <c r="G370" t="n">
        <v>2</v>
      </c>
      <c r="H370" t="n">
        <v>0</v>
      </c>
      <c r="I370" t="n">
        <v>0</v>
      </c>
      <c r="J370" t="n">
        <v>0</v>
      </c>
      <c r="K370" t="n">
        <v>0</v>
      </c>
      <c r="L370" t="n">
        <v>0</v>
      </c>
      <c r="M370" t="n">
        <v>0</v>
      </c>
      <c r="N370" t="n">
        <v>0</v>
      </c>
      <c r="O370" t="n">
        <v>0</v>
      </c>
      <c r="P370" t="n">
        <v>0</v>
      </c>
      <c r="Q370" t="n">
        <v>0</v>
      </c>
      <c r="R370" s="2" t="inlineStr"/>
    </row>
    <row r="371" ht="15" customHeight="1">
      <c r="A371" t="inlineStr">
        <is>
          <t>A 33673-2023</t>
        </is>
      </c>
      <c r="B371" s="1" t="n">
        <v>45132</v>
      </c>
      <c r="C371" s="1" t="n">
        <v>46003</v>
      </c>
      <c r="D371" t="inlineStr">
        <is>
          <t>DALARNAS LÄN</t>
        </is>
      </c>
      <c r="E371" t="inlineStr">
        <is>
          <t>ORSA</t>
        </is>
      </c>
      <c r="G371" t="n">
        <v>0.9</v>
      </c>
      <c r="H371" t="n">
        <v>0</v>
      </c>
      <c r="I371" t="n">
        <v>0</v>
      </c>
      <c r="J371" t="n">
        <v>0</v>
      </c>
      <c r="K371" t="n">
        <v>0</v>
      </c>
      <c r="L371" t="n">
        <v>0</v>
      </c>
      <c r="M371" t="n">
        <v>0</v>
      </c>
      <c r="N371" t="n">
        <v>0</v>
      </c>
      <c r="O371" t="n">
        <v>0</v>
      </c>
      <c r="P371" t="n">
        <v>0</v>
      </c>
      <c r="Q371" t="n">
        <v>0</v>
      </c>
      <c r="R371" s="2" t="inlineStr"/>
    </row>
    <row r="372" ht="15" customHeight="1">
      <c r="A372" t="inlineStr">
        <is>
          <t>A 43778-2025</t>
        </is>
      </c>
      <c r="B372" s="1" t="n">
        <v>45912.5147337963</v>
      </c>
      <c r="C372" s="1" t="n">
        <v>46003</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44053-2025</t>
        </is>
      </c>
      <c r="B373" s="1" t="n">
        <v>45915.51239583334</v>
      </c>
      <c r="C373" s="1" t="n">
        <v>46003</v>
      </c>
      <c r="D373" t="inlineStr">
        <is>
          <t>DALARNAS LÄN</t>
        </is>
      </c>
      <c r="E373" t="inlineStr">
        <is>
          <t>ORSA</t>
        </is>
      </c>
      <c r="G373" t="n">
        <v>1.4</v>
      </c>
      <c r="H373" t="n">
        <v>0</v>
      </c>
      <c r="I373" t="n">
        <v>0</v>
      </c>
      <c r="J373" t="n">
        <v>0</v>
      </c>
      <c r="K373" t="n">
        <v>0</v>
      </c>
      <c r="L373" t="n">
        <v>0</v>
      </c>
      <c r="M373" t="n">
        <v>0</v>
      </c>
      <c r="N373" t="n">
        <v>0</v>
      </c>
      <c r="O373" t="n">
        <v>0</v>
      </c>
      <c r="P373" t="n">
        <v>0</v>
      </c>
      <c r="Q373" t="n">
        <v>0</v>
      </c>
      <c r="R373" s="2" t="inlineStr"/>
    </row>
    <row r="374" ht="15" customHeight="1">
      <c r="A374" t="inlineStr">
        <is>
          <t>A 44119-2025</t>
        </is>
      </c>
      <c r="B374" s="1" t="n">
        <v>45915.57738425926</v>
      </c>
      <c r="C374" s="1" t="n">
        <v>46003</v>
      </c>
      <c r="D374" t="inlineStr">
        <is>
          <t>DALARNAS LÄN</t>
        </is>
      </c>
      <c r="E374" t="inlineStr">
        <is>
          <t>ORSA</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44121-2025</t>
        </is>
      </c>
      <c r="B375" s="1" t="n">
        <v>45915.57792824074</v>
      </c>
      <c r="C375" s="1" t="n">
        <v>46003</v>
      </c>
      <c r="D375" t="inlineStr">
        <is>
          <t>DALARNAS LÄN</t>
        </is>
      </c>
      <c r="E375" t="inlineStr">
        <is>
          <t>ORSA</t>
        </is>
      </c>
      <c r="F375" t="inlineStr">
        <is>
          <t>Allmännings- och besparingsskogar</t>
        </is>
      </c>
      <c r="G375" t="n">
        <v>2.5</v>
      </c>
      <c r="H375" t="n">
        <v>0</v>
      </c>
      <c r="I375" t="n">
        <v>0</v>
      </c>
      <c r="J375" t="n">
        <v>0</v>
      </c>
      <c r="K375" t="n">
        <v>0</v>
      </c>
      <c r="L375" t="n">
        <v>0</v>
      </c>
      <c r="M375" t="n">
        <v>0</v>
      </c>
      <c r="N375" t="n">
        <v>0</v>
      </c>
      <c r="O375" t="n">
        <v>0</v>
      </c>
      <c r="P375" t="n">
        <v>0</v>
      </c>
      <c r="Q375" t="n">
        <v>0</v>
      </c>
      <c r="R375" s="2" t="inlineStr"/>
    </row>
    <row r="376" ht="15" customHeight="1">
      <c r="A376" t="inlineStr">
        <is>
          <t>A 51994-2023</t>
        </is>
      </c>
      <c r="B376" s="1" t="n">
        <v>45223.5884375</v>
      </c>
      <c r="C376" s="1" t="n">
        <v>46003</v>
      </c>
      <c r="D376" t="inlineStr">
        <is>
          <t>DALARNAS LÄN</t>
        </is>
      </c>
      <c r="E376" t="inlineStr">
        <is>
          <t>ORSA</t>
        </is>
      </c>
      <c r="G376" t="n">
        <v>10.7</v>
      </c>
      <c r="H376" t="n">
        <v>0</v>
      </c>
      <c r="I376" t="n">
        <v>0</v>
      </c>
      <c r="J376" t="n">
        <v>0</v>
      </c>
      <c r="K376" t="n">
        <v>0</v>
      </c>
      <c r="L376" t="n">
        <v>0</v>
      </c>
      <c r="M376" t="n">
        <v>0</v>
      </c>
      <c r="N376" t="n">
        <v>0</v>
      </c>
      <c r="O376" t="n">
        <v>0</v>
      </c>
      <c r="P376" t="n">
        <v>0</v>
      </c>
      <c r="Q376" t="n">
        <v>0</v>
      </c>
      <c r="R376" s="2" t="inlineStr"/>
    </row>
    <row r="377" ht="15" customHeight="1">
      <c r="A377" t="inlineStr">
        <is>
          <t>A 72284-2021</t>
        </is>
      </c>
      <c r="B377" s="1" t="n">
        <v>44545.36940972223</v>
      </c>
      <c r="C377" s="1" t="n">
        <v>46003</v>
      </c>
      <c r="D377" t="inlineStr">
        <is>
          <t>DALARNAS LÄN</t>
        </is>
      </c>
      <c r="E377" t="inlineStr">
        <is>
          <t>ORSA</t>
        </is>
      </c>
      <c r="G377" t="n">
        <v>0.5</v>
      </c>
      <c r="H377" t="n">
        <v>0</v>
      </c>
      <c r="I377" t="n">
        <v>0</v>
      </c>
      <c r="J377" t="n">
        <v>0</v>
      </c>
      <c r="K377" t="n">
        <v>0</v>
      </c>
      <c r="L377" t="n">
        <v>0</v>
      </c>
      <c r="M377" t="n">
        <v>0</v>
      </c>
      <c r="N377" t="n">
        <v>0</v>
      </c>
      <c r="O377" t="n">
        <v>0</v>
      </c>
      <c r="P377" t="n">
        <v>0</v>
      </c>
      <c r="Q377" t="n">
        <v>0</v>
      </c>
      <c r="R377" s="2" t="inlineStr"/>
    </row>
    <row r="378" ht="15" customHeight="1">
      <c r="A378" t="inlineStr">
        <is>
          <t>A 47134-2024</t>
        </is>
      </c>
      <c r="B378" s="1" t="n">
        <v>45586.58081018519</v>
      </c>
      <c r="C378" s="1" t="n">
        <v>46003</v>
      </c>
      <c r="D378" t="inlineStr">
        <is>
          <t>DALARNAS LÄN</t>
        </is>
      </c>
      <c r="E378" t="inlineStr">
        <is>
          <t>ORSA</t>
        </is>
      </c>
      <c r="G378" t="n">
        <v>0.3</v>
      </c>
      <c r="H378" t="n">
        <v>0</v>
      </c>
      <c r="I378" t="n">
        <v>0</v>
      </c>
      <c r="J378" t="n">
        <v>0</v>
      </c>
      <c r="K378" t="n">
        <v>0</v>
      </c>
      <c r="L378" t="n">
        <v>0</v>
      </c>
      <c r="M378" t="n">
        <v>0</v>
      </c>
      <c r="N378" t="n">
        <v>0</v>
      </c>
      <c r="O378" t="n">
        <v>0</v>
      </c>
      <c r="P378" t="n">
        <v>0</v>
      </c>
      <c r="Q378" t="n">
        <v>0</v>
      </c>
      <c r="R378" s="2" t="inlineStr"/>
    </row>
    <row r="379" ht="15" customHeight="1">
      <c r="A379" t="inlineStr">
        <is>
          <t>A 58853-2022</t>
        </is>
      </c>
      <c r="B379" s="1" t="n">
        <v>44903</v>
      </c>
      <c r="C379" s="1" t="n">
        <v>46003</v>
      </c>
      <c r="D379" t="inlineStr">
        <is>
          <t>DALARNAS LÄN</t>
        </is>
      </c>
      <c r="E379" t="inlineStr">
        <is>
          <t>ORSA</t>
        </is>
      </c>
      <c r="F379" t="inlineStr">
        <is>
          <t>Bergvik skog öst AB</t>
        </is>
      </c>
      <c r="G379" t="n">
        <v>0.5</v>
      </c>
      <c r="H379" t="n">
        <v>0</v>
      </c>
      <c r="I379" t="n">
        <v>0</v>
      </c>
      <c r="J379" t="n">
        <v>0</v>
      </c>
      <c r="K379" t="n">
        <v>0</v>
      </c>
      <c r="L379" t="n">
        <v>0</v>
      </c>
      <c r="M379" t="n">
        <v>0</v>
      </c>
      <c r="N379" t="n">
        <v>0</v>
      </c>
      <c r="O379" t="n">
        <v>0</v>
      </c>
      <c r="P379" t="n">
        <v>0</v>
      </c>
      <c r="Q379" t="n">
        <v>0</v>
      </c>
      <c r="R379" s="2" t="inlineStr"/>
    </row>
    <row r="380" ht="15" customHeight="1">
      <c r="A380" t="inlineStr">
        <is>
          <t>A 53758-2024</t>
        </is>
      </c>
      <c r="B380" s="1" t="n">
        <v>45615.50483796297</v>
      </c>
      <c r="C380" s="1" t="n">
        <v>46003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53102-2021</t>
        </is>
      </c>
      <c r="B381" s="1" t="n">
        <v>44467</v>
      </c>
      <c r="C381" s="1" t="n">
        <v>46003</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43967-2025</t>
        </is>
      </c>
      <c r="B382" s="1" t="n">
        <v>45915.40188657407</v>
      </c>
      <c r="C382" s="1" t="n">
        <v>46003</v>
      </c>
      <c r="D382" t="inlineStr">
        <is>
          <t>DALARNAS LÄN</t>
        </is>
      </c>
      <c r="E382" t="inlineStr">
        <is>
          <t>ORSA</t>
        </is>
      </c>
      <c r="F382" t="inlineStr">
        <is>
          <t>Allmännings- och besparingsskogar</t>
        </is>
      </c>
      <c r="G382" t="n">
        <v>8.4</v>
      </c>
      <c r="H382" t="n">
        <v>0</v>
      </c>
      <c r="I382" t="n">
        <v>0</v>
      </c>
      <c r="J382" t="n">
        <v>0</v>
      </c>
      <c r="K382" t="n">
        <v>0</v>
      </c>
      <c r="L382" t="n">
        <v>0</v>
      </c>
      <c r="M382" t="n">
        <v>0</v>
      </c>
      <c r="N382" t="n">
        <v>0</v>
      </c>
      <c r="O382" t="n">
        <v>0</v>
      </c>
      <c r="P382" t="n">
        <v>0</v>
      </c>
      <c r="Q382" t="n">
        <v>0</v>
      </c>
      <c r="R382" s="2" t="inlineStr"/>
    </row>
    <row r="383" ht="15" customHeight="1">
      <c r="A383" t="inlineStr">
        <is>
          <t>A 44117-2025</t>
        </is>
      </c>
      <c r="B383" s="1" t="n">
        <v>45915.57677083334</v>
      </c>
      <c r="C383" s="1" t="n">
        <v>46003</v>
      </c>
      <c r="D383" t="inlineStr">
        <is>
          <t>DALARNAS LÄN</t>
        </is>
      </c>
      <c r="E383" t="inlineStr">
        <is>
          <t>ORSA</t>
        </is>
      </c>
      <c r="F383" t="inlineStr">
        <is>
          <t>Allmännings- och besparingsskogar</t>
        </is>
      </c>
      <c r="G383" t="n">
        <v>2.7</v>
      </c>
      <c r="H383" t="n">
        <v>0</v>
      </c>
      <c r="I383" t="n">
        <v>0</v>
      </c>
      <c r="J383" t="n">
        <v>0</v>
      </c>
      <c r="K383" t="n">
        <v>0</v>
      </c>
      <c r="L383" t="n">
        <v>0</v>
      </c>
      <c r="M383" t="n">
        <v>0</v>
      </c>
      <c r="N383" t="n">
        <v>0</v>
      </c>
      <c r="O383" t="n">
        <v>0</v>
      </c>
      <c r="P383" t="n">
        <v>0</v>
      </c>
      <c r="Q383" t="n">
        <v>0</v>
      </c>
      <c r="R383" s="2" t="inlineStr"/>
    </row>
    <row r="384" ht="15" customHeight="1">
      <c r="A384" t="inlineStr">
        <is>
          <t>A 43965-2025</t>
        </is>
      </c>
      <c r="B384" s="1" t="n">
        <v>45915.40027777778</v>
      </c>
      <c r="C384" s="1" t="n">
        <v>46003</v>
      </c>
      <c r="D384" t="inlineStr">
        <is>
          <t>DALARNAS LÄN</t>
        </is>
      </c>
      <c r="E384" t="inlineStr">
        <is>
          <t>ORSA</t>
        </is>
      </c>
      <c r="F384" t="inlineStr">
        <is>
          <t>Allmännings- och besparingsskogar</t>
        </is>
      </c>
      <c r="G384" t="n">
        <v>11.5</v>
      </c>
      <c r="H384" t="n">
        <v>0</v>
      </c>
      <c r="I384" t="n">
        <v>0</v>
      </c>
      <c r="J384" t="n">
        <v>0</v>
      </c>
      <c r="K384" t="n">
        <v>0</v>
      </c>
      <c r="L384" t="n">
        <v>0</v>
      </c>
      <c r="M384" t="n">
        <v>0</v>
      </c>
      <c r="N384" t="n">
        <v>0</v>
      </c>
      <c r="O384" t="n">
        <v>0</v>
      </c>
      <c r="P384" t="n">
        <v>0</v>
      </c>
      <c r="Q384" t="n">
        <v>0</v>
      </c>
      <c r="R384" s="2" t="inlineStr"/>
    </row>
    <row r="385" ht="15" customHeight="1">
      <c r="A385" t="inlineStr">
        <is>
          <t>A 1304-2024</t>
        </is>
      </c>
      <c r="B385" s="1" t="n">
        <v>45303</v>
      </c>
      <c r="C385" s="1" t="n">
        <v>46003</v>
      </c>
      <c r="D385" t="inlineStr">
        <is>
          <t>DALARNAS LÄN</t>
        </is>
      </c>
      <c r="E385" t="inlineStr">
        <is>
          <t>ORSA</t>
        </is>
      </c>
      <c r="G385" t="n">
        <v>3.8</v>
      </c>
      <c r="H385" t="n">
        <v>0</v>
      </c>
      <c r="I385" t="n">
        <v>0</v>
      </c>
      <c r="J385" t="n">
        <v>0</v>
      </c>
      <c r="K385" t="n">
        <v>0</v>
      </c>
      <c r="L385" t="n">
        <v>0</v>
      </c>
      <c r="M385" t="n">
        <v>0</v>
      </c>
      <c r="N385" t="n">
        <v>0</v>
      </c>
      <c r="O385" t="n">
        <v>0</v>
      </c>
      <c r="P385" t="n">
        <v>0</v>
      </c>
      <c r="Q385" t="n">
        <v>0</v>
      </c>
      <c r="R385" s="2" t="inlineStr"/>
    </row>
    <row r="386" ht="15" customHeight="1">
      <c r="A386" t="inlineStr">
        <is>
          <t>A 44129-2025</t>
        </is>
      </c>
      <c r="B386" s="1" t="n">
        <v>45915.58392361111</v>
      </c>
      <c r="C386" s="1" t="n">
        <v>46003</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44531-2025</t>
        </is>
      </c>
      <c r="B387" s="1" t="n">
        <v>45916.77120370371</v>
      </c>
      <c r="C387" s="1" t="n">
        <v>46003</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45031-2025</t>
        </is>
      </c>
      <c r="B388" s="1" t="n">
        <v>45918.70020833334</v>
      </c>
      <c r="C388" s="1" t="n">
        <v>46003</v>
      </c>
      <c r="D388" t="inlineStr">
        <is>
          <t>DALARNAS LÄN</t>
        </is>
      </c>
      <c r="E388" t="inlineStr">
        <is>
          <t>ORSA</t>
        </is>
      </c>
      <c r="G388" t="n">
        <v>5</v>
      </c>
      <c r="H388" t="n">
        <v>0</v>
      </c>
      <c r="I388" t="n">
        <v>0</v>
      </c>
      <c r="J388" t="n">
        <v>0</v>
      </c>
      <c r="K388" t="n">
        <v>0</v>
      </c>
      <c r="L388" t="n">
        <v>0</v>
      </c>
      <c r="M388" t="n">
        <v>0</v>
      </c>
      <c r="N388" t="n">
        <v>0</v>
      </c>
      <c r="O388" t="n">
        <v>0</v>
      </c>
      <c r="P388" t="n">
        <v>0</v>
      </c>
      <c r="Q388" t="n">
        <v>0</v>
      </c>
      <c r="R388" s="2" t="inlineStr"/>
    </row>
    <row r="389" ht="15" customHeight="1">
      <c r="A389" t="inlineStr">
        <is>
          <t>A 33057-2025</t>
        </is>
      </c>
      <c r="B389" s="1" t="n">
        <v>45840</v>
      </c>
      <c r="C389" s="1" t="n">
        <v>46003</v>
      </c>
      <c r="D389" t="inlineStr">
        <is>
          <t>DALARNAS LÄN</t>
        </is>
      </c>
      <c r="E389" t="inlineStr">
        <is>
          <t>ORSA</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58549-2023</t>
        </is>
      </c>
      <c r="B390" s="1" t="n">
        <v>45251.42627314815</v>
      </c>
      <c r="C390" s="1" t="n">
        <v>46003</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53855-2025</t>
        </is>
      </c>
      <c r="B391" s="1" t="n">
        <v>45961.37528935185</v>
      </c>
      <c r="C391" s="1" t="n">
        <v>46003</v>
      </c>
      <c r="D391" t="inlineStr">
        <is>
          <t>DALARNAS LÄN</t>
        </is>
      </c>
      <c r="E391" t="inlineStr">
        <is>
          <t>ORSA</t>
        </is>
      </c>
      <c r="G391" t="n">
        <v>11.1</v>
      </c>
      <c r="H391" t="n">
        <v>0</v>
      </c>
      <c r="I391" t="n">
        <v>0</v>
      </c>
      <c r="J391" t="n">
        <v>0</v>
      </c>
      <c r="K391" t="n">
        <v>0</v>
      </c>
      <c r="L391" t="n">
        <v>0</v>
      </c>
      <c r="M391" t="n">
        <v>0</v>
      </c>
      <c r="N391" t="n">
        <v>0</v>
      </c>
      <c r="O391" t="n">
        <v>0</v>
      </c>
      <c r="P391" t="n">
        <v>0</v>
      </c>
      <c r="Q391" t="n">
        <v>0</v>
      </c>
      <c r="R391" s="2" t="inlineStr"/>
    </row>
    <row r="392" ht="15" customHeight="1">
      <c r="A392" t="inlineStr">
        <is>
          <t>A 27877-2021</t>
        </is>
      </c>
      <c r="B392" s="1" t="n">
        <v>44354.6446875</v>
      </c>
      <c r="C392" s="1" t="n">
        <v>46003</v>
      </c>
      <c r="D392" t="inlineStr">
        <is>
          <t>DALARNAS LÄN</t>
        </is>
      </c>
      <c r="E392" t="inlineStr">
        <is>
          <t>ORSA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17848-2025</t>
        </is>
      </c>
      <c r="B393" s="1" t="n">
        <v>45758.59981481481</v>
      </c>
      <c r="C393" s="1" t="n">
        <v>46003</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892-2024</t>
        </is>
      </c>
      <c r="B394" s="1" t="n">
        <v>45301</v>
      </c>
      <c r="C394" s="1" t="n">
        <v>46003</v>
      </c>
      <c r="D394" t="inlineStr">
        <is>
          <t>DALARNAS LÄN</t>
        </is>
      </c>
      <c r="E394" t="inlineStr">
        <is>
          <t>ORSA</t>
        </is>
      </c>
      <c r="G394" t="n">
        <v>1.2</v>
      </c>
      <c r="H394" t="n">
        <v>0</v>
      </c>
      <c r="I394" t="n">
        <v>0</v>
      </c>
      <c r="J394" t="n">
        <v>0</v>
      </c>
      <c r="K394" t="n">
        <v>0</v>
      </c>
      <c r="L394" t="n">
        <v>0</v>
      </c>
      <c r="M394" t="n">
        <v>0</v>
      </c>
      <c r="N394" t="n">
        <v>0</v>
      </c>
      <c r="O394" t="n">
        <v>0</v>
      </c>
      <c r="P394" t="n">
        <v>0</v>
      </c>
      <c r="Q394" t="n">
        <v>0</v>
      </c>
      <c r="R394" s="2" t="inlineStr"/>
    </row>
    <row r="395" ht="15" customHeight="1">
      <c r="A395" t="inlineStr">
        <is>
          <t>A 54176-2025</t>
        </is>
      </c>
      <c r="B395" s="1" t="n">
        <v>45964.5500925926</v>
      </c>
      <c r="C395" s="1" t="n">
        <v>46003</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16777-2024</t>
        </is>
      </c>
      <c r="B396" s="1" t="n">
        <v>45411</v>
      </c>
      <c r="C396" s="1" t="n">
        <v>46003</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54121-2025</t>
        </is>
      </c>
      <c r="B397" s="1" t="n">
        <v>45964.45186342593</v>
      </c>
      <c r="C397" s="1" t="n">
        <v>46003</v>
      </c>
      <c r="D397" t="inlineStr">
        <is>
          <t>DALARNAS LÄN</t>
        </is>
      </c>
      <c r="E397" t="inlineStr">
        <is>
          <t>ORSA</t>
        </is>
      </c>
      <c r="G397" t="n">
        <v>1.2</v>
      </c>
      <c r="H397" t="n">
        <v>0</v>
      </c>
      <c r="I397" t="n">
        <v>0</v>
      </c>
      <c r="J397" t="n">
        <v>0</v>
      </c>
      <c r="K397" t="n">
        <v>0</v>
      </c>
      <c r="L397" t="n">
        <v>0</v>
      </c>
      <c r="M397" t="n">
        <v>0</v>
      </c>
      <c r="N397" t="n">
        <v>0</v>
      </c>
      <c r="O397" t="n">
        <v>0</v>
      </c>
      <c r="P397" t="n">
        <v>0</v>
      </c>
      <c r="Q397" t="n">
        <v>0</v>
      </c>
      <c r="R397" s="2" t="inlineStr"/>
    </row>
    <row r="398" ht="15" customHeight="1">
      <c r="A398" t="inlineStr">
        <is>
          <t>A 45155-2025</t>
        </is>
      </c>
      <c r="B398" s="1" t="n">
        <v>45919.47872685185</v>
      </c>
      <c r="C398" s="1" t="n">
        <v>46003</v>
      </c>
      <c r="D398" t="inlineStr">
        <is>
          <t>DALARNAS LÄN</t>
        </is>
      </c>
      <c r="E398" t="inlineStr">
        <is>
          <t>ORSA</t>
        </is>
      </c>
      <c r="G398" t="n">
        <v>1.5</v>
      </c>
      <c r="H398" t="n">
        <v>0</v>
      </c>
      <c r="I398" t="n">
        <v>0</v>
      </c>
      <c r="J398" t="n">
        <v>0</v>
      </c>
      <c r="K398" t="n">
        <v>0</v>
      </c>
      <c r="L398" t="n">
        <v>0</v>
      </c>
      <c r="M398" t="n">
        <v>0</v>
      </c>
      <c r="N398" t="n">
        <v>0</v>
      </c>
      <c r="O398" t="n">
        <v>0</v>
      </c>
      <c r="P398" t="n">
        <v>0</v>
      </c>
      <c r="Q398" t="n">
        <v>0</v>
      </c>
      <c r="R398" s="2" t="inlineStr"/>
    </row>
    <row r="399" ht="15" customHeight="1">
      <c r="A399" t="inlineStr">
        <is>
          <t>A 48516-2024</t>
        </is>
      </c>
      <c r="B399" s="1" t="n">
        <v>45593.31292824074</v>
      </c>
      <c r="C399" s="1" t="n">
        <v>46003</v>
      </c>
      <c r="D399" t="inlineStr">
        <is>
          <t>DALARNAS LÄN</t>
        </is>
      </c>
      <c r="E399" t="inlineStr">
        <is>
          <t>ORSA</t>
        </is>
      </c>
      <c r="G399" t="n">
        <v>3.3</v>
      </c>
      <c r="H399" t="n">
        <v>0</v>
      </c>
      <c r="I399" t="n">
        <v>0</v>
      </c>
      <c r="J399" t="n">
        <v>0</v>
      </c>
      <c r="K399" t="n">
        <v>0</v>
      </c>
      <c r="L399" t="n">
        <v>0</v>
      </c>
      <c r="M399" t="n">
        <v>0</v>
      </c>
      <c r="N399" t="n">
        <v>0</v>
      </c>
      <c r="O399" t="n">
        <v>0</v>
      </c>
      <c r="P399" t="n">
        <v>0</v>
      </c>
      <c r="Q399" t="n">
        <v>0</v>
      </c>
      <c r="R399" s="2" t="inlineStr"/>
    </row>
    <row r="400" ht="15" customHeight="1">
      <c r="A400" t="inlineStr">
        <is>
          <t>A 48521-2024</t>
        </is>
      </c>
      <c r="B400" s="1" t="n">
        <v>45593.32871527778</v>
      </c>
      <c r="C400" s="1" t="n">
        <v>46003</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48525-2024</t>
        </is>
      </c>
      <c r="B401" s="1" t="n">
        <v>45593.33947916667</v>
      </c>
      <c r="C401" s="1" t="n">
        <v>46003</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5302-2024</t>
        </is>
      </c>
      <c r="B402" s="1" t="n">
        <v>45331.38175925926</v>
      </c>
      <c r="C402" s="1" t="n">
        <v>46003</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54676-2025</t>
        </is>
      </c>
      <c r="B403" s="1" t="n">
        <v>45966.42188657408</v>
      </c>
      <c r="C403" s="1" t="n">
        <v>46003</v>
      </c>
      <c r="D403" t="inlineStr">
        <is>
          <t>DALARNAS LÄN</t>
        </is>
      </c>
      <c r="E403" t="inlineStr">
        <is>
          <t>ORSA</t>
        </is>
      </c>
      <c r="F403" t="inlineStr">
        <is>
          <t>Allmännings- och besparingsskogar</t>
        </is>
      </c>
      <c r="G403" t="n">
        <v>4.6</v>
      </c>
      <c r="H403" t="n">
        <v>0</v>
      </c>
      <c r="I403" t="n">
        <v>0</v>
      </c>
      <c r="J403" t="n">
        <v>0</v>
      </c>
      <c r="K403" t="n">
        <v>0</v>
      </c>
      <c r="L403" t="n">
        <v>0</v>
      </c>
      <c r="M403" t="n">
        <v>0</v>
      </c>
      <c r="N403" t="n">
        <v>0</v>
      </c>
      <c r="O403" t="n">
        <v>0</v>
      </c>
      <c r="P403" t="n">
        <v>0</v>
      </c>
      <c r="Q403" t="n">
        <v>0</v>
      </c>
      <c r="R403" s="2" t="inlineStr"/>
    </row>
    <row r="404" ht="15" customHeight="1">
      <c r="A404" t="inlineStr">
        <is>
          <t>A 45803-2025</t>
        </is>
      </c>
      <c r="B404" s="1" t="n">
        <v>45923.58125</v>
      </c>
      <c r="C404" s="1" t="n">
        <v>46003</v>
      </c>
      <c r="D404" t="inlineStr">
        <is>
          <t>DALARNAS LÄN</t>
        </is>
      </c>
      <c r="E404" t="inlineStr">
        <is>
          <t>ORSA</t>
        </is>
      </c>
      <c r="F404" t="inlineStr">
        <is>
          <t>Allmännings- och besparingsskogar</t>
        </is>
      </c>
      <c r="G404" t="n">
        <v>3.4</v>
      </c>
      <c r="H404" t="n">
        <v>0</v>
      </c>
      <c r="I404" t="n">
        <v>0</v>
      </c>
      <c r="J404" t="n">
        <v>0</v>
      </c>
      <c r="K404" t="n">
        <v>0</v>
      </c>
      <c r="L404" t="n">
        <v>0</v>
      </c>
      <c r="M404" t="n">
        <v>0</v>
      </c>
      <c r="N404" t="n">
        <v>0</v>
      </c>
      <c r="O404" t="n">
        <v>0</v>
      </c>
      <c r="P404" t="n">
        <v>0</v>
      </c>
      <c r="Q404" t="n">
        <v>0</v>
      </c>
      <c r="R404" s="2" t="inlineStr"/>
    </row>
    <row r="405" ht="15" customHeight="1">
      <c r="A405" t="inlineStr">
        <is>
          <t>A 54776-2025</t>
        </is>
      </c>
      <c r="B405" s="1" t="n">
        <v>45966.61395833334</v>
      </c>
      <c r="C405" s="1" t="n">
        <v>46003</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54509-2025</t>
        </is>
      </c>
      <c r="B406" s="1" t="n">
        <v>45965.61920138889</v>
      </c>
      <c r="C406" s="1" t="n">
        <v>46003</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52643-2024</t>
        </is>
      </c>
      <c r="B407" s="1" t="n">
        <v>45610.34175925926</v>
      </c>
      <c r="C407" s="1" t="n">
        <v>46003</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54773-2025</t>
        </is>
      </c>
      <c r="B408" s="1" t="n">
        <v>45966.61081018519</v>
      </c>
      <c r="C408" s="1" t="n">
        <v>46003</v>
      </c>
      <c r="D408" t="inlineStr">
        <is>
          <t>DALARNAS LÄN</t>
        </is>
      </c>
      <c r="E408" t="inlineStr">
        <is>
          <t>ORSA</t>
        </is>
      </c>
      <c r="G408" t="n">
        <v>3.6</v>
      </c>
      <c r="H408" t="n">
        <v>0</v>
      </c>
      <c r="I408" t="n">
        <v>0</v>
      </c>
      <c r="J408" t="n">
        <v>0</v>
      </c>
      <c r="K408" t="n">
        <v>0</v>
      </c>
      <c r="L408" t="n">
        <v>0</v>
      </c>
      <c r="M408" t="n">
        <v>0</v>
      </c>
      <c r="N408" t="n">
        <v>0</v>
      </c>
      <c r="O408" t="n">
        <v>0</v>
      </c>
      <c r="P408" t="n">
        <v>0</v>
      </c>
      <c r="Q408" t="n">
        <v>0</v>
      </c>
      <c r="R408" s="2" t="inlineStr"/>
    </row>
    <row r="409" ht="15" customHeight="1">
      <c r="A409" t="inlineStr">
        <is>
          <t>A 54527-2025</t>
        </is>
      </c>
      <c r="B409" s="1" t="n">
        <v>45965.63420138889</v>
      </c>
      <c r="C409" s="1" t="n">
        <v>46003</v>
      </c>
      <c r="D409" t="inlineStr">
        <is>
          <t>DALARNAS LÄN</t>
        </is>
      </c>
      <c r="E409" t="inlineStr">
        <is>
          <t>ORSA</t>
        </is>
      </c>
      <c r="G409" t="n">
        <v>1.9</v>
      </c>
      <c r="H409" t="n">
        <v>0</v>
      </c>
      <c r="I409" t="n">
        <v>0</v>
      </c>
      <c r="J409" t="n">
        <v>0</v>
      </c>
      <c r="K409" t="n">
        <v>0</v>
      </c>
      <c r="L409" t="n">
        <v>0</v>
      </c>
      <c r="M409" t="n">
        <v>0</v>
      </c>
      <c r="N409" t="n">
        <v>0</v>
      </c>
      <c r="O409" t="n">
        <v>0</v>
      </c>
      <c r="P409" t="n">
        <v>0</v>
      </c>
      <c r="Q409" t="n">
        <v>0</v>
      </c>
      <c r="R409" s="2" t="inlineStr"/>
    </row>
    <row r="410" ht="15" customHeight="1">
      <c r="A410" t="inlineStr">
        <is>
          <t>A 9466-2023</t>
        </is>
      </c>
      <c r="B410" s="1" t="n">
        <v>44981</v>
      </c>
      <c r="C410" s="1" t="n">
        <v>46003</v>
      </c>
      <c r="D410" t="inlineStr">
        <is>
          <t>DALARNAS LÄN</t>
        </is>
      </c>
      <c r="E410" t="inlineStr">
        <is>
          <t>ORSA</t>
        </is>
      </c>
      <c r="F410" t="inlineStr">
        <is>
          <t>Bergvik skog väst AB</t>
        </is>
      </c>
      <c r="G410" t="n">
        <v>3.8</v>
      </c>
      <c r="H410" t="n">
        <v>0</v>
      </c>
      <c r="I410" t="n">
        <v>0</v>
      </c>
      <c r="J410" t="n">
        <v>0</v>
      </c>
      <c r="K410" t="n">
        <v>0</v>
      </c>
      <c r="L410" t="n">
        <v>0</v>
      </c>
      <c r="M410" t="n">
        <v>0</v>
      </c>
      <c r="N410" t="n">
        <v>0</v>
      </c>
      <c r="O410" t="n">
        <v>0</v>
      </c>
      <c r="P410" t="n">
        <v>0</v>
      </c>
      <c r="Q410" t="n">
        <v>0</v>
      </c>
      <c r="R410" s="2" t="inlineStr"/>
    </row>
    <row r="411" ht="15" customHeight="1">
      <c r="A411" t="inlineStr">
        <is>
          <t>A 21301-2023</t>
        </is>
      </c>
      <c r="B411" s="1" t="n">
        <v>45062.66613425926</v>
      </c>
      <c r="C411" s="1" t="n">
        <v>46003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36569-2021</t>
        </is>
      </c>
      <c r="B412" s="1" t="n">
        <v>44391</v>
      </c>
      <c r="C412" s="1" t="n">
        <v>46003</v>
      </c>
      <c r="D412" t="inlineStr">
        <is>
          <t>DALARNAS LÄN</t>
        </is>
      </c>
      <c r="E412" t="inlineStr">
        <is>
          <t>ORSA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54726-2025</t>
        </is>
      </c>
      <c r="B413" s="1" t="n">
        <v>45966.54658564815</v>
      </c>
      <c r="C413" s="1" t="n">
        <v>46003</v>
      </c>
      <c r="D413" t="inlineStr">
        <is>
          <t>DALARNAS LÄN</t>
        </is>
      </c>
      <c r="E413" t="inlineStr">
        <is>
          <t>ORSA</t>
        </is>
      </c>
      <c r="G413" t="n">
        <v>4.8</v>
      </c>
      <c r="H413" t="n">
        <v>0</v>
      </c>
      <c r="I413" t="n">
        <v>0</v>
      </c>
      <c r="J413" t="n">
        <v>0</v>
      </c>
      <c r="K413" t="n">
        <v>0</v>
      </c>
      <c r="L413" t="n">
        <v>0</v>
      </c>
      <c r="M413" t="n">
        <v>0</v>
      </c>
      <c r="N413" t="n">
        <v>0</v>
      </c>
      <c r="O413" t="n">
        <v>0</v>
      </c>
      <c r="P413" t="n">
        <v>0</v>
      </c>
      <c r="Q413" t="n">
        <v>0</v>
      </c>
      <c r="R413" s="2" t="inlineStr"/>
    </row>
    <row r="414" ht="15" customHeight="1">
      <c r="A414" t="inlineStr">
        <is>
          <t>A 54543-2025</t>
        </is>
      </c>
      <c r="B414" s="1" t="n">
        <v>45965.64862268518</v>
      </c>
      <c r="C414" s="1" t="n">
        <v>46003</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23740-2025</t>
        </is>
      </c>
      <c r="B415" s="1" t="n">
        <v>45793.43210648148</v>
      </c>
      <c r="C415" s="1" t="n">
        <v>46003</v>
      </c>
      <c r="D415" t="inlineStr">
        <is>
          <t>DALARNAS LÄN</t>
        </is>
      </c>
      <c r="E415" t="inlineStr">
        <is>
          <t>ORSA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54782-2025</t>
        </is>
      </c>
      <c r="B416" s="1" t="n">
        <v>45966.61878472222</v>
      </c>
      <c r="C416" s="1" t="n">
        <v>46003</v>
      </c>
      <c r="D416" t="inlineStr">
        <is>
          <t>DALARNAS LÄN</t>
        </is>
      </c>
      <c r="E416" t="inlineStr">
        <is>
          <t>ORSA</t>
        </is>
      </c>
      <c r="G416" t="n">
        <v>3.8</v>
      </c>
      <c r="H416" t="n">
        <v>0</v>
      </c>
      <c r="I416" t="n">
        <v>0</v>
      </c>
      <c r="J416" t="n">
        <v>0</v>
      </c>
      <c r="K416" t="n">
        <v>0</v>
      </c>
      <c r="L416" t="n">
        <v>0</v>
      </c>
      <c r="M416" t="n">
        <v>0</v>
      </c>
      <c r="N416" t="n">
        <v>0</v>
      </c>
      <c r="O416" t="n">
        <v>0</v>
      </c>
      <c r="P416" t="n">
        <v>0</v>
      </c>
      <c r="Q416" t="n">
        <v>0</v>
      </c>
      <c r="R416" s="2" t="inlineStr"/>
    </row>
    <row r="417" ht="15" customHeight="1">
      <c r="A417" t="inlineStr">
        <is>
          <t>A 70332-2021</t>
        </is>
      </c>
      <c r="B417" s="1" t="n">
        <v>44536</v>
      </c>
      <c r="C417" s="1" t="n">
        <v>46003</v>
      </c>
      <c r="D417" t="inlineStr">
        <is>
          <t>DALARNAS LÄN</t>
        </is>
      </c>
      <c r="E417" t="inlineStr">
        <is>
          <t>ORSA</t>
        </is>
      </c>
      <c r="G417" t="n">
        <v>7.2</v>
      </c>
      <c r="H417" t="n">
        <v>0</v>
      </c>
      <c r="I417" t="n">
        <v>0</v>
      </c>
      <c r="J417" t="n">
        <v>0</v>
      </c>
      <c r="K417" t="n">
        <v>0</v>
      </c>
      <c r="L417" t="n">
        <v>0</v>
      </c>
      <c r="M417" t="n">
        <v>0</v>
      </c>
      <c r="N417" t="n">
        <v>0</v>
      </c>
      <c r="O417" t="n">
        <v>0</v>
      </c>
      <c r="P417" t="n">
        <v>0</v>
      </c>
      <c r="Q417" t="n">
        <v>0</v>
      </c>
      <c r="R417" s="2" t="inlineStr"/>
    </row>
    <row r="418" ht="15" customHeight="1">
      <c r="A418" t="inlineStr">
        <is>
          <t>A 1785-2024</t>
        </is>
      </c>
      <c r="B418" s="1" t="n">
        <v>45307</v>
      </c>
      <c r="C418" s="1" t="n">
        <v>46003</v>
      </c>
      <c r="D418" t="inlineStr">
        <is>
          <t>DALARNAS LÄN</t>
        </is>
      </c>
      <c r="E418" t="inlineStr">
        <is>
          <t>ORSA</t>
        </is>
      </c>
      <c r="G418" t="n">
        <v>42.8</v>
      </c>
      <c r="H418" t="n">
        <v>0</v>
      </c>
      <c r="I418" t="n">
        <v>0</v>
      </c>
      <c r="J418" t="n">
        <v>0</v>
      </c>
      <c r="K418" t="n">
        <v>0</v>
      </c>
      <c r="L418" t="n">
        <v>0</v>
      </c>
      <c r="M418" t="n">
        <v>0</v>
      </c>
      <c r="N418" t="n">
        <v>0</v>
      </c>
      <c r="O418" t="n">
        <v>0</v>
      </c>
      <c r="P418" t="n">
        <v>0</v>
      </c>
      <c r="Q418" t="n">
        <v>0</v>
      </c>
      <c r="R418" s="2" t="inlineStr"/>
    </row>
    <row r="419" ht="15" customHeight="1">
      <c r="A419" t="inlineStr">
        <is>
          <t>A 46279-2025</t>
        </is>
      </c>
      <c r="B419" s="1" t="n">
        <v>45925.37534722222</v>
      </c>
      <c r="C419" s="1" t="n">
        <v>46003</v>
      </c>
      <c r="D419" t="inlineStr">
        <is>
          <t>DALARNAS LÄN</t>
        </is>
      </c>
      <c r="E419" t="inlineStr">
        <is>
          <t>ORSA</t>
        </is>
      </c>
      <c r="G419" t="n">
        <v>2.2</v>
      </c>
      <c r="H419" t="n">
        <v>0</v>
      </c>
      <c r="I419" t="n">
        <v>0</v>
      </c>
      <c r="J419" t="n">
        <v>0</v>
      </c>
      <c r="K419" t="n">
        <v>0</v>
      </c>
      <c r="L419" t="n">
        <v>0</v>
      </c>
      <c r="M419" t="n">
        <v>0</v>
      </c>
      <c r="N419" t="n">
        <v>0</v>
      </c>
      <c r="O419" t="n">
        <v>0</v>
      </c>
      <c r="P419" t="n">
        <v>0</v>
      </c>
      <c r="Q419" t="n">
        <v>0</v>
      </c>
      <c r="R419" s="2" t="inlineStr"/>
    </row>
    <row r="420" ht="15" customHeight="1">
      <c r="A420" t="inlineStr">
        <is>
          <t>A 53703-2024</t>
        </is>
      </c>
      <c r="B420" s="1" t="n">
        <v>45615.3990162037</v>
      </c>
      <c r="C420" s="1" t="n">
        <v>46003</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5434-2025</t>
        </is>
      </c>
      <c r="B421" s="1" t="n">
        <v>45692</v>
      </c>
      <c r="C421" s="1" t="n">
        <v>46003</v>
      </c>
      <c r="D421" t="inlineStr">
        <is>
          <t>DALARNAS LÄN</t>
        </is>
      </c>
      <c r="E421" t="inlineStr">
        <is>
          <t>ORSA</t>
        </is>
      </c>
      <c r="G421" t="n">
        <v>6.9</v>
      </c>
      <c r="H421" t="n">
        <v>0</v>
      </c>
      <c r="I421" t="n">
        <v>0</v>
      </c>
      <c r="J421" t="n">
        <v>0</v>
      </c>
      <c r="K421" t="n">
        <v>0</v>
      </c>
      <c r="L421" t="n">
        <v>0</v>
      </c>
      <c r="M421" t="n">
        <v>0</v>
      </c>
      <c r="N421" t="n">
        <v>0</v>
      </c>
      <c r="O421" t="n">
        <v>0</v>
      </c>
      <c r="P421" t="n">
        <v>0</v>
      </c>
      <c r="Q421" t="n">
        <v>0</v>
      </c>
      <c r="R421" s="2" t="inlineStr"/>
    </row>
    <row r="422" ht="15" customHeight="1">
      <c r="A422" t="inlineStr">
        <is>
          <t>A 46421-2025</t>
        </is>
      </c>
      <c r="B422" s="1" t="n">
        <v>45925.59936342593</v>
      </c>
      <c r="C422" s="1" t="n">
        <v>46003</v>
      </c>
      <c r="D422" t="inlineStr">
        <is>
          <t>DALARNAS LÄN</t>
        </is>
      </c>
      <c r="E422" t="inlineStr">
        <is>
          <t>ORSA</t>
        </is>
      </c>
      <c r="F422" t="inlineStr">
        <is>
          <t>Allmännings- och besparingsskogar</t>
        </is>
      </c>
      <c r="G422" t="n">
        <v>6.2</v>
      </c>
      <c r="H422" t="n">
        <v>0</v>
      </c>
      <c r="I422" t="n">
        <v>0</v>
      </c>
      <c r="J422" t="n">
        <v>0</v>
      </c>
      <c r="K422" t="n">
        <v>0</v>
      </c>
      <c r="L422" t="n">
        <v>0</v>
      </c>
      <c r="M422" t="n">
        <v>0</v>
      </c>
      <c r="N422" t="n">
        <v>0</v>
      </c>
      <c r="O422" t="n">
        <v>0</v>
      </c>
      <c r="P422" t="n">
        <v>0</v>
      </c>
      <c r="Q422" t="n">
        <v>0</v>
      </c>
      <c r="R422" s="2" t="inlineStr"/>
    </row>
    <row r="423" ht="15" customHeight="1">
      <c r="A423" t="inlineStr">
        <is>
          <t>A 55105-2025</t>
        </is>
      </c>
      <c r="B423" s="1" t="n">
        <v>45968.36422453704</v>
      </c>
      <c r="C423" s="1" t="n">
        <v>46003</v>
      </c>
      <c r="D423" t="inlineStr">
        <is>
          <t>DALARNAS LÄN</t>
        </is>
      </c>
      <c r="E423" t="inlineStr">
        <is>
          <t>ORSA</t>
        </is>
      </c>
      <c r="F423" t="inlineStr">
        <is>
          <t>Allmännings- och besparingsskogar</t>
        </is>
      </c>
      <c r="G423" t="n">
        <v>31.5</v>
      </c>
      <c r="H423" t="n">
        <v>0</v>
      </c>
      <c r="I423" t="n">
        <v>0</v>
      </c>
      <c r="J423" t="n">
        <v>0</v>
      </c>
      <c r="K423" t="n">
        <v>0</v>
      </c>
      <c r="L423" t="n">
        <v>0</v>
      </c>
      <c r="M423" t="n">
        <v>0</v>
      </c>
      <c r="N423" t="n">
        <v>0</v>
      </c>
      <c r="O423" t="n">
        <v>0</v>
      </c>
      <c r="P423" t="n">
        <v>0</v>
      </c>
      <c r="Q423" t="n">
        <v>0</v>
      </c>
      <c r="R423" s="2" t="inlineStr"/>
    </row>
    <row r="424" ht="15" customHeight="1">
      <c r="A424" t="inlineStr">
        <is>
          <t>A 46272-2025</t>
        </is>
      </c>
      <c r="B424" s="1" t="n">
        <v>45925.36988425926</v>
      </c>
      <c r="C424" s="1" t="n">
        <v>46003</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24235-2025</t>
        </is>
      </c>
      <c r="B425" s="1" t="n">
        <v>45797.38252314815</v>
      </c>
      <c r="C425" s="1" t="n">
        <v>46003</v>
      </c>
      <c r="D425" t="inlineStr">
        <is>
          <t>DALARNAS LÄN</t>
        </is>
      </c>
      <c r="E425" t="inlineStr">
        <is>
          <t>ORSA</t>
        </is>
      </c>
      <c r="G425" t="n">
        <v>3.1</v>
      </c>
      <c r="H425" t="n">
        <v>0</v>
      </c>
      <c r="I425" t="n">
        <v>0</v>
      </c>
      <c r="J425" t="n">
        <v>0</v>
      </c>
      <c r="K425" t="n">
        <v>0</v>
      </c>
      <c r="L425" t="n">
        <v>0</v>
      </c>
      <c r="M425" t="n">
        <v>0</v>
      </c>
      <c r="N425" t="n">
        <v>0</v>
      </c>
      <c r="O425" t="n">
        <v>0</v>
      </c>
      <c r="P425" t="n">
        <v>0</v>
      </c>
      <c r="Q425" t="n">
        <v>0</v>
      </c>
      <c r="R425" s="2" t="inlineStr"/>
    </row>
    <row r="426" ht="15" customHeight="1">
      <c r="A426" t="inlineStr">
        <is>
          <t>A 46242-2025</t>
        </is>
      </c>
      <c r="B426" s="1" t="n">
        <v>45925.31876157408</v>
      </c>
      <c r="C426" s="1" t="n">
        <v>46003</v>
      </c>
      <c r="D426" t="inlineStr">
        <is>
          <t>DALARNAS LÄN</t>
        </is>
      </c>
      <c r="E426" t="inlineStr">
        <is>
          <t>ORSA</t>
        </is>
      </c>
      <c r="G426" t="n">
        <v>5.6</v>
      </c>
      <c r="H426" t="n">
        <v>0</v>
      </c>
      <c r="I426" t="n">
        <v>0</v>
      </c>
      <c r="J426" t="n">
        <v>0</v>
      </c>
      <c r="K426" t="n">
        <v>0</v>
      </c>
      <c r="L426" t="n">
        <v>0</v>
      </c>
      <c r="M426" t="n">
        <v>0</v>
      </c>
      <c r="N426" t="n">
        <v>0</v>
      </c>
      <c r="O426" t="n">
        <v>0</v>
      </c>
      <c r="P426" t="n">
        <v>0</v>
      </c>
      <c r="Q426" t="n">
        <v>0</v>
      </c>
      <c r="R426" s="2" t="inlineStr"/>
    </row>
    <row r="427" ht="15" customHeight="1">
      <c r="A427" t="inlineStr">
        <is>
          <t>A 46402-2025</t>
        </is>
      </c>
      <c r="B427" s="1" t="n">
        <v>45925.56084490741</v>
      </c>
      <c r="C427" s="1" t="n">
        <v>46003</v>
      </c>
      <c r="D427" t="inlineStr">
        <is>
          <t>DALARNAS LÄN</t>
        </is>
      </c>
      <c r="E427" t="inlineStr">
        <is>
          <t>ORSA</t>
        </is>
      </c>
      <c r="F427" t="inlineStr">
        <is>
          <t>Allmännings- och besparingsskogar</t>
        </is>
      </c>
      <c r="G427" t="n">
        <v>0.7</v>
      </c>
      <c r="H427" t="n">
        <v>0</v>
      </c>
      <c r="I427" t="n">
        <v>0</v>
      </c>
      <c r="J427" t="n">
        <v>0</v>
      </c>
      <c r="K427" t="n">
        <v>0</v>
      </c>
      <c r="L427" t="n">
        <v>0</v>
      </c>
      <c r="M427" t="n">
        <v>0</v>
      </c>
      <c r="N427" t="n">
        <v>0</v>
      </c>
      <c r="O427" t="n">
        <v>0</v>
      </c>
      <c r="P427" t="n">
        <v>0</v>
      </c>
      <c r="Q427" t="n">
        <v>0</v>
      </c>
      <c r="R427" s="2" t="inlineStr"/>
    </row>
    <row r="428" ht="15" customHeight="1">
      <c r="A428" t="inlineStr">
        <is>
          <t>A 46277-2025</t>
        </is>
      </c>
      <c r="B428" s="1" t="n">
        <v>45925.37229166667</v>
      </c>
      <c r="C428" s="1" t="n">
        <v>46003</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24248-2025</t>
        </is>
      </c>
      <c r="B429" s="1" t="n">
        <v>45797.40101851852</v>
      </c>
      <c r="C429" s="1" t="n">
        <v>46003</v>
      </c>
      <c r="D429" t="inlineStr">
        <is>
          <t>DALARNAS LÄN</t>
        </is>
      </c>
      <c r="E429" t="inlineStr">
        <is>
          <t>ORSA</t>
        </is>
      </c>
      <c r="F429" t="inlineStr">
        <is>
          <t>Bergvik skog öst AB</t>
        </is>
      </c>
      <c r="G429" t="n">
        <v>4.3</v>
      </c>
      <c r="H429" t="n">
        <v>0</v>
      </c>
      <c r="I429" t="n">
        <v>0</v>
      </c>
      <c r="J429" t="n">
        <v>0</v>
      </c>
      <c r="K429" t="n">
        <v>0</v>
      </c>
      <c r="L429" t="n">
        <v>0</v>
      </c>
      <c r="M429" t="n">
        <v>0</v>
      </c>
      <c r="N429" t="n">
        <v>0</v>
      </c>
      <c r="O429" t="n">
        <v>0</v>
      </c>
      <c r="P429" t="n">
        <v>0</v>
      </c>
      <c r="Q429" t="n">
        <v>0</v>
      </c>
      <c r="R429" s="2" t="inlineStr"/>
    </row>
    <row r="430" ht="15" customHeight="1">
      <c r="A430" t="inlineStr">
        <is>
          <t>A 55405-2025</t>
        </is>
      </c>
      <c r="B430" s="1" t="n">
        <v>45971.45525462963</v>
      </c>
      <c r="C430" s="1" t="n">
        <v>46003</v>
      </c>
      <c r="D430" t="inlineStr">
        <is>
          <t>DALARNAS LÄN</t>
        </is>
      </c>
      <c r="E430" t="inlineStr">
        <is>
          <t>ORSA</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24969-2025</t>
        </is>
      </c>
      <c r="B431" s="1" t="n">
        <v>45799</v>
      </c>
      <c r="C431" s="1" t="n">
        <v>46003</v>
      </c>
      <c r="D431" t="inlineStr">
        <is>
          <t>DALARNAS LÄN</t>
        </is>
      </c>
      <c r="E431" t="inlineStr">
        <is>
          <t>ORSA</t>
        </is>
      </c>
      <c r="F431" t="inlineStr">
        <is>
          <t>Allmännings- och besparingsskogar</t>
        </is>
      </c>
      <c r="G431" t="n">
        <v>2.6</v>
      </c>
      <c r="H431" t="n">
        <v>0</v>
      </c>
      <c r="I431" t="n">
        <v>0</v>
      </c>
      <c r="J431" t="n">
        <v>0</v>
      </c>
      <c r="K431" t="n">
        <v>0</v>
      </c>
      <c r="L431" t="n">
        <v>0</v>
      </c>
      <c r="M431" t="n">
        <v>0</v>
      </c>
      <c r="N431" t="n">
        <v>0</v>
      </c>
      <c r="O431" t="n">
        <v>0</v>
      </c>
      <c r="P431" t="n">
        <v>0</v>
      </c>
      <c r="Q431" t="n">
        <v>0</v>
      </c>
      <c r="R431" s="2" t="inlineStr"/>
    </row>
    <row r="432" ht="15" customHeight="1">
      <c r="A432" t="inlineStr">
        <is>
          <t>A 55369-2025</t>
        </is>
      </c>
      <c r="B432" s="1" t="n">
        <v>45971.41472222222</v>
      </c>
      <c r="C432" s="1" t="n">
        <v>46003</v>
      </c>
      <c r="D432" t="inlineStr">
        <is>
          <t>DALARNAS LÄN</t>
        </is>
      </c>
      <c r="E432" t="inlineStr">
        <is>
          <t>ORSA</t>
        </is>
      </c>
      <c r="F432" t="inlineStr">
        <is>
          <t>Bergvik skog öst AB</t>
        </is>
      </c>
      <c r="G432" t="n">
        <v>1.7</v>
      </c>
      <c r="H432" t="n">
        <v>0</v>
      </c>
      <c r="I432" t="n">
        <v>0</v>
      </c>
      <c r="J432" t="n">
        <v>0</v>
      </c>
      <c r="K432" t="n">
        <v>0</v>
      </c>
      <c r="L432" t="n">
        <v>0</v>
      </c>
      <c r="M432" t="n">
        <v>0</v>
      </c>
      <c r="N432" t="n">
        <v>0</v>
      </c>
      <c r="O432" t="n">
        <v>0</v>
      </c>
      <c r="P432" t="n">
        <v>0</v>
      </c>
      <c r="Q432" t="n">
        <v>0</v>
      </c>
      <c r="R432" s="2" t="inlineStr"/>
    </row>
    <row r="433" ht="15" customHeight="1">
      <c r="A433" t="inlineStr">
        <is>
          <t>A 25211-2025</t>
        </is>
      </c>
      <c r="B433" s="1" t="n">
        <v>45800.46965277778</v>
      </c>
      <c r="C433" s="1" t="n">
        <v>46003</v>
      </c>
      <c r="D433" t="inlineStr">
        <is>
          <t>DALARNAS LÄN</t>
        </is>
      </c>
      <c r="E433" t="inlineStr">
        <is>
          <t>ORSA</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18817-2023</t>
        </is>
      </c>
      <c r="B434" s="1" t="n">
        <v>45043</v>
      </c>
      <c r="C434" s="1" t="n">
        <v>46003</v>
      </c>
      <c r="D434" t="inlineStr">
        <is>
          <t>DALARNAS LÄN</t>
        </is>
      </c>
      <c r="E434" t="inlineStr">
        <is>
          <t>ORSA</t>
        </is>
      </c>
      <c r="G434" t="n">
        <v>4.4</v>
      </c>
      <c r="H434" t="n">
        <v>0</v>
      </c>
      <c r="I434" t="n">
        <v>0</v>
      </c>
      <c r="J434" t="n">
        <v>0</v>
      </c>
      <c r="K434" t="n">
        <v>0</v>
      </c>
      <c r="L434" t="n">
        <v>0</v>
      </c>
      <c r="M434" t="n">
        <v>0</v>
      </c>
      <c r="N434" t="n">
        <v>0</v>
      </c>
      <c r="O434" t="n">
        <v>0</v>
      </c>
      <c r="P434" t="n">
        <v>0</v>
      </c>
      <c r="Q434" t="n">
        <v>0</v>
      </c>
      <c r="R434" s="2" t="inlineStr"/>
    </row>
    <row r="435" ht="15" customHeight="1">
      <c r="A435" t="inlineStr">
        <is>
          <t>A 56295-2025</t>
        </is>
      </c>
      <c r="B435" s="1" t="n">
        <v>45974.60144675926</v>
      </c>
      <c r="C435" s="1" t="n">
        <v>46003</v>
      </c>
      <c r="D435" t="inlineStr">
        <is>
          <t>DALARNAS LÄN</t>
        </is>
      </c>
      <c r="E435" t="inlineStr">
        <is>
          <t>ORSA</t>
        </is>
      </c>
      <c r="G435" t="n">
        <v>2.1</v>
      </c>
      <c r="H435" t="n">
        <v>0</v>
      </c>
      <c r="I435" t="n">
        <v>0</v>
      </c>
      <c r="J435" t="n">
        <v>0</v>
      </c>
      <c r="K435" t="n">
        <v>0</v>
      </c>
      <c r="L435" t="n">
        <v>0</v>
      </c>
      <c r="M435" t="n">
        <v>0</v>
      </c>
      <c r="N435" t="n">
        <v>0</v>
      </c>
      <c r="O435" t="n">
        <v>0</v>
      </c>
      <c r="P435" t="n">
        <v>0</v>
      </c>
      <c r="Q435" t="n">
        <v>0</v>
      </c>
      <c r="R435" s="2" t="inlineStr"/>
    </row>
    <row r="436" ht="15" customHeight="1">
      <c r="A436" t="inlineStr">
        <is>
          <t>A 56297-2025</t>
        </is>
      </c>
      <c r="B436" s="1" t="n">
        <v>45974.60431712963</v>
      </c>
      <c r="C436" s="1" t="n">
        <v>46003</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21364-2025</t>
        </is>
      </c>
      <c r="B437" s="1" t="n">
        <v>45782</v>
      </c>
      <c r="C437" s="1" t="n">
        <v>46003</v>
      </c>
      <c r="D437" t="inlineStr">
        <is>
          <t>DALARNAS LÄN</t>
        </is>
      </c>
      <c r="E437" t="inlineStr">
        <is>
          <t>ORSA</t>
        </is>
      </c>
      <c r="F437" t="inlineStr">
        <is>
          <t>Allmännings- och besparingsskogar</t>
        </is>
      </c>
      <c r="G437" t="n">
        <v>52.6</v>
      </c>
      <c r="H437" t="n">
        <v>0</v>
      </c>
      <c r="I437" t="n">
        <v>0</v>
      </c>
      <c r="J437" t="n">
        <v>0</v>
      </c>
      <c r="K437" t="n">
        <v>0</v>
      </c>
      <c r="L437" t="n">
        <v>0</v>
      </c>
      <c r="M437" t="n">
        <v>0</v>
      </c>
      <c r="N437" t="n">
        <v>0</v>
      </c>
      <c r="O437" t="n">
        <v>0</v>
      </c>
      <c r="P437" t="n">
        <v>0</v>
      </c>
      <c r="Q437" t="n">
        <v>0</v>
      </c>
      <c r="R437" s="2" t="inlineStr"/>
    </row>
    <row r="438" ht="15" customHeight="1">
      <c r="A438" t="inlineStr">
        <is>
          <t>A 47953-2025</t>
        </is>
      </c>
      <c r="B438" s="1" t="n">
        <v>45932.5853125</v>
      </c>
      <c r="C438" s="1" t="n">
        <v>46003</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20302-2023</t>
        </is>
      </c>
      <c r="B439" s="1" t="n">
        <v>45056</v>
      </c>
      <c r="C439" s="1" t="n">
        <v>46003</v>
      </c>
      <c r="D439" t="inlineStr">
        <is>
          <t>DALARNAS LÄN</t>
        </is>
      </c>
      <c r="E439" t="inlineStr">
        <is>
          <t>ORSA</t>
        </is>
      </c>
      <c r="G439" t="n">
        <v>2.1</v>
      </c>
      <c r="H439" t="n">
        <v>0</v>
      </c>
      <c r="I439" t="n">
        <v>0</v>
      </c>
      <c r="J439" t="n">
        <v>0</v>
      </c>
      <c r="K439" t="n">
        <v>0</v>
      </c>
      <c r="L439" t="n">
        <v>0</v>
      </c>
      <c r="M439" t="n">
        <v>0</v>
      </c>
      <c r="N439" t="n">
        <v>0</v>
      </c>
      <c r="O439" t="n">
        <v>0</v>
      </c>
      <c r="P439" t="n">
        <v>0</v>
      </c>
      <c r="Q439" t="n">
        <v>0</v>
      </c>
      <c r="R439" s="2" t="inlineStr"/>
    </row>
    <row r="440" ht="15" customHeight="1">
      <c r="A440" t="inlineStr">
        <is>
          <t>A 56288-2025</t>
        </is>
      </c>
      <c r="B440" s="1" t="n">
        <v>45974.59688657407</v>
      </c>
      <c r="C440" s="1" t="n">
        <v>46003</v>
      </c>
      <c r="D440" t="inlineStr">
        <is>
          <t>DALARNAS LÄN</t>
        </is>
      </c>
      <c r="E440" t="inlineStr">
        <is>
          <t>ORSA</t>
        </is>
      </c>
      <c r="G440" t="n">
        <v>7.2</v>
      </c>
      <c r="H440" t="n">
        <v>0</v>
      </c>
      <c r="I440" t="n">
        <v>0</v>
      </c>
      <c r="J440" t="n">
        <v>0</v>
      </c>
      <c r="K440" t="n">
        <v>0</v>
      </c>
      <c r="L440" t="n">
        <v>0</v>
      </c>
      <c r="M440" t="n">
        <v>0</v>
      </c>
      <c r="N440" t="n">
        <v>0</v>
      </c>
      <c r="O440" t="n">
        <v>0</v>
      </c>
      <c r="P440" t="n">
        <v>0</v>
      </c>
      <c r="Q440" t="n">
        <v>0</v>
      </c>
      <c r="R440" s="2" t="inlineStr"/>
    </row>
    <row r="441" ht="15" customHeight="1">
      <c r="A441" t="inlineStr">
        <is>
          <t>A 26741-2025</t>
        </is>
      </c>
      <c r="B441" s="1" t="n">
        <v>45810.52444444445</v>
      </c>
      <c r="C441" s="1" t="n">
        <v>46003</v>
      </c>
      <c r="D441" t="inlineStr">
        <is>
          <t>DALARNAS LÄN</t>
        </is>
      </c>
      <c r="E441" t="inlineStr">
        <is>
          <t>ORSA</t>
        </is>
      </c>
      <c r="G441" t="n">
        <v>0.7</v>
      </c>
      <c r="H441" t="n">
        <v>0</v>
      </c>
      <c r="I441" t="n">
        <v>0</v>
      </c>
      <c r="J441" t="n">
        <v>0</v>
      </c>
      <c r="K441" t="n">
        <v>0</v>
      </c>
      <c r="L441" t="n">
        <v>0</v>
      </c>
      <c r="M441" t="n">
        <v>0</v>
      </c>
      <c r="N441" t="n">
        <v>0</v>
      </c>
      <c r="O441" t="n">
        <v>0</v>
      </c>
      <c r="P441" t="n">
        <v>0</v>
      </c>
      <c r="Q441" t="n">
        <v>0</v>
      </c>
      <c r="R441" s="2" t="inlineStr"/>
    </row>
    <row r="442" ht="15" customHeight="1">
      <c r="A442" t="inlineStr">
        <is>
          <t>A 56344-2025</t>
        </is>
      </c>
      <c r="B442" s="1" t="n">
        <v>45974.64894675926</v>
      </c>
      <c r="C442" s="1" t="n">
        <v>46003</v>
      </c>
      <c r="D442" t="inlineStr">
        <is>
          <t>DALARNAS LÄN</t>
        </is>
      </c>
      <c r="E442" t="inlineStr">
        <is>
          <t>ORSA</t>
        </is>
      </c>
      <c r="G442" t="n">
        <v>5.5</v>
      </c>
      <c r="H442" t="n">
        <v>0</v>
      </c>
      <c r="I442" t="n">
        <v>0</v>
      </c>
      <c r="J442" t="n">
        <v>0</v>
      </c>
      <c r="K442" t="n">
        <v>0</v>
      </c>
      <c r="L442" t="n">
        <v>0</v>
      </c>
      <c r="M442" t="n">
        <v>0</v>
      </c>
      <c r="N442" t="n">
        <v>0</v>
      </c>
      <c r="O442" t="n">
        <v>0</v>
      </c>
      <c r="P442" t="n">
        <v>0</v>
      </c>
      <c r="Q442" t="n">
        <v>0</v>
      </c>
      <c r="R442" s="2" t="inlineStr"/>
    </row>
    <row r="443" ht="15" customHeight="1">
      <c r="A443" t="inlineStr">
        <is>
          <t>A 6490-2025</t>
        </is>
      </c>
      <c r="B443" s="1" t="n">
        <v>45699</v>
      </c>
      <c r="C443" s="1" t="n">
        <v>46003</v>
      </c>
      <c r="D443" t="inlineStr">
        <is>
          <t>DALARNAS LÄN</t>
        </is>
      </c>
      <c r="E443" t="inlineStr">
        <is>
          <t>ORSA</t>
        </is>
      </c>
      <c r="G443" t="n">
        <v>7.5</v>
      </c>
      <c r="H443" t="n">
        <v>0</v>
      </c>
      <c r="I443" t="n">
        <v>0</v>
      </c>
      <c r="J443" t="n">
        <v>0</v>
      </c>
      <c r="K443" t="n">
        <v>0</v>
      </c>
      <c r="L443" t="n">
        <v>0</v>
      </c>
      <c r="M443" t="n">
        <v>0</v>
      </c>
      <c r="N443" t="n">
        <v>0</v>
      </c>
      <c r="O443" t="n">
        <v>0</v>
      </c>
      <c r="P443" t="n">
        <v>0</v>
      </c>
      <c r="Q443" t="n">
        <v>0</v>
      </c>
      <c r="R443" s="2" t="inlineStr"/>
    </row>
    <row r="444" ht="15" customHeight="1">
      <c r="A444" t="inlineStr">
        <is>
          <t>A 56459-2025</t>
        </is>
      </c>
      <c r="B444" s="1" t="n">
        <v>45975.36898148148</v>
      </c>
      <c r="C444" s="1" t="n">
        <v>46003</v>
      </c>
      <c r="D444" t="inlineStr">
        <is>
          <t>DALARNAS LÄN</t>
        </is>
      </c>
      <c r="E444" t="inlineStr">
        <is>
          <t>ORSA</t>
        </is>
      </c>
      <c r="G444" t="n">
        <v>3.8</v>
      </c>
      <c r="H444" t="n">
        <v>0</v>
      </c>
      <c r="I444" t="n">
        <v>0</v>
      </c>
      <c r="J444" t="n">
        <v>0</v>
      </c>
      <c r="K444" t="n">
        <v>0</v>
      </c>
      <c r="L444" t="n">
        <v>0</v>
      </c>
      <c r="M444" t="n">
        <v>0</v>
      </c>
      <c r="N444" t="n">
        <v>0</v>
      </c>
      <c r="O444" t="n">
        <v>0</v>
      </c>
      <c r="P444" t="n">
        <v>0</v>
      </c>
      <c r="Q444" t="n">
        <v>0</v>
      </c>
      <c r="R444" s="2" t="inlineStr"/>
    </row>
    <row r="445" ht="15" customHeight="1">
      <c r="A445" t="inlineStr">
        <is>
          <t>A 27221-2025</t>
        </is>
      </c>
      <c r="B445" s="1" t="n">
        <v>45812.42304398148</v>
      </c>
      <c r="C445" s="1" t="n">
        <v>46003</v>
      </c>
      <c r="D445" t="inlineStr">
        <is>
          <t>DALARNAS LÄN</t>
        </is>
      </c>
      <c r="E445" t="inlineStr">
        <is>
          <t>ORSA</t>
        </is>
      </c>
      <c r="F445" t="inlineStr">
        <is>
          <t>Bergvik skog öst AB</t>
        </is>
      </c>
      <c r="G445" t="n">
        <v>3.7</v>
      </c>
      <c r="H445" t="n">
        <v>0</v>
      </c>
      <c r="I445" t="n">
        <v>0</v>
      </c>
      <c r="J445" t="n">
        <v>0</v>
      </c>
      <c r="K445" t="n">
        <v>0</v>
      </c>
      <c r="L445" t="n">
        <v>0</v>
      </c>
      <c r="M445" t="n">
        <v>0</v>
      </c>
      <c r="N445" t="n">
        <v>0</v>
      </c>
      <c r="O445" t="n">
        <v>0</v>
      </c>
      <c r="P445" t="n">
        <v>0</v>
      </c>
      <c r="Q445" t="n">
        <v>0</v>
      </c>
      <c r="R445" s="2" t="inlineStr"/>
    </row>
    <row r="446" ht="15" customHeight="1">
      <c r="A446" t="inlineStr">
        <is>
          <t>A 56813-2025</t>
        </is>
      </c>
      <c r="B446" s="1" t="n">
        <v>45978.45585648148</v>
      </c>
      <c r="C446" s="1" t="n">
        <v>46003</v>
      </c>
      <c r="D446" t="inlineStr">
        <is>
          <t>DALARNAS LÄN</t>
        </is>
      </c>
      <c r="E446" t="inlineStr">
        <is>
          <t>ORSA</t>
        </is>
      </c>
      <c r="G446" t="n">
        <v>2</v>
      </c>
      <c r="H446" t="n">
        <v>0</v>
      </c>
      <c r="I446" t="n">
        <v>0</v>
      </c>
      <c r="J446" t="n">
        <v>0</v>
      </c>
      <c r="K446" t="n">
        <v>0</v>
      </c>
      <c r="L446" t="n">
        <v>0</v>
      </c>
      <c r="M446" t="n">
        <v>0</v>
      </c>
      <c r="N446" t="n">
        <v>0</v>
      </c>
      <c r="O446" t="n">
        <v>0</v>
      </c>
      <c r="P446" t="n">
        <v>0</v>
      </c>
      <c r="Q446" t="n">
        <v>0</v>
      </c>
      <c r="R446" s="2" t="inlineStr"/>
    </row>
    <row r="447" ht="15" customHeight="1">
      <c r="A447" t="inlineStr">
        <is>
          <t>A 27313-2025</t>
        </is>
      </c>
      <c r="B447" s="1" t="n">
        <v>45812.58365740741</v>
      </c>
      <c r="C447" s="1" t="n">
        <v>46003</v>
      </c>
      <c r="D447" t="inlineStr">
        <is>
          <t>DALARNAS LÄN</t>
        </is>
      </c>
      <c r="E447" t="inlineStr">
        <is>
          <t>ORSA</t>
        </is>
      </c>
      <c r="F447" t="inlineStr">
        <is>
          <t>Allmännings- och besparingsskogar</t>
        </is>
      </c>
      <c r="G447" t="n">
        <v>1.4</v>
      </c>
      <c r="H447" t="n">
        <v>0</v>
      </c>
      <c r="I447" t="n">
        <v>0</v>
      </c>
      <c r="J447" t="n">
        <v>0</v>
      </c>
      <c r="K447" t="n">
        <v>0</v>
      </c>
      <c r="L447" t="n">
        <v>0</v>
      </c>
      <c r="M447" t="n">
        <v>0</v>
      </c>
      <c r="N447" t="n">
        <v>0</v>
      </c>
      <c r="O447" t="n">
        <v>0</v>
      </c>
      <c r="P447" t="n">
        <v>0</v>
      </c>
      <c r="Q447" t="n">
        <v>0</v>
      </c>
      <c r="R447" s="2" t="inlineStr"/>
    </row>
    <row r="448" ht="15" customHeight="1">
      <c r="A448" t="inlineStr">
        <is>
          <t>A 48546-2025</t>
        </is>
      </c>
      <c r="B448" s="1" t="n">
        <v>45936.42172453704</v>
      </c>
      <c r="C448" s="1" t="n">
        <v>46003</v>
      </c>
      <c r="D448" t="inlineStr">
        <is>
          <t>DALARNAS LÄN</t>
        </is>
      </c>
      <c r="E448" t="inlineStr">
        <is>
          <t>ORSA</t>
        </is>
      </c>
      <c r="F448" t="inlineStr">
        <is>
          <t>Allmännings- och besparingsskogar</t>
        </is>
      </c>
      <c r="G448" t="n">
        <v>6</v>
      </c>
      <c r="H448" t="n">
        <v>0</v>
      </c>
      <c r="I448" t="n">
        <v>0</v>
      </c>
      <c r="J448" t="n">
        <v>0</v>
      </c>
      <c r="K448" t="n">
        <v>0</v>
      </c>
      <c r="L448" t="n">
        <v>0</v>
      </c>
      <c r="M448" t="n">
        <v>0</v>
      </c>
      <c r="N448" t="n">
        <v>0</v>
      </c>
      <c r="O448" t="n">
        <v>0</v>
      </c>
      <c r="P448" t="n">
        <v>0</v>
      </c>
      <c r="Q448" t="n">
        <v>0</v>
      </c>
      <c r="R448" s="2" t="inlineStr"/>
    </row>
    <row r="449" ht="15" customHeight="1">
      <c r="A449" t="inlineStr">
        <is>
          <t>A 27190-2025</t>
        </is>
      </c>
      <c r="B449" s="1" t="n">
        <v>45812.37025462963</v>
      </c>
      <c r="C449" s="1" t="n">
        <v>46003</v>
      </c>
      <c r="D449" t="inlineStr">
        <is>
          <t>DALARNAS LÄN</t>
        </is>
      </c>
      <c r="E449" t="inlineStr">
        <is>
          <t>ORSA</t>
        </is>
      </c>
      <c r="F449" t="inlineStr">
        <is>
          <t>Bergvik skog öst AB</t>
        </is>
      </c>
      <c r="G449" t="n">
        <v>4.9</v>
      </c>
      <c r="H449" t="n">
        <v>0</v>
      </c>
      <c r="I449" t="n">
        <v>0</v>
      </c>
      <c r="J449" t="n">
        <v>0</v>
      </c>
      <c r="K449" t="n">
        <v>0</v>
      </c>
      <c r="L449" t="n">
        <v>0</v>
      </c>
      <c r="M449" t="n">
        <v>0</v>
      </c>
      <c r="N449" t="n">
        <v>0</v>
      </c>
      <c r="O449" t="n">
        <v>0</v>
      </c>
      <c r="P449" t="n">
        <v>0</v>
      </c>
      <c r="Q449" t="n">
        <v>0</v>
      </c>
      <c r="R449" s="2" t="inlineStr"/>
    </row>
    <row r="450" ht="15" customHeight="1">
      <c r="A450" t="inlineStr">
        <is>
          <t>A 48504-2025</t>
        </is>
      </c>
      <c r="B450" s="1" t="n">
        <v>45936.38270833333</v>
      </c>
      <c r="C450" s="1" t="n">
        <v>46003</v>
      </c>
      <c r="D450" t="inlineStr">
        <is>
          <t>DALARNAS LÄN</t>
        </is>
      </c>
      <c r="E450" t="inlineStr">
        <is>
          <t>ORSA</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56471-2025</t>
        </is>
      </c>
      <c r="B451" s="1" t="n">
        <v>45975.37766203703</v>
      </c>
      <c r="C451" s="1" t="n">
        <v>46003</v>
      </c>
      <c r="D451" t="inlineStr">
        <is>
          <t>DALARNAS LÄN</t>
        </is>
      </c>
      <c r="E451" t="inlineStr">
        <is>
          <t>ORSA</t>
        </is>
      </c>
      <c r="G451" t="n">
        <v>5.2</v>
      </c>
      <c r="H451" t="n">
        <v>0</v>
      </c>
      <c r="I451" t="n">
        <v>0</v>
      </c>
      <c r="J451" t="n">
        <v>0</v>
      </c>
      <c r="K451" t="n">
        <v>0</v>
      </c>
      <c r="L451" t="n">
        <v>0</v>
      </c>
      <c r="M451" t="n">
        <v>0</v>
      </c>
      <c r="N451" t="n">
        <v>0</v>
      </c>
      <c r="O451" t="n">
        <v>0</v>
      </c>
      <c r="P451" t="n">
        <v>0</v>
      </c>
      <c r="Q451" t="n">
        <v>0</v>
      </c>
      <c r="R451" s="2" t="inlineStr"/>
    </row>
    <row r="452" ht="15" customHeight="1">
      <c r="A452" t="inlineStr">
        <is>
          <t>A 28207-2025</t>
        </is>
      </c>
      <c r="B452" s="1" t="n">
        <v>45818.44871527778</v>
      </c>
      <c r="C452" s="1" t="n">
        <v>46003</v>
      </c>
      <c r="D452" t="inlineStr">
        <is>
          <t>DALARNAS LÄN</t>
        </is>
      </c>
      <c r="E452" t="inlineStr">
        <is>
          <t>ORSA</t>
        </is>
      </c>
      <c r="F452" t="inlineStr">
        <is>
          <t>Bergvik skog öst AB</t>
        </is>
      </c>
      <c r="G452" t="n">
        <v>2.9</v>
      </c>
      <c r="H452" t="n">
        <v>0</v>
      </c>
      <c r="I452" t="n">
        <v>0</v>
      </c>
      <c r="J452" t="n">
        <v>0</v>
      </c>
      <c r="K452" t="n">
        <v>0</v>
      </c>
      <c r="L452" t="n">
        <v>0</v>
      </c>
      <c r="M452" t="n">
        <v>0</v>
      </c>
      <c r="N452" t="n">
        <v>0</v>
      </c>
      <c r="O452" t="n">
        <v>0</v>
      </c>
      <c r="P452" t="n">
        <v>0</v>
      </c>
      <c r="Q452" t="n">
        <v>0</v>
      </c>
      <c r="R452" s="2" t="inlineStr"/>
    </row>
    <row r="453" ht="15" customHeight="1">
      <c r="A453" t="inlineStr">
        <is>
          <t>A 27866-2025</t>
        </is>
      </c>
      <c r="B453" s="1" t="n">
        <v>45817.4262962963</v>
      </c>
      <c r="C453" s="1" t="n">
        <v>46003</v>
      </c>
      <c r="D453" t="inlineStr">
        <is>
          <t>DALARNAS LÄN</t>
        </is>
      </c>
      <c r="E453" t="inlineStr">
        <is>
          <t>ORSA</t>
        </is>
      </c>
      <c r="F453" t="inlineStr">
        <is>
          <t>Allmännings- och besparingsskogar</t>
        </is>
      </c>
      <c r="G453" t="n">
        <v>6</v>
      </c>
      <c r="H453" t="n">
        <v>0</v>
      </c>
      <c r="I453" t="n">
        <v>0</v>
      </c>
      <c r="J453" t="n">
        <v>0</v>
      </c>
      <c r="K453" t="n">
        <v>0</v>
      </c>
      <c r="L453" t="n">
        <v>0</v>
      </c>
      <c r="M453" t="n">
        <v>0</v>
      </c>
      <c r="N453" t="n">
        <v>0</v>
      </c>
      <c r="O453" t="n">
        <v>0</v>
      </c>
      <c r="P453" t="n">
        <v>0</v>
      </c>
      <c r="Q453" t="n">
        <v>0</v>
      </c>
      <c r="R453" s="2" t="inlineStr"/>
    </row>
    <row r="454" ht="15" customHeight="1">
      <c r="A454" t="inlineStr">
        <is>
          <t>A 56473-2025</t>
        </is>
      </c>
      <c r="B454" s="1" t="n">
        <v>45975.38001157407</v>
      </c>
      <c r="C454" s="1" t="n">
        <v>46003</v>
      </c>
      <c r="D454" t="inlineStr">
        <is>
          <t>DALARNAS LÄN</t>
        </is>
      </c>
      <c r="E454" t="inlineStr">
        <is>
          <t>ORSA</t>
        </is>
      </c>
      <c r="G454" t="n">
        <v>1.1</v>
      </c>
      <c r="H454" t="n">
        <v>0</v>
      </c>
      <c r="I454" t="n">
        <v>0</v>
      </c>
      <c r="J454" t="n">
        <v>0</v>
      </c>
      <c r="K454" t="n">
        <v>0</v>
      </c>
      <c r="L454" t="n">
        <v>0</v>
      </c>
      <c r="M454" t="n">
        <v>0</v>
      </c>
      <c r="N454" t="n">
        <v>0</v>
      </c>
      <c r="O454" t="n">
        <v>0</v>
      </c>
      <c r="P454" t="n">
        <v>0</v>
      </c>
      <c r="Q454" t="n">
        <v>0</v>
      </c>
      <c r="R454" s="2" t="inlineStr"/>
    </row>
    <row r="455" ht="15" customHeight="1">
      <c r="A455" t="inlineStr">
        <is>
          <t>A 27987-2025</t>
        </is>
      </c>
      <c r="B455" s="1" t="n">
        <v>45817.58361111111</v>
      </c>
      <c r="C455" s="1" t="n">
        <v>46003</v>
      </c>
      <c r="D455" t="inlineStr">
        <is>
          <t>DALARNAS LÄN</t>
        </is>
      </c>
      <c r="E455" t="inlineStr">
        <is>
          <t>ORSA</t>
        </is>
      </c>
      <c r="F455" t="inlineStr">
        <is>
          <t>Allmännings- och besparingsskogar</t>
        </is>
      </c>
      <c r="G455" t="n">
        <v>2.5</v>
      </c>
      <c r="H455" t="n">
        <v>0</v>
      </c>
      <c r="I455" t="n">
        <v>0</v>
      </c>
      <c r="J455" t="n">
        <v>0</v>
      </c>
      <c r="K455" t="n">
        <v>0</v>
      </c>
      <c r="L455" t="n">
        <v>0</v>
      </c>
      <c r="M455" t="n">
        <v>0</v>
      </c>
      <c r="N455" t="n">
        <v>0</v>
      </c>
      <c r="O455" t="n">
        <v>0</v>
      </c>
      <c r="P455" t="n">
        <v>0</v>
      </c>
      <c r="Q455" t="n">
        <v>0</v>
      </c>
      <c r="R455" s="2" t="inlineStr"/>
    </row>
    <row r="456" ht="15" customHeight="1">
      <c r="A456" t="inlineStr">
        <is>
          <t>A 48584-2025</t>
        </is>
      </c>
      <c r="B456" s="1" t="n">
        <v>45936.45788194444</v>
      </c>
      <c r="C456" s="1" t="n">
        <v>46003</v>
      </c>
      <c r="D456" t="inlineStr">
        <is>
          <t>DALARNAS LÄN</t>
        </is>
      </c>
      <c r="E456" t="inlineStr">
        <is>
          <t>ORSA</t>
        </is>
      </c>
      <c r="F456" t="inlineStr">
        <is>
          <t>Allmännings- och besparingsskogar</t>
        </is>
      </c>
      <c r="G456" t="n">
        <v>10.3</v>
      </c>
      <c r="H456" t="n">
        <v>0</v>
      </c>
      <c r="I456" t="n">
        <v>0</v>
      </c>
      <c r="J456" t="n">
        <v>0</v>
      </c>
      <c r="K456" t="n">
        <v>0</v>
      </c>
      <c r="L456" t="n">
        <v>0</v>
      </c>
      <c r="M456" t="n">
        <v>0</v>
      </c>
      <c r="N456" t="n">
        <v>0</v>
      </c>
      <c r="O456" t="n">
        <v>0</v>
      </c>
      <c r="P456" t="n">
        <v>0</v>
      </c>
      <c r="Q456" t="n">
        <v>0</v>
      </c>
      <c r="R456" s="2" t="inlineStr"/>
    </row>
    <row r="457" ht="15" customHeight="1">
      <c r="A457" t="inlineStr">
        <is>
          <t>A 27885-2025</t>
        </is>
      </c>
      <c r="B457" s="1" t="n">
        <v>45817.45034722222</v>
      </c>
      <c r="C457" s="1" t="n">
        <v>46003</v>
      </c>
      <c r="D457" t="inlineStr">
        <is>
          <t>DALARNAS LÄN</t>
        </is>
      </c>
      <c r="E457" t="inlineStr">
        <is>
          <t>ORSA</t>
        </is>
      </c>
      <c r="F457" t="inlineStr">
        <is>
          <t>Allmännings- och besparingsskogar</t>
        </is>
      </c>
      <c r="G457" t="n">
        <v>3.4</v>
      </c>
      <c r="H457" t="n">
        <v>0</v>
      </c>
      <c r="I457" t="n">
        <v>0</v>
      </c>
      <c r="J457" t="n">
        <v>0</v>
      </c>
      <c r="K457" t="n">
        <v>0</v>
      </c>
      <c r="L457" t="n">
        <v>0</v>
      </c>
      <c r="M457" t="n">
        <v>0</v>
      </c>
      <c r="N457" t="n">
        <v>0</v>
      </c>
      <c r="O457" t="n">
        <v>0</v>
      </c>
      <c r="P457" t="n">
        <v>0</v>
      </c>
      <c r="Q457" t="n">
        <v>0</v>
      </c>
      <c r="R457" s="2" t="inlineStr"/>
    </row>
    <row r="458" ht="15" customHeight="1">
      <c r="A458" t="inlineStr">
        <is>
          <t>A 28317-2025</t>
        </is>
      </c>
      <c r="B458" s="1" t="n">
        <v>45818.6300462963</v>
      </c>
      <c r="C458" s="1" t="n">
        <v>46003</v>
      </c>
      <c r="D458" t="inlineStr">
        <is>
          <t>DALARNAS LÄN</t>
        </is>
      </c>
      <c r="E458" t="inlineStr">
        <is>
          <t>ORSA</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28609-2025</t>
        </is>
      </c>
      <c r="B459" s="1" t="n">
        <v>45819.60303240741</v>
      </c>
      <c r="C459" s="1" t="n">
        <v>46003</v>
      </c>
      <c r="D459" t="inlineStr">
        <is>
          <t>DALARNAS LÄN</t>
        </is>
      </c>
      <c r="E459" t="inlineStr">
        <is>
          <t>ORSA</t>
        </is>
      </c>
      <c r="F459" t="inlineStr">
        <is>
          <t>Bergvik skog öst AB</t>
        </is>
      </c>
      <c r="G459" t="n">
        <v>9.1</v>
      </c>
      <c r="H459" t="n">
        <v>0</v>
      </c>
      <c r="I459" t="n">
        <v>0</v>
      </c>
      <c r="J459" t="n">
        <v>0</v>
      </c>
      <c r="K459" t="n">
        <v>0</v>
      </c>
      <c r="L459" t="n">
        <v>0</v>
      </c>
      <c r="M459" t="n">
        <v>0</v>
      </c>
      <c r="N459" t="n">
        <v>0</v>
      </c>
      <c r="O459" t="n">
        <v>0</v>
      </c>
      <c r="P459" t="n">
        <v>0</v>
      </c>
      <c r="Q459" t="n">
        <v>0</v>
      </c>
      <c r="R459" s="2" t="inlineStr"/>
    </row>
    <row r="460" ht="15" customHeight="1">
      <c r="A460" t="inlineStr">
        <is>
          <t>A 28635-2025</t>
        </is>
      </c>
      <c r="B460" s="1" t="n">
        <v>45819.63112268518</v>
      </c>
      <c r="C460" s="1" t="n">
        <v>46003</v>
      </c>
      <c r="D460" t="inlineStr">
        <is>
          <t>DALARNAS LÄN</t>
        </is>
      </c>
      <c r="E460" t="inlineStr">
        <is>
          <t>ORSA</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49211-2025</t>
        </is>
      </c>
      <c r="B461" s="1" t="n">
        <v>45938.43825231482</v>
      </c>
      <c r="C461" s="1" t="n">
        <v>46003</v>
      </c>
      <c r="D461" t="inlineStr">
        <is>
          <t>DALARNAS LÄN</t>
        </is>
      </c>
      <c r="E461" t="inlineStr">
        <is>
          <t>ORSA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49396-2025</t>
        </is>
      </c>
      <c r="B462" s="1" t="n">
        <v>45938.66181712963</v>
      </c>
      <c r="C462" s="1" t="n">
        <v>46003</v>
      </c>
      <c r="D462" t="inlineStr">
        <is>
          <t>DALARNAS LÄN</t>
        </is>
      </c>
      <c r="E462" t="inlineStr">
        <is>
          <t>ORSA</t>
        </is>
      </c>
      <c r="F462" t="inlineStr">
        <is>
          <t>Allmännings- och besparingsskogar</t>
        </is>
      </c>
      <c r="G462" t="n">
        <v>9.9</v>
      </c>
      <c r="H462" t="n">
        <v>0</v>
      </c>
      <c r="I462" t="n">
        <v>0</v>
      </c>
      <c r="J462" t="n">
        <v>0</v>
      </c>
      <c r="K462" t="n">
        <v>0</v>
      </c>
      <c r="L462" t="n">
        <v>0</v>
      </c>
      <c r="M462" t="n">
        <v>0</v>
      </c>
      <c r="N462" t="n">
        <v>0</v>
      </c>
      <c r="O462" t="n">
        <v>0</v>
      </c>
      <c r="P462" t="n">
        <v>0</v>
      </c>
      <c r="Q462" t="n">
        <v>0</v>
      </c>
      <c r="R462" s="2" t="inlineStr"/>
    </row>
    <row r="463" ht="15" customHeight="1">
      <c r="A463" t="inlineStr">
        <is>
          <t>A 57383-2025</t>
        </is>
      </c>
      <c r="B463" s="1" t="n">
        <v>45980.40871527778</v>
      </c>
      <c r="C463" s="1" t="n">
        <v>46003</v>
      </c>
      <c r="D463" t="inlineStr">
        <is>
          <t>DALARNAS LÄN</t>
        </is>
      </c>
      <c r="E463" t="inlineStr">
        <is>
          <t>ORSA</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57055-2025</t>
        </is>
      </c>
      <c r="B464" s="1" t="n">
        <v>45979.36299768519</v>
      </c>
      <c r="C464" s="1" t="n">
        <v>46003</v>
      </c>
      <c r="D464" t="inlineStr">
        <is>
          <t>DALARNAS LÄN</t>
        </is>
      </c>
      <c r="E464" t="inlineStr">
        <is>
          <t>ORSA</t>
        </is>
      </c>
      <c r="G464" t="n">
        <v>1.6</v>
      </c>
      <c r="H464" t="n">
        <v>0</v>
      </c>
      <c r="I464" t="n">
        <v>0</v>
      </c>
      <c r="J464" t="n">
        <v>0</v>
      </c>
      <c r="K464" t="n">
        <v>0</v>
      </c>
      <c r="L464" t="n">
        <v>0</v>
      </c>
      <c r="M464" t="n">
        <v>0</v>
      </c>
      <c r="N464" t="n">
        <v>0</v>
      </c>
      <c r="O464" t="n">
        <v>0</v>
      </c>
      <c r="P464" t="n">
        <v>0</v>
      </c>
      <c r="Q464" t="n">
        <v>0</v>
      </c>
      <c r="R464" s="2" t="inlineStr"/>
    </row>
    <row r="465" ht="15" customHeight="1">
      <c r="A465" t="inlineStr">
        <is>
          <t>A 29844-2025</t>
        </is>
      </c>
      <c r="B465" s="1" t="n">
        <v>45826</v>
      </c>
      <c r="C465" s="1" t="n">
        <v>46003</v>
      </c>
      <c r="D465" t="inlineStr">
        <is>
          <t>DALARNAS LÄN</t>
        </is>
      </c>
      <c r="E465" t="inlineStr">
        <is>
          <t>ORSA</t>
        </is>
      </c>
      <c r="F465" t="inlineStr">
        <is>
          <t>Allmännings- och besparingsskogar</t>
        </is>
      </c>
      <c r="G465" t="n">
        <v>53.9</v>
      </c>
      <c r="H465" t="n">
        <v>0</v>
      </c>
      <c r="I465" t="n">
        <v>0</v>
      </c>
      <c r="J465" t="n">
        <v>0</v>
      </c>
      <c r="K465" t="n">
        <v>0</v>
      </c>
      <c r="L465" t="n">
        <v>0</v>
      </c>
      <c r="M465" t="n">
        <v>0</v>
      </c>
      <c r="N465" t="n">
        <v>0</v>
      </c>
      <c r="O465" t="n">
        <v>0</v>
      </c>
      <c r="P465" t="n">
        <v>0</v>
      </c>
      <c r="Q465" t="n">
        <v>0</v>
      </c>
      <c r="R465" s="2" t="inlineStr"/>
    </row>
    <row r="466" ht="15" customHeight="1">
      <c r="A466" t="inlineStr">
        <is>
          <t>A 58007-2025</t>
        </is>
      </c>
      <c r="B466" s="1" t="n">
        <v>45982.44907407407</v>
      </c>
      <c r="C466" s="1" t="n">
        <v>46003</v>
      </c>
      <c r="D466" t="inlineStr">
        <is>
          <t>DALARNAS LÄN</t>
        </is>
      </c>
      <c r="E466" t="inlineStr">
        <is>
          <t>ORSA</t>
        </is>
      </c>
      <c r="G466" t="n">
        <v>1.8</v>
      </c>
      <c r="H466" t="n">
        <v>0</v>
      </c>
      <c r="I466" t="n">
        <v>0</v>
      </c>
      <c r="J466" t="n">
        <v>0</v>
      </c>
      <c r="K466" t="n">
        <v>0</v>
      </c>
      <c r="L466" t="n">
        <v>0</v>
      </c>
      <c r="M466" t="n">
        <v>0</v>
      </c>
      <c r="N466" t="n">
        <v>0</v>
      </c>
      <c r="O466" t="n">
        <v>0</v>
      </c>
      <c r="P466" t="n">
        <v>0</v>
      </c>
      <c r="Q466" t="n">
        <v>0</v>
      </c>
      <c r="R466" s="2" t="inlineStr"/>
    </row>
    <row r="467" ht="15" customHeight="1">
      <c r="A467" t="inlineStr">
        <is>
          <t>A 29933-2025</t>
        </is>
      </c>
      <c r="B467" s="1" t="n">
        <v>45826.44121527778</v>
      </c>
      <c r="C467" s="1" t="n">
        <v>46003</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49517-2025</t>
        </is>
      </c>
      <c r="B468" s="1" t="n">
        <v>45939.38850694444</v>
      </c>
      <c r="C468" s="1" t="n">
        <v>46003</v>
      </c>
      <c r="D468" t="inlineStr">
        <is>
          <t>DALARNAS LÄN</t>
        </is>
      </c>
      <c r="E468" t="inlineStr">
        <is>
          <t>ORSA</t>
        </is>
      </c>
      <c r="F468" t="inlineStr">
        <is>
          <t>Bergvik skog öst AB</t>
        </is>
      </c>
      <c r="G468" t="n">
        <v>3.1</v>
      </c>
      <c r="H468" t="n">
        <v>0</v>
      </c>
      <c r="I468" t="n">
        <v>0</v>
      </c>
      <c r="J468" t="n">
        <v>0</v>
      </c>
      <c r="K468" t="n">
        <v>0</v>
      </c>
      <c r="L468" t="n">
        <v>0</v>
      </c>
      <c r="M468" t="n">
        <v>0</v>
      </c>
      <c r="N468" t="n">
        <v>0</v>
      </c>
      <c r="O468" t="n">
        <v>0</v>
      </c>
      <c r="P468" t="n">
        <v>0</v>
      </c>
      <c r="Q468" t="n">
        <v>0</v>
      </c>
      <c r="R468" s="2" t="inlineStr"/>
    </row>
    <row r="469" ht="15" customHeight="1">
      <c r="A469" t="inlineStr">
        <is>
          <t>A 57681-2025</t>
        </is>
      </c>
      <c r="B469" s="1" t="n">
        <v>45980.30490740741</v>
      </c>
      <c r="C469" s="1" t="n">
        <v>46003</v>
      </c>
      <c r="D469" t="inlineStr">
        <is>
          <t>DALARNAS LÄN</t>
        </is>
      </c>
      <c r="E469" t="inlineStr">
        <is>
          <t>ORSA</t>
        </is>
      </c>
      <c r="G469" t="n">
        <v>1.7</v>
      </c>
      <c r="H469" t="n">
        <v>0</v>
      </c>
      <c r="I469" t="n">
        <v>0</v>
      </c>
      <c r="J469" t="n">
        <v>0</v>
      </c>
      <c r="K469" t="n">
        <v>0</v>
      </c>
      <c r="L469" t="n">
        <v>0</v>
      </c>
      <c r="M469" t="n">
        <v>0</v>
      </c>
      <c r="N469" t="n">
        <v>0</v>
      </c>
      <c r="O469" t="n">
        <v>0</v>
      </c>
      <c r="P469" t="n">
        <v>0</v>
      </c>
      <c r="Q469" t="n">
        <v>0</v>
      </c>
      <c r="R469" s="2" t="inlineStr"/>
    </row>
    <row r="470" ht="15" customHeight="1">
      <c r="A470" t="inlineStr">
        <is>
          <t>A 58683-2025</t>
        </is>
      </c>
      <c r="B470" s="1" t="n">
        <v>45986.56949074074</v>
      </c>
      <c r="C470" s="1" t="n">
        <v>46003</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58691-2025</t>
        </is>
      </c>
      <c r="B471" s="1" t="n">
        <v>45986.58231481481</v>
      </c>
      <c r="C471" s="1" t="n">
        <v>46003</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58681-2025</t>
        </is>
      </c>
      <c r="B472" s="1" t="n">
        <v>45986.56822916667</v>
      </c>
      <c r="C472" s="1" t="n">
        <v>46003</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31365-2025</t>
        </is>
      </c>
      <c r="B473" s="1" t="n">
        <v>45833.43884259259</v>
      </c>
      <c r="C473" s="1" t="n">
        <v>46003</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58657-2025</t>
        </is>
      </c>
      <c r="B474" s="1" t="n">
        <v>45986.52584490741</v>
      </c>
      <c r="C474" s="1" t="n">
        <v>46003</v>
      </c>
      <c r="D474" t="inlineStr">
        <is>
          <t>DALARNAS LÄN</t>
        </is>
      </c>
      <c r="E474" t="inlineStr">
        <is>
          <t>ORSA</t>
        </is>
      </c>
      <c r="G474" t="n">
        <v>1.6</v>
      </c>
      <c r="H474" t="n">
        <v>0</v>
      </c>
      <c r="I474" t="n">
        <v>0</v>
      </c>
      <c r="J474" t="n">
        <v>0</v>
      </c>
      <c r="K474" t="n">
        <v>0</v>
      </c>
      <c r="L474" t="n">
        <v>0</v>
      </c>
      <c r="M474" t="n">
        <v>0</v>
      </c>
      <c r="N474" t="n">
        <v>0</v>
      </c>
      <c r="O474" t="n">
        <v>0</v>
      </c>
      <c r="P474" t="n">
        <v>0</v>
      </c>
      <c r="Q474" t="n">
        <v>0</v>
      </c>
      <c r="R474" s="2" t="inlineStr"/>
    </row>
    <row r="475" ht="15" customHeight="1">
      <c r="A475" t="inlineStr">
        <is>
          <t>A 58686-2025</t>
        </is>
      </c>
      <c r="B475" s="1" t="n">
        <v>45986.57303240741</v>
      </c>
      <c r="C475" s="1" t="n">
        <v>46003</v>
      </c>
      <c r="D475" t="inlineStr">
        <is>
          <t>DALARNAS LÄN</t>
        </is>
      </c>
      <c r="E475" t="inlineStr">
        <is>
          <t>ORSA</t>
        </is>
      </c>
      <c r="G475" t="n">
        <v>1.2</v>
      </c>
      <c r="H475" t="n">
        <v>0</v>
      </c>
      <c r="I475" t="n">
        <v>0</v>
      </c>
      <c r="J475" t="n">
        <v>0</v>
      </c>
      <c r="K475" t="n">
        <v>0</v>
      </c>
      <c r="L475" t="n">
        <v>0</v>
      </c>
      <c r="M475" t="n">
        <v>0</v>
      </c>
      <c r="N475" t="n">
        <v>0</v>
      </c>
      <c r="O475" t="n">
        <v>0</v>
      </c>
      <c r="P475" t="n">
        <v>0</v>
      </c>
      <c r="Q475" t="n">
        <v>0</v>
      </c>
      <c r="R475" s="2" t="inlineStr"/>
    </row>
    <row r="476" ht="15" customHeight="1">
      <c r="A476" t="inlineStr">
        <is>
          <t>A 31634-2025</t>
        </is>
      </c>
      <c r="B476" s="1" t="n">
        <v>45834</v>
      </c>
      <c r="C476" s="1" t="n">
        <v>46003</v>
      </c>
      <c r="D476" t="inlineStr">
        <is>
          <t>DALARNAS LÄN</t>
        </is>
      </c>
      <c r="E476" t="inlineStr">
        <is>
          <t>ORSA</t>
        </is>
      </c>
      <c r="G476" t="n">
        <v>2</v>
      </c>
      <c r="H476" t="n">
        <v>0</v>
      </c>
      <c r="I476" t="n">
        <v>0</v>
      </c>
      <c r="J476" t="n">
        <v>0</v>
      </c>
      <c r="K476" t="n">
        <v>0</v>
      </c>
      <c r="L476" t="n">
        <v>0</v>
      </c>
      <c r="M476" t="n">
        <v>0</v>
      </c>
      <c r="N476" t="n">
        <v>0</v>
      </c>
      <c r="O476" t="n">
        <v>0</v>
      </c>
      <c r="P476" t="n">
        <v>0</v>
      </c>
      <c r="Q476" t="n">
        <v>0</v>
      </c>
      <c r="R476" s="2" t="inlineStr"/>
    </row>
    <row r="477" ht="15" customHeight="1">
      <c r="A477" t="inlineStr">
        <is>
          <t>A 31659-2025</t>
        </is>
      </c>
      <c r="B477" s="1" t="n">
        <v>45834.35421296296</v>
      </c>
      <c r="C477" s="1" t="n">
        <v>46003</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58647-2025</t>
        </is>
      </c>
      <c r="B478" s="1" t="n">
        <v>45986.50476851852</v>
      </c>
      <c r="C478" s="1" t="n">
        <v>46003</v>
      </c>
      <c r="D478" t="inlineStr">
        <is>
          <t>DALARNAS LÄN</t>
        </is>
      </c>
      <c r="E478" t="inlineStr">
        <is>
          <t>ORSA</t>
        </is>
      </c>
      <c r="G478" t="n">
        <v>2.8</v>
      </c>
      <c r="H478" t="n">
        <v>0</v>
      </c>
      <c r="I478" t="n">
        <v>0</v>
      </c>
      <c r="J478" t="n">
        <v>0</v>
      </c>
      <c r="K478" t="n">
        <v>0</v>
      </c>
      <c r="L478" t="n">
        <v>0</v>
      </c>
      <c r="M478" t="n">
        <v>0</v>
      </c>
      <c r="N478" t="n">
        <v>0</v>
      </c>
      <c r="O478" t="n">
        <v>0</v>
      </c>
      <c r="P478" t="n">
        <v>0</v>
      </c>
      <c r="Q478" t="n">
        <v>0</v>
      </c>
      <c r="R478" s="2" t="inlineStr"/>
    </row>
    <row r="479" ht="15" customHeight="1">
      <c r="A479" t="inlineStr">
        <is>
          <t>A 59149-2025</t>
        </is>
      </c>
      <c r="B479" s="1" t="n">
        <v>45988.52844907407</v>
      </c>
      <c r="C479" s="1" t="n">
        <v>46003</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58834-2025</t>
        </is>
      </c>
      <c r="B480" s="1" t="n">
        <v>45987.35487268519</v>
      </c>
      <c r="C480" s="1" t="n">
        <v>46003</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32325-2025</t>
        </is>
      </c>
      <c r="B481" s="1" t="n">
        <v>45836</v>
      </c>
      <c r="C481" s="1" t="n">
        <v>46003</v>
      </c>
      <c r="D481" t="inlineStr">
        <is>
          <t>DALARNAS LÄN</t>
        </is>
      </c>
      <c r="E481" t="inlineStr">
        <is>
          <t>ORSA</t>
        </is>
      </c>
      <c r="G481" t="n">
        <v>3.8</v>
      </c>
      <c r="H481" t="n">
        <v>0</v>
      </c>
      <c r="I481" t="n">
        <v>0</v>
      </c>
      <c r="J481" t="n">
        <v>0</v>
      </c>
      <c r="K481" t="n">
        <v>0</v>
      </c>
      <c r="L481" t="n">
        <v>0</v>
      </c>
      <c r="M481" t="n">
        <v>0</v>
      </c>
      <c r="N481" t="n">
        <v>0</v>
      </c>
      <c r="O481" t="n">
        <v>0</v>
      </c>
      <c r="P481" t="n">
        <v>0</v>
      </c>
      <c r="Q481" t="n">
        <v>0</v>
      </c>
      <c r="R481" s="2" t="inlineStr"/>
    </row>
    <row r="482" ht="15" customHeight="1">
      <c r="A482" t="inlineStr">
        <is>
          <t>A 59114-2025</t>
        </is>
      </c>
      <c r="B482" s="1" t="n">
        <v>45988.4884375</v>
      </c>
      <c r="C482" s="1" t="n">
        <v>46003</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58904-2025</t>
        </is>
      </c>
      <c r="B483" s="1" t="n">
        <v>45987.50958333333</v>
      </c>
      <c r="C483" s="1" t="n">
        <v>46003</v>
      </c>
      <c r="D483" t="inlineStr">
        <is>
          <t>DALARNAS LÄN</t>
        </is>
      </c>
      <c r="E483" t="inlineStr">
        <is>
          <t>ORSA</t>
        </is>
      </c>
      <c r="G483" t="n">
        <v>5.5</v>
      </c>
      <c r="H483" t="n">
        <v>0</v>
      </c>
      <c r="I483" t="n">
        <v>0</v>
      </c>
      <c r="J483" t="n">
        <v>0</v>
      </c>
      <c r="K483" t="n">
        <v>0</v>
      </c>
      <c r="L483" t="n">
        <v>0</v>
      </c>
      <c r="M483" t="n">
        <v>0</v>
      </c>
      <c r="N483" t="n">
        <v>0</v>
      </c>
      <c r="O483" t="n">
        <v>0</v>
      </c>
      <c r="P483" t="n">
        <v>0</v>
      </c>
      <c r="Q483" t="n">
        <v>0</v>
      </c>
      <c r="R483" s="2" t="inlineStr"/>
    </row>
    <row r="484" ht="15" customHeight="1">
      <c r="A484" t="inlineStr">
        <is>
          <t>A 59124-2025</t>
        </is>
      </c>
      <c r="B484" s="1" t="n">
        <v>45988.4934375</v>
      </c>
      <c r="C484" s="1" t="n">
        <v>46003</v>
      </c>
      <c r="D484" t="inlineStr">
        <is>
          <t>DALARNAS LÄN</t>
        </is>
      </c>
      <c r="E484" t="inlineStr">
        <is>
          <t>ORSA</t>
        </is>
      </c>
      <c r="G484" t="n">
        <v>0.6</v>
      </c>
      <c r="H484" t="n">
        <v>0</v>
      </c>
      <c r="I484" t="n">
        <v>0</v>
      </c>
      <c r="J484" t="n">
        <v>0</v>
      </c>
      <c r="K484" t="n">
        <v>0</v>
      </c>
      <c r="L484" t="n">
        <v>0</v>
      </c>
      <c r="M484" t="n">
        <v>0</v>
      </c>
      <c r="N484" t="n">
        <v>0</v>
      </c>
      <c r="O484" t="n">
        <v>0</v>
      </c>
      <c r="P484" t="n">
        <v>0</v>
      </c>
      <c r="Q484" t="n">
        <v>0</v>
      </c>
      <c r="R484" s="2" t="inlineStr"/>
    </row>
    <row r="485" ht="15" customHeight="1">
      <c r="A485" t="inlineStr">
        <is>
          <t>A 33214-2025</t>
        </is>
      </c>
      <c r="B485" s="1" t="n">
        <v>45840.6295949074</v>
      </c>
      <c r="C485" s="1" t="n">
        <v>46003</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32985-2025</t>
        </is>
      </c>
      <c r="B486" s="1" t="n">
        <v>45839.93033564815</v>
      </c>
      <c r="C486" s="1" t="n">
        <v>46003</v>
      </c>
      <c r="D486" t="inlineStr">
        <is>
          <t>DALARNAS LÄN</t>
        </is>
      </c>
      <c r="E486" t="inlineStr">
        <is>
          <t>ORSA</t>
        </is>
      </c>
      <c r="G486" t="n">
        <v>1.6</v>
      </c>
      <c r="H486" t="n">
        <v>0</v>
      </c>
      <c r="I486" t="n">
        <v>0</v>
      </c>
      <c r="J486" t="n">
        <v>0</v>
      </c>
      <c r="K486" t="n">
        <v>0</v>
      </c>
      <c r="L486" t="n">
        <v>0</v>
      </c>
      <c r="M486" t="n">
        <v>0</v>
      </c>
      <c r="N486" t="n">
        <v>0</v>
      </c>
      <c r="O486" t="n">
        <v>0</v>
      </c>
      <c r="P486" t="n">
        <v>0</v>
      </c>
      <c r="Q486" t="n">
        <v>0</v>
      </c>
      <c r="R486" s="2" t="inlineStr"/>
    </row>
    <row r="487" ht="15" customHeight="1">
      <c r="A487" t="inlineStr">
        <is>
          <t>A 58886-2025</t>
        </is>
      </c>
      <c r="B487" s="1" t="n">
        <v>45987.48171296297</v>
      </c>
      <c r="C487" s="1" t="n">
        <v>46003</v>
      </c>
      <c r="D487" t="inlineStr">
        <is>
          <t>DALARNAS LÄN</t>
        </is>
      </c>
      <c r="E487" t="inlineStr">
        <is>
          <t>ORSA</t>
        </is>
      </c>
      <c r="G487" t="n">
        <v>2.7</v>
      </c>
      <c r="H487" t="n">
        <v>0</v>
      </c>
      <c r="I487" t="n">
        <v>0</v>
      </c>
      <c r="J487" t="n">
        <v>0</v>
      </c>
      <c r="K487" t="n">
        <v>0</v>
      </c>
      <c r="L487" t="n">
        <v>0</v>
      </c>
      <c r="M487" t="n">
        <v>0</v>
      </c>
      <c r="N487" t="n">
        <v>0</v>
      </c>
      <c r="O487" t="n">
        <v>0</v>
      </c>
      <c r="P487" t="n">
        <v>0</v>
      </c>
      <c r="Q487" t="n">
        <v>0</v>
      </c>
      <c r="R487" s="2" t="inlineStr"/>
    </row>
    <row r="488" ht="15" customHeight="1">
      <c r="A488" t="inlineStr">
        <is>
          <t>A 33059-2025</t>
        </is>
      </c>
      <c r="B488" s="1" t="n">
        <v>45840.43072916667</v>
      </c>
      <c r="C488" s="1" t="n">
        <v>46003</v>
      </c>
      <c r="D488" t="inlineStr">
        <is>
          <t>DALARNAS LÄN</t>
        </is>
      </c>
      <c r="E488" t="inlineStr">
        <is>
          <t>ORSA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33209-2025</t>
        </is>
      </c>
      <c r="B489" s="1" t="n">
        <v>45840.62648148148</v>
      </c>
      <c r="C489" s="1" t="n">
        <v>46003</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58910-2025</t>
        </is>
      </c>
      <c r="B490" s="1" t="n">
        <v>45987.51534722222</v>
      </c>
      <c r="C490" s="1" t="n">
        <v>46003</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58923-2025</t>
        </is>
      </c>
      <c r="B491" s="1" t="n">
        <v>45987.54099537037</v>
      </c>
      <c r="C491" s="1" t="n">
        <v>46003</v>
      </c>
      <c r="D491" t="inlineStr">
        <is>
          <t>DALARNAS LÄN</t>
        </is>
      </c>
      <c r="E491" t="inlineStr">
        <is>
          <t>ORSA</t>
        </is>
      </c>
      <c r="G491" t="n">
        <v>0.6</v>
      </c>
      <c r="H491" t="n">
        <v>0</v>
      </c>
      <c r="I491" t="n">
        <v>0</v>
      </c>
      <c r="J491" t="n">
        <v>0</v>
      </c>
      <c r="K491" t="n">
        <v>0</v>
      </c>
      <c r="L491" t="n">
        <v>0</v>
      </c>
      <c r="M491" t="n">
        <v>0</v>
      </c>
      <c r="N491" t="n">
        <v>0</v>
      </c>
      <c r="O491" t="n">
        <v>0</v>
      </c>
      <c r="P491" t="n">
        <v>0</v>
      </c>
      <c r="Q491" t="n">
        <v>0</v>
      </c>
      <c r="R491" s="2" t="inlineStr"/>
    </row>
    <row r="492" ht="15" customHeight="1">
      <c r="A492" t="inlineStr">
        <is>
          <t>A 33158-2025</t>
        </is>
      </c>
      <c r="B492" s="1" t="n">
        <v>45840</v>
      </c>
      <c r="C492" s="1" t="n">
        <v>46003</v>
      </c>
      <c r="D492" t="inlineStr">
        <is>
          <t>DALARNAS LÄN</t>
        </is>
      </c>
      <c r="E492" t="inlineStr">
        <is>
          <t>ORSA</t>
        </is>
      </c>
      <c r="F492" t="inlineStr">
        <is>
          <t>Bergvik skog öst AB</t>
        </is>
      </c>
      <c r="G492" t="n">
        <v>2.7</v>
      </c>
      <c r="H492" t="n">
        <v>0</v>
      </c>
      <c r="I492" t="n">
        <v>0</v>
      </c>
      <c r="J492" t="n">
        <v>0</v>
      </c>
      <c r="K492" t="n">
        <v>0</v>
      </c>
      <c r="L492" t="n">
        <v>0</v>
      </c>
      <c r="M492" t="n">
        <v>0</v>
      </c>
      <c r="N492" t="n">
        <v>0</v>
      </c>
      <c r="O492" t="n">
        <v>0</v>
      </c>
      <c r="P492" t="n">
        <v>0</v>
      </c>
      <c r="Q492" t="n">
        <v>0</v>
      </c>
      <c r="R492" s="2" t="inlineStr"/>
    </row>
    <row r="493" ht="15" customHeight="1">
      <c r="A493" t="inlineStr">
        <is>
          <t>A 32984-2025</t>
        </is>
      </c>
      <c r="B493" s="1" t="n">
        <v>45839.93006944445</v>
      </c>
      <c r="C493" s="1" t="n">
        <v>46003</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51055-2025</t>
        </is>
      </c>
      <c r="B494" s="1" t="n">
        <v>45947.44309027777</v>
      </c>
      <c r="C494" s="1" t="n">
        <v>46003</v>
      </c>
      <c r="D494" t="inlineStr">
        <is>
          <t>DALARNAS LÄN</t>
        </is>
      </c>
      <c r="E494" t="inlineStr">
        <is>
          <t>ORSA</t>
        </is>
      </c>
      <c r="G494" t="n">
        <v>4.6</v>
      </c>
      <c r="H494" t="n">
        <v>0</v>
      </c>
      <c r="I494" t="n">
        <v>0</v>
      </c>
      <c r="J494" t="n">
        <v>0</v>
      </c>
      <c r="K494" t="n">
        <v>0</v>
      </c>
      <c r="L494" t="n">
        <v>0</v>
      </c>
      <c r="M494" t="n">
        <v>0</v>
      </c>
      <c r="N494" t="n">
        <v>0</v>
      </c>
      <c r="O494" t="n">
        <v>0</v>
      </c>
      <c r="P494" t="n">
        <v>0</v>
      </c>
      <c r="Q494" t="n">
        <v>0</v>
      </c>
      <c r="R494" s="2" t="inlineStr"/>
    </row>
    <row r="495" ht="15" customHeight="1">
      <c r="A495" t="inlineStr">
        <is>
          <t>A 51049-2025</t>
        </is>
      </c>
      <c r="B495" s="1" t="n">
        <v>45947.43479166667</v>
      </c>
      <c r="C495" s="1" t="n">
        <v>46003</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33374-2025</t>
        </is>
      </c>
      <c r="B496" s="1" t="n">
        <v>45841.39582175926</v>
      </c>
      <c r="C496" s="1" t="n">
        <v>46003</v>
      </c>
      <c r="D496" t="inlineStr">
        <is>
          <t>DALARNAS LÄN</t>
        </is>
      </c>
      <c r="E496" t="inlineStr">
        <is>
          <t>ORSA</t>
        </is>
      </c>
      <c r="G496" t="n">
        <v>1</v>
      </c>
      <c r="H496" t="n">
        <v>0</v>
      </c>
      <c r="I496" t="n">
        <v>0</v>
      </c>
      <c r="J496" t="n">
        <v>0</v>
      </c>
      <c r="K496" t="n">
        <v>0</v>
      </c>
      <c r="L496" t="n">
        <v>0</v>
      </c>
      <c r="M496" t="n">
        <v>0</v>
      </c>
      <c r="N496" t="n">
        <v>0</v>
      </c>
      <c r="O496" t="n">
        <v>0</v>
      </c>
      <c r="P496" t="n">
        <v>0</v>
      </c>
      <c r="Q496" t="n">
        <v>0</v>
      </c>
      <c r="R496" s="2" t="inlineStr"/>
    </row>
    <row r="497" ht="15" customHeight="1">
      <c r="A497" t="inlineStr">
        <is>
          <t>A 51067-2025</t>
        </is>
      </c>
      <c r="B497" s="1" t="n">
        <v>45947.45381944445</v>
      </c>
      <c r="C497" s="1" t="n">
        <v>46003</v>
      </c>
      <c r="D497" t="inlineStr">
        <is>
          <t>DALARNAS LÄN</t>
        </is>
      </c>
      <c r="E497" t="inlineStr">
        <is>
          <t>ORSA</t>
        </is>
      </c>
      <c r="G497" t="n">
        <v>5.4</v>
      </c>
      <c r="H497" t="n">
        <v>0</v>
      </c>
      <c r="I497" t="n">
        <v>0</v>
      </c>
      <c r="J497" t="n">
        <v>0</v>
      </c>
      <c r="K497" t="n">
        <v>0</v>
      </c>
      <c r="L497" t="n">
        <v>0</v>
      </c>
      <c r="M497" t="n">
        <v>0</v>
      </c>
      <c r="N497" t="n">
        <v>0</v>
      </c>
      <c r="O497" t="n">
        <v>0</v>
      </c>
      <c r="P497" t="n">
        <v>0</v>
      </c>
      <c r="Q497" t="n">
        <v>0</v>
      </c>
      <c r="R497" s="2" t="inlineStr"/>
    </row>
    <row r="498" ht="15" customHeight="1">
      <c r="A498" t="inlineStr">
        <is>
          <t>A 33884-2025</t>
        </is>
      </c>
      <c r="B498" s="1" t="n">
        <v>45842.57081018519</v>
      </c>
      <c r="C498" s="1" t="n">
        <v>46003</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33394-2025</t>
        </is>
      </c>
      <c r="B499" s="1" t="n">
        <v>45841.41704861111</v>
      </c>
      <c r="C499" s="1" t="n">
        <v>46003</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33835-2025</t>
        </is>
      </c>
      <c r="B500" s="1" t="n">
        <v>45842.47619212963</v>
      </c>
      <c r="C500" s="1" t="n">
        <v>46003</v>
      </c>
      <c r="D500" t="inlineStr">
        <is>
          <t>DALARNAS LÄN</t>
        </is>
      </c>
      <c r="E500" t="inlineStr">
        <is>
          <t>ORSA</t>
        </is>
      </c>
      <c r="G500" t="n">
        <v>15.2</v>
      </c>
      <c r="H500" t="n">
        <v>0</v>
      </c>
      <c r="I500" t="n">
        <v>0</v>
      </c>
      <c r="J500" t="n">
        <v>0</v>
      </c>
      <c r="K500" t="n">
        <v>0</v>
      </c>
      <c r="L500" t="n">
        <v>0</v>
      </c>
      <c r="M500" t="n">
        <v>0</v>
      </c>
      <c r="N500" t="n">
        <v>0</v>
      </c>
      <c r="O500" t="n">
        <v>0</v>
      </c>
      <c r="P500" t="n">
        <v>0</v>
      </c>
      <c r="Q500" t="n">
        <v>0</v>
      </c>
      <c r="R500" s="2" t="inlineStr"/>
    </row>
    <row r="501" ht="15" customHeight="1">
      <c r="A501" t="inlineStr">
        <is>
          <t>A 33951-2025</t>
        </is>
      </c>
      <c r="B501" s="1" t="n">
        <v>45842.66791666667</v>
      </c>
      <c r="C501" s="1" t="n">
        <v>46003</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51334-2025</t>
        </is>
      </c>
      <c r="B502" s="1" t="n">
        <v>45950.42378472222</v>
      </c>
      <c r="C502" s="1" t="n">
        <v>46003</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33857-2025</t>
        </is>
      </c>
      <c r="B503" s="1" t="n">
        <v>45842.51953703703</v>
      </c>
      <c r="C503" s="1" t="n">
        <v>46003</v>
      </c>
      <c r="D503" t="inlineStr">
        <is>
          <t>DALARNAS LÄN</t>
        </is>
      </c>
      <c r="E503" t="inlineStr">
        <is>
          <t>ORSA</t>
        </is>
      </c>
      <c r="G503" t="n">
        <v>1.3</v>
      </c>
      <c r="H503" t="n">
        <v>0</v>
      </c>
      <c r="I503" t="n">
        <v>0</v>
      </c>
      <c r="J503" t="n">
        <v>0</v>
      </c>
      <c r="K503" t="n">
        <v>0</v>
      </c>
      <c r="L503" t="n">
        <v>0</v>
      </c>
      <c r="M503" t="n">
        <v>0</v>
      </c>
      <c r="N503" t="n">
        <v>0</v>
      </c>
      <c r="O503" t="n">
        <v>0</v>
      </c>
      <c r="P503" t="n">
        <v>0</v>
      </c>
      <c r="Q503" t="n">
        <v>0</v>
      </c>
      <c r="R503" s="2" t="inlineStr"/>
    </row>
    <row r="504" ht="15" customHeight="1">
      <c r="A504" t="inlineStr">
        <is>
          <t>A 51064-2025</t>
        </is>
      </c>
      <c r="B504" s="1" t="n">
        <v>45947.45197916667</v>
      </c>
      <c r="C504" s="1" t="n">
        <v>46003</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34001-2025</t>
        </is>
      </c>
      <c r="B505" s="1" t="n">
        <v>45844</v>
      </c>
      <c r="C505" s="1" t="n">
        <v>46003</v>
      </c>
      <c r="D505" t="inlineStr">
        <is>
          <t>DALARNAS LÄN</t>
        </is>
      </c>
      <c r="E505" t="inlineStr">
        <is>
          <t>ORSA</t>
        </is>
      </c>
      <c r="F505" t="inlineStr">
        <is>
          <t>Bergvik skog öst AB</t>
        </is>
      </c>
      <c r="G505" t="n">
        <v>13.4</v>
      </c>
      <c r="H505" t="n">
        <v>0</v>
      </c>
      <c r="I505" t="n">
        <v>0</v>
      </c>
      <c r="J505" t="n">
        <v>0</v>
      </c>
      <c r="K505" t="n">
        <v>0</v>
      </c>
      <c r="L505" t="n">
        <v>0</v>
      </c>
      <c r="M505" t="n">
        <v>0</v>
      </c>
      <c r="N505" t="n">
        <v>0</v>
      </c>
      <c r="O505" t="n">
        <v>0</v>
      </c>
      <c r="P505" t="n">
        <v>0</v>
      </c>
      <c r="Q505" t="n">
        <v>0</v>
      </c>
      <c r="R505" s="2" t="inlineStr"/>
    </row>
    <row r="506" ht="15" customHeight="1">
      <c r="A506" t="inlineStr">
        <is>
          <t>A 51340-2025</t>
        </is>
      </c>
      <c r="B506" s="1" t="n">
        <v>45950.42725694444</v>
      </c>
      <c r="C506" s="1" t="n">
        <v>46003</v>
      </c>
      <c r="D506" t="inlineStr">
        <is>
          <t>DALARNAS LÄN</t>
        </is>
      </c>
      <c r="E506" t="inlineStr">
        <is>
          <t>ORSA</t>
        </is>
      </c>
      <c r="F506" t="inlineStr">
        <is>
          <t>Allmännings- och besparingsskogar</t>
        </is>
      </c>
      <c r="G506" t="n">
        <v>14.1</v>
      </c>
      <c r="H506" t="n">
        <v>0</v>
      </c>
      <c r="I506" t="n">
        <v>0</v>
      </c>
      <c r="J506" t="n">
        <v>0</v>
      </c>
      <c r="K506" t="n">
        <v>0</v>
      </c>
      <c r="L506" t="n">
        <v>0</v>
      </c>
      <c r="M506" t="n">
        <v>0</v>
      </c>
      <c r="N506" t="n">
        <v>0</v>
      </c>
      <c r="O506" t="n">
        <v>0</v>
      </c>
      <c r="P506" t="n">
        <v>0</v>
      </c>
      <c r="Q506" t="n">
        <v>0</v>
      </c>
      <c r="R506" s="2" t="inlineStr"/>
    </row>
    <row r="507" ht="15" customHeight="1">
      <c r="A507" t="inlineStr">
        <is>
          <t>A 60337-2025</t>
        </is>
      </c>
      <c r="B507" s="1" t="n">
        <v>45994.79024305556</v>
      </c>
      <c r="C507" s="1" t="n">
        <v>46003</v>
      </c>
      <c r="D507" t="inlineStr">
        <is>
          <t>DALARNAS LÄN</t>
        </is>
      </c>
      <c r="E507" t="inlineStr">
        <is>
          <t>ORSA</t>
        </is>
      </c>
      <c r="G507" t="n">
        <v>6.8</v>
      </c>
      <c r="H507" t="n">
        <v>0</v>
      </c>
      <c r="I507" t="n">
        <v>0</v>
      </c>
      <c r="J507" t="n">
        <v>0</v>
      </c>
      <c r="K507" t="n">
        <v>0</v>
      </c>
      <c r="L507" t="n">
        <v>0</v>
      </c>
      <c r="M507" t="n">
        <v>0</v>
      </c>
      <c r="N507" t="n">
        <v>0</v>
      </c>
      <c r="O507" t="n">
        <v>0</v>
      </c>
      <c r="P507" t="n">
        <v>0</v>
      </c>
      <c r="Q507" t="n">
        <v>0</v>
      </c>
      <c r="R507" s="2" t="inlineStr"/>
    </row>
    <row r="508" ht="15" customHeight="1">
      <c r="A508" t="inlineStr">
        <is>
          <t>A 34779-2025</t>
        </is>
      </c>
      <c r="B508" s="1" t="n">
        <v>45848.66987268518</v>
      </c>
      <c r="C508" s="1" t="n">
        <v>46003</v>
      </c>
      <c r="D508" t="inlineStr">
        <is>
          <t>DALARNAS LÄN</t>
        </is>
      </c>
      <c r="E508" t="inlineStr">
        <is>
          <t>ORSA</t>
        </is>
      </c>
      <c r="G508" t="n">
        <v>0.6</v>
      </c>
      <c r="H508" t="n">
        <v>0</v>
      </c>
      <c r="I508" t="n">
        <v>0</v>
      </c>
      <c r="J508" t="n">
        <v>0</v>
      </c>
      <c r="K508" t="n">
        <v>0</v>
      </c>
      <c r="L508" t="n">
        <v>0</v>
      </c>
      <c r="M508" t="n">
        <v>0</v>
      </c>
      <c r="N508" t="n">
        <v>0</v>
      </c>
      <c r="O508" t="n">
        <v>0</v>
      </c>
      <c r="P508" t="n">
        <v>0</v>
      </c>
      <c r="Q508" t="n">
        <v>0</v>
      </c>
      <c r="R508" s="2" t="inlineStr"/>
    </row>
    <row r="509" ht="15" customHeight="1">
      <c r="A509" t="inlineStr">
        <is>
          <t>A 34753-2025</t>
        </is>
      </c>
      <c r="B509" s="1" t="n">
        <v>45848.62001157407</v>
      </c>
      <c r="C509" s="1" t="n">
        <v>46003</v>
      </c>
      <c r="D509" t="inlineStr">
        <is>
          <t>DALARNAS LÄN</t>
        </is>
      </c>
      <c r="E509" t="inlineStr">
        <is>
          <t>ORSA</t>
        </is>
      </c>
      <c r="G509" t="n">
        <v>1.4</v>
      </c>
      <c r="H509" t="n">
        <v>0</v>
      </c>
      <c r="I509" t="n">
        <v>0</v>
      </c>
      <c r="J509" t="n">
        <v>0</v>
      </c>
      <c r="K509" t="n">
        <v>0</v>
      </c>
      <c r="L509" t="n">
        <v>0</v>
      </c>
      <c r="M509" t="n">
        <v>0</v>
      </c>
      <c r="N509" t="n">
        <v>0</v>
      </c>
      <c r="O509" t="n">
        <v>0</v>
      </c>
      <c r="P509" t="n">
        <v>0</v>
      </c>
      <c r="Q509" t="n">
        <v>0</v>
      </c>
      <c r="R509" s="2" t="inlineStr"/>
    </row>
    <row r="510" ht="15" customHeight="1">
      <c r="A510" t="inlineStr">
        <is>
          <t>A 34781-2025</t>
        </is>
      </c>
      <c r="B510" s="1" t="n">
        <v>45848.67424768519</v>
      </c>
      <c r="C510" s="1" t="n">
        <v>46003</v>
      </c>
      <c r="D510" t="inlineStr">
        <is>
          <t>DALARNAS LÄN</t>
        </is>
      </c>
      <c r="E510" t="inlineStr">
        <is>
          <t>ORSA</t>
        </is>
      </c>
      <c r="G510" t="n">
        <v>0.9</v>
      </c>
      <c r="H510" t="n">
        <v>0</v>
      </c>
      <c r="I510" t="n">
        <v>0</v>
      </c>
      <c r="J510" t="n">
        <v>0</v>
      </c>
      <c r="K510" t="n">
        <v>0</v>
      </c>
      <c r="L510" t="n">
        <v>0</v>
      </c>
      <c r="M510" t="n">
        <v>0</v>
      </c>
      <c r="N510" t="n">
        <v>0</v>
      </c>
      <c r="O510" t="n">
        <v>0</v>
      </c>
      <c r="P510" t="n">
        <v>0</v>
      </c>
      <c r="Q510" t="n">
        <v>0</v>
      </c>
      <c r="R510" s="2" t="inlineStr"/>
    </row>
    <row r="511" ht="15" customHeight="1">
      <c r="A511" t="inlineStr">
        <is>
          <t>A 34744-2025</t>
        </is>
      </c>
      <c r="B511" s="1" t="n">
        <v>45848.6125</v>
      </c>
      <c r="C511" s="1" t="n">
        <v>46003</v>
      </c>
      <c r="D511" t="inlineStr">
        <is>
          <t>DALARNAS LÄN</t>
        </is>
      </c>
      <c r="E511" t="inlineStr">
        <is>
          <t>ORSA</t>
        </is>
      </c>
      <c r="G511" t="n">
        <v>1.7</v>
      </c>
      <c r="H511" t="n">
        <v>0</v>
      </c>
      <c r="I511" t="n">
        <v>0</v>
      </c>
      <c r="J511" t="n">
        <v>0</v>
      </c>
      <c r="K511" t="n">
        <v>0</v>
      </c>
      <c r="L511" t="n">
        <v>0</v>
      </c>
      <c r="M511" t="n">
        <v>0</v>
      </c>
      <c r="N511" t="n">
        <v>0</v>
      </c>
      <c r="O511" t="n">
        <v>0</v>
      </c>
      <c r="P511" t="n">
        <v>0</v>
      </c>
      <c r="Q511" t="n">
        <v>0</v>
      </c>
      <c r="R511" s="2" t="inlineStr"/>
    </row>
    <row r="512" ht="15" customHeight="1">
      <c r="A512" t="inlineStr">
        <is>
          <t>A 34769-2025</t>
        </is>
      </c>
      <c r="B512" s="1" t="n">
        <v>45848.6534837963</v>
      </c>
      <c r="C512" s="1" t="n">
        <v>46003</v>
      </c>
      <c r="D512" t="inlineStr">
        <is>
          <t>DALARNAS LÄN</t>
        </is>
      </c>
      <c r="E512" t="inlineStr">
        <is>
          <t>ORSA</t>
        </is>
      </c>
      <c r="G512" t="n">
        <v>0.4</v>
      </c>
      <c r="H512" t="n">
        <v>0</v>
      </c>
      <c r="I512" t="n">
        <v>0</v>
      </c>
      <c r="J512" t="n">
        <v>0</v>
      </c>
      <c r="K512" t="n">
        <v>0</v>
      </c>
      <c r="L512" t="n">
        <v>0</v>
      </c>
      <c r="M512" t="n">
        <v>0</v>
      </c>
      <c r="N512" t="n">
        <v>0</v>
      </c>
      <c r="O512" t="n">
        <v>0</v>
      </c>
      <c r="P512" t="n">
        <v>0</v>
      </c>
      <c r="Q512" t="n">
        <v>0</v>
      </c>
      <c r="R512" s="2" t="inlineStr"/>
    </row>
    <row r="513" ht="15" customHeight="1">
      <c r="A513" t="inlineStr">
        <is>
          <t>A 34777-2025</t>
        </is>
      </c>
      <c r="B513" s="1" t="n">
        <v>45848.66167824074</v>
      </c>
      <c r="C513" s="1" t="n">
        <v>46003</v>
      </c>
      <c r="D513" t="inlineStr">
        <is>
          <t>DALARNAS LÄN</t>
        </is>
      </c>
      <c r="E513" t="inlineStr">
        <is>
          <t>ORSA</t>
        </is>
      </c>
      <c r="G513" t="n">
        <v>0.4</v>
      </c>
      <c r="H513" t="n">
        <v>0</v>
      </c>
      <c r="I513" t="n">
        <v>0</v>
      </c>
      <c r="J513" t="n">
        <v>0</v>
      </c>
      <c r="K513" t="n">
        <v>0</v>
      </c>
      <c r="L513" t="n">
        <v>0</v>
      </c>
      <c r="M513" t="n">
        <v>0</v>
      </c>
      <c r="N513" t="n">
        <v>0</v>
      </c>
      <c r="O513" t="n">
        <v>0</v>
      </c>
      <c r="P513" t="n">
        <v>0</v>
      </c>
      <c r="Q513" t="n">
        <v>0</v>
      </c>
      <c r="R513" s="2" t="inlineStr"/>
    </row>
    <row r="514" ht="15" customHeight="1">
      <c r="A514" t="inlineStr">
        <is>
          <t>A 34794-2025</t>
        </is>
      </c>
      <c r="B514" s="1" t="n">
        <v>45848.73256944444</v>
      </c>
      <c r="C514" s="1" t="n">
        <v>46003</v>
      </c>
      <c r="D514" t="inlineStr">
        <is>
          <t>DALARNAS LÄN</t>
        </is>
      </c>
      <c r="E514" t="inlineStr">
        <is>
          <t>ORSA</t>
        </is>
      </c>
      <c r="G514" t="n">
        <v>2.3</v>
      </c>
      <c r="H514" t="n">
        <v>0</v>
      </c>
      <c r="I514" t="n">
        <v>0</v>
      </c>
      <c r="J514" t="n">
        <v>0</v>
      </c>
      <c r="K514" t="n">
        <v>0</v>
      </c>
      <c r="L514" t="n">
        <v>0</v>
      </c>
      <c r="M514" t="n">
        <v>0</v>
      </c>
      <c r="N514" t="n">
        <v>0</v>
      </c>
      <c r="O514" t="n">
        <v>0</v>
      </c>
      <c r="P514" t="n">
        <v>0</v>
      </c>
      <c r="Q514" t="n">
        <v>0</v>
      </c>
      <c r="R514" s="2" t="inlineStr"/>
    </row>
    <row r="515" ht="15" customHeight="1">
      <c r="A515" t="inlineStr">
        <is>
          <t>A 59909-2025</t>
        </is>
      </c>
      <c r="B515" s="1" t="n">
        <v>45993.35644675926</v>
      </c>
      <c r="C515" s="1" t="n">
        <v>46003</v>
      </c>
      <c r="D515" t="inlineStr">
        <is>
          <t>DALARNAS LÄN</t>
        </is>
      </c>
      <c r="E515" t="inlineStr">
        <is>
          <t>ORSA</t>
        </is>
      </c>
      <c r="G515" t="n">
        <v>3.5</v>
      </c>
      <c r="H515" t="n">
        <v>0</v>
      </c>
      <c r="I515" t="n">
        <v>0</v>
      </c>
      <c r="J515" t="n">
        <v>0</v>
      </c>
      <c r="K515" t="n">
        <v>0</v>
      </c>
      <c r="L515" t="n">
        <v>0</v>
      </c>
      <c r="M515" t="n">
        <v>0</v>
      </c>
      <c r="N515" t="n">
        <v>0</v>
      </c>
      <c r="O515" t="n">
        <v>0</v>
      </c>
      <c r="P515" t="n">
        <v>0</v>
      </c>
      <c r="Q515" t="n">
        <v>0</v>
      </c>
      <c r="R515" s="2" t="inlineStr"/>
    </row>
    <row r="516" ht="15" customHeight="1">
      <c r="A516" t="inlineStr">
        <is>
          <t>A 34764-2025</t>
        </is>
      </c>
      <c r="B516" s="1" t="n">
        <v>45848.64788194445</v>
      </c>
      <c r="C516" s="1" t="n">
        <v>46003</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34964-2025</t>
        </is>
      </c>
      <c r="B517" s="1" t="n">
        <v>45849.6330787037</v>
      </c>
      <c r="C517" s="1" t="n">
        <v>46003</v>
      </c>
      <c r="D517" t="inlineStr">
        <is>
          <t>DALARNAS LÄN</t>
        </is>
      </c>
      <c r="E517" t="inlineStr">
        <is>
          <t>ORSA</t>
        </is>
      </c>
      <c r="G517" t="n">
        <v>2.1</v>
      </c>
      <c r="H517" t="n">
        <v>0</v>
      </c>
      <c r="I517" t="n">
        <v>0</v>
      </c>
      <c r="J517" t="n">
        <v>0</v>
      </c>
      <c r="K517" t="n">
        <v>0</v>
      </c>
      <c r="L517" t="n">
        <v>0</v>
      </c>
      <c r="M517" t="n">
        <v>0</v>
      </c>
      <c r="N517" t="n">
        <v>0</v>
      </c>
      <c r="O517" t="n">
        <v>0</v>
      </c>
      <c r="P517" t="n">
        <v>0</v>
      </c>
      <c r="Q517" t="n">
        <v>0</v>
      </c>
      <c r="R517" s="2" t="inlineStr"/>
    </row>
    <row r="518" ht="15" customHeight="1">
      <c r="A518" t="inlineStr">
        <is>
          <t>A 51551-2025</t>
        </is>
      </c>
      <c r="B518" s="1" t="n">
        <v>45950.84275462963</v>
      </c>
      <c r="C518" s="1" t="n">
        <v>46003</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row r="519" ht="15" customHeight="1">
      <c r="A519" t="inlineStr">
        <is>
          <t>A 60162-2025</t>
        </is>
      </c>
      <c r="B519" s="1" t="n">
        <v>45994.43018518519</v>
      </c>
      <c r="C519" s="1" t="n">
        <v>46003</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35619-2025</t>
        </is>
      </c>
      <c r="B520" s="1" t="n">
        <v>45859</v>
      </c>
      <c r="C520" s="1" t="n">
        <v>46003</v>
      </c>
      <c r="D520" t="inlineStr">
        <is>
          <t>DALARNAS LÄN</t>
        </is>
      </c>
      <c r="E520" t="inlineStr">
        <is>
          <t>ORSA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35939-2025</t>
        </is>
      </c>
      <c r="B521" s="1" t="n">
        <v>45862.64581018518</v>
      </c>
      <c r="C521" s="1" t="n">
        <v>46003</v>
      </c>
      <c r="D521" t="inlineStr">
        <is>
          <t>DALARNAS LÄN</t>
        </is>
      </c>
      <c r="E521" t="inlineStr">
        <is>
          <t>ORSA</t>
        </is>
      </c>
      <c r="G521" t="n">
        <v>5.6</v>
      </c>
      <c r="H521" t="n">
        <v>0</v>
      </c>
      <c r="I521" t="n">
        <v>0</v>
      </c>
      <c r="J521" t="n">
        <v>0</v>
      </c>
      <c r="K521" t="n">
        <v>0</v>
      </c>
      <c r="L521" t="n">
        <v>0</v>
      </c>
      <c r="M521" t="n">
        <v>0</v>
      </c>
      <c r="N521" t="n">
        <v>0</v>
      </c>
      <c r="O521" t="n">
        <v>0</v>
      </c>
      <c r="P521" t="n">
        <v>0</v>
      </c>
      <c r="Q521" t="n">
        <v>0</v>
      </c>
      <c r="R521" s="2" t="inlineStr"/>
    </row>
    <row r="522" ht="15" customHeight="1">
      <c r="A522" t="inlineStr">
        <is>
          <t>A 35940-2025</t>
        </is>
      </c>
      <c r="B522" s="1" t="n">
        <v>45862.65081018519</v>
      </c>
      <c r="C522" s="1" t="n">
        <v>46003</v>
      </c>
      <c r="D522" t="inlineStr">
        <is>
          <t>DALARNAS LÄN</t>
        </is>
      </c>
      <c r="E522" t="inlineStr">
        <is>
          <t>ORSA</t>
        </is>
      </c>
      <c r="G522" t="n">
        <v>5.1</v>
      </c>
      <c r="H522" t="n">
        <v>0</v>
      </c>
      <c r="I522" t="n">
        <v>0</v>
      </c>
      <c r="J522" t="n">
        <v>0</v>
      </c>
      <c r="K522" t="n">
        <v>0</v>
      </c>
      <c r="L522" t="n">
        <v>0</v>
      </c>
      <c r="M522" t="n">
        <v>0</v>
      </c>
      <c r="N522" t="n">
        <v>0</v>
      </c>
      <c r="O522" t="n">
        <v>0</v>
      </c>
      <c r="P522" t="n">
        <v>0</v>
      </c>
      <c r="Q522" t="n">
        <v>0</v>
      </c>
      <c r="R522" s="2" t="inlineStr"/>
    </row>
    <row r="523" ht="15" customHeight="1">
      <c r="A523" t="inlineStr">
        <is>
          <t>A 35933-2025</t>
        </is>
      </c>
      <c r="B523" s="1" t="n">
        <v>45862.62653935186</v>
      </c>
      <c r="C523" s="1" t="n">
        <v>46003</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35935-2025</t>
        </is>
      </c>
      <c r="B524" s="1" t="n">
        <v>45862.6353125</v>
      </c>
      <c r="C524" s="1" t="n">
        <v>46003</v>
      </c>
      <c r="D524" t="inlineStr">
        <is>
          <t>DALARNAS LÄN</t>
        </is>
      </c>
      <c r="E524" t="inlineStr">
        <is>
          <t>ORSA</t>
        </is>
      </c>
      <c r="G524" t="n">
        <v>0.6</v>
      </c>
      <c r="H524" t="n">
        <v>0</v>
      </c>
      <c r="I524" t="n">
        <v>0</v>
      </c>
      <c r="J524" t="n">
        <v>0</v>
      </c>
      <c r="K524" t="n">
        <v>0</v>
      </c>
      <c r="L524" t="n">
        <v>0</v>
      </c>
      <c r="M524" t="n">
        <v>0</v>
      </c>
      <c r="N524" t="n">
        <v>0</v>
      </c>
      <c r="O524" t="n">
        <v>0</v>
      </c>
      <c r="P524" t="n">
        <v>0</v>
      </c>
      <c r="Q524" t="n">
        <v>0</v>
      </c>
      <c r="R524" s="2" t="inlineStr"/>
    </row>
    <row r="525" ht="15" customHeight="1">
      <c r="A525" t="inlineStr">
        <is>
          <t>A 52949-2025</t>
        </is>
      </c>
      <c r="B525" s="1" t="n">
        <v>45954</v>
      </c>
      <c r="C525" s="1" t="n">
        <v>46003</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50714-2023</t>
        </is>
      </c>
      <c r="B526" s="1" t="n">
        <v>45217.56513888889</v>
      </c>
      <c r="C526" s="1" t="n">
        <v>46003</v>
      </c>
      <c r="D526" t="inlineStr">
        <is>
          <t>DALARNAS LÄN</t>
        </is>
      </c>
      <c r="E526" t="inlineStr">
        <is>
          <t>ORSA</t>
        </is>
      </c>
      <c r="G526" t="n">
        <v>1.1</v>
      </c>
      <c r="H526" t="n">
        <v>0</v>
      </c>
      <c r="I526" t="n">
        <v>0</v>
      </c>
      <c r="J526" t="n">
        <v>0</v>
      </c>
      <c r="K526" t="n">
        <v>0</v>
      </c>
      <c r="L526" t="n">
        <v>0</v>
      </c>
      <c r="M526" t="n">
        <v>0</v>
      </c>
      <c r="N526" t="n">
        <v>0</v>
      </c>
      <c r="O526" t="n">
        <v>0</v>
      </c>
      <c r="P526" t="n">
        <v>0</v>
      </c>
      <c r="Q526" t="n">
        <v>0</v>
      </c>
      <c r="R526" s="2" t="inlineStr"/>
    </row>
    <row r="527" ht="15" customHeight="1">
      <c r="A527" t="inlineStr">
        <is>
          <t>A 52486-2025</t>
        </is>
      </c>
      <c r="B527" s="1" t="n">
        <v>45954.47844907407</v>
      </c>
      <c r="C527" s="1" t="n">
        <v>46003</v>
      </c>
      <c r="D527" t="inlineStr">
        <is>
          <t>DALARNAS LÄN</t>
        </is>
      </c>
      <c r="E527" t="inlineStr">
        <is>
          <t>ORSA</t>
        </is>
      </c>
      <c r="G527" t="n">
        <v>2.3</v>
      </c>
      <c r="H527" t="n">
        <v>0</v>
      </c>
      <c r="I527" t="n">
        <v>0</v>
      </c>
      <c r="J527" t="n">
        <v>0</v>
      </c>
      <c r="K527" t="n">
        <v>0</v>
      </c>
      <c r="L527" t="n">
        <v>0</v>
      </c>
      <c r="M527" t="n">
        <v>0</v>
      </c>
      <c r="N527" t="n">
        <v>0</v>
      </c>
      <c r="O527" t="n">
        <v>0</v>
      </c>
      <c r="P527" t="n">
        <v>0</v>
      </c>
      <c r="Q527" t="n">
        <v>0</v>
      </c>
      <c r="R527" s="2" t="inlineStr"/>
    </row>
    <row r="528" ht="15" customHeight="1">
      <c r="A528" t="inlineStr">
        <is>
          <t>A 60844-2025</t>
        </is>
      </c>
      <c r="B528" s="1" t="n">
        <v>45999.4887037037</v>
      </c>
      <c r="C528" s="1" t="n">
        <v>46003</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60837-2025</t>
        </is>
      </c>
      <c r="B529" s="1" t="n">
        <v>45999.47630787037</v>
      </c>
      <c r="C529" s="1" t="n">
        <v>46003</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36570-2025</t>
        </is>
      </c>
      <c r="B530" s="1" t="n">
        <v>45870.38728009259</v>
      </c>
      <c r="C530" s="1" t="n">
        <v>46003</v>
      </c>
      <c r="D530" t="inlineStr">
        <is>
          <t>DALARNAS LÄN</t>
        </is>
      </c>
      <c r="E530" t="inlineStr">
        <is>
          <t>ORSA</t>
        </is>
      </c>
      <c r="F530" t="inlineStr">
        <is>
          <t>Bergvik skog öst AB</t>
        </is>
      </c>
      <c r="G530" t="n">
        <v>2.2</v>
      </c>
      <c r="H530" t="n">
        <v>0</v>
      </c>
      <c r="I530" t="n">
        <v>0</v>
      </c>
      <c r="J530" t="n">
        <v>0</v>
      </c>
      <c r="K530" t="n">
        <v>0</v>
      </c>
      <c r="L530" t="n">
        <v>0</v>
      </c>
      <c r="M530" t="n">
        <v>0</v>
      </c>
      <c r="N530" t="n">
        <v>0</v>
      </c>
      <c r="O530" t="n">
        <v>0</v>
      </c>
      <c r="P530" t="n">
        <v>0</v>
      </c>
      <c r="Q530" t="n">
        <v>0</v>
      </c>
      <c r="R530" s="2" t="inlineStr"/>
    </row>
    <row r="531" ht="15" customHeight="1">
      <c r="A531" t="inlineStr">
        <is>
          <t>A 52702-2025</t>
        </is>
      </c>
      <c r="B531" s="1" t="n">
        <v>45956.86853009259</v>
      </c>
      <c r="C531" s="1" t="n">
        <v>46003</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36633-2025</t>
        </is>
      </c>
      <c r="B532" s="1" t="n">
        <v>45870</v>
      </c>
      <c r="C532" s="1" t="n">
        <v>46003</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52686-2025</t>
        </is>
      </c>
      <c r="B533" s="1" t="n">
        <v>45956.3562037037</v>
      </c>
      <c r="C533" s="1" t="n">
        <v>46003</v>
      </c>
      <c r="D533" t="inlineStr">
        <is>
          <t>DALARNAS LÄN</t>
        </is>
      </c>
      <c r="E533" t="inlineStr">
        <is>
          <t>ORSA</t>
        </is>
      </c>
      <c r="G533" t="n">
        <v>0.5</v>
      </c>
      <c r="H533" t="n">
        <v>0</v>
      </c>
      <c r="I533" t="n">
        <v>0</v>
      </c>
      <c r="J533" t="n">
        <v>0</v>
      </c>
      <c r="K533" t="n">
        <v>0</v>
      </c>
      <c r="L533" t="n">
        <v>0</v>
      </c>
      <c r="M533" t="n">
        <v>0</v>
      </c>
      <c r="N533" t="n">
        <v>0</v>
      </c>
      <c r="O533" t="n">
        <v>0</v>
      </c>
      <c r="P533" t="n">
        <v>0</v>
      </c>
      <c r="Q533" t="n">
        <v>0</v>
      </c>
      <c r="R533" s="2" t="inlineStr"/>
    </row>
    <row r="534" ht="15" customHeight="1">
      <c r="A534" t="inlineStr">
        <is>
          <t>A 52485-2025</t>
        </is>
      </c>
      <c r="B534" s="1" t="n">
        <v>45954.47804398148</v>
      </c>
      <c r="C534" s="1" t="n">
        <v>46003</v>
      </c>
      <c r="D534" t="inlineStr">
        <is>
          <t>DALARNAS LÄN</t>
        </is>
      </c>
      <c r="E534" t="inlineStr">
        <is>
          <t>ORSA</t>
        </is>
      </c>
      <c r="G534" t="n">
        <v>1.7</v>
      </c>
      <c r="H534" t="n">
        <v>0</v>
      </c>
      <c r="I534" t="n">
        <v>0</v>
      </c>
      <c r="J534" t="n">
        <v>0</v>
      </c>
      <c r="K534" t="n">
        <v>0</v>
      </c>
      <c r="L534" t="n">
        <v>0</v>
      </c>
      <c r="M534" t="n">
        <v>0</v>
      </c>
      <c r="N534" t="n">
        <v>0</v>
      </c>
      <c r="O534" t="n">
        <v>0</v>
      </c>
      <c r="P534" t="n">
        <v>0</v>
      </c>
      <c r="Q534" t="n">
        <v>0</v>
      </c>
      <c r="R534" s="2" t="inlineStr"/>
    </row>
    <row r="535" ht="15" customHeight="1">
      <c r="A535" t="inlineStr">
        <is>
          <t>A 61163-2025</t>
        </is>
      </c>
      <c r="B535" s="1" t="n">
        <v>46000.55846064815</v>
      </c>
      <c r="C535" s="1" t="n">
        <v>46003</v>
      </c>
      <c r="D535" t="inlineStr">
        <is>
          <t>DALARNAS LÄN</t>
        </is>
      </c>
      <c r="E535" t="inlineStr">
        <is>
          <t>ORSA</t>
        </is>
      </c>
      <c r="G535" t="n">
        <v>6.4</v>
      </c>
      <c r="H535" t="n">
        <v>0</v>
      </c>
      <c r="I535" t="n">
        <v>0</v>
      </c>
      <c r="J535" t="n">
        <v>0</v>
      </c>
      <c r="K535" t="n">
        <v>0</v>
      </c>
      <c r="L535" t="n">
        <v>0</v>
      </c>
      <c r="M535" t="n">
        <v>0</v>
      </c>
      <c r="N535" t="n">
        <v>0</v>
      </c>
      <c r="O535" t="n">
        <v>0</v>
      </c>
      <c r="P535" t="n">
        <v>0</v>
      </c>
      <c r="Q535" t="n">
        <v>0</v>
      </c>
      <c r="R535" s="2" t="inlineStr"/>
    </row>
    <row r="536" ht="15" customHeight="1">
      <c r="A536" t="inlineStr">
        <is>
          <t>A 60945-2025</t>
        </is>
      </c>
      <c r="B536" s="1" t="n">
        <v>45999.64672453704</v>
      </c>
      <c r="C536" s="1" t="n">
        <v>46003</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37181-2025</t>
        </is>
      </c>
      <c r="B537" s="1" t="n">
        <v>45875.62668981482</v>
      </c>
      <c r="C537" s="1" t="n">
        <v>46003</v>
      </c>
      <c r="D537" t="inlineStr">
        <is>
          <t>DALARNAS LÄN</t>
        </is>
      </c>
      <c r="E537" t="inlineStr">
        <is>
          <t>ORSA</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53572-2025</t>
        </is>
      </c>
      <c r="B538" s="1" t="n">
        <v>45960.4140625</v>
      </c>
      <c r="C538" s="1" t="n">
        <v>46003</v>
      </c>
      <c r="D538" t="inlineStr">
        <is>
          <t>DALARNAS LÄN</t>
        </is>
      </c>
      <c r="E538" t="inlineStr">
        <is>
          <t>ORSA</t>
        </is>
      </c>
      <c r="F538" t="inlineStr">
        <is>
          <t>Bergvik skog öst AB</t>
        </is>
      </c>
      <c r="G538" t="n">
        <v>4.1</v>
      </c>
      <c r="H538" t="n">
        <v>0</v>
      </c>
      <c r="I538" t="n">
        <v>0</v>
      </c>
      <c r="J538" t="n">
        <v>0</v>
      </c>
      <c r="K538" t="n">
        <v>0</v>
      </c>
      <c r="L538" t="n">
        <v>0</v>
      </c>
      <c r="M538" t="n">
        <v>0</v>
      </c>
      <c r="N538" t="n">
        <v>0</v>
      </c>
      <c r="O538" t="n">
        <v>0</v>
      </c>
      <c r="P538" t="n">
        <v>0</v>
      </c>
      <c r="Q538" t="n">
        <v>0</v>
      </c>
      <c r="R538" s="2" t="inlineStr"/>
    </row>
    <row r="539" ht="15" customHeight="1">
      <c r="A539" t="inlineStr">
        <is>
          <t>A 37445-2025</t>
        </is>
      </c>
      <c r="B539" s="1" t="n">
        <v>45877.54615740741</v>
      </c>
      <c r="C539" s="1" t="n">
        <v>46003</v>
      </c>
      <c r="D539" t="inlineStr">
        <is>
          <t>DALARNAS LÄN</t>
        </is>
      </c>
      <c r="E539" t="inlineStr">
        <is>
          <t>ORSA</t>
        </is>
      </c>
      <c r="F539" t="inlineStr">
        <is>
          <t>Bergvik skog öst AB</t>
        </is>
      </c>
      <c r="G539" t="n">
        <v>13.4</v>
      </c>
      <c r="H539" t="n">
        <v>0</v>
      </c>
      <c r="I539" t="n">
        <v>0</v>
      </c>
      <c r="J539" t="n">
        <v>0</v>
      </c>
      <c r="K539" t="n">
        <v>0</v>
      </c>
      <c r="L539" t="n">
        <v>0</v>
      </c>
      <c r="M539" t="n">
        <v>0</v>
      </c>
      <c r="N539" t="n">
        <v>0</v>
      </c>
      <c r="O539" t="n">
        <v>0</v>
      </c>
      <c r="P539" t="n">
        <v>0</v>
      </c>
      <c r="Q539" t="n">
        <v>0</v>
      </c>
      <c r="R539" s="2" t="inlineStr"/>
    </row>
    <row r="540" ht="15" customHeight="1">
      <c r="A540" t="inlineStr">
        <is>
          <t>A 53501-2025</t>
        </is>
      </c>
      <c r="B540" s="1" t="n">
        <v>45960.34216435185</v>
      </c>
      <c r="C540" s="1" t="n">
        <v>46003</v>
      </c>
      <c r="D540" t="inlineStr">
        <is>
          <t>DALARNAS LÄN</t>
        </is>
      </c>
      <c r="E540" t="inlineStr">
        <is>
          <t>ORSA</t>
        </is>
      </c>
      <c r="G540" t="n">
        <v>0.6</v>
      </c>
      <c r="H540" t="n">
        <v>0</v>
      </c>
      <c r="I540" t="n">
        <v>0</v>
      </c>
      <c r="J540" t="n">
        <v>0</v>
      </c>
      <c r="K540" t="n">
        <v>0</v>
      </c>
      <c r="L540" t="n">
        <v>0</v>
      </c>
      <c r="M540" t="n">
        <v>0</v>
      </c>
      <c r="N540" t="n">
        <v>0</v>
      </c>
      <c r="O540" t="n">
        <v>0</v>
      </c>
      <c r="P540" t="n">
        <v>0</v>
      </c>
      <c r="Q540" t="n">
        <v>0</v>
      </c>
      <c r="R540" s="2" t="inlineStr"/>
    </row>
    <row r="541" ht="15" customHeight="1">
      <c r="A541" t="inlineStr">
        <is>
          <t>A 53495-2025</t>
        </is>
      </c>
      <c r="B541" s="1" t="n">
        <v>45960.32577546296</v>
      </c>
      <c r="C541" s="1" t="n">
        <v>46003</v>
      </c>
      <c r="D541" t="inlineStr">
        <is>
          <t>DALARNAS LÄN</t>
        </is>
      </c>
      <c r="E541" t="inlineStr">
        <is>
          <t>ORSA</t>
        </is>
      </c>
      <c r="G541" t="n">
        <v>3.6</v>
      </c>
      <c r="H541" t="n">
        <v>0</v>
      </c>
      <c r="I541" t="n">
        <v>0</v>
      </c>
      <c r="J541" t="n">
        <v>0</v>
      </c>
      <c r="K541" t="n">
        <v>0</v>
      </c>
      <c r="L541" t="n">
        <v>0</v>
      </c>
      <c r="M541" t="n">
        <v>0</v>
      </c>
      <c r="N541" t="n">
        <v>0</v>
      </c>
      <c r="O541" t="n">
        <v>0</v>
      </c>
      <c r="P541" t="n">
        <v>0</v>
      </c>
      <c r="Q541" t="n">
        <v>0</v>
      </c>
      <c r="R541" s="2" t="inlineStr"/>
    </row>
    <row r="542" ht="15" customHeight="1">
      <c r="A542" t="inlineStr">
        <is>
          <t>A 53573-2025</t>
        </is>
      </c>
      <c r="B542" s="1" t="n">
        <v>45960.41716435185</v>
      </c>
      <c r="C542" s="1" t="n">
        <v>46003</v>
      </c>
      <c r="D542" t="inlineStr">
        <is>
          <t>DALARNAS LÄN</t>
        </is>
      </c>
      <c r="E542" t="inlineStr">
        <is>
          <t>ORSA</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37439-2025</t>
        </is>
      </c>
      <c r="B543" s="1" t="n">
        <v>45877.53644675926</v>
      </c>
      <c r="C543" s="1" t="n">
        <v>46003</v>
      </c>
      <c r="D543" t="inlineStr">
        <is>
          <t>DALARNAS LÄN</t>
        </is>
      </c>
      <c r="E543" t="inlineStr">
        <is>
          <t>ORSA</t>
        </is>
      </c>
      <c r="F543" t="inlineStr">
        <is>
          <t>Allmännings- och besparingsskogar</t>
        </is>
      </c>
      <c r="G543" t="n">
        <v>7.9</v>
      </c>
      <c r="H543" t="n">
        <v>0</v>
      </c>
      <c r="I543" t="n">
        <v>0</v>
      </c>
      <c r="J543" t="n">
        <v>0</v>
      </c>
      <c r="K543" t="n">
        <v>0</v>
      </c>
      <c r="L543" t="n">
        <v>0</v>
      </c>
      <c r="M543" t="n">
        <v>0</v>
      </c>
      <c r="N543" t="n">
        <v>0</v>
      </c>
      <c r="O543" t="n">
        <v>0</v>
      </c>
      <c r="P543" t="n">
        <v>0</v>
      </c>
      <c r="Q543" t="n">
        <v>0</v>
      </c>
      <c r="R543" s="2" t="inlineStr"/>
    </row>
    <row r="544" ht="15" customHeight="1">
      <c r="A544" t="inlineStr">
        <is>
          <t>A 37496-2025</t>
        </is>
      </c>
      <c r="B544" s="1" t="n">
        <v>45877.64424768519</v>
      </c>
      <c r="C544" s="1" t="n">
        <v>46003</v>
      </c>
      <c r="D544" t="inlineStr">
        <is>
          <t>DALARNAS LÄN</t>
        </is>
      </c>
      <c r="E544" t="inlineStr">
        <is>
          <t>ORSA</t>
        </is>
      </c>
      <c r="F544" t="inlineStr">
        <is>
          <t>Bergvik skog öst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37457-2025</t>
        </is>
      </c>
      <c r="B545" s="1" t="n">
        <v>45877.56829861111</v>
      </c>
      <c r="C545" s="1" t="n">
        <v>46003</v>
      </c>
      <c r="D545" t="inlineStr">
        <is>
          <t>DALARNAS LÄN</t>
        </is>
      </c>
      <c r="E545" t="inlineStr">
        <is>
          <t>ORSA</t>
        </is>
      </c>
      <c r="F545" t="inlineStr">
        <is>
          <t>Allmännings- och besparingsskogar</t>
        </is>
      </c>
      <c r="G545" t="n">
        <v>6.5</v>
      </c>
      <c r="H545" t="n">
        <v>0</v>
      </c>
      <c r="I545" t="n">
        <v>0</v>
      </c>
      <c r="J545" t="n">
        <v>0</v>
      </c>
      <c r="K545" t="n">
        <v>0</v>
      </c>
      <c r="L545" t="n">
        <v>0</v>
      </c>
      <c r="M545" t="n">
        <v>0</v>
      </c>
      <c r="N545" t="n">
        <v>0</v>
      </c>
      <c r="O545" t="n">
        <v>0</v>
      </c>
      <c r="P545" t="n">
        <v>0</v>
      </c>
      <c r="Q545" t="n">
        <v>0</v>
      </c>
      <c r="R545" s="2" t="inlineStr"/>
    </row>
    <row r="546" ht="15" customHeight="1">
      <c r="A546" t="inlineStr">
        <is>
          <t>A 37897-2025</t>
        </is>
      </c>
      <c r="B546" s="1" t="n">
        <v>45881.55274305555</v>
      </c>
      <c r="C546" s="1" t="n">
        <v>46003</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c r="A547" t="inlineStr">
        <is>
          <t>A 37899-2025</t>
        </is>
      </c>
      <c r="B547" s="1" t="n">
        <v>45881.56083333334</v>
      </c>
      <c r="C547" s="1" t="n">
        <v>46003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2025-12-12T10:31:02Z</dcterms:created>
  <dcterms:modified xmlns:dcterms="http://purl.org/dc/terms/" xmlns:xsi="http://www.w3.org/2001/XMLSchema-instance" xsi:type="dcterms:W3CDTF">2025-12-12T10:31:02Z</dcterms:modified>
</cp:coreProperties>
</file>