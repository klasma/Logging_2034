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45589</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45589</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45589</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45589</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45589</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45589</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45589</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45589</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45589</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45589</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45589</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45589</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45589</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45589</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45589</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45589</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45589</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45589</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45589</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45589</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45589</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45589</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45589</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45589</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45589</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45589</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45589</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45589</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45589</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45589</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45589</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45589</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45589</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45589</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45589</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45589</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45589</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45589</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45589</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45589</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45589</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45589</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43588-2024</t>
        </is>
      </c>
      <c r="B49" s="1" t="n">
        <v>45569</v>
      </c>
      <c r="C49" s="1" t="n">
        <v>45589</v>
      </c>
      <c r="D49" t="inlineStr">
        <is>
          <t>DALARNAS LÄN</t>
        </is>
      </c>
      <c r="E49" t="inlineStr">
        <is>
          <t>ORSA</t>
        </is>
      </c>
      <c r="G49" t="n">
        <v>6.4</v>
      </c>
      <c r="H49" t="n">
        <v>0</v>
      </c>
      <c r="I49" t="n">
        <v>1</v>
      </c>
      <c r="J49" t="n">
        <v>1</v>
      </c>
      <c r="K49" t="n">
        <v>0</v>
      </c>
      <c r="L49" t="n">
        <v>0</v>
      </c>
      <c r="M49" t="n">
        <v>0</v>
      </c>
      <c r="N49" t="n">
        <v>0</v>
      </c>
      <c r="O49" t="n">
        <v>1</v>
      </c>
      <c r="P49" t="n">
        <v>0</v>
      </c>
      <c r="Q49" t="n">
        <v>2</v>
      </c>
      <c r="R49" s="2" t="inlineStr">
        <is>
          <t>Garnlav
Thymalus limbatus</t>
        </is>
      </c>
      <c r="S49">
        <f>HYPERLINK("https://klasma.github.io/Logging_2034/artfynd/A 43588-2024 artfynd.xlsx", "A 43588-2024")</f>
        <v/>
      </c>
      <c r="T49">
        <f>HYPERLINK("https://klasma.github.io/Logging_2034/kartor/A 43588-2024 karta.png", "A 43588-2024")</f>
        <v/>
      </c>
      <c r="V49">
        <f>HYPERLINK("https://klasma.github.io/Logging_2034/klagomål/A 43588-2024 FSC-klagomål.docx", "A 43588-2024")</f>
        <v/>
      </c>
      <c r="W49">
        <f>HYPERLINK("https://klasma.github.io/Logging_2034/klagomålsmail/A 43588-2024 FSC-klagomål mail.docx", "A 43588-2024")</f>
        <v/>
      </c>
      <c r="X49">
        <f>HYPERLINK("https://klasma.github.io/Logging_2034/tillsyn/A 43588-2024 tillsynsbegäran.docx", "A 43588-2024")</f>
        <v/>
      </c>
      <c r="Y49">
        <f>HYPERLINK("https://klasma.github.io/Logging_2034/tillsynsmail/A 43588-2024 tillsynsbegäran mail.docx", "A 43588-2024")</f>
        <v/>
      </c>
    </row>
    <row r="50" ht="15" customHeight="1">
      <c r="A50" t="inlineStr">
        <is>
          <t>A 38211-2020</t>
        </is>
      </c>
      <c r="B50" s="1" t="n">
        <v>44060</v>
      </c>
      <c r="C50" s="1" t="n">
        <v>45589</v>
      </c>
      <c r="D50" t="inlineStr">
        <is>
          <t>DALARNAS LÄN</t>
        </is>
      </c>
      <c r="E50" t="inlineStr">
        <is>
          <t>ORSA</t>
        </is>
      </c>
      <c r="G50" t="n">
        <v>1.2</v>
      </c>
      <c r="H50" t="n">
        <v>1</v>
      </c>
      <c r="I50" t="n">
        <v>0</v>
      </c>
      <c r="J50" t="n">
        <v>1</v>
      </c>
      <c r="K50" t="n">
        <v>0</v>
      </c>
      <c r="L50" t="n">
        <v>0</v>
      </c>
      <c r="M50" t="n">
        <v>0</v>
      </c>
      <c r="N50" t="n">
        <v>0</v>
      </c>
      <c r="O50" t="n">
        <v>1</v>
      </c>
      <c r="P50" t="n">
        <v>0</v>
      </c>
      <c r="Q50" t="n">
        <v>1</v>
      </c>
      <c r="R50" s="2" t="inlineStr">
        <is>
          <t>Utter</t>
        </is>
      </c>
      <c r="S50">
        <f>HYPERLINK("https://klasma.github.io/Logging_2034/artfynd/A 38211-2020 artfynd.xlsx", "A 38211-2020")</f>
        <v/>
      </c>
      <c r="T50">
        <f>HYPERLINK("https://klasma.github.io/Logging_2034/kartor/A 38211-2020 karta.png", "A 38211-2020")</f>
        <v/>
      </c>
      <c r="V50">
        <f>HYPERLINK("https://klasma.github.io/Logging_2034/klagomål/A 38211-2020 FSC-klagomål.docx", "A 38211-2020")</f>
        <v/>
      </c>
      <c r="W50">
        <f>HYPERLINK("https://klasma.github.io/Logging_2034/klagomålsmail/A 38211-2020 FSC-klagomål mail.docx", "A 38211-2020")</f>
        <v/>
      </c>
      <c r="X50">
        <f>HYPERLINK("https://klasma.github.io/Logging_2034/tillsyn/A 38211-2020 tillsynsbegäran.docx", "A 38211-2020")</f>
        <v/>
      </c>
      <c r="Y50">
        <f>HYPERLINK("https://klasma.github.io/Logging_2034/tillsynsmail/A 38211-2020 tillsynsbegäran mail.docx", "A 38211-2020")</f>
        <v/>
      </c>
    </row>
    <row r="51" ht="15" customHeight="1">
      <c r="A51" t="inlineStr">
        <is>
          <t>A 4144-2022</t>
        </is>
      </c>
      <c r="B51" s="1" t="n">
        <v>44588</v>
      </c>
      <c r="C51" s="1" t="n">
        <v>45589</v>
      </c>
      <c r="D51" t="inlineStr">
        <is>
          <t>DALARNAS LÄN</t>
        </is>
      </c>
      <c r="E51" t="inlineStr">
        <is>
          <t>ORSA</t>
        </is>
      </c>
      <c r="G51" t="n">
        <v>1</v>
      </c>
      <c r="H51" t="n">
        <v>0</v>
      </c>
      <c r="I51" t="n">
        <v>1</v>
      </c>
      <c r="J51" t="n">
        <v>0</v>
      </c>
      <c r="K51" t="n">
        <v>0</v>
      </c>
      <c r="L51" t="n">
        <v>0</v>
      </c>
      <c r="M51" t="n">
        <v>0</v>
      </c>
      <c r="N51" t="n">
        <v>0</v>
      </c>
      <c r="O51" t="n">
        <v>0</v>
      </c>
      <c r="P51" t="n">
        <v>0</v>
      </c>
      <c r="Q51" t="n">
        <v>1</v>
      </c>
      <c r="R51" s="2" t="inlineStr">
        <is>
          <t>Svart trolldruva</t>
        </is>
      </c>
      <c r="S51">
        <f>HYPERLINK("https://klasma.github.io/Logging_2034/artfynd/A 4144-2022 artfynd.xlsx", "A 4144-2022")</f>
        <v/>
      </c>
      <c r="T51">
        <f>HYPERLINK("https://klasma.github.io/Logging_2034/kartor/A 4144-2022 karta.png", "A 4144-2022")</f>
        <v/>
      </c>
      <c r="V51">
        <f>HYPERLINK("https://klasma.github.io/Logging_2034/klagomål/A 4144-2022 FSC-klagomål.docx", "A 4144-2022")</f>
        <v/>
      </c>
      <c r="W51">
        <f>HYPERLINK("https://klasma.github.io/Logging_2034/klagomålsmail/A 4144-2022 FSC-klagomål mail.docx", "A 4144-2022")</f>
        <v/>
      </c>
      <c r="X51">
        <f>HYPERLINK("https://klasma.github.io/Logging_2034/tillsyn/A 4144-2022 tillsynsbegäran.docx", "A 4144-2022")</f>
        <v/>
      </c>
      <c r="Y51">
        <f>HYPERLINK("https://klasma.github.io/Logging_2034/tillsynsmail/A 4144-2022 tillsynsbegäran mail.docx", "A 4144-2022")</f>
        <v/>
      </c>
    </row>
    <row r="52" ht="15" customHeight="1">
      <c r="A52" t="inlineStr">
        <is>
          <t>A 48766-2022</t>
        </is>
      </c>
      <c r="B52" s="1" t="n">
        <v>44859</v>
      </c>
      <c r="C52" s="1" t="n">
        <v>45589</v>
      </c>
      <c r="D52" t="inlineStr">
        <is>
          <t>DALARNAS LÄN</t>
        </is>
      </c>
      <c r="E52" t="inlineStr">
        <is>
          <t>ORSA</t>
        </is>
      </c>
      <c r="F52" t="inlineStr">
        <is>
          <t>Allmännings- och besparingsskogar</t>
        </is>
      </c>
      <c r="G52" t="n">
        <v>3.1</v>
      </c>
      <c r="H52" t="n">
        <v>0</v>
      </c>
      <c r="I52" t="n">
        <v>0</v>
      </c>
      <c r="J52" t="n">
        <v>1</v>
      </c>
      <c r="K52" t="n">
        <v>0</v>
      </c>
      <c r="L52" t="n">
        <v>0</v>
      </c>
      <c r="M52" t="n">
        <v>0</v>
      </c>
      <c r="N52" t="n">
        <v>0</v>
      </c>
      <c r="O52" t="n">
        <v>1</v>
      </c>
      <c r="P52" t="n">
        <v>0</v>
      </c>
      <c r="Q52" t="n">
        <v>1</v>
      </c>
      <c r="R52" s="2" t="inlineStr">
        <is>
          <t>Garnlav</t>
        </is>
      </c>
      <c r="S52">
        <f>HYPERLINK("https://klasma.github.io/Logging_2034/artfynd/A 48766-2022 artfynd.xlsx", "A 48766-2022")</f>
        <v/>
      </c>
      <c r="T52">
        <f>HYPERLINK("https://klasma.github.io/Logging_2034/kartor/A 48766-2022 karta.png", "A 48766-2022")</f>
        <v/>
      </c>
      <c r="V52">
        <f>HYPERLINK("https://klasma.github.io/Logging_2034/klagomål/A 48766-2022 FSC-klagomål.docx", "A 48766-2022")</f>
        <v/>
      </c>
      <c r="W52">
        <f>HYPERLINK("https://klasma.github.io/Logging_2034/klagomålsmail/A 48766-2022 FSC-klagomål mail.docx", "A 48766-2022")</f>
        <v/>
      </c>
      <c r="X52">
        <f>HYPERLINK("https://klasma.github.io/Logging_2034/tillsyn/A 48766-2022 tillsynsbegäran.docx", "A 48766-2022")</f>
        <v/>
      </c>
      <c r="Y52">
        <f>HYPERLINK("https://klasma.github.io/Logging_2034/tillsynsmail/A 48766-2022 tillsynsbegäran mail.docx", "A 48766-2022")</f>
        <v/>
      </c>
    </row>
    <row r="53" ht="15" customHeight="1">
      <c r="A53" t="inlineStr">
        <is>
          <t>A 29044-2023</t>
        </is>
      </c>
      <c r="B53" s="1" t="n">
        <v>45104</v>
      </c>
      <c r="C53" s="1" t="n">
        <v>45589</v>
      </c>
      <c r="D53" t="inlineStr">
        <is>
          <t>DALARNAS LÄN</t>
        </is>
      </c>
      <c r="E53" t="inlineStr">
        <is>
          <t>ORSA</t>
        </is>
      </c>
      <c r="G53" t="n">
        <v>1.8</v>
      </c>
      <c r="H53" t="n">
        <v>0</v>
      </c>
      <c r="I53" t="n">
        <v>1</v>
      </c>
      <c r="J53" t="n">
        <v>0</v>
      </c>
      <c r="K53" t="n">
        <v>0</v>
      </c>
      <c r="L53" t="n">
        <v>0</v>
      </c>
      <c r="M53" t="n">
        <v>0</v>
      </c>
      <c r="N53" t="n">
        <v>0</v>
      </c>
      <c r="O53" t="n">
        <v>0</v>
      </c>
      <c r="P53" t="n">
        <v>0</v>
      </c>
      <c r="Q53" t="n">
        <v>1</v>
      </c>
      <c r="R53" s="2" t="inlineStr">
        <is>
          <t>Korallblylav</t>
        </is>
      </c>
      <c r="S53">
        <f>HYPERLINK("https://klasma.github.io/Logging_2034/artfynd/A 29044-2023 artfynd.xlsx", "A 29044-2023")</f>
        <v/>
      </c>
      <c r="T53">
        <f>HYPERLINK("https://klasma.github.io/Logging_2034/kartor/A 29044-2023 karta.png", "A 29044-2023")</f>
        <v/>
      </c>
      <c r="V53">
        <f>HYPERLINK("https://klasma.github.io/Logging_2034/klagomål/A 29044-2023 FSC-klagomål.docx", "A 29044-2023")</f>
        <v/>
      </c>
      <c r="W53">
        <f>HYPERLINK("https://klasma.github.io/Logging_2034/klagomålsmail/A 29044-2023 FSC-klagomål mail.docx", "A 29044-2023")</f>
        <v/>
      </c>
      <c r="X53">
        <f>HYPERLINK("https://klasma.github.io/Logging_2034/tillsyn/A 29044-2023 tillsynsbegäran.docx", "A 29044-2023")</f>
        <v/>
      </c>
      <c r="Y53">
        <f>HYPERLINK("https://klasma.github.io/Logging_2034/tillsynsmail/A 29044-2023 tillsynsbegäran mail.docx", "A 29044-2023")</f>
        <v/>
      </c>
    </row>
    <row r="54" ht="15" customHeight="1">
      <c r="A54" t="inlineStr">
        <is>
          <t>A 35112-2023</t>
        </is>
      </c>
      <c r="B54" s="1" t="n">
        <v>45145</v>
      </c>
      <c r="C54" s="1" t="n">
        <v>45589</v>
      </c>
      <c r="D54" t="inlineStr">
        <is>
          <t>DALARNAS LÄN</t>
        </is>
      </c>
      <c r="E54" t="inlineStr">
        <is>
          <t>ORSA</t>
        </is>
      </c>
      <c r="F54" t="inlineStr">
        <is>
          <t>Allmännings- och besparingsskogar</t>
        </is>
      </c>
      <c r="G54" t="n">
        <v>6.9</v>
      </c>
      <c r="H54" t="n">
        <v>0</v>
      </c>
      <c r="I54" t="n">
        <v>0</v>
      </c>
      <c r="J54" t="n">
        <v>1</v>
      </c>
      <c r="K54" t="n">
        <v>0</v>
      </c>
      <c r="L54" t="n">
        <v>0</v>
      </c>
      <c r="M54" t="n">
        <v>0</v>
      </c>
      <c r="N54" t="n">
        <v>0</v>
      </c>
      <c r="O54" t="n">
        <v>1</v>
      </c>
      <c r="P54" t="n">
        <v>0</v>
      </c>
      <c r="Q54" t="n">
        <v>1</v>
      </c>
      <c r="R54" s="2" t="inlineStr">
        <is>
          <t>Skrovellav</t>
        </is>
      </c>
      <c r="S54">
        <f>HYPERLINK("https://klasma.github.io/Logging_2034/artfynd/A 35112-2023 artfynd.xlsx", "A 35112-2023")</f>
        <v/>
      </c>
      <c r="T54">
        <f>HYPERLINK("https://klasma.github.io/Logging_2034/kartor/A 35112-2023 karta.png", "A 35112-2023")</f>
        <v/>
      </c>
      <c r="V54">
        <f>HYPERLINK("https://klasma.github.io/Logging_2034/klagomål/A 35112-2023 FSC-klagomål.docx", "A 35112-2023")</f>
        <v/>
      </c>
      <c r="W54">
        <f>HYPERLINK("https://klasma.github.io/Logging_2034/klagomålsmail/A 35112-2023 FSC-klagomål mail.docx", "A 35112-2023")</f>
        <v/>
      </c>
      <c r="X54">
        <f>HYPERLINK("https://klasma.github.io/Logging_2034/tillsyn/A 35112-2023 tillsynsbegäran.docx", "A 35112-2023")</f>
        <v/>
      </c>
      <c r="Y54">
        <f>HYPERLINK("https://klasma.github.io/Logging_2034/tillsynsmail/A 35112-2023 tillsynsbegäran mail.docx", "A 35112-2023")</f>
        <v/>
      </c>
    </row>
    <row r="55" ht="15" customHeight="1">
      <c r="A55" t="inlineStr">
        <is>
          <t>A 37887-2023</t>
        </is>
      </c>
      <c r="B55" s="1" t="n">
        <v>45160</v>
      </c>
      <c r="C55" s="1" t="n">
        <v>45589</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40288-2023</t>
        </is>
      </c>
      <c r="B56" s="1" t="n">
        <v>45169</v>
      </c>
      <c r="C56" s="1" t="n">
        <v>45589</v>
      </c>
      <c r="D56" t="inlineStr">
        <is>
          <t>DALARNAS LÄN</t>
        </is>
      </c>
      <c r="E56" t="inlineStr">
        <is>
          <t>ORSA</t>
        </is>
      </c>
      <c r="F56" t="inlineStr">
        <is>
          <t>Allmännings- och besparingsskogar</t>
        </is>
      </c>
      <c r="G56" t="n">
        <v>4.2</v>
      </c>
      <c r="H56" t="n">
        <v>0</v>
      </c>
      <c r="I56" t="n">
        <v>0</v>
      </c>
      <c r="J56" t="n">
        <v>1</v>
      </c>
      <c r="K56" t="n">
        <v>0</v>
      </c>
      <c r="L56" t="n">
        <v>0</v>
      </c>
      <c r="M56" t="n">
        <v>0</v>
      </c>
      <c r="N56" t="n">
        <v>0</v>
      </c>
      <c r="O56" t="n">
        <v>1</v>
      </c>
      <c r="P56" t="n">
        <v>0</v>
      </c>
      <c r="Q56" t="n">
        <v>1</v>
      </c>
      <c r="R56" s="2" t="inlineStr">
        <is>
          <t>Vedflamlav</t>
        </is>
      </c>
      <c r="S56">
        <f>HYPERLINK("https://klasma.github.io/Logging_2034/artfynd/A 40288-2023 artfynd.xlsx", "A 40288-2023")</f>
        <v/>
      </c>
      <c r="T56">
        <f>HYPERLINK("https://klasma.github.io/Logging_2034/kartor/A 40288-2023 karta.png", "A 40288-2023")</f>
        <v/>
      </c>
      <c r="V56">
        <f>HYPERLINK("https://klasma.github.io/Logging_2034/klagomål/A 40288-2023 FSC-klagomål.docx", "A 40288-2023")</f>
        <v/>
      </c>
      <c r="W56">
        <f>HYPERLINK("https://klasma.github.io/Logging_2034/klagomålsmail/A 40288-2023 FSC-klagomål mail.docx", "A 40288-2023")</f>
        <v/>
      </c>
      <c r="X56">
        <f>HYPERLINK("https://klasma.github.io/Logging_2034/tillsyn/A 40288-2023 tillsynsbegäran.docx", "A 40288-2023")</f>
        <v/>
      </c>
      <c r="Y56">
        <f>HYPERLINK("https://klasma.github.io/Logging_2034/tillsynsmail/A 40288-2023 tillsynsbegäran mail.docx", "A 40288-2023")</f>
        <v/>
      </c>
    </row>
    <row r="57" ht="15" customHeight="1">
      <c r="A57" t="inlineStr">
        <is>
          <t>A 46179-2023</t>
        </is>
      </c>
      <c r="B57" s="1" t="n">
        <v>45196</v>
      </c>
      <c r="C57" s="1" t="n">
        <v>45589</v>
      </c>
      <c r="D57" t="inlineStr">
        <is>
          <t>DALARNAS LÄN</t>
        </is>
      </c>
      <c r="E57" t="inlineStr">
        <is>
          <t>ORSA</t>
        </is>
      </c>
      <c r="G57" t="n">
        <v>4.1</v>
      </c>
      <c r="H57" t="n">
        <v>0</v>
      </c>
      <c r="I57" t="n">
        <v>1</v>
      </c>
      <c r="J57" t="n">
        <v>0</v>
      </c>
      <c r="K57" t="n">
        <v>0</v>
      </c>
      <c r="L57" t="n">
        <v>0</v>
      </c>
      <c r="M57" t="n">
        <v>0</v>
      </c>
      <c r="N57" t="n">
        <v>0</v>
      </c>
      <c r="O57" t="n">
        <v>0</v>
      </c>
      <c r="P57" t="n">
        <v>0</v>
      </c>
      <c r="Q57" t="n">
        <v>1</v>
      </c>
      <c r="R57" s="2" t="inlineStr">
        <is>
          <t>Dropptaggsvamp</t>
        </is>
      </c>
      <c r="S57">
        <f>HYPERLINK("https://klasma.github.io/Logging_2034/artfynd/A 46179-2023 artfynd.xlsx", "A 46179-2023")</f>
        <v/>
      </c>
      <c r="T57">
        <f>HYPERLINK("https://klasma.github.io/Logging_2034/kartor/A 46179-2023 karta.png", "A 46179-2023")</f>
        <v/>
      </c>
      <c r="V57">
        <f>HYPERLINK("https://klasma.github.io/Logging_2034/klagomål/A 46179-2023 FSC-klagomål.docx", "A 46179-2023")</f>
        <v/>
      </c>
      <c r="W57">
        <f>HYPERLINK("https://klasma.github.io/Logging_2034/klagomålsmail/A 46179-2023 FSC-klagomål mail.docx", "A 46179-2023")</f>
        <v/>
      </c>
      <c r="X57">
        <f>HYPERLINK("https://klasma.github.io/Logging_2034/tillsyn/A 46179-2023 tillsynsbegäran.docx", "A 46179-2023")</f>
        <v/>
      </c>
      <c r="Y57">
        <f>HYPERLINK("https://klasma.github.io/Logging_2034/tillsynsmail/A 46179-2023 tillsynsbegäran mail.docx", "A 46179-2023")</f>
        <v/>
      </c>
    </row>
    <row r="58" ht="15" customHeight="1">
      <c r="A58" t="inlineStr">
        <is>
          <t>A 48452-2023</t>
        </is>
      </c>
      <c r="B58" s="1" t="n">
        <v>45206</v>
      </c>
      <c r="C58" s="1" t="n">
        <v>45589</v>
      </c>
      <c r="D58" t="inlineStr">
        <is>
          <t>DALARNAS LÄN</t>
        </is>
      </c>
      <c r="E58" t="inlineStr">
        <is>
          <t>ORSA</t>
        </is>
      </c>
      <c r="G58" t="n">
        <v>1.5</v>
      </c>
      <c r="H58" t="n">
        <v>0</v>
      </c>
      <c r="I58" t="n">
        <v>0</v>
      </c>
      <c r="J58" t="n">
        <v>1</v>
      </c>
      <c r="K58" t="n">
        <v>0</v>
      </c>
      <c r="L58" t="n">
        <v>0</v>
      </c>
      <c r="M58" t="n">
        <v>0</v>
      </c>
      <c r="N58" t="n">
        <v>0</v>
      </c>
      <c r="O58" t="n">
        <v>1</v>
      </c>
      <c r="P58" t="n">
        <v>0</v>
      </c>
      <c r="Q58" t="n">
        <v>1</v>
      </c>
      <c r="R58" s="2" t="inlineStr">
        <is>
          <t>Motaggsvamp</t>
        </is>
      </c>
      <c r="S58">
        <f>HYPERLINK("https://klasma.github.io/Logging_2034/artfynd/A 48452-2023 artfynd.xlsx", "A 48452-2023")</f>
        <v/>
      </c>
      <c r="T58">
        <f>HYPERLINK("https://klasma.github.io/Logging_2034/kartor/A 48452-2023 karta.png", "A 48452-2023")</f>
        <v/>
      </c>
      <c r="V58">
        <f>HYPERLINK("https://klasma.github.io/Logging_2034/klagomål/A 48452-2023 FSC-klagomål.docx", "A 48452-2023")</f>
        <v/>
      </c>
      <c r="W58">
        <f>HYPERLINK("https://klasma.github.io/Logging_2034/klagomålsmail/A 48452-2023 FSC-klagomål mail.docx", "A 48452-2023")</f>
        <v/>
      </c>
      <c r="X58">
        <f>HYPERLINK("https://klasma.github.io/Logging_2034/tillsyn/A 48452-2023 tillsynsbegäran.docx", "A 48452-2023")</f>
        <v/>
      </c>
      <c r="Y58">
        <f>HYPERLINK("https://klasma.github.io/Logging_2034/tillsynsmail/A 48452-2023 tillsynsbegäran mail.docx", "A 48452-2023")</f>
        <v/>
      </c>
    </row>
    <row r="59" ht="15" customHeight="1">
      <c r="A59" t="inlineStr">
        <is>
          <t>A 49515-2023</t>
        </is>
      </c>
      <c r="B59" s="1" t="n">
        <v>45211</v>
      </c>
      <c r="C59" s="1" t="n">
        <v>45589</v>
      </c>
      <c r="D59" t="inlineStr">
        <is>
          <t>DALARNAS LÄN</t>
        </is>
      </c>
      <c r="E59" t="inlineStr">
        <is>
          <t>ORSA</t>
        </is>
      </c>
      <c r="F59" t="inlineStr">
        <is>
          <t>Allmännings- och besparingsskogar</t>
        </is>
      </c>
      <c r="G59" t="n">
        <v>17.5</v>
      </c>
      <c r="H59" t="n">
        <v>0</v>
      </c>
      <c r="I59" t="n">
        <v>1</v>
      </c>
      <c r="J59" t="n">
        <v>0</v>
      </c>
      <c r="K59" t="n">
        <v>0</v>
      </c>
      <c r="L59" t="n">
        <v>0</v>
      </c>
      <c r="M59" t="n">
        <v>0</v>
      </c>
      <c r="N59" t="n">
        <v>0</v>
      </c>
      <c r="O59" t="n">
        <v>0</v>
      </c>
      <c r="P59" t="n">
        <v>0</v>
      </c>
      <c r="Q59" t="n">
        <v>1</v>
      </c>
      <c r="R59" s="2" t="inlineStr">
        <is>
          <t>Skarp dropptaggsvamp</t>
        </is>
      </c>
      <c r="S59">
        <f>HYPERLINK("https://klasma.github.io/Logging_2034/artfynd/A 49515-2023 artfynd.xlsx", "A 49515-2023")</f>
        <v/>
      </c>
      <c r="T59">
        <f>HYPERLINK("https://klasma.github.io/Logging_2034/kartor/A 49515-2023 karta.png", "A 49515-2023")</f>
        <v/>
      </c>
      <c r="V59">
        <f>HYPERLINK("https://klasma.github.io/Logging_2034/klagomål/A 49515-2023 FSC-klagomål.docx", "A 49515-2023")</f>
        <v/>
      </c>
      <c r="W59">
        <f>HYPERLINK("https://klasma.github.io/Logging_2034/klagomålsmail/A 49515-2023 FSC-klagomål mail.docx", "A 49515-2023")</f>
        <v/>
      </c>
      <c r="X59">
        <f>HYPERLINK("https://klasma.github.io/Logging_2034/tillsyn/A 49515-2023 tillsynsbegäran.docx", "A 49515-2023")</f>
        <v/>
      </c>
      <c r="Y59">
        <f>HYPERLINK("https://klasma.github.io/Logging_2034/tillsynsmail/A 49515-2023 tillsynsbegäran mail.docx", "A 49515-2023")</f>
        <v/>
      </c>
    </row>
    <row r="60" ht="15" customHeight="1">
      <c r="A60" t="inlineStr">
        <is>
          <t>A 30493-2024</t>
        </is>
      </c>
      <c r="B60" s="1" t="n">
        <v>45492</v>
      </c>
      <c r="C60" s="1" t="n">
        <v>45589</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26119-2019</t>
        </is>
      </c>
      <c r="B61" s="1" t="n">
        <v>43609</v>
      </c>
      <c r="C61" s="1" t="n">
        <v>45589</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45589</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45589</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45589</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45589</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45589</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45589</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45589</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45589</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45589</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45589</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45589</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45589</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45589</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45589</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45589</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45589</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45589</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45589</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45589</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45589</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45589</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45589</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45589</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45589</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45589</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45589</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45589</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45589</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45589</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45589</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45589</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45589</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45589</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45589</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45589</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45589</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45589</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45589</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45589</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45589</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45589</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45589</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45589</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45589</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45589</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45589</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45589</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45589</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45589</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45589</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45589</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45589</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45589</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45589</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45589</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45589</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45589</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45589</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45589</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45589</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45589</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45589</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45589</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45589</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45589</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45589</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45589</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45589</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45589</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45589</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45589</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45589</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45589</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45589</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45589</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45589</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45589</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45589</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45589</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45589</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45589</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45589</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45589</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45589</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45589</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45589</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45589</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45589</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45589</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45589</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45589</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45589</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45589</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45589</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45589</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45589</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45589</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45589</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45589</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45589</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45589</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45589</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45589</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45589</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45589</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45589</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45589</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45589</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45589</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45589</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45589</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45589</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45589</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45589</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45589</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45589</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45589</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45589</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45589</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45589</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45589</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45589</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45589</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45589</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45589</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45589</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45589</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45589</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45589</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45589</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45589</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45589</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45589</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45589</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45589</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45589</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45589</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45589</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45589</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45589</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45589</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45589</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45589</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45589</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45589</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45589</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45589</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45589</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45589</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45589</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45589</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45589</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45589</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45589</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45589</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45589</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45589</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45589</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45589</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45589</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45589</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45589</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45589</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45589</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45589</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45589</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45589</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45589</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45589</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45589</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45589</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45589</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45589</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45589</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45589</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45589</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45589</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45589</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45589</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45589</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45589</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45589</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45589</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45589</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45589</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45589</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45589</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45589</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45589</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45589</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45589</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45589</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45589</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45589</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45589</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45589</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45589</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45589</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45589</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45589</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45589</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45589</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45589</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45589</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45589</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45589</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45589</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45589</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45589</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45589</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45589</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45589</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45589</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45589</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45589</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45589</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45589</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45589</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45589</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45589</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45589</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45589</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45589</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45589</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45589</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45589</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45589</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45589</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45589</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45589</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45589</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45589</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45589</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45589</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45589</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45589</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45589</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45589</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45589</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45589</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45589</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45589</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45589</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45589</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45589</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45589</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45589</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45589</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45589</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45589</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45589</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45589</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45589</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45589</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45589</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45589</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45589</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45589</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45589</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45589</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45589</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45589</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45589</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45589</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45589</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45589</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45589</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45589</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45589</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45589</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45589</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45589</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45589</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45589</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45589</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45589</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45589</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45589</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45589</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45589</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45589</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45589</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45589</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45589</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45589</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45589</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45589</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45589</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45589</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45589</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45589</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45589</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45589</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45589</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45589</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45589</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45589</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45589</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45589</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45589</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45589</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45589</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45589</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45589</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45589</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45589</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45589</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45589</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45589</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45589</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45589</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45589</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45589</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45589</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45589</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45589</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45589</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45589</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45589</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45589</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45589</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45589</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45589</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45589</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45589</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45589</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45589</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45589</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45589</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45589</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45589</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45589</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45589</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45589</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45589</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45589</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45589</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45589</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45589</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45589</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45589</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45589</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45589</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45589</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45589</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45589</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45589</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45589</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45589</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45589</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45589</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45589</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45589</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45589</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45589</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45589</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45589</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45589</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45589</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45589</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45589</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45589</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45589</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45589</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45589</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45589</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45589</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45589</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45589</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45589</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45589</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45589</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45589</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45589</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45589</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45589</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45589</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45589</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45589</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45589</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45589</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45589</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45589</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45589</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45589</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45589</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45589</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45589</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45589</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45589</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45589</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45589</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45589</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45589</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45589</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45589</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45589</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45589</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45589</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45589</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45589</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45589</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45589</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45589</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45589</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45589</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45589</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45589</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45589</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45589</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45589</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45589</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45589</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45589</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45589</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45589</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45589</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45589</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45589</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45589</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45589</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45589</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45589</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45589</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45589</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45589</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45589</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45589</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45589</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45589</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45589</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45589</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45589</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45589</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45589</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45589</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45589</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45589</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45589</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45589</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45589</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45589</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45589</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45589</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45589</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45589</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45589</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45589</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45589</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45589</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45589</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45589</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45589</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45589</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45589</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45589</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45589</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45589</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45589</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45589</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45589</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45589</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45589</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45589</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45589</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45589</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45589</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45589</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45589</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45589</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45589</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45589</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45589</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45589</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45589</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45589</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45589</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45589</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45589</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45589</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45589</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45589</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45589</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45589</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45589</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45589</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45589</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45589</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45589</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45589</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45589</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45589</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45589</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45589</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45589</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45589</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45589</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45589</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45589</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45589</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45589</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45589</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45589</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45589</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45589</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45589</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45589</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45589</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45589</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45589</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45589</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45589</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45589</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45589</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45589</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45589</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45589</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45589</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45589</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45589</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45589</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45589</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45589</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45589</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45589</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45589</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45589</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45589</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45589</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45589</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45589</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45589</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45589</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45589</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45589</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45589</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45589</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45589</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45589</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45589</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45589</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45589</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45589</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45589</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45589</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45589</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45589</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45589</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45589</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45589</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45589</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45589</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45589</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45589</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45589</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45589</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45589</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45589</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45589</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45589</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45589</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45589</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45589</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45589</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45589</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45589</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45589</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45589</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45589</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45589</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45589</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45589</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45589</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45589</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45589</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45589</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45589</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45589</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45589</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45589</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45589</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45589</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45589</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45589</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45589</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45589</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45589</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45589</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45589</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45589</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45589</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45589</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42411-2024</t>
        </is>
      </c>
      <c r="B656" s="1" t="n">
        <v>45565</v>
      </c>
      <c r="C656" s="1" t="n">
        <v>45589</v>
      </c>
      <c r="D656" t="inlineStr">
        <is>
          <t>DALARNAS LÄN</t>
        </is>
      </c>
      <c r="E656" t="inlineStr">
        <is>
          <t>ORSA</t>
        </is>
      </c>
      <c r="G656" t="n">
        <v>1.5</v>
      </c>
      <c r="H656" t="n">
        <v>0</v>
      </c>
      <c r="I656" t="n">
        <v>0</v>
      </c>
      <c r="J656" t="n">
        <v>0</v>
      </c>
      <c r="K656" t="n">
        <v>0</v>
      </c>
      <c r="L656" t="n">
        <v>0</v>
      </c>
      <c r="M656" t="n">
        <v>0</v>
      </c>
      <c r="N656" t="n">
        <v>0</v>
      </c>
      <c r="O656" t="n">
        <v>0</v>
      </c>
      <c r="P656" t="n">
        <v>0</v>
      </c>
      <c r="Q656" t="n">
        <v>0</v>
      </c>
      <c r="R656" s="2" t="inlineStr"/>
    </row>
    <row r="657" ht="15" customHeight="1">
      <c r="A657" t="inlineStr">
        <is>
          <t>A 42513-2024</t>
        </is>
      </c>
      <c r="B657" s="1" t="n">
        <v>45565</v>
      </c>
      <c r="C657" s="1" t="n">
        <v>45589</v>
      </c>
      <c r="D657" t="inlineStr">
        <is>
          <t>DALARNAS LÄN</t>
        </is>
      </c>
      <c r="E657" t="inlineStr">
        <is>
          <t>ORSA</t>
        </is>
      </c>
      <c r="G657" t="n">
        <v>1.6</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45589</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45589</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45589</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45589</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44904-2024</t>
        </is>
      </c>
      <c r="B662" s="1" t="n">
        <v>45575</v>
      </c>
      <c r="C662" s="1" t="n">
        <v>45589</v>
      </c>
      <c r="D662" t="inlineStr">
        <is>
          <t>DALARNAS LÄN</t>
        </is>
      </c>
      <c r="E662" t="inlineStr">
        <is>
          <t>ORSA</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45020-2024</t>
        </is>
      </c>
      <c r="B663" s="1" t="n">
        <v>45575</v>
      </c>
      <c r="C663" s="1" t="n">
        <v>45589</v>
      </c>
      <c r="D663" t="inlineStr">
        <is>
          <t>DALARNAS LÄN</t>
        </is>
      </c>
      <c r="E663" t="inlineStr">
        <is>
          <t>ORSA</t>
        </is>
      </c>
      <c r="G663" t="n">
        <v>5.1</v>
      </c>
      <c r="H663" t="n">
        <v>0</v>
      </c>
      <c r="I663" t="n">
        <v>0</v>
      </c>
      <c r="J663" t="n">
        <v>0</v>
      </c>
      <c r="K663" t="n">
        <v>0</v>
      </c>
      <c r="L663" t="n">
        <v>0</v>
      </c>
      <c r="M663" t="n">
        <v>0</v>
      </c>
      <c r="N663" t="n">
        <v>0</v>
      </c>
      <c r="O663" t="n">
        <v>0</v>
      </c>
      <c r="P663" t="n">
        <v>0</v>
      </c>
      <c r="Q663" t="n">
        <v>0</v>
      </c>
      <c r="R663" s="2" t="inlineStr"/>
    </row>
    <row r="664" ht="15" customHeight="1">
      <c r="A664" t="inlineStr">
        <is>
          <t>A 45028-2024</t>
        </is>
      </c>
      <c r="B664" s="1" t="n">
        <v>45575</v>
      </c>
      <c r="C664" s="1" t="n">
        <v>45589</v>
      </c>
      <c r="D664" t="inlineStr">
        <is>
          <t>DALARNAS LÄN</t>
        </is>
      </c>
      <c r="E664" t="inlineStr">
        <is>
          <t>ORSA</t>
        </is>
      </c>
      <c r="G664" t="n">
        <v>2.4</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45589</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44909-2024</t>
        </is>
      </c>
      <c r="B666" s="1" t="n">
        <v>45575</v>
      </c>
      <c r="C666" s="1" t="n">
        <v>45589</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45887-2024</t>
        </is>
      </c>
      <c r="B667" s="1" t="n">
        <v>45580</v>
      </c>
      <c r="C667" s="1" t="n">
        <v>45589</v>
      </c>
      <c r="D667" t="inlineStr">
        <is>
          <t>DALARNAS LÄN</t>
        </is>
      </c>
      <c r="E667" t="inlineStr">
        <is>
          <t>ORSA</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46606-2024</t>
        </is>
      </c>
      <c r="B668" s="1" t="n">
        <v>45582</v>
      </c>
      <c r="C668" s="1" t="n">
        <v>45589</v>
      </c>
      <c r="D668" t="inlineStr">
        <is>
          <t>DALARNAS LÄN</t>
        </is>
      </c>
      <c r="E668" t="inlineStr">
        <is>
          <t>ORSA</t>
        </is>
      </c>
      <c r="G668" t="n">
        <v>1.7</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45589</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46939-2024</t>
        </is>
      </c>
      <c r="B670" s="1" t="n">
        <v>45585</v>
      </c>
      <c r="C670" s="1" t="n">
        <v>45589</v>
      </c>
      <c r="D670" t="inlineStr">
        <is>
          <t>DALARNAS LÄN</t>
        </is>
      </c>
      <c r="E670" t="inlineStr">
        <is>
          <t>ORSA</t>
        </is>
      </c>
      <c r="F670" t="inlineStr">
        <is>
          <t>Bergvik skog öst AB</t>
        </is>
      </c>
      <c r="G670" t="n">
        <v>3.7</v>
      </c>
      <c r="H670" t="n">
        <v>0</v>
      </c>
      <c r="I670" t="n">
        <v>0</v>
      </c>
      <c r="J670" t="n">
        <v>0</v>
      </c>
      <c r="K670" t="n">
        <v>0</v>
      </c>
      <c r="L670" t="n">
        <v>0</v>
      </c>
      <c r="M670" t="n">
        <v>0</v>
      </c>
      <c r="N670" t="n">
        <v>0</v>
      </c>
      <c r="O670" t="n">
        <v>0</v>
      </c>
      <c r="P670" t="n">
        <v>0</v>
      </c>
      <c r="Q670" t="n">
        <v>0</v>
      </c>
      <c r="R670" s="2" t="inlineStr"/>
    </row>
    <row r="671" ht="15" customHeight="1">
      <c r="A671" t="inlineStr">
        <is>
          <t>A 46938-2024</t>
        </is>
      </c>
      <c r="B671" s="1" t="n">
        <v>45585</v>
      </c>
      <c r="C671" s="1" t="n">
        <v>45589</v>
      </c>
      <c r="D671" t="inlineStr">
        <is>
          <t>DALARNAS LÄN</t>
        </is>
      </c>
      <c r="E671" t="inlineStr">
        <is>
          <t>ORSA</t>
        </is>
      </c>
      <c r="F671" t="inlineStr">
        <is>
          <t>Bergvik skog öst AB</t>
        </is>
      </c>
      <c r="G671" t="n">
        <v>3.3</v>
      </c>
      <c r="H671" t="n">
        <v>0</v>
      </c>
      <c r="I671" t="n">
        <v>0</v>
      </c>
      <c r="J671" t="n">
        <v>0</v>
      </c>
      <c r="K671" t="n">
        <v>0</v>
      </c>
      <c r="L671" t="n">
        <v>0</v>
      </c>
      <c r="M671" t="n">
        <v>0</v>
      </c>
      <c r="N671" t="n">
        <v>0</v>
      </c>
      <c r="O671" t="n">
        <v>0</v>
      </c>
      <c r="P671" t="n">
        <v>0</v>
      </c>
      <c r="Q671" t="n">
        <v>0</v>
      </c>
      <c r="R671" s="2" t="inlineStr"/>
    </row>
    <row r="672" ht="15" customHeight="1">
      <c r="A672" t="inlineStr">
        <is>
          <t>A 47134-2024</t>
        </is>
      </c>
      <c r="B672" s="1" t="n">
        <v>45586</v>
      </c>
      <c r="C672" s="1" t="n">
        <v>45589</v>
      </c>
      <c r="D672" t="inlineStr">
        <is>
          <t>DALARNAS LÄN</t>
        </is>
      </c>
      <c r="E672" t="inlineStr">
        <is>
          <t>ORSA</t>
        </is>
      </c>
      <c r="G672" t="n">
        <v>0.3</v>
      </c>
      <c r="H672" t="n">
        <v>0</v>
      </c>
      <c r="I672" t="n">
        <v>0</v>
      </c>
      <c r="J672" t="n">
        <v>0</v>
      </c>
      <c r="K672" t="n">
        <v>0</v>
      </c>
      <c r="L672" t="n">
        <v>0</v>
      </c>
      <c r="M672" t="n">
        <v>0</v>
      </c>
      <c r="N672" t="n">
        <v>0</v>
      </c>
      <c r="O672" t="n">
        <v>0</v>
      </c>
      <c r="P672" t="n">
        <v>0</v>
      </c>
      <c r="Q672" t="n">
        <v>0</v>
      </c>
      <c r="R672" s="2" t="inlineStr"/>
    </row>
    <row r="673" ht="15" customHeight="1">
      <c r="A673" t="inlineStr">
        <is>
          <t>A 47128-2024</t>
        </is>
      </c>
      <c r="B673" s="1" t="n">
        <v>45586</v>
      </c>
      <c r="C673" s="1" t="n">
        <v>45589</v>
      </c>
      <c r="D673" t="inlineStr">
        <is>
          <t>DALARNAS LÄN</t>
        </is>
      </c>
      <c r="E673" t="inlineStr">
        <is>
          <t>ORSA</t>
        </is>
      </c>
      <c r="G673" t="n">
        <v>0.9</v>
      </c>
      <c r="H673" t="n">
        <v>0</v>
      </c>
      <c r="I673" t="n">
        <v>0</v>
      </c>
      <c r="J673" t="n">
        <v>0</v>
      </c>
      <c r="K673" t="n">
        <v>0</v>
      </c>
      <c r="L673" t="n">
        <v>0</v>
      </c>
      <c r="M673" t="n">
        <v>0</v>
      </c>
      <c r="N673" t="n">
        <v>0</v>
      </c>
      <c r="O673" t="n">
        <v>0</v>
      </c>
      <c r="P673" t="n">
        <v>0</v>
      </c>
      <c r="Q673" t="n">
        <v>0</v>
      </c>
      <c r="R673" s="2" t="inlineStr"/>
    </row>
    <row r="674" ht="15" customHeight="1">
      <c r="A674" t="inlineStr">
        <is>
          <t>A 47315-2024</t>
        </is>
      </c>
      <c r="B674" s="1" t="n">
        <v>45587</v>
      </c>
      <c r="C674" s="1" t="n">
        <v>45589</v>
      </c>
      <c r="D674" t="inlineStr">
        <is>
          <t>DALARNAS LÄN</t>
        </is>
      </c>
      <c r="E674" t="inlineStr">
        <is>
          <t>ORSA</t>
        </is>
      </c>
      <c r="G674" t="n">
        <v>1.3</v>
      </c>
      <c r="H674" t="n">
        <v>0</v>
      </c>
      <c r="I674" t="n">
        <v>0</v>
      </c>
      <c r="J674" t="n">
        <v>0</v>
      </c>
      <c r="K674" t="n">
        <v>0</v>
      </c>
      <c r="L674" t="n">
        <v>0</v>
      </c>
      <c r="M674" t="n">
        <v>0</v>
      </c>
      <c r="N674" t="n">
        <v>0</v>
      </c>
      <c r="O674" t="n">
        <v>0</v>
      </c>
      <c r="P674" t="n">
        <v>0</v>
      </c>
      <c r="Q674" t="n">
        <v>0</v>
      </c>
      <c r="R674" s="2" t="inlineStr"/>
    </row>
    <row r="675" ht="15" customHeight="1">
      <c r="A675" t="inlineStr">
        <is>
          <t>A 47691-2024</t>
        </is>
      </c>
      <c r="B675" s="1" t="n">
        <v>45588</v>
      </c>
      <c r="C675" s="1" t="n">
        <v>45589</v>
      </c>
      <c r="D675" t="inlineStr">
        <is>
          <t>DALARNAS LÄN</t>
        </is>
      </c>
      <c r="E675" t="inlineStr">
        <is>
          <t>ORSA</t>
        </is>
      </c>
      <c r="G675" t="n">
        <v>0.5</v>
      </c>
      <c r="H675" t="n">
        <v>0</v>
      </c>
      <c r="I675" t="n">
        <v>0</v>
      </c>
      <c r="J675" t="n">
        <v>0</v>
      </c>
      <c r="K675" t="n">
        <v>0</v>
      </c>
      <c r="L675" t="n">
        <v>0</v>
      </c>
      <c r="M675" t="n">
        <v>0</v>
      </c>
      <c r="N675" t="n">
        <v>0</v>
      </c>
      <c r="O675" t="n">
        <v>0</v>
      </c>
      <c r="P675" t="n">
        <v>0</v>
      </c>
      <c r="Q675" t="n">
        <v>0</v>
      </c>
      <c r="R675" s="2" t="inlineStr"/>
    </row>
    <row r="676">
      <c r="A676" t="inlineStr">
        <is>
          <t>A 47809-2024</t>
        </is>
      </c>
      <c r="B676" s="1" t="n">
        <v>45588</v>
      </c>
      <c r="C676" s="1" t="n">
        <v>45589</v>
      </c>
      <c r="D676" t="inlineStr">
        <is>
          <t>DALARNAS LÄN</t>
        </is>
      </c>
      <c r="E676" t="inlineStr">
        <is>
          <t>ORSA</t>
        </is>
      </c>
      <c r="G676" t="n">
        <v>1.2</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2024-10-24T13:54:11Z</dcterms:created>
  <dcterms:modified xmlns:dcterms="http://purl.org/dc/terms/" xmlns:xsi="http://www.w3.org/2001/XMLSchema-instance" xsi:type="dcterms:W3CDTF">2024-10-24T13:54:12Z</dcterms:modified>
</cp:coreProperties>
</file>